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oogleDrive\Work\PM\Models\MODEL_EU\Variables\Capacity\NP_2022Q1\DE\"/>
    </mc:Choice>
  </mc:AlternateContent>
  <xr:revisionPtr revIDLastSave="0" documentId="13_ncr:1_{4D48A238-DF98-49E9-ABBC-D15F542726F5}" xr6:coauthVersionLast="47" xr6:coauthVersionMax="47" xr10:uidLastSave="{00000000-0000-0000-0000-000000000000}"/>
  <bookViews>
    <workbookView xWindow="51480" yWindow="-60" windowWidth="29040" windowHeight="15840" activeTab="1" xr2:uid="{00000000-000D-0000-FFFF-FFFF00000000}"/>
  </bookViews>
  <sheets>
    <sheet name="PadreInput" sheetId="4" r:id="rId1"/>
    <sheet name="EEO Base" sheetId="6" r:id="rId2"/>
    <sheet name="EEO Base Escalators" sheetId="7" r:id="rId3"/>
    <sheet name="Offshore Regions" sheetId="5" r:id="rId4"/>
    <sheet name="Offshore Turbines" sheetId="12" r:id="rId5"/>
    <sheet name="Offshore Regions-points" sheetId="13" r:id="rId6"/>
    <sheet name="Offshore Heights" sheetId="14" r:id="rId7"/>
    <sheet name="Onshore Regions" sheetId="8" r:id="rId8"/>
    <sheet name="Onshore Regions-points" sheetId="9" r:id="rId9"/>
    <sheet name="Onshore Heights" sheetId="10" r:id="rId10"/>
    <sheet name="Onshore Turbines" sheetId="11" r:id="rId11"/>
    <sheet name="Offshore" sheetId="1" r:id="rId12"/>
    <sheet name="Onshore" sheetId="2" r:id="rId13"/>
    <sheet name="PV" sheetId="3" r:id="rId14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6" l="1"/>
  <c r="W8" i="14"/>
  <c r="X8" i="14" s="1"/>
  <c r="Y8" i="14" s="1"/>
  <c r="Z8" i="14" s="1"/>
  <c r="AA8" i="14" s="1"/>
  <c r="AB8" i="14" s="1"/>
  <c r="AC8" i="14" s="1"/>
  <c r="AD8" i="14" s="1"/>
  <c r="AE8" i="14" s="1"/>
  <c r="AF8" i="14" s="1"/>
  <c r="AG8" i="14" s="1"/>
  <c r="AH8" i="14" s="1"/>
  <c r="AI8" i="14" s="1"/>
  <c r="AJ8" i="14" s="1"/>
  <c r="AK8" i="14" s="1"/>
  <c r="P10" i="14"/>
  <c r="Q10" i="14" s="1"/>
  <c r="R10" i="14" s="1"/>
  <c r="S10" i="14" s="1"/>
  <c r="T10" i="14" s="1"/>
  <c r="U10" i="14" s="1"/>
  <c r="V10" i="14" s="1"/>
  <c r="W10" i="14" s="1"/>
  <c r="X10" i="14" s="1"/>
  <c r="Y10" i="14" s="1"/>
  <c r="Z10" i="14" s="1"/>
  <c r="AA10" i="14" s="1"/>
  <c r="AB10" i="14" s="1"/>
  <c r="AC10" i="14" s="1"/>
  <c r="AD10" i="14" s="1"/>
  <c r="AE10" i="14" s="1"/>
  <c r="AF10" i="14" s="1"/>
  <c r="AG10" i="14" s="1"/>
  <c r="AH10" i="14" s="1"/>
  <c r="AI10" i="14" s="1"/>
  <c r="AJ10" i="14" s="1"/>
  <c r="AK10" i="14" s="1"/>
  <c r="AL10" i="14" s="1"/>
  <c r="AM10" i="14" s="1"/>
  <c r="AN10" i="14" s="1"/>
  <c r="AO10" i="14" s="1"/>
  <c r="AP10" i="14" s="1"/>
  <c r="AQ10" i="14" s="1"/>
  <c r="AR10" i="14" s="1"/>
  <c r="AS10" i="14" s="1"/>
  <c r="AT10" i="14" s="1"/>
  <c r="AU10" i="14" s="1"/>
  <c r="AV10" i="14" s="1"/>
  <c r="AW10" i="14" s="1"/>
  <c r="AX10" i="14" s="1"/>
  <c r="AY10" i="14" s="1"/>
  <c r="AZ10" i="14" s="1"/>
  <c r="BA10" i="14" s="1"/>
  <c r="BB10" i="14" s="1"/>
  <c r="BC10" i="14" s="1"/>
  <c r="BD10" i="14" s="1"/>
  <c r="BE10" i="14" s="1"/>
  <c r="BF10" i="14" s="1"/>
  <c r="BG10" i="14" s="1"/>
  <c r="BH10" i="14" s="1"/>
  <c r="BI10" i="14" s="1"/>
  <c r="BJ10" i="14" s="1"/>
  <c r="BK10" i="14" s="1"/>
  <c r="BL10" i="14" s="1"/>
  <c r="BM10" i="14" s="1"/>
  <c r="BN10" i="14" s="1"/>
  <c r="BO10" i="14" s="1"/>
  <c r="BP10" i="14" s="1"/>
  <c r="BQ10" i="14" s="1"/>
  <c r="BR10" i="14" s="1"/>
  <c r="BS10" i="14" s="1"/>
  <c r="BT10" i="14" s="1"/>
  <c r="BU10" i="14" s="1"/>
  <c r="BV10" i="14" s="1"/>
  <c r="BW10" i="14" s="1"/>
  <c r="BX10" i="14" s="1"/>
  <c r="BY10" i="14" s="1"/>
  <c r="BZ10" i="14" s="1"/>
  <c r="CA10" i="14" s="1"/>
  <c r="CB10" i="14" s="1"/>
  <c r="CC10" i="14" s="1"/>
  <c r="CD10" i="14" s="1"/>
  <c r="CE10" i="14" s="1"/>
  <c r="CF10" i="14" s="1"/>
  <c r="CG10" i="14" s="1"/>
  <c r="CH10" i="14" s="1"/>
  <c r="CI10" i="14" s="1"/>
  <c r="CJ10" i="14" s="1"/>
  <c r="CK10" i="14" s="1"/>
  <c r="CL10" i="14" s="1"/>
  <c r="CM10" i="14" s="1"/>
  <c r="CN10" i="14" s="1"/>
  <c r="C9" i="14"/>
  <c r="C6" i="14" s="1"/>
  <c r="B6" i="14"/>
  <c r="B4" i="14"/>
  <c r="B3" i="14"/>
  <c r="B2" i="14"/>
  <c r="D1" i="14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1" i="14"/>
  <c r="C2" i="13"/>
  <c r="D2" i="13" s="1"/>
  <c r="E2" i="13" s="1"/>
  <c r="F2" i="13" s="1"/>
  <c r="G2" i="13" s="1"/>
  <c r="H2" i="13" s="1"/>
  <c r="I2" i="13" s="1"/>
  <c r="J2" i="13" s="1"/>
  <c r="K2" i="13" s="1"/>
  <c r="L2" i="13" s="1"/>
  <c r="M2" i="13" s="1"/>
  <c r="N2" i="13" s="1"/>
  <c r="O2" i="13" s="1"/>
  <c r="P2" i="13" s="1"/>
  <c r="Q2" i="13" s="1"/>
  <c r="R2" i="13" s="1"/>
  <c r="S2" i="13" s="1"/>
  <c r="T2" i="13" s="1"/>
  <c r="U2" i="13" s="1"/>
  <c r="V2" i="13" s="1"/>
  <c r="W2" i="13" s="1"/>
  <c r="X2" i="13" s="1"/>
  <c r="Y2" i="13" s="1"/>
  <c r="Z2" i="13" s="1"/>
  <c r="AA2" i="13" s="1"/>
  <c r="AB2" i="13" s="1"/>
  <c r="AC2" i="13" s="1"/>
  <c r="AD2" i="13" s="1"/>
  <c r="AE2" i="13" s="1"/>
  <c r="AF2" i="13" s="1"/>
  <c r="AG2" i="13" s="1"/>
  <c r="AH2" i="13" s="1"/>
  <c r="AI2" i="13" s="1"/>
  <c r="AJ2" i="13" s="1"/>
  <c r="AK2" i="13" s="1"/>
  <c r="AL2" i="13" s="1"/>
  <c r="AM2" i="13" s="1"/>
  <c r="AN2" i="13" s="1"/>
  <c r="AO2" i="13" s="1"/>
  <c r="AP2" i="13" s="1"/>
  <c r="AQ2" i="13" s="1"/>
  <c r="AR2" i="13" s="1"/>
  <c r="AS2" i="13" s="1"/>
  <c r="AT2" i="13" s="1"/>
  <c r="AU2" i="13" s="1"/>
  <c r="AV2" i="13" s="1"/>
  <c r="AW2" i="13" s="1"/>
  <c r="AX2" i="13" s="1"/>
  <c r="AY2" i="13" s="1"/>
  <c r="AZ2" i="13" s="1"/>
  <c r="BA2" i="13" s="1"/>
  <c r="BB2" i="13" s="1"/>
  <c r="BC2" i="13" s="1"/>
  <c r="BD2" i="13" s="1"/>
  <c r="BE2" i="13" s="1"/>
  <c r="BF2" i="13" s="1"/>
  <c r="BG2" i="13" s="1"/>
  <c r="BH2" i="13" s="1"/>
  <c r="BI2" i="13" s="1"/>
  <c r="BJ2" i="13" s="1"/>
  <c r="BK2" i="13" s="1"/>
  <c r="BL2" i="13" s="1"/>
  <c r="BM2" i="13" s="1"/>
  <c r="BN2" i="13" s="1"/>
  <c r="BO2" i="13" s="1"/>
  <c r="BP2" i="13" s="1"/>
  <c r="BQ2" i="13" s="1"/>
  <c r="BR2" i="13" s="1"/>
  <c r="BS2" i="13" s="1"/>
  <c r="BT2" i="13" s="1"/>
  <c r="BU2" i="13" s="1"/>
  <c r="BV2" i="13" s="1"/>
  <c r="BW2" i="13" s="1"/>
  <c r="BX2" i="13" s="1"/>
  <c r="BY2" i="13" s="1"/>
  <c r="BZ2" i="13" s="1"/>
  <c r="CA2" i="13" s="1"/>
  <c r="CB2" i="13" s="1"/>
  <c r="CC2" i="13" s="1"/>
  <c r="CD2" i="13" s="1"/>
  <c r="CE2" i="13" s="1"/>
  <c r="CF2" i="13" s="1"/>
  <c r="CG2" i="13" s="1"/>
  <c r="CH2" i="13" s="1"/>
  <c r="CI2" i="13" s="1"/>
  <c r="CJ2" i="13" s="1"/>
  <c r="CK2" i="13" s="1"/>
  <c r="CL2" i="13" s="1"/>
  <c r="CM2" i="13" s="1"/>
  <c r="CN2" i="13" s="1"/>
  <c r="CO2" i="13" s="1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T20" i="13"/>
  <c r="U20" i="13" s="1"/>
  <c r="V20" i="13" s="1"/>
  <c r="W20" i="13" s="1"/>
  <c r="X20" i="13" s="1"/>
  <c r="Y20" i="13" s="1"/>
  <c r="Z20" i="13" s="1"/>
  <c r="AA20" i="13" s="1"/>
  <c r="AB20" i="13" s="1"/>
  <c r="AC20" i="13" s="1"/>
  <c r="AD20" i="13" s="1"/>
  <c r="AE20" i="13" s="1"/>
  <c r="AF20" i="13" s="1"/>
  <c r="AG20" i="13" s="1"/>
  <c r="AH20" i="13" s="1"/>
  <c r="AI20" i="13" s="1"/>
  <c r="AJ20" i="13" s="1"/>
  <c r="AK20" i="13" s="1"/>
  <c r="AL20" i="13" s="1"/>
  <c r="AM20" i="13" s="1"/>
  <c r="AN20" i="13" s="1"/>
  <c r="AO20" i="13" s="1"/>
  <c r="AP20" i="13" s="1"/>
  <c r="AQ20" i="13" s="1"/>
  <c r="AR20" i="13" s="1"/>
  <c r="AS20" i="13" s="1"/>
  <c r="AT20" i="13" s="1"/>
  <c r="AU20" i="13" s="1"/>
  <c r="AV20" i="13" s="1"/>
  <c r="AW20" i="13" s="1"/>
  <c r="AX20" i="13" s="1"/>
  <c r="AY20" i="13" s="1"/>
  <c r="AZ20" i="13" s="1"/>
  <c r="BA20" i="13" s="1"/>
  <c r="BB20" i="13" s="1"/>
  <c r="BC20" i="13" s="1"/>
  <c r="BD20" i="13" s="1"/>
  <c r="BE20" i="13" s="1"/>
  <c r="BF20" i="13" s="1"/>
  <c r="BG20" i="13" s="1"/>
  <c r="BH20" i="13" s="1"/>
  <c r="BI20" i="13" s="1"/>
  <c r="BJ20" i="13" s="1"/>
  <c r="BK20" i="13" s="1"/>
  <c r="BL20" i="13" s="1"/>
  <c r="BM20" i="13" s="1"/>
  <c r="BN20" i="13" s="1"/>
  <c r="BO20" i="13" s="1"/>
  <c r="BP20" i="13" s="1"/>
  <c r="BQ20" i="13" s="1"/>
  <c r="BR20" i="13" s="1"/>
  <c r="BS20" i="13" s="1"/>
  <c r="BT20" i="13" s="1"/>
  <c r="BU20" i="13" s="1"/>
  <c r="BV20" i="13" s="1"/>
  <c r="BW20" i="13" s="1"/>
  <c r="BX20" i="13" s="1"/>
  <c r="BY20" i="13" s="1"/>
  <c r="BZ20" i="13" s="1"/>
  <c r="CA20" i="13" s="1"/>
  <c r="CB20" i="13" s="1"/>
  <c r="CC20" i="13" s="1"/>
  <c r="CD20" i="13" s="1"/>
  <c r="CE20" i="13" s="1"/>
  <c r="CF20" i="13" s="1"/>
  <c r="CG20" i="13" s="1"/>
  <c r="CH20" i="13" s="1"/>
  <c r="CI20" i="13" s="1"/>
  <c r="CJ20" i="13" s="1"/>
  <c r="CK20" i="13" s="1"/>
  <c r="CL20" i="13" s="1"/>
  <c r="CM20" i="13" s="1"/>
  <c r="CN20" i="13" s="1"/>
  <c r="CO20" i="13" s="1"/>
  <c r="F15" i="13"/>
  <c r="G15" i="13" s="1"/>
  <c r="H15" i="13" s="1"/>
  <c r="I15" i="13" s="1"/>
  <c r="J15" i="13" s="1"/>
  <c r="K15" i="13" s="1"/>
  <c r="L15" i="13" s="1"/>
  <c r="M15" i="13" s="1"/>
  <c r="N15" i="13" s="1"/>
  <c r="O15" i="13" s="1"/>
  <c r="P15" i="13" s="1"/>
  <c r="Q15" i="13" s="1"/>
  <c r="R15" i="13" s="1"/>
  <c r="S15" i="13" s="1"/>
  <c r="T15" i="13" s="1"/>
  <c r="U15" i="13" s="1"/>
  <c r="V15" i="13" s="1"/>
  <c r="W15" i="13" s="1"/>
  <c r="X15" i="13" s="1"/>
  <c r="Y15" i="13" s="1"/>
  <c r="Z15" i="13" s="1"/>
  <c r="AA15" i="13" s="1"/>
  <c r="AB15" i="13" s="1"/>
  <c r="AC15" i="13" s="1"/>
  <c r="AD15" i="13" s="1"/>
  <c r="AE15" i="13" s="1"/>
  <c r="AF15" i="13" s="1"/>
  <c r="AG15" i="13" s="1"/>
  <c r="AH15" i="13" s="1"/>
  <c r="AI15" i="13" s="1"/>
  <c r="AJ15" i="13" s="1"/>
  <c r="AK15" i="13" s="1"/>
  <c r="AL15" i="13" s="1"/>
  <c r="AM15" i="13" s="1"/>
  <c r="AN15" i="13" s="1"/>
  <c r="AO15" i="13" s="1"/>
  <c r="AP15" i="13" s="1"/>
  <c r="AQ15" i="13" s="1"/>
  <c r="AR15" i="13" s="1"/>
  <c r="AS15" i="13" s="1"/>
  <c r="AT15" i="13" s="1"/>
  <c r="AU15" i="13" s="1"/>
  <c r="AV15" i="13" s="1"/>
  <c r="AW15" i="13" s="1"/>
  <c r="AX15" i="13" s="1"/>
  <c r="AY15" i="13" s="1"/>
  <c r="AZ15" i="13" s="1"/>
  <c r="BA15" i="13" s="1"/>
  <c r="BB15" i="13" s="1"/>
  <c r="BC15" i="13" s="1"/>
  <c r="BD15" i="13" s="1"/>
  <c r="BE15" i="13" s="1"/>
  <c r="BF15" i="13" s="1"/>
  <c r="BG15" i="13" s="1"/>
  <c r="BH15" i="13" s="1"/>
  <c r="BI15" i="13" s="1"/>
  <c r="BJ15" i="13" s="1"/>
  <c r="BK15" i="13" s="1"/>
  <c r="BL15" i="13" s="1"/>
  <c r="BM15" i="13" s="1"/>
  <c r="BN15" i="13" s="1"/>
  <c r="BO15" i="13" s="1"/>
  <c r="BP15" i="13" s="1"/>
  <c r="BQ15" i="13" s="1"/>
  <c r="BR15" i="13" s="1"/>
  <c r="BS15" i="13" s="1"/>
  <c r="BT15" i="13" s="1"/>
  <c r="BU15" i="13" s="1"/>
  <c r="BV15" i="13" s="1"/>
  <c r="BW15" i="13" s="1"/>
  <c r="BX15" i="13" s="1"/>
  <c r="BY15" i="13" s="1"/>
  <c r="BZ15" i="13" s="1"/>
  <c r="CA15" i="13" s="1"/>
  <c r="CB15" i="13" s="1"/>
  <c r="CC15" i="13" s="1"/>
  <c r="CD15" i="13" s="1"/>
  <c r="CE15" i="13" s="1"/>
  <c r="CF15" i="13" s="1"/>
  <c r="CG15" i="13" s="1"/>
  <c r="CH15" i="13" s="1"/>
  <c r="CI15" i="13" s="1"/>
  <c r="CJ15" i="13" s="1"/>
  <c r="CK15" i="13" s="1"/>
  <c r="CL15" i="13" s="1"/>
  <c r="CM15" i="13" s="1"/>
  <c r="CN15" i="13" s="1"/>
  <c r="CO15" i="13" s="1"/>
  <c r="E15" i="13"/>
  <c r="E13" i="13"/>
  <c r="F13" i="13" s="1"/>
  <c r="G13" i="13" s="1"/>
  <c r="H13" i="13" s="1"/>
  <c r="I13" i="13" s="1"/>
  <c r="J13" i="13" s="1"/>
  <c r="K13" i="13" s="1"/>
  <c r="L13" i="13" s="1"/>
  <c r="M13" i="13" s="1"/>
  <c r="N13" i="13" s="1"/>
  <c r="O13" i="13" s="1"/>
  <c r="P13" i="13" s="1"/>
  <c r="Q13" i="13" s="1"/>
  <c r="R13" i="13" s="1"/>
  <c r="S13" i="13" s="1"/>
  <c r="T13" i="13" s="1"/>
  <c r="U13" i="13" s="1"/>
  <c r="V13" i="13" s="1"/>
  <c r="W13" i="13" s="1"/>
  <c r="X13" i="13" s="1"/>
  <c r="Y13" i="13" s="1"/>
  <c r="Z13" i="13" s="1"/>
  <c r="AA13" i="13" s="1"/>
  <c r="AB13" i="13" s="1"/>
  <c r="AC13" i="13" s="1"/>
  <c r="AD13" i="13" s="1"/>
  <c r="AE13" i="13" s="1"/>
  <c r="AF13" i="13" s="1"/>
  <c r="AG13" i="13" s="1"/>
  <c r="AH13" i="13" s="1"/>
  <c r="AI13" i="13" s="1"/>
  <c r="AJ13" i="13" s="1"/>
  <c r="AK13" i="13" s="1"/>
  <c r="AL13" i="13" s="1"/>
  <c r="AM13" i="13" s="1"/>
  <c r="AN13" i="13" s="1"/>
  <c r="AO13" i="13" s="1"/>
  <c r="AP13" i="13" s="1"/>
  <c r="AQ13" i="13" s="1"/>
  <c r="AR13" i="13" s="1"/>
  <c r="AS13" i="13" s="1"/>
  <c r="AT13" i="13" s="1"/>
  <c r="AU13" i="13" s="1"/>
  <c r="AV13" i="13" s="1"/>
  <c r="AW13" i="13" s="1"/>
  <c r="AX13" i="13" s="1"/>
  <c r="AY13" i="13" s="1"/>
  <c r="AZ13" i="13" s="1"/>
  <c r="BA13" i="13" s="1"/>
  <c r="BB13" i="13" s="1"/>
  <c r="BC13" i="13" s="1"/>
  <c r="BD13" i="13" s="1"/>
  <c r="BE13" i="13" s="1"/>
  <c r="BF13" i="13" s="1"/>
  <c r="BG13" i="13" s="1"/>
  <c r="BH13" i="13" s="1"/>
  <c r="BI13" i="13" s="1"/>
  <c r="BJ13" i="13" s="1"/>
  <c r="BK13" i="13" s="1"/>
  <c r="BL13" i="13" s="1"/>
  <c r="BM13" i="13" s="1"/>
  <c r="BN13" i="13" s="1"/>
  <c r="BO13" i="13" s="1"/>
  <c r="BP13" i="13" s="1"/>
  <c r="BQ13" i="13" s="1"/>
  <c r="BR13" i="13" s="1"/>
  <c r="BS13" i="13" s="1"/>
  <c r="BT13" i="13" s="1"/>
  <c r="BU13" i="13" s="1"/>
  <c r="BV13" i="13" s="1"/>
  <c r="BW13" i="13" s="1"/>
  <c r="BX13" i="13" s="1"/>
  <c r="BY13" i="13" s="1"/>
  <c r="BZ13" i="13" s="1"/>
  <c r="CA13" i="13" s="1"/>
  <c r="CB13" i="13" s="1"/>
  <c r="CC13" i="13" s="1"/>
  <c r="CD13" i="13" s="1"/>
  <c r="CE13" i="13" s="1"/>
  <c r="CF13" i="13" s="1"/>
  <c r="CG13" i="13" s="1"/>
  <c r="CH13" i="13" s="1"/>
  <c r="CI13" i="13" s="1"/>
  <c r="CJ13" i="13" s="1"/>
  <c r="CK13" i="13" s="1"/>
  <c r="CL13" i="13" s="1"/>
  <c r="CM13" i="13" s="1"/>
  <c r="CN13" i="13" s="1"/>
  <c r="CO13" i="13" s="1"/>
  <c r="F12" i="13"/>
  <c r="G12" i="13" s="1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BE12" i="13" s="1"/>
  <c r="BF12" i="13" s="1"/>
  <c r="BG12" i="13" s="1"/>
  <c r="BH12" i="13" s="1"/>
  <c r="BI12" i="13" s="1"/>
  <c r="BJ12" i="13" s="1"/>
  <c r="BK12" i="13" s="1"/>
  <c r="BL12" i="13" s="1"/>
  <c r="BM12" i="13" s="1"/>
  <c r="BN12" i="13" s="1"/>
  <c r="BO12" i="13" s="1"/>
  <c r="BP12" i="13" s="1"/>
  <c r="BQ12" i="13" s="1"/>
  <c r="BR12" i="13" s="1"/>
  <c r="BS12" i="13" s="1"/>
  <c r="BT12" i="13" s="1"/>
  <c r="BU12" i="13" s="1"/>
  <c r="BV12" i="13" s="1"/>
  <c r="BW12" i="13" s="1"/>
  <c r="BX12" i="13" s="1"/>
  <c r="BY12" i="13" s="1"/>
  <c r="BZ12" i="13" s="1"/>
  <c r="CA12" i="13" s="1"/>
  <c r="CB12" i="13" s="1"/>
  <c r="CC12" i="13" s="1"/>
  <c r="CD12" i="13" s="1"/>
  <c r="CE12" i="13" s="1"/>
  <c r="CF12" i="13" s="1"/>
  <c r="CG12" i="13" s="1"/>
  <c r="CH12" i="13" s="1"/>
  <c r="CI12" i="13" s="1"/>
  <c r="CJ12" i="13" s="1"/>
  <c r="CK12" i="13" s="1"/>
  <c r="CL12" i="13" s="1"/>
  <c r="CM12" i="13" s="1"/>
  <c r="CN12" i="13" s="1"/>
  <c r="CO12" i="13" s="1"/>
  <c r="E11" i="13"/>
  <c r="F11" i="13" s="1"/>
  <c r="G11" i="13" s="1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11" i="13" s="1"/>
  <c r="BF11" i="13" s="1"/>
  <c r="BG11" i="13" s="1"/>
  <c r="BH11" i="13" s="1"/>
  <c r="BI11" i="13" s="1"/>
  <c r="BJ11" i="13" s="1"/>
  <c r="BK11" i="13" s="1"/>
  <c r="BL11" i="13" s="1"/>
  <c r="BM11" i="13" s="1"/>
  <c r="BN11" i="13" s="1"/>
  <c r="BO11" i="13" s="1"/>
  <c r="BP11" i="13" s="1"/>
  <c r="BQ11" i="13" s="1"/>
  <c r="BR11" i="13" s="1"/>
  <c r="BS11" i="13" s="1"/>
  <c r="BT11" i="13" s="1"/>
  <c r="BU11" i="13" s="1"/>
  <c r="BV11" i="13" s="1"/>
  <c r="BW11" i="13" s="1"/>
  <c r="BX11" i="13" s="1"/>
  <c r="BY11" i="13" s="1"/>
  <c r="BZ11" i="13" s="1"/>
  <c r="CA11" i="13" s="1"/>
  <c r="CB11" i="13" s="1"/>
  <c r="CC11" i="13" s="1"/>
  <c r="CD11" i="13" s="1"/>
  <c r="CE11" i="13" s="1"/>
  <c r="CF11" i="13" s="1"/>
  <c r="CG11" i="13" s="1"/>
  <c r="CH11" i="13" s="1"/>
  <c r="CI11" i="13" s="1"/>
  <c r="CJ11" i="13" s="1"/>
  <c r="CK11" i="13" s="1"/>
  <c r="CL11" i="13" s="1"/>
  <c r="CM11" i="13" s="1"/>
  <c r="CN11" i="13" s="1"/>
  <c r="CO11" i="13" s="1"/>
  <c r="K10" i="13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E10" i="13" s="1"/>
  <c r="BF10" i="13" s="1"/>
  <c r="BG10" i="13" s="1"/>
  <c r="BH10" i="13" s="1"/>
  <c r="BI10" i="13" s="1"/>
  <c r="BJ10" i="13" s="1"/>
  <c r="BK10" i="13" s="1"/>
  <c r="BL10" i="13" s="1"/>
  <c r="BM10" i="13" s="1"/>
  <c r="BN10" i="13" s="1"/>
  <c r="BO10" i="13" s="1"/>
  <c r="BP10" i="13" s="1"/>
  <c r="BQ10" i="13" s="1"/>
  <c r="BR10" i="13" s="1"/>
  <c r="BS10" i="13" s="1"/>
  <c r="BT10" i="13" s="1"/>
  <c r="BU10" i="13" s="1"/>
  <c r="BV10" i="13" s="1"/>
  <c r="BW10" i="13" s="1"/>
  <c r="BX10" i="13" s="1"/>
  <c r="BY10" i="13" s="1"/>
  <c r="BZ10" i="13" s="1"/>
  <c r="CA10" i="13" s="1"/>
  <c r="CB10" i="13" s="1"/>
  <c r="CC10" i="13" s="1"/>
  <c r="CD10" i="13" s="1"/>
  <c r="CE10" i="13" s="1"/>
  <c r="CF10" i="13" s="1"/>
  <c r="CG10" i="13" s="1"/>
  <c r="CH10" i="13" s="1"/>
  <c r="CI10" i="13" s="1"/>
  <c r="CJ10" i="13" s="1"/>
  <c r="CK10" i="13" s="1"/>
  <c r="CL10" i="13" s="1"/>
  <c r="CM10" i="13" s="1"/>
  <c r="CN10" i="13" s="1"/>
  <c r="CO10" i="13" s="1"/>
  <c r="F8" i="13"/>
  <c r="G8" i="13" s="1"/>
  <c r="H8" i="13" s="1"/>
  <c r="I8" i="13" s="1"/>
  <c r="J8" i="13" s="1"/>
  <c r="K8" i="13" s="1"/>
  <c r="L8" i="13" s="1"/>
  <c r="M8" i="13" s="1"/>
  <c r="N8" i="13" s="1"/>
  <c r="O8" i="13" s="1"/>
  <c r="P8" i="13" s="1"/>
  <c r="Q8" i="13" s="1"/>
  <c r="R8" i="13" s="1"/>
  <c r="S8" i="13" s="1"/>
  <c r="T8" i="13" s="1"/>
  <c r="U8" i="13" s="1"/>
  <c r="V8" i="13" s="1"/>
  <c r="W8" i="13" s="1"/>
  <c r="X8" i="13" s="1"/>
  <c r="Y8" i="13" s="1"/>
  <c r="Z8" i="13" s="1"/>
  <c r="AA8" i="13" s="1"/>
  <c r="AB8" i="13" s="1"/>
  <c r="AC8" i="13" s="1"/>
  <c r="AD8" i="13" s="1"/>
  <c r="AE8" i="13" s="1"/>
  <c r="AF8" i="13" s="1"/>
  <c r="AG8" i="13" s="1"/>
  <c r="AH8" i="13" s="1"/>
  <c r="AI8" i="13" s="1"/>
  <c r="AJ8" i="13" s="1"/>
  <c r="AK8" i="13" s="1"/>
  <c r="AL8" i="13" s="1"/>
  <c r="AM8" i="13" s="1"/>
  <c r="AN8" i="13" s="1"/>
  <c r="AO8" i="13" s="1"/>
  <c r="AP8" i="13" s="1"/>
  <c r="AQ8" i="13" s="1"/>
  <c r="AR8" i="13" s="1"/>
  <c r="AS8" i="13" s="1"/>
  <c r="AT8" i="13" s="1"/>
  <c r="AU8" i="13" s="1"/>
  <c r="AV8" i="13" s="1"/>
  <c r="AW8" i="13" s="1"/>
  <c r="AX8" i="13" s="1"/>
  <c r="AY8" i="13" s="1"/>
  <c r="AZ8" i="13" s="1"/>
  <c r="BA8" i="13" s="1"/>
  <c r="BB8" i="13" s="1"/>
  <c r="BC8" i="13" s="1"/>
  <c r="BD8" i="13" s="1"/>
  <c r="BE8" i="13" s="1"/>
  <c r="BF8" i="13" s="1"/>
  <c r="BG8" i="13" s="1"/>
  <c r="BH8" i="13" s="1"/>
  <c r="BI8" i="13" s="1"/>
  <c r="BJ8" i="13" s="1"/>
  <c r="BK8" i="13" s="1"/>
  <c r="BL8" i="13" s="1"/>
  <c r="BM8" i="13" s="1"/>
  <c r="BN8" i="13" s="1"/>
  <c r="BO8" i="13" s="1"/>
  <c r="BP8" i="13" s="1"/>
  <c r="BQ8" i="13" s="1"/>
  <c r="BR8" i="13" s="1"/>
  <c r="BS8" i="13" s="1"/>
  <c r="BT8" i="13" s="1"/>
  <c r="BU8" i="13" s="1"/>
  <c r="BV8" i="13" s="1"/>
  <c r="BW8" i="13" s="1"/>
  <c r="BX8" i="13" s="1"/>
  <c r="BY8" i="13" s="1"/>
  <c r="BZ8" i="13" s="1"/>
  <c r="CA8" i="13" s="1"/>
  <c r="CB8" i="13" s="1"/>
  <c r="CC8" i="13" s="1"/>
  <c r="CD8" i="13" s="1"/>
  <c r="CE8" i="13" s="1"/>
  <c r="CF8" i="13" s="1"/>
  <c r="CG8" i="13" s="1"/>
  <c r="CH8" i="13" s="1"/>
  <c r="CI8" i="13" s="1"/>
  <c r="CJ8" i="13" s="1"/>
  <c r="CK8" i="13" s="1"/>
  <c r="CL8" i="13" s="1"/>
  <c r="CM8" i="13" s="1"/>
  <c r="CN8" i="13" s="1"/>
  <c r="CO8" i="13" s="1"/>
  <c r="W7" i="13"/>
  <c r="X7" i="13" s="1"/>
  <c r="Y7" i="13" s="1"/>
  <c r="Z7" i="13" s="1"/>
  <c r="AA7" i="13" s="1"/>
  <c r="AB7" i="13" s="1"/>
  <c r="AC7" i="13" s="1"/>
  <c r="AD7" i="13" s="1"/>
  <c r="AE7" i="13" s="1"/>
  <c r="AF7" i="13" s="1"/>
  <c r="AG7" i="13" s="1"/>
  <c r="AH7" i="13" s="1"/>
  <c r="AI7" i="13" s="1"/>
  <c r="AJ7" i="13" s="1"/>
  <c r="AK7" i="13" s="1"/>
  <c r="AL7" i="13" s="1"/>
  <c r="AM7" i="13" s="1"/>
  <c r="AN7" i="13" s="1"/>
  <c r="AO7" i="13" s="1"/>
  <c r="AP7" i="13" s="1"/>
  <c r="AQ7" i="13" s="1"/>
  <c r="AR7" i="13" s="1"/>
  <c r="AS7" i="13" s="1"/>
  <c r="AT7" i="13" s="1"/>
  <c r="AU7" i="13" s="1"/>
  <c r="AV7" i="13" s="1"/>
  <c r="AW7" i="13" s="1"/>
  <c r="AX7" i="13" s="1"/>
  <c r="AY7" i="13" s="1"/>
  <c r="AZ7" i="13" s="1"/>
  <c r="BA7" i="13" s="1"/>
  <c r="BB7" i="13" s="1"/>
  <c r="BC7" i="13" s="1"/>
  <c r="BD7" i="13" s="1"/>
  <c r="BE7" i="13" s="1"/>
  <c r="BF7" i="13" s="1"/>
  <c r="BG7" i="13" s="1"/>
  <c r="BH7" i="13" s="1"/>
  <c r="BI7" i="13" s="1"/>
  <c r="BJ7" i="13" s="1"/>
  <c r="BK7" i="13" s="1"/>
  <c r="BL7" i="13" s="1"/>
  <c r="BM7" i="13" s="1"/>
  <c r="BN7" i="13" s="1"/>
  <c r="BO7" i="13" s="1"/>
  <c r="BP7" i="13" s="1"/>
  <c r="BQ7" i="13" s="1"/>
  <c r="BR7" i="13" s="1"/>
  <c r="BS7" i="13" s="1"/>
  <c r="BT7" i="13" s="1"/>
  <c r="BU7" i="13" s="1"/>
  <c r="BV7" i="13" s="1"/>
  <c r="BW7" i="13" s="1"/>
  <c r="BX7" i="13" s="1"/>
  <c r="BY7" i="13" s="1"/>
  <c r="BZ7" i="13" s="1"/>
  <c r="CA7" i="13" s="1"/>
  <c r="CB7" i="13" s="1"/>
  <c r="CC7" i="13" s="1"/>
  <c r="CD7" i="13" s="1"/>
  <c r="CE7" i="13" s="1"/>
  <c r="CF7" i="13" s="1"/>
  <c r="CG7" i="13" s="1"/>
  <c r="CH7" i="13" s="1"/>
  <c r="CI7" i="13" s="1"/>
  <c r="CJ7" i="13" s="1"/>
  <c r="CK7" i="13" s="1"/>
  <c r="CL7" i="13" s="1"/>
  <c r="CM7" i="13" s="1"/>
  <c r="CN7" i="13" s="1"/>
  <c r="CO7" i="13" s="1"/>
  <c r="F7" i="13"/>
  <c r="G7" i="13" s="1"/>
  <c r="H7" i="13" s="1"/>
  <c r="I7" i="13" s="1"/>
  <c r="J7" i="13" s="1"/>
  <c r="K7" i="13" s="1"/>
  <c r="L7" i="13" s="1"/>
  <c r="M7" i="13" s="1"/>
  <c r="N7" i="13" s="1"/>
  <c r="O7" i="13" s="1"/>
  <c r="P7" i="13" s="1"/>
  <c r="Q7" i="13" s="1"/>
  <c r="R7" i="13" s="1"/>
  <c r="S7" i="13" s="1"/>
  <c r="T7" i="13" s="1"/>
  <c r="U7" i="13" s="1"/>
  <c r="V7" i="13" s="1"/>
  <c r="M5" i="13"/>
  <c r="N5" i="13" s="1"/>
  <c r="O5" i="13" s="1"/>
  <c r="P5" i="13" s="1"/>
  <c r="Q5" i="13" s="1"/>
  <c r="R5" i="13" s="1"/>
  <c r="S5" i="13" s="1"/>
  <c r="T5" i="13" s="1"/>
  <c r="U5" i="13" s="1"/>
  <c r="V5" i="13" s="1"/>
  <c r="W5" i="13" s="1"/>
  <c r="X5" i="13" s="1"/>
  <c r="Y5" i="13" s="1"/>
  <c r="Z5" i="13" s="1"/>
  <c r="AA5" i="13" s="1"/>
  <c r="AB5" i="13" s="1"/>
  <c r="AC5" i="13" s="1"/>
  <c r="AD5" i="13" s="1"/>
  <c r="AE5" i="13" s="1"/>
  <c r="AF5" i="13" s="1"/>
  <c r="AG5" i="13" s="1"/>
  <c r="AH5" i="13" s="1"/>
  <c r="AI5" i="13" s="1"/>
  <c r="AJ5" i="13" s="1"/>
  <c r="AK5" i="13" s="1"/>
  <c r="AL5" i="13" s="1"/>
  <c r="AM5" i="13" s="1"/>
  <c r="AN5" i="13" s="1"/>
  <c r="AO5" i="13" s="1"/>
  <c r="AP5" i="13" s="1"/>
  <c r="AQ5" i="13" s="1"/>
  <c r="AR5" i="13" s="1"/>
  <c r="AS5" i="13" s="1"/>
  <c r="AT5" i="13" s="1"/>
  <c r="AU5" i="13" s="1"/>
  <c r="AV5" i="13" s="1"/>
  <c r="AW5" i="13" s="1"/>
  <c r="AX5" i="13" s="1"/>
  <c r="AY5" i="13" s="1"/>
  <c r="AZ5" i="13" s="1"/>
  <c r="BA5" i="13" s="1"/>
  <c r="BB5" i="13" s="1"/>
  <c r="BC5" i="13" s="1"/>
  <c r="BD5" i="13" s="1"/>
  <c r="BE5" i="13" s="1"/>
  <c r="BF5" i="13" s="1"/>
  <c r="BG5" i="13" s="1"/>
  <c r="BH5" i="13" s="1"/>
  <c r="BI5" i="13" s="1"/>
  <c r="BJ5" i="13" s="1"/>
  <c r="BK5" i="13" s="1"/>
  <c r="BL5" i="13" s="1"/>
  <c r="BM5" i="13" s="1"/>
  <c r="BN5" i="13" s="1"/>
  <c r="BO5" i="13" s="1"/>
  <c r="BP5" i="13" s="1"/>
  <c r="BQ5" i="13" s="1"/>
  <c r="BR5" i="13" s="1"/>
  <c r="BS5" i="13" s="1"/>
  <c r="BT5" i="13" s="1"/>
  <c r="BU5" i="13" s="1"/>
  <c r="BV5" i="13" s="1"/>
  <c r="BW5" i="13" s="1"/>
  <c r="BX5" i="13" s="1"/>
  <c r="BY5" i="13" s="1"/>
  <c r="BZ5" i="13" s="1"/>
  <c r="CA5" i="13" s="1"/>
  <c r="CB5" i="13" s="1"/>
  <c r="CC5" i="13" s="1"/>
  <c r="CD5" i="13" s="1"/>
  <c r="CE5" i="13" s="1"/>
  <c r="CF5" i="13" s="1"/>
  <c r="CG5" i="13" s="1"/>
  <c r="CH5" i="13" s="1"/>
  <c r="CI5" i="13" s="1"/>
  <c r="CJ5" i="13" s="1"/>
  <c r="CK5" i="13" s="1"/>
  <c r="CL5" i="13" s="1"/>
  <c r="CM5" i="13" s="1"/>
  <c r="CN5" i="13" s="1"/>
  <c r="CO5" i="13" s="1"/>
  <c r="D23" i="13"/>
  <c r="E23" i="13" s="1"/>
  <c r="F23" i="13" s="1"/>
  <c r="G23" i="13" s="1"/>
  <c r="H23" i="13" s="1"/>
  <c r="I23" i="13" s="1"/>
  <c r="J23" i="13" s="1"/>
  <c r="K23" i="13" s="1"/>
  <c r="L23" i="13" s="1"/>
  <c r="M23" i="13" s="1"/>
  <c r="N23" i="13" s="1"/>
  <c r="O23" i="13" s="1"/>
  <c r="P23" i="13" s="1"/>
  <c r="Q23" i="13" s="1"/>
  <c r="R23" i="13" s="1"/>
  <c r="S23" i="13" s="1"/>
  <c r="T23" i="13" s="1"/>
  <c r="U23" i="13" s="1"/>
  <c r="V23" i="13" s="1"/>
  <c r="W23" i="13" s="1"/>
  <c r="X23" i="13" s="1"/>
  <c r="Y23" i="13" s="1"/>
  <c r="Z23" i="13" s="1"/>
  <c r="AA23" i="13" s="1"/>
  <c r="AB23" i="13" s="1"/>
  <c r="AC23" i="13" s="1"/>
  <c r="AD23" i="13" s="1"/>
  <c r="AE23" i="13" s="1"/>
  <c r="AF23" i="13" s="1"/>
  <c r="AG23" i="13" s="1"/>
  <c r="AH23" i="13" s="1"/>
  <c r="AI23" i="13" s="1"/>
  <c r="AJ23" i="13" s="1"/>
  <c r="AK23" i="13" s="1"/>
  <c r="AL23" i="13" s="1"/>
  <c r="AM23" i="13" s="1"/>
  <c r="AN23" i="13" s="1"/>
  <c r="AO23" i="13" s="1"/>
  <c r="AP23" i="13" s="1"/>
  <c r="AQ23" i="13" s="1"/>
  <c r="AR23" i="13" s="1"/>
  <c r="AS23" i="13" s="1"/>
  <c r="AT23" i="13" s="1"/>
  <c r="AU23" i="13" s="1"/>
  <c r="AV23" i="13" s="1"/>
  <c r="AW23" i="13" s="1"/>
  <c r="AX23" i="13" s="1"/>
  <c r="AY23" i="13" s="1"/>
  <c r="AZ23" i="13" s="1"/>
  <c r="BA23" i="13" s="1"/>
  <c r="BB23" i="13" s="1"/>
  <c r="BC23" i="13" s="1"/>
  <c r="BD23" i="13" s="1"/>
  <c r="BE23" i="13" s="1"/>
  <c r="BF23" i="13" s="1"/>
  <c r="BG23" i="13" s="1"/>
  <c r="BH23" i="13" s="1"/>
  <c r="BI23" i="13" s="1"/>
  <c r="BJ23" i="13" s="1"/>
  <c r="BK23" i="13" s="1"/>
  <c r="BL23" i="13" s="1"/>
  <c r="BM23" i="13" s="1"/>
  <c r="BN23" i="13" s="1"/>
  <c r="BO23" i="13" s="1"/>
  <c r="BP23" i="13" s="1"/>
  <c r="BQ23" i="13" s="1"/>
  <c r="BR23" i="13" s="1"/>
  <c r="BS23" i="13" s="1"/>
  <c r="BT23" i="13" s="1"/>
  <c r="BU23" i="13" s="1"/>
  <c r="BV23" i="13" s="1"/>
  <c r="BW23" i="13" s="1"/>
  <c r="BX23" i="13" s="1"/>
  <c r="BY23" i="13" s="1"/>
  <c r="BZ23" i="13" s="1"/>
  <c r="CA23" i="13" s="1"/>
  <c r="CB23" i="13" s="1"/>
  <c r="CC23" i="13" s="1"/>
  <c r="CD23" i="13" s="1"/>
  <c r="CE23" i="13" s="1"/>
  <c r="CF23" i="13" s="1"/>
  <c r="CG23" i="13" s="1"/>
  <c r="CH23" i="13" s="1"/>
  <c r="CI23" i="13" s="1"/>
  <c r="CJ23" i="13" s="1"/>
  <c r="CK23" i="13" s="1"/>
  <c r="CL23" i="13" s="1"/>
  <c r="CM23" i="13" s="1"/>
  <c r="CN23" i="13" s="1"/>
  <c r="CO23" i="13" s="1"/>
  <c r="D22" i="13"/>
  <c r="E22" i="13" s="1"/>
  <c r="F22" i="13" s="1"/>
  <c r="G22" i="13" s="1"/>
  <c r="H22" i="13" s="1"/>
  <c r="I22" i="13" s="1"/>
  <c r="J22" i="13" s="1"/>
  <c r="K22" i="13" s="1"/>
  <c r="L22" i="13" s="1"/>
  <c r="M22" i="13" s="1"/>
  <c r="N22" i="13" s="1"/>
  <c r="O22" i="13" s="1"/>
  <c r="P22" i="13" s="1"/>
  <c r="Q22" i="13" s="1"/>
  <c r="R22" i="13" s="1"/>
  <c r="S22" i="13" s="1"/>
  <c r="T22" i="13" s="1"/>
  <c r="U22" i="13" s="1"/>
  <c r="V22" i="13" s="1"/>
  <c r="W22" i="13" s="1"/>
  <c r="X22" i="13" s="1"/>
  <c r="Y22" i="13" s="1"/>
  <c r="Z22" i="13" s="1"/>
  <c r="AA22" i="13" s="1"/>
  <c r="AB22" i="13" s="1"/>
  <c r="AC22" i="13" s="1"/>
  <c r="AD22" i="13" s="1"/>
  <c r="AE22" i="13" s="1"/>
  <c r="AF22" i="13" s="1"/>
  <c r="AG22" i="13" s="1"/>
  <c r="AH22" i="13" s="1"/>
  <c r="AI22" i="13" s="1"/>
  <c r="AJ22" i="13" s="1"/>
  <c r="AK22" i="13" s="1"/>
  <c r="AL22" i="13" s="1"/>
  <c r="AM22" i="13" s="1"/>
  <c r="AN22" i="13" s="1"/>
  <c r="AO22" i="13" s="1"/>
  <c r="AP22" i="13" s="1"/>
  <c r="AQ22" i="13" s="1"/>
  <c r="AR22" i="13" s="1"/>
  <c r="AS22" i="13" s="1"/>
  <c r="AT22" i="13" s="1"/>
  <c r="AU22" i="13" s="1"/>
  <c r="AV22" i="13" s="1"/>
  <c r="AW22" i="13" s="1"/>
  <c r="AX22" i="13" s="1"/>
  <c r="AY22" i="13" s="1"/>
  <c r="AZ22" i="13" s="1"/>
  <c r="BA22" i="13" s="1"/>
  <c r="BB22" i="13" s="1"/>
  <c r="BC22" i="13" s="1"/>
  <c r="BD22" i="13" s="1"/>
  <c r="BE22" i="13" s="1"/>
  <c r="BF22" i="13" s="1"/>
  <c r="BG22" i="13" s="1"/>
  <c r="BH22" i="13" s="1"/>
  <c r="BI22" i="13" s="1"/>
  <c r="BJ22" i="13" s="1"/>
  <c r="BK22" i="13" s="1"/>
  <c r="BL22" i="13" s="1"/>
  <c r="BM22" i="13" s="1"/>
  <c r="BN22" i="13" s="1"/>
  <c r="BO22" i="13" s="1"/>
  <c r="BP22" i="13" s="1"/>
  <c r="BQ22" i="13" s="1"/>
  <c r="BR22" i="13" s="1"/>
  <c r="BS22" i="13" s="1"/>
  <c r="BT22" i="13" s="1"/>
  <c r="BU22" i="13" s="1"/>
  <c r="BV22" i="13" s="1"/>
  <c r="BW22" i="13" s="1"/>
  <c r="BX22" i="13" s="1"/>
  <c r="BY22" i="13" s="1"/>
  <c r="BZ22" i="13" s="1"/>
  <c r="CA22" i="13" s="1"/>
  <c r="CB22" i="13" s="1"/>
  <c r="CC22" i="13" s="1"/>
  <c r="CD22" i="13" s="1"/>
  <c r="CE22" i="13" s="1"/>
  <c r="CF22" i="13" s="1"/>
  <c r="CG22" i="13" s="1"/>
  <c r="CH22" i="13" s="1"/>
  <c r="CI22" i="13" s="1"/>
  <c r="CJ22" i="13" s="1"/>
  <c r="CK22" i="13" s="1"/>
  <c r="CL22" i="13" s="1"/>
  <c r="CM22" i="13" s="1"/>
  <c r="CN22" i="13" s="1"/>
  <c r="CO22" i="13" s="1"/>
  <c r="D21" i="13"/>
  <c r="E21" i="13" s="1"/>
  <c r="F21" i="13" s="1"/>
  <c r="G21" i="13" s="1"/>
  <c r="H21" i="13" s="1"/>
  <c r="I21" i="13" s="1"/>
  <c r="J21" i="13" s="1"/>
  <c r="K21" i="13" s="1"/>
  <c r="L21" i="13" s="1"/>
  <c r="M21" i="13" s="1"/>
  <c r="N21" i="13" s="1"/>
  <c r="O21" i="13" s="1"/>
  <c r="P21" i="13" s="1"/>
  <c r="Q21" i="13" s="1"/>
  <c r="R21" i="13" s="1"/>
  <c r="S21" i="13" s="1"/>
  <c r="T21" i="13" s="1"/>
  <c r="U21" i="13" s="1"/>
  <c r="V21" i="13" s="1"/>
  <c r="W21" i="13" s="1"/>
  <c r="X21" i="13" s="1"/>
  <c r="Y21" i="13" s="1"/>
  <c r="Z21" i="13" s="1"/>
  <c r="AA21" i="13" s="1"/>
  <c r="AB21" i="13" s="1"/>
  <c r="AC21" i="13" s="1"/>
  <c r="AD21" i="13" s="1"/>
  <c r="AE21" i="13" s="1"/>
  <c r="AF21" i="13" s="1"/>
  <c r="AG21" i="13" s="1"/>
  <c r="AH21" i="13" s="1"/>
  <c r="AI21" i="13" s="1"/>
  <c r="AJ21" i="13" s="1"/>
  <c r="AK21" i="13" s="1"/>
  <c r="AL21" i="13" s="1"/>
  <c r="AM21" i="13" s="1"/>
  <c r="AN21" i="13" s="1"/>
  <c r="AO21" i="13" s="1"/>
  <c r="AP21" i="13" s="1"/>
  <c r="AQ21" i="13" s="1"/>
  <c r="AR21" i="13" s="1"/>
  <c r="AS21" i="13" s="1"/>
  <c r="AT21" i="13" s="1"/>
  <c r="AU21" i="13" s="1"/>
  <c r="AV21" i="13" s="1"/>
  <c r="AW21" i="13" s="1"/>
  <c r="AX21" i="13" s="1"/>
  <c r="AY21" i="13" s="1"/>
  <c r="AZ21" i="13" s="1"/>
  <c r="BA21" i="13" s="1"/>
  <c r="BB21" i="13" s="1"/>
  <c r="BC21" i="13" s="1"/>
  <c r="BD21" i="13" s="1"/>
  <c r="BE21" i="13" s="1"/>
  <c r="BF21" i="13" s="1"/>
  <c r="BG21" i="13" s="1"/>
  <c r="BH21" i="13" s="1"/>
  <c r="BI21" i="13" s="1"/>
  <c r="BJ21" i="13" s="1"/>
  <c r="BK21" i="13" s="1"/>
  <c r="BL21" i="13" s="1"/>
  <c r="BM21" i="13" s="1"/>
  <c r="BN21" i="13" s="1"/>
  <c r="BO21" i="13" s="1"/>
  <c r="BP21" i="13" s="1"/>
  <c r="BQ21" i="13" s="1"/>
  <c r="BR21" i="13" s="1"/>
  <c r="BS21" i="13" s="1"/>
  <c r="BT21" i="13" s="1"/>
  <c r="BU21" i="13" s="1"/>
  <c r="BV21" i="13" s="1"/>
  <c r="BW21" i="13" s="1"/>
  <c r="BX21" i="13" s="1"/>
  <c r="BY21" i="13" s="1"/>
  <c r="BZ21" i="13" s="1"/>
  <c r="CA21" i="13" s="1"/>
  <c r="CB21" i="13" s="1"/>
  <c r="CC21" i="13" s="1"/>
  <c r="CD21" i="13" s="1"/>
  <c r="CE21" i="13" s="1"/>
  <c r="CF21" i="13" s="1"/>
  <c r="CG21" i="13" s="1"/>
  <c r="CH21" i="13" s="1"/>
  <c r="CI21" i="13" s="1"/>
  <c r="CJ21" i="13" s="1"/>
  <c r="CK21" i="13" s="1"/>
  <c r="CL21" i="13" s="1"/>
  <c r="CM21" i="13" s="1"/>
  <c r="CN21" i="13" s="1"/>
  <c r="CO21" i="13" s="1"/>
  <c r="D20" i="13"/>
  <c r="E20" i="13" s="1"/>
  <c r="F20" i="13" s="1"/>
  <c r="G20" i="13" s="1"/>
  <c r="H20" i="13" s="1"/>
  <c r="I20" i="13" s="1"/>
  <c r="J20" i="13" s="1"/>
  <c r="K20" i="13" s="1"/>
  <c r="L20" i="13" s="1"/>
  <c r="M20" i="13" s="1"/>
  <c r="N20" i="13" s="1"/>
  <c r="O20" i="13" s="1"/>
  <c r="P20" i="13" s="1"/>
  <c r="Q20" i="13" s="1"/>
  <c r="R20" i="13" s="1"/>
  <c r="S20" i="13" s="1"/>
  <c r="D19" i="13"/>
  <c r="E19" i="13" s="1"/>
  <c r="F19" i="13" s="1"/>
  <c r="G19" i="13" s="1"/>
  <c r="H19" i="13" s="1"/>
  <c r="I19" i="13" s="1"/>
  <c r="J19" i="13" s="1"/>
  <c r="K19" i="13" s="1"/>
  <c r="L19" i="13" s="1"/>
  <c r="M19" i="13" s="1"/>
  <c r="N19" i="13" s="1"/>
  <c r="O19" i="13" s="1"/>
  <c r="P19" i="13" s="1"/>
  <c r="Q19" i="13" s="1"/>
  <c r="R19" i="13" s="1"/>
  <c r="S19" i="13" s="1"/>
  <c r="T19" i="13" s="1"/>
  <c r="U19" i="13" s="1"/>
  <c r="V19" i="13" s="1"/>
  <c r="W19" i="13" s="1"/>
  <c r="X19" i="13" s="1"/>
  <c r="Y19" i="13" s="1"/>
  <c r="Z19" i="13" s="1"/>
  <c r="AA19" i="13" s="1"/>
  <c r="AB19" i="13" s="1"/>
  <c r="AC19" i="13" s="1"/>
  <c r="AD19" i="13" s="1"/>
  <c r="AE19" i="13" s="1"/>
  <c r="AF19" i="13" s="1"/>
  <c r="AG19" i="13" s="1"/>
  <c r="AH19" i="13" s="1"/>
  <c r="AI19" i="13" s="1"/>
  <c r="AJ19" i="13" s="1"/>
  <c r="AK19" i="13" s="1"/>
  <c r="AL19" i="13" s="1"/>
  <c r="AM19" i="13" s="1"/>
  <c r="AN19" i="13" s="1"/>
  <c r="AO19" i="13" s="1"/>
  <c r="AP19" i="13" s="1"/>
  <c r="AQ19" i="13" s="1"/>
  <c r="AR19" i="13" s="1"/>
  <c r="AS19" i="13" s="1"/>
  <c r="AT19" i="13" s="1"/>
  <c r="AU19" i="13" s="1"/>
  <c r="AV19" i="13" s="1"/>
  <c r="AW19" i="13" s="1"/>
  <c r="AX19" i="13" s="1"/>
  <c r="AY19" i="13" s="1"/>
  <c r="AZ19" i="13" s="1"/>
  <c r="BA19" i="13" s="1"/>
  <c r="BB19" i="13" s="1"/>
  <c r="BC19" i="13" s="1"/>
  <c r="BD19" i="13" s="1"/>
  <c r="BE19" i="13" s="1"/>
  <c r="BF19" i="13" s="1"/>
  <c r="BG19" i="13" s="1"/>
  <c r="BH19" i="13" s="1"/>
  <c r="BI19" i="13" s="1"/>
  <c r="BJ19" i="13" s="1"/>
  <c r="BK19" i="13" s="1"/>
  <c r="BL19" i="13" s="1"/>
  <c r="BM19" i="13" s="1"/>
  <c r="BN19" i="13" s="1"/>
  <c r="BO19" i="13" s="1"/>
  <c r="BP19" i="13" s="1"/>
  <c r="BQ19" i="13" s="1"/>
  <c r="BR19" i="13" s="1"/>
  <c r="BS19" i="13" s="1"/>
  <c r="BT19" i="13" s="1"/>
  <c r="BU19" i="13" s="1"/>
  <c r="BV19" i="13" s="1"/>
  <c r="BW19" i="13" s="1"/>
  <c r="BX19" i="13" s="1"/>
  <c r="BY19" i="13" s="1"/>
  <c r="BZ19" i="13" s="1"/>
  <c r="CA19" i="13" s="1"/>
  <c r="CB19" i="13" s="1"/>
  <c r="CC19" i="13" s="1"/>
  <c r="CD19" i="13" s="1"/>
  <c r="CE19" i="13" s="1"/>
  <c r="CF19" i="13" s="1"/>
  <c r="CG19" i="13" s="1"/>
  <c r="CH19" i="13" s="1"/>
  <c r="CI19" i="13" s="1"/>
  <c r="CJ19" i="13" s="1"/>
  <c r="CK19" i="13" s="1"/>
  <c r="CL19" i="13" s="1"/>
  <c r="CM19" i="13" s="1"/>
  <c r="CN19" i="13" s="1"/>
  <c r="CO19" i="13" s="1"/>
  <c r="D18" i="13"/>
  <c r="E18" i="13" s="1"/>
  <c r="F18" i="13" s="1"/>
  <c r="G18" i="13" s="1"/>
  <c r="H18" i="13" s="1"/>
  <c r="I18" i="13" s="1"/>
  <c r="J18" i="13" s="1"/>
  <c r="K18" i="13" s="1"/>
  <c r="L18" i="13" s="1"/>
  <c r="M18" i="13" s="1"/>
  <c r="N18" i="13" s="1"/>
  <c r="O18" i="13" s="1"/>
  <c r="P18" i="13" s="1"/>
  <c r="Q18" i="13" s="1"/>
  <c r="R18" i="13" s="1"/>
  <c r="S18" i="13" s="1"/>
  <c r="T18" i="13" s="1"/>
  <c r="U18" i="13" s="1"/>
  <c r="V18" i="13" s="1"/>
  <c r="W18" i="13" s="1"/>
  <c r="X18" i="13" s="1"/>
  <c r="Y18" i="13" s="1"/>
  <c r="Z18" i="13" s="1"/>
  <c r="AA18" i="13" s="1"/>
  <c r="AB18" i="13" s="1"/>
  <c r="AC18" i="13" s="1"/>
  <c r="AD18" i="13" s="1"/>
  <c r="AE18" i="13" s="1"/>
  <c r="AF18" i="13" s="1"/>
  <c r="AG18" i="13" s="1"/>
  <c r="AH18" i="13" s="1"/>
  <c r="AI18" i="13" s="1"/>
  <c r="AJ18" i="13" s="1"/>
  <c r="AK18" i="13" s="1"/>
  <c r="AL18" i="13" s="1"/>
  <c r="AM18" i="13" s="1"/>
  <c r="AN18" i="13" s="1"/>
  <c r="AO18" i="13" s="1"/>
  <c r="AP18" i="13" s="1"/>
  <c r="AQ18" i="13" s="1"/>
  <c r="AR18" i="13" s="1"/>
  <c r="AS18" i="13" s="1"/>
  <c r="AT18" i="13" s="1"/>
  <c r="AU18" i="13" s="1"/>
  <c r="AV18" i="13" s="1"/>
  <c r="AW18" i="13" s="1"/>
  <c r="AX18" i="13" s="1"/>
  <c r="AY18" i="13" s="1"/>
  <c r="AZ18" i="13" s="1"/>
  <c r="BA18" i="13" s="1"/>
  <c r="BB18" i="13" s="1"/>
  <c r="BC18" i="13" s="1"/>
  <c r="BD18" i="13" s="1"/>
  <c r="BE18" i="13" s="1"/>
  <c r="BF18" i="13" s="1"/>
  <c r="BG18" i="13" s="1"/>
  <c r="BH18" i="13" s="1"/>
  <c r="BI18" i="13" s="1"/>
  <c r="BJ18" i="13" s="1"/>
  <c r="BK18" i="13" s="1"/>
  <c r="BL18" i="13" s="1"/>
  <c r="BM18" i="13" s="1"/>
  <c r="BN18" i="13" s="1"/>
  <c r="BO18" i="13" s="1"/>
  <c r="BP18" i="13" s="1"/>
  <c r="BQ18" i="13" s="1"/>
  <c r="BR18" i="13" s="1"/>
  <c r="BS18" i="13" s="1"/>
  <c r="BT18" i="13" s="1"/>
  <c r="BU18" i="13" s="1"/>
  <c r="BV18" i="13" s="1"/>
  <c r="BW18" i="13" s="1"/>
  <c r="BX18" i="13" s="1"/>
  <c r="BY18" i="13" s="1"/>
  <c r="BZ18" i="13" s="1"/>
  <c r="CA18" i="13" s="1"/>
  <c r="CB18" i="13" s="1"/>
  <c r="CC18" i="13" s="1"/>
  <c r="CD18" i="13" s="1"/>
  <c r="CE18" i="13" s="1"/>
  <c r="CF18" i="13" s="1"/>
  <c r="CG18" i="13" s="1"/>
  <c r="CH18" i="13" s="1"/>
  <c r="CI18" i="13" s="1"/>
  <c r="CJ18" i="13" s="1"/>
  <c r="CK18" i="13" s="1"/>
  <c r="CL18" i="13" s="1"/>
  <c r="CM18" i="13" s="1"/>
  <c r="CN18" i="13" s="1"/>
  <c r="CO18" i="13" s="1"/>
  <c r="D17" i="13"/>
  <c r="E17" i="13" s="1"/>
  <c r="F17" i="13" s="1"/>
  <c r="G17" i="13" s="1"/>
  <c r="H17" i="13" s="1"/>
  <c r="I17" i="13" s="1"/>
  <c r="J17" i="13" s="1"/>
  <c r="K17" i="13" s="1"/>
  <c r="L17" i="13" s="1"/>
  <c r="M17" i="13" s="1"/>
  <c r="N17" i="13" s="1"/>
  <c r="O17" i="13" s="1"/>
  <c r="P17" i="13" s="1"/>
  <c r="Q17" i="13" s="1"/>
  <c r="R17" i="13" s="1"/>
  <c r="S17" i="13" s="1"/>
  <c r="T17" i="13" s="1"/>
  <c r="U17" i="13" s="1"/>
  <c r="V17" i="13" s="1"/>
  <c r="W17" i="13" s="1"/>
  <c r="X17" i="13" s="1"/>
  <c r="Y17" i="13" s="1"/>
  <c r="Z17" i="13" s="1"/>
  <c r="AA17" i="13" s="1"/>
  <c r="AB17" i="13" s="1"/>
  <c r="AC17" i="13" s="1"/>
  <c r="AD17" i="13" s="1"/>
  <c r="AE17" i="13" s="1"/>
  <c r="AF17" i="13" s="1"/>
  <c r="AG17" i="13" s="1"/>
  <c r="AH17" i="13" s="1"/>
  <c r="AI17" i="13" s="1"/>
  <c r="AJ17" i="13" s="1"/>
  <c r="AK17" i="13" s="1"/>
  <c r="AL17" i="13" s="1"/>
  <c r="AM17" i="13" s="1"/>
  <c r="AN17" i="13" s="1"/>
  <c r="AO17" i="13" s="1"/>
  <c r="AP17" i="13" s="1"/>
  <c r="AQ17" i="13" s="1"/>
  <c r="AR17" i="13" s="1"/>
  <c r="AS17" i="13" s="1"/>
  <c r="AT17" i="13" s="1"/>
  <c r="AU17" i="13" s="1"/>
  <c r="AV17" i="13" s="1"/>
  <c r="AW17" i="13" s="1"/>
  <c r="AX17" i="13" s="1"/>
  <c r="AY17" i="13" s="1"/>
  <c r="AZ17" i="13" s="1"/>
  <c r="BA17" i="13" s="1"/>
  <c r="BB17" i="13" s="1"/>
  <c r="BC17" i="13" s="1"/>
  <c r="BD17" i="13" s="1"/>
  <c r="BE17" i="13" s="1"/>
  <c r="BF17" i="13" s="1"/>
  <c r="BG17" i="13" s="1"/>
  <c r="BH17" i="13" s="1"/>
  <c r="BI17" i="13" s="1"/>
  <c r="BJ17" i="13" s="1"/>
  <c r="BK17" i="13" s="1"/>
  <c r="BL17" i="13" s="1"/>
  <c r="BM17" i="13" s="1"/>
  <c r="BN17" i="13" s="1"/>
  <c r="BO17" i="13" s="1"/>
  <c r="BP17" i="13" s="1"/>
  <c r="BQ17" i="13" s="1"/>
  <c r="BR17" i="13" s="1"/>
  <c r="BS17" i="13" s="1"/>
  <c r="BT17" i="13" s="1"/>
  <c r="BU17" i="13" s="1"/>
  <c r="BV17" i="13" s="1"/>
  <c r="BW17" i="13" s="1"/>
  <c r="BX17" i="13" s="1"/>
  <c r="BY17" i="13" s="1"/>
  <c r="BZ17" i="13" s="1"/>
  <c r="CA17" i="13" s="1"/>
  <c r="CB17" i="13" s="1"/>
  <c r="CC17" i="13" s="1"/>
  <c r="CD17" i="13" s="1"/>
  <c r="CE17" i="13" s="1"/>
  <c r="CF17" i="13" s="1"/>
  <c r="CG17" i="13" s="1"/>
  <c r="CH17" i="13" s="1"/>
  <c r="CI17" i="13" s="1"/>
  <c r="CJ17" i="13" s="1"/>
  <c r="CK17" i="13" s="1"/>
  <c r="CL17" i="13" s="1"/>
  <c r="CM17" i="13" s="1"/>
  <c r="CN17" i="13" s="1"/>
  <c r="CO17" i="13" s="1"/>
  <c r="D16" i="13"/>
  <c r="E16" i="13" s="1"/>
  <c r="F16" i="13" s="1"/>
  <c r="G16" i="13" s="1"/>
  <c r="H16" i="13" s="1"/>
  <c r="I16" i="13" s="1"/>
  <c r="J16" i="13" s="1"/>
  <c r="K16" i="13" s="1"/>
  <c r="L16" i="13" s="1"/>
  <c r="M16" i="13" s="1"/>
  <c r="N16" i="13" s="1"/>
  <c r="O16" i="13" s="1"/>
  <c r="P16" i="13" s="1"/>
  <c r="Q16" i="13" s="1"/>
  <c r="R16" i="13" s="1"/>
  <c r="S16" i="13" s="1"/>
  <c r="T16" i="13" s="1"/>
  <c r="U16" i="13" s="1"/>
  <c r="V16" i="13" s="1"/>
  <c r="W16" i="13" s="1"/>
  <c r="X16" i="13" s="1"/>
  <c r="Y16" i="13" s="1"/>
  <c r="Z16" i="13" s="1"/>
  <c r="AA16" i="13" s="1"/>
  <c r="AB16" i="13" s="1"/>
  <c r="AC16" i="13" s="1"/>
  <c r="AD16" i="13" s="1"/>
  <c r="AE16" i="13" s="1"/>
  <c r="AF16" i="13" s="1"/>
  <c r="AG16" i="13" s="1"/>
  <c r="AH16" i="13" s="1"/>
  <c r="AI16" i="13" s="1"/>
  <c r="AJ16" i="13" s="1"/>
  <c r="AK16" i="13" s="1"/>
  <c r="AL16" i="13" s="1"/>
  <c r="AM16" i="13" s="1"/>
  <c r="AN16" i="13" s="1"/>
  <c r="AO16" i="13" s="1"/>
  <c r="AP16" i="13" s="1"/>
  <c r="AQ16" i="13" s="1"/>
  <c r="AR16" i="13" s="1"/>
  <c r="AS16" i="13" s="1"/>
  <c r="AT16" i="13" s="1"/>
  <c r="AU16" i="13" s="1"/>
  <c r="AV16" i="13" s="1"/>
  <c r="AW16" i="13" s="1"/>
  <c r="AX16" i="13" s="1"/>
  <c r="AY16" i="13" s="1"/>
  <c r="AZ16" i="13" s="1"/>
  <c r="BA16" i="13" s="1"/>
  <c r="BB16" i="13" s="1"/>
  <c r="BC16" i="13" s="1"/>
  <c r="BD16" i="13" s="1"/>
  <c r="BE16" i="13" s="1"/>
  <c r="BF16" i="13" s="1"/>
  <c r="BG16" i="13" s="1"/>
  <c r="BH16" i="13" s="1"/>
  <c r="BI16" i="13" s="1"/>
  <c r="BJ16" i="13" s="1"/>
  <c r="BK16" i="13" s="1"/>
  <c r="BL16" i="13" s="1"/>
  <c r="BM16" i="13" s="1"/>
  <c r="BN16" i="13" s="1"/>
  <c r="BO16" i="13" s="1"/>
  <c r="BP16" i="13" s="1"/>
  <c r="BQ16" i="13" s="1"/>
  <c r="BR16" i="13" s="1"/>
  <c r="BS16" i="13" s="1"/>
  <c r="BT16" i="13" s="1"/>
  <c r="BU16" i="13" s="1"/>
  <c r="BV16" i="13" s="1"/>
  <c r="BW16" i="13" s="1"/>
  <c r="BX16" i="13" s="1"/>
  <c r="BY16" i="13" s="1"/>
  <c r="BZ16" i="13" s="1"/>
  <c r="CA16" i="13" s="1"/>
  <c r="CB16" i="13" s="1"/>
  <c r="CC16" i="13" s="1"/>
  <c r="CD16" i="13" s="1"/>
  <c r="CE16" i="13" s="1"/>
  <c r="CF16" i="13" s="1"/>
  <c r="CG16" i="13" s="1"/>
  <c r="CH16" i="13" s="1"/>
  <c r="CI16" i="13" s="1"/>
  <c r="CJ16" i="13" s="1"/>
  <c r="CK16" i="13" s="1"/>
  <c r="CL16" i="13" s="1"/>
  <c r="CM16" i="13" s="1"/>
  <c r="CN16" i="13" s="1"/>
  <c r="CO16" i="13" s="1"/>
  <c r="D15" i="13"/>
  <c r="D14" i="13"/>
  <c r="E14" i="13" s="1"/>
  <c r="F14" i="13" s="1"/>
  <c r="G14" i="13" s="1"/>
  <c r="H14" i="13" s="1"/>
  <c r="I14" i="13" s="1"/>
  <c r="J14" i="13" s="1"/>
  <c r="K14" i="13" s="1"/>
  <c r="L14" i="13" s="1"/>
  <c r="M14" i="13" s="1"/>
  <c r="N14" i="13" s="1"/>
  <c r="O14" i="13" s="1"/>
  <c r="P14" i="13" s="1"/>
  <c r="Q14" i="13" s="1"/>
  <c r="R14" i="13" s="1"/>
  <c r="S14" i="13" s="1"/>
  <c r="T14" i="13" s="1"/>
  <c r="U14" i="13" s="1"/>
  <c r="V14" i="13" s="1"/>
  <c r="W14" i="13" s="1"/>
  <c r="X14" i="13" s="1"/>
  <c r="Y14" i="13" s="1"/>
  <c r="Z14" i="13" s="1"/>
  <c r="AA14" i="13" s="1"/>
  <c r="AB14" i="13" s="1"/>
  <c r="AC14" i="13" s="1"/>
  <c r="AD14" i="13" s="1"/>
  <c r="AE14" i="13" s="1"/>
  <c r="AF14" i="13" s="1"/>
  <c r="AG14" i="13" s="1"/>
  <c r="AH14" i="13" s="1"/>
  <c r="AI14" i="13" s="1"/>
  <c r="AJ14" i="13" s="1"/>
  <c r="AK14" i="13" s="1"/>
  <c r="AL14" i="13" s="1"/>
  <c r="AM14" i="13" s="1"/>
  <c r="AN14" i="13" s="1"/>
  <c r="AO14" i="13" s="1"/>
  <c r="AP14" i="13" s="1"/>
  <c r="AQ14" i="13" s="1"/>
  <c r="AR14" i="13" s="1"/>
  <c r="AS14" i="13" s="1"/>
  <c r="AT14" i="13" s="1"/>
  <c r="AU14" i="13" s="1"/>
  <c r="AV14" i="13" s="1"/>
  <c r="AW14" i="13" s="1"/>
  <c r="AX14" i="13" s="1"/>
  <c r="AY14" i="13" s="1"/>
  <c r="AZ14" i="13" s="1"/>
  <c r="BA14" i="13" s="1"/>
  <c r="BB14" i="13" s="1"/>
  <c r="BC14" i="13" s="1"/>
  <c r="BD14" i="13" s="1"/>
  <c r="BE14" i="13" s="1"/>
  <c r="BF14" i="13" s="1"/>
  <c r="BG14" i="13" s="1"/>
  <c r="BH14" i="13" s="1"/>
  <c r="BI14" i="13" s="1"/>
  <c r="BJ14" i="13" s="1"/>
  <c r="BK14" i="13" s="1"/>
  <c r="BL14" i="13" s="1"/>
  <c r="BM14" i="13" s="1"/>
  <c r="BN14" i="13" s="1"/>
  <c r="BO14" i="13" s="1"/>
  <c r="BP14" i="13" s="1"/>
  <c r="BQ14" i="13" s="1"/>
  <c r="BR14" i="13" s="1"/>
  <c r="BS14" i="13" s="1"/>
  <c r="BT14" i="13" s="1"/>
  <c r="BU14" i="13" s="1"/>
  <c r="BV14" i="13" s="1"/>
  <c r="BW14" i="13" s="1"/>
  <c r="BX14" i="13" s="1"/>
  <c r="BY14" i="13" s="1"/>
  <c r="BZ14" i="13" s="1"/>
  <c r="CA14" i="13" s="1"/>
  <c r="CB14" i="13" s="1"/>
  <c r="CC14" i="13" s="1"/>
  <c r="CD14" i="13" s="1"/>
  <c r="CE14" i="13" s="1"/>
  <c r="CF14" i="13" s="1"/>
  <c r="CG14" i="13" s="1"/>
  <c r="CH14" i="13" s="1"/>
  <c r="CI14" i="13" s="1"/>
  <c r="CJ14" i="13" s="1"/>
  <c r="CK14" i="13" s="1"/>
  <c r="CL14" i="13" s="1"/>
  <c r="CM14" i="13" s="1"/>
  <c r="CN14" i="13" s="1"/>
  <c r="CO14" i="13" s="1"/>
  <c r="D13" i="13"/>
  <c r="D12" i="13"/>
  <c r="E12" i="13" s="1"/>
  <c r="D11" i="13"/>
  <c r="D10" i="13"/>
  <c r="E10" i="13" s="1"/>
  <c r="F10" i="13" s="1"/>
  <c r="G10" i="13" s="1"/>
  <c r="H10" i="13" s="1"/>
  <c r="I10" i="13" s="1"/>
  <c r="J10" i="13" s="1"/>
  <c r="D9" i="13"/>
  <c r="E9" i="13" s="1"/>
  <c r="F9" i="13" s="1"/>
  <c r="G9" i="13" s="1"/>
  <c r="H9" i="13" s="1"/>
  <c r="I9" i="13" s="1"/>
  <c r="J9" i="13" s="1"/>
  <c r="K9" i="13" s="1"/>
  <c r="L9" i="13" s="1"/>
  <c r="M9" i="13" s="1"/>
  <c r="N9" i="13" s="1"/>
  <c r="O9" i="13" s="1"/>
  <c r="P9" i="13" s="1"/>
  <c r="Q9" i="13" s="1"/>
  <c r="R9" i="13" s="1"/>
  <c r="S9" i="13" s="1"/>
  <c r="T9" i="13" s="1"/>
  <c r="U9" i="13" s="1"/>
  <c r="V9" i="13" s="1"/>
  <c r="W9" i="13" s="1"/>
  <c r="X9" i="13" s="1"/>
  <c r="Y9" i="13" s="1"/>
  <c r="Z9" i="13" s="1"/>
  <c r="AA9" i="13" s="1"/>
  <c r="AB9" i="13" s="1"/>
  <c r="AC9" i="13" s="1"/>
  <c r="AD9" i="13" s="1"/>
  <c r="AE9" i="13" s="1"/>
  <c r="AF9" i="13" s="1"/>
  <c r="AG9" i="13" s="1"/>
  <c r="AH9" i="13" s="1"/>
  <c r="AI9" i="13" s="1"/>
  <c r="AJ9" i="13" s="1"/>
  <c r="AK9" i="13" s="1"/>
  <c r="AL9" i="13" s="1"/>
  <c r="AM9" i="13" s="1"/>
  <c r="AN9" i="13" s="1"/>
  <c r="AO9" i="13" s="1"/>
  <c r="AP9" i="13" s="1"/>
  <c r="AQ9" i="13" s="1"/>
  <c r="AR9" i="13" s="1"/>
  <c r="AS9" i="13" s="1"/>
  <c r="AT9" i="13" s="1"/>
  <c r="AU9" i="13" s="1"/>
  <c r="AV9" i="13" s="1"/>
  <c r="AW9" i="13" s="1"/>
  <c r="AX9" i="13" s="1"/>
  <c r="AY9" i="13" s="1"/>
  <c r="AZ9" i="13" s="1"/>
  <c r="BA9" i="13" s="1"/>
  <c r="BB9" i="13" s="1"/>
  <c r="BC9" i="13" s="1"/>
  <c r="BD9" i="13" s="1"/>
  <c r="BE9" i="13" s="1"/>
  <c r="BF9" i="13" s="1"/>
  <c r="BG9" i="13" s="1"/>
  <c r="BH9" i="13" s="1"/>
  <c r="BI9" i="13" s="1"/>
  <c r="BJ9" i="13" s="1"/>
  <c r="BK9" i="13" s="1"/>
  <c r="BL9" i="13" s="1"/>
  <c r="BM9" i="13" s="1"/>
  <c r="BN9" i="13" s="1"/>
  <c r="BO9" i="13" s="1"/>
  <c r="BP9" i="13" s="1"/>
  <c r="BQ9" i="13" s="1"/>
  <c r="BR9" i="13" s="1"/>
  <c r="BS9" i="13" s="1"/>
  <c r="BT9" i="13" s="1"/>
  <c r="BU9" i="13" s="1"/>
  <c r="BV9" i="13" s="1"/>
  <c r="BW9" i="13" s="1"/>
  <c r="BX9" i="13" s="1"/>
  <c r="BY9" i="13" s="1"/>
  <c r="BZ9" i="13" s="1"/>
  <c r="CA9" i="13" s="1"/>
  <c r="CB9" i="13" s="1"/>
  <c r="CC9" i="13" s="1"/>
  <c r="CD9" i="13" s="1"/>
  <c r="CE9" i="13" s="1"/>
  <c r="CF9" i="13" s="1"/>
  <c r="CG9" i="13" s="1"/>
  <c r="CH9" i="13" s="1"/>
  <c r="CI9" i="13" s="1"/>
  <c r="CJ9" i="13" s="1"/>
  <c r="CK9" i="13" s="1"/>
  <c r="CL9" i="13" s="1"/>
  <c r="CM9" i="13" s="1"/>
  <c r="CN9" i="13" s="1"/>
  <c r="CO9" i="13" s="1"/>
  <c r="D8" i="13"/>
  <c r="E8" i="13" s="1"/>
  <c r="D7" i="13"/>
  <c r="E7" i="13" s="1"/>
  <c r="D6" i="13"/>
  <c r="E6" i="13" s="1"/>
  <c r="F6" i="13" s="1"/>
  <c r="G6" i="13" s="1"/>
  <c r="H6" i="13" s="1"/>
  <c r="I6" i="13" s="1"/>
  <c r="J6" i="13" s="1"/>
  <c r="K6" i="13" s="1"/>
  <c r="L6" i="13" s="1"/>
  <c r="M6" i="13" s="1"/>
  <c r="N6" i="13" s="1"/>
  <c r="O6" i="13" s="1"/>
  <c r="P6" i="13" s="1"/>
  <c r="Q6" i="13" s="1"/>
  <c r="R6" i="13" s="1"/>
  <c r="S6" i="13" s="1"/>
  <c r="T6" i="13" s="1"/>
  <c r="U6" i="13" s="1"/>
  <c r="V6" i="13" s="1"/>
  <c r="W6" i="13" s="1"/>
  <c r="X6" i="13" s="1"/>
  <c r="Y6" i="13" s="1"/>
  <c r="Z6" i="13" s="1"/>
  <c r="AA6" i="13" s="1"/>
  <c r="AB6" i="13" s="1"/>
  <c r="AC6" i="13" s="1"/>
  <c r="AD6" i="13" s="1"/>
  <c r="AE6" i="13" s="1"/>
  <c r="AF6" i="13" s="1"/>
  <c r="AG6" i="13" s="1"/>
  <c r="AH6" i="13" s="1"/>
  <c r="AI6" i="13" s="1"/>
  <c r="AJ6" i="13" s="1"/>
  <c r="AK6" i="13" s="1"/>
  <c r="AL6" i="13" s="1"/>
  <c r="AM6" i="13" s="1"/>
  <c r="AN6" i="13" s="1"/>
  <c r="AO6" i="13" s="1"/>
  <c r="AP6" i="13" s="1"/>
  <c r="AQ6" i="13" s="1"/>
  <c r="AR6" i="13" s="1"/>
  <c r="AS6" i="13" s="1"/>
  <c r="AT6" i="13" s="1"/>
  <c r="AU6" i="13" s="1"/>
  <c r="AV6" i="13" s="1"/>
  <c r="AW6" i="13" s="1"/>
  <c r="AX6" i="13" s="1"/>
  <c r="AY6" i="13" s="1"/>
  <c r="AZ6" i="13" s="1"/>
  <c r="BA6" i="13" s="1"/>
  <c r="BB6" i="13" s="1"/>
  <c r="BC6" i="13" s="1"/>
  <c r="BD6" i="13" s="1"/>
  <c r="BE6" i="13" s="1"/>
  <c r="BF6" i="13" s="1"/>
  <c r="BG6" i="13" s="1"/>
  <c r="BH6" i="13" s="1"/>
  <c r="BI6" i="13" s="1"/>
  <c r="BJ6" i="13" s="1"/>
  <c r="BK6" i="13" s="1"/>
  <c r="BL6" i="13" s="1"/>
  <c r="BM6" i="13" s="1"/>
  <c r="BN6" i="13" s="1"/>
  <c r="BO6" i="13" s="1"/>
  <c r="BP6" i="13" s="1"/>
  <c r="BQ6" i="13" s="1"/>
  <c r="BR6" i="13" s="1"/>
  <c r="BS6" i="13" s="1"/>
  <c r="BT6" i="13" s="1"/>
  <c r="BU6" i="13" s="1"/>
  <c r="BV6" i="13" s="1"/>
  <c r="BW6" i="13" s="1"/>
  <c r="BX6" i="13" s="1"/>
  <c r="BY6" i="13" s="1"/>
  <c r="BZ6" i="13" s="1"/>
  <c r="CA6" i="13" s="1"/>
  <c r="CB6" i="13" s="1"/>
  <c r="CC6" i="13" s="1"/>
  <c r="CD6" i="13" s="1"/>
  <c r="CE6" i="13" s="1"/>
  <c r="CF6" i="13" s="1"/>
  <c r="CG6" i="13" s="1"/>
  <c r="CH6" i="13" s="1"/>
  <c r="CI6" i="13" s="1"/>
  <c r="CJ6" i="13" s="1"/>
  <c r="CK6" i="13" s="1"/>
  <c r="CL6" i="13" s="1"/>
  <c r="CM6" i="13" s="1"/>
  <c r="CN6" i="13" s="1"/>
  <c r="CO6" i="13" s="1"/>
  <c r="D5" i="13"/>
  <c r="E5" i="13" s="1"/>
  <c r="F5" i="13" s="1"/>
  <c r="G5" i="13" s="1"/>
  <c r="H5" i="13" s="1"/>
  <c r="I5" i="13" s="1"/>
  <c r="J5" i="13" s="1"/>
  <c r="K5" i="13" s="1"/>
  <c r="L5" i="13" s="1"/>
  <c r="D4" i="13"/>
  <c r="E4" i="13" s="1"/>
  <c r="F4" i="13" s="1"/>
  <c r="G4" i="13" s="1"/>
  <c r="H4" i="13" s="1"/>
  <c r="I4" i="13" s="1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AC4" i="13" s="1"/>
  <c r="AD4" i="13" s="1"/>
  <c r="AE4" i="13" s="1"/>
  <c r="AF4" i="13" s="1"/>
  <c r="AG4" i="13" s="1"/>
  <c r="AH4" i="13" s="1"/>
  <c r="AI4" i="13" s="1"/>
  <c r="AJ4" i="13" s="1"/>
  <c r="AK4" i="13" s="1"/>
  <c r="AL4" i="13" s="1"/>
  <c r="AM4" i="13" s="1"/>
  <c r="AN4" i="13" s="1"/>
  <c r="AO4" i="13" s="1"/>
  <c r="AP4" i="13" s="1"/>
  <c r="AQ4" i="13" s="1"/>
  <c r="AR4" i="13" s="1"/>
  <c r="AS4" i="13" s="1"/>
  <c r="AT4" i="13" s="1"/>
  <c r="AU4" i="13" s="1"/>
  <c r="AV4" i="13" s="1"/>
  <c r="AW4" i="13" s="1"/>
  <c r="AX4" i="13" s="1"/>
  <c r="AY4" i="13" s="1"/>
  <c r="AZ4" i="13" s="1"/>
  <c r="BA4" i="13" s="1"/>
  <c r="BB4" i="13" s="1"/>
  <c r="BC4" i="13" s="1"/>
  <c r="BD4" i="13" s="1"/>
  <c r="BE4" i="13" s="1"/>
  <c r="BF4" i="13" s="1"/>
  <c r="BG4" i="13" s="1"/>
  <c r="BH4" i="13" s="1"/>
  <c r="BI4" i="13" s="1"/>
  <c r="BJ4" i="13" s="1"/>
  <c r="BK4" i="13" s="1"/>
  <c r="BL4" i="13" s="1"/>
  <c r="BM4" i="13" s="1"/>
  <c r="BN4" i="13" s="1"/>
  <c r="BO4" i="13" s="1"/>
  <c r="BP4" i="13" s="1"/>
  <c r="BQ4" i="13" s="1"/>
  <c r="BR4" i="13" s="1"/>
  <c r="BS4" i="13" s="1"/>
  <c r="BT4" i="13" s="1"/>
  <c r="BU4" i="13" s="1"/>
  <c r="BV4" i="13" s="1"/>
  <c r="BW4" i="13" s="1"/>
  <c r="BX4" i="13" s="1"/>
  <c r="BY4" i="13" s="1"/>
  <c r="BZ4" i="13" s="1"/>
  <c r="CA4" i="13" s="1"/>
  <c r="CB4" i="13" s="1"/>
  <c r="CC4" i="13" s="1"/>
  <c r="CD4" i="13" s="1"/>
  <c r="CE4" i="13" s="1"/>
  <c r="CF4" i="13" s="1"/>
  <c r="CG4" i="13" s="1"/>
  <c r="CH4" i="13" s="1"/>
  <c r="CI4" i="13" s="1"/>
  <c r="CJ4" i="13" s="1"/>
  <c r="CK4" i="13" s="1"/>
  <c r="CL4" i="13" s="1"/>
  <c r="CM4" i="13" s="1"/>
  <c r="CN4" i="13" s="1"/>
  <c r="CO4" i="13" s="1"/>
  <c r="D3" i="13"/>
  <c r="E3" i="13" s="1"/>
  <c r="F3" i="13" s="1"/>
  <c r="G3" i="13" s="1"/>
  <c r="H3" i="13" s="1"/>
  <c r="I3" i="13" s="1"/>
  <c r="J3" i="13" s="1"/>
  <c r="K3" i="13" s="1"/>
  <c r="L3" i="13" s="1"/>
  <c r="M3" i="13" s="1"/>
  <c r="N3" i="13" s="1"/>
  <c r="O3" i="13" s="1"/>
  <c r="P3" i="13" s="1"/>
  <c r="Q3" i="13" s="1"/>
  <c r="R3" i="13" s="1"/>
  <c r="S3" i="13" s="1"/>
  <c r="T3" i="13" s="1"/>
  <c r="U3" i="13" s="1"/>
  <c r="V3" i="13" s="1"/>
  <c r="W3" i="13" s="1"/>
  <c r="X3" i="13" s="1"/>
  <c r="Y3" i="13" s="1"/>
  <c r="Z3" i="13" s="1"/>
  <c r="AA3" i="13" s="1"/>
  <c r="AB3" i="13" s="1"/>
  <c r="AC3" i="13" s="1"/>
  <c r="AD3" i="13" s="1"/>
  <c r="AE3" i="13" s="1"/>
  <c r="AF3" i="13" s="1"/>
  <c r="AG3" i="13" s="1"/>
  <c r="AH3" i="13" s="1"/>
  <c r="AI3" i="13" s="1"/>
  <c r="AJ3" i="13" s="1"/>
  <c r="AK3" i="13" s="1"/>
  <c r="AL3" i="13" s="1"/>
  <c r="AM3" i="13" s="1"/>
  <c r="AN3" i="13" s="1"/>
  <c r="AO3" i="13" s="1"/>
  <c r="AP3" i="13" s="1"/>
  <c r="AQ3" i="13" s="1"/>
  <c r="AR3" i="13" s="1"/>
  <c r="AS3" i="13" s="1"/>
  <c r="AT3" i="13" s="1"/>
  <c r="AU3" i="13" s="1"/>
  <c r="AV3" i="13" s="1"/>
  <c r="AW3" i="13" s="1"/>
  <c r="AX3" i="13" s="1"/>
  <c r="AY3" i="13" s="1"/>
  <c r="AZ3" i="13" s="1"/>
  <c r="BA3" i="13" s="1"/>
  <c r="BB3" i="13" s="1"/>
  <c r="BC3" i="13" s="1"/>
  <c r="BD3" i="13" s="1"/>
  <c r="BE3" i="13" s="1"/>
  <c r="BF3" i="13" s="1"/>
  <c r="BG3" i="13" s="1"/>
  <c r="BH3" i="13" s="1"/>
  <c r="BI3" i="13" s="1"/>
  <c r="BJ3" i="13" s="1"/>
  <c r="BK3" i="13" s="1"/>
  <c r="BL3" i="13" s="1"/>
  <c r="BM3" i="13" s="1"/>
  <c r="BN3" i="13" s="1"/>
  <c r="BO3" i="13" s="1"/>
  <c r="BP3" i="13" s="1"/>
  <c r="BQ3" i="13" s="1"/>
  <c r="BR3" i="13" s="1"/>
  <c r="BS3" i="13" s="1"/>
  <c r="BT3" i="13" s="1"/>
  <c r="BU3" i="13" s="1"/>
  <c r="BV3" i="13" s="1"/>
  <c r="BW3" i="13" s="1"/>
  <c r="BX3" i="13" s="1"/>
  <c r="BY3" i="13" s="1"/>
  <c r="BZ3" i="13" s="1"/>
  <c r="CA3" i="13" s="1"/>
  <c r="CB3" i="13" s="1"/>
  <c r="CC3" i="13" s="1"/>
  <c r="CD3" i="13" s="1"/>
  <c r="CE3" i="13" s="1"/>
  <c r="CF3" i="13" s="1"/>
  <c r="CG3" i="13" s="1"/>
  <c r="CH3" i="13" s="1"/>
  <c r="CI3" i="13" s="1"/>
  <c r="CJ3" i="13" s="1"/>
  <c r="CK3" i="13" s="1"/>
  <c r="CL3" i="13" s="1"/>
  <c r="CM3" i="13" s="1"/>
  <c r="CN3" i="13" s="1"/>
  <c r="CO3" i="13" s="1"/>
  <c r="K1" i="13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AG1" i="13" s="1"/>
  <c r="AH1" i="13" s="1"/>
  <c r="AI1" i="13" s="1"/>
  <c r="AJ1" i="13" s="1"/>
  <c r="AK1" i="13" s="1"/>
  <c r="AL1" i="13" s="1"/>
  <c r="AM1" i="13" s="1"/>
  <c r="AN1" i="13" s="1"/>
  <c r="AO1" i="13" s="1"/>
  <c r="AP1" i="13" s="1"/>
  <c r="AQ1" i="13" s="1"/>
  <c r="AR1" i="13" s="1"/>
  <c r="AS1" i="13" s="1"/>
  <c r="AT1" i="13" s="1"/>
  <c r="AU1" i="13" s="1"/>
  <c r="AV1" i="13" s="1"/>
  <c r="AW1" i="13" s="1"/>
  <c r="AX1" i="13" s="1"/>
  <c r="AY1" i="13" s="1"/>
  <c r="AZ1" i="13" s="1"/>
  <c r="BA1" i="13" s="1"/>
  <c r="BB1" i="13" s="1"/>
  <c r="BC1" i="13" s="1"/>
  <c r="BD1" i="13" s="1"/>
  <c r="BE1" i="13" s="1"/>
  <c r="BF1" i="13" s="1"/>
  <c r="BG1" i="13" s="1"/>
  <c r="BH1" i="13" s="1"/>
  <c r="BI1" i="13" s="1"/>
  <c r="BJ1" i="13" s="1"/>
  <c r="BK1" i="13" s="1"/>
  <c r="BL1" i="13" s="1"/>
  <c r="BM1" i="13" s="1"/>
  <c r="BN1" i="13" s="1"/>
  <c r="BO1" i="13" s="1"/>
  <c r="BP1" i="13" s="1"/>
  <c r="BQ1" i="13" s="1"/>
  <c r="BR1" i="13" s="1"/>
  <c r="BS1" i="13" s="1"/>
  <c r="BT1" i="13" s="1"/>
  <c r="BU1" i="13" s="1"/>
  <c r="BV1" i="13" s="1"/>
  <c r="BW1" i="13" s="1"/>
  <c r="BX1" i="13" s="1"/>
  <c r="BY1" i="13" s="1"/>
  <c r="BZ1" i="13" s="1"/>
  <c r="CA1" i="13" s="1"/>
  <c r="CB1" i="13" s="1"/>
  <c r="CC1" i="13" s="1"/>
  <c r="CD1" i="13" s="1"/>
  <c r="CE1" i="13" s="1"/>
  <c r="CF1" i="13" s="1"/>
  <c r="CG1" i="13" s="1"/>
  <c r="CH1" i="13" s="1"/>
  <c r="CI1" i="13" s="1"/>
  <c r="CJ1" i="13" s="1"/>
  <c r="CK1" i="13" s="1"/>
  <c r="CL1" i="13" s="1"/>
  <c r="CM1" i="13" s="1"/>
  <c r="CN1" i="13" s="1"/>
  <c r="CO1" i="13" s="1"/>
  <c r="E1" i="13"/>
  <c r="F1" i="13" s="1"/>
  <c r="G1" i="13" s="1"/>
  <c r="H1" i="13" s="1"/>
  <c r="I1" i="13" s="1"/>
  <c r="J1" i="13" s="1"/>
  <c r="D1" i="13"/>
  <c r="C4" i="14" l="1"/>
  <c r="C2" i="14"/>
  <c r="D9" i="14"/>
  <c r="C3" i="14"/>
  <c r="D6" i="14" l="1"/>
  <c r="E9" i="14"/>
  <c r="E6" i="14" l="1"/>
  <c r="F9" i="14"/>
  <c r="E3" i="14"/>
  <c r="D4" i="14"/>
  <c r="D2" i="14"/>
  <c r="D3" i="14"/>
  <c r="F6" i="14" l="1"/>
  <c r="G9" i="14"/>
  <c r="F3" i="14"/>
  <c r="E4" i="14"/>
  <c r="E2" i="14"/>
  <c r="G6" i="14" l="1"/>
  <c r="H9" i="14"/>
  <c r="F2" i="14"/>
  <c r="F4" i="14"/>
  <c r="I9" i="14" l="1"/>
  <c r="H6" i="14"/>
  <c r="G3" i="14"/>
  <c r="G2" i="14"/>
  <c r="G4" i="14"/>
  <c r="H3" i="14" l="1"/>
  <c r="H4" i="14"/>
  <c r="H2" i="14"/>
  <c r="J9" i="14"/>
  <c r="I6" i="14"/>
  <c r="I4" i="14" l="1"/>
  <c r="I2" i="14"/>
  <c r="K9" i="14"/>
  <c r="J6" i="14"/>
  <c r="I3" i="14"/>
  <c r="J4" i="14" l="1"/>
  <c r="J2" i="14"/>
  <c r="L9" i="14"/>
  <c r="K6" i="14"/>
  <c r="J3" i="14"/>
  <c r="K4" i="14" l="1"/>
  <c r="K2" i="14"/>
  <c r="K3" i="14"/>
  <c r="M9" i="14"/>
  <c r="L6" i="14"/>
  <c r="L4" i="14" l="1"/>
  <c r="L2" i="14"/>
  <c r="N9" i="14"/>
  <c r="M6" i="14"/>
  <c r="L3" i="14"/>
  <c r="M2" i="14" l="1"/>
  <c r="M4" i="14"/>
  <c r="M3" i="14"/>
  <c r="O9" i="14"/>
  <c r="N6" i="14"/>
  <c r="P9" i="14" l="1"/>
  <c r="O6" i="14"/>
  <c r="O3" i="14"/>
  <c r="N3" i="14"/>
  <c r="N2" i="14"/>
  <c r="N4" i="14"/>
  <c r="O2" i="14" l="1"/>
  <c r="O4" i="14"/>
  <c r="Q9" i="14"/>
  <c r="P6" i="14"/>
  <c r="R9" i="14" l="1"/>
  <c r="Q6" i="14"/>
  <c r="Q3" i="14"/>
  <c r="P2" i="14"/>
  <c r="P4" i="14"/>
  <c r="P3" i="14"/>
  <c r="Q2" i="14" l="1"/>
  <c r="Q4" i="14"/>
  <c r="S9" i="14"/>
  <c r="R6" i="14"/>
  <c r="R3" i="14" s="1"/>
  <c r="R4" i="14" l="1"/>
  <c r="R2" i="14"/>
  <c r="T9" i="14"/>
  <c r="S6" i="14"/>
  <c r="S3" i="14" s="1"/>
  <c r="U9" i="14" l="1"/>
  <c r="T6" i="14"/>
  <c r="T3" i="14"/>
  <c r="S2" i="14"/>
  <c r="S4" i="14"/>
  <c r="T2" i="14" l="1"/>
  <c r="T4" i="14"/>
  <c r="V9" i="14"/>
  <c r="U6" i="14"/>
  <c r="U4" i="14" l="1"/>
  <c r="U2" i="14"/>
  <c r="W9" i="14"/>
  <c r="V6" i="14"/>
  <c r="V3" i="14" s="1"/>
  <c r="U3" i="14"/>
  <c r="V4" i="14" l="1"/>
  <c r="V2" i="14"/>
  <c r="X9" i="14"/>
  <c r="W6" i="14"/>
  <c r="W4" i="14" l="1"/>
  <c r="W2" i="14"/>
  <c r="W3" i="14"/>
  <c r="Y9" i="14"/>
  <c r="X6" i="14"/>
  <c r="X3" i="14" s="1"/>
  <c r="Z9" i="14" l="1"/>
  <c r="Y6" i="14"/>
  <c r="X4" i="14"/>
  <c r="X2" i="14"/>
  <c r="Y4" i="14" l="1"/>
  <c r="Y2" i="14"/>
  <c r="Y3" i="14"/>
  <c r="AA9" i="14"/>
  <c r="Z6" i="14"/>
  <c r="Z3" i="14" s="1"/>
  <c r="Z4" i="14" l="1"/>
  <c r="Z2" i="14"/>
  <c r="AB9" i="14"/>
  <c r="AA6" i="14"/>
  <c r="AA3" i="14" s="1"/>
  <c r="AA2" i="14" l="1"/>
  <c r="AA4" i="14"/>
  <c r="AC9" i="14"/>
  <c r="AB6" i="14"/>
  <c r="AB3" i="14" s="1"/>
  <c r="AB4" i="14" l="1"/>
  <c r="AB2" i="14"/>
  <c r="AD9" i="14"/>
  <c r="AC6" i="14"/>
  <c r="AC4" i="14" l="1"/>
  <c r="AC2" i="14"/>
  <c r="AC3" i="14"/>
  <c r="AE9" i="14"/>
  <c r="AD6" i="14"/>
  <c r="AD3" i="14" s="1"/>
  <c r="CN6" i="12"/>
  <c r="CM6" i="12"/>
  <c r="CL6" i="12"/>
  <c r="CK6" i="12"/>
  <c r="CJ6" i="12"/>
  <c r="CI6" i="12"/>
  <c r="CH6" i="12"/>
  <c r="CG6" i="12"/>
  <c r="CG4" i="12" s="1"/>
  <c r="CF6" i="12"/>
  <c r="CF4" i="12" s="1"/>
  <c r="CE6" i="12"/>
  <c r="CE4" i="12" s="1"/>
  <c r="CD6" i="12"/>
  <c r="CD3" i="12" s="1"/>
  <c r="CC6" i="12"/>
  <c r="CB6" i="12"/>
  <c r="CB2" i="12" s="1"/>
  <c r="CA6" i="12"/>
  <c r="BZ6" i="12"/>
  <c r="BY6" i="12"/>
  <c r="BX6" i="12"/>
  <c r="BW6" i="12"/>
  <c r="BV6" i="12"/>
  <c r="BU6" i="12"/>
  <c r="BT6" i="12"/>
  <c r="BS6" i="12"/>
  <c r="BR6" i="12"/>
  <c r="BQ6" i="12"/>
  <c r="BQ4" i="12" s="1"/>
  <c r="BP6" i="12"/>
  <c r="BP4" i="12" s="1"/>
  <c r="BO6" i="12"/>
  <c r="BO4" i="12" s="1"/>
  <c r="BN6" i="12"/>
  <c r="BN3" i="12" s="1"/>
  <c r="BM6" i="12"/>
  <c r="BL6" i="12"/>
  <c r="BL2" i="12" s="1"/>
  <c r="BK6" i="12"/>
  <c r="BJ6" i="12"/>
  <c r="BI6" i="12"/>
  <c r="BH6" i="12"/>
  <c r="BG6" i="12"/>
  <c r="BF6" i="12"/>
  <c r="BE6" i="12"/>
  <c r="BD6" i="12"/>
  <c r="BC6" i="12"/>
  <c r="BB6" i="12"/>
  <c r="BA6" i="12"/>
  <c r="BA4" i="12" s="1"/>
  <c r="AZ6" i="12"/>
  <c r="AZ4" i="12" s="1"/>
  <c r="AY6" i="12"/>
  <c r="AY4" i="12" s="1"/>
  <c r="AX6" i="12"/>
  <c r="AX3" i="12" s="1"/>
  <c r="AW6" i="12"/>
  <c r="AV6" i="12"/>
  <c r="AV2" i="12" s="1"/>
  <c r="AU6" i="12"/>
  <c r="AT6" i="12"/>
  <c r="AS6" i="12"/>
  <c r="AR6" i="12"/>
  <c r="AQ6" i="12"/>
  <c r="AP6" i="12"/>
  <c r="AO6" i="12"/>
  <c r="AN6" i="12"/>
  <c r="AM6" i="12"/>
  <c r="AL6" i="12"/>
  <c r="AK6" i="12"/>
  <c r="AK4" i="12" s="1"/>
  <c r="AJ6" i="12"/>
  <c r="AJ4" i="12" s="1"/>
  <c r="AI6" i="12"/>
  <c r="AI4" i="12" s="1"/>
  <c r="AH6" i="12"/>
  <c r="AH3" i="12" s="1"/>
  <c r="AG6" i="12"/>
  <c r="AF6" i="12"/>
  <c r="AF2" i="12" s="1"/>
  <c r="AE6" i="12"/>
  <c r="AD6" i="12"/>
  <c r="AC6" i="12"/>
  <c r="AB6" i="12"/>
  <c r="AA6" i="12"/>
  <c r="Z6" i="12"/>
  <c r="Y6" i="12"/>
  <c r="X6" i="12"/>
  <c r="W6" i="12"/>
  <c r="V6" i="12"/>
  <c r="U6" i="12"/>
  <c r="U4" i="12" s="1"/>
  <c r="T6" i="12"/>
  <c r="T4" i="12" s="1"/>
  <c r="S6" i="12"/>
  <c r="S4" i="12" s="1"/>
  <c r="R6" i="12"/>
  <c r="R3" i="12" s="1"/>
  <c r="Q6" i="12"/>
  <c r="P6" i="12"/>
  <c r="P2" i="12" s="1"/>
  <c r="O6" i="12"/>
  <c r="N6" i="12"/>
  <c r="M6" i="12"/>
  <c r="L6" i="12"/>
  <c r="K6" i="12"/>
  <c r="J6" i="12"/>
  <c r="I6" i="12"/>
  <c r="H6" i="12"/>
  <c r="G6" i="12"/>
  <c r="F6" i="12"/>
  <c r="E6" i="12"/>
  <c r="E4" i="12" s="1"/>
  <c r="D6" i="12"/>
  <c r="D4" i="12" s="1"/>
  <c r="C6" i="12"/>
  <c r="C4" i="12" s="1"/>
  <c r="B6" i="12"/>
  <c r="B3" i="12" s="1"/>
  <c r="CN4" i="12"/>
  <c r="CM4" i="12"/>
  <c r="CL4" i="12"/>
  <c r="CK4" i="12"/>
  <c r="CJ4" i="12"/>
  <c r="CI4" i="12"/>
  <c r="CH4" i="12"/>
  <c r="CC4" i="12"/>
  <c r="CA4" i="12"/>
  <c r="BZ4" i="12"/>
  <c r="BY4" i="12"/>
  <c r="BX4" i="12"/>
  <c r="BW4" i="12"/>
  <c r="BV4" i="12"/>
  <c r="BU4" i="12"/>
  <c r="BT4" i="12"/>
  <c r="BS4" i="12"/>
  <c r="BR4" i="12"/>
  <c r="BM4" i="12"/>
  <c r="BK4" i="12"/>
  <c r="BJ4" i="12"/>
  <c r="BI4" i="12"/>
  <c r="BH4" i="12"/>
  <c r="BG4" i="12"/>
  <c r="BF4" i="12"/>
  <c r="BE4" i="12"/>
  <c r="BD4" i="12"/>
  <c r="BC4" i="12"/>
  <c r="BB4" i="12"/>
  <c r="AW4" i="12"/>
  <c r="AU4" i="12"/>
  <c r="AT4" i="12"/>
  <c r="AS4" i="12"/>
  <c r="AR4" i="12"/>
  <c r="AQ4" i="12"/>
  <c r="AP4" i="12"/>
  <c r="AO4" i="12"/>
  <c r="AN4" i="12"/>
  <c r="AM4" i="12"/>
  <c r="AL4" i="12"/>
  <c r="AG4" i="12"/>
  <c r="AE4" i="12"/>
  <c r="AD4" i="12"/>
  <c r="AC4" i="12"/>
  <c r="AB4" i="12"/>
  <c r="AA4" i="12"/>
  <c r="Z4" i="12"/>
  <c r="Y4" i="12"/>
  <c r="X4" i="12"/>
  <c r="W4" i="12"/>
  <c r="V4" i="12"/>
  <c r="Q4" i="12"/>
  <c r="O4" i="12"/>
  <c r="N4" i="12"/>
  <c r="M4" i="12"/>
  <c r="L4" i="12"/>
  <c r="K4" i="12"/>
  <c r="J4" i="12"/>
  <c r="I4" i="12"/>
  <c r="H4" i="12"/>
  <c r="G4" i="12"/>
  <c r="F4" i="12"/>
  <c r="CN3" i="12"/>
  <c r="CM3" i="12"/>
  <c r="CL3" i="12"/>
  <c r="CK3" i="12"/>
  <c r="CJ3" i="12"/>
  <c r="CI3" i="12"/>
  <c r="CH3" i="12"/>
  <c r="CG3" i="12"/>
  <c r="CF3" i="12"/>
  <c r="CE3" i="12"/>
  <c r="CC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M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W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G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Q3" i="12"/>
  <c r="O3" i="12"/>
  <c r="N3" i="12"/>
  <c r="M3" i="12"/>
  <c r="L3" i="12"/>
  <c r="K3" i="12"/>
  <c r="J3" i="12"/>
  <c r="I3" i="12"/>
  <c r="H3" i="12"/>
  <c r="G3" i="12"/>
  <c r="F3" i="12"/>
  <c r="E3" i="12"/>
  <c r="D3" i="12"/>
  <c r="C3" i="12"/>
  <c r="CN2" i="12"/>
  <c r="CM2" i="12"/>
  <c r="CL2" i="12"/>
  <c r="CK2" i="12"/>
  <c r="CJ2" i="12"/>
  <c r="CI2" i="12"/>
  <c r="CH2" i="12"/>
  <c r="CG2" i="12"/>
  <c r="CF2" i="12"/>
  <c r="CE2" i="12"/>
  <c r="CC2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M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W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G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Q2" i="12"/>
  <c r="O2" i="12"/>
  <c r="N2" i="12"/>
  <c r="M2" i="12"/>
  <c r="L2" i="12"/>
  <c r="K2" i="12"/>
  <c r="J2" i="12"/>
  <c r="I2" i="12"/>
  <c r="H2" i="12"/>
  <c r="G2" i="12"/>
  <c r="F2" i="12"/>
  <c r="E2" i="12"/>
  <c r="D2" i="12"/>
  <c r="C2" i="12"/>
  <c r="C1" i="12"/>
  <c r="D1" i="12" s="1"/>
  <c r="E1" i="12" s="1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AG1" i="12" s="1"/>
  <c r="AH1" i="12" s="1"/>
  <c r="AI1" i="12" s="1"/>
  <c r="AJ1" i="12" s="1"/>
  <c r="AK1" i="12" s="1"/>
  <c r="AL1" i="12" s="1"/>
  <c r="AM1" i="12" s="1"/>
  <c r="AN1" i="12" s="1"/>
  <c r="AO1" i="12" s="1"/>
  <c r="AP1" i="12" s="1"/>
  <c r="AQ1" i="12" s="1"/>
  <c r="AR1" i="12" s="1"/>
  <c r="AS1" i="12" s="1"/>
  <c r="AT1" i="12" s="1"/>
  <c r="AU1" i="12" s="1"/>
  <c r="AV1" i="12" s="1"/>
  <c r="AW1" i="12" s="1"/>
  <c r="AX1" i="12" s="1"/>
  <c r="AY1" i="12" s="1"/>
  <c r="AZ1" i="12" s="1"/>
  <c r="BA1" i="12" s="1"/>
  <c r="BB1" i="12" s="1"/>
  <c r="BC1" i="12" s="1"/>
  <c r="BD1" i="12" s="1"/>
  <c r="BE1" i="12" s="1"/>
  <c r="BF1" i="12" s="1"/>
  <c r="BG1" i="12" s="1"/>
  <c r="BH1" i="12" s="1"/>
  <c r="BI1" i="12" s="1"/>
  <c r="BJ1" i="12" s="1"/>
  <c r="BK1" i="12" s="1"/>
  <c r="BL1" i="12" s="1"/>
  <c r="BM1" i="12" s="1"/>
  <c r="BN1" i="12" s="1"/>
  <c r="BO1" i="12" s="1"/>
  <c r="BP1" i="12" s="1"/>
  <c r="BQ1" i="12" s="1"/>
  <c r="BR1" i="12" s="1"/>
  <c r="BS1" i="12" s="1"/>
  <c r="BT1" i="12" s="1"/>
  <c r="BU1" i="12" s="1"/>
  <c r="BV1" i="12" s="1"/>
  <c r="BW1" i="12" s="1"/>
  <c r="BX1" i="12" s="1"/>
  <c r="BY1" i="12" s="1"/>
  <c r="BZ1" i="12" s="1"/>
  <c r="CA1" i="12" s="1"/>
  <c r="CB1" i="12" s="1"/>
  <c r="CC1" i="12" s="1"/>
  <c r="CD1" i="12" s="1"/>
  <c r="CE1" i="12" s="1"/>
  <c r="CF1" i="12" s="1"/>
  <c r="CG1" i="12" s="1"/>
  <c r="CH1" i="12" s="1"/>
  <c r="CI1" i="12" s="1"/>
  <c r="CJ1" i="12" s="1"/>
  <c r="CK1" i="12" s="1"/>
  <c r="CL1" i="12" s="1"/>
  <c r="CM1" i="12" s="1"/>
  <c r="CN1" i="12" s="1"/>
  <c r="CN6" i="11"/>
  <c r="CM6" i="11"/>
  <c r="CM3" i="11" s="1"/>
  <c r="CL6" i="11"/>
  <c r="CL3" i="11" s="1"/>
  <c r="CK6" i="11"/>
  <c r="CK3" i="11" s="1"/>
  <c r="CJ6" i="11"/>
  <c r="CJ4" i="11" s="1"/>
  <c r="CI6" i="11"/>
  <c r="CI4" i="11" s="1"/>
  <c r="CH6" i="11"/>
  <c r="CH2" i="11" s="1"/>
  <c r="CG6" i="11"/>
  <c r="CG4" i="11" s="1"/>
  <c r="CF6" i="11"/>
  <c r="CF3" i="11" s="1"/>
  <c r="CE6" i="11"/>
  <c r="CE3" i="11" s="1"/>
  <c r="CD6" i="11"/>
  <c r="CD2" i="11" s="1"/>
  <c r="CC6" i="11"/>
  <c r="CC3" i="11" s="1"/>
  <c r="CB6" i="11"/>
  <c r="CB4" i="11" s="1"/>
  <c r="CA6" i="11"/>
  <c r="CA4" i="11" s="1"/>
  <c r="BZ6" i="11"/>
  <c r="BZ3" i="11" s="1"/>
  <c r="BY6" i="11"/>
  <c r="BY3" i="11" s="1"/>
  <c r="BX6" i="11"/>
  <c r="BW6" i="11"/>
  <c r="BW3" i="11" s="1"/>
  <c r="BV6" i="11"/>
  <c r="BV3" i="11" s="1"/>
  <c r="BU6" i="11"/>
  <c r="BU3" i="11" s="1"/>
  <c r="BT6" i="11"/>
  <c r="BT4" i="11" s="1"/>
  <c r="BS6" i="11"/>
  <c r="BS4" i="11" s="1"/>
  <c r="BR6" i="11"/>
  <c r="BR2" i="11" s="1"/>
  <c r="BQ6" i="11"/>
  <c r="BP6" i="11"/>
  <c r="BO6" i="11"/>
  <c r="BN6" i="11"/>
  <c r="BN2" i="11" s="1"/>
  <c r="BM6" i="11"/>
  <c r="BM4" i="11" s="1"/>
  <c r="BL6" i="11"/>
  <c r="BL4" i="11" s="1"/>
  <c r="BK6" i="11"/>
  <c r="BK4" i="11" s="1"/>
  <c r="BJ6" i="11"/>
  <c r="BJ4" i="11" s="1"/>
  <c r="BI6" i="11"/>
  <c r="BH6" i="11"/>
  <c r="BG6" i="11"/>
  <c r="BG3" i="11" s="1"/>
  <c r="BF6" i="11"/>
  <c r="BF3" i="11" s="1"/>
  <c r="BE6" i="11"/>
  <c r="BE3" i="11" s="1"/>
  <c r="BD6" i="11"/>
  <c r="BD4" i="11" s="1"/>
  <c r="BC6" i="11"/>
  <c r="BC4" i="11" s="1"/>
  <c r="BB6" i="11"/>
  <c r="BB2" i="11" s="1"/>
  <c r="BA6" i="11"/>
  <c r="AZ6" i="11"/>
  <c r="AZ4" i="11" s="1"/>
  <c r="AY6" i="11"/>
  <c r="AY3" i="11" s="1"/>
  <c r="AX6" i="11"/>
  <c r="AX2" i="11" s="1"/>
  <c r="AW6" i="11"/>
  <c r="AW2" i="11" s="1"/>
  <c r="AV6" i="11"/>
  <c r="AV4" i="11" s="1"/>
  <c r="AU6" i="11"/>
  <c r="AU4" i="11" s="1"/>
  <c r="AT6" i="11"/>
  <c r="AT4" i="11" s="1"/>
  <c r="AS6" i="11"/>
  <c r="AS4" i="11" s="1"/>
  <c r="AR6" i="11"/>
  <c r="AQ6" i="11"/>
  <c r="AQ3" i="11" s="1"/>
  <c r="AP6" i="11"/>
  <c r="AP3" i="11" s="1"/>
  <c r="AO6" i="11"/>
  <c r="AO3" i="11" s="1"/>
  <c r="AN6" i="11"/>
  <c r="AN4" i="11" s="1"/>
  <c r="AM6" i="11"/>
  <c r="AM4" i="11" s="1"/>
  <c r="AL6" i="11"/>
  <c r="AL2" i="11" s="1"/>
  <c r="AK6" i="11"/>
  <c r="AJ6" i="11"/>
  <c r="AJ4" i="11" s="1"/>
  <c r="AI6" i="11"/>
  <c r="AI3" i="11" s="1"/>
  <c r="AH6" i="11"/>
  <c r="AH2" i="11" s="1"/>
  <c r="AG6" i="11"/>
  <c r="AG4" i="11" s="1"/>
  <c r="AF6" i="11"/>
  <c r="AF4" i="11" s="1"/>
  <c r="AE6" i="11"/>
  <c r="AE4" i="11" s="1"/>
  <c r="AD6" i="11"/>
  <c r="AD4" i="11" s="1"/>
  <c r="AC6" i="11"/>
  <c r="AC2" i="11" s="1"/>
  <c r="AB6" i="11"/>
  <c r="AA6" i="11"/>
  <c r="AA3" i="11" s="1"/>
  <c r="Z6" i="11"/>
  <c r="Z3" i="11" s="1"/>
  <c r="Y6" i="11"/>
  <c r="Y3" i="11" s="1"/>
  <c r="X6" i="11"/>
  <c r="X4" i="11" s="1"/>
  <c r="W6" i="11"/>
  <c r="W4" i="11" s="1"/>
  <c r="M6" i="11"/>
  <c r="M4" i="11" s="1"/>
  <c r="L6" i="11"/>
  <c r="K6" i="11"/>
  <c r="K3" i="11" s="1"/>
  <c r="J6" i="11"/>
  <c r="J3" i="11" s="1"/>
  <c r="I6" i="11"/>
  <c r="I3" i="11" s="1"/>
  <c r="H6" i="11"/>
  <c r="H4" i="11" s="1"/>
  <c r="G6" i="11"/>
  <c r="G4" i="11" s="1"/>
  <c r="F6" i="11"/>
  <c r="F2" i="11" s="1"/>
  <c r="E6" i="11"/>
  <c r="E2" i="11" s="1"/>
  <c r="D6" i="11"/>
  <c r="D3" i="11" s="1"/>
  <c r="C6" i="11"/>
  <c r="B6" i="11"/>
  <c r="B2" i="11" s="1"/>
  <c r="CN4" i="11"/>
  <c r="CM4" i="11"/>
  <c r="BX4" i="11"/>
  <c r="BW4" i="11"/>
  <c r="BQ4" i="11"/>
  <c r="BP4" i="11"/>
  <c r="BO4" i="11"/>
  <c r="BI4" i="11"/>
  <c r="BH4" i="11"/>
  <c r="BG4" i="11"/>
  <c r="BA4" i="11"/>
  <c r="AR4" i="11"/>
  <c r="AQ4" i="11"/>
  <c r="AK4" i="11"/>
  <c r="AI4" i="11"/>
  <c r="AB4" i="11"/>
  <c r="AA4" i="11"/>
  <c r="L4" i="11"/>
  <c r="K4" i="11"/>
  <c r="C4" i="11"/>
  <c r="CN3" i="11"/>
  <c r="CJ3" i="11"/>
  <c r="CI3" i="11"/>
  <c r="CG3" i="11"/>
  <c r="BX3" i="11"/>
  <c r="BT3" i="11"/>
  <c r="BS3" i="11"/>
  <c r="BQ3" i="11"/>
  <c r="BP3" i="11"/>
  <c r="BO3" i="11"/>
  <c r="BM3" i="11"/>
  <c r="BJ3" i="11"/>
  <c r="BI3" i="11"/>
  <c r="BH3" i="11"/>
  <c r="BD3" i="11"/>
  <c r="BC3" i="11"/>
  <c r="BA3" i="11"/>
  <c r="AR3" i="11"/>
  <c r="AN3" i="11"/>
  <c r="AM3" i="11"/>
  <c r="AK3" i="11"/>
  <c r="AJ3" i="11"/>
  <c r="AG3" i="11"/>
  <c r="AB3" i="11"/>
  <c r="X3" i="11"/>
  <c r="W3" i="11"/>
  <c r="M3" i="11"/>
  <c r="L3" i="11"/>
  <c r="C3" i="11"/>
  <c r="CN2" i="11"/>
  <c r="CM2" i="11"/>
  <c r="CL2" i="11"/>
  <c r="CK2" i="11"/>
  <c r="CJ2" i="11"/>
  <c r="CI2" i="11"/>
  <c r="CG2" i="11"/>
  <c r="CF2" i="11"/>
  <c r="CE2" i="11"/>
  <c r="CC2" i="11"/>
  <c r="BZ2" i="11"/>
  <c r="BY2" i="11"/>
  <c r="BX2" i="11"/>
  <c r="BW2" i="11"/>
  <c r="BV2" i="11"/>
  <c r="BU2" i="11"/>
  <c r="BT2" i="11"/>
  <c r="BS2" i="11"/>
  <c r="BQ2" i="11"/>
  <c r="BP2" i="11"/>
  <c r="BO2" i="11"/>
  <c r="BM2" i="11"/>
  <c r="BI2" i="11"/>
  <c r="BH2" i="11"/>
  <c r="BG2" i="11"/>
  <c r="BF2" i="11"/>
  <c r="BE2" i="11"/>
  <c r="BD2" i="11"/>
  <c r="BC2" i="11"/>
  <c r="BA2" i="11"/>
  <c r="AZ2" i="11"/>
  <c r="AY2" i="11"/>
  <c r="AR2" i="11"/>
  <c r="AQ2" i="11"/>
  <c r="AP2" i="11"/>
  <c r="AO2" i="11"/>
  <c r="AN2" i="11"/>
  <c r="AM2" i="11"/>
  <c r="AK2" i="11"/>
  <c r="AJ2" i="11"/>
  <c r="AI2" i="11"/>
  <c r="AG2" i="11"/>
  <c r="AB2" i="11"/>
  <c r="AA2" i="11"/>
  <c r="Z2" i="11"/>
  <c r="Y2" i="11"/>
  <c r="X2" i="11"/>
  <c r="W2" i="11"/>
  <c r="M2" i="11"/>
  <c r="L2" i="11"/>
  <c r="K2" i="11"/>
  <c r="J2" i="11"/>
  <c r="I2" i="11"/>
  <c r="H2" i="11"/>
  <c r="D2" i="11"/>
  <c r="C2" i="11"/>
  <c r="C1" i="11"/>
  <c r="D1" i="11" s="1"/>
  <c r="E1" i="11" s="1"/>
  <c r="F1" i="11" s="1"/>
  <c r="G1" i="11" s="1"/>
  <c r="H1" i="11" s="1"/>
  <c r="I1" i="11" s="1"/>
  <c r="J1" i="11" s="1"/>
  <c r="K1" i="11" s="1"/>
  <c r="L1" i="11" s="1"/>
  <c r="M1" i="11" s="1"/>
  <c r="N1" i="11" s="1"/>
  <c r="O1" i="11" s="1"/>
  <c r="P1" i="11" s="1"/>
  <c r="Q1" i="11" s="1"/>
  <c r="R1" i="11" s="1"/>
  <c r="S1" i="11" s="1"/>
  <c r="T1" i="11" s="1"/>
  <c r="U1" i="11" s="1"/>
  <c r="V1" i="11" s="1"/>
  <c r="W1" i="11" s="1"/>
  <c r="X1" i="11" s="1"/>
  <c r="Y1" i="11" s="1"/>
  <c r="Z1" i="11" s="1"/>
  <c r="AA1" i="11" s="1"/>
  <c r="AB1" i="11" s="1"/>
  <c r="AC1" i="11" s="1"/>
  <c r="AD1" i="11" s="1"/>
  <c r="AE1" i="11" s="1"/>
  <c r="AF1" i="11" s="1"/>
  <c r="AG1" i="11" s="1"/>
  <c r="AH1" i="11" s="1"/>
  <c r="AI1" i="11" s="1"/>
  <c r="AJ1" i="11" s="1"/>
  <c r="AK1" i="11" s="1"/>
  <c r="AL1" i="11" s="1"/>
  <c r="AM1" i="11" s="1"/>
  <c r="AN1" i="11" s="1"/>
  <c r="AO1" i="11" s="1"/>
  <c r="AP1" i="11" s="1"/>
  <c r="AQ1" i="11" s="1"/>
  <c r="AR1" i="11" s="1"/>
  <c r="AS1" i="11" s="1"/>
  <c r="AT1" i="11" s="1"/>
  <c r="AU1" i="11" s="1"/>
  <c r="AV1" i="11" s="1"/>
  <c r="AW1" i="11" s="1"/>
  <c r="AX1" i="11" s="1"/>
  <c r="AY1" i="11" s="1"/>
  <c r="AZ1" i="11" s="1"/>
  <c r="BA1" i="11" s="1"/>
  <c r="BB1" i="11" s="1"/>
  <c r="BC1" i="11" s="1"/>
  <c r="BD1" i="11" s="1"/>
  <c r="BE1" i="11" s="1"/>
  <c r="BF1" i="11" s="1"/>
  <c r="BG1" i="11" s="1"/>
  <c r="BH1" i="11" s="1"/>
  <c r="BI1" i="11" s="1"/>
  <c r="BJ1" i="11" s="1"/>
  <c r="BK1" i="11" s="1"/>
  <c r="BL1" i="11" s="1"/>
  <c r="BM1" i="11" s="1"/>
  <c r="BN1" i="11" s="1"/>
  <c r="BO1" i="11" s="1"/>
  <c r="BP1" i="11" s="1"/>
  <c r="BQ1" i="11" s="1"/>
  <c r="BR1" i="11" s="1"/>
  <c r="BS1" i="11" s="1"/>
  <c r="BT1" i="11" s="1"/>
  <c r="BU1" i="11" s="1"/>
  <c r="BV1" i="11" s="1"/>
  <c r="BW1" i="11" s="1"/>
  <c r="BX1" i="11" s="1"/>
  <c r="BY1" i="11" s="1"/>
  <c r="BZ1" i="11" s="1"/>
  <c r="CA1" i="11" s="1"/>
  <c r="CB1" i="11" s="1"/>
  <c r="CC1" i="11" s="1"/>
  <c r="CD1" i="11" s="1"/>
  <c r="CE1" i="11" s="1"/>
  <c r="CF1" i="11" s="1"/>
  <c r="CG1" i="11" s="1"/>
  <c r="CH1" i="11" s="1"/>
  <c r="CI1" i="11" s="1"/>
  <c r="CJ1" i="11" s="1"/>
  <c r="CK1" i="11" s="1"/>
  <c r="CL1" i="11" s="1"/>
  <c r="CM1" i="11" s="1"/>
  <c r="CN1" i="11" s="1"/>
  <c r="CN14" i="8"/>
  <c r="CM14" i="8"/>
  <c r="CL14" i="8"/>
  <c r="CK14" i="8"/>
  <c r="CJ14" i="8"/>
  <c r="CI14" i="8"/>
  <c r="CH14" i="8"/>
  <c r="CG14" i="8"/>
  <c r="CF14" i="8"/>
  <c r="CE14" i="8"/>
  <c r="CD14" i="8"/>
  <c r="CC14" i="8"/>
  <c r="CB14" i="8"/>
  <c r="CA14" i="8"/>
  <c r="BZ14" i="8"/>
  <c r="BY14" i="8"/>
  <c r="BX14" i="8"/>
  <c r="BW14" i="8"/>
  <c r="BV14" i="8"/>
  <c r="BU14" i="8"/>
  <c r="BT14" i="8"/>
  <c r="BS14" i="8"/>
  <c r="BR14" i="8"/>
  <c r="BQ14" i="8"/>
  <c r="BP14" i="8"/>
  <c r="BO14" i="8"/>
  <c r="BN14" i="8"/>
  <c r="BM14" i="8"/>
  <c r="BL14" i="8"/>
  <c r="BK14" i="8"/>
  <c r="BJ14" i="8"/>
  <c r="BI14" i="8"/>
  <c r="BH14" i="8"/>
  <c r="BG14" i="8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B14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CA13" i="8"/>
  <c r="BZ13" i="8"/>
  <c r="BY13" i="8"/>
  <c r="BX13" i="8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C13" i="8"/>
  <c r="BB13" i="8"/>
  <c r="BA13" i="8"/>
  <c r="AZ13" i="8"/>
  <c r="AY13" i="8"/>
  <c r="AX13" i="8"/>
  <c r="AW13" i="8"/>
  <c r="AV13" i="8"/>
  <c r="AU13" i="8"/>
  <c r="AT13" i="8"/>
  <c r="AS13" i="8"/>
  <c r="AR13" i="8"/>
  <c r="AQ13" i="8"/>
  <c r="AP13" i="8"/>
  <c r="AO13" i="8"/>
  <c r="AN13" i="8"/>
  <c r="AM13" i="8"/>
  <c r="AL13" i="8"/>
  <c r="AK13" i="8"/>
  <c r="AJ13" i="8"/>
  <c r="AI13" i="8"/>
  <c r="AH13" i="8"/>
  <c r="AG13" i="8"/>
  <c r="AF13" i="8"/>
  <c r="AE13" i="8"/>
  <c r="AD13" i="8"/>
  <c r="AC13" i="8"/>
  <c r="AB13" i="8"/>
  <c r="AA13" i="8"/>
  <c r="Z13" i="8"/>
  <c r="Y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B13" i="8"/>
  <c r="CN12" i="8"/>
  <c r="CM12" i="8"/>
  <c r="CL12" i="8"/>
  <c r="CK12" i="8"/>
  <c r="CJ12" i="8"/>
  <c r="CI12" i="8"/>
  <c r="CH12" i="8"/>
  <c r="CG12" i="8"/>
  <c r="CF12" i="8"/>
  <c r="CE12" i="8"/>
  <c r="CD12" i="8"/>
  <c r="CC12" i="8"/>
  <c r="CB12" i="8"/>
  <c r="CA12" i="8"/>
  <c r="BZ12" i="8"/>
  <c r="BY12" i="8"/>
  <c r="BX12" i="8"/>
  <c r="BW12" i="8"/>
  <c r="BV12" i="8"/>
  <c r="BU12" i="8"/>
  <c r="BT12" i="8"/>
  <c r="BS12" i="8"/>
  <c r="BR12" i="8"/>
  <c r="BQ12" i="8"/>
  <c r="BP12" i="8"/>
  <c r="BO12" i="8"/>
  <c r="BN12" i="8"/>
  <c r="BM12" i="8"/>
  <c r="BL12" i="8"/>
  <c r="BK12" i="8"/>
  <c r="BJ12" i="8"/>
  <c r="BI12" i="8"/>
  <c r="BH12" i="8"/>
  <c r="BG12" i="8"/>
  <c r="BF12" i="8"/>
  <c r="BE12" i="8"/>
  <c r="BD12" i="8"/>
  <c r="BC12" i="8"/>
  <c r="BB12" i="8"/>
  <c r="BA12" i="8"/>
  <c r="AZ12" i="8"/>
  <c r="AY12" i="8"/>
  <c r="AX12" i="8"/>
  <c r="AW12" i="8"/>
  <c r="AV12" i="8"/>
  <c r="AU12" i="8"/>
  <c r="AT12" i="8"/>
  <c r="AS12" i="8"/>
  <c r="AR12" i="8"/>
  <c r="AQ12" i="8"/>
  <c r="AP12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CN11" i="8"/>
  <c r="CM11" i="8"/>
  <c r="CL11" i="8"/>
  <c r="CK11" i="8"/>
  <c r="CJ11" i="8"/>
  <c r="CI11" i="8"/>
  <c r="CH11" i="8"/>
  <c r="CG11" i="8"/>
  <c r="CF11" i="8"/>
  <c r="CE11" i="8"/>
  <c r="CD11" i="8"/>
  <c r="CC11" i="8"/>
  <c r="CB11" i="8"/>
  <c r="CA11" i="8"/>
  <c r="BZ11" i="8"/>
  <c r="BY11" i="8"/>
  <c r="BX11" i="8"/>
  <c r="BW11" i="8"/>
  <c r="BV11" i="8"/>
  <c r="BU11" i="8"/>
  <c r="BT11" i="8"/>
  <c r="BS11" i="8"/>
  <c r="BR11" i="8"/>
  <c r="BQ11" i="8"/>
  <c r="BP11" i="8"/>
  <c r="BO11" i="8"/>
  <c r="BN11" i="8"/>
  <c r="BM11" i="8"/>
  <c r="BL11" i="8"/>
  <c r="BK11" i="8"/>
  <c r="BJ11" i="8"/>
  <c r="BI11" i="8"/>
  <c r="BH11" i="8"/>
  <c r="BG11" i="8"/>
  <c r="BF11" i="8"/>
  <c r="BE11" i="8"/>
  <c r="BD11" i="8"/>
  <c r="BC11" i="8"/>
  <c r="BB11" i="8"/>
  <c r="BA11" i="8"/>
  <c r="AZ11" i="8"/>
  <c r="AY11" i="8"/>
  <c r="AX11" i="8"/>
  <c r="AW11" i="8"/>
  <c r="AV11" i="8"/>
  <c r="AU11" i="8"/>
  <c r="AT11" i="8"/>
  <c r="AS11" i="8"/>
  <c r="AR11" i="8"/>
  <c r="AQ11" i="8"/>
  <c r="AP11" i="8"/>
  <c r="AO11" i="8"/>
  <c r="AN11" i="8"/>
  <c r="AM11" i="8"/>
  <c r="AL11" i="8"/>
  <c r="AK11" i="8"/>
  <c r="AJ11" i="8"/>
  <c r="AI11" i="8"/>
  <c r="AH11" i="8"/>
  <c r="AG11" i="8"/>
  <c r="AF11" i="8"/>
  <c r="AE11" i="8"/>
  <c r="AD11" i="8"/>
  <c r="AC11" i="8"/>
  <c r="AB11" i="8"/>
  <c r="AA11" i="8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B11" i="8"/>
  <c r="CN10" i="8"/>
  <c r="CM10" i="8"/>
  <c r="CL10" i="8"/>
  <c r="CK10" i="8"/>
  <c r="CJ10" i="8"/>
  <c r="CI10" i="8"/>
  <c r="CH10" i="8"/>
  <c r="CG10" i="8"/>
  <c r="CF10" i="8"/>
  <c r="CE10" i="8"/>
  <c r="CD10" i="8"/>
  <c r="CC10" i="8"/>
  <c r="CB10" i="8"/>
  <c r="CA10" i="8"/>
  <c r="BZ10" i="8"/>
  <c r="BY10" i="8"/>
  <c r="BX10" i="8"/>
  <c r="BW10" i="8"/>
  <c r="BV10" i="8"/>
  <c r="BU10" i="8"/>
  <c r="BT10" i="8"/>
  <c r="BS10" i="8"/>
  <c r="BR10" i="8"/>
  <c r="BQ10" i="8"/>
  <c r="BP10" i="8"/>
  <c r="BO10" i="8"/>
  <c r="BN10" i="8"/>
  <c r="BM10" i="8"/>
  <c r="BL10" i="8"/>
  <c r="BK10" i="8"/>
  <c r="BJ10" i="8"/>
  <c r="BI10" i="8"/>
  <c r="BH10" i="8"/>
  <c r="BG10" i="8"/>
  <c r="BF10" i="8"/>
  <c r="BE10" i="8"/>
  <c r="BD10" i="8"/>
  <c r="BC10" i="8"/>
  <c r="BB10" i="8"/>
  <c r="BA10" i="8"/>
  <c r="AZ10" i="8"/>
  <c r="AY10" i="8"/>
  <c r="AX10" i="8"/>
  <c r="AW10" i="8"/>
  <c r="AV10" i="8"/>
  <c r="AU10" i="8"/>
  <c r="AT10" i="8"/>
  <c r="AS10" i="8"/>
  <c r="AR10" i="8"/>
  <c r="AQ10" i="8"/>
  <c r="AP10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B10" i="8"/>
  <c r="CN9" i="8"/>
  <c r="CM9" i="8"/>
  <c r="CL9" i="8"/>
  <c r="CK9" i="8"/>
  <c r="CJ9" i="8"/>
  <c r="CI9" i="8"/>
  <c r="CH9" i="8"/>
  <c r="CG9" i="8"/>
  <c r="CF9" i="8"/>
  <c r="CE9" i="8"/>
  <c r="CD9" i="8"/>
  <c r="CC9" i="8"/>
  <c r="CB9" i="8"/>
  <c r="CA9" i="8"/>
  <c r="BZ9" i="8"/>
  <c r="BY9" i="8"/>
  <c r="BX9" i="8"/>
  <c r="BW9" i="8"/>
  <c r="BV9" i="8"/>
  <c r="BU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B9" i="8"/>
  <c r="CN8" i="8"/>
  <c r="CM8" i="8"/>
  <c r="CL8" i="8"/>
  <c r="CK8" i="8"/>
  <c r="CJ8" i="8"/>
  <c r="CI8" i="8"/>
  <c r="CH8" i="8"/>
  <c r="CG8" i="8"/>
  <c r="CF8" i="8"/>
  <c r="CE8" i="8"/>
  <c r="CD8" i="8"/>
  <c r="CC8" i="8"/>
  <c r="CB8" i="8"/>
  <c r="CA8" i="8"/>
  <c r="BZ8" i="8"/>
  <c r="BY8" i="8"/>
  <c r="BX8" i="8"/>
  <c r="BW8" i="8"/>
  <c r="BV8" i="8"/>
  <c r="BU8" i="8"/>
  <c r="BT8" i="8"/>
  <c r="BS8" i="8"/>
  <c r="BR8" i="8"/>
  <c r="BQ8" i="8"/>
  <c r="BP8" i="8"/>
  <c r="BO8" i="8"/>
  <c r="BN8" i="8"/>
  <c r="BM8" i="8"/>
  <c r="BL8" i="8"/>
  <c r="BK8" i="8"/>
  <c r="BJ8" i="8"/>
  <c r="BI8" i="8"/>
  <c r="BH8" i="8"/>
  <c r="BG8" i="8"/>
  <c r="BF8" i="8"/>
  <c r="BE8" i="8"/>
  <c r="BD8" i="8"/>
  <c r="BC8" i="8"/>
  <c r="BB8" i="8"/>
  <c r="BA8" i="8"/>
  <c r="AZ8" i="8"/>
  <c r="AY8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B8" i="8"/>
  <c r="CN7" i="8"/>
  <c r="CM7" i="8"/>
  <c r="CL7" i="8"/>
  <c r="CK7" i="8"/>
  <c r="CJ7" i="8"/>
  <c r="CI7" i="8"/>
  <c r="CH7" i="8"/>
  <c r="CG7" i="8"/>
  <c r="CF7" i="8"/>
  <c r="CE7" i="8"/>
  <c r="CD7" i="8"/>
  <c r="CC7" i="8"/>
  <c r="CB7" i="8"/>
  <c r="CA7" i="8"/>
  <c r="BZ7" i="8"/>
  <c r="BY7" i="8"/>
  <c r="BX7" i="8"/>
  <c r="BW7" i="8"/>
  <c r="BV7" i="8"/>
  <c r="BU7" i="8"/>
  <c r="BT7" i="8"/>
  <c r="BS7" i="8"/>
  <c r="BR7" i="8"/>
  <c r="BQ7" i="8"/>
  <c r="BP7" i="8"/>
  <c r="BO7" i="8"/>
  <c r="BN7" i="8"/>
  <c r="BM7" i="8"/>
  <c r="BL7" i="8"/>
  <c r="BK7" i="8"/>
  <c r="BJ7" i="8"/>
  <c r="BI7" i="8"/>
  <c r="BH7" i="8"/>
  <c r="BG7" i="8"/>
  <c r="BF7" i="8"/>
  <c r="BE7" i="8"/>
  <c r="BD7" i="8"/>
  <c r="BC7" i="8"/>
  <c r="BB7" i="8"/>
  <c r="BA7" i="8"/>
  <c r="AZ7" i="8"/>
  <c r="AY7" i="8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Z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B7" i="8"/>
  <c r="CN6" i="8"/>
  <c r="CM6" i="8"/>
  <c r="CL6" i="8"/>
  <c r="CK6" i="8"/>
  <c r="CJ6" i="8"/>
  <c r="CI6" i="8"/>
  <c r="CH6" i="8"/>
  <c r="CG6" i="8"/>
  <c r="CF6" i="8"/>
  <c r="CE6" i="8"/>
  <c r="CD6" i="8"/>
  <c r="CC6" i="8"/>
  <c r="CB6" i="8"/>
  <c r="CA6" i="8"/>
  <c r="BZ6" i="8"/>
  <c r="BY6" i="8"/>
  <c r="BX6" i="8"/>
  <c r="BW6" i="8"/>
  <c r="BV6" i="8"/>
  <c r="BU6" i="8"/>
  <c r="BT6" i="8"/>
  <c r="BS6" i="8"/>
  <c r="BR6" i="8"/>
  <c r="BQ6" i="8"/>
  <c r="BP6" i="8"/>
  <c r="BO6" i="8"/>
  <c r="BN6" i="8"/>
  <c r="BM6" i="8"/>
  <c r="BL6" i="8"/>
  <c r="BK6" i="8"/>
  <c r="BJ6" i="8"/>
  <c r="BI6" i="8"/>
  <c r="BH6" i="8"/>
  <c r="BG6" i="8"/>
  <c r="BF6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B6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CN4" i="8"/>
  <c r="CM4" i="8"/>
  <c r="CL4" i="8"/>
  <c r="CK4" i="8"/>
  <c r="CJ4" i="8"/>
  <c r="CI4" i="8"/>
  <c r="CH4" i="8"/>
  <c r="CG4" i="8"/>
  <c r="CF4" i="8"/>
  <c r="CE4" i="8"/>
  <c r="CD4" i="8"/>
  <c r="CC4" i="8"/>
  <c r="CB4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L4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B4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CN2" i="8"/>
  <c r="CM2" i="8"/>
  <c r="CL2" i="8"/>
  <c r="CK2" i="8"/>
  <c r="CJ2" i="8"/>
  <c r="CI2" i="8"/>
  <c r="CH2" i="8"/>
  <c r="CG2" i="8"/>
  <c r="CF2" i="8"/>
  <c r="CE2" i="8"/>
  <c r="CD2" i="8"/>
  <c r="CC2" i="8"/>
  <c r="CB2" i="8"/>
  <c r="CA2" i="8"/>
  <c r="BZ2" i="8"/>
  <c r="BY2" i="8"/>
  <c r="BX2" i="8"/>
  <c r="BW2" i="8"/>
  <c r="BV2" i="8"/>
  <c r="BU2" i="8"/>
  <c r="BT2" i="8"/>
  <c r="BS2" i="8"/>
  <c r="BR2" i="8"/>
  <c r="BQ2" i="8"/>
  <c r="BP2" i="8"/>
  <c r="BO2" i="8"/>
  <c r="BN2" i="8"/>
  <c r="BM2" i="8"/>
  <c r="BL2" i="8"/>
  <c r="BK2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AL2" i="8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B2" i="8"/>
  <c r="K29" i="8"/>
  <c r="J29" i="8" s="1"/>
  <c r="I29" i="8" s="1"/>
  <c r="H29" i="8" s="1"/>
  <c r="G29" i="8" s="1"/>
  <c r="F29" i="8" s="1"/>
  <c r="E29" i="8" s="1"/>
  <c r="D29" i="8" s="1"/>
  <c r="C29" i="8" s="1"/>
  <c r="B29" i="8" s="1"/>
  <c r="K28" i="8"/>
  <c r="J28" i="8" s="1"/>
  <c r="I28" i="8" s="1"/>
  <c r="H28" i="8" s="1"/>
  <c r="G28" i="8" s="1"/>
  <c r="F28" i="8" s="1"/>
  <c r="E28" i="8" s="1"/>
  <c r="D28" i="8" s="1"/>
  <c r="C28" i="8" s="1"/>
  <c r="B28" i="8" s="1"/>
  <c r="K26" i="8"/>
  <c r="J26" i="8" s="1"/>
  <c r="I26" i="8" s="1"/>
  <c r="H26" i="8" s="1"/>
  <c r="G26" i="8" s="1"/>
  <c r="F26" i="8" s="1"/>
  <c r="E26" i="8" s="1"/>
  <c r="D26" i="8" s="1"/>
  <c r="C26" i="8" s="1"/>
  <c r="B26" i="8" s="1"/>
  <c r="K24" i="8"/>
  <c r="J24" i="8" s="1"/>
  <c r="I24" i="8" s="1"/>
  <c r="H24" i="8" s="1"/>
  <c r="G24" i="8" s="1"/>
  <c r="F24" i="8" s="1"/>
  <c r="E24" i="8" s="1"/>
  <c r="D24" i="8" s="1"/>
  <c r="C24" i="8" s="1"/>
  <c r="B24" i="8" s="1"/>
  <c r="K20" i="8"/>
  <c r="J20" i="8" s="1"/>
  <c r="E58" i="9"/>
  <c r="F58" i="9" s="1"/>
  <c r="G58" i="9" s="1"/>
  <c r="H58" i="9" s="1"/>
  <c r="I58" i="9" s="1"/>
  <c r="J58" i="9" s="1"/>
  <c r="K58" i="9" s="1"/>
  <c r="L58" i="9" s="1"/>
  <c r="M58" i="9" s="1"/>
  <c r="N58" i="9" s="1"/>
  <c r="O58" i="9" s="1"/>
  <c r="P58" i="9" s="1"/>
  <c r="Q58" i="9" s="1"/>
  <c r="R58" i="9" s="1"/>
  <c r="S58" i="9" s="1"/>
  <c r="T58" i="9" s="1"/>
  <c r="U58" i="9" s="1"/>
  <c r="V58" i="9" s="1"/>
  <c r="W58" i="9" s="1"/>
  <c r="X58" i="9" s="1"/>
  <c r="Y58" i="9" s="1"/>
  <c r="Z58" i="9" s="1"/>
  <c r="AA58" i="9" s="1"/>
  <c r="AB58" i="9" s="1"/>
  <c r="AC58" i="9" s="1"/>
  <c r="AD58" i="9" s="1"/>
  <c r="AE58" i="9" s="1"/>
  <c r="AF58" i="9" s="1"/>
  <c r="AG58" i="9" s="1"/>
  <c r="AH58" i="9" s="1"/>
  <c r="AI58" i="9" s="1"/>
  <c r="AJ58" i="9" s="1"/>
  <c r="AK58" i="9" s="1"/>
  <c r="AL58" i="9" s="1"/>
  <c r="AM58" i="9" s="1"/>
  <c r="AN58" i="9" s="1"/>
  <c r="AO58" i="9" s="1"/>
  <c r="AP58" i="9" s="1"/>
  <c r="AQ58" i="9" s="1"/>
  <c r="AR58" i="9" s="1"/>
  <c r="AS58" i="9" s="1"/>
  <c r="AT58" i="9" s="1"/>
  <c r="AU58" i="9" s="1"/>
  <c r="AV58" i="9" s="1"/>
  <c r="AW58" i="9" s="1"/>
  <c r="AX58" i="9" s="1"/>
  <c r="AY58" i="9" s="1"/>
  <c r="AZ58" i="9" s="1"/>
  <c r="BA58" i="9" s="1"/>
  <c r="BB58" i="9" s="1"/>
  <c r="BC58" i="9" s="1"/>
  <c r="BD58" i="9" s="1"/>
  <c r="BE58" i="9" s="1"/>
  <c r="BF58" i="9" s="1"/>
  <c r="BG58" i="9" s="1"/>
  <c r="BH58" i="9" s="1"/>
  <c r="BI58" i="9" s="1"/>
  <c r="BJ58" i="9" s="1"/>
  <c r="BK58" i="9" s="1"/>
  <c r="BL58" i="9" s="1"/>
  <c r="BM58" i="9" s="1"/>
  <c r="BN58" i="9" s="1"/>
  <c r="BO58" i="9" s="1"/>
  <c r="BP58" i="9" s="1"/>
  <c r="BQ58" i="9" s="1"/>
  <c r="BR58" i="9" s="1"/>
  <c r="BS58" i="9" s="1"/>
  <c r="BT58" i="9" s="1"/>
  <c r="BU58" i="9" s="1"/>
  <c r="BV58" i="9" s="1"/>
  <c r="BW58" i="9" s="1"/>
  <c r="BX58" i="9" s="1"/>
  <c r="BY58" i="9" s="1"/>
  <c r="BZ58" i="9" s="1"/>
  <c r="CA58" i="9" s="1"/>
  <c r="CB58" i="9" s="1"/>
  <c r="CC58" i="9" s="1"/>
  <c r="CD58" i="9" s="1"/>
  <c r="CE58" i="9" s="1"/>
  <c r="CF58" i="9" s="1"/>
  <c r="CG58" i="9" s="1"/>
  <c r="CH58" i="9" s="1"/>
  <c r="CI58" i="9" s="1"/>
  <c r="CJ58" i="9" s="1"/>
  <c r="CK58" i="9" s="1"/>
  <c r="CL58" i="9" s="1"/>
  <c r="CM58" i="9" s="1"/>
  <c r="CN58" i="9" s="1"/>
  <c r="CO58" i="9" s="1"/>
  <c r="E57" i="9"/>
  <c r="F57" i="9" s="1"/>
  <c r="G57" i="9" s="1"/>
  <c r="H57" i="9" s="1"/>
  <c r="I57" i="9" s="1"/>
  <c r="J57" i="9" s="1"/>
  <c r="K57" i="9" s="1"/>
  <c r="L57" i="9" s="1"/>
  <c r="M57" i="9" s="1"/>
  <c r="N57" i="9" s="1"/>
  <c r="O57" i="9" s="1"/>
  <c r="P57" i="9" s="1"/>
  <c r="Q57" i="9" s="1"/>
  <c r="R57" i="9" s="1"/>
  <c r="S57" i="9" s="1"/>
  <c r="T57" i="9" s="1"/>
  <c r="U57" i="9" s="1"/>
  <c r="V57" i="9" s="1"/>
  <c r="W57" i="9" s="1"/>
  <c r="X57" i="9" s="1"/>
  <c r="Y57" i="9" s="1"/>
  <c r="Z57" i="9" s="1"/>
  <c r="AA57" i="9" s="1"/>
  <c r="AB57" i="9" s="1"/>
  <c r="AC57" i="9" s="1"/>
  <c r="AD57" i="9" s="1"/>
  <c r="AE57" i="9" s="1"/>
  <c r="AF57" i="9" s="1"/>
  <c r="AG57" i="9" s="1"/>
  <c r="AH57" i="9" s="1"/>
  <c r="AI57" i="9" s="1"/>
  <c r="AJ57" i="9" s="1"/>
  <c r="AK57" i="9" s="1"/>
  <c r="AL57" i="9" s="1"/>
  <c r="AM57" i="9" s="1"/>
  <c r="AN57" i="9" s="1"/>
  <c r="AO57" i="9" s="1"/>
  <c r="AP57" i="9" s="1"/>
  <c r="AQ57" i="9" s="1"/>
  <c r="AR57" i="9" s="1"/>
  <c r="AS57" i="9" s="1"/>
  <c r="AT57" i="9" s="1"/>
  <c r="AU57" i="9" s="1"/>
  <c r="AV57" i="9" s="1"/>
  <c r="AW57" i="9" s="1"/>
  <c r="AX57" i="9" s="1"/>
  <c r="AY57" i="9" s="1"/>
  <c r="AZ57" i="9" s="1"/>
  <c r="BA57" i="9" s="1"/>
  <c r="BB57" i="9" s="1"/>
  <c r="BC57" i="9" s="1"/>
  <c r="BD57" i="9" s="1"/>
  <c r="BE57" i="9" s="1"/>
  <c r="BF57" i="9" s="1"/>
  <c r="BG57" i="9" s="1"/>
  <c r="BH57" i="9" s="1"/>
  <c r="BI57" i="9" s="1"/>
  <c r="BJ57" i="9" s="1"/>
  <c r="BK57" i="9" s="1"/>
  <c r="BL57" i="9" s="1"/>
  <c r="BM57" i="9" s="1"/>
  <c r="BN57" i="9" s="1"/>
  <c r="BO57" i="9" s="1"/>
  <c r="BP57" i="9" s="1"/>
  <c r="BQ57" i="9" s="1"/>
  <c r="BR57" i="9" s="1"/>
  <c r="BS57" i="9" s="1"/>
  <c r="BT57" i="9" s="1"/>
  <c r="BU57" i="9" s="1"/>
  <c r="BV57" i="9" s="1"/>
  <c r="BW57" i="9" s="1"/>
  <c r="BX57" i="9" s="1"/>
  <c r="BY57" i="9" s="1"/>
  <c r="BZ57" i="9" s="1"/>
  <c r="CA57" i="9" s="1"/>
  <c r="CB57" i="9" s="1"/>
  <c r="CC57" i="9" s="1"/>
  <c r="CD57" i="9" s="1"/>
  <c r="CE57" i="9" s="1"/>
  <c r="CF57" i="9" s="1"/>
  <c r="CG57" i="9" s="1"/>
  <c r="CH57" i="9" s="1"/>
  <c r="CI57" i="9" s="1"/>
  <c r="CJ57" i="9" s="1"/>
  <c r="CK57" i="9" s="1"/>
  <c r="CL57" i="9" s="1"/>
  <c r="CM57" i="9" s="1"/>
  <c r="CN57" i="9" s="1"/>
  <c r="CO57" i="9" s="1"/>
  <c r="E56" i="9"/>
  <c r="F56" i="9" s="1"/>
  <c r="G56" i="9" s="1"/>
  <c r="H56" i="9" s="1"/>
  <c r="I56" i="9" s="1"/>
  <c r="J56" i="9" s="1"/>
  <c r="K56" i="9" s="1"/>
  <c r="L56" i="9" s="1"/>
  <c r="M56" i="9" s="1"/>
  <c r="N56" i="9" s="1"/>
  <c r="O56" i="9" s="1"/>
  <c r="P56" i="9" s="1"/>
  <c r="Q56" i="9" s="1"/>
  <c r="R56" i="9" s="1"/>
  <c r="S56" i="9" s="1"/>
  <c r="T56" i="9" s="1"/>
  <c r="U56" i="9" s="1"/>
  <c r="V56" i="9" s="1"/>
  <c r="W56" i="9" s="1"/>
  <c r="X56" i="9" s="1"/>
  <c r="Y56" i="9" s="1"/>
  <c r="Z56" i="9" s="1"/>
  <c r="AA56" i="9" s="1"/>
  <c r="AB56" i="9" s="1"/>
  <c r="AC56" i="9" s="1"/>
  <c r="AD56" i="9" s="1"/>
  <c r="AE56" i="9" s="1"/>
  <c r="AF56" i="9" s="1"/>
  <c r="AG56" i="9" s="1"/>
  <c r="AH56" i="9" s="1"/>
  <c r="AI56" i="9" s="1"/>
  <c r="AJ56" i="9" s="1"/>
  <c r="AK56" i="9" s="1"/>
  <c r="AL56" i="9" s="1"/>
  <c r="AM56" i="9" s="1"/>
  <c r="AN56" i="9" s="1"/>
  <c r="AO56" i="9" s="1"/>
  <c r="AP56" i="9" s="1"/>
  <c r="AQ56" i="9" s="1"/>
  <c r="AR56" i="9" s="1"/>
  <c r="AS56" i="9" s="1"/>
  <c r="AT56" i="9" s="1"/>
  <c r="AU56" i="9" s="1"/>
  <c r="AV56" i="9" s="1"/>
  <c r="AW56" i="9" s="1"/>
  <c r="AX56" i="9" s="1"/>
  <c r="AY56" i="9" s="1"/>
  <c r="AZ56" i="9" s="1"/>
  <c r="BA56" i="9" s="1"/>
  <c r="BB56" i="9" s="1"/>
  <c r="BC56" i="9" s="1"/>
  <c r="BD56" i="9" s="1"/>
  <c r="BE56" i="9" s="1"/>
  <c r="BF56" i="9" s="1"/>
  <c r="BG56" i="9" s="1"/>
  <c r="BH56" i="9" s="1"/>
  <c r="BI56" i="9" s="1"/>
  <c r="BJ56" i="9" s="1"/>
  <c r="BK56" i="9" s="1"/>
  <c r="BL56" i="9" s="1"/>
  <c r="BM56" i="9" s="1"/>
  <c r="BN56" i="9" s="1"/>
  <c r="BO56" i="9" s="1"/>
  <c r="BP56" i="9" s="1"/>
  <c r="BQ56" i="9" s="1"/>
  <c r="BR56" i="9" s="1"/>
  <c r="BS56" i="9" s="1"/>
  <c r="BT56" i="9" s="1"/>
  <c r="BU56" i="9" s="1"/>
  <c r="BV56" i="9" s="1"/>
  <c r="BW56" i="9" s="1"/>
  <c r="BX56" i="9" s="1"/>
  <c r="BY56" i="9" s="1"/>
  <c r="BZ56" i="9" s="1"/>
  <c r="CA56" i="9" s="1"/>
  <c r="CB56" i="9" s="1"/>
  <c r="CC56" i="9" s="1"/>
  <c r="CD56" i="9" s="1"/>
  <c r="CE56" i="9" s="1"/>
  <c r="CF56" i="9" s="1"/>
  <c r="CG56" i="9" s="1"/>
  <c r="CH56" i="9" s="1"/>
  <c r="CI56" i="9" s="1"/>
  <c r="CJ56" i="9" s="1"/>
  <c r="CK56" i="9" s="1"/>
  <c r="CL56" i="9" s="1"/>
  <c r="CM56" i="9" s="1"/>
  <c r="CN56" i="9" s="1"/>
  <c r="CO56" i="9" s="1"/>
  <c r="E55" i="9"/>
  <c r="F55" i="9" s="1"/>
  <c r="G55" i="9" s="1"/>
  <c r="H55" i="9" s="1"/>
  <c r="I55" i="9" s="1"/>
  <c r="J55" i="9" s="1"/>
  <c r="K55" i="9" s="1"/>
  <c r="L55" i="9" s="1"/>
  <c r="M55" i="9" s="1"/>
  <c r="N55" i="9" s="1"/>
  <c r="O55" i="9" s="1"/>
  <c r="P55" i="9" s="1"/>
  <c r="Q55" i="9" s="1"/>
  <c r="R55" i="9" s="1"/>
  <c r="S55" i="9" s="1"/>
  <c r="T55" i="9" s="1"/>
  <c r="U55" i="9" s="1"/>
  <c r="V55" i="9" s="1"/>
  <c r="W55" i="9" s="1"/>
  <c r="X55" i="9" s="1"/>
  <c r="Y55" i="9" s="1"/>
  <c r="Z55" i="9" s="1"/>
  <c r="AA55" i="9" s="1"/>
  <c r="AB55" i="9" s="1"/>
  <c r="AC55" i="9" s="1"/>
  <c r="AD55" i="9" s="1"/>
  <c r="AE55" i="9" s="1"/>
  <c r="AF55" i="9" s="1"/>
  <c r="AG55" i="9" s="1"/>
  <c r="AH55" i="9" s="1"/>
  <c r="AI55" i="9" s="1"/>
  <c r="AJ55" i="9" s="1"/>
  <c r="AK55" i="9" s="1"/>
  <c r="AL55" i="9" s="1"/>
  <c r="AM55" i="9" s="1"/>
  <c r="AN55" i="9" s="1"/>
  <c r="AO55" i="9" s="1"/>
  <c r="AP55" i="9" s="1"/>
  <c r="AQ55" i="9" s="1"/>
  <c r="AR55" i="9" s="1"/>
  <c r="AS55" i="9" s="1"/>
  <c r="AT55" i="9" s="1"/>
  <c r="AU55" i="9" s="1"/>
  <c r="AV55" i="9" s="1"/>
  <c r="AW55" i="9" s="1"/>
  <c r="AX55" i="9" s="1"/>
  <c r="AY55" i="9" s="1"/>
  <c r="AZ55" i="9" s="1"/>
  <c r="BA55" i="9" s="1"/>
  <c r="BB55" i="9" s="1"/>
  <c r="BC55" i="9" s="1"/>
  <c r="BD55" i="9" s="1"/>
  <c r="BE55" i="9" s="1"/>
  <c r="BF55" i="9" s="1"/>
  <c r="BG55" i="9" s="1"/>
  <c r="BH55" i="9" s="1"/>
  <c r="BI55" i="9" s="1"/>
  <c r="BJ55" i="9" s="1"/>
  <c r="BK55" i="9" s="1"/>
  <c r="BL55" i="9" s="1"/>
  <c r="BM55" i="9" s="1"/>
  <c r="BN55" i="9" s="1"/>
  <c r="BO55" i="9" s="1"/>
  <c r="BP55" i="9" s="1"/>
  <c r="BQ55" i="9" s="1"/>
  <c r="BR55" i="9" s="1"/>
  <c r="BS55" i="9" s="1"/>
  <c r="BT55" i="9" s="1"/>
  <c r="BU55" i="9" s="1"/>
  <c r="BV55" i="9" s="1"/>
  <c r="BW55" i="9" s="1"/>
  <c r="BX55" i="9" s="1"/>
  <c r="BY55" i="9" s="1"/>
  <c r="BZ55" i="9" s="1"/>
  <c r="CA55" i="9" s="1"/>
  <c r="CB55" i="9" s="1"/>
  <c r="CC55" i="9" s="1"/>
  <c r="CD55" i="9" s="1"/>
  <c r="CE55" i="9" s="1"/>
  <c r="CF55" i="9" s="1"/>
  <c r="CG55" i="9" s="1"/>
  <c r="CH55" i="9" s="1"/>
  <c r="CI55" i="9" s="1"/>
  <c r="CJ55" i="9" s="1"/>
  <c r="CK55" i="9" s="1"/>
  <c r="CL55" i="9" s="1"/>
  <c r="CM55" i="9" s="1"/>
  <c r="CN55" i="9" s="1"/>
  <c r="CO55" i="9" s="1"/>
  <c r="E54" i="9"/>
  <c r="F54" i="9" s="1"/>
  <c r="G54" i="9" s="1"/>
  <c r="H54" i="9" s="1"/>
  <c r="I54" i="9" s="1"/>
  <c r="J54" i="9" s="1"/>
  <c r="K54" i="9" s="1"/>
  <c r="L54" i="9" s="1"/>
  <c r="M54" i="9" s="1"/>
  <c r="N54" i="9" s="1"/>
  <c r="O54" i="9" s="1"/>
  <c r="P54" i="9" s="1"/>
  <c r="Q54" i="9" s="1"/>
  <c r="R54" i="9" s="1"/>
  <c r="S54" i="9" s="1"/>
  <c r="T54" i="9" s="1"/>
  <c r="U54" i="9" s="1"/>
  <c r="V54" i="9" s="1"/>
  <c r="W54" i="9" s="1"/>
  <c r="X54" i="9" s="1"/>
  <c r="Y54" i="9" s="1"/>
  <c r="Z54" i="9" s="1"/>
  <c r="AA54" i="9" s="1"/>
  <c r="AB54" i="9" s="1"/>
  <c r="AC54" i="9" s="1"/>
  <c r="AD54" i="9" s="1"/>
  <c r="AE54" i="9" s="1"/>
  <c r="AF54" i="9" s="1"/>
  <c r="AG54" i="9" s="1"/>
  <c r="AH54" i="9" s="1"/>
  <c r="AI54" i="9" s="1"/>
  <c r="AJ54" i="9" s="1"/>
  <c r="AK54" i="9" s="1"/>
  <c r="AL54" i="9" s="1"/>
  <c r="AM54" i="9" s="1"/>
  <c r="AN54" i="9" s="1"/>
  <c r="AO54" i="9" s="1"/>
  <c r="AP54" i="9" s="1"/>
  <c r="AQ54" i="9" s="1"/>
  <c r="AR54" i="9" s="1"/>
  <c r="AS54" i="9" s="1"/>
  <c r="AT54" i="9" s="1"/>
  <c r="AU54" i="9" s="1"/>
  <c r="AV54" i="9" s="1"/>
  <c r="AW54" i="9" s="1"/>
  <c r="AX54" i="9" s="1"/>
  <c r="AY54" i="9" s="1"/>
  <c r="AZ54" i="9" s="1"/>
  <c r="BA54" i="9" s="1"/>
  <c r="BB54" i="9" s="1"/>
  <c r="BC54" i="9" s="1"/>
  <c r="BD54" i="9" s="1"/>
  <c r="BE54" i="9" s="1"/>
  <c r="BF54" i="9" s="1"/>
  <c r="BG54" i="9" s="1"/>
  <c r="BH54" i="9" s="1"/>
  <c r="BI54" i="9" s="1"/>
  <c r="BJ54" i="9" s="1"/>
  <c r="BK54" i="9" s="1"/>
  <c r="BL54" i="9" s="1"/>
  <c r="BM54" i="9" s="1"/>
  <c r="BN54" i="9" s="1"/>
  <c r="BO54" i="9" s="1"/>
  <c r="BP54" i="9" s="1"/>
  <c r="BQ54" i="9" s="1"/>
  <c r="BR54" i="9" s="1"/>
  <c r="BS54" i="9" s="1"/>
  <c r="BT54" i="9" s="1"/>
  <c r="BU54" i="9" s="1"/>
  <c r="BV54" i="9" s="1"/>
  <c r="BW54" i="9" s="1"/>
  <c r="BX54" i="9" s="1"/>
  <c r="BY54" i="9" s="1"/>
  <c r="BZ54" i="9" s="1"/>
  <c r="CA54" i="9" s="1"/>
  <c r="CB54" i="9" s="1"/>
  <c r="CC54" i="9" s="1"/>
  <c r="CD54" i="9" s="1"/>
  <c r="CE54" i="9" s="1"/>
  <c r="CF54" i="9" s="1"/>
  <c r="CG54" i="9" s="1"/>
  <c r="CH54" i="9" s="1"/>
  <c r="CI54" i="9" s="1"/>
  <c r="CJ54" i="9" s="1"/>
  <c r="CK54" i="9" s="1"/>
  <c r="CL54" i="9" s="1"/>
  <c r="CM54" i="9" s="1"/>
  <c r="CN54" i="9" s="1"/>
  <c r="CO54" i="9" s="1"/>
  <c r="E53" i="9"/>
  <c r="F53" i="9" s="1"/>
  <c r="G53" i="9" s="1"/>
  <c r="H53" i="9" s="1"/>
  <c r="I53" i="9" s="1"/>
  <c r="J53" i="9" s="1"/>
  <c r="K53" i="9" s="1"/>
  <c r="L53" i="9" s="1"/>
  <c r="M53" i="9" s="1"/>
  <c r="N53" i="9" s="1"/>
  <c r="O53" i="9" s="1"/>
  <c r="P53" i="9" s="1"/>
  <c r="Q53" i="9" s="1"/>
  <c r="R53" i="9" s="1"/>
  <c r="S53" i="9" s="1"/>
  <c r="T53" i="9" s="1"/>
  <c r="U53" i="9" s="1"/>
  <c r="V53" i="9" s="1"/>
  <c r="W53" i="9" s="1"/>
  <c r="X53" i="9" s="1"/>
  <c r="Y53" i="9" s="1"/>
  <c r="Z53" i="9" s="1"/>
  <c r="AA53" i="9" s="1"/>
  <c r="AB53" i="9" s="1"/>
  <c r="AC53" i="9" s="1"/>
  <c r="AD53" i="9" s="1"/>
  <c r="AE53" i="9" s="1"/>
  <c r="AF53" i="9" s="1"/>
  <c r="AG53" i="9" s="1"/>
  <c r="AH53" i="9" s="1"/>
  <c r="AI53" i="9" s="1"/>
  <c r="AJ53" i="9" s="1"/>
  <c r="AK53" i="9" s="1"/>
  <c r="AL53" i="9" s="1"/>
  <c r="AM53" i="9" s="1"/>
  <c r="AN53" i="9" s="1"/>
  <c r="AO53" i="9" s="1"/>
  <c r="AP53" i="9" s="1"/>
  <c r="AQ53" i="9" s="1"/>
  <c r="AR53" i="9" s="1"/>
  <c r="AS53" i="9" s="1"/>
  <c r="AT53" i="9" s="1"/>
  <c r="AU53" i="9" s="1"/>
  <c r="AV53" i="9" s="1"/>
  <c r="AW53" i="9" s="1"/>
  <c r="AX53" i="9" s="1"/>
  <c r="AY53" i="9" s="1"/>
  <c r="AZ53" i="9" s="1"/>
  <c r="BA53" i="9" s="1"/>
  <c r="BB53" i="9" s="1"/>
  <c r="BC53" i="9" s="1"/>
  <c r="BD53" i="9" s="1"/>
  <c r="BE53" i="9" s="1"/>
  <c r="BF53" i="9" s="1"/>
  <c r="BG53" i="9" s="1"/>
  <c r="BH53" i="9" s="1"/>
  <c r="BI53" i="9" s="1"/>
  <c r="BJ53" i="9" s="1"/>
  <c r="BK53" i="9" s="1"/>
  <c r="BL53" i="9" s="1"/>
  <c r="BM53" i="9" s="1"/>
  <c r="BN53" i="9" s="1"/>
  <c r="BO53" i="9" s="1"/>
  <c r="BP53" i="9" s="1"/>
  <c r="BQ53" i="9" s="1"/>
  <c r="BR53" i="9" s="1"/>
  <c r="BS53" i="9" s="1"/>
  <c r="BT53" i="9" s="1"/>
  <c r="BU53" i="9" s="1"/>
  <c r="BV53" i="9" s="1"/>
  <c r="BW53" i="9" s="1"/>
  <c r="BX53" i="9" s="1"/>
  <c r="BY53" i="9" s="1"/>
  <c r="BZ53" i="9" s="1"/>
  <c r="CA53" i="9" s="1"/>
  <c r="CB53" i="9" s="1"/>
  <c r="CC53" i="9" s="1"/>
  <c r="CD53" i="9" s="1"/>
  <c r="CE53" i="9" s="1"/>
  <c r="CF53" i="9" s="1"/>
  <c r="CG53" i="9" s="1"/>
  <c r="CH53" i="9" s="1"/>
  <c r="CI53" i="9" s="1"/>
  <c r="CJ53" i="9" s="1"/>
  <c r="CK53" i="9" s="1"/>
  <c r="CL53" i="9" s="1"/>
  <c r="CM53" i="9" s="1"/>
  <c r="CN53" i="9" s="1"/>
  <c r="CO53" i="9" s="1"/>
  <c r="E52" i="9"/>
  <c r="F52" i="9" s="1"/>
  <c r="G52" i="9" s="1"/>
  <c r="H52" i="9" s="1"/>
  <c r="I52" i="9" s="1"/>
  <c r="J52" i="9" s="1"/>
  <c r="K52" i="9" s="1"/>
  <c r="L52" i="9" s="1"/>
  <c r="M52" i="9" s="1"/>
  <c r="N52" i="9" s="1"/>
  <c r="O52" i="9" s="1"/>
  <c r="P52" i="9" s="1"/>
  <c r="Q52" i="9" s="1"/>
  <c r="R52" i="9" s="1"/>
  <c r="S52" i="9" s="1"/>
  <c r="T52" i="9" s="1"/>
  <c r="U52" i="9" s="1"/>
  <c r="V52" i="9" s="1"/>
  <c r="W52" i="9" s="1"/>
  <c r="X52" i="9" s="1"/>
  <c r="Y52" i="9" s="1"/>
  <c r="Z52" i="9" s="1"/>
  <c r="AA52" i="9" s="1"/>
  <c r="AB52" i="9" s="1"/>
  <c r="AC52" i="9" s="1"/>
  <c r="AD52" i="9" s="1"/>
  <c r="AE52" i="9" s="1"/>
  <c r="AF52" i="9" s="1"/>
  <c r="AG52" i="9" s="1"/>
  <c r="AH52" i="9" s="1"/>
  <c r="AI52" i="9" s="1"/>
  <c r="AJ52" i="9" s="1"/>
  <c r="AK52" i="9" s="1"/>
  <c r="AL52" i="9" s="1"/>
  <c r="AM52" i="9" s="1"/>
  <c r="AN52" i="9" s="1"/>
  <c r="AO52" i="9" s="1"/>
  <c r="AP52" i="9" s="1"/>
  <c r="AQ52" i="9" s="1"/>
  <c r="AR52" i="9" s="1"/>
  <c r="AS52" i="9" s="1"/>
  <c r="AT52" i="9" s="1"/>
  <c r="AU52" i="9" s="1"/>
  <c r="AV52" i="9" s="1"/>
  <c r="AW52" i="9" s="1"/>
  <c r="AX52" i="9" s="1"/>
  <c r="AY52" i="9" s="1"/>
  <c r="AZ52" i="9" s="1"/>
  <c r="BA52" i="9" s="1"/>
  <c r="BB52" i="9" s="1"/>
  <c r="BC52" i="9" s="1"/>
  <c r="BD52" i="9" s="1"/>
  <c r="BE52" i="9" s="1"/>
  <c r="BF52" i="9" s="1"/>
  <c r="BG52" i="9" s="1"/>
  <c r="BH52" i="9" s="1"/>
  <c r="BI52" i="9" s="1"/>
  <c r="BJ52" i="9" s="1"/>
  <c r="BK52" i="9" s="1"/>
  <c r="BL52" i="9" s="1"/>
  <c r="BM52" i="9" s="1"/>
  <c r="BN52" i="9" s="1"/>
  <c r="BO52" i="9" s="1"/>
  <c r="BP52" i="9" s="1"/>
  <c r="BQ52" i="9" s="1"/>
  <c r="BR52" i="9" s="1"/>
  <c r="BS52" i="9" s="1"/>
  <c r="BT52" i="9" s="1"/>
  <c r="BU52" i="9" s="1"/>
  <c r="BV52" i="9" s="1"/>
  <c r="BW52" i="9" s="1"/>
  <c r="BX52" i="9" s="1"/>
  <c r="BY52" i="9" s="1"/>
  <c r="BZ52" i="9" s="1"/>
  <c r="CA52" i="9" s="1"/>
  <c r="CB52" i="9" s="1"/>
  <c r="CC52" i="9" s="1"/>
  <c r="CD52" i="9" s="1"/>
  <c r="CE52" i="9" s="1"/>
  <c r="CF52" i="9" s="1"/>
  <c r="CG52" i="9" s="1"/>
  <c r="CH52" i="9" s="1"/>
  <c r="CI52" i="9" s="1"/>
  <c r="CJ52" i="9" s="1"/>
  <c r="CK52" i="9" s="1"/>
  <c r="CL52" i="9" s="1"/>
  <c r="CM52" i="9" s="1"/>
  <c r="CN52" i="9" s="1"/>
  <c r="CO52" i="9" s="1"/>
  <c r="E51" i="9"/>
  <c r="F51" i="9" s="1"/>
  <c r="G51" i="9" s="1"/>
  <c r="H51" i="9" s="1"/>
  <c r="I51" i="9" s="1"/>
  <c r="J51" i="9" s="1"/>
  <c r="K51" i="9" s="1"/>
  <c r="L51" i="9" s="1"/>
  <c r="M51" i="9" s="1"/>
  <c r="N51" i="9" s="1"/>
  <c r="O51" i="9" s="1"/>
  <c r="P51" i="9" s="1"/>
  <c r="Q51" i="9" s="1"/>
  <c r="R51" i="9" s="1"/>
  <c r="S51" i="9" s="1"/>
  <c r="T51" i="9" s="1"/>
  <c r="U51" i="9" s="1"/>
  <c r="V51" i="9" s="1"/>
  <c r="W51" i="9" s="1"/>
  <c r="X51" i="9" s="1"/>
  <c r="Y51" i="9" s="1"/>
  <c r="Z51" i="9" s="1"/>
  <c r="AA51" i="9" s="1"/>
  <c r="AB51" i="9" s="1"/>
  <c r="AC51" i="9" s="1"/>
  <c r="AD51" i="9" s="1"/>
  <c r="AE51" i="9" s="1"/>
  <c r="AF51" i="9" s="1"/>
  <c r="AG51" i="9" s="1"/>
  <c r="AH51" i="9" s="1"/>
  <c r="AI51" i="9" s="1"/>
  <c r="AJ51" i="9" s="1"/>
  <c r="AK51" i="9" s="1"/>
  <c r="AL51" i="9" s="1"/>
  <c r="AM51" i="9" s="1"/>
  <c r="AN51" i="9" s="1"/>
  <c r="AO51" i="9" s="1"/>
  <c r="AP51" i="9" s="1"/>
  <c r="AQ51" i="9" s="1"/>
  <c r="AR51" i="9" s="1"/>
  <c r="AS51" i="9" s="1"/>
  <c r="AT51" i="9" s="1"/>
  <c r="AU51" i="9" s="1"/>
  <c r="AV51" i="9" s="1"/>
  <c r="AW51" i="9" s="1"/>
  <c r="AX51" i="9" s="1"/>
  <c r="AY51" i="9" s="1"/>
  <c r="AZ51" i="9" s="1"/>
  <c r="BA51" i="9" s="1"/>
  <c r="BB51" i="9" s="1"/>
  <c r="BC51" i="9" s="1"/>
  <c r="BD51" i="9" s="1"/>
  <c r="BE51" i="9" s="1"/>
  <c r="BF51" i="9" s="1"/>
  <c r="BG51" i="9" s="1"/>
  <c r="BH51" i="9" s="1"/>
  <c r="BI51" i="9" s="1"/>
  <c r="BJ51" i="9" s="1"/>
  <c r="BK51" i="9" s="1"/>
  <c r="BL51" i="9" s="1"/>
  <c r="BM51" i="9" s="1"/>
  <c r="BN51" i="9" s="1"/>
  <c r="BO51" i="9" s="1"/>
  <c r="BP51" i="9" s="1"/>
  <c r="BQ51" i="9" s="1"/>
  <c r="BR51" i="9" s="1"/>
  <c r="BS51" i="9" s="1"/>
  <c r="BT51" i="9" s="1"/>
  <c r="BU51" i="9" s="1"/>
  <c r="BV51" i="9" s="1"/>
  <c r="BW51" i="9" s="1"/>
  <c r="BX51" i="9" s="1"/>
  <c r="BY51" i="9" s="1"/>
  <c r="BZ51" i="9" s="1"/>
  <c r="CA51" i="9" s="1"/>
  <c r="CB51" i="9" s="1"/>
  <c r="CC51" i="9" s="1"/>
  <c r="CD51" i="9" s="1"/>
  <c r="CE51" i="9" s="1"/>
  <c r="CF51" i="9" s="1"/>
  <c r="CG51" i="9" s="1"/>
  <c r="CH51" i="9" s="1"/>
  <c r="CI51" i="9" s="1"/>
  <c r="CJ51" i="9" s="1"/>
  <c r="CK51" i="9" s="1"/>
  <c r="CL51" i="9" s="1"/>
  <c r="CM51" i="9" s="1"/>
  <c r="CN51" i="9" s="1"/>
  <c r="CO51" i="9" s="1"/>
  <c r="G50" i="9"/>
  <c r="H50" i="9" s="1"/>
  <c r="I50" i="9" s="1"/>
  <c r="J50" i="9" s="1"/>
  <c r="K50" i="9" s="1"/>
  <c r="L50" i="9" s="1"/>
  <c r="M50" i="9" s="1"/>
  <c r="N50" i="9" s="1"/>
  <c r="O50" i="9" s="1"/>
  <c r="P50" i="9" s="1"/>
  <c r="Q50" i="9" s="1"/>
  <c r="R50" i="9" s="1"/>
  <c r="S50" i="9" s="1"/>
  <c r="T50" i="9" s="1"/>
  <c r="U50" i="9" s="1"/>
  <c r="V50" i="9" s="1"/>
  <c r="W50" i="9" s="1"/>
  <c r="X50" i="9" s="1"/>
  <c r="Y50" i="9" s="1"/>
  <c r="Z50" i="9" s="1"/>
  <c r="AA50" i="9" s="1"/>
  <c r="AB50" i="9" s="1"/>
  <c r="AC50" i="9" s="1"/>
  <c r="AD50" i="9" s="1"/>
  <c r="AE50" i="9" s="1"/>
  <c r="AF50" i="9" s="1"/>
  <c r="AG50" i="9" s="1"/>
  <c r="AH50" i="9" s="1"/>
  <c r="AI50" i="9" s="1"/>
  <c r="AJ50" i="9" s="1"/>
  <c r="AK50" i="9" s="1"/>
  <c r="AL50" i="9" s="1"/>
  <c r="AM50" i="9" s="1"/>
  <c r="AN50" i="9" s="1"/>
  <c r="AO50" i="9" s="1"/>
  <c r="AP50" i="9" s="1"/>
  <c r="AQ50" i="9" s="1"/>
  <c r="AR50" i="9" s="1"/>
  <c r="AS50" i="9" s="1"/>
  <c r="AT50" i="9" s="1"/>
  <c r="AU50" i="9" s="1"/>
  <c r="AV50" i="9" s="1"/>
  <c r="AW50" i="9" s="1"/>
  <c r="AX50" i="9" s="1"/>
  <c r="AY50" i="9" s="1"/>
  <c r="AZ50" i="9" s="1"/>
  <c r="BA50" i="9" s="1"/>
  <c r="BB50" i="9" s="1"/>
  <c r="BC50" i="9" s="1"/>
  <c r="BD50" i="9" s="1"/>
  <c r="BE50" i="9" s="1"/>
  <c r="BF50" i="9" s="1"/>
  <c r="BG50" i="9" s="1"/>
  <c r="BH50" i="9" s="1"/>
  <c r="BI50" i="9" s="1"/>
  <c r="BJ50" i="9" s="1"/>
  <c r="BK50" i="9" s="1"/>
  <c r="BL50" i="9" s="1"/>
  <c r="BM50" i="9" s="1"/>
  <c r="BN50" i="9" s="1"/>
  <c r="BO50" i="9" s="1"/>
  <c r="BP50" i="9" s="1"/>
  <c r="BQ50" i="9" s="1"/>
  <c r="BR50" i="9" s="1"/>
  <c r="BS50" i="9" s="1"/>
  <c r="BT50" i="9" s="1"/>
  <c r="BU50" i="9" s="1"/>
  <c r="BV50" i="9" s="1"/>
  <c r="BW50" i="9" s="1"/>
  <c r="BX50" i="9" s="1"/>
  <c r="BY50" i="9" s="1"/>
  <c r="BZ50" i="9" s="1"/>
  <c r="CA50" i="9" s="1"/>
  <c r="CB50" i="9" s="1"/>
  <c r="CC50" i="9" s="1"/>
  <c r="CD50" i="9" s="1"/>
  <c r="CE50" i="9" s="1"/>
  <c r="CF50" i="9" s="1"/>
  <c r="CG50" i="9" s="1"/>
  <c r="CH50" i="9" s="1"/>
  <c r="CI50" i="9" s="1"/>
  <c r="CJ50" i="9" s="1"/>
  <c r="CK50" i="9" s="1"/>
  <c r="CL50" i="9" s="1"/>
  <c r="CM50" i="9" s="1"/>
  <c r="CN50" i="9" s="1"/>
  <c r="CO50" i="9" s="1"/>
  <c r="F50" i="9"/>
  <c r="E50" i="9"/>
  <c r="F49" i="9"/>
  <c r="G49" i="9" s="1"/>
  <c r="H49" i="9" s="1"/>
  <c r="I49" i="9" s="1"/>
  <c r="J49" i="9" s="1"/>
  <c r="K49" i="9" s="1"/>
  <c r="L49" i="9" s="1"/>
  <c r="M49" i="9" s="1"/>
  <c r="N49" i="9" s="1"/>
  <c r="O49" i="9" s="1"/>
  <c r="P49" i="9" s="1"/>
  <c r="Q49" i="9" s="1"/>
  <c r="R49" i="9" s="1"/>
  <c r="S49" i="9" s="1"/>
  <c r="T49" i="9" s="1"/>
  <c r="U49" i="9" s="1"/>
  <c r="V49" i="9" s="1"/>
  <c r="W49" i="9" s="1"/>
  <c r="X49" i="9" s="1"/>
  <c r="Y49" i="9" s="1"/>
  <c r="Z49" i="9" s="1"/>
  <c r="AA49" i="9" s="1"/>
  <c r="AB49" i="9" s="1"/>
  <c r="AC49" i="9" s="1"/>
  <c r="AD49" i="9" s="1"/>
  <c r="AE49" i="9" s="1"/>
  <c r="AF49" i="9" s="1"/>
  <c r="AG49" i="9" s="1"/>
  <c r="AH49" i="9" s="1"/>
  <c r="AI49" i="9" s="1"/>
  <c r="AJ49" i="9" s="1"/>
  <c r="AK49" i="9" s="1"/>
  <c r="AL49" i="9" s="1"/>
  <c r="AM49" i="9" s="1"/>
  <c r="AN49" i="9" s="1"/>
  <c r="AO49" i="9" s="1"/>
  <c r="AP49" i="9" s="1"/>
  <c r="AQ49" i="9" s="1"/>
  <c r="AR49" i="9" s="1"/>
  <c r="AS49" i="9" s="1"/>
  <c r="AT49" i="9" s="1"/>
  <c r="AU49" i="9" s="1"/>
  <c r="AV49" i="9" s="1"/>
  <c r="AW49" i="9" s="1"/>
  <c r="AX49" i="9" s="1"/>
  <c r="AY49" i="9" s="1"/>
  <c r="AZ49" i="9" s="1"/>
  <c r="BA49" i="9" s="1"/>
  <c r="BB49" i="9" s="1"/>
  <c r="BC49" i="9" s="1"/>
  <c r="BD49" i="9" s="1"/>
  <c r="BE49" i="9" s="1"/>
  <c r="BF49" i="9" s="1"/>
  <c r="BG49" i="9" s="1"/>
  <c r="BH49" i="9" s="1"/>
  <c r="BI49" i="9" s="1"/>
  <c r="BJ49" i="9" s="1"/>
  <c r="BK49" i="9" s="1"/>
  <c r="BL49" i="9" s="1"/>
  <c r="BM49" i="9" s="1"/>
  <c r="BN49" i="9" s="1"/>
  <c r="BO49" i="9" s="1"/>
  <c r="BP49" i="9" s="1"/>
  <c r="BQ49" i="9" s="1"/>
  <c r="BR49" i="9" s="1"/>
  <c r="BS49" i="9" s="1"/>
  <c r="BT49" i="9" s="1"/>
  <c r="BU49" i="9" s="1"/>
  <c r="BV49" i="9" s="1"/>
  <c r="BW49" i="9" s="1"/>
  <c r="BX49" i="9" s="1"/>
  <c r="BY49" i="9" s="1"/>
  <c r="BZ49" i="9" s="1"/>
  <c r="CA49" i="9" s="1"/>
  <c r="CB49" i="9" s="1"/>
  <c r="CC49" i="9" s="1"/>
  <c r="CD49" i="9" s="1"/>
  <c r="CE49" i="9" s="1"/>
  <c r="CF49" i="9" s="1"/>
  <c r="CG49" i="9" s="1"/>
  <c r="CH49" i="9" s="1"/>
  <c r="CI49" i="9" s="1"/>
  <c r="CJ49" i="9" s="1"/>
  <c r="CK49" i="9" s="1"/>
  <c r="CL49" i="9" s="1"/>
  <c r="CM49" i="9" s="1"/>
  <c r="CN49" i="9" s="1"/>
  <c r="CO49" i="9" s="1"/>
  <c r="E49" i="9"/>
  <c r="CK48" i="9"/>
  <c r="CL48" i="9" s="1"/>
  <c r="CM48" i="9" s="1"/>
  <c r="CN48" i="9" s="1"/>
  <c r="CO48" i="9" s="1"/>
  <c r="F48" i="9"/>
  <c r="G48" i="9" s="1"/>
  <c r="H48" i="9" s="1"/>
  <c r="I48" i="9" s="1"/>
  <c r="J48" i="9" s="1"/>
  <c r="K48" i="9" s="1"/>
  <c r="L48" i="9" s="1"/>
  <c r="M48" i="9" s="1"/>
  <c r="N48" i="9" s="1"/>
  <c r="O48" i="9" s="1"/>
  <c r="P48" i="9" s="1"/>
  <c r="Q48" i="9" s="1"/>
  <c r="R48" i="9" s="1"/>
  <c r="S48" i="9" s="1"/>
  <c r="T48" i="9" s="1"/>
  <c r="U48" i="9" s="1"/>
  <c r="V48" i="9" s="1"/>
  <c r="W48" i="9" s="1"/>
  <c r="X48" i="9" s="1"/>
  <c r="Y48" i="9" s="1"/>
  <c r="Z48" i="9" s="1"/>
  <c r="AA48" i="9" s="1"/>
  <c r="AB48" i="9" s="1"/>
  <c r="AC48" i="9" s="1"/>
  <c r="AD48" i="9" s="1"/>
  <c r="AE48" i="9" s="1"/>
  <c r="AF48" i="9" s="1"/>
  <c r="AG48" i="9" s="1"/>
  <c r="AH48" i="9" s="1"/>
  <c r="AI48" i="9" s="1"/>
  <c r="AJ48" i="9" s="1"/>
  <c r="AK48" i="9" s="1"/>
  <c r="AL48" i="9" s="1"/>
  <c r="AM48" i="9" s="1"/>
  <c r="AN48" i="9" s="1"/>
  <c r="AO48" i="9" s="1"/>
  <c r="AP48" i="9" s="1"/>
  <c r="AQ48" i="9" s="1"/>
  <c r="AR48" i="9" s="1"/>
  <c r="AS48" i="9" s="1"/>
  <c r="AT48" i="9" s="1"/>
  <c r="AU48" i="9" s="1"/>
  <c r="AV48" i="9" s="1"/>
  <c r="AW48" i="9" s="1"/>
  <c r="AX48" i="9" s="1"/>
  <c r="AY48" i="9" s="1"/>
  <c r="AZ48" i="9" s="1"/>
  <c r="BA48" i="9" s="1"/>
  <c r="BB48" i="9" s="1"/>
  <c r="BC48" i="9" s="1"/>
  <c r="BD48" i="9" s="1"/>
  <c r="BE48" i="9" s="1"/>
  <c r="BF48" i="9" s="1"/>
  <c r="BG48" i="9" s="1"/>
  <c r="BH48" i="9" s="1"/>
  <c r="BI48" i="9" s="1"/>
  <c r="BJ48" i="9" s="1"/>
  <c r="BK48" i="9" s="1"/>
  <c r="BL48" i="9" s="1"/>
  <c r="BM48" i="9" s="1"/>
  <c r="BN48" i="9" s="1"/>
  <c r="BO48" i="9" s="1"/>
  <c r="BP48" i="9" s="1"/>
  <c r="BQ48" i="9" s="1"/>
  <c r="BR48" i="9" s="1"/>
  <c r="BS48" i="9" s="1"/>
  <c r="BT48" i="9" s="1"/>
  <c r="BU48" i="9" s="1"/>
  <c r="BV48" i="9" s="1"/>
  <c r="BW48" i="9" s="1"/>
  <c r="BX48" i="9" s="1"/>
  <c r="BY48" i="9" s="1"/>
  <c r="BZ48" i="9" s="1"/>
  <c r="CA48" i="9" s="1"/>
  <c r="CB48" i="9" s="1"/>
  <c r="CC48" i="9" s="1"/>
  <c r="CD48" i="9" s="1"/>
  <c r="CE48" i="9" s="1"/>
  <c r="CF48" i="9" s="1"/>
  <c r="CG48" i="9" s="1"/>
  <c r="CH48" i="9" s="1"/>
  <c r="CI48" i="9" s="1"/>
  <c r="CJ48" i="9" s="1"/>
  <c r="E48" i="9"/>
  <c r="E47" i="9"/>
  <c r="F47" i="9" s="1"/>
  <c r="G47" i="9" s="1"/>
  <c r="H47" i="9" s="1"/>
  <c r="I47" i="9" s="1"/>
  <c r="J47" i="9" s="1"/>
  <c r="K47" i="9" s="1"/>
  <c r="L47" i="9" s="1"/>
  <c r="M47" i="9" s="1"/>
  <c r="N47" i="9" s="1"/>
  <c r="O47" i="9" s="1"/>
  <c r="P47" i="9" s="1"/>
  <c r="Q47" i="9" s="1"/>
  <c r="R47" i="9" s="1"/>
  <c r="S47" i="9" s="1"/>
  <c r="T47" i="9" s="1"/>
  <c r="U47" i="9" s="1"/>
  <c r="V47" i="9" s="1"/>
  <c r="W47" i="9" s="1"/>
  <c r="X47" i="9" s="1"/>
  <c r="Y47" i="9" s="1"/>
  <c r="Z47" i="9" s="1"/>
  <c r="AA47" i="9" s="1"/>
  <c r="AB47" i="9" s="1"/>
  <c r="AC47" i="9" s="1"/>
  <c r="AD47" i="9" s="1"/>
  <c r="AE47" i="9" s="1"/>
  <c r="AF47" i="9" s="1"/>
  <c r="AG47" i="9" s="1"/>
  <c r="AH47" i="9" s="1"/>
  <c r="AI47" i="9" s="1"/>
  <c r="AJ47" i="9" s="1"/>
  <c r="AK47" i="9" s="1"/>
  <c r="AL47" i="9" s="1"/>
  <c r="AM47" i="9" s="1"/>
  <c r="AN47" i="9" s="1"/>
  <c r="AO47" i="9" s="1"/>
  <c r="AP47" i="9" s="1"/>
  <c r="AQ47" i="9" s="1"/>
  <c r="AR47" i="9" s="1"/>
  <c r="AS47" i="9" s="1"/>
  <c r="AT47" i="9" s="1"/>
  <c r="AU47" i="9" s="1"/>
  <c r="AV47" i="9" s="1"/>
  <c r="AW47" i="9" s="1"/>
  <c r="AX47" i="9" s="1"/>
  <c r="AY47" i="9" s="1"/>
  <c r="AZ47" i="9" s="1"/>
  <c r="BA47" i="9" s="1"/>
  <c r="BB47" i="9" s="1"/>
  <c r="BC47" i="9" s="1"/>
  <c r="BD47" i="9" s="1"/>
  <c r="BE47" i="9" s="1"/>
  <c r="BF47" i="9" s="1"/>
  <c r="BG47" i="9" s="1"/>
  <c r="BH47" i="9" s="1"/>
  <c r="BI47" i="9" s="1"/>
  <c r="BJ47" i="9" s="1"/>
  <c r="BK47" i="9" s="1"/>
  <c r="BL47" i="9" s="1"/>
  <c r="BM47" i="9" s="1"/>
  <c r="BN47" i="9" s="1"/>
  <c r="BO47" i="9" s="1"/>
  <c r="BP47" i="9" s="1"/>
  <c r="BQ47" i="9" s="1"/>
  <c r="BR47" i="9" s="1"/>
  <c r="BS47" i="9" s="1"/>
  <c r="BT47" i="9" s="1"/>
  <c r="BU47" i="9" s="1"/>
  <c r="BV47" i="9" s="1"/>
  <c r="BW47" i="9" s="1"/>
  <c r="BX47" i="9" s="1"/>
  <c r="BY47" i="9" s="1"/>
  <c r="BZ47" i="9" s="1"/>
  <c r="CA47" i="9" s="1"/>
  <c r="CB47" i="9" s="1"/>
  <c r="CC47" i="9" s="1"/>
  <c r="CD47" i="9" s="1"/>
  <c r="CE47" i="9" s="1"/>
  <c r="CF47" i="9" s="1"/>
  <c r="CG47" i="9" s="1"/>
  <c r="CH47" i="9" s="1"/>
  <c r="CI47" i="9" s="1"/>
  <c r="CJ47" i="9" s="1"/>
  <c r="CK47" i="9" s="1"/>
  <c r="CL47" i="9" s="1"/>
  <c r="CM47" i="9" s="1"/>
  <c r="CN47" i="9" s="1"/>
  <c r="CO47" i="9" s="1"/>
  <c r="Q46" i="9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N46" i="9" s="1"/>
  <c r="AO46" i="9" s="1"/>
  <c r="AP46" i="9" s="1"/>
  <c r="AQ46" i="9" s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BC46" i="9" s="1"/>
  <c r="BD46" i="9" s="1"/>
  <c r="BE46" i="9" s="1"/>
  <c r="BF46" i="9" s="1"/>
  <c r="BG46" i="9" s="1"/>
  <c r="BH46" i="9" s="1"/>
  <c r="BI46" i="9" s="1"/>
  <c r="BJ46" i="9" s="1"/>
  <c r="BK46" i="9" s="1"/>
  <c r="BL46" i="9" s="1"/>
  <c r="BM46" i="9" s="1"/>
  <c r="BN46" i="9" s="1"/>
  <c r="BO46" i="9" s="1"/>
  <c r="BP46" i="9" s="1"/>
  <c r="BQ46" i="9" s="1"/>
  <c r="BR46" i="9" s="1"/>
  <c r="BS46" i="9" s="1"/>
  <c r="BT46" i="9" s="1"/>
  <c r="BU46" i="9" s="1"/>
  <c r="BV46" i="9" s="1"/>
  <c r="BW46" i="9" s="1"/>
  <c r="BX46" i="9" s="1"/>
  <c r="BY46" i="9" s="1"/>
  <c r="BZ46" i="9" s="1"/>
  <c r="CA46" i="9" s="1"/>
  <c r="CB46" i="9" s="1"/>
  <c r="CC46" i="9" s="1"/>
  <c r="CD46" i="9" s="1"/>
  <c r="CE46" i="9" s="1"/>
  <c r="CF46" i="9" s="1"/>
  <c r="CG46" i="9" s="1"/>
  <c r="CH46" i="9" s="1"/>
  <c r="CI46" i="9" s="1"/>
  <c r="CJ46" i="9" s="1"/>
  <c r="CK46" i="9" s="1"/>
  <c r="CL46" i="9" s="1"/>
  <c r="CM46" i="9" s="1"/>
  <c r="CN46" i="9" s="1"/>
  <c r="CO46" i="9" s="1"/>
  <c r="F46" i="9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E46" i="9"/>
  <c r="F45" i="9"/>
  <c r="G45" i="9" s="1"/>
  <c r="H45" i="9" s="1"/>
  <c r="I45" i="9" s="1"/>
  <c r="J45" i="9" s="1"/>
  <c r="K45" i="9" s="1"/>
  <c r="L45" i="9" s="1"/>
  <c r="M45" i="9" s="1"/>
  <c r="N45" i="9" s="1"/>
  <c r="O45" i="9" s="1"/>
  <c r="P45" i="9" s="1"/>
  <c r="Q45" i="9" s="1"/>
  <c r="R45" i="9" s="1"/>
  <c r="S45" i="9" s="1"/>
  <c r="T45" i="9" s="1"/>
  <c r="U45" i="9" s="1"/>
  <c r="V45" i="9" s="1"/>
  <c r="W45" i="9" s="1"/>
  <c r="X45" i="9" s="1"/>
  <c r="Y45" i="9" s="1"/>
  <c r="Z45" i="9" s="1"/>
  <c r="AA45" i="9" s="1"/>
  <c r="AB45" i="9" s="1"/>
  <c r="AC45" i="9" s="1"/>
  <c r="AD45" i="9" s="1"/>
  <c r="AE45" i="9" s="1"/>
  <c r="AF45" i="9" s="1"/>
  <c r="AG45" i="9" s="1"/>
  <c r="AH45" i="9" s="1"/>
  <c r="AI45" i="9" s="1"/>
  <c r="AJ45" i="9" s="1"/>
  <c r="AK45" i="9" s="1"/>
  <c r="AL45" i="9" s="1"/>
  <c r="AM45" i="9" s="1"/>
  <c r="AN45" i="9" s="1"/>
  <c r="AO45" i="9" s="1"/>
  <c r="AP45" i="9" s="1"/>
  <c r="AQ45" i="9" s="1"/>
  <c r="AR45" i="9" s="1"/>
  <c r="AS45" i="9" s="1"/>
  <c r="AT45" i="9" s="1"/>
  <c r="AU45" i="9" s="1"/>
  <c r="AV45" i="9" s="1"/>
  <c r="AW45" i="9" s="1"/>
  <c r="AX45" i="9" s="1"/>
  <c r="AY45" i="9" s="1"/>
  <c r="AZ45" i="9" s="1"/>
  <c r="BA45" i="9" s="1"/>
  <c r="BB45" i="9" s="1"/>
  <c r="BC45" i="9" s="1"/>
  <c r="BD45" i="9" s="1"/>
  <c r="BE45" i="9" s="1"/>
  <c r="BF45" i="9" s="1"/>
  <c r="BG45" i="9" s="1"/>
  <c r="BH45" i="9" s="1"/>
  <c r="BI45" i="9" s="1"/>
  <c r="BJ45" i="9" s="1"/>
  <c r="BK45" i="9" s="1"/>
  <c r="BL45" i="9" s="1"/>
  <c r="BM45" i="9" s="1"/>
  <c r="BN45" i="9" s="1"/>
  <c r="BO45" i="9" s="1"/>
  <c r="BP45" i="9" s="1"/>
  <c r="BQ45" i="9" s="1"/>
  <c r="BR45" i="9" s="1"/>
  <c r="BS45" i="9" s="1"/>
  <c r="BT45" i="9" s="1"/>
  <c r="BU45" i="9" s="1"/>
  <c r="BV45" i="9" s="1"/>
  <c r="BW45" i="9" s="1"/>
  <c r="BX45" i="9" s="1"/>
  <c r="BY45" i="9" s="1"/>
  <c r="BZ45" i="9" s="1"/>
  <c r="CA45" i="9" s="1"/>
  <c r="CB45" i="9" s="1"/>
  <c r="CC45" i="9" s="1"/>
  <c r="CD45" i="9" s="1"/>
  <c r="CE45" i="9" s="1"/>
  <c r="CF45" i="9" s="1"/>
  <c r="CG45" i="9" s="1"/>
  <c r="CH45" i="9" s="1"/>
  <c r="CI45" i="9" s="1"/>
  <c r="CJ45" i="9" s="1"/>
  <c r="CK45" i="9" s="1"/>
  <c r="CL45" i="9" s="1"/>
  <c r="CM45" i="9" s="1"/>
  <c r="CN45" i="9" s="1"/>
  <c r="CO45" i="9" s="1"/>
  <c r="E45" i="9"/>
  <c r="E44" i="9"/>
  <c r="F44" i="9" s="1"/>
  <c r="G44" i="9" s="1"/>
  <c r="H44" i="9" s="1"/>
  <c r="I44" i="9" s="1"/>
  <c r="J44" i="9" s="1"/>
  <c r="K44" i="9" s="1"/>
  <c r="L44" i="9" s="1"/>
  <c r="M44" i="9" s="1"/>
  <c r="N44" i="9" s="1"/>
  <c r="O44" i="9" s="1"/>
  <c r="P44" i="9" s="1"/>
  <c r="Q44" i="9" s="1"/>
  <c r="R44" i="9" s="1"/>
  <c r="S44" i="9" s="1"/>
  <c r="T44" i="9" s="1"/>
  <c r="U44" i="9" s="1"/>
  <c r="V44" i="9" s="1"/>
  <c r="W44" i="9" s="1"/>
  <c r="X44" i="9" s="1"/>
  <c r="Y44" i="9" s="1"/>
  <c r="Z44" i="9" s="1"/>
  <c r="AA44" i="9" s="1"/>
  <c r="AB44" i="9" s="1"/>
  <c r="AC44" i="9" s="1"/>
  <c r="AD44" i="9" s="1"/>
  <c r="AE44" i="9" s="1"/>
  <c r="AF44" i="9" s="1"/>
  <c r="AG44" i="9" s="1"/>
  <c r="AH44" i="9" s="1"/>
  <c r="AI44" i="9" s="1"/>
  <c r="AJ44" i="9" s="1"/>
  <c r="AK44" i="9" s="1"/>
  <c r="AL44" i="9" s="1"/>
  <c r="AM44" i="9" s="1"/>
  <c r="AN44" i="9" s="1"/>
  <c r="AO44" i="9" s="1"/>
  <c r="AP44" i="9" s="1"/>
  <c r="AQ44" i="9" s="1"/>
  <c r="AR44" i="9" s="1"/>
  <c r="AS44" i="9" s="1"/>
  <c r="AT44" i="9" s="1"/>
  <c r="AU44" i="9" s="1"/>
  <c r="AV44" i="9" s="1"/>
  <c r="AW44" i="9" s="1"/>
  <c r="AX44" i="9" s="1"/>
  <c r="AY44" i="9" s="1"/>
  <c r="AZ44" i="9" s="1"/>
  <c r="BA44" i="9" s="1"/>
  <c r="BB44" i="9" s="1"/>
  <c r="BC44" i="9" s="1"/>
  <c r="BD44" i="9" s="1"/>
  <c r="BE44" i="9" s="1"/>
  <c r="BF44" i="9" s="1"/>
  <c r="BG44" i="9" s="1"/>
  <c r="BH44" i="9" s="1"/>
  <c r="BI44" i="9" s="1"/>
  <c r="BJ44" i="9" s="1"/>
  <c r="BK44" i="9" s="1"/>
  <c r="BL44" i="9" s="1"/>
  <c r="BM44" i="9" s="1"/>
  <c r="BN44" i="9" s="1"/>
  <c r="BO44" i="9" s="1"/>
  <c r="BP44" i="9" s="1"/>
  <c r="BQ44" i="9" s="1"/>
  <c r="BR44" i="9" s="1"/>
  <c r="BS44" i="9" s="1"/>
  <c r="BT44" i="9" s="1"/>
  <c r="BU44" i="9" s="1"/>
  <c r="BV44" i="9" s="1"/>
  <c r="BW44" i="9" s="1"/>
  <c r="BX44" i="9" s="1"/>
  <c r="BY44" i="9" s="1"/>
  <c r="BZ44" i="9" s="1"/>
  <c r="CA44" i="9" s="1"/>
  <c r="CB44" i="9" s="1"/>
  <c r="CC44" i="9" s="1"/>
  <c r="CD44" i="9" s="1"/>
  <c r="CE44" i="9" s="1"/>
  <c r="CF44" i="9" s="1"/>
  <c r="CG44" i="9" s="1"/>
  <c r="CH44" i="9" s="1"/>
  <c r="CI44" i="9" s="1"/>
  <c r="CJ44" i="9" s="1"/>
  <c r="CK44" i="9" s="1"/>
  <c r="CL44" i="9" s="1"/>
  <c r="CM44" i="9" s="1"/>
  <c r="CN44" i="9" s="1"/>
  <c r="CO44" i="9" s="1"/>
  <c r="E43" i="9"/>
  <c r="F43" i="9" s="1"/>
  <c r="G43" i="9" s="1"/>
  <c r="H43" i="9" s="1"/>
  <c r="I43" i="9" s="1"/>
  <c r="J43" i="9" s="1"/>
  <c r="K43" i="9" s="1"/>
  <c r="L43" i="9" s="1"/>
  <c r="M43" i="9" s="1"/>
  <c r="N43" i="9" s="1"/>
  <c r="O43" i="9" s="1"/>
  <c r="P43" i="9" s="1"/>
  <c r="Q43" i="9" s="1"/>
  <c r="R43" i="9" s="1"/>
  <c r="S43" i="9" s="1"/>
  <c r="T43" i="9" s="1"/>
  <c r="U43" i="9" s="1"/>
  <c r="V43" i="9" s="1"/>
  <c r="W43" i="9" s="1"/>
  <c r="X43" i="9" s="1"/>
  <c r="Y43" i="9" s="1"/>
  <c r="Z43" i="9" s="1"/>
  <c r="AA43" i="9" s="1"/>
  <c r="AB43" i="9" s="1"/>
  <c r="AC43" i="9" s="1"/>
  <c r="AD43" i="9" s="1"/>
  <c r="AE43" i="9" s="1"/>
  <c r="AF43" i="9" s="1"/>
  <c r="AG43" i="9" s="1"/>
  <c r="AH43" i="9" s="1"/>
  <c r="AI43" i="9" s="1"/>
  <c r="AJ43" i="9" s="1"/>
  <c r="AK43" i="9" s="1"/>
  <c r="AL43" i="9" s="1"/>
  <c r="AM43" i="9" s="1"/>
  <c r="AN43" i="9" s="1"/>
  <c r="AO43" i="9" s="1"/>
  <c r="AP43" i="9" s="1"/>
  <c r="AQ43" i="9" s="1"/>
  <c r="AR43" i="9" s="1"/>
  <c r="AS43" i="9" s="1"/>
  <c r="AT43" i="9" s="1"/>
  <c r="AU43" i="9" s="1"/>
  <c r="AV43" i="9" s="1"/>
  <c r="AW43" i="9" s="1"/>
  <c r="AX43" i="9" s="1"/>
  <c r="AY43" i="9" s="1"/>
  <c r="AZ43" i="9" s="1"/>
  <c r="BA43" i="9" s="1"/>
  <c r="BB43" i="9" s="1"/>
  <c r="BC43" i="9" s="1"/>
  <c r="BD43" i="9" s="1"/>
  <c r="BE43" i="9" s="1"/>
  <c r="BF43" i="9" s="1"/>
  <c r="BG43" i="9" s="1"/>
  <c r="BH43" i="9" s="1"/>
  <c r="BI43" i="9" s="1"/>
  <c r="BJ43" i="9" s="1"/>
  <c r="BK43" i="9" s="1"/>
  <c r="BL43" i="9" s="1"/>
  <c r="BM43" i="9" s="1"/>
  <c r="BN43" i="9" s="1"/>
  <c r="BO43" i="9" s="1"/>
  <c r="BP43" i="9" s="1"/>
  <c r="BQ43" i="9" s="1"/>
  <c r="BR43" i="9" s="1"/>
  <c r="BS43" i="9" s="1"/>
  <c r="BT43" i="9" s="1"/>
  <c r="BU43" i="9" s="1"/>
  <c r="BV43" i="9" s="1"/>
  <c r="BW43" i="9" s="1"/>
  <c r="BX43" i="9" s="1"/>
  <c r="BY43" i="9" s="1"/>
  <c r="BZ43" i="9" s="1"/>
  <c r="CA43" i="9" s="1"/>
  <c r="CB43" i="9" s="1"/>
  <c r="CC43" i="9" s="1"/>
  <c r="CD43" i="9" s="1"/>
  <c r="CE43" i="9" s="1"/>
  <c r="CF43" i="9" s="1"/>
  <c r="CG43" i="9" s="1"/>
  <c r="CH43" i="9" s="1"/>
  <c r="CI43" i="9" s="1"/>
  <c r="CJ43" i="9" s="1"/>
  <c r="CK43" i="9" s="1"/>
  <c r="CL43" i="9" s="1"/>
  <c r="CM43" i="9" s="1"/>
  <c r="CN43" i="9" s="1"/>
  <c r="CO43" i="9" s="1"/>
  <c r="P42" i="9"/>
  <c r="Q42" i="9" s="1"/>
  <c r="R42" i="9" s="1"/>
  <c r="S42" i="9" s="1"/>
  <c r="T42" i="9" s="1"/>
  <c r="U42" i="9" s="1"/>
  <c r="V42" i="9" s="1"/>
  <c r="W42" i="9" s="1"/>
  <c r="X42" i="9" s="1"/>
  <c r="Y42" i="9" s="1"/>
  <c r="Z42" i="9" s="1"/>
  <c r="AA42" i="9" s="1"/>
  <c r="AB42" i="9" s="1"/>
  <c r="AC42" i="9" s="1"/>
  <c r="AD42" i="9" s="1"/>
  <c r="AE42" i="9" s="1"/>
  <c r="AF42" i="9" s="1"/>
  <c r="AG42" i="9" s="1"/>
  <c r="AH42" i="9" s="1"/>
  <c r="AI42" i="9" s="1"/>
  <c r="AJ42" i="9" s="1"/>
  <c r="AK42" i="9" s="1"/>
  <c r="AL42" i="9" s="1"/>
  <c r="AM42" i="9" s="1"/>
  <c r="AN42" i="9" s="1"/>
  <c r="AO42" i="9" s="1"/>
  <c r="AP42" i="9" s="1"/>
  <c r="AQ42" i="9" s="1"/>
  <c r="AR42" i="9" s="1"/>
  <c r="AS42" i="9" s="1"/>
  <c r="AT42" i="9" s="1"/>
  <c r="AU42" i="9" s="1"/>
  <c r="AV42" i="9" s="1"/>
  <c r="AW42" i="9" s="1"/>
  <c r="AX42" i="9" s="1"/>
  <c r="AY42" i="9" s="1"/>
  <c r="AZ42" i="9" s="1"/>
  <c r="BA42" i="9" s="1"/>
  <c r="BB42" i="9" s="1"/>
  <c r="BC42" i="9" s="1"/>
  <c r="BD42" i="9" s="1"/>
  <c r="BE42" i="9" s="1"/>
  <c r="BF42" i="9" s="1"/>
  <c r="BG42" i="9" s="1"/>
  <c r="BH42" i="9" s="1"/>
  <c r="BI42" i="9" s="1"/>
  <c r="BJ42" i="9" s="1"/>
  <c r="BK42" i="9" s="1"/>
  <c r="BL42" i="9" s="1"/>
  <c r="BM42" i="9" s="1"/>
  <c r="BN42" i="9" s="1"/>
  <c r="BO42" i="9" s="1"/>
  <c r="BP42" i="9" s="1"/>
  <c r="BQ42" i="9" s="1"/>
  <c r="BR42" i="9" s="1"/>
  <c r="BS42" i="9" s="1"/>
  <c r="BT42" i="9" s="1"/>
  <c r="BU42" i="9" s="1"/>
  <c r="BV42" i="9" s="1"/>
  <c r="BW42" i="9" s="1"/>
  <c r="BX42" i="9" s="1"/>
  <c r="BY42" i="9" s="1"/>
  <c r="BZ42" i="9" s="1"/>
  <c r="CA42" i="9" s="1"/>
  <c r="CB42" i="9" s="1"/>
  <c r="CC42" i="9" s="1"/>
  <c r="CD42" i="9" s="1"/>
  <c r="CE42" i="9" s="1"/>
  <c r="CF42" i="9" s="1"/>
  <c r="CG42" i="9" s="1"/>
  <c r="CH42" i="9" s="1"/>
  <c r="CI42" i="9" s="1"/>
  <c r="CJ42" i="9" s="1"/>
  <c r="CK42" i="9" s="1"/>
  <c r="CL42" i="9" s="1"/>
  <c r="CM42" i="9" s="1"/>
  <c r="CN42" i="9" s="1"/>
  <c r="CO42" i="9" s="1"/>
  <c r="E42" i="9"/>
  <c r="F42" i="9" s="1"/>
  <c r="G42" i="9" s="1"/>
  <c r="H42" i="9" s="1"/>
  <c r="I42" i="9" s="1"/>
  <c r="J42" i="9" s="1"/>
  <c r="K42" i="9" s="1"/>
  <c r="L42" i="9" s="1"/>
  <c r="M42" i="9" s="1"/>
  <c r="N42" i="9" s="1"/>
  <c r="O42" i="9" s="1"/>
  <c r="F41" i="9"/>
  <c r="G41" i="9" s="1"/>
  <c r="H41" i="9" s="1"/>
  <c r="I41" i="9" s="1"/>
  <c r="J41" i="9" s="1"/>
  <c r="K41" i="9" s="1"/>
  <c r="L41" i="9" s="1"/>
  <c r="M41" i="9" s="1"/>
  <c r="N41" i="9" s="1"/>
  <c r="O41" i="9" s="1"/>
  <c r="P41" i="9" s="1"/>
  <c r="Q41" i="9" s="1"/>
  <c r="R41" i="9" s="1"/>
  <c r="S41" i="9" s="1"/>
  <c r="T41" i="9" s="1"/>
  <c r="U41" i="9" s="1"/>
  <c r="V41" i="9" s="1"/>
  <c r="W41" i="9" s="1"/>
  <c r="X41" i="9" s="1"/>
  <c r="Y41" i="9" s="1"/>
  <c r="Z41" i="9" s="1"/>
  <c r="AA41" i="9" s="1"/>
  <c r="AB41" i="9" s="1"/>
  <c r="AC41" i="9" s="1"/>
  <c r="AD41" i="9" s="1"/>
  <c r="AE41" i="9" s="1"/>
  <c r="AF41" i="9" s="1"/>
  <c r="AG41" i="9" s="1"/>
  <c r="AH41" i="9" s="1"/>
  <c r="AI41" i="9" s="1"/>
  <c r="AJ41" i="9" s="1"/>
  <c r="AK41" i="9" s="1"/>
  <c r="AL41" i="9" s="1"/>
  <c r="AM41" i="9" s="1"/>
  <c r="AN41" i="9" s="1"/>
  <c r="AO41" i="9" s="1"/>
  <c r="AP41" i="9" s="1"/>
  <c r="AQ41" i="9" s="1"/>
  <c r="AR41" i="9" s="1"/>
  <c r="AS41" i="9" s="1"/>
  <c r="AT41" i="9" s="1"/>
  <c r="AU41" i="9" s="1"/>
  <c r="AV41" i="9" s="1"/>
  <c r="AW41" i="9" s="1"/>
  <c r="AX41" i="9" s="1"/>
  <c r="AY41" i="9" s="1"/>
  <c r="AZ41" i="9" s="1"/>
  <c r="BA41" i="9" s="1"/>
  <c r="BB41" i="9" s="1"/>
  <c r="BC41" i="9" s="1"/>
  <c r="BD41" i="9" s="1"/>
  <c r="BE41" i="9" s="1"/>
  <c r="BF41" i="9" s="1"/>
  <c r="BG41" i="9" s="1"/>
  <c r="BH41" i="9" s="1"/>
  <c r="BI41" i="9" s="1"/>
  <c r="BJ41" i="9" s="1"/>
  <c r="BK41" i="9" s="1"/>
  <c r="BL41" i="9" s="1"/>
  <c r="BM41" i="9" s="1"/>
  <c r="BN41" i="9" s="1"/>
  <c r="BO41" i="9" s="1"/>
  <c r="BP41" i="9" s="1"/>
  <c r="BQ41" i="9" s="1"/>
  <c r="BR41" i="9" s="1"/>
  <c r="BS41" i="9" s="1"/>
  <c r="BT41" i="9" s="1"/>
  <c r="BU41" i="9" s="1"/>
  <c r="BV41" i="9" s="1"/>
  <c r="BW41" i="9" s="1"/>
  <c r="BX41" i="9" s="1"/>
  <c r="BY41" i="9" s="1"/>
  <c r="BZ41" i="9" s="1"/>
  <c r="CA41" i="9" s="1"/>
  <c r="CB41" i="9" s="1"/>
  <c r="CC41" i="9" s="1"/>
  <c r="CD41" i="9" s="1"/>
  <c r="CE41" i="9" s="1"/>
  <c r="CF41" i="9" s="1"/>
  <c r="CG41" i="9" s="1"/>
  <c r="CH41" i="9" s="1"/>
  <c r="CI41" i="9" s="1"/>
  <c r="CJ41" i="9" s="1"/>
  <c r="CK41" i="9" s="1"/>
  <c r="CL41" i="9" s="1"/>
  <c r="CM41" i="9" s="1"/>
  <c r="CN41" i="9" s="1"/>
  <c r="CO41" i="9" s="1"/>
  <c r="E41" i="9"/>
  <c r="E40" i="9"/>
  <c r="F40" i="9" s="1"/>
  <c r="G40" i="9" s="1"/>
  <c r="H40" i="9" s="1"/>
  <c r="I40" i="9" s="1"/>
  <c r="J40" i="9" s="1"/>
  <c r="K40" i="9" s="1"/>
  <c r="L40" i="9" s="1"/>
  <c r="M40" i="9" s="1"/>
  <c r="N40" i="9" s="1"/>
  <c r="O40" i="9" s="1"/>
  <c r="P40" i="9" s="1"/>
  <c r="Q40" i="9" s="1"/>
  <c r="R40" i="9" s="1"/>
  <c r="S40" i="9" s="1"/>
  <c r="T40" i="9" s="1"/>
  <c r="U40" i="9" s="1"/>
  <c r="V40" i="9" s="1"/>
  <c r="W40" i="9" s="1"/>
  <c r="X40" i="9" s="1"/>
  <c r="Y40" i="9" s="1"/>
  <c r="Z40" i="9" s="1"/>
  <c r="AA40" i="9" s="1"/>
  <c r="AB40" i="9" s="1"/>
  <c r="AC40" i="9" s="1"/>
  <c r="AD40" i="9" s="1"/>
  <c r="AE40" i="9" s="1"/>
  <c r="AF40" i="9" s="1"/>
  <c r="AG40" i="9" s="1"/>
  <c r="AH40" i="9" s="1"/>
  <c r="AI40" i="9" s="1"/>
  <c r="AJ40" i="9" s="1"/>
  <c r="AK40" i="9" s="1"/>
  <c r="AL40" i="9" s="1"/>
  <c r="AM40" i="9" s="1"/>
  <c r="AN40" i="9" s="1"/>
  <c r="AO40" i="9" s="1"/>
  <c r="AP40" i="9" s="1"/>
  <c r="AQ40" i="9" s="1"/>
  <c r="AR40" i="9" s="1"/>
  <c r="AS40" i="9" s="1"/>
  <c r="AT40" i="9" s="1"/>
  <c r="AU40" i="9" s="1"/>
  <c r="AV40" i="9" s="1"/>
  <c r="AW40" i="9" s="1"/>
  <c r="AX40" i="9" s="1"/>
  <c r="AY40" i="9" s="1"/>
  <c r="AZ40" i="9" s="1"/>
  <c r="BA40" i="9" s="1"/>
  <c r="BB40" i="9" s="1"/>
  <c r="BC40" i="9" s="1"/>
  <c r="BD40" i="9" s="1"/>
  <c r="BE40" i="9" s="1"/>
  <c r="BF40" i="9" s="1"/>
  <c r="BG40" i="9" s="1"/>
  <c r="BH40" i="9" s="1"/>
  <c r="BI40" i="9" s="1"/>
  <c r="BJ40" i="9" s="1"/>
  <c r="BK40" i="9" s="1"/>
  <c r="BL40" i="9" s="1"/>
  <c r="BM40" i="9" s="1"/>
  <c r="BN40" i="9" s="1"/>
  <c r="BO40" i="9" s="1"/>
  <c r="BP40" i="9" s="1"/>
  <c r="BQ40" i="9" s="1"/>
  <c r="BR40" i="9" s="1"/>
  <c r="BS40" i="9" s="1"/>
  <c r="BT40" i="9" s="1"/>
  <c r="BU40" i="9" s="1"/>
  <c r="BV40" i="9" s="1"/>
  <c r="BW40" i="9" s="1"/>
  <c r="BX40" i="9" s="1"/>
  <c r="BY40" i="9" s="1"/>
  <c r="BZ40" i="9" s="1"/>
  <c r="CA40" i="9" s="1"/>
  <c r="CB40" i="9" s="1"/>
  <c r="CC40" i="9" s="1"/>
  <c r="CD40" i="9" s="1"/>
  <c r="CE40" i="9" s="1"/>
  <c r="CF40" i="9" s="1"/>
  <c r="CG40" i="9" s="1"/>
  <c r="CH40" i="9" s="1"/>
  <c r="CI40" i="9" s="1"/>
  <c r="CJ40" i="9" s="1"/>
  <c r="CK40" i="9" s="1"/>
  <c r="CL40" i="9" s="1"/>
  <c r="CM40" i="9" s="1"/>
  <c r="CN40" i="9" s="1"/>
  <c r="CO40" i="9" s="1"/>
  <c r="N39" i="9"/>
  <c r="O39" i="9" s="1"/>
  <c r="P39" i="9" s="1"/>
  <c r="Q39" i="9" s="1"/>
  <c r="R39" i="9" s="1"/>
  <c r="S39" i="9" s="1"/>
  <c r="T39" i="9" s="1"/>
  <c r="U39" i="9" s="1"/>
  <c r="V39" i="9" s="1"/>
  <c r="W39" i="9" s="1"/>
  <c r="X39" i="9" s="1"/>
  <c r="Y39" i="9" s="1"/>
  <c r="Z39" i="9" s="1"/>
  <c r="AA39" i="9" s="1"/>
  <c r="AB39" i="9" s="1"/>
  <c r="AC39" i="9" s="1"/>
  <c r="AD39" i="9" s="1"/>
  <c r="AE39" i="9" s="1"/>
  <c r="AF39" i="9" s="1"/>
  <c r="AG39" i="9" s="1"/>
  <c r="AH39" i="9" s="1"/>
  <c r="AI39" i="9" s="1"/>
  <c r="AJ39" i="9" s="1"/>
  <c r="AK39" i="9" s="1"/>
  <c r="AL39" i="9" s="1"/>
  <c r="AM39" i="9" s="1"/>
  <c r="AN39" i="9" s="1"/>
  <c r="AO39" i="9" s="1"/>
  <c r="AP39" i="9" s="1"/>
  <c r="AQ39" i="9" s="1"/>
  <c r="AR39" i="9" s="1"/>
  <c r="AS39" i="9" s="1"/>
  <c r="AT39" i="9" s="1"/>
  <c r="AU39" i="9" s="1"/>
  <c r="AV39" i="9" s="1"/>
  <c r="AW39" i="9" s="1"/>
  <c r="AX39" i="9" s="1"/>
  <c r="AY39" i="9" s="1"/>
  <c r="AZ39" i="9" s="1"/>
  <c r="BA39" i="9" s="1"/>
  <c r="BB39" i="9" s="1"/>
  <c r="BC39" i="9" s="1"/>
  <c r="BD39" i="9" s="1"/>
  <c r="BE39" i="9" s="1"/>
  <c r="BF39" i="9" s="1"/>
  <c r="BG39" i="9" s="1"/>
  <c r="BH39" i="9" s="1"/>
  <c r="BI39" i="9" s="1"/>
  <c r="BJ39" i="9" s="1"/>
  <c r="BK39" i="9" s="1"/>
  <c r="BL39" i="9" s="1"/>
  <c r="BM39" i="9" s="1"/>
  <c r="BN39" i="9" s="1"/>
  <c r="BO39" i="9" s="1"/>
  <c r="BP39" i="9" s="1"/>
  <c r="BQ39" i="9" s="1"/>
  <c r="BR39" i="9" s="1"/>
  <c r="BS39" i="9" s="1"/>
  <c r="BT39" i="9" s="1"/>
  <c r="BU39" i="9" s="1"/>
  <c r="BV39" i="9" s="1"/>
  <c r="BW39" i="9" s="1"/>
  <c r="BX39" i="9" s="1"/>
  <c r="BY39" i="9" s="1"/>
  <c r="BZ39" i="9" s="1"/>
  <c r="CA39" i="9" s="1"/>
  <c r="CB39" i="9" s="1"/>
  <c r="CC39" i="9" s="1"/>
  <c r="CD39" i="9" s="1"/>
  <c r="CE39" i="9" s="1"/>
  <c r="CF39" i="9" s="1"/>
  <c r="CG39" i="9" s="1"/>
  <c r="CH39" i="9" s="1"/>
  <c r="CI39" i="9" s="1"/>
  <c r="CJ39" i="9" s="1"/>
  <c r="CK39" i="9" s="1"/>
  <c r="CL39" i="9" s="1"/>
  <c r="CM39" i="9" s="1"/>
  <c r="CN39" i="9" s="1"/>
  <c r="CO39" i="9" s="1"/>
  <c r="E39" i="9"/>
  <c r="F39" i="9" s="1"/>
  <c r="G39" i="9" s="1"/>
  <c r="H39" i="9" s="1"/>
  <c r="I39" i="9" s="1"/>
  <c r="J39" i="9" s="1"/>
  <c r="K39" i="9" s="1"/>
  <c r="L39" i="9" s="1"/>
  <c r="M39" i="9" s="1"/>
  <c r="AM38" i="9"/>
  <c r="AN38" i="9" s="1"/>
  <c r="AO38" i="9" s="1"/>
  <c r="AP38" i="9" s="1"/>
  <c r="AQ38" i="9" s="1"/>
  <c r="AR38" i="9" s="1"/>
  <c r="AS38" i="9" s="1"/>
  <c r="AT38" i="9" s="1"/>
  <c r="AU38" i="9" s="1"/>
  <c r="AV38" i="9" s="1"/>
  <c r="AW38" i="9" s="1"/>
  <c r="AX38" i="9" s="1"/>
  <c r="AY38" i="9" s="1"/>
  <c r="AZ38" i="9" s="1"/>
  <c r="BA38" i="9" s="1"/>
  <c r="BB38" i="9" s="1"/>
  <c r="BC38" i="9" s="1"/>
  <c r="BD38" i="9" s="1"/>
  <c r="BE38" i="9" s="1"/>
  <c r="BF38" i="9" s="1"/>
  <c r="BG38" i="9" s="1"/>
  <c r="BH38" i="9" s="1"/>
  <c r="BI38" i="9" s="1"/>
  <c r="BJ38" i="9" s="1"/>
  <c r="BK38" i="9" s="1"/>
  <c r="BL38" i="9" s="1"/>
  <c r="BM38" i="9" s="1"/>
  <c r="BN38" i="9" s="1"/>
  <c r="BO38" i="9" s="1"/>
  <c r="BP38" i="9" s="1"/>
  <c r="BQ38" i="9" s="1"/>
  <c r="BR38" i="9" s="1"/>
  <c r="BS38" i="9" s="1"/>
  <c r="BT38" i="9" s="1"/>
  <c r="BU38" i="9" s="1"/>
  <c r="BV38" i="9" s="1"/>
  <c r="BW38" i="9" s="1"/>
  <c r="BX38" i="9" s="1"/>
  <c r="BY38" i="9" s="1"/>
  <c r="BZ38" i="9" s="1"/>
  <c r="CA38" i="9" s="1"/>
  <c r="CB38" i="9" s="1"/>
  <c r="CC38" i="9" s="1"/>
  <c r="CD38" i="9" s="1"/>
  <c r="CE38" i="9" s="1"/>
  <c r="CF38" i="9" s="1"/>
  <c r="CG38" i="9" s="1"/>
  <c r="CH38" i="9" s="1"/>
  <c r="CI38" i="9" s="1"/>
  <c r="CJ38" i="9" s="1"/>
  <c r="CK38" i="9" s="1"/>
  <c r="CL38" i="9" s="1"/>
  <c r="CM38" i="9" s="1"/>
  <c r="CN38" i="9" s="1"/>
  <c r="CO38" i="9" s="1"/>
  <c r="G38" i="9"/>
  <c r="H38" i="9" s="1"/>
  <c r="I38" i="9" s="1"/>
  <c r="J38" i="9" s="1"/>
  <c r="K38" i="9" s="1"/>
  <c r="L38" i="9" s="1"/>
  <c r="M38" i="9" s="1"/>
  <c r="N38" i="9" s="1"/>
  <c r="O38" i="9" s="1"/>
  <c r="P38" i="9" s="1"/>
  <c r="Q38" i="9" s="1"/>
  <c r="R38" i="9" s="1"/>
  <c r="S38" i="9" s="1"/>
  <c r="T38" i="9" s="1"/>
  <c r="U38" i="9" s="1"/>
  <c r="V38" i="9" s="1"/>
  <c r="W38" i="9" s="1"/>
  <c r="X38" i="9" s="1"/>
  <c r="Y38" i="9" s="1"/>
  <c r="Z38" i="9" s="1"/>
  <c r="AA38" i="9" s="1"/>
  <c r="AB38" i="9" s="1"/>
  <c r="AC38" i="9" s="1"/>
  <c r="AD38" i="9" s="1"/>
  <c r="AE38" i="9" s="1"/>
  <c r="AF38" i="9" s="1"/>
  <c r="AG38" i="9" s="1"/>
  <c r="AH38" i="9" s="1"/>
  <c r="AI38" i="9" s="1"/>
  <c r="AJ38" i="9" s="1"/>
  <c r="AK38" i="9" s="1"/>
  <c r="AL38" i="9" s="1"/>
  <c r="E38" i="9"/>
  <c r="F38" i="9" s="1"/>
  <c r="AC37" i="9"/>
  <c r="AD37" i="9" s="1"/>
  <c r="AE37" i="9" s="1"/>
  <c r="AF37" i="9" s="1"/>
  <c r="AG37" i="9" s="1"/>
  <c r="AH37" i="9" s="1"/>
  <c r="AI37" i="9" s="1"/>
  <c r="AJ37" i="9" s="1"/>
  <c r="AK37" i="9" s="1"/>
  <c r="AL37" i="9" s="1"/>
  <c r="AM37" i="9" s="1"/>
  <c r="AN37" i="9" s="1"/>
  <c r="AO37" i="9" s="1"/>
  <c r="AP37" i="9" s="1"/>
  <c r="AQ37" i="9" s="1"/>
  <c r="AR37" i="9" s="1"/>
  <c r="AS37" i="9" s="1"/>
  <c r="AT37" i="9" s="1"/>
  <c r="AU37" i="9" s="1"/>
  <c r="AV37" i="9" s="1"/>
  <c r="AW37" i="9" s="1"/>
  <c r="AX37" i="9" s="1"/>
  <c r="AY37" i="9" s="1"/>
  <c r="AZ37" i="9" s="1"/>
  <c r="BA37" i="9" s="1"/>
  <c r="BB37" i="9" s="1"/>
  <c r="BC37" i="9" s="1"/>
  <c r="BD37" i="9" s="1"/>
  <c r="BE37" i="9" s="1"/>
  <c r="BF37" i="9" s="1"/>
  <c r="BG37" i="9" s="1"/>
  <c r="BH37" i="9" s="1"/>
  <c r="BI37" i="9" s="1"/>
  <c r="BJ37" i="9" s="1"/>
  <c r="BK37" i="9" s="1"/>
  <c r="BL37" i="9" s="1"/>
  <c r="BM37" i="9" s="1"/>
  <c r="BN37" i="9" s="1"/>
  <c r="BO37" i="9" s="1"/>
  <c r="BP37" i="9" s="1"/>
  <c r="BQ37" i="9" s="1"/>
  <c r="BR37" i="9" s="1"/>
  <c r="BS37" i="9" s="1"/>
  <c r="BT37" i="9" s="1"/>
  <c r="BU37" i="9" s="1"/>
  <c r="BV37" i="9" s="1"/>
  <c r="BW37" i="9" s="1"/>
  <c r="BX37" i="9" s="1"/>
  <c r="BY37" i="9" s="1"/>
  <c r="BZ37" i="9" s="1"/>
  <c r="CA37" i="9" s="1"/>
  <c r="CB37" i="9" s="1"/>
  <c r="CC37" i="9" s="1"/>
  <c r="CD37" i="9" s="1"/>
  <c r="CE37" i="9" s="1"/>
  <c r="CF37" i="9" s="1"/>
  <c r="CG37" i="9" s="1"/>
  <c r="CH37" i="9" s="1"/>
  <c r="CI37" i="9" s="1"/>
  <c r="CJ37" i="9" s="1"/>
  <c r="CK37" i="9" s="1"/>
  <c r="CL37" i="9" s="1"/>
  <c r="CM37" i="9" s="1"/>
  <c r="CN37" i="9" s="1"/>
  <c r="CO37" i="9" s="1"/>
  <c r="E37" i="9"/>
  <c r="F37" i="9" s="1"/>
  <c r="G37" i="9" s="1"/>
  <c r="H37" i="9" s="1"/>
  <c r="I37" i="9" s="1"/>
  <c r="J37" i="9" s="1"/>
  <c r="K37" i="9" s="1"/>
  <c r="L37" i="9" s="1"/>
  <c r="M37" i="9" s="1"/>
  <c r="N37" i="9" s="1"/>
  <c r="O37" i="9" s="1"/>
  <c r="P37" i="9" s="1"/>
  <c r="Q37" i="9" s="1"/>
  <c r="R37" i="9" s="1"/>
  <c r="S37" i="9" s="1"/>
  <c r="T37" i="9" s="1"/>
  <c r="U37" i="9" s="1"/>
  <c r="V37" i="9" s="1"/>
  <c r="W37" i="9" s="1"/>
  <c r="X37" i="9" s="1"/>
  <c r="Y37" i="9" s="1"/>
  <c r="Z37" i="9" s="1"/>
  <c r="AA37" i="9" s="1"/>
  <c r="AB37" i="9" s="1"/>
  <c r="G36" i="9"/>
  <c r="H36" i="9" s="1"/>
  <c r="I36" i="9" s="1"/>
  <c r="J36" i="9" s="1"/>
  <c r="K36" i="9" s="1"/>
  <c r="L36" i="9" s="1"/>
  <c r="M36" i="9" s="1"/>
  <c r="N36" i="9" s="1"/>
  <c r="O36" i="9" s="1"/>
  <c r="P36" i="9" s="1"/>
  <c r="Q36" i="9" s="1"/>
  <c r="R36" i="9" s="1"/>
  <c r="S36" i="9" s="1"/>
  <c r="T36" i="9" s="1"/>
  <c r="U36" i="9" s="1"/>
  <c r="V36" i="9" s="1"/>
  <c r="W36" i="9" s="1"/>
  <c r="X36" i="9" s="1"/>
  <c r="Y36" i="9" s="1"/>
  <c r="Z36" i="9" s="1"/>
  <c r="AA36" i="9" s="1"/>
  <c r="AB36" i="9" s="1"/>
  <c r="AC36" i="9" s="1"/>
  <c r="AD36" i="9" s="1"/>
  <c r="AE36" i="9" s="1"/>
  <c r="AF36" i="9" s="1"/>
  <c r="AG36" i="9" s="1"/>
  <c r="AH36" i="9" s="1"/>
  <c r="AI36" i="9" s="1"/>
  <c r="AJ36" i="9" s="1"/>
  <c r="AK36" i="9" s="1"/>
  <c r="AL36" i="9" s="1"/>
  <c r="AM36" i="9" s="1"/>
  <c r="AN36" i="9" s="1"/>
  <c r="AO36" i="9" s="1"/>
  <c r="AP36" i="9" s="1"/>
  <c r="AQ36" i="9" s="1"/>
  <c r="AR36" i="9" s="1"/>
  <c r="AS36" i="9" s="1"/>
  <c r="AT36" i="9" s="1"/>
  <c r="AU36" i="9" s="1"/>
  <c r="AV36" i="9" s="1"/>
  <c r="AW36" i="9" s="1"/>
  <c r="AX36" i="9" s="1"/>
  <c r="AY36" i="9" s="1"/>
  <c r="AZ36" i="9" s="1"/>
  <c r="BA36" i="9" s="1"/>
  <c r="BB36" i="9" s="1"/>
  <c r="BC36" i="9" s="1"/>
  <c r="BD36" i="9" s="1"/>
  <c r="BE36" i="9" s="1"/>
  <c r="BF36" i="9" s="1"/>
  <c r="BG36" i="9" s="1"/>
  <c r="BH36" i="9" s="1"/>
  <c r="BI36" i="9" s="1"/>
  <c r="BJ36" i="9" s="1"/>
  <c r="BK36" i="9" s="1"/>
  <c r="BL36" i="9" s="1"/>
  <c r="BM36" i="9" s="1"/>
  <c r="BN36" i="9" s="1"/>
  <c r="BO36" i="9" s="1"/>
  <c r="BP36" i="9" s="1"/>
  <c r="BQ36" i="9" s="1"/>
  <c r="BR36" i="9" s="1"/>
  <c r="BS36" i="9" s="1"/>
  <c r="BT36" i="9" s="1"/>
  <c r="BU36" i="9" s="1"/>
  <c r="BV36" i="9" s="1"/>
  <c r="BW36" i="9" s="1"/>
  <c r="BX36" i="9" s="1"/>
  <c r="BY36" i="9" s="1"/>
  <c r="BZ36" i="9" s="1"/>
  <c r="CA36" i="9" s="1"/>
  <c r="CB36" i="9" s="1"/>
  <c r="CC36" i="9" s="1"/>
  <c r="CD36" i="9" s="1"/>
  <c r="CE36" i="9" s="1"/>
  <c r="CF36" i="9" s="1"/>
  <c r="CG36" i="9" s="1"/>
  <c r="CH36" i="9" s="1"/>
  <c r="CI36" i="9" s="1"/>
  <c r="CJ36" i="9" s="1"/>
  <c r="CK36" i="9" s="1"/>
  <c r="CL36" i="9" s="1"/>
  <c r="CM36" i="9" s="1"/>
  <c r="CN36" i="9" s="1"/>
  <c r="CO36" i="9" s="1"/>
  <c r="F36" i="9"/>
  <c r="E36" i="9"/>
  <c r="AK35" i="9"/>
  <c r="AL35" i="9" s="1"/>
  <c r="AM35" i="9" s="1"/>
  <c r="AN35" i="9" s="1"/>
  <c r="AO35" i="9" s="1"/>
  <c r="AP35" i="9" s="1"/>
  <c r="AQ35" i="9" s="1"/>
  <c r="AR35" i="9" s="1"/>
  <c r="AS35" i="9" s="1"/>
  <c r="AT35" i="9" s="1"/>
  <c r="AU35" i="9" s="1"/>
  <c r="AV35" i="9" s="1"/>
  <c r="AW35" i="9" s="1"/>
  <c r="AX35" i="9" s="1"/>
  <c r="AY35" i="9" s="1"/>
  <c r="AZ35" i="9" s="1"/>
  <c r="BA35" i="9" s="1"/>
  <c r="BB35" i="9" s="1"/>
  <c r="BC35" i="9" s="1"/>
  <c r="BD35" i="9" s="1"/>
  <c r="BE35" i="9" s="1"/>
  <c r="BF35" i="9" s="1"/>
  <c r="BG35" i="9" s="1"/>
  <c r="BH35" i="9" s="1"/>
  <c r="BI35" i="9" s="1"/>
  <c r="BJ35" i="9" s="1"/>
  <c r="BK35" i="9" s="1"/>
  <c r="BL35" i="9" s="1"/>
  <c r="BM35" i="9" s="1"/>
  <c r="BN35" i="9" s="1"/>
  <c r="BO35" i="9" s="1"/>
  <c r="BP35" i="9" s="1"/>
  <c r="BQ35" i="9" s="1"/>
  <c r="BR35" i="9" s="1"/>
  <c r="BS35" i="9" s="1"/>
  <c r="BT35" i="9" s="1"/>
  <c r="BU35" i="9" s="1"/>
  <c r="BV35" i="9" s="1"/>
  <c r="BW35" i="9" s="1"/>
  <c r="BX35" i="9" s="1"/>
  <c r="BY35" i="9" s="1"/>
  <c r="BZ35" i="9" s="1"/>
  <c r="CA35" i="9" s="1"/>
  <c r="CB35" i="9" s="1"/>
  <c r="CC35" i="9" s="1"/>
  <c r="CD35" i="9" s="1"/>
  <c r="CE35" i="9" s="1"/>
  <c r="CF35" i="9" s="1"/>
  <c r="CG35" i="9" s="1"/>
  <c r="CH35" i="9" s="1"/>
  <c r="CI35" i="9" s="1"/>
  <c r="CJ35" i="9" s="1"/>
  <c r="CK35" i="9" s="1"/>
  <c r="CL35" i="9" s="1"/>
  <c r="CM35" i="9" s="1"/>
  <c r="CN35" i="9" s="1"/>
  <c r="CO35" i="9" s="1"/>
  <c r="F35" i="9"/>
  <c r="G35" i="9" s="1"/>
  <c r="H35" i="9" s="1"/>
  <c r="I35" i="9" s="1"/>
  <c r="J35" i="9" s="1"/>
  <c r="K35" i="9" s="1"/>
  <c r="L35" i="9" s="1"/>
  <c r="M35" i="9" s="1"/>
  <c r="N35" i="9" s="1"/>
  <c r="O35" i="9" s="1"/>
  <c r="P35" i="9" s="1"/>
  <c r="Q35" i="9" s="1"/>
  <c r="R35" i="9" s="1"/>
  <c r="S35" i="9" s="1"/>
  <c r="T35" i="9" s="1"/>
  <c r="U35" i="9" s="1"/>
  <c r="V35" i="9" s="1"/>
  <c r="W35" i="9" s="1"/>
  <c r="X35" i="9" s="1"/>
  <c r="Y35" i="9" s="1"/>
  <c r="Z35" i="9" s="1"/>
  <c r="AA35" i="9" s="1"/>
  <c r="AB35" i="9" s="1"/>
  <c r="AC35" i="9" s="1"/>
  <c r="AD35" i="9" s="1"/>
  <c r="AE35" i="9" s="1"/>
  <c r="AF35" i="9" s="1"/>
  <c r="AG35" i="9" s="1"/>
  <c r="AH35" i="9" s="1"/>
  <c r="AI35" i="9" s="1"/>
  <c r="AJ35" i="9" s="1"/>
  <c r="E35" i="9"/>
  <c r="F34" i="9"/>
  <c r="G34" i="9" s="1"/>
  <c r="H34" i="9" s="1"/>
  <c r="I34" i="9" s="1"/>
  <c r="J34" i="9" s="1"/>
  <c r="K34" i="9" s="1"/>
  <c r="L34" i="9" s="1"/>
  <c r="M34" i="9" s="1"/>
  <c r="N34" i="9" s="1"/>
  <c r="O34" i="9" s="1"/>
  <c r="P34" i="9" s="1"/>
  <c r="Q34" i="9" s="1"/>
  <c r="R34" i="9" s="1"/>
  <c r="S34" i="9" s="1"/>
  <c r="T34" i="9" s="1"/>
  <c r="U34" i="9" s="1"/>
  <c r="V34" i="9" s="1"/>
  <c r="W34" i="9" s="1"/>
  <c r="X34" i="9" s="1"/>
  <c r="Y34" i="9" s="1"/>
  <c r="Z34" i="9" s="1"/>
  <c r="AA34" i="9" s="1"/>
  <c r="AB34" i="9" s="1"/>
  <c r="AC34" i="9" s="1"/>
  <c r="AD34" i="9" s="1"/>
  <c r="AE34" i="9" s="1"/>
  <c r="AF34" i="9" s="1"/>
  <c r="AG34" i="9" s="1"/>
  <c r="AH34" i="9" s="1"/>
  <c r="AI34" i="9" s="1"/>
  <c r="AJ34" i="9" s="1"/>
  <c r="AK34" i="9" s="1"/>
  <c r="AL34" i="9" s="1"/>
  <c r="AM34" i="9" s="1"/>
  <c r="AN34" i="9" s="1"/>
  <c r="AO34" i="9" s="1"/>
  <c r="AP34" i="9" s="1"/>
  <c r="AQ34" i="9" s="1"/>
  <c r="AR34" i="9" s="1"/>
  <c r="AS34" i="9" s="1"/>
  <c r="AT34" i="9" s="1"/>
  <c r="AU34" i="9" s="1"/>
  <c r="AV34" i="9" s="1"/>
  <c r="AW34" i="9" s="1"/>
  <c r="AX34" i="9" s="1"/>
  <c r="AY34" i="9" s="1"/>
  <c r="AZ34" i="9" s="1"/>
  <c r="BA34" i="9" s="1"/>
  <c r="BB34" i="9" s="1"/>
  <c r="BC34" i="9" s="1"/>
  <c r="BD34" i="9" s="1"/>
  <c r="BE34" i="9" s="1"/>
  <c r="BF34" i="9" s="1"/>
  <c r="BG34" i="9" s="1"/>
  <c r="BH34" i="9" s="1"/>
  <c r="BI34" i="9" s="1"/>
  <c r="BJ34" i="9" s="1"/>
  <c r="BK34" i="9" s="1"/>
  <c r="BL34" i="9" s="1"/>
  <c r="BM34" i="9" s="1"/>
  <c r="BN34" i="9" s="1"/>
  <c r="BO34" i="9" s="1"/>
  <c r="BP34" i="9" s="1"/>
  <c r="BQ34" i="9" s="1"/>
  <c r="BR34" i="9" s="1"/>
  <c r="BS34" i="9" s="1"/>
  <c r="BT34" i="9" s="1"/>
  <c r="BU34" i="9" s="1"/>
  <c r="BV34" i="9" s="1"/>
  <c r="BW34" i="9" s="1"/>
  <c r="BX34" i="9" s="1"/>
  <c r="BY34" i="9" s="1"/>
  <c r="BZ34" i="9" s="1"/>
  <c r="CA34" i="9" s="1"/>
  <c r="CB34" i="9" s="1"/>
  <c r="CC34" i="9" s="1"/>
  <c r="CD34" i="9" s="1"/>
  <c r="CE34" i="9" s="1"/>
  <c r="CF34" i="9" s="1"/>
  <c r="CG34" i="9" s="1"/>
  <c r="CH34" i="9" s="1"/>
  <c r="CI34" i="9" s="1"/>
  <c r="CJ34" i="9" s="1"/>
  <c r="CK34" i="9" s="1"/>
  <c r="CL34" i="9" s="1"/>
  <c r="CM34" i="9" s="1"/>
  <c r="CN34" i="9" s="1"/>
  <c r="CO34" i="9" s="1"/>
  <c r="E34" i="9"/>
  <c r="E33" i="9"/>
  <c r="F33" i="9" s="1"/>
  <c r="G33" i="9" s="1"/>
  <c r="H33" i="9" s="1"/>
  <c r="I33" i="9" s="1"/>
  <c r="J33" i="9" s="1"/>
  <c r="K33" i="9" s="1"/>
  <c r="L33" i="9" s="1"/>
  <c r="M33" i="9" s="1"/>
  <c r="N33" i="9" s="1"/>
  <c r="O33" i="9" s="1"/>
  <c r="P33" i="9" s="1"/>
  <c r="Q33" i="9" s="1"/>
  <c r="R33" i="9" s="1"/>
  <c r="S33" i="9" s="1"/>
  <c r="T33" i="9" s="1"/>
  <c r="U33" i="9" s="1"/>
  <c r="V33" i="9" s="1"/>
  <c r="W33" i="9" s="1"/>
  <c r="X33" i="9" s="1"/>
  <c r="Y33" i="9" s="1"/>
  <c r="Z33" i="9" s="1"/>
  <c r="AA33" i="9" s="1"/>
  <c r="AB33" i="9" s="1"/>
  <c r="AC33" i="9" s="1"/>
  <c r="AD33" i="9" s="1"/>
  <c r="AE33" i="9" s="1"/>
  <c r="AF33" i="9" s="1"/>
  <c r="AG33" i="9" s="1"/>
  <c r="AH33" i="9" s="1"/>
  <c r="AI33" i="9" s="1"/>
  <c r="AJ33" i="9" s="1"/>
  <c r="AK33" i="9" s="1"/>
  <c r="AL33" i="9" s="1"/>
  <c r="AM33" i="9" s="1"/>
  <c r="AN33" i="9" s="1"/>
  <c r="AO33" i="9" s="1"/>
  <c r="AP33" i="9" s="1"/>
  <c r="AQ33" i="9" s="1"/>
  <c r="AR33" i="9" s="1"/>
  <c r="AS33" i="9" s="1"/>
  <c r="AT33" i="9" s="1"/>
  <c r="AU33" i="9" s="1"/>
  <c r="AV33" i="9" s="1"/>
  <c r="AW33" i="9" s="1"/>
  <c r="AX33" i="9" s="1"/>
  <c r="AY33" i="9" s="1"/>
  <c r="AZ33" i="9" s="1"/>
  <c r="BA33" i="9" s="1"/>
  <c r="BB33" i="9" s="1"/>
  <c r="BC33" i="9" s="1"/>
  <c r="BD33" i="9" s="1"/>
  <c r="BE33" i="9" s="1"/>
  <c r="BF33" i="9" s="1"/>
  <c r="BG33" i="9" s="1"/>
  <c r="BH33" i="9" s="1"/>
  <c r="BI33" i="9" s="1"/>
  <c r="BJ33" i="9" s="1"/>
  <c r="BK33" i="9" s="1"/>
  <c r="BL33" i="9" s="1"/>
  <c r="BM33" i="9" s="1"/>
  <c r="BN33" i="9" s="1"/>
  <c r="BO33" i="9" s="1"/>
  <c r="BP33" i="9" s="1"/>
  <c r="BQ33" i="9" s="1"/>
  <c r="BR33" i="9" s="1"/>
  <c r="BS33" i="9" s="1"/>
  <c r="BT33" i="9" s="1"/>
  <c r="BU33" i="9" s="1"/>
  <c r="BV33" i="9" s="1"/>
  <c r="BW33" i="9" s="1"/>
  <c r="BX33" i="9" s="1"/>
  <c r="BY33" i="9" s="1"/>
  <c r="BZ33" i="9" s="1"/>
  <c r="CA33" i="9" s="1"/>
  <c r="CB33" i="9" s="1"/>
  <c r="CC33" i="9" s="1"/>
  <c r="CD33" i="9" s="1"/>
  <c r="CE33" i="9" s="1"/>
  <c r="CF33" i="9" s="1"/>
  <c r="CG33" i="9" s="1"/>
  <c r="CH33" i="9" s="1"/>
  <c r="CI33" i="9" s="1"/>
  <c r="CJ33" i="9" s="1"/>
  <c r="CK33" i="9" s="1"/>
  <c r="CL33" i="9" s="1"/>
  <c r="CM33" i="9" s="1"/>
  <c r="CN33" i="9" s="1"/>
  <c r="CO33" i="9" s="1"/>
  <c r="G32" i="9"/>
  <c r="H32" i="9" s="1"/>
  <c r="I32" i="9" s="1"/>
  <c r="J32" i="9" s="1"/>
  <c r="K32" i="9" s="1"/>
  <c r="L32" i="9" s="1"/>
  <c r="M32" i="9" s="1"/>
  <c r="N32" i="9" s="1"/>
  <c r="O32" i="9" s="1"/>
  <c r="P32" i="9" s="1"/>
  <c r="Q32" i="9" s="1"/>
  <c r="R32" i="9" s="1"/>
  <c r="S32" i="9" s="1"/>
  <c r="T32" i="9" s="1"/>
  <c r="U32" i="9" s="1"/>
  <c r="V32" i="9" s="1"/>
  <c r="W32" i="9" s="1"/>
  <c r="X32" i="9" s="1"/>
  <c r="Y32" i="9" s="1"/>
  <c r="Z32" i="9" s="1"/>
  <c r="AA32" i="9" s="1"/>
  <c r="AB32" i="9" s="1"/>
  <c r="AC32" i="9" s="1"/>
  <c r="AD32" i="9" s="1"/>
  <c r="AE32" i="9" s="1"/>
  <c r="AF32" i="9" s="1"/>
  <c r="AG32" i="9" s="1"/>
  <c r="AH32" i="9" s="1"/>
  <c r="AI32" i="9" s="1"/>
  <c r="AJ32" i="9" s="1"/>
  <c r="AK32" i="9" s="1"/>
  <c r="AL32" i="9" s="1"/>
  <c r="AM32" i="9" s="1"/>
  <c r="AN32" i="9" s="1"/>
  <c r="AO32" i="9" s="1"/>
  <c r="AP32" i="9" s="1"/>
  <c r="AQ32" i="9" s="1"/>
  <c r="AR32" i="9" s="1"/>
  <c r="AS32" i="9" s="1"/>
  <c r="AT32" i="9" s="1"/>
  <c r="AU32" i="9" s="1"/>
  <c r="AV32" i="9" s="1"/>
  <c r="AW32" i="9" s="1"/>
  <c r="AX32" i="9" s="1"/>
  <c r="AY32" i="9" s="1"/>
  <c r="AZ32" i="9" s="1"/>
  <c r="BA32" i="9" s="1"/>
  <c r="BB32" i="9" s="1"/>
  <c r="BC32" i="9" s="1"/>
  <c r="BD32" i="9" s="1"/>
  <c r="BE32" i="9" s="1"/>
  <c r="BF32" i="9" s="1"/>
  <c r="BG32" i="9" s="1"/>
  <c r="BH32" i="9" s="1"/>
  <c r="BI32" i="9" s="1"/>
  <c r="BJ32" i="9" s="1"/>
  <c r="BK32" i="9" s="1"/>
  <c r="BL32" i="9" s="1"/>
  <c r="BM32" i="9" s="1"/>
  <c r="BN32" i="9" s="1"/>
  <c r="BO32" i="9" s="1"/>
  <c r="BP32" i="9" s="1"/>
  <c r="BQ32" i="9" s="1"/>
  <c r="BR32" i="9" s="1"/>
  <c r="BS32" i="9" s="1"/>
  <c r="BT32" i="9" s="1"/>
  <c r="BU32" i="9" s="1"/>
  <c r="BV32" i="9" s="1"/>
  <c r="BW32" i="9" s="1"/>
  <c r="BX32" i="9" s="1"/>
  <c r="BY32" i="9" s="1"/>
  <c r="BZ32" i="9" s="1"/>
  <c r="CA32" i="9" s="1"/>
  <c r="CB32" i="9" s="1"/>
  <c r="CC32" i="9" s="1"/>
  <c r="CD32" i="9" s="1"/>
  <c r="CE32" i="9" s="1"/>
  <c r="CF32" i="9" s="1"/>
  <c r="CG32" i="9" s="1"/>
  <c r="CH32" i="9" s="1"/>
  <c r="CI32" i="9" s="1"/>
  <c r="CJ32" i="9" s="1"/>
  <c r="CK32" i="9" s="1"/>
  <c r="CL32" i="9" s="1"/>
  <c r="CM32" i="9" s="1"/>
  <c r="CN32" i="9" s="1"/>
  <c r="CO32" i="9" s="1"/>
  <c r="E32" i="9"/>
  <c r="F32" i="9" s="1"/>
  <c r="BC31" i="9"/>
  <c r="BD31" i="9" s="1"/>
  <c r="BE31" i="9" s="1"/>
  <c r="BF31" i="9" s="1"/>
  <c r="BG31" i="9" s="1"/>
  <c r="BH31" i="9" s="1"/>
  <c r="BI31" i="9" s="1"/>
  <c r="BJ31" i="9" s="1"/>
  <c r="BK31" i="9" s="1"/>
  <c r="BL31" i="9" s="1"/>
  <c r="BM31" i="9" s="1"/>
  <c r="BN31" i="9" s="1"/>
  <c r="BO31" i="9" s="1"/>
  <c r="BP31" i="9" s="1"/>
  <c r="BQ31" i="9" s="1"/>
  <c r="BR31" i="9" s="1"/>
  <c r="BS31" i="9" s="1"/>
  <c r="BT31" i="9" s="1"/>
  <c r="BU31" i="9" s="1"/>
  <c r="BV31" i="9" s="1"/>
  <c r="BW31" i="9" s="1"/>
  <c r="BX31" i="9" s="1"/>
  <c r="BY31" i="9" s="1"/>
  <c r="BZ31" i="9" s="1"/>
  <c r="CA31" i="9" s="1"/>
  <c r="CB31" i="9" s="1"/>
  <c r="CC31" i="9" s="1"/>
  <c r="CD31" i="9" s="1"/>
  <c r="CE31" i="9" s="1"/>
  <c r="CF31" i="9" s="1"/>
  <c r="CG31" i="9" s="1"/>
  <c r="CH31" i="9" s="1"/>
  <c r="CI31" i="9" s="1"/>
  <c r="CJ31" i="9" s="1"/>
  <c r="CK31" i="9" s="1"/>
  <c r="CL31" i="9" s="1"/>
  <c r="CM31" i="9" s="1"/>
  <c r="CN31" i="9" s="1"/>
  <c r="CO31" i="9" s="1"/>
  <c r="E31" i="9"/>
  <c r="F31" i="9" s="1"/>
  <c r="G31" i="9" s="1"/>
  <c r="H31" i="9" s="1"/>
  <c r="I31" i="9" s="1"/>
  <c r="J31" i="9" s="1"/>
  <c r="K31" i="9" s="1"/>
  <c r="L31" i="9" s="1"/>
  <c r="M31" i="9" s="1"/>
  <c r="N31" i="9" s="1"/>
  <c r="O31" i="9" s="1"/>
  <c r="P31" i="9" s="1"/>
  <c r="Q31" i="9" s="1"/>
  <c r="R31" i="9" s="1"/>
  <c r="S31" i="9" s="1"/>
  <c r="T31" i="9" s="1"/>
  <c r="U31" i="9" s="1"/>
  <c r="V31" i="9" s="1"/>
  <c r="W31" i="9" s="1"/>
  <c r="X31" i="9" s="1"/>
  <c r="Y31" i="9" s="1"/>
  <c r="Z31" i="9" s="1"/>
  <c r="AA31" i="9" s="1"/>
  <c r="AB31" i="9" s="1"/>
  <c r="AC31" i="9" s="1"/>
  <c r="AD31" i="9" s="1"/>
  <c r="AE31" i="9" s="1"/>
  <c r="AF31" i="9" s="1"/>
  <c r="AG31" i="9" s="1"/>
  <c r="AH31" i="9" s="1"/>
  <c r="AI31" i="9" s="1"/>
  <c r="AJ31" i="9" s="1"/>
  <c r="AK31" i="9" s="1"/>
  <c r="AL31" i="9" s="1"/>
  <c r="AM31" i="9" s="1"/>
  <c r="AN31" i="9" s="1"/>
  <c r="AO31" i="9" s="1"/>
  <c r="AP31" i="9" s="1"/>
  <c r="AQ31" i="9" s="1"/>
  <c r="AR31" i="9" s="1"/>
  <c r="AS31" i="9" s="1"/>
  <c r="AT31" i="9" s="1"/>
  <c r="AU31" i="9" s="1"/>
  <c r="AV31" i="9" s="1"/>
  <c r="AW31" i="9" s="1"/>
  <c r="AX31" i="9" s="1"/>
  <c r="AY31" i="9" s="1"/>
  <c r="AZ31" i="9" s="1"/>
  <c r="BA31" i="9" s="1"/>
  <c r="BB31" i="9" s="1"/>
  <c r="P30" i="9"/>
  <c r="Q30" i="9" s="1"/>
  <c r="R30" i="9" s="1"/>
  <c r="S30" i="9" s="1"/>
  <c r="T30" i="9" s="1"/>
  <c r="U30" i="9" s="1"/>
  <c r="V30" i="9" s="1"/>
  <c r="W30" i="9" s="1"/>
  <c r="X30" i="9" s="1"/>
  <c r="Y30" i="9" s="1"/>
  <c r="Z30" i="9" s="1"/>
  <c r="AA30" i="9" s="1"/>
  <c r="AB30" i="9" s="1"/>
  <c r="AC30" i="9" s="1"/>
  <c r="AD30" i="9" s="1"/>
  <c r="AE30" i="9" s="1"/>
  <c r="AF30" i="9" s="1"/>
  <c r="AG30" i="9" s="1"/>
  <c r="AH30" i="9" s="1"/>
  <c r="AI30" i="9" s="1"/>
  <c r="AJ30" i="9" s="1"/>
  <c r="AK30" i="9" s="1"/>
  <c r="AL30" i="9" s="1"/>
  <c r="AM30" i="9" s="1"/>
  <c r="AN30" i="9" s="1"/>
  <c r="AO30" i="9" s="1"/>
  <c r="AP30" i="9" s="1"/>
  <c r="AQ30" i="9" s="1"/>
  <c r="AR30" i="9" s="1"/>
  <c r="AS30" i="9" s="1"/>
  <c r="AT30" i="9" s="1"/>
  <c r="AU30" i="9" s="1"/>
  <c r="AV30" i="9" s="1"/>
  <c r="AW30" i="9" s="1"/>
  <c r="AX30" i="9" s="1"/>
  <c r="AY30" i="9" s="1"/>
  <c r="AZ30" i="9" s="1"/>
  <c r="BA30" i="9" s="1"/>
  <c r="BB30" i="9" s="1"/>
  <c r="BC30" i="9" s="1"/>
  <c r="BD30" i="9" s="1"/>
  <c r="BE30" i="9" s="1"/>
  <c r="BF30" i="9" s="1"/>
  <c r="BG30" i="9" s="1"/>
  <c r="BH30" i="9" s="1"/>
  <c r="BI30" i="9" s="1"/>
  <c r="BJ30" i="9" s="1"/>
  <c r="BK30" i="9" s="1"/>
  <c r="BL30" i="9" s="1"/>
  <c r="BM30" i="9" s="1"/>
  <c r="BN30" i="9" s="1"/>
  <c r="BO30" i="9" s="1"/>
  <c r="BP30" i="9" s="1"/>
  <c r="BQ30" i="9" s="1"/>
  <c r="BR30" i="9" s="1"/>
  <c r="BS30" i="9" s="1"/>
  <c r="BT30" i="9" s="1"/>
  <c r="BU30" i="9" s="1"/>
  <c r="BV30" i="9" s="1"/>
  <c r="BW30" i="9" s="1"/>
  <c r="BX30" i="9" s="1"/>
  <c r="BY30" i="9" s="1"/>
  <c r="BZ30" i="9" s="1"/>
  <c r="CA30" i="9" s="1"/>
  <c r="CB30" i="9" s="1"/>
  <c r="CC30" i="9" s="1"/>
  <c r="CD30" i="9" s="1"/>
  <c r="CE30" i="9" s="1"/>
  <c r="CF30" i="9" s="1"/>
  <c r="CG30" i="9" s="1"/>
  <c r="CH30" i="9" s="1"/>
  <c r="CI30" i="9" s="1"/>
  <c r="CJ30" i="9" s="1"/>
  <c r="CK30" i="9" s="1"/>
  <c r="CL30" i="9" s="1"/>
  <c r="CM30" i="9" s="1"/>
  <c r="CN30" i="9" s="1"/>
  <c r="CO30" i="9" s="1"/>
  <c r="G30" i="9"/>
  <c r="H30" i="9" s="1"/>
  <c r="I30" i="9" s="1"/>
  <c r="J30" i="9" s="1"/>
  <c r="K30" i="9" s="1"/>
  <c r="L30" i="9" s="1"/>
  <c r="M30" i="9" s="1"/>
  <c r="N30" i="9" s="1"/>
  <c r="O30" i="9" s="1"/>
  <c r="E30" i="9"/>
  <c r="F30" i="9" s="1"/>
  <c r="V29" i="9"/>
  <c r="W29" i="9" s="1"/>
  <c r="X29" i="9" s="1"/>
  <c r="Y29" i="9" s="1"/>
  <c r="Z29" i="9" s="1"/>
  <c r="AA29" i="9" s="1"/>
  <c r="AB29" i="9" s="1"/>
  <c r="AC29" i="9" s="1"/>
  <c r="AD29" i="9" s="1"/>
  <c r="AE29" i="9" s="1"/>
  <c r="AF29" i="9" s="1"/>
  <c r="AG29" i="9" s="1"/>
  <c r="AH29" i="9" s="1"/>
  <c r="AI29" i="9" s="1"/>
  <c r="AJ29" i="9" s="1"/>
  <c r="AK29" i="9" s="1"/>
  <c r="AL29" i="9" s="1"/>
  <c r="AM29" i="9" s="1"/>
  <c r="AN29" i="9" s="1"/>
  <c r="AO29" i="9" s="1"/>
  <c r="AP29" i="9" s="1"/>
  <c r="AQ29" i="9" s="1"/>
  <c r="AR29" i="9" s="1"/>
  <c r="AS29" i="9" s="1"/>
  <c r="AT29" i="9" s="1"/>
  <c r="AU29" i="9" s="1"/>
  <c r="AV29" i="9" s="1"/>
  <c r="AW29" i="9" s="1"/>
  <c r="AX29" i="9" s="1"/>
  <c r="AY29" i="9" s="1"/>
  <c r="AZ29" i="9" s="1"/>
  <c r="BA29" i="9" s="1"/>
  <c r="BB29" i="9" s="1"/>
  <c r="BC29" i="9" s="1"/>
  <c r="BD29" i="9" s="1"/>
  <c r="BE29" i="9" s="1"/>
  <c r="BF29" i="9" s="1"/>
  <c r="BG29" i="9" s="1"/>
  <c r="BH29" i="9" s="1"/>
  <c r="BI29" i="9" s="1"/>
  <c r="BJ29" i="9" s="1"/>
  <c r="BK29" i="9" s="1"/>
  <c r="BL29" i="9" s="1"/>
  <c r="BM29" i="9" s="1"/>
  <c r="BN29" i="9" s="1"/>
  <c r="BO29" i="9" s="1"/>
  <c r="BP29" i="9" s="1"/>
  <c r="BQ29" i="9" s="1"/>
  <c r="BR29" i="9" s="1"/>
  <c r="BS29" i="9" s="1"/>
  <c r="BT29" i="9" s="1"/>
  <c r="BU29" i="9" s="1"/>
  <c r="BV29" i="9" s="1"/>
  <c r="BW29" i="9" s="1"/>
  <c r="BX29" i="9" s="1"/>
  <c r="BY29" i="9" s="1"/>
  <c r="BZ29" i="9" s="1"/>
  <c r="CA29" i="9" s="1"/>
  <c r="CB29" i="9" s="1"/>
  <c r="CC29" i="9" s="1"/>
  <c r="CD29" i="9" s="1"/>
  <c r="CE29" i="9" s="1"/>
  <c r="CF29" i="9" s="1"/>
  <c r="CG29" i="9" s="1"/>
  <c r="CH29" i="9" s="1"/>
  <c r="CI29" i="9" s="1"/>
  <c r="CJ29" i="9" s="1"/>
  <c r="CK29" i="9" s="1"/>
  <c r="CL29" i="9" s="1"/>
  <c r="CM29" i="9" s="1"/>
  <c r="CN29" i="9" s="1"/>
  <c r="CO29" i="9" s="1"/>
  <c r="G29" i="9"/>
  <c r="H29" i="9" s="1"/>
  <c r="I29" i="9" s="1"/>
  <c r="J29" i="9" s="1"/>
  <c r="K29" i="9" s="1"/>
  <c r="L29" i="9" s="1"/>
  <c r="M29" i="9" s="1"/>
  <c r="N29" i="9" s="1"/>
  <c r="O29" i="9" s="1"/>
  <c r="P29" i="9" s="1"/>
  <c r="Q29" i="9" s="1"/>
  <c r="R29" i="9" s="1"/>
  <c r="S29" i="9" s="1"/>
  <c r="T29" i="9" s="1"/>
  <c r="U29" i="9" s="1"/>
  <c r="F29" i="9"/>
  <c r="E29" i="9"/>
  <c r="E28" i="9"/>
  <c r="F28" i="9" s="1"/>
  <c r="G28" i="9" s="1"/>
  <c r="H28" i="9" s="1"/>
  <c r="I28" i="9" s="1"/>
  <c r="J28" i="9" s="1"/>
  <c r="K28" i="9" s="1"/>
  <c r="L28" i="9" s="1"/>
  <c r="M28" i="9" s="1"/>
  <c r="N28" i="9" s="1"/>
  <c r="O28" i="9" s="1"/>
  <c r="P28" i="9" s="1"/>
  <c r="Q28" i="9" s="1"/>
  <c r="R28" i="9" s="1"/>
  <c r="S28" i="9" s="1"/>
  <c r="T28" i="9" s="1"/>
  <c r="U28" i="9" s="1"/>
  <c r="V28" i="9" s="1"/>
  <c r="W28" i="9" s="1"/>
  <c r="X28" i="9" s="1"/>
  <c r="Y28" i="9" s="1"/>
  <c r="Z28" i="9" s="1"/>
  <c r="AA28" i="9" s="1"/>
  <c r="AB28" i="9" s="1"/>
  <c r="AC28" i="9" s="1"/>
  <c r="AD28" i="9" s="1"/>
  <c r="AE28" i="9" s="1"/>
  <c r="AF28" i="9" s="1"/>
  <c r="AG28" i="9" s="1"/>
  <c r="AH28" i="9" s="1"/>
  <c r="AI28" i="9" s="1"/>
  <c r="AJ28" i="9" s="1"/>
  <c r="AK28" i="9" s="1"/>
  <c r="AL28" i="9" s="1"/>
  <c r="AM28" i="9" s="1"/>
  <c r="AN28" i="9" s="1"/>
  <c r="AO28" i="9" s="1"/>
  <c r="AP28" i="9" s="1"/>
  <c r="AQ28" i="9" s="1"/>
  <c r="AR28" i="9" s="1"/>
  <c r="AS28" i="9" s="1"/>
  <c r="AT28" i="9" s="1"/>
  <c r="AU28" i="9" s="1"/>
  <c r="AV28" i="9" s="1"/>
  <c r="AW28" i="9" s="1"/>
  <c r="AX28" i="9" s="1"/>
  <c r="AY28" i="9" s="1"/>
  <c r="AZ28" i="9" s="1"/>
  <c r="BA28" i="9" s="1"/>
  <c r="BB28" i="9" s="1"/>
  <c r="BC28" i="9" s="1"/>
  <c r="BD28" i="9" s="1"/>
  <c r="BE28" i="9" s="1"/>
  <c r="BF28" i="9" s="1"/>
  <c r="BG28" i="9" s="1"/>
  <c r="BH28" i="9" s="1"/>
  <c r="BI28" i="9" s="1"/>
  <c r="BJ28" i="9" s="1"/>
  <c r="BK28" i="9" s="1"/>
  <c r="BL28" i="9" s="1"/>
  <c r="BM28" i="9" s="1"/>
  <c r="BN28" i="9" s="1"/>
  <c r="BO28" i="9" s="1"/>
  <c r="BP28" i="9" s="1"/>
  <c r="BQ28" i="9" s="1"/>
  <c r="BR28" i="9" s="1"/>
  <c r="BS28" i="9" s="1"/>
  <c r="BT28" i="9" s="1"/>
  <c r="BU28" i="9" s="1"/>
  <c r="BV28" i="9" s="1"/>
  <c r="BW28" i="9" s="1"/>
  <c r="BX28" i="9" s="1"/>
  <c r="BY28" i="9" s="1"/>
  <c r="BZ28" i="9" s="1"/>
  <c r="CA28" i="9" s="1"/>
  <c r="CB28" i="9" s="1"/>
  <c r="CC28" i="9" s="1"/>
  <c r="CD28" i="9" s="1"/>
  <c r="CE28" i="9" s="1"/>
  <c r="CF28" i="9" s="1"/>
  <c r="CG28" i="9" s="1"/>
  <c r="CH28" i="9" s="1"/>
  <c r="CI28" i="9" s="1"/>
  <c r="CJ28" i="9" s="1"/>
  <c r="CK28" i="9" s="1"/>
  <c r="CL28" i="9" s="1"/>
  <c r="CM28" i="9" s="1"/>
  <c r="CN28" i="9" s="1"/>
  <c r="CO28" i="9" s="1"/>
  <c r="J27" i="9"/>
  <c r="K27" i="9" s="1"/>
  <c r="L27" i="9" s="1"/>
  <c r="M27" i="9" s="1"/>
  <c r="N27" i="9" s="1"/>
  <c r="O27" i="9" s="1"/>
  <c r="P27" i="9" s="1"/>
  <c r="Q27" i="9" s="1"/>
  <c r="R27" i="9" s="1"/>
  <c r="S27" i="9" s="1"/>
  <c r="T27" i="9" s="1"/>
  <c r="U27" i="9" s="1"/>
  <c r="V27" i="9" s="1"/>
  <c r="W27" i="9" s="1"/>
  <c r="X27" i="9" s="1"/>
  <c r="Y27" i="9" s="1"/>
  <c r="Z27" i="9" s="1"/>
  <c r="AA27" i="9" s="1"/>
  <c r="AB27" i="9" s="1"/>
  <c r="AC27" i="9" s="1"/>
  <c r="AD27" i="9" s="1"/>
  <c r="AE27" i="9" s="1"/>
  <c r="AF27" i="9" s="1"/>
  <c r="AG27" i="9" s="1"/>
  <c r="AH27" i="9" s="1"/>
  <c r="AI27" i="9" s="1"/>
  <c r="AJ27" i="9" s="1"/>
  <c r="AK27" i="9" s="1"/>
  <c r="AL27" i="9" s="1"/>
  <c r="AM27" i="9" s="1"/>
  <c r="AN27" i="9" s="1"/>
  <c r="AO27" i="9" s="1"/>
  <c r="AP27" i="9" s="1"/>
  <c r="AQ27" i="9" s="1"/>
  <c r="AR27" i="9" s="1"/>
  <c r="AS27" i="9" s="1"/>
  <c r="AT27" i="9" s="1"/>
  <c r="AU27" i="9" s="1"/>
  <c r="AV27" i="9" s="1"/>
  <c r="AW27" i="9" s="1"/>
  <c r="AX27" i="9" s="1"/>
  <c r="AY27" i="9" s="1"/>
  <c r="AZ27" i="9" s="1"/>
  <c r="BA27" i="9" s="1"/>
  <c r="BB27" i="9" s="1"/>
  <c r="BC27" i="9" s="1"/>
  <c r="BD27" i="9" s="1"/>
  <c r="BE27" i="9" s="1"/>
  <c r="BF27" i="9" s="1"/>
  <c r="BG27" i="9" s="1"/>
  <c r="BH27" i="9" s="1"/>
  <c r="BI27" i="9" s="1"/>
  <c r="BJ27" i="9" s="1"/>
  <c r="BK27" i="9" s="1"/>
  <c r="BL27" i="9" s="1"/>
  <c r="BM27" i="9" s="1"/>
  <c r="BN27" i="9" s="1"/>
  <c r="BO27" i="9" s="1"/>
  <c r="BP27" i="9" s="1"/>
  <c r="BQ27" i="9" s="1"/>
  <c r="BR27" i="9" s="1"/>
  <c r="BS27" i="9" s="1"/>
  <c r="BT27" i="9" s="1"/>
  <c r="BU27" i="9" s="1"/>
  <c r="BV27" i="9" s="1"/>
  <c r="BW27" i="9" s="1"/>
  <c r="BX27" i="9" s="1"/>
  <c r="BY27" i="9" s="1"/>
  <c r="BZ27" i="9" s="1"/>
  <c r="CA27" i="9" s="1"/>
  <c r="CB27" i="9" s="1"/>
  <c r="CC27" i="9" s="1"/>
  <c r="CD27" i="9" s="1"/>
  <c r="CE27" i="9" s="1"/>
  <c r="CF27" i="9" s="1"/>
  <c r="CG27" i="9" s="1"/>
  <c r="CH27" i="9" s="1"/>
  <c r="CI27" i="9" s="1"/>
  <c r="CJ27" i="9" s="1"/>
  <c r="CK27" i="9" s="1"/>
  <c r="CL27" i="9" s="1"/>
  <c r="CM27" i="9" s="1"/>
  <c r="CN27" i="9" s="1"/>
  <c r="CO27" i="9" s="1"/>
  <c r="E27" i="9"/>
  <c r="F27" i="9" s="1"/>
  <c r="G27" i="9" s="1"/>
  <c r="H27" i="9" s="1"/>
  <c r="I27" i="9" s="1"/>
  <c r="E26" i="9"/>
  <c r="F26" i="9" s="1"/>
  <c r="G26" i="9" s="1"/>
  <c r="H26" i="9" s="1"/>
  <c r="I26" i="9" s="1"/>
  <c r="J26" i="9" s="1"/>
  <c r="K26" i="9" s="1"/>
  <c r="L26" i="9" s="1"/>
  <c r="M26" i="9" s="1"/>
  <c r="N26" i="9" s="1"/>
  <c r="O26" i="9" s="1"/>
  <c r="P26" i="9" s="1"/>
  <c r="Q26" i="9" s="1"/>
  <c r="R26" i="9" s="1"/>
  <c r="S26" i="9" s="1"/>
  <c r="T26" i="9" s="1"/>
  <c r="U26" i="9" s="1"/>
  <c r="V26" i="9" s="1"/>
  <c r="W26" i="9" s="1"/>
  <c r="X26" i="9" s="1"/>
  <c r="Y26" i="9" s="1"/>
  <c r="Z26" i="9" s="1"/>
  <c r="AA26" i="9" s="1"/>
  <c r="AB26" i="9" s="1"/>
  <c r="AC26" i="9" s="1"/>
  <c r="AD26" i="9" s="1"/>
  <c r="AE26" i="9" s="1"/>
  <c r="AF26" i="9" s="1"/>
  <c r="AG26" i="9" s="1"/>
  <c r="AH26" i="9" s="1"/>
  <c r="AI26" i="9" s="1"/>
  <c r="AJ26" i="9" s="1"/>
  <c r="AK26" i="9" s="1"/>
  <c r="AL26" i="9" s="1"/>
  <c r="AM26" i="9" s="1"/>
  <c r="AN26" i="9" s="1"/>
  <c r="AO26" i="9" s="1"/>
  <c r="AP26" i="9" s="1"/>
  <c r="AQ26" i="9" s="1"/>
  <c r="AR26" i="9" s="1"/>
  <c r="AS26" i="9" s="1"/>
  <c r="AT26" i="9" s="1"/>
  <c r="AU26" i="9" s="1"/>
  <c r="AV26" i="9" s="1"/>
  <c r="AW26" i="9" s="1"/>
  <c r="AX26" i="9" s="1"/>
  <c r="AY26" i="9" s="1"/>
  <c r="AZ26" i="9" s="1"/>
  <c r="BA26" i="9" s="1"/>
  <c r="BB26" i="9" s="1"/>
  <c r="BC26" i="9" s="1"/>
  <c r="BD26" i="9" s="1"/>
  <c r="BE26" i="9" s="1"/>
  <c r="BF26" i="9" s="1"/>
  <c r="BG26" i="9" s="1"/>
  <c r="BH26" i="9" s="1"/>
  <c r="BI26" i="9" s="1"/>
  <c r="BJ26" i="9" s="1"/>
  <c r="BK26" i="9" s="1"/>
  <c r="BL26" i="9" s="1"/>
  <c r="BM26" i="9" s="1"/>
  <c r="BN26" i="9" s="1"/>
  <c r="BO26" i="9" s="1"/>
  <c r="BP26" i="9" s="1"/>
  <c r="BQ26" i="9" s="1"/>
  <c r="BR26" i="9" s="1"/>
  <c r="BS26" i="9" s="1"/>
  <c r="BT26" i="9" s="1"/>
  <c r="BU26" i="9" s="1"/>
  <c r="BV26" i="9" s="1"/>
  <c r="BW26" i="9" s="1"/>
  <c r="BX26" i="9" s="1"/>
  <c r="BY26" i="9" s="1"/>
  <c r="BZ26" i="9" s="1"/>
  <c r="CA26" i="9" s="1"/>
  <c r="CB26" i="9" s="1"/>
  <c r="CC26" i="9" s="1"/>
  <c r="CD26" i="9" s="1"/>
  <c r="CE26" i="9" s="1"/>
  <c r="CF26" i="9" s="1"/>
  <c r="CG26" i="9" s="1"/>
  <c r="CH26" i="9" s="1"/>
  <c r="CI26" i="9" s="1"/>
  <c r="CJ26" i="9" s="1"/>
  <c r="CK26" i="9" s="1"/>
  <c r="CL26" i="9" s="1"/>
  <c r="CM26" i="9" s="1"/>
  <c r="CN26" i="9" s="1"/>
  <c r="CO26" i="9" s="1"/>
  <c r="J25" i="9"/>
  <c r="K25" i="9" s="1"/>
  <c r="L25" i="9" s="1"/>
  <c r="M25" i="9" s="1"/>
  <c r="N25" i="9" s="1"/>
  <c r="O25" i="9" s="1"/>
  <c r="P25" i="9" s="1"/>
  <c r="Q25" i="9" s="1"/>
  <c r="R25" i="9" s="1"/>
  <c r="S25" i="9" s="1"/>
  <c r="T25" i="9" s="1"/>
  <c r="U25" i="9" s="1"/>
  <c r="V25" i="9" s="1"/>
  <c r="W25" i="9" s="1"/>
  <c r="X25" i="9" s="1"/>
  <c r="Y25" i="9" s="1"/>
  <c r="Z25" i="9" s="1"/>
  <c r="AA25" i="9" s="1"/>
  <c r="AB25" i="9" s="1"/>
  <c r="AC25" i="9" s="1"/>
  <c r="AD25" i="9" s="1"/>
  <c r="AE25" i="9" s="1"/>
  <c r="AF25" i="9" s="1"/>
  <c r="AG25" i="9" s="1"/>
  <c r="AH25" i="9" s="1"/>
  <c r="AI25" i="9" s="1"/>
  <c r="AJ25" i="9" s="1"/>
  <c r="AK25" i="9" s="1"/>
  <c r="AL25" i="9" s="1"/>
  <c r="AM25" i="9" s="1"/>
  <c r="AN25" i="9" s="1"/>
  <c r="AO25" i="9" s="1"/>
  <c r="AP25" i="9" s="1"/>
  <c r="AQ25" i="9" s="1"/>
  <c r="AR25" i="9" s="1"/>
  <c r="AS25" i="9" s="1"/>
  <c r="AT25" i="9" s="1"/>
  <c r="AU25" i="9" s="1"/>
  <c r="AV25" i="9" s="1"/>
  <c r="AW25" i="9" s="1"/>
  <c r="AX25" i="9" s="1"/>
  <c r="AY25" i="9" s="1"/>
  <c r="AZ25" i="9" s="1"/>
  <c r="BA25" i="9" s="1"/>
  <c r="BB25" i="9" s="1"/>
  <c r="BC25" i="9" s="1"/>
  <c r="BD25" i="9" s="1"/>
  <c r="BE25" i="9" s="1"/>
  <c r="BF25" i="9" s="1"/>
  <c r="BG25" i="9" s="1"/>
  <c r="BH25" i="9" s="1"/>
  <c r="BI25" i="9" s="1"/>
  <c r="BJ25" i="9" s="1"/>
  <c r="BK25" i="9" s="1"/>
  <c r="BL25" i="9" s="1"/>
  <c r="BM25" i="9" s="1"/>
  <c r="BN25" i="9" s="1"/>
  <c r="BO25" i="9" s="1"/>
  <c r="BP25" i="9" s="1"/>
  <c r="BQ25" i="9" s="1"/>
  <c r="BR25" i="9" s="1"/>
  <c r="BS25" i="9" s="1"/>
  <c r="BT25" i="9" s="1"/>
  <c r="BU25" i="9" s="1"/>
  <c r="BV25" i="9" s="1"/>
  <c r="BW25" i="9" s="1"/>
  <c r="BX25" i="9" s="1"/>
  <c r="BY25" i="9" s="1"/>
  <c r="BZ25" i="9" s="1"/>
  <c r="CA25" i="9" s="1"/>
  <c r="CB25" i="9" s="1"/>
  <c r="CC25" i="9" s="1"/>
  <c r="CD25" i="9" s="1"/>
  <c r="CE25" i="9" s="1"/>
  <c r="CF25" i="9" s="1"/>
  <c r="CG25" i="9" s="1"/>
  <c r="CH25" i="9" s="1"/>
  <c r="CI25" i="9" s="1"/>
  <c r="CJ25" i="9" s="1"/>
  <c r="CK25" i="9" s="1"/>
  <c r="CL25" i="9" s="1"/>
  <c r="CM25" i="9" s="1"/>
  <c r="CN25" i="9" s="1"/>
  <c r="CO25" i="9" s="1"/>
  <c r="E25" i="9"/>
  <c r="F25" i="9" s="1"/>
  <c r="G25" i="9" s="1"/>
  <c r="H25" i="9" s="1"/>
  <c r="I25" i="9" s="1"/>
  <c r="F24" i="9"/>
  <c r="G24" i="9" s="1"/>
  <c r="H24" i="9" s="1"/>
  <c r="I24" i="9" s="1"/>
  <c r="J24" i="9" s="1"/>
  <c r="K24" i="9" s="1"/>
  <c r="L24" i="9" s="1"/>
  <c r="M24" i="9" s="1"/>
  <c r="N24" i="9" s="1"/>
  <c r="O24" i="9" s="1"/>
  <c r="P24" i="9" s="1"/>
  <c r="Q24" i="9" s="1"/>
  <c r="R24" i="9" s="1"/>
  <c r="S24" i="9" s="1"/>
  <c r="T24" i="9" s="1"/>
  <c r="U24" i="9" s="1"/>
  <c r="V24" i="9" s="1"/>
  <c r="W24" i="9" s="1"/>
  <c r="X24" i="9" s="1"/>
  <c r="Y24" i="9" s="1"/>
  <c r="Z24" i="9" s="1"/>
  <c r="AA24" i="9" s="1"/>
  <c r="AB24" i="9" s="1"/>
  <c r="AC24" i="9" s="1"/>
  <c r="AD24" i="9" s="1"/>
  <c r="AE24" i="9" s="1"/>
  <c r="AF24" i="9" s="1"/>
  <c r="AG24" i="9" s="1"/>
  <c r="AH24" i="9" s="1"/>
  <c r="AI24" i="9" s="1"/>
  <c r="AJ24" i="9" s="1"/>
  <c r="AK24" i="9" s="1"/>
  <c r="AL24" i="9" s="1"/>
  <c r="AM24" i="9" s="1"/>
  <c r="AN24" i="9" s="1"/>
  <c r="AO24" i="9" s="1"/>
  <c r="AP24" i="9" s="1"/>
  <c r="AQ24" i="9" s="1"/>
  <c r="AR24" i="9" s="1"/>
  <c r="AS24" i="9" s="1"/>
  <c r="AT24" i="9" s="1"/>
  <c r="AU24" i="9" s="1"/>
  <c r="AV24" i="9" s="1"/>
  <c r="AW24" i="9" s="1"/>
  <c r="AX24" i="9" s="1"/>
  <c r="AY24" i="9" s="1"/>
  <c r="AZ24" i="9" s="1"/>
  <c r="BA24" i="9" s="1"/>
  <c r="BB24" i="9" s="1"/>
  <c r="BC24" i="9" s="1"/>
  <c r="BD24" i="9" s="1"/>
  <c r="BE24" i="9" s="1"/>
  <c r="BF24" i="9" s="1"/>
  <c r="BG24" i="9" s="1"/>
  <c r="BH24" i="9" s="1"/>
  <c r="BI24" i="9" s="1"/>
  <c r="BJ24" i="9" s="1"/>
  <c r="BK24" i="9" s="1"/>
  <c r="BL24" i="9" s="1"/>
  <c r="BM24" i="9" s="1"/>
  <c r="BN24" i="9" s="1"/>
  <c r="BO24" i="9" s="1"/>
  <c r="BP24" i="9" s="1"/>
  <c r="BQ24" i="9" s="1"/>
  <c r="BR24" i="9" s="1"/>
  <c r="BS24" i="9" s="1"/>
  <c r="BT24" i="9" s="1"/>
  <c r="BU24" i="9" s="1"/>
  <c r="BV24" i="9" s="1"/>
  <c r="BW24" i="9" s="1"/>
  <c r="BX24" i="9" s="1"/>
  <c r="BY24" i="9" s="1"/>
  <c r="BZ24" i="9" s="1"/>
  <c r="CA24" i="9" s="1"/>
  <c r="CB24" i="9" s="1"/>
  <c r="CC24" i="9" s="1"/>
  <c r="CD24" i="9" s="1"/>
  <c r="CE24" i="9" s="1"/>
  <c r="CF24" i="9" s="1"/>
  <c r="CG24" i="9" s="1"/>
  <c r="CH24" i="9" s="1"/>
  <c r="CI24" i="9" s="1"/>
  <c r="CJ24" i="9" s="1"/>
  <c r="CK24" i="9" s="1"/>
  <c r="CL24" i="9" s="1"/>
  <c r="CM24" i="9" s="1"/>
  <c r="CN24" i="9" s="1"/>
  <c r="CO24" i="9" s="1"/>
  <c r="E24" i="9"/>
  <c r="H23" i="9"/>
  <c r="I23" i="9" s="1"/>
  <c r="J23" i="9" s="1"/>
  <c r="K23" i="9" s="1"/>
  <c r="L23" i="9" s="1"/>
  <c r="M23" i="9" s="1"/>
  <c r="N23" i="9" s="1"/>
  <c r="O23" i="9" s="1"/>
  <c r="P23" i="9" s="1"/>
  <c r="Q23" i="9" s="1"/>
  <c r="R23" i="9" s="1"/>
  <c r="S23" i="9" s="1"/>
  <c r="T23" i="9" s="1"/>
  <c r="U23" i="9" s="1"/>
  <c r="V23" i="9" s="1"/>
  <c r="W23" i="9" s="1"/>
  <c r="X23" i="9" s="1"/>
  <c r="Y23" i="9" s="1"/>
  <c r="Z23" i="9" s="1"/>
  <c r="AA23" i="9" s="1"/>
  <c r="AB23" i="9" s="1"/>
  <c r="AC23" i="9" s="1"/>
  <c r="AD23" i="9" s="1"/>
  <c r="AE23" i="9" s="1"/>
  <c r="AF23" i="9" s="1"/>
  <c r="AG23" i="9" s="1"/>
  <c r="AH23" i="9" s="1"/>
  <c r="AI23" i="9" s="1"/>
  <c r="AJ23" i="9" s="1"/>
  <c r="AK23" i="9" s="1"/>
  <c r="AL23" i="9" s="1"/>
  <c r="AM23" i="9" s="1"/>
  <c r="AN23" i="9" s="1"/>
  <c r="AO23" i="9" s="1"/>
  <c r="AP23" i="9" s="1"/>
  <c r="AQ23" i="9" s="1"/>
  <c r="AR23" i="9" s="1"/>
  <c r="AS23" i="9" s="1"/>
  <c r="AT23" i="9" s="1"/>
  <c r="AU23" i="9" s="1"/>
  <c r="AV23" i="9" s="1"/>
  <c r="AW23" i="9" s="1"/>
  <c r="AX23" i="9" s="1"/>
  <c r="AY23" i="9" s="1"/>
  <c r="AZ23" i="9" s="1"/>
  <c r="BA23" i="9" s="1"/>
  <c r="BB23" i="9" s="1"/>
  <c r="BC23" i="9" s="1"/>
  <c r="BD23" i="9" s="1"/>
  <c r="BE23" i="9" s="1"/>
  <c r="BF23" i="9" s="1"/>
  <c r="BG23" i="9" s="1"/>
  <c r="BH23" i="9" s="1"/>
  <c r="BI23" i="9" s="1"/>
  <c r="BJ23" i="9" s="1"/>
  <c r="BK23" i="9" s="1"/>
  <c r="BL23" i="9" s="1"/>
  <c r="BM23" i="9" s="1"/>
  <c r="BN23" i="9" s="1"/>
  <c r="BO23" i="9" s="1"/>
  <c r="BP23" i="9" s="1"/>
  <c r="BQ23" i="9" s="1"/>
  <c r="BR23" i="9" s="1"/>
  <c r="BS23" i="9" s="1"/>
  <c r="BT23" i="9" s="1"/>
  <c r="BU23" i="9" s="1"/>
  <c r="BV23" i="9" s="1"/>
  <c r="BW23" i="9" s="1"/>
  <c r="BX23" i="9" s="1"/>
  <c r="BY23" i="9" s="1"/>
  <c r="BZ23" i="9" s="1"/>
  <c r="CA23" i="9" s="1"/>
  <c r="CB23" i="9" s="1"/>
  <c r="CC23" i="9" s="1"/>
  <c r="CD23" i="9" s="1"/>
  <c r="CE23" i="9" s="1"/>
  <c r="CF23" i="9" s="1"/>
  <c r="CG23" i="9" s="1"/>
  <c r="CH23" i="9" s="1"/>
  <c r="CI23" i="9" s="1"/>
  <c r="CJ23" i="9" s="1"/>
  <c r="CK23" i="9" s="1"/>
  <c r="CL23" i="9" s="1"/>
  <c r="CM23" i="9" s="1"/>
  <c r="CN23" i="9" s="1"/>
  <c r="CO23" i="9" s="1"/>
  <c r="F23" i="9"/>
  <c r="G23" i="9" s="1"/>
  <c r="E23" i="9"/>
  <c r="E22" i="9"/>
  <c r="F22" i="9" s="1"/>
  <c r="G22" i="9" s="1"/>
  <c r="H22" i="9" s="1"/>
  <c r="I22" i="9" s="1"/>
  <c r="J22" i="9" s="1"/>
  <c r="K22" i="9" s="1"/>
  <c r="L22" i="9" s="1"/>
  <c r="M22" i="9" s="1"/>
  <c r="N22" i="9" s="1"/>
  <c r="O22" i="9" s="1"/>
  <c r="P22" i="9" s="1"/>
  <c r="Q22" i="9" s="1"/>
  <c r="R22" i="9" s="1"/>
  <c r="S22" i="9" s="1"/>
  <c r="T22" i="9" s="1"/>
  <c r="U22" i="9" s="1"/>
  <c r="V22" i="9" s="1"/>
  <c r="W22" i="9" s="1"/>
  <c r="X22" i="9" s="1"/>
  <c r="Y22" i="9" s="1"/>
  <c r="Z22" i="9" s="1"/>
  <c r="AA22" i="9" s="1"/>
  <c r="AB22" i="9" s="1"/>
  <c r="AC22" i="9" s="1"/>
  <c r="AD22" i="9" s="1"/>
  <c r="AE22" i="9" s="1"/>
  <c r="AF22" i="9" s="1"/>
  <c r="AG22" i="9" s="1"/>
  <c r="AH22" i="9" s="1"/>
  <c r="AI22" i="9" s="1"/>
  <c r="AJ22" i="9" s="1"/>
  <c r="AK22" i="9" s="1"/>
  <c r="AL22" i="9" s="1"/>
  <c r="AM22" i="9" s="1"/>
  <c r="AN22" i="9" s="1"/>
  <c r="AO22" i="9" s="1"/>
  <c r="AP22" i="9" s="1"/>
  <c r="AQ22" i="9" s="1"/>
  <c r="AR22" i="9" s="1"/>
  <c r="AS22" i="9" s="1"/>
  <c r="AT22" i="9" s="1"/>
  <c r="AU22" i="9" s="1"/>
  <c r="AV22" i="9" s="1"/>
  <c r="AW22" i="9" s="1"/>
  <c r="AX22" i="9" s="1"/>
  <c r="AY22" i="9" s="1"/>
  <c r="AZ22" i="9" s="1"/>
  <c r="BA22" i="9" s="1"/>
  <c r="BB22" i="9" s="1"/>
  <c r="BC22" i="9" s="1"/>
  <c r="BD22" i="9" s="1"/>
  <c r="BE22" i="9" s="1"/>
  <c r="BF22" i="9" s="1"/>
  <c r="BG22" i="9" s="1"/>
  <c r="BH22" i="9" s="1"/>
  <c r="BI22" i="9" s="1"/>
  <c r="BJ22" i="9" s="1"/>
  <c r="BK22" i="9" s="1"/>
  <c r="BL22" i="9" s="1"/>
  <c r="BM22" i="9" s="1"/>
  <c r="BN22" i="9" s="1"/>
  <c r="BO22" i="9" s="1"/>
  <c r="BP22" i="9" s="1"/>
  <c r="BQ22" i="9" s="1"/>
  <c r="BR22" i="9" s="1"/>
  <c r="BS22" i="9" s="1"/>
  <c r="BT22" i="9" s="1"/>
  <c r="BU22" i="9" s="1"/>
  <c r="BV22" i="9" s="1"/>
  <c r="BW22" i="9" s="1"/>
  <c r="BX22" i="9" s="1"/>
  <c r="BY22" i="9" s="1"/>
  <c r="BZ22" i="9" s="1"/>
  <c r="CA22" i="9" s="1"/>
  <c r="CB22" i="9" s="1"/>
  <c r="CC22" i="9" s="1"/>
  <c r="CD22" i="9" s="1"/>
  <c r="CE22" i="9" s="1"/>
  <c r="CF22" i="9" s="1"/>
  <c r="CG22" i="9" s="1"/>
  <c r="CH22" i="9" s="1"/>
  <c r="CI22" i="9" s="1"/>
  <c r="CJ22" i="9" s="1"/>
  <c r="CK22" i="9" s="1"/>
  <c r="CL22" i="9" s="1"/>
  <c r="CM22" i="9" s="1"/>
  <c r="CN22" i="9" s="1"/>
  <c r="CO22" i="9" s="1"/>
  <c r="E21" i="9"/>
  <c r="F21" i="9" s="1"/>
  <c r="G21" i="9" s="1"/>
  <c r="H21" i="9" s="1"/>
  <c r="I21" i="9" s="1"/>
  <c r="J21" i="9" s="1"/>
  <c r="K21" i="9" s="1"/>
  <c r="L21" i="9" s="1"/>
  <c r="M21" i="9" s="1"/>
  <c r="N21" i="9" s="1"/>
  <c r="O21" i="9" s="1"/>
  <c r="P21" i="9" s="1"/>
  <c r="Q21" i="9" s="1"/>
  <c r="R21" i="9" s="1"/>
  <c r="S21" i="9" s="1"/>
  <c r="T21" i="9" s="1"/>
  <c r="U21" i="9" s="1"/>
  <c r="V21" i="9" s="1"/>
  <c r="W21" i="9" s="1"/>
  <c r="X21" i="9" s="1"/>
  <c r="Y21" i="9" s="1"/>
  <c r="Z21" i="9" s="1"/>
  <c r="AA21" i="9" s="1"/>
  <c r="AB21" i="9" s="1"/>
  <c r="AC21" i="9" s="1"/>
  <c r="AD21" i="9" s="1"/>
  <c r="AE21" i="9" s="1"/>
  <c r="AF21" i="9" s="1"/>
  <c r="AG21" i="9" s="1"/>
  <c r="AH21" i="9" s="1"/>
  <c r="AI21" i="9" s="1"/>
  <c r="AJ21" i="9" s="1"/>
  <c r="AK21" i="9" s="1"/>
  <c r="AL21" i="9" s="1"/>
  <c r="AM21" i="9" s="1"/>
  <c r="AN21" i="9" s="1"/>
  <c r="AO21" i="9" s="1"/>
  <c r="AP21" i="9" s="1"/>
  <c r="AQ21" i="9" s="1"/>
  <c r="AR21" i="9" s="1"/>
  <c r="AS21" i="9" s="1"/>
  <c r="AT21" i="9" s="1"/>
  <c r="AU21" i="9" s="1"/>
  <c r="AV21" i="9" s="1"/>
  <c r="AW21" i="9" s="1"/>
  <c r="AX21" i="9" s="1"/>
  <c r="AY21" i="9" s="1"/>
  <c r="AZ21" i="9" s="1"/>
  <c r="BA21" i="9" s="1"/>
  <c r="BB21" i="9" s="1"/>
  <c r="BC21" i="9" s="1"/>
  <c r="BD21" i="9" s="1"/>
  <c r="BE21" i="9" s="1"/>
  <c r="BF21" i="9" s="1"/>
  <c r="BG21" i="9" s="1"/>
  <c r="BH21" i="9" s="1"/>
  <c r="BI21" i="9" s="1"/>
  <c r="BJ21" i="9" s="1"/>
  <c r="BK21" i="9" s="1"/>
  <c r="BL21" i="9" s="1"/>
  <c r="BM21" i="9" s="1"/>
  <c r="BN21" i="9" s="1"/>
  <c r="BO21" i="9" s="1"/>
  <c r="BP21" i="9" s="1"/>
  <c r="BQ21" i="9" s="1"/>
  <c r="BR21" i="9" s="1"/>
  <c r="BS21" i="9" s="1"/>
  <c r="BT21" i="9" s="1"/>
  <c r="BU21" i="9" s="1"/>
  <c r="BV21" i="9" s="1"/>
  <c r="BW21" i="9" s="1"/>
  <c r="BX21" i="9" s="1"/>
  <c r="BY21" i="9" s="1"/>
  <c r="BZ21" i="9" s="1"/>
  <c r="CA21" i="9" s="1"/>
  <c r="CB21" i="9" s="1"/>
  <c r="CC21" i="9" s="1"/>
  <c r="CD21" i="9" s="1"/>
  <c r="CE21" i="9" s="1"/>
  <c r="CF21" i="9" s="1"/>
  <c r="CG21" i="9" s="1"/>
  <c r="CH21" i="9" s="1"/>
  <c r="CI21" i="9" s="1"/>
  <c r="CJ21" i="9" s="1"/>
  <c r="CK21" i="9" s="1"/>
  <c r="CL21" i="9" s="1"/>
  <c r="CM21" i="9" s="1"/>
  <c r="CN21" i="9" s="1"/>
  <c r="CO21" i="9" s="1"/>
  <c r="Q20" i="9"/>
  <c r="R20" i="9" s="1"/>
  <c r="S20" i="9" s="1"/>
  <c r="T20" i="9" s="1"/>
  <c r="U20" i="9" s="1"/>
  <c r="V20" i="9" s="1"/>
  <c r="W20" i="9" s="1"/>
  <c r="X20" i="9" s="1"/>
  <c r="Y20" i="9" s="1"/>
  <c r="Z20" i="9" s="1"/>
  <c r="AA20" i="9" s="1"/>
  <c r="AB20" i="9" s="1"/>
  <c r="AC20" i="9" s="1"/>
  <c r="AD20" i="9" s="1"/>
  <c r="AE20" i="9" s="1"/>
  <c r="AF20" i="9" s="1"/>
  <c r="AG20" i="9" s="1"/>
  <c r="AH20" i="9" s="1"/>
  <c r="AI20" i="9" s="1"/>
  <c r="AJ20" i="9" s="1"/>
  <c r="AK20" i="9" s="1"/>
  <c r="AL20" i="9" s="1"/>
  <c r="AM20" i="9" s="1"/>
  <c r="AN20" i="9" s="1"/>
  <c r="AO20" i="9" s="1"/>
  <c r="AP20" i="9" s="1"/>
  <c r="AQ20" i="9" s="1"/>
  <c r="AR20" i="9" s="1"/>
  <c r="AS20" i="9" s="1"/>
  <c r="AT20" i="9" s="1"/>
  <c r="AU20" i="9" s="1"/>
  <c r="AV20" i="9" s="1"/>
  <c r="AW20" i="9" s="1"/>
  <c r="AX20" i="9" s="1"/>
  <c r="AY20" i="9" s="1"/>
  <c r="AZ20" i="9" s="1"/>
  <c r="BA20" i="9" s="1"/>
  <c r="BB20" i="9" s="1"/>
  <c r="BC20" i="9" s="1"/>
  <c r="BD20" i="9" s="1"/>
  <c r="BE20" i="9" s="1"/>
  <c r="BF20" i="9" s="1"/>
  <c r="BG20" i="9" s="1"/>
  <c r="BH20" i="9" s="1"/>
  <c r="BI20" i="9" s="1"/>
  <c r="BJ20" i="9" s="1"/>
  <c r="BK20" i="9" s="1"/>
  <c r="BL20" i="9" s="1"/>
  <c r="BM20" i="9" s="1"/>
  <c r="BN20" i="9" s="1"/>
  <c r="BO20" i="9" s="1"/>
  <c r="BP20" i="9" s="1"/>
  <c r="BQ20" i="9" s="1"/>
  <c r="BR20" i="9" s="1"/>
  <c r="BS20" i="9" s="1"/>
  <c r="BT20" i="9" s="1"/>
  <c r="BU20" i="9" s="1"/>
  <c r="BV20" i="9" s="1"/>
  <c r="BW20" i="9" s="1"/>
  <c r="BX20" i="9" s="1"/>
  <c r="BY20" i="9" s="1"/>
  <c r="BZ20" i="9" s="1"/>
  <c r="CA20" i="9" s="1"/>
  <c r="CB20" i="9" s="1"/>
  <c r="CC20" i="9" s="1"/>
  <c r="CD20" i="9" s="1"/>
  <c r="CE20" i="9" s="1"/>
  <c r="CF20" i="9" s="1"/>
  <c r="CG20" i="9" s="1"/>
  <c r="CH20" i="9" s="1"/>
  <c r="CI20" i="9" s="1"/>
  <c r="CJ20" i="9" s="1"/>
  <c r="CK20" i="9" s="1"/>
  <c r="CL20" i="9" s="1"/>
  <c r="CM20" i="9" s="1"/>
  <c r="CN20" i="9" s="1"/>
  <c r="CO20" i="9" s="1"/>
  <c r="F20" i="9"/>
  <c r="G20" i="9" s="1"/>
  <c r="H20" i="9" s="1"/>
  <c r="I20" i="9" s="1"/>
  <c r="J20" i="9" s="1"/>
  <c r="K20" i="9" s="1"/>
  <c r="L20" i="9" s="1"/>
  <c r="M20" i="9" s="1"/>
  <c r="N20" i="9" s="1"/>
  <c r="O20" i="9" s="1"/>
  <c r="P20" i="9" s="1"/>
  <c r="E20" i="9"/>
  <c r="Y19" i="9"/>
  <c r="Z19" i="9" s="1"/>
  <c r="AA19" i="9" s="1"/>
  <c r="AB19" i="9" s="1"/>
  <c r="AC19" i="9" s="1"/>
  <c r="AD19" i="9" s="1"/>
  <c r="AE19" i="9" s="1"/>
  <c r="AF19" i="9" s="1"/>
  <c r="AG19" i="9" s="1"/>
  <c r="AH19" i="9" s="1"/>
  <c r="AI19" i="9" s="1"/>
  <c r="AJ19" i="9" s="1"/>
  <c r="AK19" i="9" s="1"/>
  <c r="AL19" i="9" s="1"/>
  <c r="AM19" i="9" s="1"/>
  <c r="AN19" i="9" s="1"/>
  <c r="AO19" i="9" s="1"/>
  <c r="AP19" i="9" s="1"/>
  <c r="AQ19" i="9" s="1"/>
  <c r="AR19" i="9" s="1"/>
  <c r="AS19" i="9" s="1"/>
  <c r="AT19" i="9" s="1"/>
  <c r="AU19" i="9" s="1"/>
  <c r="AV19" i="9" s="1"/>
  <c r="AW19" i="9" s="1"/>
  <c r="AX19" i="9" s="1"/>
  <c r="AY19" i="9" s="1"/>
  <c r="AZ19" i="9" s="1"/>
  <c r="BA19" i="9" s="1"/>
  <c r="BB19" i="9" s="1"/>
  <c r="BC19" i="9" s="1"/>
  <c r="BD19" i="9" s="1"/>
  <c r="BE19" i="9" s="1"/>
  <c r="BF19" i="9" s="1"/>
  <c r="BG19" i="9" s="1"/>
  <c r="BH19" i="9" s="1"/>
  <c r="BI19" i="9" s="1"/>
  <c r="BJ19" i="9" s="1"/>
  <c r="BK19" i="9" s="1"/>
  <c r="BL19" i="9" s="1"/>
  <c r="BM19" i="9" s="1"/>
  <c r="BN19" i="9" s="1"/>
  <c r="BO19" i="9" s="1"/>
  <c r="BP19" i="9" s="1"/>
  <c r="BQ19" i="9" s="1"/>
  <c r="BR19" i="9" s="1"/>
  <c r="BS19" i="9" s="1"/>
  <c r="BT19" i="9" s="1"/>
  <c r="BU19" i="9" s="1"/>
  <c r="BV19" i="9" s="1"/>
  <c r="BW19" i="9" s="1"/>
  <c r="BX19" i="9" s="1"/>
  <c r="BY19" i="9" s="1"/>
  <c r="BZ19" i="9" s="1"/>
  <c r="CA19" i="9" s="1"/>
  <c r="CB19" i="9" s="1"/>
  <c r="CC19" i="9" s="1"/>
  <c r="CD19" i="9" s="1"/>
  <c r="CE19" i="9" s="1"/>
  <c r="CF19" i="9" s="1"/>
  <c r="CG19" i="9" s="1"/>
  <c r="CH19" i="9" s="1"/>
  <c r="CI19" i="9" s="1"/>
  <c r="CJ19" i="9" s="1"/>
  <c r="CK19" i="9" s="1"/>
  <c r="CL19" i="9" s="1"/>
  <c r="CM19" i="9" s="1"/>
  <c r="CN19" i="9" s="1"/>
  <c r="CO19" i="9" s="1"/>
  <c r="I19" i="9"/>
  <c r="J19" i="9" s="1"/>
  <c r="K19" i="9" s="1"/>
  <c r="L19" i="9" s="1"/>
  <c r="M19" i="9" s="1"/>
  <c r="N19" i="9" s="1"/>
  <c r="O19" i="9" s="1"/>
  <c r="P19" i="9" s="1"/>
  <c r="Q19" i="9" s="1"/>
  <c r="R19" i="9" s="1"/>
  <c r="S19" i="9" s="1"/>
  <c r="T19" i="9" s="1"/>
  <c r="U19" i="9" s="1"/>
  <c r="V19" i="9" s="1"/>
  <c r="W19" i="9" s="1"/>
  <c r="X19" i="9" s="1"/>
  <c r="E19" i="9"/>
  <c r="F19" i="9" s="1"/>
  <c r="G19" i="9" s="1"/>
  <c r="H19" i="9" s="1"/>
  <c r="P18" i="9"/>
  <c r="Q18" i="9" s="1"/>
  <c r="R18" i="9" s="1"/>
  <c r="S18" i="9" s="1"/>
  <c r="T18" i="9" s="1"/>
  <c r="U18" i="9" s="1"/>
  <c r="V18" i="9" s="1"/>
  <c r="W18" i="9" s="1"/>
  <c r="X18" i="9" s="1"/>
  <c r="Y18" i="9" s="1"/>
  <c r="Z18" i="9" s="1"/>
  <c r="AA18" i="9" s="1"/>
  <c r="AB18" i="9" s="1"/>
  <c r="AC18" i="9" s="1"/>
  <c r="AD18" i="9" s="1"/>
  <c r="AE18" i="9" s="1"/>
  <c r="AF18" i="9" s="1"/>
  <c r="AG18" i="9" s="1"/>
  <c r="AH18" i="9" s="1"/>
  <c r="AI18" i="9" s="1"/>
  <c r="AJ18" i="9" s="1"/>
  <c r="AK18" i="9" s="1"/>
  <c r="AL18" i="9" s="1"/>
  <c r="AM18" i="9" s="1"/>
  <c r="AN18" i="9" s="1"/>
  <c r="AO18" i="9" s="1"/>
  <c r="AP18" i="9" s="1"/>
  <c r="AQ18" i="9" s="1"/>
  <c r="AR18" i="9" s="1"/>
  <c r="AS18" i="9" s="1"/>
  <c r="AT18" i="9" s="1"/>
  <c r="AU18" i="9" s="1"/>
  <c r="AV18" i="9" s="1"/>
  <c r="AW18" i="9" s="1"/>
  <c r="AX18" i="9" s="1"/>
  <c r="AY18" i="9" s="1"/>
  <c r="AZ18" i="9" s="1"/>
  <c r="BA18" i="9" s="1"/>
  <c r="BB18" i="9" s="1"/>
  <c r="BC18" i="9" s="1"/>
  <c r="BD18" i="9" s="1"/>
  <c r="BE18" i="9" s="1"/>
  <c r="BF18" i="9" s="1"/>
  <c r="BG18" i="9" s="1"/>
  <c r="BH18" i="9" s="1"/>
  <c r="BI18" i="9" s="1"/>
  <c r="BJ18" i="9" s="1"/>
  <c r="BK18" i="9" s="1"/>
  <c r="BL18" i="9" s="1"/>
  <c r="BM18" i="9" s="1"/>
  <c r="BN18" i="9" s="1"/>
  <c r="BO18" i="9" s="1"/>
  <c r="BP18" i="9" s="1"/>
  <c r="BQ18" i="9" s="1"/>
  <c r="BR18" i="9" s="1"/>
  <c r="BS18" i="9" s="1"/>
  <c r="BT18" i="9" s="1"/>
  <c r="BU18" i="9" s="1"/>
  <c r="BV18" i="9" s="1"/>
  <c r="BW18" i="9" s="1"/>
  <c r="BX18" i="9" s="1"/>
  <c r="BY18" i="9" s="1"/>
  <c r="BZ18" i="9" s="1"/>
  <c r="CA18" i="9" s="1"/>
  <c r="CB18" i="9" s="1"/>
  <c r="CC18" i="9" s="1"/>
  <c r="CD18" i="9" s="1"/>
  <c r="CE18" i="9" s="1"/>
  <c r="CF18" i="9" s="1"/>
  <c r="CG18" i="9" s="1"/>
  <c r="CH18" i="9" s="1"/>
  <c r="CI18" i="9" s="1"/>
  <c r="CJ18" i="9" s="1"/>
  <c r="CK18" i="9" s="1"/>
  <c r="CL18" i="9" s="1"/>
  <c r="CM18" i="9" s="1"/>
  <c r="CN18" i="9" s="1"/>
  <c r="CO18" i="9" s="1"/>
  <c r="E18" i="9"/>
  <c r="F18" i="9" s="1"/>
  <c r="G18" i="9" s="1"/>
  <c r="H18" i="9" s="1"/>
  <c r="I18" i="9" s="1"/>
  <c r="J18" i="9" s="1"/>
  <c r="K18" i="9" s="1"/>
  <c r="L18" i="9" s="1"/>
  <c r="M18" i="9" s="1"/>
  <c r="N18" i="9" s="1"/>
  <c r="O18" i="9" s="1"/>
  <c r="E17" i="9"/>
  <c r="F17" i="9" s="1"/>
  <c r="G17" i="9" s="1"/>
  <c r="H17" i="9" s="1"/>
  <c r="I17" i="9" s="1"/>
  <c r="J17" i="9" s="1"/>
  <c r="K17" i="9" s="1"/>
  <c r="L17" i="9" s="1"/>
  <c r="M17" i="9" s="1"/>
  <c r="N17" i="9" s="1"/>
  <c r="O17" i="9" s="1"/>
  <c r="P17" i="9" s="1"/>
  <c r="Q17" i="9" s="1"/>
  <c r="R17" i="9" s="1"/>
  <c r="S17" i="9" s="1"/>
  <c r="T17" i="9" s="1"/>
  <c r="U17" i="9" s="1"/>
  <c r="V17" i="9" s="1"/>
  <c r="W17" i="9" s="1"/>
  <c r="X17" i="9" s="1"/>
  <c r="Y17" i="9" s="1"/>
  <c r="Z17" i="9" s="1"/>
  <c r="AA17" i="9" s="1"/>
  <c r="AB17" i="9" s="1"/>
  <c r="AC17" i="9" s="1"/>
  <c r="AD17" i="9" s="1"/>
  <c r="AE17" i="9" s="1"/>
  <c r="AF17" i="9" s="1"/>
  <c r="AG17" i="9" s="1"/>
  <c r="AH17" i="9" s="1"/>
  <c r="AI17" i="9" s="1"/>
  <c r="AJ17" i="9" s="1"/>
  <c r="AK17" i="9" s="1"/>
  <c r="AL17" i="9" s="1"/>
  <c r="AM17" i="9" s="1"/>
  <c r="AN17" i="9" s="1"/>
  <c r="AO17" i="9" s="1"/>
  <c r="AP17" i="9" s="1"/>
  <c r="AQ17" i="9" s="1"/>
  <c r="AR17" i="9" s="1"/>
  <c r="AS17" i="9" s="1"/>
  <c r="AT17" i="9" s="1"/>
  <c r="AU17" i="9" s="1"/>
  <c r="AV17" i="9" s="1"/>
  <c r="AW17" i="9" s="1"/>
  <c r="AX17" i="9" s="1"/>
  <c r="AY17" i="9" s="1"/>
  <c r="AZ17" i="9" s="1"/>
  <c r="BA17" i="9" s="1"/>
  <c r="BB17" i="9" s="1"/>
  <c r="BC17" i="9" s="1"/>
  <c r="BD17" i="9" s="1"/>
  <c r="BE17" i="9" s="1"/>
  <c r="BF17" i="9" s="1"/>
  <c r="BG17" i="9" s="1"/>
  <c r="BH17" i="9" s="1"/>
  <c r="BI17" i="9" s="1"/>
  <c r="BJ17" i="9" s="1"/>
  <c r="BK17" i="9" s="1"/>
  <c r="BL17" i="9" s="1"/>
  <c r="BM17" i="9" s="1"/>
  <c r="BN17" i="9" s="1"/>
  <c r="BO17" i="9" s="1"/>
  <c r="BP17" i="9" s="1"/>
  <c r="BQ17" i="9" s="1"/>
  <c r="BR17" i="9" s="1"/>
  <c r="BS17" i="9" s="1"/>
  <c r="BT17" i="9" s="1"/>
  <c r="BU17" i="9" s="1"/>
  <c r="BV17" i="9" s="1"/>
  <c r="BW17" i="9" s="1"/>
  <c r="BX17" i="9" s="1"/>
  <c r="BY17" i="9" s="1"/>
  <c r="BZ17" i="9" s="1"/>
  <c r="CA17" i="9" s="1"/>
  <c r="CB17" i="9" s="1"/>
  <c r="CC17" i="9" s="1"/>
  <c r="CD17" i="9" s="1"/>
  <c r="CE17" i="9" s="1"/>
  <c r="CF17" i="9" s="1"/>
  <c r="CG17" i="9" s="1"/>
  <c r="CH17" i="9" s="1"/>
  <c r="CI17" i="9" s="1"/>
  <c r="CJ17" i="9" s="1"/>
  <c r="CK17" i="9" s="1"/>
  <c r="CL17" i="9" s="1"/>
  <c r="CM17" i="9" s="1"/>
  <c r="CN17" i="9" s="1"/>
  <c r="CO17" i="9" s="1"/>
  <c r="I16" i="9"/>
  <c r="J16" i="9" s="1"/>
  <c r="K16" i="9" s="1"/>
  <c r="L16" i="9" s="1"/>
  <c r="M16" i="9" s="1"/>
  <c r="N16" i="9" s="1"/>
  <c r="O16" i="9" s="1"/>
  <c r="P16" i="9" s="1"/>
  <c r="Q16" i="9" s="1"/>
  <c r="R16" i="9" s="1"/>
  <c r="S16" i="9" s="1"/>
  <c r="T16" i="9" s="1"/>
  <c r="U16" i="9" s="1"/>
  <c r="V16" i="9" s="1"/>
  <c r="W16" i="9" s="1"/>
  <c r="X16" i="9" s="1"/>
  <c r="Y16" i="9" s="1"/>
  <c r="Z16" i="9" s="1"/>
  <c r="AA16" i="9" s="1"/>
  <c r="AB16" i="9" s="1"/>
  <c r="AC16" i="9" s="1"/>
  <c r="AD16" i="9" s="1"/>
  <c r="AE16" i="9" s="1"/>
  <c r="AF16" i="9" s="1"/>
  <c r="AG16" i="9" s="1"/>
  <c r="AH16" i="9" s="1"/>
  <c r="AI16" i="9" s="1"/>
  <c r="AJ16" i="9" s="1"/>
  <c r="AK16" i="9" s="1"/>
  <c r="AL16" i="9" s="1"/>
  <c r="AM16" i="9" s="1"/>
  <c r="AN16" i="9" s="1"/>
  <c r="AO16" i="9" s="1"/>
  <c r="AP16" i="9" s="1"/>
  <c r="AQ16" i="9" s="1"/>
  <c r="AR16" i="9" s="1"/>
  <c r="AS16" i="9" s="1"/>
  <c r="AT16" i="9" s="1"/>
  <c r="AU16" i="9" s="1"/>
  <c r="AV16" i="9" s="1"/>
  <c r="AW16" i="9" s="1"/>
  <c r="AX16" i="9" s="1"/>
  <c r="AY16" i="9" s="1"/>
  <c r="AZ16" i="9" s="1"/>
  <c r="BA16" i="9" s="1"/>
  <c r="BB16" i="9" s="1"/>
  <c r="BC16" i="9" s="1"/>
  <c r="BD16" i="9" s="1"/>
  <c r="BE16" i="9" s="1"/>
  <c r="BF16" i="9" s="1"/>
  <c r="BG16" i="9" s="1"/>
  <c r="BH16" i="9" s="1"/>
  <c r="BI16" i="9" s="1"/>
  <c r="BJ16" i="9" s="1"/>
  <c r="BK16" i="9" s="1"/>
  <c r="BL16" i="9" s="1"/>
  <c r="BM16" i="9" s="1"/>
  <c r="BN16" i="9" s="1"/>
  <c r="BO16" i="9" s="1"/>
  <c r="BP16" i="9" s="1"/>
  <c r="BQ16" i="9" s="1"/>
  <c r="BR16" i="9" s="1"/>
  <c r="BS16" i="9" s="1"/>
  <c r="BT16" i="9" s="1"/>
  <c r="BU16" i="9" s="1"/>
  <c r="BV16" i="9" s="1"/>
  <c r="BW16" i="9" s="1"/>
  <c r="BX16" i="9" s="1"/>
  <c r="BY16" i="9" s="1"/>
  <c r="BZ16" i="9" s="1"/>
  <c r="CA16" i="9" s="1"/>
  <c r="CB16" i="9" s="1"/>
  <c r="CC16" i="9" s="1"/>
  <c r="CD16" i="9" s="1"/>
  <c r="CE16" i="9" s="1"/>
  <c r="CF16" i="9" s="1"/>
  <c r="CG16" i="9" s="1"/>
  <c r="CH16" i="9" s="1"/>
  <c r="CI16" i="9" s="1"/>
  <c r="CJ16" i="9" s="1"/>
  <c r="CK16" i="9" s="1"/>
  <c r="CL16" i="9" s="1"/>
  <c r="CM16" i="9" s="1"/>
  <c r="CN16" i="9" s="1"/>
  <c r="CO16" i="9" s="1"/>
  <c r="E16" i="9"/>
  <c r="F16" i="9" s="1"/>
  <c r="G16" i="9" s="1"/>
  <c r="H16" i="9" s="1"/>
  <c r="G15" i="9"/>
  <c r="H15" i="9" s="1"/>
  <c r="I15" i="9" s="1"/>
  <c r="J15" i="9" s="1"/>
  <c r="K15" i="9" s="1"/>
  <c r="L15" i="9" s="1"/>
  <c r="M15" i="9" s="1"/>
  <c r="N15" i="9" s="1"/>
  <c r="O15" i="9" s="1"/>
  <c r="P15" i="9" s="1"/>
  <c r="Q15" i="9" s="1"/>
  <c r="R15" i="9" s="1"/>
  <c r="S15" i="9" s="1"/>
  <c r="T15" i="9" s="1"/>
  <c r="U15" i="9" s="1"/>
  <c r="V15" i="9" s="1"/>
  <c r="W15" i="9" s="1"/>
  <c r="X15" i="9" s="1"/>
  <c r="Y15" i="9" s="1"/>
  <c r="Z15" i="9" s="1"/>
  <c r="AA15" i="9" s="1"/>
  <c r="AB15" i="9" s="1"/>
  <c r="AC15" i="9" s="1"/>
  <c r="AD15" i="9" s="1"/>
  <c r="AE15" i="9" s="1"/>
  <c r="AF15" i="9" s="1"/>
  <c r="AG15" i="9" s="1"/>
  <c r="AH15" i="9" s="1"/>
  <c r="AI15" i="9" s="1"/>
  <c r="AJ15" i="9" s="1"/>
  <c r="AK15" i="9" s="1"/>
  <c r="AL15" i="9" s="1"/>
  <c r="AM15" i="9" s="1"/>
  <c r="AN15" i="9" s="1"/>
  <c r="AO15" i="9" s="1"/>
  <c r="AP15" i="9" s="1"/>
  <c r="AQ15" i="9" s="1"/>
  <c r="AR15" i="9" s="1"/>
  <c r="AS15" i="9" s="1"/>
  <c r="AT15" i="9" s="1"/>
  <c r="AU15" i="9" s="1"/>
  <c r="AV15" i="9" s="1"/>
  <c r="AW15" i="9" s="1"/>
  <c r="AX15" i="9" s="1"/>
  <c r="AY15" i="9" s="1"/>
  <c r="AZ15" i="9" s="1"/>
  <c r="BA15" i="9" s="1"/>
  <c r="BB15" i="9" s="1"/>
  <c r="BC15" i="9" s="1"/>
  <c r="BD15" i="9" s="1"/>
  <c r="BE15" i="9" s="1"/>
  <c r="BF15" i="9" s="1"/>
  <c r="BG15" i="9" s="1"/>
  <c r="BH15" i="9" s="1"/>
  <c r="BI15" i="9" s="1"/>
  <c r="BJ15" i="9" s="1"/>
  <c r="BK15" i="9" s="1"/>
  <c r="BL15" i="9" s="1"/>
  <c r="BM15" i="9" s="1"/>
  <c r="BN15" i="9" s="1"/>
  <c r="BO15" i="9" s="1"/>
  <c r="BP15" i="9" s="1"/>
  <c r="BQ15" i="9" s="1"/>
  <c r="BR15" i="9" s="1"/>
  <c r="BS15" i="9" s="1"/>
  <c r="BT15" i="9" s="1"/>
  <c r="BU15" i="9" s="1"/>
  <c r="BV15" i="9" s="1"/>
  <c r="BW15" i="9" s="1"/>
  <c r="BX15" i="9" s="1"/>
  <c r="BY15" i="9" s="1"/>
  <c r="BZ15" i="9" s="1"/>
  <c r="CA15" i="9" s="1"/>
  <c r="CB15" i="9" s="1"/>
  <c r="CC15" i="9" s="1"/>
  <c r="CD15" i="9" s="1"/>
  <c r="CE15" i="9" s="1"/>
  <c r="CF15" i="9" s="1"/>
  <c r="CG15" i="9" s="1"/>
  <c r="CH15" i="9" s="1"/>
  <c r="CI15" i="9" s="1"/>
  <c r="CJ15" i="9" s="1"/>
  <c r="CK15" i="9" s="1"/>
  <c r="CL15" i="9" s="1"/>
  <c r="CM15" i="9" s="1"/>
  <c r="CN15" i="9" s="1"/>
  <c r="CO15" i="9" s="1"/>
  <c r="E15" i="9"/>
  <c r="F15" i="9" s="1"/>
  <c r="F14" i="9"/>
  <c r="G14" i="9" s="1"/>
  <c r="H14" i="9" s="1"/>
  <c r="I14" i="9" s="1"/>
  <c r="J14" i="9" s="1"/>
  <c r="K14" i="9" s="1"/>
  <c r="L14" i="9" s="1"/>
  <c r="M14" i="9" s="1"/>
  <c r="N14" i="9" s="1"/>
  <c r="O14" i="9" s="1"/>
  <c r="P14" i="9" s="1"/>
  <c r="Q14" i="9" s="1"/>
  <c r="R14" i="9" s="1"/>
  <c r="S14" i="9" s="1"/>
  <c r="T14" i="9" s="1"/>
  <c r="U14" i="9" s="1"/>
  <c r="V14" i="9" s="1"/>
  <c r="W14" i="9" s="1"/>
  <c r="X14" i="9" s="1"/>
  <c r="Y14" i="9" s="1"/>
  <c r="Z14" i="9" s="1"/>
  <c r="AA14" i="9" s="1"/>
  <c r="AB14" i="9" s="1"/>
  <c r="AC14" i="9" s="1"/>
  <c r="AD14" i="9" s="1"/>
  <c r="AE14" i="9" s="1"/>
  <c r="AF14" i="9" s="1"/>
  <c r="AG14" i="9" s="1"/>
  <c r="AH14" i="9" s="1"/>
  <c r="AI14" i="9" s="1"/>
  <c r="AJ14" i="9" s="1"/>
  <c r="AK14" i="9" s="1"/>
  <c r="AL14" i="9" s="1"/>
  <c r="AM14" i="9" s="1"/>
  <c r="AN14" i="9" s="1"/>
  <c r="AO14" i="9" s="1"/>
  <c r="AP14" i="9" s="1"/>
  <c r="AQ14" i="9" s="1"/>
  <c r="AR14" i="9" s="1"/>
  <c r="AS14" i="9" s="1"/>
  <c r="AT14" i="9" s="1"/>
  <c r="AU14" i="9" s="1"/>
  <c r="AV14" i="9" s="1"/>
  <c r="AW14" i="9" s="1"/>
  <c r="AX14" i="9" s="1"/>
  <c r="AY14" i="9" s="1"/>
  <c r="AZ14" i="9" s="1"/>
  <c r="BA14" i="9" s="1"/>
  <c r="BB14" i="9" s="1"/>
  <c r="BC14" i="9" s="1"/>
  <c r="BD14" i="9" s="1"/>
  <c r="BE14" i="9" s="1"/>
  <c r="BF14" i="9" s="1"/>
  <c r="BG14" i="9" s="1"/>
  <c r="BH14" i="9" s="1"/>
  <c r="BI14" i="9" s="1"/>
  <c r="BJ14" i="9" s="1"/>
  <c r="BK14" i="9" s="1"/>
  <c r="BL14" i="9" s="1"/>
  <c r="BM14" i="9" s="1"/>
  <c r="BN14" i="9" s="1"/>
  <c r="BO14" i="9" s="1"/>
  <c r="BP14" i="9" s="1"/>
  <c r="BQ14" i="9" s="1"/>
  <c r="BR14" i="9" s="1"/>
  <c r="BS14" i="9" s="1"/>
  <c r="BT14" i="9" s="1"/>
  <c r="BU14" i="9" s="1"/>
  <c r="BV14" i="9" s="1"/>
  <c r="BW14" i="9" s="1"/>
  <c r="BX14" i="9" s="1"/>
  <c r="BY14" i="9" s="1"/>
  <c r="BZ14" i="9" s="1"/>
  <c r="CA14" i="9" s="1"/>
  <c r="CB14" i="9" s="1"/>
  <c r="CC14" i="9" s="1"/>
  <c r="CD14" i="9" s="1"/>
  <c r="CE14" i="9" s="1"/>
  <c r="CF14" i="9" s="1"/>
  <c r="CG14" i="9" s="1"/>
  <c r="CH14" i="9" s="1"/>
  <c r="CI14" i="9" s="1"/>
  <c r="CJ14" i="9" s="1"/>
  <c r="CK14" i="9" s="1"/>
  <c r="CL14" i="9" s="1"/>
  <c r="CM14" i="9" s="1"/>
  <c r="CN14" i="9" s="1"/>
  <c r="CO14" i="9" s="1"/>
  <c r="E14" i="9"/>
  <c r="G13" i="9"/>
  <c r="H13" i="9" s="1"/>
  <c r="I13" i="9" s="1"/>
  <c r="J13" i="9" s="1"/>
  <c r="K13" i="9" s="1"/>
  <c r="L13" i="9" s="1"/>
  <c r="M13" i="9" s="1"/>
  <c r="N13" i="9" s="1"/>
  <c r="O13" i="9" s="1"/>
  <c r="P13" i="9" s="1"/>
  <c r="Q13" i="9" s="1"/>
  <c r="R13" i="9" s="1"/>
  <c r="S13" i="9" s="1"/>
  <c r="T13" i="9" s="1"/>
  <c r="U13" i="9" s="1"/>
  <c r="V13" i="9" s="1"/>
  <c r="W13" i="9" s="1"/>
  <c r="X13" i="9" s="1"/>
  <c r="Y13" i="9" s="1"/>
  <c r="Z13" i="9" s="1"/>
  <c r="AA13" i="9" s="1"/>
  <c r="AB13" i="9" s="1"/>
  <c r="AC13" i="9" s="1"/>
  <c r="AD13" i="9" s="1"/>
  <c r="AE13" i="9" s="1"/>
  <c r="AF13" i="9" s="1"/>
  <c r="AG13" i="9" s="1"/>
  <c r="AH13" i="9" s="1"/>
  <c r="AI13" i="9" s="1"/>
  <c r="AJ13" i="9" s="1"/>
  <c r="AK13" i="9" s="1"/>
  <c r="AL13" i="9" s="1"/>
  <c r="AM13" i="9" s="1"/>
  <c r="AN13" i="9" s="1"/>
  <c r="AO13" i="9" s="1"/>
  <c r="AP13" i="9" s="1"/>
  <c r="AQ13" i="9" s="1"/>
  <c r="AR13" i="9" s="1"/>
  <c r="AS13" i="9" s="1"/>
  <c r="AT13" i="9" s="1"/>
  <c r="AU13" i="9" s="1"/>
  <c r="AV13" i="9" s="1"/>
  <c r="AW13" i="9" s="1"/>
  <c r="AX13" i="9" s="1"/>
  <c r="AY13" i="9" s="1"/>
  <c r="AZ13" i="9" s="1"/>
  <c r="BA13" i="9" s="1"/>
  <c r="BB13" i="9" s="1"/>
  <c r="BC13" i="9" s="1"/>
  <c r="BD13" i="9" s="1"/>
  <c r="BE13" i="9" s="1"/>
  <c r="BF13" i="9" s="1"/>
  <c r="BG13" i="9" s="1"/>
  <c r="BH13" i="9" s="1"/>
  <c r="BI13" i="9" s="1"/>
  <c r="BJ13" i="9" s="1"/>
  <c r="BK13" i="9" s="1"/>
  <c r="BL13" i="9" s="1"/>
  <c r="BM13" i="9" s="1"/>
  <c r="BN13" i="9" s="1"/>
  <c r="BO13" i="9" s="1"/>
  <c r="BP13" i="9" s="1"/>
  <c r="BQ13" i="9" s="1"/>
  <c r="BR13" i="9" s="1"/>
  <c r="BS13" i="9" s="1"/>
  <c r="BT13" i="9" s="1"/>
  <c r="BU13" i="9" s="1"/>
  <c r="BV13" i="9" s="1"/>
  <c r="BW13" i="9" s="1"/>
  <c r="BX13" i="9" s="1"/>
  <c r="BY13" i="9" s="1"/>
  <c r="BZ13" i="9" s="1"/>
  <c r="CA13" i="9" s="1"/>
  <c r="CB13" i="9" s="1"/>
  <c r="CC13" i="9" s="1"/>
  <c r="CD13" i="9" s="1"/>
  <c r="CE13" i="9" s="1"/>
  <c r="CF13" i="9" s="1"/>
  <c r="CG13" i="9" s="1"/>
  <c r="CH13" i="9" s="1"/>
  <c r="CI13" i="9" s="1"/>
  <c r="CJ13" i="9" s="1"/>
  <c r="CK13" i="9" s="1"/>
  <c r="CL13" i="9" s="1"/>
  <c r="CM13" i="9" s="1"/>
  <c r="CN13" i="9" s="1"/>
  <c r="CO13" i="9" s="1"/>
  <c r="F13" i="9"/>
  <c r="E13" i="9"/>
  <c r="E12" i="9"/>
  <c r="F12" i="9" s="1"/>
  <c r="G12" i="9" s="1"/>
  <c r="H12" i="9" s="1"/>
  <c r="I12" i="9" s="1"/>
  <c r="J12" i="9" s="1"/>
  <c r="K12" i="9" s="1"/>
  <c r="L12" i="9" s="1"/>
  <c r="M12" i="9" s="1"/>
  <c r="N12" i="9" s="1"/>
  <c r="O12" i="9" s="1"/>
  <c r="P12" i="9" s="1"/>
  <c r="Q12" i="9" s="1"/>
  <c r="R12" i="9" s="1"/>
  <c r="S12" i="9" s="1"/>
  <c r="T12" i="9" s="1"/>
  <c r="U12" i="9" s="1"/>
  <c r="V12" i="9" s="1"/>
  <c r="W12" i="9" s="1"/>
  <c r="X12" i="9" s="1"/>
  <c r="Y12" i="9" s="1"/>
  <c r="Z12" i="9" s="1"/>
  <c r="AA12" i="9" s="1"/>
  <c r="AB12" i="9" s="1"/>
  <c r="AC12" i="9" s="1"/>
  <c r="AD12" i="9" s="1"/>
  <c r="AE12" i="9" s="1"/>
  <c r="AF12" i="9" s="1"/>
  <c r="AG12" i="9" s="1"/>
  <c r="AH12" i="9" s="1"/>
  <c r="AI12" i="9" s="1"/>
  <c r="AJ12" i="9" s="1"/>
  <c r="AK12" i="9" s="1"/>
  <c r="AL12" i="9" s="1"/>
  <c r="AM12" i="9" s="1"/>
  <c r="AN12" i="9" s="1"/>
  <c r="AO12" i="9" s="1"/>
  <c r="AP12" i="9" s="1"/>
  <c r="AQ12" i="9" s="1"/>
  <c r="AR12" i="9" s="1"/>
  <c r="AS12" i="9" s="1"/>
  <c r="AT12" i="9" s="1"/>
  <c r="AU12" i="9" s="1"/>
  <c r="AV12" i="9" s="1"/>
  <c r="AW12" i="9" s="1"/>
  <c r="AX12" i="9" s="1"/>
  <c r="AY12" i="9" s="1"/>
  <c r="AZ12" i="9" s="1"/>
  <c r="BA12" i="9" s="1"/>
  <c r="BB12" i="9" s="1"/>
  <c r="BC12" i="9" s="1"/>
  <c r="BD12" i="9" s="1"/>
  <c r="BE12" i="9" s="1"/>
  <c r="BF12" i="9" s="1"/>
  <c r="BG12" i="9" s="1"/>
  <c r="BH12" i="9" s="1"/>
  <c r="BI12" i="9" s="1"/>
  <c r="BJ12" i="9" s="1"/>
  <c r="BK12" i="9" s="1"/>
  <c r="BL12" i="9" s="1"/>
  <c r="BM12" i="9" s="1"/>
  <c r="BN12" i="9" s="1"/>
  <c r="BO12" i="9" s="1"/>
  <c r="BP12" i="9" s="1"/>
  <c r="BQ12" i="9" s="1"/>
  <c r="BR12" i="9" s="1"/>
  <c r="BS12" i="9" s="1"/>
  <c r="BT12" i="9" s="1"/>
  <c r="BU12" i="9" s="1"/>
  <c r="BV12" i="9" s="1"/>
  <c r="BW12" i="9" s="1"/>
  <c r="BX12" i="9" s="1"/>
  <c r="BY12" i="9" s="1"/>
  <c r="BZ12" i="9" s="1"/>
  <c r="CA12" i="9" s="1"/>
  <c r="CB12" i="9" s="1"/>
  <c r="CC12" i="9" s="1"/>
  <c r="CD12" i="9" s="1"/>
  <c r="CE12" i="9" s="1"/>
  <c r="CF12" i="9" s="1"/>
  <c r="CG12" i="9" s="1"/>
  <c r="CH12" i="9" s="1"/>
  <c r="CI12" i="9" s="1"/>
  <c r="CJ12" i="9" s="1"/>
  <c r="CK12" i="9" s="1"/>
  <c r="CL12" i="9" s="1"/>
  <c r="CM12" i="9" s="1"/>
  <c r="CN12" i="9" s="1"/>
  <c r="CO12" i="9" s="1"/>
  <c r="E11" i="9"/>
  <c r="F11" i="9" s="1"/>
  <c r="G11" i="9" s="1"/>
  <c r="H11" i="9" s="1"/>
  <c r="I11" i="9" s="1"/>
  <c r="J11" i="9" s="1"/>
  <c r="K11" i="9" s="1"/>
  <c r="L11" i="9" s="1"/>
  <c r="M11" i="9" s="1"/>
  <c r="N11" i="9" s="1"/>
  <c r="O11" i="9" s="1"/>
  <c r="P11" i="9" s="1"/>
  <c r="Q11" i="9" s="1"/>
  <c r="R11" i="9" s="1"/>
  <c r="S11" i="9" s="1"/>
  <c r="T11" i="9" s="1"/>
  <c r="U11" i="9" s="1"/>
  <c r="V11" i="9" s="1"/>
  <c r="W11" i="9" s="1"/>
  <c r="X11" i="9" s="1"/>
  <c r="Y11" i="9" s="1"/>
  <c r="Z11" i="9" s="1"/>
  <c r="AA11" i="9" s="1"/>
  <c r="AB11" i="9" s="1"/>
  <c r="AC11" i="9" s="1"/>
  <c r="AD11" i="9" s="1"/>
  <c r="AE11" i="9" s="1"/>
  <c r="AF11" i="9" s="1"/>
  <c r="AG11" i="9" s="1"/>
  <c r="AH11" i="9" s="1"/>
  <c r="AI11" i="9" s="1"/>
  <c r="AJ11" i="9" s="1"/>
  <c r="AK11" i="9" s="1"/>
  <c r="AL11" i="9" s="1"/>
  <c r="AM11" i="9" s="1"/>
  <c r="AN11" i="9" s="1"/>
  <c r="AO11" i="9" s="1"/>
  <c r="AP11" i="9" s="1"/>
  <c r="AQ11" i="9" s="1"/>
  <c r="AR11" i="9" s="1"/>
  <c r="AS11" i="9" s="1"/>
  <c r="AT11" i="9" s="1"/>
  <c r="AU11" i="9" s="1"/>
  <c r="AV11" i="9" s="1"/>
  <c r="AW11" i="9" s="1"/>
  <c r="AX11" i="9" s="1"/>
  <c r="AY11" i="9" s="1"/>
  <c r="AZ11" i="9" s="1"/>
  <c r="BA11" i="9" s="1"/>
  <c r="BB11" i="9" s="1"/>
  <c r="BC11" i="9" s="1"/>
  <c r="BD11" i="9" s="1"/>
  <c r="BE11" i="9" s="1"/>
  <c r="BF11" i="9" s="1"/>
  <c r="BG11" i="9" s="1"/>
  <c r="BH11" i="9" s="1"/>
  <c r="BI11" i="9" s="1"/>
  <c r="BJ11" i="9" s="1"/>
  <c r="BK11" i="9" s="1"/>
  <c r="BL11" i="9" s="1"/>
  <c r="BM11" i="9" s="1"/>
  <c r="BN11" i="9" s="1"/>
  <c r="BO11" i="9" s="1"/>
  <c r="BP11" i="9" s="1"/>
  <c r="BQ11" i="9" s="1"/>
  <c r="BR11" i="9" s="1"/>
  <c r="BS11" i="9" s="1"/>
  <c r="BT11" i="9" s="1"/>
  <c r="BU11" i="9" s="1"/>
  <c r="BV11" i="9" s="1"/>
  <c r="BW11" i="9" s="1"/>
  <c r="BX11" i="9" s="1"/>
  <c r="BY11" i="9" s="1"/>
  <c r="BZ11" i="9" s="1"/>
  <c r="CA11" i="9" s="1"/>
  <c r="CB11" i="9" s="1"/>
  <c r="CC11" i="9" s="1"/>
  <c r="CD11" i="9" s="1"/>
  <c r="CE11" i="9" s="1"/>
  <c r="CF11" i="9" s="1"/>
  <c r="CG11" i="9" s="1"/>
  <c r="CH11" i="9" s="1"/>
  <c r="CI11" i="9" s="1"/>
  <c r="CJ11" i="9" s="1"/>
  <c r="CK11" i="9" s="1"/>
  <c r="CL11" i="9" s="1"/>
  <c r="CM11" i="9" s="1"/>
  <c r="CN11" i="9" s="1"/>
  <c r="CO11" i="9" s="1"/>
  <c r="F10" i="9"/>
  <c r="G10" i="9" s="1"/>
  <c r="H10" i="9" s="1"/>
  <c r="I10" i="9" s="1"/>
  <c r="J10" i="9" s="1"/>
  <c r="K10" i="9" s="1"/>
  <c r="L10" i="9" s="1"/>
  <c r="M10" i="9" s="1"/>
  <c r="N10" i="9" s="1"/>
  <c r="O10" i="9" s="1"/>
  <c r="P10" i="9" s="1"/>
  <c r="Q10" i="9" s="1"/>
  <c r="R10" i="9" s="1"/>
  <c r="S10" i="9" s="1"/>
  <c r="T10" i="9" s="1"/>
  <c r="U10" i="9" s="1"/>
  <c r="V10" i="9" s="1"/>
  <c r="W10" i="9" s="1"/>
  <c r="X10" i="9" s="1"/>
  <c r="Y10" i="9" s="1"/>
  <c r="Z10" i="9" s="1"/>
  <c r="AA10" i="9" s="1"/>
  <c r="AB10" i="9" s="1"/>
  <c r="AC10" i="9" s="1"/>
  <c r="AD10" i="9" s="1"/>
  <c r="AE10" i="9" s="1"/>
  <c r="AF10" i="9" s="1"/>
  <c r="AG10" i="9" s="1"/>
  <c r="AH10" i="9" s="1"/>
  <c r="AI10" i="9" s="1"/>
  <c r="AJ10" i="9" s="1"/>
  <c r="AK10" i="9" s="1"/>
  <c r="AL10" i="9" s="1"/>
  <c r="AM10" i="9" s="1"/>
  <c r="AN10" i="9" s="1"/>
  <c r="AO10" i="9" s="1"/>
  <c r="AP10" i="9" s="1"/>
  <c r="AQ10" i="9" s="1"/>
  <c r="AR10" i="9" s="1"/>
  <c r="AS10" i="9" s="1"/>
  <c r="AT10" i="9" s="1"/>
  <c r="AU10" i="9" s="1"/>
  <c r="AV10" i="9" s="1"/>
  <c r="AW10" i="9" s="1"/>
  <c r="AX10" i="9" s="1"/>
  <c r="AY10" i="9" s="1"/>
  <c r="AZ10" i="9" s="1"/>
  <c r="BA10" i="9" s="1"/>
  <c r="BB10" i="9" s="1"/>
  <c r="BC10" i="9" s="1"/>
  <c r="BD10" i="9" s="1"/>
  <c r="BE10" i="9" s="1"/>
  <c r="BF10" i="9" s="1"/>
  <c r="BG10" i="9" s="1"/>
  <c r="BH10" i="9" s="1"/>
  <c r="BI10" i="9" s="1"/>
  <c r="BJ10" i="9" s="1"/>
  <c r="BK10" i="9" s="1"/>
  <c r="BL10" i="9" s="1"/>
  <c r="BM10" i="9" s="1"/>
  <c r="BN10" i="9" s="1"/>
  <c r="BO10" i="9" s="1"/>
  <c r="BP10" i="9" s="1"/>
  <c r="BQ10" i="9" s="1"/>
  <c r="BR10" i="9" s="1"/>
  <c r="BS10" i="9" s="1"/>
  <c r="BT10" i="9" s="1"/>
  <c r="BU10" i="9" s="1"/>
  <c r="BV10" i="9" s="1"/>
  <c r="BW10" i="9" s="1"/>
  <c r="BX10" i="9" s="1"/>
  <c r="BY10" i="9" s="1"/>
  <c r="BZ10" i="9" s="1"/>
  <c r="CA10" i="9" s="1"/>
  <c r="CB10" i="9" s="1"/>
  <c r="CC10" i="9" s="1"/>
  <c r="CD10" i="9" s="1"/>
  <c r="CE10" i="9" s="1"/>
  <c r="CF10" i="9" s="1"/>
  <c r="CG10" i="9" s="1"/>
  <c r="CH10" i="9" s="1"/>
  <c r="CI10" i="9" s="1"/>
  <c r="CJ10" i="9" s="1"/>
  <c r="CK10" i="9" s="1"/>
  <c r="CL10" i="9" s="1"/>
  <c r="CM10" i="9" s="1"/>
  <c r="CN10" i="9" s="1"/>
  <c r="CO10" i="9" s="1"/>
  <c r="E10" i="9"/>
  <c r="E9" i="9"/>
  <c r="F9" i="9" s="1"/>
  <c r="G9" i="9" s="1"/>
  <c r="H9" i="9" s="1"/>
  <c r="I9" i="9" s="1"/>
  <c r="J9" i="9" s="1"/>
  <c r="K9" i="9" s="1"/>
  <c r="L9" i="9" s="1"/>
  <c r="M9" i="9" s="1"/>
  <c r="N9" i="9" s="1"/>
  <c r="O9" i="9" s="1"/>
  <c r="P9" i="9" s="1"/>
  <c r="Q9" i="9" s="1"/>
  <c r="R9" i="9" s="1"/>
  <c r="S9" i="9" s="1"/>
  <c r="T9" i="9" s="1"/>
  <c r="U9" i="9" s="1"/>
  <c r="V9" i="9" s="1"/>
  <c r="W9" i="9" s="1"/>
  <c r="X9" i="9" s="1"/>
  <c r="Y9" i="9" s="1"/>
  <c r="Z9" i="9" s="1"/>
  <c r="AA9" i="9" s="1"/>
  <c r="AB9" i="9" s="1"/>
  <c r="AC9" i="9" s="1"/>
  <c r="AD9" i="9" s="1"/>
  <c r="AE9" i="9" s="1"/>
  <c r="AF9" i="9" s="1"/>
  <c r="AG9" i="9" s="1"/>
  <c r="AH9" i="9" s="1"/>
  <c r="AI9" i="9" s="1"/>
  <c r="AJ9" i="9" s="1"/>
  <c r="AK9" i="9" s="1"/>
  <c r="AL9" i="9" s="1"/>
  <c r="AM9" i="9" s="1"/>
  <c r="AN9" i="9" s="1"/>
  <c r="AO9" i="9" s="1"/>
  <c r="AP9" i="9" s="1"/>
  <c r="AQ9" i="9" s="1"/>
  <c r="AR9" i="9" s="1"/>
  <c r="AS9" i="9" s="1"/>
  <c r="AT9" i="9" s="1"/>
  <c r="AU9" i="9" s="1"/>
  <c r="AV9" i="9" s="1"/>
  <c r="AW9" i="9" s="1"/>
  <c r="AX9" i="9" s="1"/>
  <c r="AY9" i="9" s="1"/>
  <c r="AZ9" i="9" s="1"/>
  <c r="BA9" i="9" s="1"/>
  <c r="BB9" i="9" s="1"/>
  <c r="BC9" i="9" s="1"/>
  <c r="BD9" i="9" s="1"/>
  <c r="BE9" i="9" s="1"/>
  <c r="BF9" i="9" s="1"/>
  <c r="BG9" i="9" s="1"/>
  <c r="BH9" i="9" s="1"/>
  <c r="BI9" i="9" s="1"/>
  <c r="BJ9" i="9" s="1"/>
  <c r="BK9" i="9" s="1"/>
  <c r="BL9" i="9" s="1"/>
  <c r="BM9" i="9" s="1"/>
  <c r="BN9" i="9" s="1"/>
  <c r="BO9" i="9" s="1"/>
  <c r="BP9" i="9" s="1"/>
  <c r="BQ9" i="9" s="1"/>
  <c r="BR9" i="9" s="1"/>
  <c r="BS9" i="9" s="1"/>
  <c r="BT9" i="9" s="1"/>
  <c r="BU9" i="9" s="1"/>
  <c r="BV9" i="9" s="1"/>
  <c r="BW9" i="9" s="1"/>
  <c r="BX9" i="9" s="1"/>
  <c r="BY9" i="9" s="1"/>
  <c r="BZ9" i="9" s="1"/>
  <c r="CA9" i="9" s="1"/>
  <c r="CB9" i="9" s="1"/>
  <c r="CC9" i="9" s="1"/>
  <c r="CD9" i="9" s="1"/>
  <c r="CE9" i="9" s="1"/>
  <c r="CF9" i="9" s="1"/>
  <c r="CG9" i="9" s="1"/>
  <c r="CH9" i="9" s="1"/>
  <c r="CI9" i="9" s="1"/>
  <c r="CJ9" i="9" s="1"/>
  <c r="CK9" i="9" s="1"/>
  <c r="CL9" i="9" s="1"/>
  <c r="CM9" i="9" s="1"/>
  <c r="CN9" i="9" s="1"/>
  <c r="CO9" i="9" s="1"/>
  <c r="E8" i="9"/>
  <c r="F8" i="9" s="1"/>
  <c r="G8" i="9" s="1"/>
  <c r="H8" i="9" s="1"/>
  <c r="I8" i="9" s="1"/>
  <c r="J8" i="9" s="1"/>
  <c r="K8" i="9" s="1"/>
  <c r="L8" i="9" s="1"/>
  <c r="M8" i="9" s="1"/>
  <c r="N8" i="9" s="1"/>
  <c r="O8" i="9" s="1"/>
  <c r="P8" i="9" s="1"/>
  <c r="Q8" i="9" s="1"/>
  <c r="R8" i="9" s="1"/>
  <c r="S8" i="9" s="1"/>
  <c r="T8" i="9" s="1"/>
  <c r="U8" i="9" s="1"/>
  <c r="V8" i="9" s="1"/>
  <c r="W8" i="9" s="1"/>
  <c r="X8" i="9" s="1"/>
  <c r="Y8" i="9" s="1"/>
  <c r="Z8" i="9" s="1"/>
  <c r="AA8" i="9" s="1"/>
  <c r="AB8" i="9" s="1"/>
  <c r="AC8" i="9" s="1"/>
  <c r="AD8" i="9" s="1"/>
  <c r="AE8" i="9" s="1"/>
  <c r="AF8" i="9" s="1"/>
  <c r="AG8" i="9" s="1"/>
  <c r="AH8" i="9" s="1"/>
  <c r="AI8" i="9" s="1"/>
  <c r="AJ8" i="9" s="1"/>
  <c r="AK8" i="9" s="1"/>
  <c r="AL8" i="9" s="1"/>
  <c r="AM8" i="9" s="1"/>
  <c r="AN8" i="9" s="1"/>
  <c r="AO8" i="9" s="1"/>
  <c r="AP8" i="9" s="1"/>
  <c r="AQ8" i="9" s="1"/>
  <c r="AR8" i="9" s="1"/>
  <c r="AS8" i="9" s="1"/>
  <c r="AT8" i="9" s="1"/>
  <c r="AU8" i="9" s="1"/>
  <c r="AV8" i="9" s="1"/>
  <c r="AW8" i="9" s="1"/>
  <c r="AX8" i="9" s="1"/>
  <c r="AY8" i="9" s="1"/>
  <c r="AZ8" i="9" s="1"/>
  <c r="BA8" i="9" s="1"/>
  <c r="BB8" i="9" s="1"/>
  <c r="BC8" i="9" s="1"/>
  <c r="BD8" i="9" s="1"/>
  <c r="BE8" i="9" s="1"/>
  <c r="BF8" i="9" s="1"/>
  <c r="BG8" i="9" s="1"/>
  <c r="BH8" i="9" s="1"/>
  <c r="BI8" i="9" s="1"/>
  <c r="BJ8" i="9" s="1"/>
  <c r="BK8" i="9" s="1"/>
  <c r="BL8" i="9" s="1"/>
  <c r="BM8" i="9" s="1"/>
  <c r="BN8" i="9" s="1"/>
  <c r="BO8" i="9" s="1"/>
  <c r="BP8" i="9" s="1"/>
  <c r="BQ8" i="9" s="1"/>
  <c r="BR8" i="9" s="1"/>
  <c r="BS8" i="9" s="1"/>
  <c r="BT8" i="9" s="1"/>
  <c r="BU8" i="9" s="1"/>
  <c r="BV8" i="9" s="1"/>
  <c r="BW8" i="9" s="1"/>
  <c r="BX8" i="9" s="1"/>
  <c r="BY8" i="9" s="1"/>
  <c r="BZ8" i="9" s="1"/>
  <c r="CA8" i="9" s="1"/>
  <c r="CB8" i="9" s="1"/>
  <c r="CC8" i="9" s="1"/>
  <c r="CD8" i="9" s="1"/>
  <c r="CE8" i="9" s="1"/>
  <c r="CF8" i="9" s="1"/>
  <c r="CG8" i="9" s="1"/>
  <c r="CH8" i="9" s="1"/>
  <c r="CI8" i="9" s="1"/>
  <c r="CJ8" i="9" s="1"/>
  <c r="CK8" i="9" s="1"/>
  <c r="CL8" i="9" s="1"/>
  <c r="CM8" i="9" s="1"/>
  <c r="CN8" i="9" s="1"/>
  <c r="CO8" i="9" s="1"/>
  <c r="E7" i="9"/>
  <c r="F7" i="9" s="1"/>
  <c r="G7" i="9" s="1"/>
  <c r="H7" i="9" s="1"/>
  <c r="I7" i="9" s="1"/>
  <c r="J7" i="9" s="1"/>
  <c r="K7" i="9" s="1"/>
  <c r="L7" i="9" s="1"/>
  <c r="M7" i="9" s="1"/>
  <c r="N7" i="9" s="1"/>
  <c r="O7" i="9" s="1"/>
  <c r="P7" i="9" s="1"/>
  <c r="Q7" i="9" s="1"/>
  <c r="R7" i="9" s="1"/>
  <c r="S7" i="9" s="1"/>
  <c r="T7" i="9" s="1"/>
  <c r="U7" i="9" s="1"/>
  <c r="V7" i="9" s="1"/>
  <c r="W7" i="9" s="1"/>
  <c r="X7" i="9" s="1"/>
  <c r="Y7" i="9" s="1"/>
  <c r="Z7" i="9" s="1"/>
  <c r="AA7" i="9" s="1"/>
  <c r="AB7" i="9" s="1"/>
  <c r="AC7" i="9" s="1"/>
  <c r="AD7" i="9" s="1"/>
  <c r="AE7" i="9" s="1"/>
  <c r="AF7" i="9" s="1"/>
  <c r="AG7" i="9" s="1"/>
  <c r="AH7" i="9" s="1"/>
  <c r="AI7" i="9" s="1"/>
  <c r="AJ7" i="9" s="1"/>
  <c r="AK7" i="9" s="1"/>
  <c r="AL7" i="9" s="1"/>
  <c r="AM7" i="9" s="1"/>
  <c r="AN7" i="9" s="1"/>
  <c r="AO7" i="9" s="1"/>
  <c r="AP7" i="9" s="1"/>
  <c r="AQ7" i="9" s="1"/>
  <c r="AR7" i="9" s="1"/>
  <c r="AS7" i="9" s="1"/>
  <c r="AT7" i="9" s="1"/>
  <c r="AU7" i="9" s="1"/>
  <c r="AV7" i="9" s="1"/>
  <c r="AW7" i="9" s="1"/>
  <c r="AX7" i="9" s="1"/>
  <c r="AY7" i="9" s="1"/>
  <c r="AZ7" i="9" s="1"/>
  <c r="BA7" i="9" s="1"/>
  <c r="BB7" i="9" s="1"/>
  <c r="BC7" i="9" s="1"/>
  <c r="BD7" i="9" s="1"/>
  <c r="BE7" i="9" s="1"/>
  <c r="BF7" i="9" s="1"/>
  <c r="BG7" i="9" s="1"/>
  <c r="BH7" i="9" s="1"/>
  <c r="BI7" i="9" s="1"/>
  <c r="BJ7" i="9" s="1"/>
  <c r="BK7" i="9" s="1"/>
  <c r="BL7" i="9" s="1"/>
  <c r="BM7" i="9" s="1"/>
  <c r="BN7" i="9" s="1"/>
  <c r="BO7" i="9" s="1"/>
  <c r="BP7" i="9" s="1"/>
  <c r="BQ7" i="9" s="1"/>
  <c r="BR7" i="9" s="1"/>
  <c r="BS7" i="9" s="1"/>
  <c r="BT7" i="9" s="1"/>
  <c r="BU7" i="9" s="1"/>
  <c r="BV7" i="9" s="1"/>
  <c r="BW7" i="9" s="1"/>
  <c r="BX7" i="9" s="1"/>
  <c r="BY7" i="9" s="1"/>
  <c r="BZ7" i="9" s="1"/>
  <c r="CA7" i="9" s="1"/>
  <c r="CB7" i="9" s="1"/>
  <c r="CC7" i="9" s="1"/>
  <c r="CD7" i="9" s="1"/>
  <c r="CE7" i="9" s="1"/>
  <c r="CF7" i="9" s="1"/>
  <c r="CG7" i="9" s="1"/>
  <c r="CH7" i="9" s="1"/>
  <c r="CI7" i="9" s="1"/>
  <c r="CJ7" i="9" s="1"/>
  <c r="CK7" i="9" s="1"/>
  <c r="CL7" i="9" s="1"/>
  <c r="CM7" i="9" s="1"/>
  <c r="CN7" i="9" s="1"/>
  <c r="CO7" i="9" s="1"/>
  <c r="E6" i="9"/>
  <c r="F6" i="9" s="1"/>
  <c r="G6" i="9" s="1"/>
  <c r="H6" i="9" s="1"/>
  <c r="I6" i="9" s="1"/>
  <c r="J6" i="9" s="1"/>
  <c r="K6" i="9" s="1"/>
  <c r="L6" i="9" s="1"/>
  <c r="M6" i="9" s="1"/>
  <c r="N6" i="9" s="1"/>
  <c r="O6" i="9" s="1"/>
  <c r="P6" i="9" s="1"/>
  <c r="Q6" i="9" s="1"/>
  <c r="R6" i="9" s="1"/>
  <c r="S6" i="9" s="1"/>
  <c r="T6" i="9" s="1"/>
  <c r="U6" i="9" s="1"/>
  <c r="V6" i="9" s="1"/>
  <c r="W6" i="9" s="1"/>
  <c r="X6" i="9" s="1"/>
  <c r="Y6" i="9" s="1"/>
  <c r="Z6" i="9" s="1"/>
  <c r="AA6" i="9" s="1"/>
  <c r="AB6" i="9" s="1"/>
  <c r="AC6" i="9" s="1"/>
  <c r="AD6" i="9" s="1"/>
  <c r="AE6" i="9" s="1"/>
  <c r="AF6" i="9" s="1"/>
  <c r="AG6" i="9" s="1"/>
  <c r="AH6" i="9" s="1"/>
  <c r="AI6" i="9" s="1"/>
  <c r="AJ6" i="9" s="1"/>
  <c r="AK6" i="9" s="1"/>
  <c r="AL6" i="9" s="1"/>
  <c r="AM6" i="9" s="1"/>
  <c r="AN6" i="9" s="1"/>
  <c r="AO6" i="9" s="1"/>
  <c r="AP6" i="9" s="1"/>
  <c r="AQ6" i="9" s="1"/>
  <c r="AR6" i="9" s="1"/>
  <c r="AS6" i="9" s="1"/>
  <c r="AT6" i="9" s="1"/>
  <c r="AU6" i="9" s="1"/>
  <c r="AV6" i="9" s="1"/>
  <c r="AW6" i="9" s="1"/>
  <c r="AX6" i="9" s="1"/>
  <c r="AY6" i="9" s="1"/>
  <c r="AZ6" i="9" s="1"/>
  <c r="BA6" i="9" s="1"/>
  <c r="BB6" i="9" s="1"/>
  <c r="BC6" i="9" s="1"/>
  <c r="BD6" i="9" s="1"/>
  <c r="BE6" i="9" s="1"/>
  <c r="BF6" i="9" s="1"/>
  <c r="BG6" i="9" s="1"/>
  <c r="BH6" i="9" s="1"/>
  <c r="BI6" i="9" s="1"/>
  <c r="BJ6" i="9" s="1"/>
  <c r="BK6" i="9" s="1"/>
  <c r="BL6" i="9" s="1"/>
  <c r="BM6" i="9" s="1"/>
  <c r="BN6" i="9" s="1"/>
  <c r="BO6" i="9" s="1"/>
  <c r="BP6" i="9" s="1"/>
  <c r="BQ6" i="9" s="1"/>
  <c r="BR6" i="9" s="1"/>
  <c r="BS6" i="9" s="1"/>
  <c r="BT6" i="9" s="1"/>
  <c r="BU6" i="9" s="1"/>
  <c r="BV6" i="9" s="1"/>
  <c r="BW6" i="9" s="1"/>
  <c r="BX6" i="9" s="1"/>
  <c r="BY6" i="9" s="1"/>
  <c r="BZ6" i="9" s="1"/>
  <c r="CA6" i="9" s="1"/>
  <c r="CB6" i="9" s="1"/>
  <c r="CC6" i="9" s="1"/>
  <c r="CD6" i="9" s="1"/>
  <c r="CE6" i="9" s="1"/>
  <c r="CF6" i="9" s="1"/>
  <c r="CG6" i="9" s="1"/>
  <c r="CH6" i="9" s="1"/>
  <c r="CI6" i="9" s="1"/>
  <c r="CJ6" i="9" s="1"/>
  <c r="CK6" i="9" s="1"/>
  <c r="CL6" i="9" s="1"/>
  <c r="CM6" i="9" s="1"/>
  <c r="CN6" i="9" s="1"/>
  <c r="CO6" i="9" s="1"/>
  <c r="E5" i="9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AH5" i="9" s="1"/>
  <c r="AI5" i="9" s="1"/>
  <c r="AJ5" i="9" s="1"/>
  <c r="AK5" i="9" s="1"/>
  <c r="AL5" i="9" s="1"/>
  <c r="AM5" i="9" s="1"/>
  <c r="AN5" i="9" s="1"/>
  <c r="AO5" i="9" s="1"/>
  <c r="AP5" i="9" s="1"/>
  <c r="AQ5" i="9" s="1"/>
  <c r="AR5" i="9" s="1"/>
  <c r="AS5" i="9" s="1"/>
  <c r="AT5" i="9" s="1"/>
  <c r="AU5" i="9" s="1"/>
  <c r="AV5" i="9" s="1"/>
  <c r="AW5" i="9" s="1"/>
  <c r="AX5" i="9" s="1"/>
  <c r="AY5" i="9" s="1"/>
  <c r="AZ5" i="9" s="1"/>
  <c r="BA5" i="9" s="1"/>
  <c r="BB5" i="9" s="1"/>
  <c r="BC5" i="9" s="1"/>
  <c r="BD5" i="9" s="1"/>
  <c r="BE5" i="9" s="1"/>
  <c r="BF5" i="9" s="1"/>
  <c r="BG5" i="9" s="1"/>
  <c r="BH5" i="9" s="1"/>
  <c r="BI5" i="9" s="1"/>
  <c r="BJ5" i="9" s="1"/>
  <c r="BK5" i="9" s="1"/>
  <c r="BL5" i="9" s="1"/>
  <c r="BM5" i="9" s="1"/>
  <c r="BN5" i="9" s="1"/>
  <c r="BO5" i="9" s="1"/>
  <c r="BP5" i="9" s="1"/>
  <c r="BQ5" i="9" s="1"/>
  <c r="BR5" i="9" s="1"/>
  <c r="BS5" i="9" s="1"/>
  <c r="BT5" i="9" s="1"/>
  <c r="BU5" i="9" s="1"/>
  <c r="BV5" i="9" s="1"/>
  <c r="BW5" i="9" s="1"/>
  <c r="BX5" i="9" s="1"/>
  <c r="BY5" i="9" s="1"/>
  <c r="BZ5" i="9" s="1"/>
  <c r="CA5" i="9" s="1"/>
  <c r="CB5" i="9" s="1"/>
  <c r="CC5" i="9" s="1"/>
  <c r="CD5" i="9" s="1"/>
  <c r="CE5" i="9" s="1"/>
  <c r="CF5" i="9" s="1"/>
  <c r="CG5" i="9" s="1"/>
  <c r="CH5" i="9" s="1"/>
  <c r="CI5" i="9" s="1"/>
  <c r="CJ5" i="9" s="1"/>
  <c r="CK5" i="9" s="1"/>
  <c r="CL5" i="9" s="1"/>
  <c r="CM5" i="9" s="1"/>
  <c r="CN5" i="9" s="1"/>
  <c r="CO5" i="9" s="1"/>
  <c r="F4" i="9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H4" i="9" s="1"/>
  <c r="AI4" i="9" s="1"/>
  <c r="AJ4" i="9" s="1"/>
  <c r="AK4" i="9" s="1"/>
  <c r="AL4" i="9" s="1"/>
  <c r="AM4" i="9" s="1"/>
  <c r="AN4" i="9" s="1"/>
  <c r="AO4" i="9" s="1"/>
  <c r="AP4" i="9" s="1"/>
  <c r="AQ4" i="9" s="1"/>
  <c r="AR4" i="9" s="1"/>
  <c r="AS4" i="9" s="1"/>
  <c r="AT4" i="9" s="1"/>
  <c r="AU4" i="9" s="1"/>
  <c r="AV4" i="9" s="1"/>
  <c r="AW4" i="9" s="1"/>
  <c r="AX4" i="9" s="1"/>
  <c r="AY4" i="9" s="1"/>
  <c r="AZ4" i="9" s="1"/>
  <c r="BA4" i="9" s="1"/>
  <c r="BB4" i="9" s="1"/>
  <c r="BC4" i="9" s="1"/>
  <c r="BD4" i="9" s="1"/>
  <c r="BE4" i="9" s="1"/>
  <c r="BF4" i="9" s="1"/>
  <c r="BG4" i="9" s="1"/>
  <c r="BH4" i="9" s="1"/>
  <c r="BI4" i="9" s="1"/>
  <c r="BJ4" i="9" s="1"/>
  <c r="BK4" i="9" s="1"/>
  <c r="BL4" i="9" s="1"/>
  <c r="BM4" i="9" s="1"/>
  <c r="BN4" i="9" s="1"/>
  <c r="BO4" i="9" s="1"/>
  <c r="BP4" i="9" s="1"/>
  <c r="BQ4" i="9" s="1"/>
  <c r="BR4" i="9" s="1"/>
  <c r="BS4" i="9" s="1"/>
  <c r="BT4" i="9" s="1"/>
  <c r="BU4" i="9" s="1"/>
  <c r="BV4" i="9" s="1"/>
  <c r="BW4" i="9" s="1"/>
  <c r="BX4" i="9" s="1"/>
  <c r="BY4" i="9" s="1"/>
  <c r="BZ4" i="9" s="1"/>
  <c r="CA4" i="9" s="1"/>
  <c r="CB4" i="9" s="1"/>
  <c r="CC4" i="9" s="1"/>
  <c r="CD4" i="9" s="1"/>
  <c r="CE4" i="9" s="1"/>
  <c r="CF4" i="9" s="1"/>
  <c r="CG4" i="9" s="1"/>
  <c r="CH4" i="9" s="1"/>
  <c r="CI4" i="9" s="1"/>
  <c r="CJ4" i="9" s="1"/>
  <c r="CK4" i="9" s="1"/>
  <c r="CL4" i="9" s="1"/>
  <c r="CM4" i="9" s="1"/>
  <c r="CN4" i="9" s="1"/>
  <c r="CO4" i="9" s="1"/>
  <c r="E4" i="9"/>
  <c r="E3" i="9"/>
  <c r="F3" i="9" s="1"/>
  <c r="G3" i="9" s="1"/>
  <c r="H3" i="9" s="1"/>
  <c r="I3" i="9" s="1"/>
  <c r="J3" i="9" s="1"/>
  <c r="K3" i="9" s="1"/>
  <c r="L3" i="9" s="1"/>
  <c r="M3" i="9" s="1"/>
  <c r="N3" i="9" s="1"/>
  <c r="O3" i="9" s="1"/>
  <c r="P3" i="9" s="1"/>
  <c r="Q3" i="9" s="1"/>
  <c r="R3" i="9" s="1"/>
  <c r="S3" i="9" s="1"/>
  <c r="T3" i="9" s="1"/>
  <c r="U3" i="9" s="1"/>
  <c r="V3" i="9" s="1"/>
  <c r="W3" i="9" s="1"/>
  <c r="X3" i="9" s="1"/>
  <c r="Y3" i="9" s="1"/>
  <c r="Z3" i="9" s="1"/>
  <c r="AA3" i="9" s="1"/>
  <c r="AB3" i="9" s="1"/>
  <c r="AC3" i="9" s="1"/>
  <c r="AD3" i="9" s="1"/>
  <c r="AE3" i="9" s="1"/>
  <c r="AF3" i="9" s="1"/>
  <c r="AG3" i="9" s="1"/>
  <c r="AH3" i="9" s="1"/>
  <c r="AI3" i="9" s="1"/>
  <c r="AJ3" i="9" s="1"/>
  <c r="AK3" i="9" s="1"/>
  <c r="AL3" i="9" s="1"/>
  <c r="AM3" i="9" s="1"/>
  <c r="AN3" i="9" s="1"/>
  <c r="AO3" i="9" s="1"/>
  <c r="AP3" i="9" s="1"/>
  <c r="AQ3" i="9" s="1"/>
  <c r="AR3" i="9" s="1"/>
  <c r="AS3" i="9" s="1"/>
  <c r="AT3" i="9" s="1"/>
  <c r="AU3" i="9" s="1"/>
  <c r="AV3" i="9" s="1"/>
  <c r="AW3" i="9" s="1"/>
  <c r="AX3" i="9" s="1"/>
  <c r="AY3" i="9" s="1"/>
  <c r="AZ3" i="9" s="1"/>
  <c r="BA3" i="9" s="1"/>
  <c r="BB3" i="9" s="1"/>
  <c r="BC3" i="9" s="1"/>
  <c r="BD3" i="9" s="1"/>
  <c r="BE3" i="9" s="1"/>
  <c r="BF3" i="9" s="1"/>
  <c r="BG3" i="9" s="1"/>
  <c r="BH3" i="9" s="1"/>
  <c r="BI3" i="9" s="1"/>
  <c r="BJ3" i="9" s="1"/>
  <c r="BK3" i="9" s="1"/>
  <c r="BL3" i="9" s="1"/>
  <c r="BM3" i="9" s="1"/>
  <c r="BN3" i="9" s="1"/>
  <c r="BO3" i="9" s="1"/>
  <c r="BP3" i="9" s="1"/>
  <c r="BQ3" i="9" s="1"/>
  <c r="BR3" i="9" s="1"/>
  <c r="BS3" i="9" s="1"/>
  <c r="BT3" i="9" s="1"/>
  <c r="BU3" i="9" s="1"/>
  <c r="BV3" i="9" s="1"/>
  <c r="BW3" i="9" s="1"/>
  <c r="BX3" i="9" s="1"/>
  <c r="BY3" i="9" s="1"/>
  <c r="BZ3" i="9" s="1"/>
  <c r="CA3" i="9" s="1"/>
  <c r="CB3" i="9" s="1"/>
  <c r="CC3" i="9" s="1"/>
  <c r="CD3" i="9" s="1"/>
  <c r="CE3" i="9" s="1"/>
  <c r="CF3" i="9" s="1"/>
  <c r="CG3" i="9" s="1"/>
  <c r="CH3" i="9" s="1"/>
  <c r="CI3" i="9" s="1"/>
  <c r="CJ3" i="9" s="1"/>
  <c r="CK3" i="9" s="1"/>
  <c r="CL3" i="9" s="1"/>
  <c r="CM3" i="9" s="1"/>
  <c r="CN3" i="9" s="1"/>
  <c r="CO3" i="9" s="1"/>
  <c r="E2" i="9"/>
  <c r="F2" i="9" s="1"/>
  <c r="G2" i="9" s="1"/>
  <c r="H2" i="9" s="1"/>
  <c r="I2" i="9" s="1"/>
  <c r="J2" i="9" s="1"/>
  <c r="K2" i="9" s="1"/>
  <c r="L2" i="9" s="1"/>
  <c r="M2" i="9" s="1"/>
  <c r="N2" i="9" s="1"/>
  <c r="O2" i="9" s="1"/>
  <c r="P2" i="9" s="1"/>
  <c r="Q2" i="9" s="1"/>
  <c r="R2" i="9" s="1"/>
  <c r="S2" i="9" s="1"/>
  <c r="T2" i="9" s="1"/>
  <c r="U2" i="9" s="1"/>
  <c r="V2" i="9" s="1"/>
  <c r="W2" i="9" s="1"/>
  <c r="X2" i="9" s="1"/>
  <c r="Y2" i="9" s="1"/>
  <c r="Z2" i="9" s="1"/>
  <c r="AA2" i="9" s="1"/>
  <c r="AB2" i="9" s="1"/>
  <c r="AC2" i="9" s="1"/>
  <c r="AD2" i="9" s="1"/>
  <c r="AE2" i="9" s="1"/>
  <c r="AF2" i="9" s="1"/>
  <c r="AG2" i="9" s="1"/>
  <c r="AH2" i="9" s="1"/>
  <c r="AI2" i="9" s="1"/>
  <c r="AJ2" i="9" s="1"/>
  <c r="AK2" i="9" s="1"/>
  <c r="AL2" i="9" s="1"/>
  <c r="AM2" i="9" s="1"/>
  <c r="AN2" i="9" s="1"/>
  <c r="AO2" i="9" s="1"/>
  <c r="AP2" i="9" s="1"/>
  <c r="AQ2" i="9" s="1"/>
  <c r="AR2" i="9" s="1"/>
  <c r="AS2" i="9" s="1"/>
  <c r="AT2" i="9" s="1"/>
  <c r="AU2" i="9" s="1"/>
  <c r="AV2" i="9" s="1"/>
  <c r="AW2" i="9" s="1"/>
  <c r="AX2" i="9" s="1"/>
  <c r="AY2" i="9" s="1"/>
  <c r="AZ2" i="9" s="1"/>
  <c r="BA2" i="9" s="1"/>
  <c r="BB2" i="9" s="1"/>
  <c r="BC2" i="9" s="1"/>
  <c r="BD2" i="9" s="1"/>
  <c r="BE2" i="9" s="1"/>
  <c r="BF2" i="9" s="1"/>
  <c r="BG2" i="9" s="1"/>
  <c r="BH2" i="9" s="1"/>
  <c r="BI2" i="9" s="1"/>
  <c r="BJ2" i="9" s="1"/>
  <c r="BK2" i="9" s="1"/>
  <c r="BL2" i="9" s="1"/>
  <c r="BM2" i="9" s="1"/>
  <c r="BN2" i="9" s="1"/>
  <c r="BO2" i="9" s="1"/>
  <c r="BP2" i="9" s="1"/>
  <c r="BQ2" i="9" s="1"/>
  <c r="BR2" i="9" s="1"/>
  <c r="BS2" i="9" s="1"/>
  <c r="BT2" i="9" s="1"/>
  <c r="BU2" i="9" s="1"/>
  <c r="BV2" i="9" s="1"/>
  <c r="BW2" i="9" s="1"/>
  <c r="BX2" i="9" s="1"/>
  <c r="BY2" i="9" s="1"/>
  <c r="BZ2" i="9" s="1"/>
  <c r="CA2" i="9" s="1"/>
  <c r="CB2" i="9" s="1"/>
  <c r="CC2" i="9" s="1"/>
  <c r="CD2" i="9" s="1"/>
  <c r="CE2" i="9" s="1"/>
  <c r="CF2" i="9" s="1"/>
  <c r="CG2" i="9" s="1"/>
  <c r="CH2" i="9" s="1"/>
  <c r="CI2" i="9" s="1"/>
  <c r="CJ2" i="9" s="1"/>
  <c r="CK2" i="9" s="1"/>
  <c r="CL2" i="9" s="1"/>
  <c r="CM2" i="9" s="1"/>
  <c r="CN2" i="9" s="1"/>
  <c r="CO2" i="9" s="1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1" i="10"/>
  <c r="D1" i="10" s="1"/>
  <c r="E1" i="10" s="1"/>
  <c r="F1" i="10" s="1"/>
  <c r="G1" i="10" s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R1" i="10" s="1"/>
  <c r="S1" i="10" s="1"/>
  <c r="T1" i="10" s="1"/>
  <c r="U1" i="10" s="1"/>
  <c r="V1" i="10" s="1"/>
  <c r="W1" i="10" s="1"/>
  <c r="X1" i="10" s="1"/>
  <c r="Y1" i="10" s="1"/>
  <c r="Z1" i="10" s="1"/>
  <c r="AA1" i="10" s="1"/>
  <c r="AB1" i="10" s="1"/>
  <c r="AC1" i="10" s="1"/>
  <c r="AD1" i="10" s="1"/>
  <c r="AE1" i="10" s="1"/>
  <c r="AF1" i="10" s="1"/>
  <c r="AG1" i="10" s="1"/>
  <c r="AH1" i="10" s="1"/>
  <c r="AI1" i="10" s="1"/>
  <c r="AJ1" i="10" s="1"/>
  <c r="AK1" i="10" s="1"/>
  <c r="AL1" i="10" s="1"/>
  <c r="AM1" i="10" s="1"/>
  <c r="AN1" i="10" s="1"/>
  <c r="AO1" i="10" s="1"/>
  <c r="AP1" i="10" s="1"/>
  <c r="AQ1" i="10" s="1"/>
  <c r="AR1" i="10" s="1"/>
  <c r="AS1" i="10" s="1"/>
  <c r="AT1" i="10" s="1"/>
  <c r="AU1" i="10" s="1"/>
  <c r="AV1" i="10" s="1"/>
  <c r="AW1" i="10" s="1"/>
  <c r="AX1" i="10" s="1"/>
  <c r="AY1" i="10" s="1"/>
  <c r="AZ1" i="10" s="1"/>
  <c r="BA1" i="10" s="1"/>
  <c r="BB1" i="10" s="1"/>
  <c r="BC1" i="10" s="1"/>
  <c r="BD1" i="10" s="1"/>
  <c r="BE1" i="10" s="1"/>
  <c r="BF1" i="10" s="1"/>
  <c r="BG1" i="10" s="1"/>
  <c r="BH1" i="10" s="1"/>
  <c r="BI1" i="10" s="1"/>
  <c r="BJ1" i="10" s="1"/>
  <c r="BK1" i="10" s="1"/>
  <c r="BL1" i="10" s="1"/>
  <c r="BM1" i="10" s="1"/>
  <c r="BN1" i="10" s="1"/>
  <c r="BO1" i="10" s="1"/>
  <c r="BP1" i="10" s="1"/>
  <c r="BQ1" i="10" s="1"/>
  <c r="BR1" i="10" s="1"/>
  <c r="BS1" i="10" s="1"/>
  <c r="BT1" i="10" s="1"/>
  <c r="BU1" i="10" s="1"/>
  <c r="BV1" i="10" s="1"/>
  <c r="BW1" i="10" s="1"/>
  <c r="BX1" i="10" s="1"/>
  <c r="BY1" i="10" s="1"/>
  <c r="BZ1" i="10" s="1"/>
  <c r="CA1" i="10" s="1"/>
  <c r="CB1" i="10" s="1"/>
  <c r="CC1" i="10" s="1"/>
  <c r="CD1" i="10" s="1"/>
  <c r="CE1" i="10" s="1"/>
  <c r="CF1" i="10" s="1"/>
  <c r="CG1" i="10" s="1"/>
  <c r="CH1" i="10" s="1"/>
  <c r="CI1" i="10" s="1"/>
  <c r="CJ1" i="10" s="1"/>
  <c r="CK1" i="10" s="1"/>
  <c r="CL1" i="10" s="1"/>
  <c r="CM1" i="10" s="1"/>
  <c r="CN1" i="10" s="1"/>
  <c r="M3" i="10"/>
  <c r="I3" i="10"/>
  <c r="H3" i="10"/>
  <c r="CN6" i="10"/>
  <c r="CN4" i="10" s="1"/>
  <c r="CM6" i="10"/>
  <c r="CM4" i="10" s="1"/>
  <c r="CL6" i="10"/>
  <c r="CL4" i="10" s="1"/>
  <c r="CK6" i="10"/>
  <c r="CK4" i="10" s="1"/>
  <c r="CJ6" i="10"/>
  <c r="CJ4" i="10" s="1"/>
  <c r="CI6" i="10"/>
  <c r="CI3" i="10" s="1"/>
  <c r="CH6" i="10"/>
  <c r="CH3" i="10" s="1"/>
  <c r="CG6" i="10"/>
  <c r="CG3" i="10" s="1"/>
  <c r="CF6" i="10"/>
  <c r="CF3" i="10" s="1"/>
  <c r="CE6" i="10"/>
  <c r="CE3" i="10" s="1"/>
  <c r="CD6" i="10"/>
  <c r="CD2" i="10" s="1"/>
  <c r="CC6" i="10"/>
  <c r="CC2" i="10" s="1"/>
  <c r="CB6" i="10"/>
  <c r="CB2" i="10" s="1"/>
  <c r="CA6" i="10"/>
  <c r="CA2" i="10" s="1"/>
  <c r="BZ6" i="10"/>
  <c r="BZ4" i="10" s="1"/>
  <c r="BY6" i="10"/>
  <c r="BY2" i="10" s="1"/>
  <c r="BX6" i="10"/>
  <c r="BX4" i="10" s="1"/>
  <c r="BW6" i="10"/>
  <c r="BW4" i="10" s="1"/>
  <c r="BV6" i="10"/>
  <c r="BV4" i="10" s="1"/>
  <c r="BU6" i="10"/>
  <c r="BU4" i="10" s="1"/>
  <c r="BT6" i="10"/>
  <c r="BT4" i="10" s="1"/>
  <c r="BS6" i="10"/>
  <c r="BS3" i="10" s="1"/>
  <c r="BR6" i="10"/>
  <c r="BR3" i="10" s="1"/>
  <c r="BQ6" i="10"/>
  <c r="BQ3" i="10" s="1"/>
  <c r="BP6" i="10"/>
  <c r="BP3" i="10" s="1"/>
  <c r="BO6" i="10"/>
  <c r="BO3" i="10" s="1"/>
  <c r="BN6" i="10"/>
  <c r="BN2" i="10" s="1"/>
  <c r="BM6" i="10"/>
  <c r="BM2" i="10" s="1"/>
  <c r="BL6" i="10"/>
  <c r="BL2" i="10" s="1"/>
  <c r="BK6" i="10"/>
  <c r="BK2" i="10" s="1"/>
  <c r="BJ6" i="10"/>
  <c r="BJ2" i="10" s="1"/>
  <c r="BI6" i="10"/>
  <c r="BI2" i="10" s="1"/>
  <c r="BH6" i="10"/>
  <c r="BH4" i="10" s="1"/>
  <c r="BG6" i="10"/>
  <c r="BG4" i="10" s="1"/>
  <c r="BF6" i="10"/>
  <c r="BF4" i="10" s="1"/>
  <c r="BE6" i="10"/>
  <c r="BE4" i="10" s="1"/>
  <c r="BD6" i="10"/>
  <c r="BD4" i="10" s="1"/>
  <c r="BC6" i="10"/>
  <c r="BC3" i="10" s="1"/>
  <c r="BB6" i="10"/>
  <c r="BB3" i="10" s="1"/>
  <c r="BA6" i="10"/>
  <c r="BA3" i="10" s="1"/>
  <c r="AZ6" i="10"/>
  <c r="AZ3" i="10" s="1"/>
  <c r="AY6" i="10"/>
  <c r="AY3" i="10" s="1"/>
  <c r="AX6" i="10"/>
  <c r="AX2" i="10" s="1"/>
  <c r="AW6" i="10"/>
  <c r="AW2" i="10" s="1"/>
  <c r="AV6" i="10"/>
  <c r="AV2" i="10" s="1"/>
  <c r="AU6" i="10"/>
  <c r="AU2" i="10" s="1"/>
  <c r="AT6" i="10"/>
  <c r="AT2" i="10" s="1"/>
  <c r="AS6" i="10"/>
  <c r="AS2" i="10" s="1"/>
  <c r="AR6" i="10"/>
  <c r="AR4" i="10" s="1"/>
  <c r="AQ6" i="10"/>
  <c r="AQ4" i="10" s="1"/>
  <c r="AP6" i="10"/>
  <c r="AP4" i="10" s="1"/>
  <c r="AO6" i="10"/>
  <c r="AO4" i="10" s="1"/>
  <c r="AN6" i="10"/>
  <c r="AN4" i="10" s="1"/>
  <c r="AM6" i="10"/>
  <c r="AM3" i="10" s="1"/>
  <c r="AL6" i="10"/>
  <c r="AL3" i="10" s="1"/>
  <c r="AK6" i="10"/>
  <c r="AK3" i="10" s="1"/>
  <c r="AJ6" i="10"/>
  <c r="AJ3" i="10" s="1"/>
  <c r="AI6" i="10"/>
  <c r="AI3" i="10" s="1"/>
  <c r="AH6" i="10"/>
  <c r="AH2" i="10" s="1"/>
  <c r="AG6" i="10"/>
  <c r="AG2" i="10" s="1"/>
  <c r="AF6" i="10"/>
  <c r="AF2" i="10" s="1"/>
  <c r="AE6" i="10"/>
  <c r="AE2" i="10" s="1"/>
  <c r="AD6" i="10"/>
  <c r="AD4" i="10" s="1"/>
  <c r="AC6" i="10"/>
  <c r="AC2" i="10" s="1"/>
  <c r="AB6" i="10"/>
  <c r="AB4" i="10" s="1"/>
  <c r="AA6" i="10"/>
  <c r="AA4" i="10" s="1"/>
  <c r="Z6" i="10"/>
  <c r="Z4" i="10" s="1"/>
  <c r="Y6" i="10"/>
  <c r="Y4" i="10" s="1"/>
  <c r="X6" i="10"/>
  <c r="X4" i="10" s="1"/>
  <c r="W6" i="10"/>
  <c r="W3" i="10" s="1"/>
  <c r="M6" i="10"/>
  <c r="M2" i="10" s="1"/>
  <c r="L6" i="10"/>
  <c r="L4" i="10" s="1"/>
  <c r="K6" i="10"/>
  <c r="K4" i="10" s="1"/>
  <c r="J6" i="10"/>
  <c r="J4" i="10" s="1"/>
  <c r="I6" i="10"/>
  <c r="I4" i="10" s="1"/>
  <c r="H6" i="10"/>
  <c r="H4" i="10" s="1"/>
  <c r="G6" i="10"/>
  <c r="G3" i="10" s="1"/>
  <c r="F6" i="10"/>
  <c r="F3" i="10" s="1"/>
  <c r="E6" i="10"/>
  <c r="E3" i="10" s="1"/>
  <c r="D6" i="10"/>
  <c r="D3" i="10" s="1"/>
  <c r="C6" i="10"/>
  <c r="C3" i="10" s="1"/>
  <c r="B6" i="10"/>
  <c r="B2" i="10" s="1"/>
  <c r="N10" i="10"/>
  <c r="O10" i="10" s="1"/>
  <c r="P5637" i="4"/>
  <c r="M5637" i="4" a="1"/>
  <c r="M5637" i="4" s="1"/>
  <c r="O5637" i="4" s="1"/>
  <c r="K5637" i="4"/>
  <c r="J5637" i="4"/>
  <c r="I5637" i="4"/>
  <c r="P5636" i="4"/>
  <c r="K5636" i="4"/>
  <c r="J5636" i="4"/>
  <c r="I5636" i="4"/>
  <c r="M5636" i="4" s="1" a="1"/>
  <c r="M5636" i="4" s="1"/>
  <c r="O5636" i="4" s="1"/>
  <c r="P5635" i="4"/>
  <c r="K5635" i="4"/>
  <c r="J5635" i="4"/>
  <c r="I5635" i="4"/>
  <c r="M5635" i="4" s="1" a="1"/>
  <c r="M5635" i="4" s="1"/>
  <c r="O5635" i="4" s="1"/>
  <c r="P5634" i="4"/>
  <c r="K5634" i="4"/>
  <c r="J5634" i="4"/>
  <c r="I5634" i="4"/>
  <c r="M5634" i="4" s="1" a="1"/>
  <c r="M5634" i="4" s="1"/>
  <c r="O5634" i="4" s="1"/>
  <c r="P5633" i="4"/>
  <c r="M5633" i="4" a="1"/>
  <c r="M5633" i="4" s="1"/>
  <c r="O5633" i="4" s="1"/>
  <c r="K5633" i="4"/>
  <c r="J5633" i="4"/>
  <c r="I5633" i="4"/>
  <c r="P5632" i="4"/>
  <c r="K5632" i="4"/>
  <c r="J5632" i="4"/>
  <c r="I5632" i="4"/>
  <c r="M5632" i="4" s="1" a="1"/>
  <c r="M5632" i="4" s="1"/>
  <c r="O5632" i="4" s="1"/>
  <c r="P5631" i="4"/>
  <c r="K5631" i="4"/>
  <c r="J5631" i="4"/>
  <c r="M5631" i="4" s="1" a="1"/>
  <c r="M5631" i="4" s="1"/>
  <c r="O5631" i="4" s="1"/>
  <c r="I5631" i="4"/>
  <c r="P5630" i="4"/>
  <c r="M5630" i="4"/>
  <c r="O5630" i="4" s="1"/>
  <c r="M5630" i="4" a="1"/>
  <c r="K5630" i="4"/>
  <c r="J5630" i="4"/>
  <c r="I5630" i="4"/>
  <c r="P5629" i="4"/>
  <c r="K5629" i="4"/>
  <c r="J5629" i="4"/>
  <c r="I5629" i="4"/>
  <c r="M5629" i="4" s="1" a="1"/>
  <c r="M5629" i="4" s="1"/>
  <c r="O5629" i="4" s="1"/>
  <c r="P5628" i="4"/>
  <c r="K5628" i="4"/>
  <c r="J5628" i="4"/>
  <c r="M5628" i="4" s="1" a="1"/>
  <c r="M5628" i="4" s="1"/>
  <c r="O5628" i="4" s="1"/>
  <c r="I5628" i="4"/>
  <c r="P5627" i="4"/>
  <c r="K5627" i="4"/>
  <c r="J5627" i="4"/>
  <c r="I5627" i="4"/>
  <c r="M5627" i="4" s="1" a="1"/>
  <c r="M5627" i="4" s="1"/>
  <c r="O5627" i="4" s="1"/>
  <c r="P5626" i="4"/>
  <c r="K5626" i="4"/>
  <c r="J5626" i="4"/>
  <c r="I5626" i="4"/>
  <c r="M5626" i="4" s="1" a="1"/>
  <c r="M5626" i="4" s="1"/>
  <c r="O5626" i="4" s="1"/>
  <c r="P5625" i="4"/>
  <c r="K5625" i="4"/>
  <c r="J5625" i="4"/>
  <c r="I5625" i="4"/>
  <c r="M5625" i="4" s="1" a="1"/>
  <c r="M5625" i="4" s="1"/>
  <c r="O5625" i="4" s="1"/>
  <c r="P5624" i="4"/>
  <c r="K5624" i="4"/>
  <c r="M5624" i="4" s="1" a="1"/>
  <c r="M5624" i="4" s="1"/>
  <c r="O5624" i="4" s="1"/>
  <c r="J5624" i="4"/>
  <c r="I5624" i="4"/>
  <c r="P5623" i="4"/>
  <c r="K5623" i="4"/>
  <c r="J5623" i="4"/>
  <c r="M5623" i="4" s="1" a="1"/>
  <c r="M5623" i="4" s="1"/>
  <c r="O5623" i="4" s="1"/>
  <c r="I5623" i="4"/>
  <c r="P5622" i="4"/>
  <c r="K5622" i="4"/>
  <c r="J5622" i="4"/>
  <c r="I5622" i="4"/>
  <c r="M5622" i="4" s="1" a="1"/>
  <c r="M5622" i="4" s="1"/>
  <c r="O5622" i="4" s="1"/>
  <c r="P5621" i="4"/>
  <c r="M5621" i="4" a="1"/>
  <c r="M5621" i="4" s="1"/>
  <c r="O5621" i="4" s="1"/>
  <c r="K5621" i="4"/>
  <c r="J5621" i="4"/>
  <c r="I5621" i="4"/>
  <c r="P5620" i="4"/>
  <c r="K5620" i="4"/>
  <c r="J5620" i="4"/>
  <c r="I5620" i="4"/>
  <c r="M5620" i="4" s="1" a="1"/>
  <c r="M5620" i="4" s="1"/>
  <c r="O5620" i="4" s="1"/>
  <c r="P5619" i="4"/>
  <c r="O5619" i="4"/>
  <c r="K5619" i="4"/>
  <c r="J5619" i="4"/>
  <c r="I5619" i="4"/>
  <c r="M5619" i="4" s="1" a="1"/>
  <c r="M5619" i="4" s="1"/>
  <c r="P5618" i="4"/>
  <c r="K5618" i="4"/>
  <c r="J5618" i="4"/>
  <c r="I5618" i="4"/>
  <c r="M5618" i="4" s="1" a="1"/>
  <c r="M5618" i="4" s="1"/>
  <c r="O5618" i="4" s="1"/>
  <c r="P5617" i="4"/>
  <c r="M5617" i="4" a="1"/>
  <c r="M5617" i="4" s="1"/>
  <c r="O5617" i="4" s="1"/>
  <c r="K5617" i="4"/>
  <c r="J5617" i="4"/>
  <c r="I5617" i="4"/>
  <c r="P5616" i="4"/>
  <c r="K5616" i="4"/>
  <c r="J5616" i="4"/>
  <c r="I5616" i="4"/>
  <c r="M5616" i="4" s="1" a="1"/>
  <c r="M5616" i="4" s="1"/>
  <c r="O5616" i="4" s="1"/>
  <c r="P5615" i="4"/>
  <c r="K5615" i="4"/>
  <c r="J5615" i="4"/>
  <c r="M5615" i="4" s="1" a="1"/>
  <c r="M5615" i="4" s="1"/>
  <c r="O5615" i="4" s="1"/>
  <c r="I5615" i="4"/>
  <c r="P5614" i="4"/>
  <c r="M5614" i="4"/>
  <c r="O5614" i="4" s="1"/>
  <c r="M5614" i="4" a="1"/>
  <c r="K5614" i="4"/>
  <c r="J5614" i="4"/>
  <c r="I5614" i="4"/>
  <c r="P5613" i="4"/>
  <c r="K5613" i="4"/>
  <c r="J5613" i="4"/>
  <c r="I5613" i="4"/>
  <c r="M5613" i="4" s="1" a="1"/>
  <c r="M5613" i="4" s="1"/>
  <c r="O5613" i="4" s="1"/>
  <c r="P5612" i="4"/>
  <c r="K5612" i="4"/>
  <c r="J5612" i="4"/>
  <c r="M5612" i="4" s="1" a="1"/>
  <c r="M5612" i="4" s="1"/>
  <c r="O5612" i="4" s="1"/>
  <c r="I5612" i="4"/>
  <c r="P5611" i="4"/>
  <c r="K5611" i="4"/>
  <c r="J5611" i="4"/>
  <c r="M5611" i="4" s="1" a="1"/>
  <c r="M5611" i="4" s="1"/>
  <c r="O5611" i="4" s="1"/>
  <c r="I5611" i="4"/>
  <c r="P5610" i="4"/>
  <c r="K5610" i="4"/>
  <c r="J5610" i="4"/>
  <c r="I5610" i="4"/>
  <c r="M5610" i="4" s="1" a="1"/>
  <c r="M5610" i="4" s="1"/>
  <c r="O5610" i="4" s="1"/>
  <c r="P5609" i="4"/>
  <c r="K5609" i="4"/>
  <c r="J5609" i="4"/>
  <c r="I5609" i="4"/>
  <c r="M5609" i="4" s="1" a="1"/>
  <c r="M5609" i="4" s="1"/>
  <c r="O5609" i="4" s="1"/>
  <c r="P5608" i="4"/>
  <c r="K5608" i="4"/>
  <c r="M5608" i="4" s="1" a="1"/>
  <c r="M5608" i="4" s="1"/>
  <c r="O5608" i="4" s="1"/>
  <c r="J5608" i="4"/>
  <c r="I5608" i="4"/>
  <c r="P5607" i="4"/>
  <c r="O5607" i="4"/>
  <c r="M5607" i="4"/>
  <c r="M5607" i="4" a="1"/>
  <c r="K5607" i="4"/>
  <c r="J5607" i="4"/>
  <c r="I5607" i="4"/>
  <c r="P5606" i="4"/>
  <c r="K5606" i="4"/>
  <c r="J5606" i="4"/>
  <c r="I5606" i="4"/>
  <c r="M5606" i="4" s="1" a="1"/>
  <c r="M5606" i="4" s="1"/>
  <c r="O5606" i="4" s="1"/>
  <c r="P5605" i="4"/>
  <c r="M5605" i="4" a="1"/>
  <c r="M5605" i="4" s="1"/>
  <c r="O5605" i="4" s="1"/>
  <c r="K5605" i="4"/>
  <c r="J5605" i="4"/>
  <c r="I5605" i="4"/>
  <c r="P5604" i="4"/>
  <c r="K5604" i="4"/>
  <c r="J5604" i="4"/>
  <c r="I5604" i="4"/>
  <c r="M5604" i="4" s="1" a="1"/>
  <c r="M5604" i="4" s="1"/>
  <c r="O5604" i="4" s="1"/>
  <c r="P5603" i="4"/>
  <c r="O5603" i="4"/>
  <c r="K5603" i="4"/>
  <c r="J5603" i="4"/>
  <c r="I5603" i="4"/>
  <c r="M5603" i="4" s="1" a="1"/>
  <c r="M5603" i="4" s="1"/>
  <c r="P5602" i="4"/>
  <c r="K5602" i="4"/>
  <c r="J5602" i="4"/>
  <c r="I5602" i="4"/>
  <c r="M5602" i="4" s="1" a="1"/>
  <c r="M5602" i="4" s="1"/>
  <c r="O5602" i="4" s="1"/>
  <c r="P5601" i="4"/>
  <c r="M5601" i="4" a="1"/>
  <c r="M5601" i="4" s="1"/>
  <c r="O5601" i="4" s="1"/>
  <c r="K5601" i="4"/>
  <c r="J5601" i="4"/>
  <c r="I5601" i="4"/>
  <c r="P5600" i="4"/>
  <c r="K5600" i="4"/>
  <c r="J5600" i="4"/>
  <c r="I5600" i="4"/>
  <c r="M5600" i="4" s="1" a="1"/>
  <c r="M5600" i="4" s="1"/>
  <c r="O5600" i="4" s="1"/>
  <c r="P5599" i="4"/>
  <c r="K5599" i="4"/>
  <c r="J5599" i="4"/>
  <c r="M5599" i="4" s="1" a="1"/>
  <c r="M5599" i="4" s="1"/>
  <c r="O5599" i="4" s="1"/>
  <c r="I5599" i="4"/>
  <c r="P5598" i="4"/>
  <c r="M5598" i="4"/>
  <c r="O5598" i="4" s="1"/>
  <c r="M5598" i="4" a="1"/>
  <c r="K5598" i="4"/>
  <c r="J5598" i="4"/>
  <c r="I5598" i="4"/>
  <c r="P5597" i="4"/>
  <c r="K5597" i="4"/>
  <c r="J5597" i="4"/>
  <c r="I5597" i="4"/>
  <c r="M5597" i="4" s="1" a="1"/>
  <c r="M5597" i="4" s="1"/>
  <c r="O5597" i="4" s="1"/>
  <c r="P5596" i="4"/>
  <c r="K5596" i="4"/>
  <c r="J5596" i="4"/>
  <c r="I5596" i="4"/>
  <c r="M5596" i="4" s="1" a="1"/>
  <c r="M5596" i="4" s="1"/>
  <c r="O5596" i="4" s="1"/>
  <c r="P5595" i="4"/>
  <c r="K5595" i="4"/>
  <c r="J5595" i="4"/>
  <c r="M5595" i="4" s="1" a="1"/>
  <c r="M5595" i="4" s="1"/>
  <c r="O5595" i="4" s="1"/>
  <c r="I5595" i="4"/>
  <c r="P5594" i="4"/>
  <c r="M5594" i="4"/>
  <c r="O5594" i="4" s="1"/>
  <c r="K5594" i="4"/>
  <c r="J5594" i="4"/>
  <c r="I5594" i="4"/>
  <c r="M5594" i="4" s="1" a="1"/>
  <c r="P5593" i="4"/>
  <c r="K5593" i="4"/>
  <c r="J5593" i="4"/>
  <c r="I5593" i="4"/>
  <c r="M5593" i="4" s="1" a="1"/>
  <c r="M5593" i="4" s="1"/>
  <c r="O5593" i="4" s="1"/>
  <c r="P5592" i="4"/>
  <c r="K5592" i="4"/>
  <c r="M5592" i="4" s="1" a="1"/>
  <c r="M5592" i="4" s="1"/>
  <c r="O5592" i="4" s="1"/>
  <c r="J5592" i="4"/>
  <c r="I5592" i="4"/>
  <c r="P5591" i="4"/>
  <c r="O5591" i="4"/>
  <c r="M5591" i="4"/>
  <c r="M5591" i="4" a="1"/>
  <c r="K5591" i="4"/>
  <c r="J5591" i="4"/>
  <c r="I5591" i="4"/>
  <c r="P5590" i="4"/>
  <c r="K5590" i="4"/>
  <c r="J5590" i="4"/>
  <c r="I5590" i="4"/>
  <c r="M5590" i="4" s="1" a="1"/>
  <c r="M5590" i="4" s="1"/>
  <c r="O5590" i="4" s="1"/>
  <c r="P5589" i="4"/>
  <c r="M5589" i="4" a="1"/>
  <c r="M5589" i="4" s="1"/>
  <c r="O5589" i="4" s="1"/>
  <c r="K5589" i="4"/>
  <c r="J5589" i="4"/>
  <c r="I5589" i="4"/>
  <c r="P5588" i="4"/>
  <c r="K5588" i="4"/>
  <c r="J5588" i="4"/>
  <c r="I5588" i="4"/>
  <c r="M5588" i="4" s="1" a="1"/>
  <c r="M5588" i="4" s="1"/>
  <c r="O5588" i="4" s="1"/>
  <c r="P5587" i="4"/>
  <c r="K5587" i="4"/>
  <c r="J5587" i="4"/>
  <c r="I5587" i="4"/>
  <c r="M5587" i="4" s="1" a="1"/>
  <c r="M5587" i="4" s="1"/>
  <c r="O5587" i="4" s="1"/>
  <c r="P5586" i="4"/>
  <c r="K5586" i="4"/>
  <c r="J5586" i="4"/>
  <c r="I5586" i="4"/>
  <c r="M5586" i="4" s="1" a="1"/>
  <c r="M5586" i="4" s="1"/>
  <c r="O5586" i="4" s="1"/>
  <c r="P5585" i="4"/>
  <c r="M5585" i="4" a="1"/>
  <c r="M5585" i="4" s="1"/>
  <c r="O5585" i="4" s="1"/>
  <c r="K5585" i="4"/>
  <c r="J5585" i="4"/>
  <c r="I5585" i="4"/>
  <c r="P5584" i="4"/>
  <c r="K5584" i="4"/>
  <c r="J5584" i="4"/>
  <c r="I5584" i="4"/>
  <c r="M5584" i="4" s="1" a="1"/>
  <c r="M5584" i="4" s="1"/>
  <c r="O5584" i="4" s="1"/>
  <c r="P5583" i="4"/>
  <c r="K5583" i="4"/>
  <c r="J5583" i="4"/>
  <c r="M5583" i="4" s="1" a="1"/>
  <c r="M5583" i="4" s="1"/>
  <c r="O5583" i="4" s="1"/>
  <c r="I5583" i="4"/>
  <c r="P5582" i="4"/>
  <c r="M5582" i="4"/>
  <c r="O5582" i="4" s="1"/>
  <c r="M5582" i="4" a="1"/>
  <c r="K5582" i="4"/>
  <c r="J5582" i="4"/>
  <c r="I5582" i="4"/>
  <c r="P5581" i="4"/>
  <c r="K5581" i="4"/>
  <c r="J5581" i="4"/>
  <c r="I5581" i="4"/>
  <c r="M5581" i="4" s="1" a="1"/>
  <c r="M5581" i="4" s="1"/>
  <c r="O5581" i="4" s="1"/>
  <c r="P5580" i="4"/>
  <c r="K5580" i="4"/>
  <c r="J5580" i="4"/>
  <c r="I5580" i="4"/>
  <c r="M5580" i="4" s="1" a="1"/>
  <c r="M5580" i="4" s="1"/>
  <c r="O5580" i="4" s="1"/>
  <c r="P5579" i="4"/>
  <c r="K5579" i="4"/>
  <c r="J5579" i="4"/>
  <c r="M5579" i="4" s="1" a="1"/>
  <c r="M5579" i="4" s="1"/>
  <c r="O5579" i="4" s="1"/>
  <c r="I5579" i="4"/>
  <c r="P5578" i="4"/>
  <c r="K5578" i="4"/>
  <c r="J5578" i="4"/>
  <c r="I5578" i="4"/>
  <c r="M5578" i="4" s="1" a="1"/>
  <c r="M5578" i="4" s="1"/>
  <c r="O5578" i="4" s="1"/>
  <c r="P5577" i="4"/>
  <c r="K5577" i="4"/>
  <c r="J5577" i="4"/>
  <c r="I5577" i="4"/>
  <c r="M5577" i="4" s="1" a="1"/>
  <c r="M5577" i="4" s="1"/>
  <c r="O5577" i="4" s="1"/>
  <c r="P5576" i="4"/>
  <c r="K5576" i="4"/>
  <c r="M5576" i="4" s="1" a="1"/>
  <c r="M5576" i="4" s="1"/>
  <c r="O5576" i="4" s="1"/>
  <c r="J5576" i="4"/>
  <c r="I5576" i="4"/>
  <c r="P5575" i="4"/>
  <c r="O5575" i="4"/>
  <c r="M5575" i="4"/>
  <c r="M5575" i="4" a="1"/>
  <c r="K5575" i="4"/>
  <c r="J5575" i="4"/>
  <c r="I5575" i="4"/>
  <c r="P5574" i="4"/>
  <c r="K5574" i="4"/>
  <c r="J5574" i="4"/>
  <c r="I5574" i="4"/>
  <c r="M5574" i="4" s="1" a="1"/>
  <c r="M5574" i="4" s="1"/>
  <c r="O5574" i="4" s="1"/>
  <c r="P5573" i="4"/>
  <c r="M5573" i="4" a="1"/>
  <c r="M5573" i="4" s="1"/>
  <c r="O5573" i="4" s="1"/>
  <c r="K5573" i="4"/>
  <c r="J5573" i="4"/>
  <c r="I5573" i="4"/>
  <c r="P5572" i="4"/>
  <c r="K5572" i="4"/>
  <c r="J5572" i="4"/>
  <c r="I5572" i="4"/>
  <c r="M5572" i="4" s="1" a="1"/>
  <c r="M5572" i="4" s="1"/>
  <c r="O5572" i="4" s="1"/>
  <c r="P5571" i="4"/>
  <c r="O5571" i="4"/>
  <c r="K5571" i="4"/>
  <c r="J5571" i="4"/>
  <c r="I5571" i="4"/>
  <c r="M5571" i="4" s="1" a="1"/>
  <c r="M5571" i="4" s="1"/>
  <c r="P5570" i="4"/>
  <c r="K5570" i="4"/>
  <c r="J5570" i="4"/>
  <c r="I5570" i="4"/>
  <c r="M5570" i="4" s="1" a="1"/>
  <c r="M5570" i="4" s="1"/>
  <c r="O5570" i="4" s="1"/>
  <c r="P5569" i="4"/>
  <c r="M5569" i="4" a="1"/>
  <c r="M5569" i="4" s="1"/>
  <c r="O5569" i="4" s="1"/>
  <c r="K5569" i="4"/>
  <c r="J5569" i="4"/>
  <c r="I5569" i="4"/>
  <c r="P5568" i="4"/>
  <c r="K5568" i="4"/>
  <c r="J5568" i="4"/>
  <c r="I5568" i="4"/>
  <c r="M5568" i="4" s="1" a="1"/>
  <c r="M5568" i="4" s="1"/>
  <c r="O5568" i="4" s="1"/>
  <c r="P5567" i="4"/>
  <c r="K5567" i="4"/>
  <c r="J5567" i="4"/>
  <c r="M5567" i="4" s="1" a="1"/>
  <c r="M5567" i="4" s="1"/>
  <c r="O5567" i="4" s="1"/>
  <c r="I5567" i="4"/>
  <c r="P5566" i="4"/>
  <c r="M5566" i="4"/>
  <c r="O5566" i="4" s="1"/>
  <c r="M5566" i="4" a="1"/>
  <c r="K5566" i="4"/>
  <c r="J5566" i="4"/>
  <c r="I5566" i="4"/>
  <c r="P5565" i="4"/>
  <c r="K5565" i="4"/>
  <c r="J5565" i="4"/>
  <c r="I5565" i="4"/>
  <c r="M5565" i="4" s="1" a="1"/>
  <c r="M5565" i="4" s="1"/>
  <c r="O5565" i="4" s="1"/>
  <c r="P5564" i="4"/>
  <c r="K5564" i="4"/>
  <c r="J5564" i="4"/>
  <c r="I5564" i="4"/>
  <c r="M5564" i="4" s="1" a="1"/>
  <c r="M5564" i="4" s="1"/>
  <c r="O5564" i="4" s="1"/>
  <c r="P5563" i="4"/>
  <c r="K5563" i="4"/>
  <c r="M5563" i="4" s="1" a="1"/>
  <c r="M5563" i="4" s="1"/>
  <c r="O5563" i="4" s="1"/>
  <c r="J5563" i="4"/>
  <c r="I5563" i="4"/>
  <c r="P5562" i="4"/>
  <c r="M5562" i="4"/>
  <c r="O5562" i="4" s="1"/>
  <c r="K5562" i="4"/>
  <c r="J5562" i="4"/>
  <c r="I5562" i="4"/>
  <c r="M5562" i="4" s="1" a="1"/>
  <c r="P5561" i="4"/>
  <c r="K5561" i="4"/>
  <c r="J5561" i="4"/>
  <c r="I5561" i="4"/>
  <c r="M5561" i="4" s="1" a="1"/>
  <c r="M5561" i="4" s="1"/>
  <c r="O5561" i="4" s="1"/>
  <c r="P5560" i="4"/>
  <c r="K5560" i="4"/>
  <c r="M5560" i="4" s="1" a="1"/>
  <c r="M5560" i="4" s="1"/>
  <c r="O5560" i="4" s="1"/>
  <c r="J5560" i="4"/>
  <c r="I5560" i="4"/>
  <c r="P5559" i="4"/>
  <c r="O5559" i="4"/>
  <c r="M5559" i="4"/>
  <c r="M5559" i="4" a="1"/>
  <c r="K5559" i="4"/>
  <c r="J5559" i="4"/>
  <c r="I5559" i="4"/>
  <c r="P5558" i="4"/>
  <c r="K5558" i="4"/>
  <c r="J5558" i="4"/>
  <c r="I5558" i="4"/>
  <c r="M5558" i="4" s="1" a="1"/>
  <c r="M5558" i="4" s="1"/>
  <c r="O5558" i="4" s="1"/>
  <c r="P5557" i="4"/>
  <c r="M5557" i="4" a="1"/>
  <c r="M5557" i="4" s="1"/>
  <c r="O5557" i="4" s="1"/>
  <c r="K5557" i="4"/>
  <c r="J5557" i="4"/>
  <c r="I5557" i="4"/>
  <c r="P5556" i="4"/>
  <c r="K5556" i="4"/>
  <c r="J5556" i="4"/>
  <c r="I5556" i="4"/>
  <c r="M5556" i="4" s="1" a="1"/>
  <c r="M5556" i="4" s="1"/>
  <c r="O5556" i="4" s="1"/>
  <c r="P5555" i="4"/>
  <c r="K5555" i="4"/>
  <c r="J5555" i="4"/>
  <c r="I5555" i="4"/>
  <c r="M5555" i="4" s="1" a="1"/>
  <c r="M5555" i="4" s="1"/>
  <c r="O5555" i="4" s="1"/>
  <c r="P5554" i="4"/>
  <c r="K5554" i="4"/>
  <c r="J5554" i="4"/>
  <c r="I5554" i="4"/>
  <c r="M5554" i="4" s="1" a="1"/>
  <c r="M5554" i="4" s="1"/>
  <c r="O5554" i="4" s="1"/>
  <c r="P5553" i="4"/>
  <c r="M5553" i="4" a="1"/>
  <c r="M5553" i="4" s="1"/>
  <c r="O5553" i="4" s="1"/>
  <c r="K5553" i="4"/>
  <c r="J5553" i="4"/>
  <c r="I5553" i="4"/>
  <c r="P5552" i="4"/>
  <c r="K5552" i="4"/>
  <c r="J5552" i="4"/>
  <c r="I5552" i="4"/>
  <c r="M5552" i="4" s="1" a="1"/>
  <c r="M5552" i="4" s="1"/>
  <c r="O5552" i="4" s="1"/>
  <c r="P5551" i="4"/>
  <c r="K5551" i="4"/>
  <c r="J5551" i="4"/>
  <c r="M5551" i="4" s="1" a="1"/>
  <c r="M5551" i="4" s="1"/>
  <c r="O5551" i="4" s="1"/>
  <c r="I5551" i="4"/>
  <c r="P5550" i="4"/>
  <c r="M5550" i="4"/>
  <c r="O5550" i="4" s="1"/>
  <c r="M5550" i="4" a="1"/>
  <c r="K5550" i="4"/>
  <c r="J5550" i="4"/>
  <c r="I5550" i="4"/>
  <c r="P5549" i="4"/>
  <c r="K5549" i="4"/>
  <c r="J5549" i="4"/>
  <c r="I5549" i="4"/>
  <c r="M5549" i="4" s="1" a="1"/>
  <c r="M5549" i="4" s="1"/>
  <c r="O5549" i="4" s="1"/>
  <c r="P5548" i="4"/>
  <c r="K5548" i="4"/>
  <c r="J5548" i="4"/>
  <c r="I5548" i="4"/>
  <c r="M5548" i="4" s="1" a="1"/>
  <c r="M5548" i="4" s="1"/>
  <c r="O5548" i="4" s="1"/>
  <c r="P5547" i="4"/>
  <c r="K5547" i="4"/>
  <c r="M5547" i="4" s="1" a="1"/>
  <c r="M5547" i="4" s="1"/>
  <c r="O5547" i="4" s="1"/>
  <c r="J5547" i="4"/>
  <c r="I5547" i="4"/>
  <c r="P5546" i="4"/>
  <c r="M5546" i="4"/>
  <c r="O5546" i="4" s="1"/>
  <c r="K5546" i="4"/>
  <c r="J5546" i="4"/>
  <c r="I5546" i="4"/>
  <c r="M5546" i="4" s="1" a="1"/>
  <c r="P5545" i="4"/>
  <c r="K5545" i="4"/>
  <c r="J5545" i="4"/>
  <c r="I5545" i="4"/>
  <c r="M5545" i="4" s="1" a="1"/>
  <c r="M5545" i="4" s="1"/>
  <c r="O5545" i="4" s="1"/>
  <c r="P5544" i="4"/>
  <c r="K5544" i="4"/>
  <c r="M5544" i="4" s="1" a="1"/>
  <c r="M5544" i="4" s="1"/>
  <c r="O5544" i="4" s="1"/>
  <c r="J5544" i="4"/>
  <c r="I5544" i="4"/>
  <c r="P5543" i="4"/>
  <c r="O5543" i="4"/>
  <c r="M5543" i="4"/>
  <c r="M5543" i="4" a="1"/>
  <c r="K5543" i="4"/>
  <c r="J5543" i="4"/>
  <c r="I5543" i="4"/>
  <c r="P5542" i="4"/>
  <c r="K5542" i="4"/>
  <c r="J5542" i="4"/>
  <c r="I5542" i="4"/>
  <c r="M5542" i="4" s="1" a="1"/>
  <c r="M5542" i="4" s="1"/>
  <c r="O5542" i="4" s="1"/>
  <c r="P5541" i="4"/>
  <c r="M5541" i="4" a="1"/>
  <c r="M5541" i="4" s="1"/>
  <c r="O5541" i="4" s="1"/>
  <c r="K5541" i="4"/>
  <c r="J5541" i="4"/>
  <c r="I5541" i="4"/>
  <c r="P5540" i="4"/>
  <c r="K5540" i="4"/>
  <c r="J5540" i="4"/>
  <c r="I5540" i="4"/>
  <c r="M5540" i="4" s="1" a="1"/>
  <c r="M5540" i="4" s="1"/>
  <c r="O5540" i="4" s="1"/>
  <c r="P5539" i="4"/>
  <c r="O5539" i="4"/>
  <c r="K5539" i="4"/>
  <c r="J5539" i="4"/>
  <c r="I5539" i="4"/>
  <c r="M5539" i="4" s="1" a="1"/>
  <c r="M5539" i="4" s="1"/>
  <c r="P5538" i="4"/>
  <c r="K5538" i="4"/>
  <c r="J5538" i="4"/>
  <c r="I5538" i="4"/>
  <c r="M5538" i="4" s="1" a="1"/>
  <c r="M5538" i="4" s="1"/>
  <c r="O5538" i="4" s="1"/>
  <c r="P5537" i="4"/>
  <c r="M5537" i="4" a="1"/>
  <c r="M5537" i="4" s="1"/>
  <c r="O5537" i="4" s="1"/>
  <c r="K5537" i="4"/>
  <c r="J5537" i="4"/>
  <c r="I5537" i="4"/>
  <c r="P5536" i="4"/>
  <c r="K5536" i="4"/>
  <c r="J5536" i="4"/>
  <c r="I5536" i="4"/>
  <c r="M5536" i="4" s="1" a="1"/>
  <c r="M5536" i="4" s="1"/>
  <c r="O5536" i="4" s="1"/>
  <c r="P5535" i="4"/>
  <c r="K5535" i="4"/>
  <c r="J5535" i="4"/>
  <c r="M5535" i="4" s="1" a="1"/>
  <c r="M5535" i="4" s="1"/>
  <c r="O5535" i="4" s="1"/>
  <c r="I5535" i="4"/>
  <c r="P5534" i="4"/>
  <c r="M5534" i="4"/>
  <c r="O5534" i="4" s="1"/>
  <c r="M5534" i="4" a="1"/>
  <c r="K5534" i="4"/>
  <c r="J5534" i="4"/>
  <c r="I5534" i="4"/>
  <c r="P5533" i="4"/>
  <c r="K5533" i="4"/>
  <c r="J5533" i="4"/>
  <c r="I5533" i="4"/>
  <c r="M5533" i="4" s="1" a="1"/>
  <c r="M5533" i="4" s="1"/>
  <c r="O5533" i="4" s="1"/>
  <c r="P5532" i="4"/>
  <c r="K5532" i="4"/>
  <c r="J5532" i="4"/>
  <c r="I5532" i="4"/>
  <c r="M5532" i="4" s="1" a="1"/>
  <c r="M5532" i="4" s="1"/>
  <c r="O5532" i="4" s="1"/>
  <c r="P5531" i="4"/>
  <c r="K5531" i="4"/>
  <c r="M5531" i="4" s="1" a="1"/>
  <c r="M5531" i="4" s="1"/>
  <c r="O5531" i="4" s="1"/>
  <c r="J5531" i="4"/>
  <c r="I5531" i="4"/>
  <c r="P5530" i="4"/>
  <c r="K5530" i="4"/>
  <c r="J5530" i="4"/>
  <c r="I5530" i="4"/>
  <c r="M5530" i="4" s="1" a="1"/>
  <c r="M5530" i="4" s="1"/>
  <c r="O5530" i="4" s="1"/>
  <c r="P5529" i="4"/>
  <c r="K5529" i="4"/>
  <c r="J5529" i="4"/>
  <c r="I5529" i="4"/>
  <c r="M5529" i="4" s="1" a="1"/>
  <c r="M5529" i="4" s="1"/>
  <c r="O5529" i="4" s="1"/>
  <c r="P5528" i="4"/>
  <c r="K5528" i="4"/>
  <c r="M5528" i="4" s="1" a="1"/>
  <c r="M5528" i="4" s="1"/>
  <c r="O5528" i="4" s="1"/>
  <c r="J5528" i="4"/>
  <c r="I5528" i="4"/>
  <c r="P5527" i="4"/>
  <c r="O5527" i="4"/>
  <c r="M5527" i="4"/>
  <c r="M5527" i="4" a="1"/>
  <c r="K5527" i="4"/>
  <c r="J5527" i="4"/>
  <c r="I5527" i="4"/>
  <c r="P5526" i="4"/>
  <c r="K5526" i="4"/>
  <c r="J5526" i="4"/>
  <c r="I5526" i="4"/>
  <c r="M5526" i="4" s="1" a="1"/>
  <c r="M5526" i="4" s="1"/>
  <c r="O5526" i="4" s="1"/>
  <c r="P5525" i="4"/>
  <c r="M5525" i="4" a="1"/>
  <c r="M5525" i="4" s="1"/>
  <c r="O5525" i="4" s="1"/>
  <c r="K5525" i="4"/>
  <c r="J5525" i="4"/>
  <c r="I5525" i="4"/>
  <c r="P5524" i="4"/>
  <c r="K5524" i="4"/>
  <c r="J5524" i="4"/>
  <c r="I5524" i="4"/>
  <c r="M5524" i="4" s="1" a="1"/>
  <c r="M5524" i="4" s="1"/>
  <c r="O5524" i="4" s="1"/>
  <c r="P5523" i="4"/>
  <c r="K5523" i="4"/>
  <c r="J5523" i="4"/>
  <c r="I5523" i="4"/>
  <c r="M5523" i="4" s="1" a="1"/>
  <c r="M5523" i="4" s="1"/>
  <c r="O5523" i="4" s="1"/>
  <c r="P5522" i="4"/>
  <c r="K5522" i="4"/>
  <c r="J5522" i="4"/>
  <c r="I5522" i="4"/>
  <c r="M5522" i="4" s="1" a="1"/>
  <c r="M5522" i="4" s="1"/>
  <c r="O5522" i="4" s="1"/>
  <c r="P5521" i="4"/>
  <c r="M5521" i="4" a="1"/>
  <c r="M5521" i="4" s="1"/>
  <c r="O5521" i="4" s="1"/>
  <c r="K5521" i="4"/>
  <c r="J5521" i="4"/>
  <c r="I5521" i="4"/>
  <c r="P5520" i="4"/>
  <c r="K5520" i="4"/>
  <c r="J5520" i="4"/>
  <c r="I5520" i="4"/>
  <c r="M5520" i="4" s="1" a="1"/>
  <c r="M5520" i="4" s="1"/>
  <c r="O5520" i="4" s="1"/>
  <c r="P5519" i="4"/>
  <c r="K5519" i="4"/>
  <c r="J5519" i="4"/>
  <c r="M5519" i="4" s="1" a="1"/>
  <c r="M5519" i="4" s="1"/>
  <c r="O5519" i="4" s="1"/>
  <c r="I5519" i="4"/>
  <c r="P5518" i="4"/>
  <c r="M5518" i="4"/>
  <c r="O5518" i="4" s="1"/>
  <c r="M5518" i="4" a="1"/>
  <c r="K5518" i="4"/>
  <c r="J5518" i="4"/>
  <c r="I5518" i="4"/>
  <c r="P5517" i="4"/>
  <c r="K5517" i="4"/>
  <c r="J5517" i="4"/>
  <c r="I5517" i="4"/>
  <c r="M5517" i="4" s="1" a="1"/>
  <c r="M5517" i="4" s="1"/>
  <c r="O5517" i="4" s="1"/>
  <c r="P5516" i="4"/>
  <c r="K5516" i="4"/>
  <c r="J5516" i="4"/>
  <c r="I5516" i="4"/>
  <c r="M5516" i="4" s="1" a="1"/>
  <c r="M5516" i="4" s="1"/>
  <c r="O5516" i="4" s="1"/>
  <c r="P5515" i="4"/>
  <c r="K5515" i="4"/>
  <c r="M5515" i="4" s="1" a="1"/>
  <c r="M5515" i="4" s="1"/>
  <c r="O5515" i="4" s="1"/>
  <c r="J5515" i="4"/>
  <c r="I5515" i="4"/>
  <c r="P5514" i="4"/>
  <c r="M5514" i="4"/>
  <c r="O5514" i="4" s="1"/>
  <c r="K5514" i="4"/>
  <c r="J5514" i="4"/>
  <c r="I5514" i="4"/>
  <c r="M5514" i="4" s="1" a="1"/>
  <c r="P5513" i="4"/>
  <c r="K5513" i="4"/>
  <c r="J5513" i="4"/>
  <c r="I5513" i="4"/>
  <c r="M5513" i="4" s="1" a="1"/>
  <c r="M5513" i="4" s="1"/>
  <c r="O5513" i="4" s="1"/>
  <c r="P5512" i="4"/>
  <c r="K5512" i="4"/>
  <c r="M5512" i="4" s="1" a="1"/>
  <c r="M5512" i="4" s="1"/>
  <c r="O5512" i="4" s="1"/>
  <c r="J5512" i="4"/>
  <c r="I5512" i="4"/>
  <c r="P5511" i="4"/>
  <c r="O5511" i="4"/>
  <c r="M5511" i="4"/>
  <c r="M5511" i="4" a="1"/>
  <c r="K5511" i="4"/>
  <c r="J5511" i="4"/>
  <c r="I5511" i="4"/>
  <c r="P5510" i="4"/>
  <c r="K5510" i="4"/>
  <c r="J5510" i="4"/>
  <c r="I5510" i="4"/>
  <c r="M5510" i="4" s="1" a="1"/>
  <c r="M5510" i="4" s="1"/>
  <c r="O5510" i="4" s="1"/>
  <c r="P5509" i="4"/>
  <c r="M5509" i="4" a="1"/>
  <c r="M5509" i="4" s="1"/>
  <c r="O5509" i="4" s="1"/>
  <c r="K5509" i="4"/>
  <c r="J5509" i="4"/>
  <c r="I5509" i="4"/>
  <c r="P5508" i="4"/>
  <c r="K5508" i="4"/>
  <c r="J5508" i="4"/>
  <c r="I5508" i="4"/>
  <c r="M5508" i="4" s="1" a="1"/>
  <c r="M5508" i="4" s="1"/>
  <c r="O5508" i="4" s="1"/>
  <c r="P5507" i="4"/>
  <c r="K5507" i="4"/>
  <c r="J5507" i="4"/>
  <c r="I5507" i="4"/>
  <c r="M5507" i="4" s="1" a="1"/>
  <c r="M5507" i="4" s="1"/>
  <c r="O5507" i="4" s="1"/>
  <c r="P5506" i="4"/>
  <c r="K5506" i="4"/>
  <c r="J5506" i="4"/>
  <c r="I5506" i="4"/>
  <c r="M5506" i="4" s="1" a="1"/>
  <c r="M5506" i="4" s="1"/>
  <c r="O5506" i="4" s="1"/>
  <c r="P5505" i="4"/>
  <c r="M5505" i="4" a="1"/>
  <c r="M5505" i="4" s="1"/>
  <c r="O5505" i="4" s="1"/>
  <c r="K5505" i="4"/>
  <c r="J5505" i="4"/>
  <c r="I5505" i="4"/>
  <c r="P5504" i="4"/>
  <c r="K5504" i="4"/>
  <c r="J5504" i="4"/>
  <c r="I5504" i="4"/>
  <c r="M5504" i="4" s="1" a="1"/>
  <c r="M5504" i="4" s="1"/>
  <c r="O5504" i="4" s="1"/>
  <c r="P5503" i="4"/>
  <c r="K5503" i="4"/>
  <c r="J5503" i="4"/>
  <c r="M5503" i="4" s="1" a="1"/>
  <c r="M5503" i="4" s="1"/>
  <c r="O5503" i="4" s="1"/>
  <c r="I5503" i="4"/>
  <c r="P5502" i="4"/>
  <c r="M5502" i="4"/>
  <c r="O5502" i="4" s="1"/>
  <c r="M5502" i="4" a="1"/>
  <c r="K5502" i="4"/>
  <c r="J5502" i="4"/>
  <c r="I5502" i="4"/>
  <c r="P5501" i="4"/>
  <c r="K5501" i="4"/>
  <c r="J5501" i="4"/>
  <c r="I5501" i="4"/>
  <c r="M5501" i="4" s="1" a="1"/>
  <c r="M5501" i="4" s="1"/>
  <c r="O5501" i="4" s="1"/>
  <c r="P5500" i="4"/>
  <c r="K5500" i="4"/>
  <c r="J5500" i="4"/>
  <c r="I5500" i="4"/>
  <c r="M5500" i="4" s="1" a="1"/>
  <c r="M5500" i="4" s="1"/>
  <c r="O5500" i="4" s="1"/>
  <c r="P5499" i="4"/>
  <c r="K5499" i="4"/>
  <c r="M5499" i="4" s="1" a="1"/>
  <c r="M5499" i="4" s="1"/>
  <c r="O5499" i="4" s="1"/>
  <c r="J5499" i="4"/>
  <c r="I5499" i="4"/>
  <c r="P5498" i="4"/>
  <c r="M5498" i="4"/>
  <c r="O5498" i="4" s="1"/>
  <c r="K5498" i="4"/>
  <c r="J5498" i="4"/>
  <c r="I5498" i="4"/>
  <c r="M5498" i="4" s="1" a="1"/>
  <c r="P5497" i="4"/>
  <c r="K5497" i="4"/>
  <c r="J5497" i="4"/>
  <c r="I5497" i="4"/>
  <c r="M5497" i="4" s="1" a="1"/>
  <c r="M5497" i="4" s="1"/>
  <c r="O5497" i="4" s="1"/>
  <c r="P5496" i="4"/>
  <c r="K5496" i="4"/>
  <c r="M5496" i="4" s="1" a="1"/>
  <c r="M5496" i="4" s="1"/>
  <c r="O5496" i="4" s="1"/>
  <c r="J5496" i="4"/>
  <c r="I5496" i="4"/>
  <c r="P5495" i="4"/>
  <c r="O5495" i="4"/>
  <c r="M5495" i="4"/>
  <c r="M5495" i="4" a="1"/>
  <c r="K5495" i="4"/>
  <c r="J5495" i="4"/>
  <c r="I5495" i="4"/>
  <c r="P5494" i="4"/>
  <c r="K5494" i="4"/>
  <c r="J5494" i="4"/>
  <c r="I5494" i="4"/>
  <c r="M5494" i="4" s="1" a="1"/>
  <c r="M5494" i="4" s="1"/>
  <c r="O5494" i="4" s="1"/>
  <c r="P5493" i="4"/>
  <c r="M5493" i="4" a="1"/>
  <c r="M5493" i="4" s="1"/>
  <c r="O5493" i="4" s="1"/>
  <c r="K5493" i="4"/>
  <c r="J5493" i="4"/>
  <c r="I5493" i="4"/>
  <c r="P5492" i="4"/>
  <c r="M5492" i="4" a="1"/>
  <c r="M5492" i="4" s="1"/>
  <c r="O5492" i="4" s="1"/>
  <c r="K5492" i="4"/>
  <c r="J5492" i="4"/>
  <c r="I5492" i="4"/>
  <c r="P5491" i="4"/>
  <c r="O5491" i="4"/>
  <c r="K5491" i="4"/>
  <c r="J5491" i="4"/>
  <c r="I5491" i="4"/>
  <c r="M5491" i="4" s="1" a="1"/>
  <c r="M5491" i="4" s="1"/>
  <c r="P5490" i="4"/>
  <c r="K5490" i="4"/>
  <c r="J5490" i="4"/>
  <c r="I5490" i="4"/>
  <c r="M5490" i="4" s="1" a="1"/>
  <c r="M5490" i="4" s="1"/>
  <c r="O5490" i="4" s="1"/>
  <c r="P5489" i="4"/>
  <c r="M5489" i="4" a="1"/>
  <c r="M5489" i="4" s="1"/>
  <c r="O5489" i="4" s="1"/>
  <c r="K5489" i="4"/>
  <c r="J5489" i="4"/>
  <c r="I5489" i="4"/>
  <c r="P5488" i="4"/>
  <c r="K5488" i="4"/>
  <c r="J5488" i="4"/>
  <c r="I5488" i="4"/>
  <c r="M5488" i="4" s="1" a="1"/>
  <c r="M5488" i="4" s="1"/>
  <c r="O5488" i="4" s="1"/>
  <c r="P5487" i="4"/>
  <c r="K5487" i="4"/>
  <c r="J5487" i="4"/>
  <c r="M5487" i="4" s="1" a="1"/>
  <c r="M5487" i="4" s="1"/>
  <c r="O5487" i="4" s="1"/>
  <c r="I5487" i="4"/>
  <c r="P5486" i="4"/>
  <c r="M5486" i="4"/>
  <c r="O5486" i="4" s="1"/>
  <c r="M5486" i="4" a="1"/>
  <c r="K5486" i="4"/>
  <c r="J5486" i="4"/>
  <c r="I5486" i="4"/>
  <c r="P5485" i="4"/>
  <c r="K5485" i="4"/>
  <c r="J5485" i="4"/>
  <c r="I5485" i="4"/>
  <c r="M5485" i="4" s="1" a="1"/>
  <c r="M5485" i="4" s="1"/>
  <c r="O5485" i="4" s="1"/>
  <c r="P5484" i="4"/>
  <c r="K5484" i="4"/>
  <c r="J5484" i="4"/>
  <c r="I5484" i="4"/>
  <c r="M5484" i="4" s="1" a="1"/>
  <c r="M5484" i="4" s="1"/>
  <c r="O5484" i="4" s="1"/>
  <c r="P5483" i="4"/>
  <c r="K5483" i="4"/>
  <c r="M5483" i="4" s="1" a="1"/>
  <c r="M5483" i="4" s="1"/>
  <c r="O5483" i="4" s="1"/>
  <c r="J5483" i="4"/>
  <c r="I5483" i="4"/>
  <c r="P5482" i="4"/>
  <c r="K5482" i="4"/>
  <c r="J5482" i="4"/>
  <c r="I5482" i="4"/>
  <c r="M5482" i="4" s="1" a="1"/>
  <c r="M5482" i="4" s="1"/>
  <c r="O5482" i="4" s="1"/>
  <c r="P5481" i="4"/>
  <c r="K5481" i="4"/>
  <c r="J5481" i="4"/>
  <c r="I5481" i="4"/>
  <c r="M5481" i="4" s="1" a="1"/>
  <c r="M5481" i="4" s="1"/>
  <c r="O5481" i="4" s="1"/>
  <c r="P5480" i="4"/>
  <c r="K5480" i="4"/>
  <c r="M5480" i="4" s="1" a="1"/>
  <c r="M5480" i="4" s="1"/>
  <c r="O5480" i="4" s="1"/>
  <c r="J5480" i="4"/>
  <c r="I5480" i="4"/>
  <c r="P5479" i="4"/>
  <c r="O5479" i="4"/>
  <c r="M5479" i="4"/>
  <c r="M5479" i="4" a="1"/>
  <c r="K5479" i="4"/>
  <c r="J5479" i="4"/>
  <c r="I5479" i="4"/>
  <c r="P5478" i="4"/>
  <c r="K5478" i="4"/>
  <c r="J5478" i="4"/>
  <c r="I5478" i="4"/>
  <c r="M5478" i="4" s="1" a="1"/>
  <c r="M5478" i="4" s="1"/>
  <c r="O5478" i="4" s="1"/>
  <c r="P5477" i="4"/>
  <c r="M5477" i="4" a="1"/>
  <c r="M5477" i="4" s="1"/>
  <c r="O5477" i="4" s="1"/>
  <c r="K5477" i="4"/>
  <c r="J5477" i="4"/>
  <c r="I5477" i="4"/>
  <c r="P5476" i="4"/>
  <c r="M5476" i="4" a="1"/>
  <c r="M5476" i="4" s="1"/>
  <c r="O5476" i="4" s="1"/>
  <c r="K5476" i="4"/>
  <c r="J5476" i="4"/>
  <c r="I5476" i="4"/>
  <c r="P5475" i="4"/>
  <c r="K5475" i="4"/>
  <c r="J5475" i="4"/>
  <c r="I5475" i="4"/>
  <c r="M5475" i="4" s="1" a="1"/>
  <c r="M5475" i="4" s="1"/>
  <c r="O5475" i="4" s="1"/>
  <c r="P5474" i="4"/>
  <c r="K5474" i="4"/>
  <c r="J5474" i="4"/>
  <c r="I5474" i="4"/>
  <c r="M5474" i="4" s="1" a="1"/>
  <c r="M5474" i="4" s="1"/>
  <c r="O5474" i="4" s="1"/>
  <c r="P5473" i="4"/>
  <c r="M5473" i="4" a="1"/>
  <c r="M5473" i="4" s="1"/>
  <c r="O5473" i="4" s="1"/>
  <c r="K5473" i="4"/>
  <c r="J5473" i="4"/>
  <c r="I5473" i="4"/>
  <c r="P5472" i="4"/>
  <c r="K5472" i="4"/>
  <c r="J5472" i="4"/>
  <c r="I5472" i="4"/>
  <c r="M5472" i="4" s="1" a="1"/>
  <c r="M5472" i="4" s="1"/>
  <c r="O5472" i="4" s="1"/>
  <c r="P5471" i="4"/>
  <c r="K5471" i="4"/>
  <c r="J5471" i="4"/>
  <c r="M5471" i="4" s="1" a="1"/>
  <c r="M5471" i="4" s="1"/>
  <c r="O5471" i="4" s="1"/>
  <c r="I5471" i="4"/>
  <c r="P5470" i="4"/>
  <c r="M5470" i="4"/>
  <c r="O5470" i="4" s="1"/>
  <c r="M5470" i="4" a="1"/>
  <c r="K5470" i="4"/>
  <c r="J5470" i="4"/>
  <c r="I5470" i="4"/>
  <c r="P5469" i="4"/>
  <c r="K5469" i="4"/>
  <c r="J5469" i="4"/>
  <c r="I5469" i="4"/>
  <c r="M5469" i="4" s="1" a="1"/>
  <c r="M5469" i="4" s="1"/>
  <c r="O5469" i="4" s="1"/>
  <c r="P5468" i="4"/>
  <c r="K5468" i="4"/>
  <c r="J5468" i="4"/>
  <c r="I5468" i="4"/>
  <c r="M5468" i="4" s="1" a="1"/>
  <c r="M5468" i="4" s="1"/>
  <c r="O5468" i="4" s="1"/>
  <c r="P5467" i="4"/>
  <c r="K5467" i="4"/>
  <c r="M5467" i="4" s="1" a="1"/>
  <c r="M5467" i="4" s="1"/>
  <c r="O5467" i="4" s="1"/>
  <c r="J5467" i="4"/>
  <c r="I5467" i="4"/>
  <c r="P5466" i="4"/>
  <c r="M5466" i="4"/>
  <c r="O5466" i="4" s="1"/>
  <c r="K5466" i="4"/>
  <c r="J5466" i="4"/>
  <c r="I5466" i="4"/>
  <c r="M5466" i="4" s="1" a="1"/>
  <c r="P5465" i="4"/>
  <c r="K5465" i="4"/>
  <c r="J5465" i="4"/>
  <c r="I5465" i="4"/>
  <c r="M5465" i="4" s="1" a="1"/>
  <c r="M5465" i="4" s="1"/>
  <c r="O5465" i="4" s="1"/>
  <c r="P5464" i="4"/>
  <c r="K5464" i="4"/>
  <c r="M5464" i="4" s="1" a="1"/>
  <c r="M5464" i="4" s="1"/>
  <c r="O5464" i="4" s="1"/>
  <c r="J5464" i="4"/>
  <c r="I5464" i="4"/>
  <c r="P5463" i="4"/>
  <c r="M5463" i="4" a="1"/>
  <c r="M5463" i="4" s="1"/>
  <c r="O5463" i="4" s="1"/>
  <c r="K5463" i="4"/>
  <c r="J5463" i="4"/>
  <c r="I5463" i="4"/>
  <c r="P5462" i="4"/>
  <c r="K5462" i="4"/>
  <c r="J5462" i="4"/>
  <c r="I5462" i="4"/>
  <c r="M5462" i="4" s="1" a="1"/>
  <c r="M5462" i="4" s="1"/>
  <c r="O5462" i="4" s="1"/>
  <c r="P5461" i="4"/>
  <c r="M5461" i="4" a="1"/>
  <c r="M5461" i="4" s="1"/>
  <c r="O5461" i="4" s="1"/>
  <c r="K5461" i="4"/>
  <c r="J5461" i="4"/>
  <c r="I5461" i="4"/>
  <c r="P5460" i="4"/>
  <c r="M5460" i="4" a="1"/>
  <c r="M5460" i="4" s="1"/>
  <c r="O5460" i="4" s="1"/>
  <c r="K5460" i="4"/>
  <c r="J5460" i="4"/>
  <c r="I5460" i="4"/>
  <c r="P5459" i="4"/>
  <c r="O5459" i="4"/>
  <c r="K5459" i="4"/>
  <c r="J5459" i="4"/>
  <c r="I5459" i="4"/>
  <c r="M5459" i="4" s="1" a="1"/>
  <c r="M5459" i="4" s="1"/>
  <c r="P5458" i="4"/>
  <c r="K5458" i="4"/>
  <c r="J5458" i="4"/>
  <c r="I5458" i="4"/>
  <c r="M5458" i="4" s="1" a="1"/>
  <c r="M5458" i="4" s="1"/>
  <c r="O5458" i="4" s="1"/>
  <c r="P5457" i="4"/>
  <c r="M5457" i="4" a="1"/>
  <c r="M5457" i="4" s="1"/>
  <c r="O5457" i="4" s="1"/>
  <c r="K5457" i="4"/>
  <c r="J5457" i="4"/>
  <c r="I5457" i="4"/>
  <c r="P5456" i="4"/>
  <c r="K5456" i="4"/>
  <c r="J5456" i="4"/>
  <c r="I5456" i="4"/>
  <c r="M5456" i="4" s="1" a="1"/>
  <c r="M5456" i="4" s="1"/>
  <c r="O5456" i="4" s="1"/>
  <c r="P5455" i="4"/>
  <c r="K5455" i="4"/>
  <c r="J5455" i="4"/>
  <c r="M5455" i="4" s="1" a="1"/>
  <c r="M5455" i="4" s="1"/>
  <c r="O5455" i="4" s="1"/>
  <c r="I5455" i="4"/>
  <c r="P5454" i="4"/>
  <c r="M5454" i="4"/>
  <c r="O5454" i="4" s="1"/>
  <c r="M5454" i="4" a="1"/>
  <c r="K5454" i="4"/>
  <c r="J5454" i="4"/>
  <c r="I5454" i="4"/>
  <c r="P5453" i="4"/>
  <c r="K5453" i="4"/>
  <c r="J5453" i="4"/>
  <c r="I5453" i="4"/>
  <c r="M5453" i="4" s="1" a="1"/>
  <c r="M5453" i="4" s="1"/>
  <c r="O5453" i="4" s="1"/>
  <c r="P5452" i="4"/>
  <c r="K5452" i="4"/>
  <c r="J5452" i="4"/>
  <c r="I5452" i="4"/>
  <c r="M5452" i="4" s="1" a="1"/>
  <c r="M5452" i="4" s="1"/>
  <c r="O5452" i="4" s="1"/>
  <c r="P5451" i="4"/>
  <c r="K5451" i="4"/>
  <c r="M5451" i="4" s="1" a="1"/>
  <c r="M5451" i="4" s="1"/>
  <c r="O5451" i="4" s="1"/>
  <c r="J5451" i="4"/>
  <c r="I5451" i="4"/>
  <c r="P5450" i="4"/>
  <c r="K5450" i="4"/>
  <c r="J5450" i="4"/>
  <c r="I5450" i="4"/>
  <c r="M5450" i="4" s="1" a="1"/>
  <c r="M5450" i="4" s="1"/>
  <c r="O5450" i="4" s="1"/>
  <c r="P5449" i="4"/>
  <c r="K5449" i="4"/>
  <c r="J5449" i="4"/>
  <c r="I5449" i="4"/>
  <c r="M5449" i="4" s="1" a="1"/>
  <c r="M5449" i="4" s="1"/>
  <c r="O5449" i="4" s="1"/>
  <c r="P5448" i="4"/>
  <c r="K5448" i="4"/>
  <c r="M5448" i="4" s="1" a="1"/>
  <c r="M5448" i="4" s="1"/>
  <c r="O5448" i="4" s="1"/>
  <c r="J5448" i="4"/>
  <c r="I5448" i="4"/>
  <c r="P5447" i="4"/>
  <c r="O5447" i="4"/>
  <c r="M5447" i="4"/>
  <c r="M5447" i="4" a="1"/>
  <c r="K5447" i="4"/>
  <c r="J5447" i="4"/>
  <c r="I5447" i="4"/>
  <c r="P5446" i="4"/>
  <c r="K5446" i="4"/>
  <c r="J5446" i="4"/>
  <c r="I5446" i="4"/>
  <c r="M5446" i="4" s="1" a="1"/>
  <c r="M5446" i="4" s="1"/>
  <c r="O5446" i="4" s="1"/>
  <c r="P5445" i="4"/>
  <c r="M5445" i="4" a="1"/>
  <c r="M5445" i="4" s="1"/>
  <c r="O5445" i="4" s="1"/>
  <c r="K5445" i="4"/>
  <c r="J5445" i="4"/>
  <c r="I5445" i="4"/>
  <c r="P5444" i="4"/>
  <c r="M5444" i="4" a="1"/>
  <c r="M5444" i="4" s="1"/>
  <c r="O5444" i="4" s="1"/>
  <c r="K5444" i="4"/>
  <c r="J5444" i="4"/>
  <c r="I5444" i="4"/>
  <c r="P5443" i="4"/>
  <c r="K5443" i="4"/>
  <c r="J5443" i="4"/>
  <c r="I5443" i="4"/>
  <c r="M5443" i="4" s="1" a="1"/>
  <c r="M5443" i="4" s="1"/>
  <c r="O5443" i="4" s="1"/>
  <c r="P5442" i="4"/>
  <c r="K5442" i="4"/>
  <c r="J5442" i="4"/>
  <c r="I5442" i="4"/>
  <c r="M5442" i="4" s="1" a="1"/>
  <c r="M5442" i="4" s="1"/>
  <c r="O5442" i="4" s="1"/>
  <c r="P5441" i="4"/>
  <c r="M5441" i="4" a="1"/>
  <c r="M5441" i="4" s="1"/>
  <c r="O5441" i="4" s="1"/>
  <c r="K5441" i="4"/>
  <c r="J5441" i="4"/>
  <c r="I5441" i="4"/>
  <c r="P5440" i="4"/>
  <c r="K5440" i="4"/>
  <c r="J5440" i="4"/>
  <c r="I5440" i="4"/>
  <c r="M5440" i="4" s="1" a="1"/>
  <c r="M5440" i="4" s="1"/>
  <c r="O5440" i="4" s="1"/>
  <c r="P5439" i="4"/>
  <c r="K5439" i="4"/>
  <c r="J5439" i="4"/>
  <c r="M5439" i="4" s="1" a="1"/>
  <c r="M5439" i="4" s="1"/>
  <c r="O5439" i="4" s="1"/>
  <c r="I5439" i="4"/>
  <c r="P5438" i="4"/>
  <c r="M5438" i="4"/>
  <c r="O5438" i="4" s="1"/>
  <c r="M5438" i="4" a="1"/>
  <c r="K5438" i="4"/>
  <c r="J5438" i="4"/>
  <c r="I5438" i="4"/>
  <c r="P5437" i="4"/>
  <c r="K5437" i="4"/>
  <c r="J5437" i="4"/>
  <c r="I5437" i="4"/>
  <c r="M5437" i="4" s="1" a="1"/>
  <c r="M5437" i="4" s="1"/>
  <c r="O5437" i="4" s="1"/>
  <c r="P5436" i="4"/>
  <c r="K5436" i="4"/>
  <c r="J5436" i="4"/>
  <c r="I5436" i="4"/>
  <c r="M5436" i="4" s="1" a="1"/>
  <c r="M5436" i="4" s="1"/>
  <c r="O5436" i="4" s="1"/>
  <c r="P5435" i="4"/>
  <c r="K5435" i="4"/>
  <c r="M5435" i="4" s="1" a="1"/>
  <c r="M5435" i="4" s="1"/>
  <c r="O5435" i="4" s="1"/>
  <c r="J5435" i="4"/>
  <c r="I5435" i="4"/>
  <c r="P5434" i="4"/>
  <c r="M5434" i="4"/>
  <c r="O5434" i="4" s="1"/>
  <c r="K5434" i="4"/>
  <c r="J5434" i="4"/>
  <c r="I5434" i="4"/>
  <c r="M5434" i="4" s="1" a="1"/>
  <c r="P5433" i="4"/>
  <c r="K5433" i="4"/>
  <c r="J5433" i="4"/>
  <c r="I5433" i="4"/>
  <c r="M5433" i="4" s="1" a="1"/>
  <c r="M5433" i="4" s="1"/>
  <c r="O5433" i="4" s="1"/>
  <c r="P5432" i="4"/>
  <c r="K5432" i="4"/>
  <c r="M5432" i="4" s="1" a="1"/>
  <c r="M5432" i="4" s="1"/>
  <c r="O5432" i="4" s="1"/>
  <c r="J5432" i="4"/>
  <c r="I5432" i="4"/>
  <c r="P5431" i="4"/>
  <c r="O5431" i="4"/>
  <c r="M5431" i="4"/>
  <c r="M5431" i="4" a="1"/>
  <c r="K5431" i="4"/>
  <c r="J5431" i="4"/>
  <c r="I5431" i="4"/>
  <c r="P5430" i="4"/>
  <c r="K5430" i="4"/>
  <c r="J5430" i="4"/>
  <c r="I5430" i="4"/>
  <c r="M5430" i="4" s="1" a="1"/>
  <c r="M5430" i="4" s="1"/>
  <c r="O5430" i="4" s="1"/>
  <c r="P5429" i="4"/>
  <c r="M5429" i="4" a="1"/>
  <c r="M5429" i="4" s="1"/>
  <c r="O5429" i="4" s="1"/>
  <c r="K5429" i="4"/>
  <c r="J5429" i="4"/>
  <c r="I5429" i="4"/>
  <c r="P5428" i="4"/>
  <c r="M5428" i="4" a="1"/>
  <c r="M5428" i="4" s="1"/>
  <c r="O5428" i="4" s="1"/>
  <c r="K5428" i="4"/>
  <c r="J5428" i="4"/>
  <c r="I5428" i="4"/>
  <c r="P5427" i="4"/>
  <c r="K5427" i="4"/>
  <c r="J5427" i="4"/>
  <c r="I5427" i="4"/>
  <c r="M5427" i="4" s="1" a="1"/>
  <c r="M5427" i="4" s="1"/>
  <c r="O5427" i="4" s="1"/>
  <c r="P5426" i="4"/>
  <c r="K5426" i="4"/>
  <c r="J5426" i="4"/>
  <c r="I5426" i="4"/>
  <c r="M5426" i="4" s="1" a="1"/>
  <c r="M5426" i="4" s="1"/>
  <c r="O5426" i="4" s="1"/>
  <c r="P5425" i="4"/>
  <c r="M5425" i="4" a="1"/>
  <c r="M5425" i="4" s="1"/>
  <c r="O5425" i="4" s="1"/>
  <c r="K5425" i="4"/>
  <c r="J5425" i="4"/>
  <c r="I5425" i="4"/>
  <c r="P5424" i="4"/>
  <c r="K5424" i="4"/>
  <c r="J5424" i="4"/>
  <c r="I5424" i="4"/>
  <c r="M5424" i="4" s="1" a="1"/>
  <c r="M5424" i="4" s="1"/>
  <c r="O5424" i="4" s="1"/>
  <c r="P5423" i="4"/>
  <c r="K5423" i="4"/>
  <c r="J5423" i="4"/>
  <c r="M5423" i="4" s="1" a="1"/>
  <c r="M5423" i="4" s="1"/>
  <c r="O5423" i="4" s="1"/>
  <c r="I5423" i="4"/>
  <c r="P5422" i="4"/>
  <c r="M5422" i="4"/>
  <c r="O5422" i="4" s="1"/>
  <c r="M5422" i="4" a="1"/>
  <c r="K5422" i="4"/>
  <c r="J5422" i="4"/>
  <c r="I5422" i="4"/>
  <c r="P5421" i="4"/>
  <c r="K5421" i="4"/>
  <c r="J5421" i="4"/>
  <c r="I5421" i="4"/>
  <c r="M5421" i="4" s="1" a="1"/>
  <c r="M5421" i="4" s="1"/>
  <c r="O5421" i="4" s="1"/>
  <c r="P5420" i="4"/>
  <c r="K5420" i="4"/>
  <c r="J5420" i="4"/>
  <c r="I5420" i="4"/>
  <c r="M5420" i="4" s="1" a="1"/>
  <c r="M5420" i="4" s="1"/>
  <c r="O5420" i="4" s="1"/>
  <c r="P5419" i="4"/>
  <c r="K5419" i="4"/>
  <c r="M5419" i="4" s="1" a="1"/>
  <c r="M5419" i="4" s="1"/>
  <c r="O5419" i="4" s="1"/>
  <c r="J5419" i="4"/>
  <c r="I5419" i="4"/>
  <c r="P5418" i="4"/>
  <c r="M5418" i="4"/>
  <c r="O5418" i="4" s="1"/>
  <c r="K5418" i="4"/>
  <c r="J5418" i="4"/>
  <c r="I5418" i="4"/>
  <c r="M5418" i="4" s="1" a="1"/>
  <c r="P5417" i="4"/>
  <c r="K5417" i="4"/>
  <c r="J5417" i="4"/>
  <c r="I5417" i="4"/>
  <c r="M5417" i="4" s="1" a="1"/>
  <c r="M5417" i="4" s="1"/>
  <c r="O5417" i="4" s="1"/>
  <c r="P5416" i="4"/>
  <c r="K5416" i="4"/>
  <c r="M5416" i="4" s="1" a="1"/>
  <c r="M5416" i="4" s="1"/>
  <c r="O5416" i="4" s="1"/>
  <c r="J5416" i="4"/>
  <c r="I5416" i="4"/>
  <c r="P5415" i="4"/>
  <c r="O5415" i="4"/>
  <c r="M5415" i="4"/>
  <c r="M5415" i="4" a="1"/>
  <c r="K5415" i="4"/>
  <c r="J5415" i="4"/>
  <c r="I5415" i="4"/>
  <c r="P5414" i="4"/>
  <c r="K5414" i="4"/>
  <c r="J5414" i="4"/>
  <c r="I5414" i="4"/>
  <c r="M5414" i="4" s="1" a="1"/>
  <c r="M5414" i="4" s="1"/>
  <c r="O5414" i="4" s="1"/>
  <c r="P5413" i="4"/>
  <c r="M5413" i="4" a="1"/>
  <c r="M5413" i="4" s="1"/>
  <c r="O5413" i="4" s="1"/>
  <c r="K5413" i="4"/>
  <c r="J5413" i="4"/>
  <c r="I5413" i="4"/>
  <c r="P5412" i="4"/>
  <c r="M5412" i="4" a="1"/>
  <c r="M5412" i="4" s="1"/>
  <c r="O5412" i="4" s="1"/>
  <c r="K5412" i="4"/>
  <c r="J5412" i="4"/>
  <c r="I5412" i="4"/>
  <c r="P5411" i="4"/>
  <c r="O5411" i="4"/>
  <c r="K5411" i="4"/>
  <c r="J5411" i="4"/>
  <c r="I5411" i="4"/>
  <c r="M5411" i="4" s="1" a="1"/>
  <c r="M5411" i="4" s="1"/>
  <c r="P5410" i="4"/>
  <c r="K5410" i="4"/>
  <c r="J5410" i="4"/>
  <c r="I5410" i="4"/>
  <c r="M5410" i="4" s="1" a="1"/>
  <c r="M5410" i="4" s="1"/>
  <c r="O5410" i="4" s="1"/>
  <c r="P5409" i="4"/>
  <c r="M5409" i="4" a="1"/>
  <c r="M5409" i="4" s="1"/>
  <c r="O5409" i="4" s="1"/>
  <c r="K5409" i="4"/>
  <c r="J5409" i="4"/>
  <c r="I5409" i="4"/>
  <c r="P5408" i="4"/>
  <c r="K5408" i="4"/>
  <c r="J5408" i="4"/>
  <c r="I5408" i="4"/>
  <c r="M5408" i="4" s="1" a="1"/>
  <c r="M5408" i="4" s="1"/>
  <c r="O5408" i="4" s="1"/>
  <c r="P5407" i="4"/>
  <c r="K5407" i="4"/>
  <c r="J5407" i="4"/>
  <c r="M5407" i="4" s="1" a="1"/>
  <c r="M5407" i="4" s="1"/>
  <c r="O5407" i="4" s="1"/>
  <c r="I5407" i="4"/>
  <c r="P5406" i="4"/>
  <c r="M5406" i="4"/>
  <c r="O5406" i="4" s="1"/>
  <c r="M5406" i="4" a="1"/>
  <c r="K5406" i="4"/>
  <c r="J5406" i="4"/>
  <c r="I5406" i="4"/>
  <c r="P5405" i="4"/>
  <c r="K5405" i="4"/>
  <c r="J5405" i="4"/>
  <c r="I5405" i="4"/>
  <c r="M5405" i="4" s="1" a="1"/>
  <c r="M5405" i="4" s="1"/>
  <c r="O5405" i="4" s="1"/>
  <c r="P5404" i="4"/>
  <c r="K5404" i="4"/>
  <c r="J5404" i="4"/>
  <c r="I5404" i="4"/>
  <c r="M5404" i="4" s="1" a="1"/>
  <c r="M5404" i="4" s="1"/>
  <c r="O5404" i="4" s="1"/>
  <c r="P5403" i="4"/>
  <c r="K5403" i="4"/>
  <c r="M5403" i="4" s="1" a="1"/>
  <c r="M5403" i="4" s="1"/>
  <c r="O5403" i="4" s="1"/>
  <c r="J5403" i="4"/>
  <c r="I5403" i="4"/>
  <c r="P5402" i="4"/>
  <c r="K5402" i="4"/>
  <c r="J5402" i="4"/>
  <c r="I5402" i="4"/>
  <c r="M5402" i="4" s="1" a="1"/>
  <c r="M5402" i="4" s="1"/>
  <c r="O5402" i="4" s="1"/>
  <c r="P5401" i="4"/>
  <c r="K5401" i="4"/>
  <c r="J5401" i="4"/>
  <c r="I5401" i="4"/>
  <c r="M5401" i="4" s="1" a="1"/>
  <c r="M5401" i="4" s="1"/>
  <c r="O5401" i="4" s="1"/>
  <c r="P5400" i="4"/>
  <c r="K5400" i="4"/>
  <c r="M5400" i="4" s="1" a="1"/>
  <c r="M5400" i="4" s="1"/>
  <c r="O5400" i="4" s="1"/>
  <c r="J5400" i="4"/>
  <c r="I5400" i="4"/>
  <c r="P5399" i="4"/>
  <c r="O5399" i="4"/>
  <c r="M5399" i="4"/>
  <c r="M5399" i="4" a="1"/>
  <c r="K5399" i="4"/>
  <c r="J5399" i="4"/>
  <c r="I5399" i="4"/>
  <c r="P5398" i="4"/>
  <c r="K5398" i="4"/>
  <c r="J5398" i="4"/>
  <c r="I5398" i="4"/>
  <c r="M5398" i="4" s="1" a="1"/>
  <c r="M5398" i="4" s="1"/>
  <c r="O5398" i="4" s="1"/>
  <c r="P5397" i="4"/>
  <c r="M5397" i="4" a="1"/>
  <c r="M5397" i="4" s="1"/>
  <c r="O5397" i="4" s="1"/>
  <c r="K5397" i="4"/>
  <c r="J5397" i="4"/>
  <c r="I5397" i="4"/>
  <c r="P5396" i="4"/>
  <c r="M5396" i="4" a="1"/>
  <c r="M5396" i="4" s="1"/>
  <c r="O5396" i="4" s="1"/>
  <c r="K5396" i="4"/>
  <c r="J5396" i="4"/>
  <c r="I5396" i="4"/>
  <c r="P5395" i="4"/>
  <c r="K5395" i="4"/>
  <c r="J5395" i="4"/>
  <c r="I5395" i="4"/>
  <c r="M5395" i="4" s="1" a="1"/>
  <c r="M5395" i="4" s="1"/>
  <c r="O5395" i="4" s="1"/>
  <c r="P5394" i="4"/>
  <c r="K5394" i="4"/>
  <c r="J5394" i="4"/>
  <c r="I5394" i="4"/>
  <c r="M5394" i="4" s="1" a="1"/>
  <c r="M5394" i="4" s="1"/>
  <c r="O5394" i="4" s="1"/>
  <c r="P5393" i="4"/>
  <c r="M5393" i="4" a="1"/>
  <c r="M5393" i="4" s="1"/>
  <c r="O5393" i="4" s="1"/>
  <c r="K5393" i="4"/>
  <c r="J5393" i="4"/>
  <c r="I5393" i="4"/>
  <c r="P5392" i="4"/>
  <c r="K5392" i="4"/>
  <c r="J5392" i="4"/>
  <c r="I5392" i="4"/>
  <c r="M5392" i="4" s="1" a="1"/>
  <c r="M5392" i="4" s="1"/>
  <c r="O5392" i="4" s="1"/>
  <c r="P5391" i="4"/>
  <c r="K5391" i="4"/>
  <c r="J5391" i="4"/>
  <c r="M5391" i="4" s="1" a="1"/>
  <c r="M5391" i="4" s="1"/>
  <c r="O5391" i="4" s="1"/>
  <c r="I5391" i="4"/>
  <c r="P5390" i="4"/>
  <c r="M5390" i="4"/>
  <c r="O5390" i="4" s="1"/>
  <c r="M5390" i="4" a="1"/>
  <c r="K5390" i="4"/>
  <c r="J5390" i="4"/>
  <c r="I5390" i="4"/>
  <c r="P5389" i="4"/>
  <c r="K5389" i="4"/>
  <c r="J5389" i="4"/>
  <c r="I5389" i="4"/>
  <c r="M5389" i="4" s="1" a="1"/>
  <c r="M5389" i="4" s="1"/>
  <c r="O5389" i="4" s="1"/>
  <c r="P5388" i="4"/>
  <c r="K5388" i="4"/>
  <c r="J5388" i="4"/>
  <c r="I5388" i="4"/>
  <c r="M5388" i="4" s="1" a="1"/>
  <c r="M5388" i="4" s="1"/>
  <c r="O5388" i="4" s="1"/>
  <c r="P5387" i="4"/>
  <c r="K5387" i="4"/>
  <c r="M5387" i="4" s="1" a="1"/>
  <c r="M5387" i="4" s="1"/>
  <c r="O5387" i="4" s="1"/>
  <c r="J5387" i="4"/>
  <c r="I5387" i="4"/>
  <c r="P5386" i="4"/>
  <c r="M5386" i="4"/>
  <c r="O5386" i="4" s="1"/>
  <c r="K5386" i="4"/>
  <c r="J5386" i="4"/>
  <c r="I5386" i="4"/>
  <c r="M5386" i="4" s="1" a="1"/>
  <c r="P5385" i="4"/>
  <c r="K5385" i="4"/>
  <c r="J5385" i="4"/>
  <c r="I5385" i="4"/>
  <c r="M5385" i="4" s="1" a="1"/>
  <c r="M5385" i="4" s="1"/>
  <c r="O5385" i="4" s="1"/>
  <c r="P5384" i="4"/>
  <c r="M5384" i="4" a="1"/>
  <c r="M5384" i="4" s="1"/>
  <c r="O5384" i="4" s="1"/>
  <c r="K5384" i="4"/>
  <c r="J5384" i="4"/>
  <c r="I5384" i="4"/>
  <c r="P5383" i="4"/>
  <c r="M5383" i="4" a="1"/>
  <c r="M5383" i="4" s="1"/>
  <c r="O5383" i="4" s="1"/>
  <c r="K5383" i="4"/>
  <c r="J5383" i="4"/>
  <c r="I5383" i="4"/>
  <c r="P5382" i="4"/>
  <c r="K5382" i="4"/>
  <c r="J5382" i="4"/>
  <c r="I5382" i="4"/>
  <c r="M5382" i="4" s="1" a="1"/>
  <c r="M5382" i="4" s="1"/>
  <c r="O5382" i="4" s="1"/>
  <c r="P5381" i="4"/>
  <c r="M5381" i="4" a="1"/>
  <c r="M5381" i="4" s="1"/>
  <c r="O5381" i="4" s="1"/>
  <c r="K5381" i="4"/>
  <c r="J5381" i="4"/>
  <c r="I5381" i="4"/>
  <c r="P5380" i="4"/>
  <c r="M5380" i="4" a="1"/>
  <c r="M5380" i="4" s="1"/>
  <c r="O5380" i="4" s="1"/>
  <c r="K5380" i="4"/>
  <c r="J5380" i="4"/>
  <c r="I5380" i="4"/>
  <c r="P5379" i="4"/>
  <c r="O5379" i="4"/>
  <c r="K5379" i="4"/>
  <c r="J5379" i="4"/>
  <c r="I5379" i="4"/>
  <c r="M5379" i="4" s="1" a="1"/>
  <c r="M5379" i="4" s="1"/>
  <c r="P5378" i="4"/>
  <c r="K5378" i="4"/>
  <c r="J5378" i="4"/>
  <c r="I5378" i="4"/>
  <c r="M5378" i="4" s="1" a="1"/>
  <c r="M5378" i="4" s="1"/>
  <c r="O5378" i="4" s="1"/>
  <c r="P5377" i="4"/>
  <c r="M5377" i="4" a="1"/>
  <c r="M5377" i="4" s="1"/>
  <c r="O5377" i="4" s="1"/>
  <c r="K5377" i="4"/>
  <c r="J5377" i="4"/>
  <c r="I5377" i="4"/>
  <c r="P5376" i="4"/>
  <c r="K5376" i="4"/>
  <c r="J5376" i="4"/>
  <c r="I5376" i="4"/>
  <c r="M5376" i="4" s="1" a="1"/>
  <c r="M5376" i="4" s="1"/>
  <c r="O5376" i="4" s="1"/>
  <c r="P5375" i="4"/>
  <c r="M5375" i="4" a="1"/>
  <c r="M5375" i="4" s="1"/>
  <c r="O5375" i="4" s="1"/>
  <c r="K5375" i="4"/>
  <c r="J5375" i="4"/>
  <c r="I5375" i="4"/>
  <c r="P5374" i="4"/>
  <c r="M5374" i="4"/>
  <c r="O5374" i="4" s="1"/>
  <c r="M5374" i="4" a="1"/>
  <c r="K5374" i="4"/>
  <c r="J5374" i="4"/>
  <c r="I5374" i="4"/>
  <c r="P5373" i="4"/>
  <c r="K5373" i="4"/>
  <c r="J5373" i="4"/>
  <c r="I5373" i="4"/>
  <c r="M5373" i="4" s="1" a="1"/>
  <c r="M5373" i="4" s="1"/>
  <c r="O5373" i="4" s="1"/>
  <c r="P5372" i="4"/>
  <c r="K5372" i="4"/>
  <c r="J5372" i="4"/>
  <c r="I5372" i="4"/>
  <c r="M5372" i="4" s="1" a="1"/>
  <c r="M5372" i="4" s="1"/>
  <c r="O5372" i="4" s="1"/>
  <c r="P5371" i="4"/>
  <c r="M5371" i="4" a="1"/>
  <c r="M5371" i="4" s="1"/>
  <c r="O5371" i="4" s="1"/>
  <c r="K5371" i="4"/>
  <c r="J5371" i="4"/>
  <c r="I5371" i="4"/>
  <c r="P5370" i="4"/>
  <c r="K5370" i="4"/>
  <c r="J5370" i="4"/>
  <c r="I5370" i="4"/>
  <c r="M5370" i="4" s="1" a="1"/>
  <c r="M5370" i="4" s="1"/>
  <c r="O5370" i="4" s="1"/>
  <c r="P5369" i="4"/>
  <c r="K5369" i="4"/>
  <c r="J5369" i="4"/>
  <c r="I5369" i="4"/>
  <c r="M5369" i="4" s="1" a="1"/>
  <c r="M5369" i="4" s="1"/>
  <c r="O5369" i="4" s="1"/>
  <c r="P5368" i="4"/>
  <c r="M5368" i="4" a="1"/>
  <c r="M5368" i="4" s="1"/>
  <c r="O5368" i="4" s="1"/>
  <c r="K5368" i="4"/>
  <c r="J5368" i="4"/>
  <c r="I5368" i="4"/>
  <c r="P5367" i="4"/>
  <c r="M5367" i="4" a="1"/>
  <c r="M5367" i="4" s="1"/>
  <c r="O5367" i="4" s="1"/>
  <c r="K5367" i="4"/>
  <c r="J5367" i="4"/>
  <c r="I5367" i="4"/>
  <c r="P5366" i="4"/>
  <c r="K5366" i="4"/>
  <c r="J5366" i="4"/>
  <c r="I5366" i="4"/>
  <c r="M5366" i="4" s="1" a="1"/>
  <c r="M5366" i="4" s="1"/>
  <c r="O5366" i="4" s="1"/>
  <c r="P5365" i="4"/>
  <c r="M5365" i="4" a="1"/>
  <c r="M5365" i="4" s="1"/>
  <c r="O5365" i="4" s="1"/>
  <c r="K5365" i="4"/>
  <c r="J5365" i="4"/>
  <c r="I5365" i="4"/>
  <c r="P5364" i="4"/>
  <c r="M5364" i="4" a="1"/>
  <c r="M5364" i="4" s="1"/>
  <c r="O5364" i="4" s="1"/>
  <c r="K5364" i="4"/>
  <c r="J5364" i="4"/>
  <c r="I5364" i="4"/>
  <c r="P5363" i="4"/>
  <c r="O5363" i="4"/>
  <c r="K5363" i="4"/>
  <c r="J5363" i="4"/>
  <c r="I5363" i="4"/>
  <c r="M5363" i="4" s="1" a="1"/>
  <c r="M5363" i="4" s="1"/>
  <c r="P5362" i="4"/>
  <c r="K5362" i="4"/>
  <c r="J5362" i="4"/>
  <c r="I5362" i="4"/>
  <c r="M5362" i="4" s="1" a="1"/>
  <c r="M5362" i="4" s="1"/>
  <c r="O5362" i="4" s="1"/>
  <c r="P5361" i="4"/>
  <c r="M5361" i="4" a="1"/>
  <c r="M5361" i="4" s="1"/>
  <c r="O5361" i="4" s="1"/>
  <c r="K5361" i="4"/>
  <c r="J5361" i="4"/>
  <c r="I5361" i="4"/>
  <c r="P5360" i="4"/>
  <c r="K5360" i="4"/>
  <c r="J5360" i="4"/>
  <c r="I5360" i="4"/>
  <c r="M5360" i="4" s="1" a="1"/>
  <c r="M5360" i="4" s="1"/>
  <c r="O5360" i="4" s="1"/>
  <c r="P5359" i="4"/>
  <c r="M5359" i="4" a="1"/>
  <c r="M5359" i="4" s="1"/>
  <c r="O5359" i="4" s="1"/>
  <c r="K5359" i="4"/>
  <c r="J5359" i="4"/>
  <c r="I5359" i="4"/>
  <c r="P5358" i="4"/>
  <c r="M5358" i="4"/>
  <c r="O5358" i="4" s="1"/>
  <c r="M5358" i="4" a="1"/>
  <c r="K5358" i="4"/>
  <c r="J5358" i="4"/>
  <c r="I5358" i="4"/>
  <c r="P5357" i="4"/>
  <c r="K5357" i="4"/>
  <c r="J5357" i="4"/>
  <c r="I5357" i="4"/>
  <c r="M5357" i="4" s="1" a="1"/>
  <c r="M5357" i="4" s="1"/>
  <c r="O5357" i="4" s="1"/>
  <c r="P5356" i="4"/>
  <c r="K5356" i="4"/>
  <c r="J5356" i="4"/>
  <c r="I5356" i="4"/>
  <c r="M5356" i="4" s="1" a="1"/>
  <c r="M5356" i="4" s="1"/>
  <c r="O5356" i="4" s="1"/>
  <c r="P5355" i="4"/>
  <c r="M5355" i="4" a="1"/>
  <c r="M5355" i="4" s="1"/>
  <c r="O5355" i="4" s="1"/>
  <c r="K5355" i="4"/>
  <c r="J5355" i="4"/>
  <c r="I5355" i="4"/>
  <c r="P5354" i="4"/>
  <c r="K5354" i="4"/>
  <c r="J5354" i="4"/>
  <c r="I5354" i="4"/>
  <c r="M5354" i="4" s="1" a="1"/>
  <c r="M5354" i="4" s="1"/>
  <c r="O5354" i="4" s="1"/>
  <c r="P5353" i="4"/>
  <c r="K5353" i="4"/>
  <c r="J5353" i="4"/>
  <c r="I5353" i="4"/>
  <c r="M5353" i="4" s="1" a="1"/>
  <c r="M5353" i="4" s="1"/>
  <c r="O5353" i="4" s="1"/>
  <c r="P5352" i="4"/>
  <c r="M5352" i="4" a="1"/>
  <c r="M5352" i="4" s="1"/>
  <c r="O5352" i="4" s="1"/>
  <c r="K5352" i="4"/>
  <c r="J5352" i="4"/>
  <c r="I5352" i="4"/>
  <c r="P5351" i="4"/>
  <c r="M5351" i="4" a="1"/>
  <c r="M5351" i="4" s="1"/>
  <c r="O5351" i="4" s="1"/>
  <c r="K5351" i="4"/>
  <c r="J5351" i="4"/>
  <c r="I5351" i="4"/>
  <c r="P5350" i="4"/>
  <c r="K5350" i="4"/>
  <c r="J5350" i="4"/>
  <c r="I5350" i="4"/>
  <c r="M5350" i="4" s="1" a="1"/>
  <c r="M5350" i="4" s="1"/>
  <c r="O5350" i="4" s="1"/>
  <c r="P5349" i="4"/>
  <c r="M5349" i="4" a="1"/>
  <c r="M5349" i="4" s="1"/>
  <c r="O5349" i="4" s="1"/>
  <c r="K5349" i="4"/>
  <c r="J5349" i="4"/>
  <c r="I5349" i="4"/>
  <c r="P5348" i="4"/>
  <c r="M5348" i="4" a="1"/>
  <c r="M5348" i="4" s="1"/>
  <c r="O5348" i="4" s="1"/>
  <c r="K5348" i="4"/>
  <c r="J5348" i="4"/>
  <c r="I5348" i="4"/>
  <c r="P5347" i="4"/>
  <c r="O5347" i="4"/>
  <c r="K5347" i="4"/>
  <c r="J5347" i="4"/>
  <c r="I5347" i="4"/>
  <c r="M5347" i="4" s="1" a="1"/>
  <c r="M5347" i="4" s="1"/>
  <c r="P5346" i="4"/>
  <c r="K5346" i="4"/>
  <c r="J5346" i="4"/>
  <c r="I5346" i="4"/>
  <c r="M5346" i="4" s="1" a="1"/>
  <c r="M5346" i="4" s="1"/>
  <c r="O5346" i="4" s="1"/>
  <c r="P5345" i="4"/>
  <c r="M5345" i="4" a="1"/>
  <c r="M5345" i="4" s="1"/>
  <c r="O5345" i="4" s="1"/>
  <c r="K5345" i="4"/>
  <c r="J5345" i="4"/>
  <c r="I5345" i="4"/>
  <c r="P5344" i="4"/>
  <c r="K5344" i="4"/>
  <c r="J5344" i="4"/>
  <c r="I5344" i="4"/>
  <c r="M5344" i="4" s="1" a="1"/>
  <c r="M5344" i="4" s="1"/>
  <c r="O5344" i="4" s="1"/>
  <c r="P5343" i="4"/>
  <c r="M5343" i="4" a="1"/>
  <c r="M5343" i="4" s="1"/>
  <c r="O5343" i="4" s="1"/>
  <c r="K5343" i="4"/>
  <c r="J5343" i="4"/>
  <c r="I5343" i="4"/>
  <c r="P5342" i="4"/>
  <c r="M5342" i="4"/>
  <c r="O5342" i="4" s="1"/>
  <c r="M5342" i="4" a="1"/>
  <c r="K5342" i="4"/>
  <c r="J5342" i="4"/>
  <c r="I5342" i="4"/>
  <c r="P5341" i="4"/>
  <c r="K5341" i="4"/>
  <c r="J5341" i="4"/>
  <c r="I5341" i="4"/>
  <c r="M5341" i="4" s="1" a="1"/>
  <c r="M5341" i="4" s="1"/>
  <c r="O5341" i="4" s="1"/>
  <c r="P5340" i="4"/>
  <c r="K5340" i="4"/>
  <c r="J5340" i="4"/>
  <c r="I5340" i="4"/>
  <c r="M5340" i="4" s="1" a="1"/>
  <c r="M5340" i="4" s="1"/>
  <c r="O5340" i="4" s="1"/>
  <c r="P5339" i="4"/>
  <c r="M5339" i="4" a="1"/>
  <c r="M5339" i="4" s="1"/>
  <c r="O5339" i="4" s="1"/>
  <c r="K5339" i="4"/>
  <c r="J5339" i="4"/>
  <c r="I5339" i="4"/>
  <c r="P5338" i="4"/>
  <c r="M5338" i="4"/>
  <c r="O5338" i="4" s="1"/>
  <c r="K5338" i="4"/>
  <c r="J5338" i="4"/>
  <c r="I5338" i="4"/>
  <c r="M5338" i="4" s="1" a="1"/>
  <c r="P5337" i="4"/>
  <c r="K5337" i="4"/>
  <c r="J5337" i="4"/>
  <c r="I5337" i="4"/>
  <c r="M5337" i="4" s="1" a="1"/>
  <c r="M5337" i="4" s="1"/>
  <c r="O5337" i="4" s="1"/>
  <c r="P5336" i="4"/>
  <c r="M5336" i="4" a="1"/>
  <c r="M5336" i="4" s="1"/>
  <c r="O5336" i="4" s="1"/>
  <c r="K5336" i="4"/>
  <c r="J5336" i="4"/>
  <c r="I5336" i="4"/>
  <c r="P5335" i="4"/>
  <c r="M5335" i="4" a="1"/>
  <c r="M5335" i="4" s="1"/>
  <c r="O5335" i="4" s="1"/>
  <c r="K5335" i="4"/>
  <c r="J5335" i="4"/>
  <c r="I5335" i="4"/>
  <c r="P5334" i="4"/>
  <c r="K5334" i="4"/>
  <c r="J5334" i="4"/>
  <c r="I5334" i="4"/>
  <c r="M5334" i="4" s="1" a="1"/>
  <c r="M5334" i="4" s="1"/>
  <c r="O5334" i="4" s="1"/>
  <c r="P5333" i="4"/>
  <c r="M5333" i="4" a="1"/>
  <c r="M5333" i="4" s="1"/>
  <c r="O5333" i="4" s="1"/>
  <c r="K5333" i="4"/>
  <c r="J5333" i="4"/>
  <c r="I5333" i="4"/>
  <c r="P5332" i="4"/>
  <c r="M5332" i="4" a="1"/>
  <c r="M5332" i="4" s="1"/>
  <c r="O5332" i="4" s="1"/>
  <c r="K5332" i="4"/>
  <c r="J5332" i="4"/>
  <c r="I5332" i="4"/>
  <c r="P5331" i="4"/>
  <c r="O5331" i="4"/>
  <c r="K5331" i="4"/>
  <c r="J5331" i="4"/>
  <c r="I5331" i="4"/>
  <c r="M5331" i="4" s="1" a="1"/>
  <c r="M5331" i="4" s="1"/>
  <c r="P5330" i="4"/>
  <c r="K5330" i="4"/>
  <c r="J5330" i="4"/>
  <c r="I5330" i="4"/>
  <c r="M5330" i="4" s="1" a="1"/>
  <c r="M5330" i="4" s="1"/>
  <c r="O5330" i="4" s="1"/>
  <c r="P5329" i="4"/>
  <c r="M5329" i="4" a="1"/>
  <c r="M5329" i="4" s="1"/>
  <c r="O5329" i="4" s="1"/>
  <c r="K5329" i="4"/>
  <c r="J5329" i="4"/>
  <c r="I5329" i="4"/>
  <c r="P5328" i="4"/>
  <c r="K5328" i="4"/>
  <c r="J5328" i="4"/>
  <c r="I5328" i="4"/>
  <c r="M5328" i="4" s="1" a="1"/>
  <c r="M5328" i="4" s="1"/>
  <c r="O5328" i="4" s="1"/>
  <c r="P5327" i="4"/>
  <c r="M5327" i="4" a="1"/>
  <c r="M5327" i="4" s="1"/>
  <c r="O5327" i="4" s="1"/>
  <c r="K5327" i="4"/>
  <c r="J5327" i="4"/>
  <c r="I5327" i="4"/>
  <c r="P5326" i="4"/>
  <c r="M5326" i="4"/>
  <c r="O5326" i="4" s="1"/>
  <c r="M5326" i="4" a="1"/>
  <c r="K5326" i="4"/>
  <c r="J5326" i="4"/>
  <c r="I5326" i="4"/>
  <c r="P5325" i="4"/>
  <c r="K5325" i="4"/>
  <c r="J5325" i="4"/>
  <c r="I5325" i="4"/>
  <c r="M5325" i="4" s="1" a="1"/>
  <c r="M5325" i="4" s="1"/>
  <c r="O5325" i="4" s="1"/>
  <c r="P5324" i="4"/>
  <c r="K5324" i="4"/>
  <c r="J5324" i="4"/>
  <c r="I5324" i="4"/>
  <c r="M5324" i="4" s="1" a="1"/>
  <c r="M5324" i="4" s="1"/>
  <c r="O5324" i="4" s="1"/>
  <c r="P5323" i="4"/>
  <c r="M5323" i="4" a="1"/>
  <c r="M5323" i="4" s="1"/>
  <c r="O5323" i="4" s="1"/>
  <c r="K5323" i="4"/>
  <c r="J5323" i="4"/>
  <c r="I5323" i="4"/>
  <c r="P5322" i="4"/>
  <c r="M5322" i="4"/>
  <c r="O5322" i="4" s="1"/>
  <c r="K5322" i="4"/>
  <c r="J5322" i="4"/>
  <c r="I5322" i="4"/>
  <c r="M5322" i="4" s="1" a="1"/>
  <c r="P5321" i="4"/>
  <c r="K5321" i="4"/>
  <c r="J5321" i="4"/>
  <c r="I5321" i="4"/>
  <c r="M5321" i="4" s="1" a="1"/>
  <c r="M5321" i="4" s="1"/>
  <c r="O5321" i="4" s="1"/>
  <c r="P5320" i="4"/>
  <c r="M5320" i="4"/>
  <c r="O5320" i="4" s="1"/>
  <c r="M5320" i="4" a="1"/>
  <c r="K5320" i="4"/>
  <c r="J5320" i="4"/>
  <c r="I5320" i="4"/>
  <c r="P5319" i="4"/>
  <c r="M5319" i="4" a="1"/>
  <c r="M5319" i="4" s="1"/>
  <c r="O5319" i="4" s="1"/>
  <c r="K5319" i="4"/>
  <c r="J5319" i="4"/>
  <c r="I5319" i="4"/>
  <c r="P5318" i="4"/>
  <c r="K5318" i="4"/>
  <c r="J5318" i="4"/>
  <c r="I5318" i="4"/>
  <c r="M5318" i="4" s="1" a="1"/>
  <c r="M5318" i="4" s="1"/>
  <c r="O5318" i="4" s="1"/>
  <c r="P5317" i="4"/>
  <c r="M5317" i="4" a="1"/>
  <c r="M5317" i="4" s="1"/>
  <c r="O5317" i="4" s="1"/>
  <c r="K5317" i="4"/>
  <c r="J5317" i="4"/>
  <c r="I5317" i="4"/>
  <c r="P5316" i="4"/>
  <c r="M5316" i="4" a="1"/>
  <c r="M5316" i="4" s="1"/>
  <c r="O5316" i="4" s="1"/>
  <c r="K5316" i="4"/>
  <c r="J5316" i="4"/>
  <c r="I5316" i="4"/>
  <c r="P5315" i="4"/>
  <c r="O5315" i="4"/>
  <c r="K5315" i="4"/>
  <c r="J5315" i="4"/>
  <c r="I5315" i="4"/>
  <c r="M5315" i="4" s="1" a="1"/>
  <c r="M5315" i="4" s="1"/>
  <c r="P5314" i="4"/>
  <c r="K5314" i="4"/>
  <c r="J5314" i="4"/>
  <c r="I5314" i="4"/>
  <c r="M5314" i="4" s="1" a="1"/>
  <c r="M5314" i="4" s="1"/>
  <c r="O5314" i="4" s="1"/>
  <c r="P5313" i="4"/>
  <c r="M5313" i="4" a="1"/>
  <c r="M5313" i="4" s="1"/>
  <c r="O5313" i="4" s="1"/>
  <c r="K5313" i="4"/>
  <c r="J5313" i="4"/>
  <c r="I5313" i="4"/>
  <c r="P5312" i="4"/>
  <c r="K5312" i="4"/>
  <c r="J5312" i="4"/>
  <c r="I5312" i="4"/>
  <c r="M5312" i="4" s="1" a="1"/>
  <c r="M5312" i="4" s="1"/>
  <c r="O5312" i="4" s="1"/>
  <c r="P5311" i="4"/>
  <c r="M5311" i="4" a="1"/>
  <c r="M5311" i="4" s="1"/>
  <c r="O5311" i="4" s="1"/>
  <c r="K5311" i="4"/>
  <c r="J5311" i="4"/>
  <c r="I5311" i="4"/>
  <c r="P5310" i="4"/>
  <c r="M5310" i="4"/>
  <c r="O5310" i="4" s="1"/>
  <c r="M5310" i="4" a="1"/>
  <c r="K5310" i="4"/>
  <c r="J5310" i="4"/>
  <c r="I5310" i="4"/>
  <c r="P5309" i="4"/>
  <c r="K5309" i="4"/>
  <c r="J5309" i="4"/>
  <c r="I5309" i="4"/>
  <c r="M5309" i="4" s="1" a="1"/>
  <c r="M5309" i="4" s="1"/>
  <c r="O5309" i="4" s="1"/>
  <c r="P5308" i="4"/>
  <c r="K5308" i="4"/>
  <c r="J5308" i="4"/>
  <c r="I5308" i="4"/>
  <c r="M5308" i="4" s="1" a="1"/>
  <c r="M5308" i="4" s="1"/>
  <c r="O5308" i="4" s="1"/>
  <c r="P5307" i="4"/>
  <c r="M5307" i="4" a="1"/>
  <c r="M5307" i="4" s="1"/>
  <c r="O5307" i="4" s="1"/>
  <c r="K5307" i="4"/>
  <c r="J5307" i="4"/>
  <c r="I5307" i="4"/>
  <c r="P5306" i="4"/>
  <c r="K5306" i="4"/>
  <c r="J5306" i="4"/>
  <c r="I5306" i="4"/>
  <c r="M5306" i="4" s="1" a="1"/>
  <c r="M5306" i="4" s="1"/>
  <c r="O5306" i="4" s="1"/>
  <c r="P5305" i="4"/>
  <c r="K5305" i="4"/>
  <c r="J5305" i="4"/>
  <c r="I5305" i="4"/>
  <c r="M5305" i="4" s="1" a="1"/>
  <c r="M5305" i="4" s="1"/>
  <c r="O5305" i="4" s="1"/>
  <c r="P5304" i="4"/>
  <c r="M5304" i="4"/>
  <c r="O5304" i="4" s="1"/>
  <c r="M5304" i="4" a="1"/>
  <c r="K5304" i="4"/>
  <c r="J5304" i="4"/>
  <c r="I5304" i="4"/>
  <c r="P5303" i="4"/>
  <c r="O5303" i="4"/>
  <c r="M5303" i="4" a="1"/>
  <c r="M5303" i="4" s="1"/>
  <c r="K5303" i="4"/>
  <c r="J5303" i="4"/>
  <c r="I5303" i="4"/>
  <c r="P5302" i="4"/>
  <c r="K5302" i="4"/>
  <c r="J5302" i="4"/>
  <c r="I5302" i="4"/>
  <c r="M5302" i="4" s="1" a="1"/>
  <c r="M5302" i="4" s="1"/>
  <c r="O5302" i="4" s="1"/>
  <c r="P5301" i="4"/>
  <c r="M5301" i="4" a="1"/>
  <c r="M5301" i="4" s="1"/>
  <c r="O5301" i="4" s="1"/>
  <c r="K5301" i="4"/>
  <c r="J5301" i="4"/>
  <c r="I5301" i="4"/>
  <c r="P5300" i="4"/>
  <c r="M5300" i="4" a="1"/>
  <c r="M5300" i="4" s="1"/>
  <c r="O5300" i="4" s="1"/>
  <c r="K5300" i="4"/>
  <c r="J5300" i="4"/>
  <c r="I5300" i="4"/>
  <c r="P5299" i="4"/>
  <c r="K5299" i="4"/>
  <c r="J5299" i="4"/>
  <c r="I5299" i="4"/>
  <c r="M5299" i="4" s="1" a="1"/>
  <c r="M5299" i="4" s="1"/>
  <c r="O5299" i="4" s="1"/>
  <c r="P5298" i="4"/>
  <c r="K5298" i="4"/>
  <c r="J5298" i="4"/>
  <c r="I5298" i="4"/>
  <c r="M5298" i="4" s="1" a="1"/>
  <c r="M5298" i="4" s="1"/>
  <c r="O5298" i="4" s="1"/>
  <c r="P5297" i="4"/>
  <c r="M5297" i="4" a="1"/>
  <c r="M5297" i="4" s="1"/>
  <c r="O5297" i="4" s="1"/>
  <c r="K5297" i="4"/>
  <c r="J5297" i="4"/>
  <c r="I5297" i="4"/>
  <c r="P5296" i="4"/>
  <c r="K5296" i="4"/>
  <c r="J5296" i="4"/>
  <c r="I5296" i="4"/>
  <c r="M5296" i="4" s="1" a="1"/>
  <c r="M5296" i="4" s="1"/>
  <c r="O5296" i="4" s="1"/>
  <c r="P5295" i="4"/>
  <c r="M5295" i="4" a="1"/>
  <c r="M5295" i="4" s="1"/>
  <c r="O5295" i="4" s="1"/>
  <c r="K5295" i="4"/>
  <c r="J5295" i="4"/>
  <c r="I5295" i="4"/>
  <c r="P5294" i="4"/>
  <c r="M5294" i="4" a="1"/>
  <c r="M5294" i="4" s="1"/>
  <c r="O5294" i="4" s="1"/>
  <c r="K5294" i="4"/>
  <c r="J5294" i="4"/>
  <c r="I5294" i="4"/>
  <c r="P5293" i="4"/>
  <c r="K5293" i="4"/>
  <c r="J5293" i="4"/>
  <c r="I5293" i="4"/>
  <c r="M5293" i="4" s="1" a="1"/>
  <c r="M5293" i="4" s="1"/>
  <c r="O5293" i="4" s="1"/>
  <c r="P5292" i="4"/>
  <c r="K5292" i="4"/>
  <c r="J5292" i="4"/>
  <c r="I5292" i="4"/>
  <c r="M5292" i="4" s="1" a="1"/>
  <c r="M5292" i="4" s="1"/>
  <c r="O5292" i="4" s="1"/>
  <c r="P5291" i="4"/>
  <c r="M5291" i="4" a="1"/>
  <c r="M5291" i="4" s="1"/>
  <c r="O5291" i="4" s="1"/>
  <c r="K5291" i="4"/>
  <c r="J5291" i="4"/>
  <c r="I5291" i="4"/>
  <c r="P5290" i="4"/>
  <c r="K5290" i="4"/>
  <c r="J5290" i="4"/>
  <c r="I5290" i="4"/>
  <c r="M5290" i="4" s="1" a="1"/>
  <c r="M5290" i="4" s="1"/>
  <c r="O5290" i="4" s="1"/>
  <c r="P5289" i="4"/>
  <c r="K5289" i="4"/>
  <c r="J5289" i="4"/>
  <c r="I5289" i="4"/>
  <c r="M5289" i="4" s="1" a="1"/>
  <c r="M5289" i="4" s="1"/>
  <c r="O5289" i="4" s="1"/>
  <c r="P5288" i="4"/>
  <c r="M5288" i="4"/>
  <c r="O5288" i="4" s="1"/>
  <c r="M5288" i="4" a="1"/>
  <c r="K5288" i="4"/>
  <c r="J5288" i="4"/>
  <c r="I5288" i="4"/>
  <c r="P5287" i="4"/>
  <c r="M5287" i="4"/>
  <c r="O5287" i="4" s="1"/>
  <c r="M5287" i="4" a="1"/>
  <c r="K5287" i="4"/>
  <c r="J5287" i="4"/>
  <c r="I5287" i="4"/>
  <c r="P5286" i="4"/>
  <c r="K5286" i="4"/>
  <c r="J5286" i="4"/>
  <c r="I5286" i="4"/>
  <c r="M5286" i="4" s="1" a="1"/>
  <c r="M5286" i="4" s="1"/>
  <c r="O5286" i="4" s="1"/>
  <c r="P5285" i="4"/>
  <c r="M5285" i="4" a="1"/>
  <c r="M5285" i="4" s="1"/>
  <c r="O5285" i="4" s="1"/>
  <c r="K5285" i="4"/>
  <c r="J5285" i="4"/>
  <c r="I5285" i="4"/>
  <c r="P5284" i="4"/>
  <c r="M5284" i="4" a="1"/>
  <c r="M5284" i="4" s="1"/>
  <c r="O5284" i="4" s="1"/>
  <c r="K5284" i="4"/>
  <c r="J5284" i="4"/>
  <c r="I5284" i="4"/>
  <c r="P5283" i="4"/>
  <c r="K5283" i="4"/>
  <c r="J5283" i="4"/>
  <c r="I5283" i="4"/>
  <c r="M5283" i="4" s="1" a="1"/>
  <c r="M5283" i="4" s="1"/>
  <c r="O5283" i="4" s="1"/>
  <c r="P5282" i="4"/>
  <c r="K5282" i="4"/>
  <c r="J5282" i="4"/>
  <c r="I5282" i="4"/>
  <c r="M5282" i="4" s="1" a="1"/>
  <c r="M5282" i="4" s="1"/>
  <c r="O5282" i="4" s="1"/>
  <c r="P5281" i="4"/>
  <c r="M5281" i="4" a="1"/>
  <c r="M5281" i="4" s="1"/>
  <c r="O5281" i="4" s="1"/>
  <c r="K5281" i="4"/>
  <c r="J5281" i="4"/>
  <c r="I5281" i="4"/>
  <c r="P5280" i="4"/>
  <c r="K5280" i="4"/>
  <c r="J5280" i="4"/>
  <c r="I5280" i="4"/>
  <c r="M5280" i="4" s="1" a="1"/>
  <c r="M5280" i="4" s="1"/>
  <c r="O5280" i="4" s="1"/>
  <c r="P5279" i="4"/>
  <c r="M5279" i="4" a="1"/>
  <c r="M5279" i="4" s="1"/>
  <c r="O5279" i="4" s="1"/>
  <c r="K5279" i="4"/>
  <c r="J5279" i="4"/>
  <c r="I5279" i="4"/>
  <c r="P5278" i="4"/>
  <c r="M5278" i="4"/>
  <c r="O5278" i="4" s="1"/>
  <c r="M5278" i="4" a="1"/>
  <c r="K5278" i="4"/>
  <c r="J5278" i="4"/>
  <c r="I5278" i="4"/>
  <c r="P5277" i="4"/>
  <c r="K5277" i="4"/>
  <c r="J5277" i="4"/>
  <c r="I5277" i="4"/>
  <c r="M5277" i="4" s="1" a="1"/>
  <c r="M5277" i="4" s="1"/>
  <c r="O5277" i="4" s="1"/>
  <c r="P5276" i="4"/>
  <c r="K5276" i="4"/>
  <c r="J5276" i="4"/>
  <c r="I5276" i="4"/>
  <c r="M5276" i="4" s="1" a="1"/>
  <c r="M5276" i="4" s="1"/>
  <c r="O5276" i="4" s="1"/>
  <c r="P5275" i="4"/>
  <c r="M5275" i="4" a="1"/>
  <c r="M5275" i="4" s="1"/>
  <c r="O5275" i="4" s="1"/>
  <c r="K5275" i="4"/>
  <c r="J5275" i="4"/>
  <c r="I5275" i="4"/>
  <c r="P5274" i="4"/>
  <c r="K5274" i="4"/>
  <c r="J5274" i="4"/>
  <c r="I5274" i="4"/>
  <c r="M5274" i="4" s="1" a="1"/>
  <c r="M5274" i="4" s="1"/>
  <c r="O5274" i="4" s="1"/>
  <c r="P5273" i="4"/>
  <c r="O5273" i="4"/>
  <c r="K5273" i="4"/>
  <c r="J5273" i="4"/>
  <c r="I5273" i="4"/>
  <c r="M5273" i="4" s="1" a="1"/>
  <c r="M5273" i="4" s="1"/>
  <c r="P5272" i="4"/>
  <c r="M5272" i="4"/>
  <c r="O5272" i="4" s="1"/>
  <c r="M5272" i="4" a="1"/>
  <c r="K5272" i="4"/>
  <c r="J5272" i="4"/>
  <c r="I5272" i="4"/>
  <c r="P5271" i="4"/>
  <c r="O5271" i="4"/>
  <c r="M5271" i="4"/>
  <c r="M5271" i="4" a="1"/>
  <c r="K5271" i="4"/>
  <c r="J5271" i="4"/>
  <c r="I5271" i="4"/>
  <c r="P5270" i="4"/>
  <c r="O5270" i="4"/>
  <c r="K5270" i="4"/>
  <c r="J5270" i="4"/>
  <c r="I5270" i="4"/>
  <c r="M5270" i="4" s="1" a="1"/>
  <c r="M5270" i="4" s="1"/>
  <c r="P5269" i="4"/>
  <c r="M5269" i="4" a="1"/>
  <c r="M5269" i="4" s="1"/>
  <c r="O5269" i="4" s="1"/>
  <c r="K5269" i="4"/>
  <c r="J5269" i="4"/>
  <c r="I5269" i="4"/>
  <c r="P5268" i="4"/>
  <c r="M5268" i="4" a="1"/>
  <c r="M5268" i="4" s="1"/>
  <c r="O5268" i="4" s="1"/>
  <c r="K5268" i="4"/>
  <c r="J5268" i="4"/>
  <c r="I5268" i="4"/>
  <c r="P5267" i="4"/>
  <c r="O5267" i="4"/>
  <c r="K5267" i="4"/>
  <c r="J5267" i="4"/>
  <c r="I5267" i="4"/>
  <c r="M5267" i="4" s="1" a="1"/>
  <c r="M5267" i="4" s="1"/>
  <c r="P5266" i="4"/>
  <c r="K5266" i="4"/>
  <c r="J5266" i="4"/>
  <c r="I5266" i="4"/>
  <c r="M5266" i="4" s="1" a="1"/>
  <c r="M5266" i="4" s="1"/>
  <c r="O5266" i="4" s="1"/>
  <c r="P5265" i="4"/>
  <c r="M5265" i="4" a="1"/>
  <c r="M5265" i="4" s="1"/>
  <c r="O5265" i="4" s="1"/>
  <c r="K5265" i="4"/>
  <c r="J5265" i="4"/>
  <c r="I5265" i="4"/>
  <c r="P5264" i="4"/>
  <c r="M5264" i="4"/>
  <c r="O5264" i="4" s="1"/>
  <c r="K5264" i="4"/>
  <c r="J5264" i="4"/>
  <c r="I5264" i="4"/>
  <c r="M5264" i="4" s="1" a="1"/>
  <c r="P5263" i="4"/>
  <c r="M5263" i="4" a="1"/>
  <c r="M5263" i="4" s="1"/>
  <c r="O5263" i="4" s="1"/>
  <c r="K5263" i="4"/>
  <c r="J5263" i="4"/>
  <c r="I5263" i="4"/>
  <c r="P5262" i="4"/>
  <c r="M5262" i="4" a="1"/>
  <c r="M5262" i="4" s="1"/>
  <c r="O5262" i="4" s="1"/>
  <c r="K5262" i="4"/>
  <c r="J5262" i="4"/>
  <c r="I5262" i="4"/>
  <c r="P5261" i="4"/>
  <c r="M5261" i="4"/>
  <c r="O5261" i="4" s="1"/>
  <c r="K5261" i="4"/>
  <c r="J5261" i="4"/>
  <c r="I5261" i="4"/>
  <c r="M5261" i="4" s="1" a="1"/>
  <c r="P5260" i="4"/>
  <c r="K5260" i="4"/>
  <c r="J5260" i="4"/>
  <c r="I5260" i="4"/>
  <c r="M5260" i="4" s="1" a="1"/>
  <c r="M5260" i="4" s="1"/>
  <c r="O5260" i="4" s="1"/>
  <c r="P5259" i="4"/>
  <c r="M5259" i="4" a="1"/>
  <c r="M5259" i="4" s="1"/>
  <c r="O5259" i="4" s="1"/>
  <c r="K5259" i="4"/>
  <c r="J5259" i="4"/>
  <c r="I5259" i="4"/>
  <c r="P5258" i="4"/>
  <c r="K5258" i="4"/>
  <c r="J5258" i="4"/>
  <c r="I5258" i="4"/>
  <c r="M5258" i="4" s="1" a="1"/>
  <c r="M5258" i="4" s="1"/>
  <c r="O5258" i="4" s="1"/>
  <c r="P5257" i="4"/>
  <c r="O5257" i="4"/>
  <c r="K5257" i="4"/>
  <c r="J5257" i="4"/>
  <c r="I5257" i="4"/>
  <c r="M5257" i="4" s="1" a="1"/>
  <c r="M5257" i="4" s="1"/>
  <c r="P5256" i="4"/>
  <c r="M5256" i="4"/>
  <c r="O5256" i="4" s="1"/>
  <c r="M5256" i="4" a="1"/>
  <c r="K5256" i="4"/>
  <c r="J5256" i="4"/>
  <c r="I5256" i="4"/>
  <c r="P5255" i="4"/>
  <c r="M5255" i="4" a="1"/>
  <c r="M5255" i="4" s="1"/>
  <c r="O5255" i="4" s="1"/>
  <c r="K5255" i="4"/>
  <c r="J5255" i="4"/>
  <c r="I5255" i="4"/>
  <c r="P5254" i="4"/>
  <c r="O5254" i="4"/>
  <c r="K5254" i="4"/>
  <c r="J5254" i="4"/>
  <c r="I5254" i="4"/>
  <c r="M5254" i="4" s="1" a="1"/>
  <c r="M5254" i="4" s="1"/>
  <c r="P5253" i="4"/>
  <c r="M5253" i="4" a="1"/>
  <c r="M5253" i="4" s="1"/>
  <c r="O5253" i="4" s="1"/>
  <c r="K5253" i="4"/>
  <c r="J5253" i="4"/>
  <c r="I5253" i="4"/>
  <c r="P5252" i="4"/>
  <c r="M5252" i="4" a="1"/>
  <c r="M5252" i="4" s="1"/>
  <c r="O5252" i="4" s="1"/>
  <c r="K5252" i="4"/>
  <c r="J5252" i="4"/>
  <c r="I5252" i="4"/>
  <c r="P5251" i="4"/>
  <c r="O5251" i="4"/>
  <c r="K5251" i="4"/>
  <c r="J5251" i="4"/>
  <c r="I5251" i="4"/>
  <c r="M5251" i="4" s="1" a="1"/>
  <c r="M5251" i="4" s="1"/>
  <c r="P5250" i="4"/>
  <c r="K5250" i="4"/>
  <c r="J5250" i="4"/>
  <c r="I5250" i="4"/>
  <c r="M5250" i="4" s="1" a="1"/>
  <c r="M5250" i="4" s="1"/>
  <c r="O5250" i="4" s="1"/>
  <c r="P5249" i="4"/>
  <c r="O5249" i="4"/>
  <c r="M5249" i="4" a="1"/>
  <c r="M5249" i="4" s="1"/>
  <c r="K5249" i="4"/>
  <c r="J5249" i="4"/>
  <c r="I5249" i="4"/>
  <c r="P5248" i="4"/>
  <c r="M5248" i="4"/>
  <c r="O5248" i="4" s="1"/>
  <c r="K5248" i="4"/>
  <c r="J5248" i="4"/>
  <c r="I5248" i="4"/>
  <c r="M5248" i="4" s="1" a="1"/>
  <c r="P5247" i="4"/>
  <c r="M5247" i="4" a="1"/>
  <c r="M5247" i="4" s="1"/>
  <c r="O5247" i="4" s="1"/>
  <c r="K5247" i="4"/>
  <c r="J5247" i="4"/>
  <c r="I5247" i="4"/>
  <c r="P5246" i="4"/>
  <c r="M5246" i="4" a="1"/>
  <c r="M5246" i="4" s="1"/>
  <c r="O5246" i="4" s="1"/>
  <c r="K5246" i="4"/>
  <c r="J5246" i="4"/>
  <c r="I5246" i="4"/>
  <c r="P5245" i="4"/>
  <c r="K5245" i="4"/>
  <c r="J5245" i="4"/>
  <c r="I5245" i="4"/>
  <c r="M5245" i="4" s="1" a="1"/>
  <c r="M5245" i="4" s="1"/>
  <c r="O5245" i="4" s="1"/>
  <c r="P5244" i="4"/>
  <c r="K5244" i="4"/>
  <c r="J5244" i="4"/>
  <c r="I5244" i="4"/>
  <c r="M5244" i="4" s="1" a="1"/>
  <c r="M5244" i="4" s="1"/>
  <c r="O5244" i="4" s="1"/>
  <c r="P5243" i="4"/>
  <c r="M5243" i="4" a="1"/>
  <c r="M5243" i="4" s="1"/>
  <c r="O5243" i="4" s="1"/>
  <c r="K5243" i="4"/>
  <c r="J5243" i="4"/>
  <c r="I5243" i="4"/>
  <c r="P5242" i="4"/>
  <c r="M5242" i="4"/>
  <c r="O5242" i="4" s="1"/>
  <c r="K5242" i="4"/>
  <c r="J5242" i="4"/>
  <c r="I5242" i="4"/>
  <c r="M5242" i="4" s="1" a="1"/>
  <c r="P5241" i="4"/>
  <c r="K5241" i="4"/>
  <c r="J5241" i="4"/>
  <c r="I5241" i="4"/>
  <c r="M5241" i="4" s="1" a="1"/>
  <c r="M5241" i="4" s="1"/>
  <c r="O5241" i="4" s="1"/>
  <c r="P5240" i="4"/>
  <c r="M5240" i="4" a="1"/>
  <c r="M5240" i="4" s="1"/>
  <c r="O5240" i="4" s="1"/>
  <c r="K5240" i="4"/>
  <c r="J5240" i="4"/>
  <c r="I5240" i="4"/>
  <c r="P5239" i="4"/>
  <c r="M5239" i="4" a="1"/>
  <c r="M5239" i="4" s="1"/>
  <c r="O5239" i="4" s="1"/>
  <c r="K5239" i="4"/>
  <c r="J5239" i="4"/>
  <c r="I5239" i="4"/>
  <c r="P5238" i="4"/>
  <c r="O5238" i="4"/>
  <c r="K5238" i="4"/>
  <c r="J5238" i="4"/>
  <c r="I5238" i="4"/>
  <c r="M5238" i="4" s="1" a="1"/>
  <c r="M5238" i="4" s="1"/>
  <c r="P5237" i="4"/>
  <c r="M5237" i="4" a="1"/>
  <c r="M5237" i="4" s="1"/>
  <c r="O5237" i="4" s="1"/>
  <c r="K5237" i="4"/>
  <c r="J5237" i="4"/>
  <c r="I5237" i="4"/>
  <c r="P5236" i="4"/>
  <c r="M5236" i="4" a="1"/>
  <c r="M5236" i="4" s="1"/>
  <c r="O5236" i="4" s="1"/>
  <c r="K5236" i="4"/>
  <c r="J5236" i="4"/>
  <c r="I5236" i="4"/>
  <c r="P5235" i="4"/>
  <c r="O5235" i="4"/>
  <c r="K5235" i="4"/>
  <c r="J5235" i="4"/>
  <c r="I5235" i="4"/>
  <c r="M5235" i="4" s="1" a="1"/>
  <c r="M5235" i="4" s="1"/>
  <c r="P5234" i="4"/>
  <c r="K5234" i="4"/>
  <c r="J5234" i="4"/>
  <c r="I5234" i="4"/>
  <c r="M5234" i="4" s="1" a="1"/>
  <c r="M5234" i="4" s="1"/>
  <c r="O5234" i="4" s="1"/>
  <c r="P5233" i="4"/>
  <c r="M5233" i="4" a="1"/>
  <c r="M5233" i="4" s="1"/>
  <c r="O5233" i="4" s="1"/>
  <c r="K5233" i="4"/>
  <c r="J5233" i="4"/>
  <c r="I5233" i="4"/>
  <c r="P5232" i="4"/>
  <c r="K5232" i="4"/>
  <c r="J5232" i="4"/>
  <c r="I5232" i="4"/>
  <c r="M5232" i="4" s="1" a="1"/>
  <c r="M5232" i="4" s="1"/>
  <c r="O5232" i="4" s="1"/>
  <c r="P5231" i="4"/>
  <c r="M5231" i="4" a="1"/>
  <c r="M5231" i="4" s="1"/>
  <c r="O5231" i="4" s="1"/>
  <c r="K5231" i="4"/>
  <c r="J5231" i="4"/>
  <c r="I5231" i="4"/>
  <c r="P5230" i="4"/>
  <c r="M5230" i="4"/>
  <c r="O5230" i="4" s="1"/>
  <c r="M5230" i="4" a="1"/>
  <c r="K5230" i="4"/>
  <c r="J5230" i="4"/>
  <c r="I5230" i="4"/>
  <c r="P5229" i="4"/>
  <c r="K5229" i="4"/>
  <c r="J5229" i="4"/>
  <c r="I5229" i="4"/>
  <c r="M5229" i="4" s="1" a="1"/>
  <c r="M5229" i="4" s="1"/>
  <c r="O5229" i="4" s="1"/>
  <c r="P5228" i="4"/>
  <c r="K5228" i="4"/>
  <c r="J5228" i="4"/>
  <c r="I5228" i="4"/>
  <c r="M5228" i="4" s="1" a="1"/>
  <c r="M5228" i="4" s="1"/>
  <c r="O5228" i="4" s="1"/>
  <c r="P5227" i="4"/>
  <c r="M5227" i="4" a="1"/>
  <c r="M5227" i="4" s="1"/>
  <c r="O5227" i="4" s="1"/>
  <c r="K5227" i="4"/>
  <c r="J5227" i="4"/>
  <c r="I5227" i="4"/>
  <c r="P5226" i="4"/>
  <c r="K5226" i="4"/>
  <c r="J5226" i="4"/>
  <c r="I5226" i="4"/>
  <c r="M5226" i="4" s="1" a="1"/>
  <c r="M5226" i="4" s="1"/>
  <c r="O5226" i="4" s="1"/>
  <c r="P5225" i="4"/>
  <c r="O5225" i="4"/>
  <c r="K5225" i="4"/>
  <c r="J5225" i="4"/>
  <c r="I5225" i="4"/>
  <c r="M5225" i="4" s="1" a="1"/>
  <c r="M5225" i="4" s="1"/>
  <c r="P5224" i="4"/>
  <c r="M5224" i="4"/>
  <c r="O5224" i="4" s="1"/>
  <c r="M5224" i="4" a="1"/>
  <c r="K5224" i="4"/>
  <c r="J5224" i="4"/>
  <c r="I5224" i="4"/>
  <c r="P5223" i="4"/>
  <c r="M5223" i="4"/>
  <c r="O5223" i="4" s="1"/>
  <c r="M5223" i="4" a="1"/>
  <c r="K5223" i="4"/>
  <c r="J5223" i="4"/>
  <c r="I5223" i="4"/>
  <c r="P5222" i="4"/>
  <c r="K5222" i="4"/>
  <c r="J5222" i="4"/>
  <c r="I5222" i="4"/>
  <c r="M5222" i="4" s="1" a="1"/>
  <c r="M5222" i="4" s="1"/>
  <c r="O5222" i="4" s="1"/>
  <c r="P5221" i="4"/>
  <c r="M5221" i="4" a="1"/>
  <c r="M5221" i="4" s="1"/>
  <c r="O5221" i="4" s="1"/>
  <c r="K5221" i="4"/>
  <c r="J5221" i="4"/>
  <c r="I5221" i="4"/>
  <c r="P5220" i="4"/>
  <c r="K5220" i="4"/>
  <c r="J5220" i="4"/>
  <c r="I5220" i="4"/>
  <c r="M5220" i="4" s="1" a="1"/>
  <c r="M5220" i="4" s="1"/>
  <c r="O5220" i="4" s="1"/>
  <c r="P5219" i="4"/>
  <c r="K5219" i="4"/>
  <c r="J5219" i="4"/>
  <c r="I5219" i="4"/>
  <c r="M5219" i="4" s="1" a="1"/>
  <c r="M5219" i="4" s="1"/>
  <c r="O5219" i="4" s="1"/>
  <c r="P5218" i="4"/>
  <c r="K5218" i="4"/>
  <c r="J5218" i="4"/>
  <c r="I5218" i="4"/>
  <c r="M5218" i="4" s="1" a="1"/>
  <c r="M5218" i="4" s="1"/>
  <c r="O5218" i="4" s="1"/>
  <c r="P5217" i="4"/>
  <c r="M5217" i="4" a="1"/>
  <c r="M5217" i="4" s="1"/>
  <c r="O5217" i="4" s="1"/>
  <c r="K5217" i="4"/>
  <c r="J5217" i="4"/>
  <c r="I5217" i="4"/>
  <c r="P5216" i="4"/>
  <c r="M5216" i="4"/>
  <c r="O5216" i="4" s="1"/>
  <c r="K5216" i="4"/>
  <c r="J5216" i="4"/>
  <c r="I5216" i="4"/>
  <c r="M5216" i="4" s="1" a="1"/>
  <c r="P5215" i="4"/>
  <c r="M5215" i="4" a="1"/>
  <c r="M5215" i="4" s="1"/>
  <c r="O5215" i="4" s="1"/>
  <c r="K5215" i="4"/>
  <c r="J5215" i="4"/>
  <c r="I5215" i="4"/>
  <c r="P5214" i="4"/>
  <c r="M5214" i="4" a="1"/>
  <c r="M5214" i="4" s="1"/>
  <c r="O5214" i="4" s="1"/>
  <c r="K5214" i="4"/>
  <c r="J5214" i="4"/>
  <c r="I5214" i="4"/>
  <c r="P5213" i="4"/>
  <c r="K5213" i="4"/>
  <c r="J5213" i="4"/>
  <c r="I5213" i="4"/>
  <c r="M5213" i="4" s="1" a="1"/>
  <c r="M5213" i="4" s="1"/>
  <c r="O5213" i="4" s="1"/>
  <c r="P5212" i="4"/>
  <c r="K5212" i="4"/>
  <c r="J5212" i="4"/>
  <c r="I5212" i="4"/>
  <c r="M5212" i="4" s="1" a="1"/>
  <c r="M5212" i="4" s="1"/>
  <c r="O5212" i="4" s="1"/>
  <c r="P5211" i="4"/>
  <c r="M5211" i="4" a="1"/>
  <c r="M5211" i="4" s="1"/>
  <c r="O5211" i="4" s="1"/>
  <c r="K5211" i="4"/>
  <c r="J5211" i="4"/>
  <c r="I5211" i="4"/>
  <c r="P5210" i="4"/>
  <c r="K5210" i="4"/>
  <c r="J5210" i="4"/>
  <c r="I5210" i="4"/>
  <c r="M5210" i="4" s="1" a="1"/>
  <c r="M5210" i="4" s="1"/>
  <c r="O5210" i="4" s="1"/>
  <c r="P5209" i="4"/>
  <c r="K5209" i="4"/>
  <c r="J5209" i="4"/>
  <c r="I5209" i="4"/>
  <c r="M5209" i="4" s="1" a="1"/>
  <c r="M5209" i="4" s="1"/>
  <c r="O5209" i="4" s="1"/>
  <c r="P5208" i="4"/>
  <c r="O5208" i="4"/>
  <c r="M5208" i="4"/>
  <c r="M5208" i="4" a="1"/>
  <c r="K5208" i="4"/>
  <c r="J5208" i="4"/>
  <c r="I5208" i="4"/>
  <c r="P5207" i="4"/>
  <c r="M5207" i="4" a="1"/>
  <c r="M5207" i="4" s="1"/>
  <c r="O5207" i="4" s="1"/>
  <c r="K5207" i="4"/>
  <c r="J5207" i="4"/>
  <c r="I5207" i="4"/>
  <c r="P5206" i="4"/>
  <c r="M5206" i="4" a="1"/>
  <c r="M5206" i="4" s="1"/>
  <c r="O5206" i="4" s="1"/>
  <c r="K5206" i="4"/>
  <c r="J5206" i="4"/>
  <c r="I5206" i="4"/>
  <c r="P5205" i="4"/>
  <c r="M5205" i="4"/>
  <c r="O5205" i="4" s="1"/>
  <c r="M5205" i="4" a="1"/>
  <c r="K5205" i="4"/>
  <c r="J5205" i="4"/>
  <c r="I5205" i="4"/>
  <c r="P5204" i="4"/>
  <c r="K5204" i="4"/>
  <c r="J5204" i="4"/>
  <c r="I5204" i="4"/>
  <c r="M5204" i="4" s="1" a="1"/>
  <c r="M5204" i="4" s="1"/>
  <c r="O5204" i="4" s="1"/>
  <c r="P5203" i="4"/>
  <c r="O5203" i="4"/>
  <c r="K5203" i="4"/>
  <c r="J5203" i="4"/>
  <c r="I5203" i="4"/>
  <c r="M5203" i="4" s="1" a="1"/>
  <c r="M5203" i="4" s="1"/>
  <c r="P5202" i="4"/>
  <c r="K5202" i="4"/>
  <c r="J5202" i="4"/>
  <c r="I5202" i="4"/>
  <c r="M5202" i="4" s="1" a="1"/>
  <c r="M5202" i="4" s="1"/>
  <c r="O5202" i="4" s="1"/>
  <c r="P5201" i="4"/>
  <c r="K5201" i="4"/>
  <c r="J5201" i="4"/>
  <c r="I5201" i="4"/>
  <c r="M5201" i="4" s="1" a="1"/>
  <c r="M5201" i="4" s="1"/>
  <c r="O5201" i="4" s="1"/>
  <c r="P5200" i="4"/>
  <c r="K5200" i="4"/>
  <c r="J5200" i="4"/>
  <c r="I5200" i="4"/>
  <c r="M5200" i="4" s="1" a="1"/>
  <c r="M5200" i="4" s="1"/>
  <c r="O5200" i="4" s="1"/>
  <c r="P5199" i="4"/>
  <c r="M5199" i="4" a="1"/>
  <c r="M5199" i="4" s="1"/>
  <c r="O5199" i="4" s="1"/>
  <c r="K5199" i="4"/>
  <c r="J5199" i="4"/>
  <c r="I5199" i="4"/>
  <c r="P5198" i="4"/>
  <c r="M5198" i="4" a="1"/>
  <c r="M5198" i="4" s="1"/>
  <c r="O5198" i="4" s="1"/>
  <c r="K5198" i="4"/>
  <c r="J5198" i="4"/>
  <c r="I5198" i="4"/>
  <c r="P5197" i="4"/>
  <c r="K5197" i="4"/>
  <c r="J5197" i="4"/>
  <c r="I5197" i="4"/>
  <c r="M5197" i="4" s="1" a="1"/>
  <c r="M5197" i="4" s="1"/>
  <c r="O5197" i="4" s="1"/>
  <c r="P5196" i="4"/>
  <c r="K5196" i="4"/>
  <c r="J5196" i="4"/>
  <c r="I5196" i="4"/>
  <c r="M5196" i="4" s="1" a="1"/>
  <c r="M5196" i="4" s="1"/>
  <c r="O5196" i="4" s="1"/>
  <c r="P5195" i="4"/>
  <c r="M5195" i="4" a="1"/>
  <c r="M5195" i="4" s="1"/>
  <c r="O5195" i="4" s="1"/>
  <c r="K5195" i="4"/>
  <c r="J5195" i="4"/>
  <c r="I5195" i="4"/>
  <c r="P5194" i="4"/>
  <c r="K5194" i="4"/>
  <c r="J5194" i="4"/>
  <c r="I5194" i="4"/>
  <c r="M5194" i="4" s="1" a="1"/>
  <c r="M5194" i="4" s="1"/>
  <c r="O5194" i="4" s="1"/>
  <c r="P5193" i="4"/>
  <c r="K5193" i="4"/>
  <c r="J5193" i="4"/>
  <c r="I5193" i="4"/>
  <c r="M5193" i="4" s="1" a="1"/>
  <c r="M5193" i="4" s="1"/>
  <c r="O5193" i="4" s="1"/>
  <c r="P5192" i="4"/>
  <c r="M5192" i="4" a="1"/>
  <c r="M5192" i="4" s="1"/>
  <c r="O5192" i="4" s="1"/>
  <c r="K5192" i="4"/>
  <c r="J5192" i="4"/>
  <c r="I5192" i="4"/>
  <c r="P5191" i="4"/>
  <c r="M5191" i="4"/>
  <c r="O5191" i="4" s="1"/>
  <c r="M5191" i="4" a="1"/>
  <c r="K5191" i="4"/>
  <c r="J5191" i="4"/>
  <c r="I5191" i="4"/>
  <c r="P5190" i="4"/>
  <c r="M5190" i="4"/>
  <c r="O5190" i="4" s="1"/>
  <c r="M5190" i="4" a="1"/>
  <c r="K5190" i="4"/>
  <c r="J5190" i="4"/>
  <c r="I5190" i="4"/>
  <c r="P5189" i="4"/>
  <c r="M5189" i="4" a="1"/>
  <c r="M5189" i="4" s="1"/>
  <c r="O5189" i="4" s="1"/>
  <c r="K5189" i="4"/>
  <c r="J5189" i="4"/>
  <c r="I5189" i="4"/>
  <c r="P5188" i="4"/>
  <c r="K5188" i="4"/>
  <c r="J5188" i="4"/>
  <c r="I5188" i="4"/>
  <c r="M5188" i="4" s="1" a="1"/>
  <c r="M5188" i="4" s="1"/>
  <c r="O5188" i="4" s="1"/>
  <c r="P5187" i="4"/>
  <c r="K5187" i="4"/>
  <c r="J5187" i="4"/>
  <c r="I5187" i="4"/>
  <c r="M5187" i="4" s="1" a="1"/>
  <c r="M5187" i="4" s="1"/>
  <c r="O5187" i="4" s="1"/>
  <c r="P5186" i="4"/>
  <c r="K5186" i="4"/>
  <c r="J5186" i="4"/>
  <c r="I5186" i="4"/>
  <c r="M5186" i="4" s="1" a="1"/>
  <c r="M5186" i="4" s="1"/>
  <c r="O5186" i="4" s="1"/>
  <c r="P5185" i="4"/>
  <c r="K5185" i="4"/>
  <c r="J5185" i="4"/>
  <c r="I5185" i="4"/>
  <c r="M5185" i="4" s="1" a="1"/>
  <c r="M5185" i="4" s="1"/>
  <c r="O5185" i="4" s="1"/>
  <c r="P5184" i="4"/>
  <c r="M5184" i="4" a="1"/>
  <c r="M5184" i="4" s="1"/>
  <c r="O5184" i="4" s="1"/>
  <c r="K5184" i="4"/>
  <c r="J5184" i="4"/>
  <c r="I5184" i="4"/>
  <c r="P5183" i="4"/>
  <c r="M5183" i="4" a="1"/>
  <c r="M5183" i="4" s="1"/>
  <c r="O5183" i="4" s="1"/>
  <c r="K5183" i="4"/>
  <c r="J5183" i="4"/>
  <c r="I5183" i="4"/>
  <c r="P5182" i="4"/>
  <c r="K5182" i="4"/>
  <c r="J5182" i="4"/>
  <c r="I5182" i="4"/>
  <c r="M5182" i="4" s="1" a="1"/>
  <c r="M5182" i="4" s="1"/>
  <c r="O5182" i="4" s="1"/>
  <c r="P5181" i="4"/>
  <c r="M5181" i="4" a="1"/>
  <c r="M5181" i="4" s="1"/>
  <c r="O5181" i="4" s="1"/>
  <c r="K5181" i="4"/>
  <c r="J5181" i="4"/>
  <c r="I5181" i="4"/>
  <c r="P5180" i="4"/>
  <c r="M5180" i="4" a="1"/>
  <c r="M5180" i="4" s="1"/>
  <c r="O5180" i="4" s="1"/>
  <c r="K5180" i="4"/>
  <c r="J5180" i="4"/>
  <c r="I5180" i="4"/>
  <c r="P5179" i="4"/>
  <c r="K5179" i="4"/>
  <c r="J5179" i="4"/>
  <c r="I5179" i="4"/>
  <c r="M5179" i="4" s="1" a="1"/>
  <c r="M5179" i="4" s="1"/>
  <c r="O5179" i="4" s="1"/>
  <c r="P5178" i="4"/>
  <c r="M5178" i="4" a="1"/>
  <c r="M5178" i="4" s="1"/>
  <c r="O5178" i="4" s="1"/>
  <c r="K5178" i="4"/>
  <c r="J5178" i="4"/>
  <c r="I5178" i="4"/>
  <c r="P5177" i="4"/>
  <c r="M5177" i="4"/>
  <c r="O5177" i="4" s="1"/>
  <c r="M5177" i="4" a="1"/>
  <c r="K5177" i="4"/>
  <c r="J5177" i="4"/>
  <c r="I5177" i="4"/>
  <c r="P5176" i="4"/>
  <c r="M5176" i="4"/>
  <c r="O5176" i="4" s="1"/>
  <c r="M5176" i="4" a="1"/>
  <c r="K5176" i="4"/>
  <c r="J5176" i="4"/>
  <c r="I5176" i="4"/>
  <c r="P5175" i="4"/>
  <c r="M5175" i="4"/>
  <c r="O5175" i="4" s="1"/>
  <c r="M5175" i="4" a="1"/>
  <c r="K5175" i="4"/>
  <c r="J5175" i="4"/>
  <c r="I5175" i="4"/>
  <c r="P5174" i="4"/>
  <c r="M5174" i="4" a="1"/>
  <c r="M5174" i="4" s="1"/>
  <c r="O5174" i="4" s="1"/>
  <c r="K5174" i="4"/>
  <c r="J5174" i="4"/>
  <c r="I5174" i="4"/>
  <c r="P5173" i="4"/>
  <c r="K5173" i="4"/>
  <c r="J5173" i="4"/>
  <c r="I5173" i="4"/>
  <c r="M5173" i="4" s="1" a="1"/>
  <c r="M5173" i="4" s="1"/>
  <c r="O5173" i="4" s="1"/>
  <c r="P5172" i="4"/>
  <c r="K5172" i="4"/>
  <c r="J5172" i="4"/>
  <c r="I5172" i="4"/>
  <c r="M5172" i="4" s="1" a="1"/>
  <c r="M5172" i="4" s="1"/>
  <c r="O5172" i="4" s="1"/>
  <c r="P5171" i="4"/>
  <c r="K5171" i="4"/>
  <c r="J5171" i="4"/>
  <c r="I5171" i="4"/>
  <c r="M5171" i="4" s="1" a="1"/>
  <c r="M5171" i="4" s="1"/>
  <c r="O5171" i="4" s="1"/>
  <c r="P5170" i="4"/>
  <c r="K5170" i="4"/>
  <c r="J5170" i="4"/>
  <c r="I5170" i="4"/>
  <c r="M5170" i="4" s="1" a="1"/>
  <c r="M5170" i="4" s="1"/>
  <c r="O5170" i="4" s="1"/>
  <c r="P5169" i="4"/>
  <c r="O5169" i="4"/>
  <c r="K5169" i="4"/>
  <c r="J5169" i="4"/>
  <c r="I5169" i="4"/>
  <c r="M5169" i="4" s="1" a="1"/>
  <c r="M5169" i="4" s="1"/>
  <c r="P5168" i="4"/>
  <c r="M5168" i="4" a="1"/>
  <c r="M5168" i="4" s="1"/>
  <c r="O5168" i="4" s="1"/>
  <c r="K5168" i="4"/>
  <c r="J5168" i="4"/>
  <c r="I5168" i="4"/>
  <c r="P5167" i="4"/>
  <c r="M5167" i="4" a="1"/>
  <c r="M5167" i="4" s="1"/>
  <c r="O5167" i="4" s="1"/>
  <c r="K5167" i="4"/>
  <c r="J5167" i="4"/>
  <c r="I5167" i="4"/>
  <c r="P5166" i="4"/>
  <c r="K5166" i="4"/>
  <c r="J5166" i="4"/>
  <c r="I5166" i="4"/>
  <c r="M5166" i="4" s="1" a="1"/>
  <c r="M5166" i="4" s="1"/>
  <c r="O5166" i="4" s="1"/>
  <c r="P5165" i="4"/>
  <c r="M5165" i="4" a="1"/>
  <c r="M5165" i="4" s="1"/>
  <c r="O5165" i="4" s="1"/>
  <c r="K5165" i="4"/>
  <c r="J5165" i="4"/>
  <c r="I5165" i="4"/>
  <c r="P5164" i="4"/>
  <c r="M5164" i="4" a="1"/>
  <c r="M5164" i="4" s="1"/>
  <c r="O5164" i="4" s="1"/>
  <c r="K5164" i="4"/>
  <c r="J5164" i="4"/>
  <c r="I5164" i="4"/>
  <c r="P5163" i="4"/>
  <c r="K5163" i="4"/>
  <c r="J5163" i="4"/>
  <c r="I5163" i="4"/>
  <c r="M5163" i="4" s="1" a="1"/>
  <c r="M5163" i="4" s="1"/>
  <c r="O5163" i="4" s="1"/>
  <c r="P5162" i="4"/>
  <c r="M5162" i="4" a="1"/>
  <c r="M5162" i="4" s="1"/>
  <c r="O5162" i="4" s="1"/>
  <c r="K5162" i="4"/>
  <c r="J5162" i="4"/>
  <c r="I5162" i="4"/>
  <c r="P5161" i="4"/>
  <c r="M5161" i="4" a="1"/>
  <c r="M5161" i="4" s="1"/>
  <c r="O5161" i="4" s="1"/>
  <c r="K5161" i="4"/>
  <c r="J5161" i="4"/>
  <c r="I5161" i="4"/>
  <c r="P5160" i="4"/>
  <c r="M5160" i="4"/>
  <c r="O5160" i="4" s="1"/>
  <c r="M5160" i="4" a="1"/>
  <c r="K5160" i="4"/>
  <c r="J5160" i="4"/>
  <c r="I5160" i="4"/>
  <c r="P5159" i="4"/>
  <c r="M5159" i="4"/>
  <c r="O5159" i="4" s="1"/>
  <c r="M5159" i="4" a="1"/>
  <c r="K5159" i="4"/>
  <c r="J5159" i="4"/>
  <c r="I5159" i="4"/>
  <c r="P5158" i="4"/>
  <c r="M5158" i="4" a="1"/>
  <c r="M5158" i="4" s="1"/>
  <c r="O5158" i="4" s="1"/>
  <c r="K5158" i="4"/>
  <c r="J5158" i="4"/>
  <c r="I5158" i="4"/>
  <c r="P5157" i="4"/>
  <c r="K5157" i="4"/>
  <c r="J5157" i="4"/>
  <c r="I5157" i="4"/>
  <c r="M5157" i="4" s="1" a="1"/>
  <c r="M5157" i="4" s="1"/>
  <c r="O5157" i="4" s="1"/>
  <c r="P5156" i="4"/>
  <c r="K5156" i="4"/>
  <c r="J5156" i="4"/>
  <c r="I5156" i="4"/>
  <c r="M5156" i="4" s="1" a="1"/>
  <c r="M5156" i="4" s="1"/>
  <c r="O5156" i="4" s="1"/>
  <c r="P5155" i="4"/>
  <c r="K5155" i="4"/>
  <c r="J5155" i="4"/>
  <c r="I5155" i="4"/>
  <c r="M5155" i="4" s="1" a="1"/>
  <c r="M5155" i="4" s="1"/>
  <c r="O5155" i="4" s="1"/>
  <c r="P5154" i="4"/>
  <c r="K5154" i="4"/>
  <c r="J5154" i="4"/>
  <c r="I5154" i="4"/>
  <c r="M5154" i="4" s="1" a="1"/>
  <c r="M5154" i="4" s="1"/>
  <c r="O5154" i="4" s="1"/>
  <c r="P5153" i="4"/>
  <c r="K5153" i="4"/>
  <c r="J5153" i="4"/>
  <c r="I5153" i="4"/>
  <c r="M5153" i="4" s="1" a="1"/>
  <c r="M5153" i="4" s="1"/>
  <c r="O5153" i="4" s="1"/>
  <c r="P5152" i="4"/>
  <c r="M5152" i="4" a="1"/>
  <c r="M5152" i="4" s="1"/>
  <c r="O5152" i="4" s="1"/>
  <c r="K5152" i="4"/>
  <c r="J5152" i="4"/>
  <c r="I5152" i="4"/>
  <c r="P5151" i="4"/>
  <c r="M5151" i="4" a="1"/>
  <c r="M5151" i="4" s="1"/>
  <c r="O5151" i="4" s="1"/>
  <c r="K5151" i="4"/>
  <c r="J5151" i="4"/>
  <c r="I5151" i="4"/>
  <c r="P5150" i="4"/>
  <c r="K5150" i="4"/>
  <c r="J5150" i="4"/>
  <c r="I5150" i="4"/>
  <c r="M5150" i="4" s="1" a="1"/>
  <c r="M5150" i="4" s="1"/>
  <c r="O5150" i="4" s="1"/>
  <c r="P5149" i="4"/>
  <c r="M5149" i="4" a="1"/>
  <c r="M5149" i="4" s="1"/>
  <c r="O5149" i="4" s="1"/>
  <c r="K5149" i="4"/>
  <c r="J5149" i="4"/>
  <c r="I5149" i="4"/>
  <c r="P5148" i="4"/>
  <c r="M5148" i="4" a="1"/>
  <c r="M5148" i="4" s="1"/>
  <c r="O5148" i="4" s="1"/>
  <c r="K5148" i="4"/>
  <c r="J5148" i="4"/>
  <c r="I5148" i="4"/>
  <c r="P5147" i="4"/>
  <c r="K5147" i="4"/>
  <c r="J5147" i="4"/>
  <c r="I5147" i="4"/>
  <c r="M5147" i="4" s="1" a="1"/>
  <c r="M5147" i="4" s="1"/>
  <c r="O5147" i="4" s="1"/>
  <c r="P5146" i="4"/>
  <c r="M5146" i="4" a="1"/>
  <c r="M5146" i="4" s="1"/>
  <c r="O5146" i="4" s="1"/>
  <c r="K5146" i="4"/>
  <c r="J5146" i="4"/>
  <c r="I5146" i="4"/>
  <c r="P5145" i="4"/>
  <c r="M5145" i="4" a="1"/>
  <c r="M5145" i="4" s="1"/>
  <c r="O5145" i="4" s="1"/>
  <c r="K5145" i="4"/>
  <c r="J5145" i="4"/>
  <c r="I5145" i="4"/>
  <c r="P5144" i="4"/>
  <c r="M5144" i="4"/>
  <c r="O5144" i="4" s="1"/>
  <c r="M5144" i="4" a="1"/>
  <c r="K5144" i="4"/>
  <c r="J5144" i="4"/>
  <c r="I5144" i="4"/>
  <c r="P5143" i="4"/>
  <c r="M5143" i="4"/>
  <c r="O5143" i="4" s="1"/>
  <c r="M5143" i="4" a="1"/>
  <c r="K5143" i="4"/>
  <c r="J5143" i="4"/>
  <c r="I5143" i="4"/>
  <c r="P5142" i="4"/>
  <c r="M5142" i="4" a="1"/>
  <c r="M5142" i="4" s="1"/>
  <c r="O5142" i="4" s="1"/>
  <c r="K5142" i="4"/>
  <c r="J5142" i="4"/>
  <c r="I5142" i="4"/>
  <c r="P5141" i="4"/>
  <c r="K5141" i="4"/>
  <c r="J5141" i="4"/>
  <c r="I5141" i="4"/>
  <c r="M5141" i="4" s="1" a="1"/>
  <c r="M5141" i="4" s="1"/>
  <c r="O5141" i="4" s="1"/>
  <c r="P5140" i="4"/>
  <c r="K5140" i="4"/>
  <c r="J5140" i="4"/>
  <c r="I5140" i="4"/>
  <c r="M5140" i="4" s="1" a="1"/>
  <c r="M5140" i="4" s="1"/>
  <c r="O5140" i="4" s="1"/>
  <c r="P5139" i="4"/>
  <c r="K5139" i="4"/>
  <c r="J5139" i="4"/>
  <c r="I5139" i="4"/>
  <c r="M5139" i="4" s="1" a="1"/>
  <c r="M5139" i="4" s="1"/>
  <c r="O5139" i="4" s="1"/>
  <c r="P5138" i="4"/>
  <c r="K5138" i="4"/>
  <c r="J5138" i="4"/>
  <c r="I5138" i="4"/>
  <c r="M5138" i="4" s="1" a="1"/>
  <c r="M5138" i="4" s="1"/>
  <c r="O5138" i="4" s="1"/>
  <c r="P5137" i="4"/>
  <c r="K5137" i="4"/>
  <c r="J5137" i="4"/>
  <c r="I5137" i="4"/>
  <c r="M5137" i="4" s="1" a="1"/>
  <c r="M5137" i="4" s="1"/>
  <c r="O5137" i="4" s="1"/>
  <c r="P5136" i="4"/>
  <c r="K5136" i="4"/>
  <c r="M5136" i="4" s="1" a="1"/>
  <c r="M5136" i="4" s="1"/>
  <c r="O5136" i="4" s="1"/>
  <c r="J5136" i="4"/>
  <c r="I5136" i="4"/>
  <c r="P5135" i="4"/>
  <c r="M5135" i="4" a="1"/>
  <c r="M5135" i="4" s="1"/>
  <c r="O5135" i="4" s="1"/>
  <c r="K5135" i="4"/>
  <c r="J5135" i="4"/>
  <c r="I5135" i="4"/>
  <c r="P5134" i="4"/>
  <c r="K5134" i="4"/>
  <c r="J5134" i="4"/>
  <c r="I5134" i="4"/>
  <c r="M5134" i="4" s="1" a="1"/>
  <c r="M5134" i="4" s="1"/>
  <c r="O5134" i="4" s="1"/>
  <c r="P5133" i="4"/>
  <c r="K5133" i="4"/>
  <c r="J5133" i="4"/>
  <c r="M5133" i="4" s="1" a="1"/>
  <c r="M5133" i="4" s="1"/>
  <c r="O5133" i="4" s="1"/>
  <c r="I5133" i="4"/>
  <c r="P5132" i="4"/>
  <c r="M5132" i="4" a="1"/>
  <c r="M5132" i="4" s="1"/>
  <c r="O5132" i="4" s="1"/>
  <c r="K5132" i="4"/>
  <c r="J5132" i="4"/>
  <c r="I5132" i="4"/>
  <c r="P5131" i="4"/>
  <c r="K5131" i="4"/>
  <c r="J5131" i="4"/>
  <c r="I5131" i="4"/>
  <c r="M5131" i="4" s="1" a="1"/>
  <c r="M5131" i="4" s="1"/>
  <c r="O5131" i="4" s="1"/>
  <c r="P5130" i="4"/>
  <c r="K5130" i="4"/>
  <c r="J5130" i="4"/>
  <c r="M5130" i="4" s="1" a="1"/>
  <c r="M5130" i="4" s="1"/>
  <c r="O5130" i="4" s="1"/>
  <c r="I5130" i="4"/>
  <c r="P5129" i="4"/>
  <c r="M5129" i="4" a="1"/>
  <c r="M5129" i="4" s="1"/>
  <c r="O5129" i="4" s="1"/>
  <c r="K5129" i="4"/>
  <c r="J5129" i="4"/>
  <c r="I5129" i="4"/>
  <c r="P5128" i="4"/>
  <c r="K5128" i="4"/>
  <c r="J5128" i="4"/>
  <c r="M5128" i="4" s="1" a="1"/>
  <c r="M5128" i="4" s="1"/>
  <c r="O5128" i="4" s="1"/>
  <c r="I5128" i="4"/>
  <c r="P5127" i="4"/>
  <c r="K5127" i="4"/>
  <c r="J5127" i="4"/>
  <c r="M5127" i="4" s="1" a="1"/>
  <c r="M5127" i="4" s="1"/>
  <c r="O5127" i="4" s="1"/>
  <c r="I5127" i="4"/>
  <c r="P5126" i="4"/>
  <c r="K5126" i="4"/>
  <c r="M5126" i="4" s="1" a="1"/>
  <c r="M5126" i="4" s="1"/>
  <c r="O5126" i="4" s="1"/>
  <c r="J5126" i="4"/>
  <c r="I5126" i="4"/>
  <c r="P5125" i="4"/>
  <c r="K5125" i="4"/>
  <c r="J5125" i="4"/>
  <c r="I5125" i="4"/>
  <c r="M5125" i="4" s="1" a="1"/>
  <c r="M5125" i="4" s="1"/>
  <c r="O5125" i="4" s="1"/>
  <c r="P5124" i="4"/>
  <c r="K5124" i="4"/>
  <c r="J5124" i="4"/>
  <c r="I5124" i="4"/>
  <c r="M5124" i="4" s="1" a="1"/>
  <c r="M5124" i="4" s="1"/>
  <c r="O5124" i="4" s="1"/>
  <c r="P5123" i="4"/>
  <c r="K5123" i="4"/>
  <c r="J5123" i="4"/>
  <c r="I5123" i="4"/>
  <c r="M5123" i="4" s="1" a="1"/>
  <c r="M5123" i="4" s="1"/>
  <c r="O5123" i="4" s="1"/>
  <c r="P5122" i="4"/>
  <c r="K5122" i="4"/>
  <c r="J5122" i="4"/>
  <c r="I5122" i="4"/>
  <c r="M5122" i="4" s="1" a="1"/>
  <c r="M5122" i="4" s="1"/>
  <c r="O5122" i="4" s="1"/>
  <c r="P5121" i="4"/>
  <c r="O5121" i="4"/>
  <c r="K5121" i="4"/>
  <c r="J5121" i="4"/>
  <c r="I5121" i="4"/>
  <c r="M5121" i="4" s="1" a="1"/>
  <c r="M5121" i="4" s="1"/>
  <c r="P5120" i="4"/>
  <c r="K5120" i="4"/>
  <c r="M5120" i="4" s="1" a="1"/>
  <c r="M5120" i="4" s="1"/>
  <c r="O5120" i="4" s="1"/>
  <c r="J5120" i="4"/>
  <c r="I5120" i="4"/>
  <c r="P5119" i="4"/>
  <c r="M5119" i="4" a="1"/>
  <c r="M5119" i="4" s="1"/>
  <c r="O5119" i="4" s="1"/>
  <c r="K5119" i="4"/>
  <c r="J5119" i="4"/>
  <c r="I5119" i="4"/>
  <c r="P5118" i="4"/>
  <c r="K5118" i="4"/>
  <c r="J5118" i="4"/>
  <c r="I5118" i="4"/>
  <c r="M5118" i="4" s="1" a="1"/>
  <c r="M5118" i="4" s="1"/>
  <c r="O5118" i="4" s="1"/>
  <c r="P5117" i="4"/>
  <c r="K5117" i="4"/>
  <c r="J5117" i="4"/>
  <c r="M5117" i="4" s="1" a="1"/>
  <c r="M5117" i="4" s="1"/>
  <c r="O5117" i="4" s="1"/>
  <c r="I5117" i="4"/>
  <c r="P5116" i="4"/>
  <c r="M5116" i="4" a="1"/>
  <c r="M5116" i="4" s="1"/>
  <c r="O5116" i="4" s="1"/>
  <c r="K5116" i="4"/>
  <c r="J5116" i="4"/>
  <c r="I5116" i="4"/>
  <c r="P5115" i="4"/>
  <c r="K5115" i="4"/>
  <c r="J5115" i="4"/>
  <c r="I5115" i="4"/>
  <c r="M5115" i="4" s="1" a="1"/>
  <c r="M5115" i="4" s="1"/>
  <c r="O5115" i="4" s="1"/>
  <c r="P5114" i="4"/>
  <c r="K5114" i="4"/>
  <c r="J5114" i="4"/>
  <c r="M5114" i="4" s="1" a="1"/>
  <c r="M5114" i="4" s="1"/>
  <c r="O5114" i="4" s="1"/>
  <c r="I5114" i="4"/>
  <c r="P5113" i="4"/>
  <c r="M5113" i="4" a="1"/>
  <c r="M5113" i="4" s="1"/>
  <c r="O5113" i="4" s="1"/>
  <c r="K5113" i="4"/>
  <c r="J5113" i="4"/>
  <c r="I5113" i="4"/>
  <c r="P5112" i="4"/>
  <c r="K5112" i="4"/>
  <c r="J5112" i="4"/>
  <c r="M5112" i="4" s="1" a="1"/>
  <c r="M5112" i="4" s="1"/>
  <c r="O5112" i="4" s="1"/>
  <c r="I5112" i="4"/>
  <c r="P5111" i="4"/>
  <c r="K5111" i="4"/>
  <c r="J5111" i="4"/>
  <c r="M5111" i="4" s="1" a="1"/>
  <c r="M5111" i="4" s="1"/>
  <c r="O5111" i="4" s="1"/>
  <c r="I5111" i="4"/>
  <c r="P5110" i="4"/>
  <c r="M5110" i="4" a="1"/>
  <c r="M5110" i="4" s="1"/>
  <c r="O5110" i="4" s="1"/>
  <c r="K5110" i="4"/>
  <c r="J5110" i="4"/>
  <c r="I5110" i="4"/>
  <c r="P5109" i="4"/>
  <c r="K5109" i="4"/>
  <c r="J5109" i="4"/>
  <c r="I5109" i="4"/>
  <c r="M5109" i="4" s="1" a="1"/>
  <c r="M5109" i="4" s="1"/>
  <c r="O5109" i="4" s="1"/>
  <c r="P5108" i="4"/>
  <c r="K5108" i="4"/>
  <c r="J5108" i="4"/>
  <c r="I5108" i="4"/>
  <c r="M5108" i="4" s="1" a="1"/>
  <c r="M5108" i="4" s="1"/>
  <c r="O5108" i="4" s="1"/>
  <c r="P5107" i="4"/>
  <c r="K5107" i="4"/>
  <c r="J5107" i="4"/>
  <c r="I5107" i="4"/>
  <c r="M5107" i="4" s="1" a="1"/>
  <c r="M5107" i="4" s="1"/>
  <c r="O5107" i="4" s="1"/>
  <c r="P5106" i="4"/>
  <c r="K5106" i="4"/>
  <c r="J5106" i="4"/>
  <c r="I5106" i="4"/>
  <c r="M5106" i="4" s="1" a="1"/>
  <c r="M5106" i="4" s="1"/>
  <c r="O5106" i="4" s="1"/>
  <c r="P5105" i="4"/>
  <c r="K5105" i="4"/>
  <c r="J5105" i="4"/>
  <c r="I5105" i="4"/>
  <c r="M5105" i="4" s="1" a="1"/>
  <c r="M5105" i="4" s="1"/>
  <c r="O5105" i="4" s="1"/>
  <c r="P5104" i="4"/>
  <c r="M5104" i="4" a="1"/>
  <c r="M5104" i="4" s="1"/>
  <c r="O5104" i="4" s="1"/>
  <c r="K5104" i="4"/>
  <c r="J5104" i="4"/>
  <c r="I5104" i="4"/>
  <c r="P5103" i="4"/>
  <c r="M5103" i="4" a="1"/>
  <c r="M5103" i="4" s="1"/>
  <c r="O5103" i="4" s="1"/>
  <c r="K5103" i="4"/>
  <c r="J5103" i="4"/>
  <c r="I5103" i="4"/>
  <c r="P5102" i="4"/>
  <c r="K5102" i="4"/>
  <c r="J5102" i="4"/>
  <c r="I5102" i="4"/>
  <c r="M5102" i="4" s="1" a="1"/>
  <c r="M5102" i="4" s="1"/>
  <c r="O5102" i="4" s="1"/>
  <c r="P5101" i="4"/>
  <c r="K5101" i="4"/>
  <c r="J5101" i="4"/>
  <c r="M5101" i="4" s="1" a="1"/>
  <c r="M5101" i="4" s="1"/>
  <c r="O5101" i="4" s="1"/>
  <c r="I5101" i="4"/>
  <c r="P5100" i="4"/>
  <c r="M5100" i="4" a="1"/>
  <c r="M5100" i="4" s="1"/>
  <c r="O5100" i="4" s="1"/>
  <c r="K5100" i="4"/>
  <c r="J5100" i="4"/>
  <c r="I5100" i="4"/>
  <c r="P5099" i="4"/>
  <c r="K5099" i="4"/>
  <c r="J5099" i="4"/>
  <c r="I5099" i="4"/>
  <c r="M5099" i="4" s="1" a="1"/>
  <c r="M5099" i="4" s="1"/>
  <c r="O5099" i="4" s="1"/>
  <c r="P5098" i="4"/>
  <c r="K5098" i="4"/>
  <c r="J5098" i="4"/>
  <c r="M5098" i="4" s="1" a="1"/>
  <c r="M5098" i="4" s="1"/>
  <c r="O5098" i="4" s="1"/>
  <c r="I5098" i="4"/>
  <c r="P5097" i="4"/>
  <c r="M5097" i="4" a="1"/>
  <c r="M5097" i="4" s="1"/>
  <c r="O5097" i="4" s="1"/>
  <c r="K5097" i="4"/>
  <c r="J5097" i="4"/>
  <c r="I5097" i="4"/>
  <c r="P5096" i="4"/>
  <c r="K5096" i="4"/>
  <c r="J5096" i="4"/>
  <c r="M5096" i="4" s="1" a="1"/>
  <c r="M5096" i="4" s="1"/>
  <c r="O5096" i="4" s="1"/>
  <c r="I5096" i="4"/>
  <c r="P5095" i="4"/>
  <c r="K5095" i="4"/>
  <c r="J5095" i="4"/>
  <c r="M5095" i="4" s="1" a="1"/>
  <c r="M5095" i="4" s="1"/>
  <c r="O5095" i="4" s="1"/>
  <c r="I5095" i="4"/>
  <c r="P5094" i="4"/>
  <c r="M5094" i="4" a="1"/>
  <c r="M5094" i="4" s="1"/>
  <c r="O5094" i="4" s="1"/>
  <c r="K5094" i="4"/>
  <c r="J5094" i="4"/>
  <c r="I5094" i="4"/>
  <c r="P5093" i="4"/>
  <c r="K5093" i="4"/>
  <c r="J5093" i="4"/>
  <c r="I5093" i="4"/>
  <c r="M5093" i="4" s="1" a="1"/>
  <c r="M5093" i="4" s="1"/>
  <c r="O5093" i="4" s="1"/>
  <c r="P5092" i="4"/>
  <c r="K5092" i="4"/>
  <c r="J5092" i="4"/>
  <c r="I5092" i="4"/>
  <c r="M5092" i="4" s="1" a="1"/>
  <c r="M5092" i="4" s="1"/>
  <c r="O5092" i="4" s="1"/>
  <c r="P5091" i="4"/>
  <c r="K5091" i="4"/>
  <c r="J5091" i="4"/>
  <c r="I5091" i="4"/>
  <c r="M5091" i="4" s="1" a="1"/>
  <c r="M5091" i="4" s="1"/>
  <c r="O5091" i="4" s="1"/>
  <c r="P5090" i="4"/>
  <c r="K5090" i="4"/>
  <c r="J5090" i="4"/>
  <c r="I5090" i="4"/>
  <c r="M5090" i="4" s="1" a="1"/>
  <c r="M5090" i="4" s="1"/>
  <c r="O5090" i="4" s="1"/>
  <c r="P5089" i="4"/>
  <c r="K5089" i="4"/>
  <c r="J5089" i="4"/>
  <c r="I5089" i="4"/>
  <c r="M5089" i="4" s="1" a="1"/>
  <c r="M5089" i="4" s="1"/>
  <c r="O5089" i="4" s="1"/>
  <c r="P5088" i="4"/>
  <c r="M5088" i="4" a="1"/>
  <c r="M5088" i="4" s="1"/>
  <c r="O5088" i="4" s="1"/>
  <c r="K5088" i="4"/>
  <c r="J5088" i="4"/>
  <c r="I5088" i="4"/>
  <c r="P5087" i="4"/>
  <c r="M5087" i="4" a="1"/>
  <c r="M5087" i="4" s="1"/>
  <c r="O5087" i="4" s="1"/>
  <c r="K5087" i="4"/>
  <c r="J5087" i="4"/>
  <c r="I5087" i="4"/>
  <c r="P5086" i="4"/>
  <c r="K5086" i="4"/>
  <c r="J5086" i="4"/>
  <c r="I5086" i="4"/>
  <c r="M5086" i="4" s="1" a="1"/>
  <c r="M5086" i="4" s="1"/>
  <c r="O5086" i="4" s="1"/>
  <c r="P5085" i="4"/>
  <c r="K5085" i="4"/>
  <c r="J5085" i="4"/>
  <c r="M5085" i="4" s="1" a="1"/>
  <c r="M5085" i="4" s="1"/>
  <c r="O5085" i="4" s="1"/>
  <c r="I5085" i="4"/>
  <c r="P5084" i="4"/>
  <c r="M5084" i="4" a="1"/>
  <c r="M5084" i="4" s="1"/>
  <c r="O5084" i="4" s="1"/>
  <c r="K5084" i="4"/>
  <c r="J5084" i="4"/>
  <c r="I5084" i="4"/>
  <c r="P5083" i="4"/>
  <c r="K5083" i="4"/>
  <c r="J5083" i="4"/>
  <c r="I5083" i="4"/>
  <c r="M5083" i="4" s="1" a="1"/>
  <c r="M5083" i="4" s="1"/>
  <c r="O5083" i="4" s="1"/>
  <c r="P5082" i="4"/>
  <c r="K5082" i="4"/>
  <c r="J5082" i="4"/>
  <c r="M5082" i="4" s="1" a="1"/>
  <c r="M5082" i="4" s="1"/>
  <c r="O5082" i="4" s="1"/>
  <c r="I5082" i="4"/>
  <c r="P5081" i="4"/>
  <c r="M5081" i="4" a="1"/>
  <c r="M5081" i="4" s="1"/>
  <c r="O5081" i="4" s="1"/>
  <c r="K5081" i="4"/>
  <c r="J5081" i="4"/>
  <c r="I5081" i="4"/>
  <c r="P5080" i="4"/>
  <c r="K5080" i="4"/>
  <c r="J5080" i="4"/>
  <c r="M5080" i="4" s="1" a="1"/>
  <c r="M5080" i="4" s="1"/>
  <c r="O5080" i="4" s="1"/>
  <c r="I5080" i="4"/>
  <c r="P5079" i="4"/>
  <c r="K5079" i="4"/>
  <c r="J5079" i="4"/>
  <c r="M5079" i="4" s="1" a="1"/>
  <c r="M5079" i="4" s="1"/>
  <c r="O5079" i="4" s="1"/>
  <c r="I5079" i="4"/>
  <c r="P5078" i="4"/>
  <c r="M5078" i="4" a="1"/>
  <c r="M5078" i="4" s="1"/>
  <c r="O5078" i="4" s="1"/>
  <c r="K5078" i="4"/>
  <c r="J5078" i="4"/>
  <c r="I5078" i="4"/>
  <c r="P5077" i="4"/>
  <c r="K5077" i="4"/>
  <c r="J5077" i="4"/>
  <c r="I5077" i="4"/>
  <c r="M5077" i="4" s="1" a="1"/>
  <c r="M5077" i="4" s="1"/>
  <c r="O5077" i="4" s="1"/>
  <c r="P5076" i="4"/>
  <c r="K5076" i="4"/>
  <c r="J5076" i="4"/>
  <c r="I5076" i="4"/>
  <c r="M5076" i="4" s="1" a="1"/>
  <c r="M5076" i="4" s="1"/>
  <c r="O5076" i="4" s="1"/>
  <c r="P5075" i="4"/>
  <c r="K5075" i="4"/>
  <c r="J5075" i="4"/>
  <c r="I5075" i="4"/>
  <c r="M5075" i="4" s="1" a="1"/>
  <c r="M5075" i="4" s="1"/>
  <c r="O5075" i="4" s="1"/>
  <c r="P5074" i="4"/>
  <c r="K5074" i="4"/>
  <c r="J5074" i="4"/>
  <c r="I5074" i="4"/>
  <c r="M5074" i="4" s="1" a="1"/>
  <c r="M5074" i="4" s="1"/>
  <c r="O5074" i="4" s="1"/>
  <c r="P5073" i="4"/>
  <c r="K5073" i="4"/>
  <c r="J5073" i="4"/>
  <c r="I5073" i="4"/>
  <c r="M5073" i="4" s="1" a="1"/>
  <c r="M5073" i="4" s="1"/>
  <c r="O5073" i="4" s="1"/>
  <c r="P5072" i="4"/>
  <c r="M5072" i="4" a="1"/>
  <c r="M5072" i="4" s="1"/>
  <c r="O5072" i="4" s="1"/>
  <c r="K5072" i="4"/>
  <c r="J5072" i="4"/>
  <c r="I5072" i="4"/>
  <c r="P5071" i="4"/>
  <c r="M5071" i="4" a="1"/>
  <c r="M5071" i="4" s="1"/>
  <c r="O5071" i="4" s="1"/>
  <c r="K5071" i="4"/>
  <c r="J5071" i="4"/>
  <c r="I5071" i="4"/>
  <c r="P5070" i="4"/>
  <c r="K5070" i="4"/>
  <c r="J5070" i="4"/>
  <c r="I5070" i="4"/>
  <c r="M5070" i="4" s="1" a="1"/>
  <c r="M5070" i="4" s="1"/>
  <c r="O5070" i="4" s="1"/>
  <c r="P5069" i="4"/>
  <c r="K5069" i="4"/>
  <c r="J5069" i="4"/>
  <c r="M5069" i="4" s="1" a="1"/>
  <c r="M5069" i="4" s="1"/>
  <c r="O5069" i="4" s="1"/>
  <c r="I5069" i="4"/>
  <c r="P5068" i="4"/>
  <c r="M5068" i="4" a="1"/>
  <c r="M5068" i="4" s="1"/>
  <c r="O5068" i="4" s="1"/>
  <c r="K5068" i="4"/>
  <c r="J5068" i="4"/>
  <c r="I5068" i="4"/>
  <c r="P5067" i="4"/>
  <c r="K5067" i="4"/>
  <c r="J5067" i="4"/>
  <c r="I5067" i="4"/>
  <c r="M5067" i="4" s="1" a="1"/>
  <c r="M5067" i="4" s="1"/>
  <c r="O5067" i="4" s="1"/>
  <c r="P5066" i="4"/>
  <c r="K5066" i="4"/>
  <c r="J5066" i="4"/>
  <c r="M5066" i="4" s="1" a="1"/>
  <c r="M5066" i="4" s="1"/>
  <c r="O5066" i="4" s="1"/>
  <c r="I5066" i="4"/>
  <c r="P5065" i="4"/>
  <c r="M5065" i="4" a="1"/>
  <c r="M5065" i="4" s="1"/>
  <c r="O5065" i="4" s="1"/>
  <c r="K5065" i="4"/>
  <c r="J5065" i="4"/>
  <c r="I5065" i="4"/>
  <c r="P5064" i="4"/>
  <c r="M5064" i="4"/>
  <c r="O5064" i="4" s="1"/>
  <c r="K5064" i="4"/>
  <c r="J5064" i="4"/>
  <c r="M5064" i="4" s="1" a="1"/>
  <c r="I5064" i="4"/>
  <c r="P5063" i="4"/>
  <c r="K5063" i="4"/>
  <c r="J5063" i="4"/>
  <c r="M5063" i="4" s="1" a="1"/>
  <c r="M5063" i="4" s="1"/>
  <c r="O5063" i="4" s="1"/>
  <c r="I5063" i="4"/>
  <c r="P5062" i="4"/>
  <c r="M5062" i="4" a="1"/>
  <c r="M5062" i="4" s="1"/>
  <c r="O5062" i="4" s="1"/>
  <c r="K5062" i="4"/>
  <c r="J5062" i="4"/>
  <c r="I5062" i="4"/>
  <c r="P5061" i="4"/>
  <c r="K5061" i="4"/>
  <c r="J5061" i="4"/>
  <c r="I5061" i="4"/>
  <c r="M5061" i="4" s="1" a="1"/>
  <c r="M5061" i="4" s="1"/>
  <c r="O5061" i="4" s="1"/>
  <c r="P5060" i="4"/>
  <c r="K5060" i="4"/>
  <c r="J5060" i="4"/>
  <c r="I5060" i="4"/>
  <c r="M5060" i="4" s="1" a="1"/>
  <c r="M5060" i="4" s="1"/>
  <c r="O5060" i="4" s="1"/>
  <c r="P5059" i="4"/>
  <c r="K5059" i="4"/>
  <c r="J5059" i="4"/>
  <c r="I5059" i="4"/>
  <c r="M5059" i="4" s="1" a="1"/>
  <c r="M5059" i="4" s="1"/>
  <c r="O5059" i="4" s="1"/>
  <c r="P5058" i="4"/>
  <c r="K5058" i="4"/>
  <c r="J5058" i="4"/>
  <c r="I5058" i="4"/>
  <c r="M5058" i="4" s="1" a="1"/>
  <c r="M5058" i="4" s="1"/>
  <c r="O5058" i="4" s="1"/>
  <c r="P5057" i="4"/>
  <c r="K5057" i="4"/>
  <c r="J5057" i="4"/>
  <c r="I5057" i="4"/>
  <c r="M5057" i="4" s="1" a="1"/>
  <c r="M5057" i="4" s="1"/>
  <c r="O5057" i="4" s="1"/>
  <c r="P5056" i="4"/>
  <c r="M5056" i="4" a="1"/>
  <c r="M5056" i="4" s="1"/>
  <c r="O5056" i="4" s="1"/>
  <c r="K5056" i="4"/>
  <c r="J5056" i="4"/>
  <c r="I5056" i="4"/>
  <c r="P5055" i="4"/>
  <c r="M5055" i="4" a="1"/>
  <c r="M5055" i="4" s="1"/>
  <c r="O5055" i="4" s="1"/>
  <c r="K5055" i="4"/>
  <c r="J5055" i="4"/>
  <c r="I5055" i="4"/>
  <c r="P5054" i="4"/>
  <c r="K5054" i="4"/>
  <c r="J5054" i="4"/>
  <c r="I5054" i="4"/>
  <c r="M5054" i="4" s="1" a="1"/>
  <c r="M5054" i="4" s="1"/>
  <c r="O5054" i="4" s="1"/>
  <c r="P5053" i="4"/>
  <c r="K5053" i="4"/>
  <c r="J5053" i="4"/>
  <c r="M5053" i="4" s="1" a="1"/>
  <c r="M5053" i="4" s="1"/>
  <c r="O5053" i="4" s="1"/>
  <c r="I5053" i="4"/>
  <c r="P5052" i="4"/>
  <c r="M5052" i="4" a="1"/>
  <c r="M5052" i="4" s="1"/>
  <c r="O5052" i="4" s="1"/>
  <c r="K5052" i="4"/>
  <c r="J5052" i="4"/>
  <c r="I5052" i="4"/>
  <c r="P5051" i="4"/>
  <c r="K5051" i="4"/>
  <c r="J5051" i="4"/>
  <c r="I5051" i="4"/>
  <c r="M5051" i="4" s="1" a="1"/>
  <c r="M5051" i="4" s="1"/>
  <c r="O5051" i="4" s="1"/>
  <c r="P5050" i="4"/>
  <c r="K5050" i="4"/>
  <c r="J5050" i="4"/>
  <c r="M5050" i="4" s="1" a="1"/>
  <c r="M5050" i="4" s="1"/>
  <c r="O5050" i="4" s="1"/>
  <c r="I5050" i="4"/>
  <c r="P5049" i="4"/>
  <c r="M5049" i="4" a="1"/>
  <c r="M5049" i="4" s="1"/>
  <c r="O5049" i="4" s="1"/>
  <c r="K5049" i="4"/>
  <c r="J5049" i="4"/>
  <c r="I5049" i="4"/>
  <c r="P5048" i="4"/>
  <c r="M5048" i="4"/>
  <c r="O5048" i="4" s="1"/>
  <c r="K5048" i="4"/>
  <c r="J5048" i="4"/>
  <c r="M5048" i="4" s="1" a="1"/>
  <c r="I5048" i="4"/>
  <c r="P5047" i="4"/>
  <c r="K5047" i="4"/>
  <c r="J5047" i="4"/>
  <c r="M5047" i="4" s="1" a="1"/>
  <c r="M5047" i="4" s="1"/>
  <c r="O5047" i="4" s="1"/>
  <c r="I5047" i="4"/>
  <c r="P5046" i="4"/>
  <c r="M5046" i="4" a="1"/>
  <c r="M5046" i="4" s="1"/>
  <c r="O5046" i="4" s="1"/>
  <c r="K5046" i="4"/>
  <c r="J5046" i="4"/>
  <c r="I5046" i="4"/>
  <c r="P5045" i="4"/>
  <c r="K5045" i="4"/>
  <c r="J5045" i="4"/>
  <c r="I5045" i="4"/>
  <c r="M5045" i="4" s="1" a="1"/>
  <c r="M5045" i="4" s="1"/>
  <c r="O5045" i="4" s="1"/>
  <c r="P5044" i="4"/>
  <c r="K5044" i="4"/>
  <c r="J5044" i="4"/>
  <c r="I5044" i="4"/>
  <c r="M5044" i="4" s="1" a="1"/>
  <c r="M5044" i="4" s="1"/>
  <c r="O5044" i="4" s="1"/>
  <c r="P5043" i="4"/>
  <c r="K5043" i="4"/>
  <c r="J5043" i="4"/>
  <c r="I5043" i="4"/>
  <c r="M5043" i="4" s="1" a="1"/>
  <c r="M5043" i="4" s="1"/>
  <c r="O5043" i="4" s="1"/>
  <c r="P5042" i="4"/>
  <c r="K5042" i="4"/>
  <c r="J5042" i="4"/>
  <c r="I5042" i="4"/>
  <c r="M5042" i="4" s="1" a="1"/>
  <c r="M5042" i="4" s="1"/>
  <c r="O5042" i="4" s="1"/>
  <c r="P5041" i="4"/>
  <c r="K5041" i="4"/>
  <c r="J5041" i="4"/>
  <c r="I5041" i="4"/>
  <c r="M5041" i="4" s="1" a="1"/>
  <c r="M5041" i="4" s="1"/>
  <c r="O5041" i="4" s="1"/>
  <c r="P5040" i="4"/>
  <c r="M5040" i="4" a="1"/>
  <c r="M5040" i="4" s="1"/>
  <c r="O5040" i="4" s="1"/>
  <c r="K5040" i="4"/>
  <c r="J5040" i="4"/>
  <c r="I5040" i="4"/>
  <c r="P5039" i="4"/>
  <c r="M5039" i="4" a="1"/>
  <c r="M5039" i="4" s="1"/>
  <c r="O5039" i="4" s="1"/>
  <c r="K5039" i="4"/>
  <c r="J5039" i="4"/>
  <c r="I5039" i="4"/>
  <c r="P5038" i="4"/>
  <c r="K5038" i="4"/>
  <c r="J5038" i="4"/>
  <c r="I5038" i="4"/>
  <c r="M5038" i="4" s="1" a="1"/>
  <c r="M5038" i="4" s="1"/>
  <c r="O5038" i="4" s="1"/>
  <c r="P5037" i="4"/>
  <c r="K5037" i="4"/>
  <c r="J5037" i="4"/>
  <c r="M5037" i="4" s="1" a="1"/>
  <c r="M5037" i="4" s="1"/>
  <c r="O5037" i="4" s="1"/>
  <c r="I5037" i="4"/>
  <c r="P5036" i="4"/>
  <c r="M5036" i="4" a="1"/>
  <c r="M5036" i="4" s="1"/>
  <c r="O5036" i="4" s="1"/>
  <c r="K5036" i="4"/>
  <c r="J5036" i="4"/>
  <c r="I5036" i="4"/>
  <c r="P5035" i="4"/>
  <c r="K5035" i="4"/>
  <c r="J5035" i="4"/>
  <c r="I5035" i="4"/>
  <c r="M5035" i="4" s="1" a="1"/>
  <c r="M5035" i="4" s="1"/>
  <c r="O5035" i="4" s="1"/>
  <c r="P5034" i="4"/>
  <c r="K5034" i="4"/>
  <c r="J5034" i="4"/>
  <c r="M5034" i="4" s="1" a="1"/>
  <c r="M5034" i="4" s="1"/>
  <c r="O5034" i="4" s="1"/>
  <c r="I5034" i="4"/>
  <c r="P5033" i="4"/>
  <c r="M5033" i="4" a="1"/>
  <c r="M5033" i="4" s="1"/>
  <c r="O5033" i="4" s="1"/>
  <c r="K5033" i="4"/>
  <c r="J5033" i="4"/>
  <c r="I5033" i="4"/>
  <c r="P5032" i="4"/>
  <c r="K5032" i="4"/>
  <c r="J5032" i="4"/>
  <c r="M5032" i="4" s="1" a="1"/>
  <c r="M5032" i="4" s="1"/>
  <c r="O5032" i="4" s="1"/>
  <c r="I5032" i="4"/>
  <c r="P5031" i="4"/>
  <c r="K5031" i="4"/>
  <c r="J5031" i="4"/>
  <c r="M5031" i="4" s="1" a="1"/>
  <c r="M5031" i="4" s="1"/>
  <c r="O5031" i="4" s="1"/>
  <c r="I5031" i="4"/>
  <c r="P5030" i="4"/>
  <c r="M5030" i="4" a="1"/>
  <c r="M5030" i="4" s="1"/>
  <c r="O5030" i="4" s="1"/>
  <c r="K5030" i="4"/>
  <c r="J5030" i="4"/>
  <c r="I5030" i="4"/>
  <c r="P5029" i="4"/>
  <c r="K5029" i="4"/>
  <c r="J5029" i="4"/>
  <c r="I5029" i="4"/>
  <c r="M5029" i="4" s="1" a="1"/>
  <c r="M5029" i="4" s="1"/>
  <c r="O5029" i="4" s="1"/>
  <c r="P5028" i="4"/>
  <c r="K5028" i="4"/>
  <c r="J5028" i="4"/>
  <c r="I5028" i="4"/>
  <c r="M5028" i="4" s="1" a="1"/>
  <c r="M5028" i="4" s="1"/>
  <c r="O5028" i="4" s="1"/>
  <c r="P5027" i="4"/>
  <c r="K5027" i="4"/>
  <c r="J5027" i="4"/>
  <c r="I5027" i="4"/>
  <c r="M5027" i="4" s="1" a="1"/>
  <c r="M5027" i="4" s="1"/>
  <c r="O5027" i="4" s="1"/>
  <c r="P5026" i="4"/>
  <c r="K5026" i="4"/>
  <c r="J5026" i="4"/>
  <c r="I5026" i="4"/>
  <c r="M5026" i="4" s="1" a="1"/>
  <c r="M5026" i="4" s="1"/>
  <c r="O5026" i="4" s="1"/>
  <c r="P5025" i="4"/>
  <c r="O5025" i="4"/>
  <c r="K5025" i="4"/>
  <c r="J5025" i="4"/>
  <c r="I5025" i="4"/>
  <c r="M5025" i="4" s="1" a="1"/>
  <c r="M5025" i="4" s="1"/>
  <c r="P5024" i="4"/>
  <c r="M5024" i="4" a="1"/>
  <c r="M5024" i="4" s="1"/>
  <c r="O5024" i="4" s="1"/>
  <c r="K5024" i="4"/>
  <c r="J5024" i="4"/>
  <c r="I5024" i="4"/>
  <c r="P5023" i="4"/>
  <c r="M5023" i="4" a="1"/>
  <c r="M5023" i="4" s="1"/>
  <c r="O5023" i="4" s="1"/>
  <c r="K5023" i="4"/>
  <c r="J5023" i="4"/>
  <c r="I5023" i="4"/>
  <c r="P5022" i="4"/>
  <c r="K5022" i="4"/>
  <c r="J5022" i="4"/>
  <c r="I5022" i="4"/>
  <c r="M5022" i="4" s="1" a="1"/>
  <c r="M5022" i="4" s="1"/>
  <c r="O5022" i="4" s="1"/>
  <c r="P5021" i="4"/>
  <c r="K5021" i="4"/>
  <c r="J5021" i="4"/>
  <c r="M5021" i="4" s="1" a="1"/>
  <c r="M5021" i="4" s="1"/>
  <c r="O5021" i="4" s="1"/>
  <c r="I5021" i="4"/>
  <c r="P5020" i="4"/>
  <c r="M5020" i="4" a="1"/>
  <c r="M5020" i="4" s="1"/>
  <c r="O5020" i="4" s="1"/>
  <c r="K5020" i="4"/>
  <c r="J5020" i="4"/>
  <c r="I5020" i="4"/>
  <c r="P5019" i="4"/>
  <c r="K5019" i="4"/>
  <c r="J5019" i="4"/>
  <c r="I5019" i="4"/>
  <c r="M5019" i="4" s="1" a="1"/>
  <c r="M5019" i="4" s="1"/>
  <c r="O5019" i="4" s="1"/>
  <c r="P5018" i="4"/>
  <c r="K5018" i="4"/>
  <c r="J5018" i="4"/>
  <c r="M5018" i="4" s="1" a="1"/>
  <c r="M5018" i="4" s="1"/>
  <c r="O5018" i="4" s="1"/>
  <c r="I5018" i="4"/>
  <c r="P5017" i="4"/>
  <c r="M5017" i="4" a="1"/>
  <c r="M5017" i="4" s="1"/>
  <c r="O5017" i="4" s="1"/>
  <c r="K5017" i="4"/>
  <c r="J5017" i="4"/>
  <c r="I5017" i="4"/>
  <c r="P5016" i="4"/>
  <c r="M5016" i="4"/>
  <c r="O5016" i="4" s="1"/>
  <c r="K5016" i="4"/>
  <c r="J5016" i="4"/>
  <c r="M5016" i="4" s="1" a="1"/>
  <c r="I5016" i="4"/>
  <c r="P5015" i="4"/>
  <c r="K5015" i="4"/>
  <c r="J5015" i="4"/>
  <c r="M5015" i="4" s="1" a="1"/>
  <c r="M5015" i="4" s="1"/>
  <c r="O5015" i="4" s="1"/>
  <c r="I5015" i="4"/>
  <c r="P5014" i="4"/>
  <c r="M5014" i="4" a="1"/>
  <c r="M5014" i="4" s="1"/>
  <c r="O5014" i="4" s="1"/>
  <c r="K5014" i="4"/>
  <c r="J5014" i="4"/>
  <c r="I5014" i="4"/>
  <c r="P5013" i="4"/>
  <c r="M5013" i="4"/>
  <c r="O5013" i="4" s="1"/>
  <c r="K5013" i="4"/>
  <c r="J5013" i="4"/>
  <c r="I5013" i="4"/>
  <c r="M5013" i="4" s="1" a="1"/>
  <c r="P5012" i="4"/>
  <c r="K5012" i="4"/>
  <c r="J5012" i="4"/>
  <c r="I5012" i="4"/>
  <c r="M5012" i="4" s="1" a="1"/>
  <c r="M5012" i="4" s="1"/>
  <c r="O5012" i="4" s="1"/>
  <c r="P5011" i="4"/>
  <c r="K5011" i="4"/>
  <c r="J5011" i="4"/>
  <c r="I5011" i="4"/>
  <c r="P5010" i="4"/>
  <c r="K5010" i="4"/>
  <c r="J5010" i="4"/>
  <c r="I5010" i="4"/>
  <c r="M5010" i="4" s="1" a="1"/>
  <c r="M5010" i="4" s="1"/>
  <c r="O5010" i="4" s="1"/>
  <c r="P5009" i="4"/>
  <c r="O5009" i="4"/>
  <c r="K5009" i="4"/>
  <c r="J5009" i="4"/>
  <c r="I5009" i="4"/>
  <c r="M5009" i="4" s="1" a="1"/>
  <c r="M5009" i="4" s="1"/>
  <c r="P5008" i="4"/>
  <c r="K5008" i="4"/>
  <c r="M5008" i="4" s="1" a="1"/>
  <c r="M5008" i="4" s="1"/>
  <c r="O5008" i="4" s="1"/>
  <c r="J5008" i="4"/>
  <c r="I5008" i="4"/>
  <c r="P5007" i="4"/>
  <c r="M5007" i="4"/>
  <c r="O5007" i="4" s="1"/>
  <c r="M5007" i="4" a="1"/>
  <c r="K5007" i="4"/>
  <c r="J5007" i="4"/>
  <c r="I5007" i="4"/>
  <c r="P5006" i="4"/>
  <c r="O5006" i="4"/>
  <c r="K5006" i="4"/>
  <c r="J5006" i="4"/>
  <c r="I5006" i="4"/>
  <c r="M5006" i="4" s="1" a="1"/>
  <c r="M5006" i="4" s="1"/>
  <c r="P5005" i="4"/>
  <c r="K5005" i="4"/>
  <c r="J5005" i="4"/>
  <c r="I5005" i="4"/>
  <c r="P5004" i="4"/>
  <c r="M5004" i="4" a="1"/>
  <c r="M5004" i="4" s="1"/>
  <c r="O5004" i="4" s="1"/>
  <c r="K5004" i="4"/>
  <c r="J5004" i="4"/>
  <c r="I5004" i="4"/>
  <c r="P5003" i="4"/>
  <c r="K5003" i="4"/>
  <c r="J5003" i="4"/>
  <c r="I5003" i="4"/>
  <c r="M5003" i="4" s="1" a="1"/>
  <c r="M5003" i="4" s="1"/>
  <c r="O5003" i="4" s="1"/>
  <c r="P5002" i="4"/>
  <c r="K5002" i="4"/>
  <c r="J5002" i="4"/>
  <c r="M5002" i="4" s="1" a="1"/>
  <c r="M5002" i="4" s="1"/>
  <c r="O5002" i="4" s="1"/>
  <c r="I5002" i="4"/>
  <c r="P5001" i="4"/>
  <c r="M5001" i="4" a="1"/>
  <c r="M5001" i="4" s="1"/>
  <c r="O5001" i="4" s="1"/>
  <c r="K5001" i="4"/>
  <c r="J5001" i="4"/>
  <c r="I5001" i="4"/>
  <c r="P5000" i="4"/>
  <c r="K5000" i="4"/>
  <c r="J5000" i="4"/>
  <c r="M5000" i="4" s="1" a="1"/>
  <c r="M5000" i="4" s="1"/>
  <c r="O5000" i="4" s="1"/>
  <c r="I5000" i="4"/>
  <c r="P4999" i="4"/>
  <c r="K4999" i="4"/>
  <c r="J4999" i="4"/>
  <c r="M4999" i="4" s="1" a="1"/>
  <c r="M4999" i="4" s="1"/>
  <c r="O4999" i="4" s="1"/>
  <c r="I4999" i="4"/>
  <c r="P4998" i="4"/>
  <c r="M4998" i="4" a="1"/>
  <c r="M4998" i="4" s="1"/>
  <c r="O4998" i="4" s="1"/>
  <c r="K4998" i="4"/>
  <c r="J4998" i="4"/>
  <c r="I4998" i="4"/>
  <c r="P4997" i="4"/>
  <c r="M4997" i="4"/>
  <c r="O4997" i="4" s="1"/>
  <c r="K4997" i="4"/>
  <c r="J4997" i="4"/>
  <c r="I4997" i="4"/>
  <c r="M4997" i="4" s="1" a="1"/>
  <c r="P4996" i="4"/>
  <c r="K4996" i="4"/>
  <c r="J4996" i="4"/>
  <c r="I4996" i="4"/>
  <c r="P4995" i="4"/>
  <c r="K4995" i="4"/>
  <c r="J4995" i="4"/>
  <c r="I4995" i="4"/>
  <c r="M4995" i="4" s="1" a="1"/>
  <c r="M4995" i="4" s="1"/>
  <c r="O4995" i="4" s="1"/>
  <c r="P4994" i="4"/>
  <c r="K4994" i="4"/>
  <c r="J4994" i="4"/>
  <c r="I4994" i="4"/>
  <c r="M4994" i="4" s="1" a="1"/>
  <c r="M4994" i="4" s="1"/>
  <c r="O4994" i="4" s="1"/>
  <c r="P4993" i="4"/>
  <c r="K4993" i="4"/>
  <c r="J4993" i="4"/>
  <c r="I4993" i="4"/>
  <c r="M4993" i="4" s="1" a="1"/>
  <c r="M4993" i="4" s="1"/>
  <c r="O4993" i="4" s="1"/>
  <c r="P4992" i="4"/>
  <c r="K4992" i="4"/>
  <c r="M4992" i="4" s="1" a="1"/>
  <c r="M4992" i="4" s="1"/>
  <c r="O4992" i="4" s="1"/>
  <c r="J4992" i="4"/>
  <c r="I4992" i="4"/>
  <c r="P4991" i="4"/>
  <c r="M4991" i="4" a="1"/>
  <c r="M4991" i="4" s="1"/>
  <c r="O4991" i="4" s="1"/>
  <c r="K4991" i="4"/>
  <c r="J4991" i="4"/>
  <c r="I4991" i="4"/>
  <c r="P4990" i="4"/>
  <c r="O4990" i="4"/>
  <c r="K4990" i="4"/>
  <c r="J4990" i="4"/>
  <c r="I4990" i="4"/>
  <c r="M4990" i="4" s="1" a="1"/>
  <c r="M4990" i="4" s="1"/>
  <c r="P4989" i="4"/>
  <c r="K4989" i="4"/>
  <c r="J4989" i="4"/>
  <c r="M4989" i="4" s="1" a="1"/>
  <c r="M4989" i="4" s="1"/>
  <c r="O4989" i="4" s="1"/>
  <c r="I4989" i="4"/>
  <c r="P4988" i="4"/>
  <c r="M4988" i="4" a="1"/>
  <c r="M4988" i="4" s="1"/>
  <c r="O4988" i="4" s="1"/>
  <c r="K4988" i="4"/>
  <c r="J4988" i="4"/>
  <c r="I4988" i="4"/>
  <c r="P4987" i="4"/>
  <c r="K4987" i="4"/>
  <c r="J4987" i="4"/>
  <c r="I4987" i="4"/>
  <c r="M4987" i="4" s="1" a="1"/>
  <c r="M4987" i="4" s="1"/>
  <c r="O4987" i="4" s="1"/>
  <c r="P4986" i="4"/>
  <c r="K4986" i="4"/>
  <c r="J4986" i="4"/>
  <c r="M4986" i="4" s="1" a="1"/>
  <c r="M4986" i="4" s="1"/>
  <c r="O4986" i="4" s="1"/>
  <c r="I4986" i="4"/>
  <c r="P4985" i="4"/>
  <c r="M4985" i="4" a="1"/>
  <c r="M4985" i="4" s="1"/>
  <c r="O4985" i="4" s="1"/>
  <c r="K4985" i="4"/>
  <c r="J4985" i="4"/>
  <c r="I4985" i="4"/>
  <c r="P4984" i="4"/>
  <c r="O4984" i="4"/>
  <c r="K4984" i="4"/>
  <c r="J4984" i="4"/>
  <c r="M4984" i="4" s="1" a="1"/>
  <c r="M4984" i="4" s="1"/>
  <c r="I4984" i="4"/>
  <c r="P4983" i="4"/>
  <c r="K4983" i="4"/>
  <c r="J4983" i="4"/>
  <c r="I4983" i="4"/>
  <c r="M4983" i="4" s="1" a="1"/>
  <c r="M4983" i="4" s="1"/>
  <c r="O4983" i="4" s="1"/>
  <c r="P4982" i="4"/>
  <c r="K4982" i="4"/>
  <c r="M4982" i="4" s="1" a="1"/>
  <c r="M4982" i="4" s="1"/>
  <c r="O4982" i="4" s="1"/>
  <c r="J4982" i="4"/>
  <c r="I4982" i="4"/>
  <c r="P4981" i="4"/>
  <c r="K4981" i="4"/>
  <c r="J4981" i="4"/>
  <c r="I4981" i="4"/>
  <c r="M4981" i="4" s="1" a="1"/>
  <c r="M4981" i="4" s="1"/>
  <c r="O4981" i="4" s="1"/>
  <c r="P4980" i="4"/>
  <c r="K4980" i="4"/>
  <c r="J4980" i="4"/>
  <c r="I4980" i="4"/>
  <c r="P4979" i="4"/>
  <c r="K4979" i="4"/>
  <c r="J4979" i="4"/>
  <c r="I4979" i="4"/>
  <c r="P4978" i="4"/>
  <c r="K4978" i="4"/>
  <c r="J4978" i="4"/>
  <c r="I4978" i="4"/>
  <c r="M4978" i="4" s="1" a="1"/>
  <c r="M4978" i="4" s="1"/>
  <c r="O4978" i="4" s="1"/>
  <c r="P4977" i="4"/>
  <c r="O4977" i="4"/>
  <c r="K4977" i="4"/>
  <c r="J4977" i="4"/>
  <c r="I4977" i="4"/>
  <c r="M4977" i="4" s="1" a="1"/>
  <c r="M4977" i="4" s="1"/>
  <c r="P4976" i="4"/>
  <c r="K4976" i="4"/>
  <c r="M4976" i="4" s="1" a="1"/>
  <c r="M4976" i="4" s="1"/>
  <c r="O4976" i="4" s="1"/>
  <c r="J4976" i="4"/>
  <c r="I4976" i="4"/>
  <c r="P4975" i="4"/>
  <c r="M4975" i="4"/>
  <c r="O4975" i="4" s="1"/>
  <c r="M4975" i="4" a="1"/>
  <c r="K4975" i="4"/>
  <c r="J4975" i="4"/>
  <c r="I4975" i="4"/>
  <c r="P4974" i="4"/>
  <c r="K4974" i="4"/>
  <c r="J4974" i="4"/>
  <c r="I4974" i="4"/>
  <c r="M4974" i="4" s="1" a="1"/>
  <c r="M4974" i="4" s="1"/>
  <c r="O4974" i="4" s="1"/>
  <c r="P4973" i="4"/>
  <c r="K4973" i="4"/>
  <c r="J4973" i="4"/>
  <c r="M4973" i="4" s="1" a="1"/>
  <c r="M4973" i="4" s="1"/>
  <c r="O4973" i="4" s="1"/>
  <c r="I4973" i="4"/>
  <c r="P4972" i="4"/>
  <c r="M4972" i="4" a="1"/>
  <c r="M4972" i="4" s="1"/>
  <c r="O4972" i="4" s="1"/>
  <c r="K4972" i="4"/>
  <c r="J4972" i="4"/>
  <c r="I4972" i="4"/>
  <c r="P4971" i="4"/>
  <c r="K4971" i="4"/>
  <c r="J4971" i="4"/>
  <c r="I4971" i="4"/>
  <c r="M4971" i="4" s="1" a="1"/>
  <c r="M4971" i="4" s="1"/>
  <c r="O4971" i="4" s="1"/>
  <c r="P4970" i="4"/>
  <c r="K4970" i="4"/>
  <c r="J4970" i="4"/>
  <c r="M4970" i="4" s="1" a="1"/>
  <c r="M4970" i="4" s="1"/>
  <c r="O4970" i="4" s="1"/>
  <c r="I4970" i="4"/>
  <c r="P4969" i="4"/>
  <c r="M4969" i="4" a="1"/>
  <c r="M4969" i="4" s="1"/>
  <c r="O4969" i="4" s="1"/>
  <c r="K4969" i="4"/>
  <c r="J4969" i="4"/>
  <c r="I4969" i="4"/>
  <c r="P4968" i="4"/>
  <c r="K4968" i="4"/>
  <c r="J4968" i="4"/>
  <c r="M4968" i="4" s="1" a="1"/>
  <c r="M4968" i="4" s="1"/>
  <c r="O4968" i="4" s="1"/>
  <c r="I4968" i="4"/>
  <c r="P4967" i="4"/>
  <c r="K4967" i="4"/>
  <c r="J4967" i="4"/>
  <c r="I4967" i="4"/>
  <c r="M4967" i="4" s="1" a="1"/>
  <c r="M4967" i="4" s="1"/>
  <c r="O4967" i="4" s="1"/>
  <c r="P4966" i="4"/>
  <c r="M4966" i="4" a="1"/>
  <c r="M4966" i="4" s="1"/>
  <c r="O4966" i="4" s="1"/>
  <c r="K4966" i="4"/>
  <c r="J4966" i="4"/>
  <c r="I4966" i="4"/>
  <c r="P4965" i="4"/>
  <c r="K4965" i="4"/>
  <c r="J4965" i="4"/>
  <c r="I4965" i="4"/>
  <c r="M4965" i="4" s="1" a="1"/>
  <c r="M4965" i="4" s="1"/>
  <c r="O4965" i="4" s="1"/>
  <c r="P4964" i="4"/>
  <c r="K4964" i="4"/>
  <c r="J4964" i="4"/>
  <c r="I4964" i="4"/>
  <c r="P4963" i="4"/>
  <c r="K4963" i="4"/>
  <c r="J4963" i="4"/>
  <c r="I4963" i="4"/>
  <c r="M4963" i="4" s="1" a="1"/>
  <c r="M4963" i="4" s="1"/>
  <c r="O4963" i="4" s="1"/>
  <c r="P4962" i="4"/>
  <c r="K4962" i="4"/>
  <c r="J4962" i="4"/>
  <c r="I4962" i="4"/>
  <c r="M4962" i="4" s="1" a="1"/>
  <c r="M4962" i="4" s="1"/>
  <c r="O4962" i="4" s="1"/>
  <c r="P4961" i="4"/>
  <c r="O4961" i="4"/>
  <c r="K4961" i="4"/>
  <c r="J4961" i="4"/>
  <c r="I4961" i="4"/>
  <c r="M4961" i="4" s="1" a="1"/>
  <c r="M4961" i="4" s="1"/>
  <c r="P4960" i="4"/>
  <c r="K4960" i="4"/>
  <c r="M4960" i="4" s="1" a="1"/>
  <c r="M4960" i="4" s="1"/>
  <c r="O4960" i="4" s="1"/>
  <c r="J4960" i="4"/>
  <c r="I4960" i="4"/>
  <c r="P4959" i="4"/>
  <c r="K4959" i="4"/>
  <c r="J4959" i="4"/>
  <c r="I4959" i="4"/>
  <c r="M4959" i="4" s="1" a="1"/>
  <c r="M4959" i="4" s="1"/>
  <c r="O4959" i="4" s="1"/>
  <c r="P4958" i="4"/>
  <c r="O4958" i="4"/>
  <c r="K4958" i="4"/>
  <c r="J4958" i="4"/>
  <c r="I4958" i="4"/>
  <c r="M4958" i="4" s="1" a="1"/>
  <c r="M4958" i="4" s="1"/>
  <c r="P4957" i="4"/>
  <c r="K4957" i="4"/>
  <c r="J4957" i="4"/>
  <c r="I4957" i="4"/>
  <c r="P4956" i="4"/>
  <c r="M4956" i="4" a="1"/>
  <c r="M4956" i="4" s="1"/>
  <c r="O4956" i="4" s="1"/>
  <c r="K4956" i="4"/>
  <c r="J4956" i="4"/>
  <c r="I4956" i="4"/>
  <c r="P4955" i="4"/>
  <c r="K4955" i="4"/>
  <c r="J4955" i="4"/>
  <c r="I4955" i="4"/>
  <c r="M4955" i="4" s="1" a="1"/>
  <c r="M4955" i="4" s="1"/>
  <c r="O4955" i="4" s="1"/>
  <c r="P4954" i="4"/>
  <c r="M4954" i="4" a="1"/>
  <c r="M4954" i="4" s="1"/>
  <c r="O4954" i="4" s="1"/>
  <c r="K4954" i="4"/>
  <c r="J4954" i="4"/>
  <c r="I4954" i="4"/>
  <c r="P4953" i="4"/>
  <c r="M4953" i="4" a="1"/>
  <c r="M4953" i="4" s="1"/>
  <c r="O4953" i="4" s="1"/>
  <c r="K4953" i="4"/>
  <c r="J4953" i="4"/>
  <c r="I4953" i="4"/>
  <c r="P4952" i="4"/>
  <c r="K4952" i="4"/>
  <c r="J4952" i="4"/>
  <c r="M4952" i="4" s="1" a="1"/>
  <c r="M4952" i="4" s="1"/>
  <c r="O4952" i="4" s="1"/>
  <c r="I4952" i="4"/>
  <c r="P4951" i="4"/>
  <c r="K4951" i="4"/>
  <c r="J4951" i="4"/>
  <c r="I4951" i="4"/>
  <c r="P4950" i="4"/>
  <c r="K4950" i="4"/>
  <c r="M4950" i="4" s="1" a="1"/>
  <c r="M4950" i="4" s="1"/>
  <c r="O4950" i="4" s="1"/>
  <c r="J4950" i="4"/>
  <c r="I4950" i="4"/>
  <c r="P4949" i="4"/>
  <c r="M4949" i="4"/>
  <c r="O4949" i="4" s="1"/>
  <c r="K4949" i="4"/>
  <c r="J4949" i="4"/>
  <c r="I4949" i="4"/>
  <c r="M4949" i="4" s="1" a="1"/>
  <c r="P4948" i="4"/>
  <c r="K4948" i="4"/>
  <c r="J4948" i="4"/>
  <c r="I4948" i="4"/>
  <c r="M4948" i="4" s="1" a="1"/>
  <c r="M4948" i="4" s="1"/>
  <c r="O4948" i="4" s="1"/>
  <c r="P4947" i="4"/>
  <c r="K4947" i="4"/>
  <c r="J4947" i="4"/>
  <c r="I4947" i="4"/>
  <c r="M4947" i="4" s="1" a="1"/>
  <c r="M4947" i="4" s="1"/>
  <c r="O4947" i="4" s="1"/>
  <c r="P4946" i="4"/>
  <c r="K4946" i="4"/>
  <c r="J4946" i="4"/>
  <c r="I4946" i="4"/>
  <c r="M4946" i="4" s="1" a="1"/>
  <c r="M4946" i="4" s="1"/>
  <c r="O4946" i="4" s="1"/>
  <c r="P4945" i="4"/>
  <c r="K4945" i="4"/>
  <c r="J4945" i="4"/>
  <c r="I4945" i="4"/>
  <c r="P4944" i="4"/>
  <c r="K4944" i="4"/>
  <c r="M4944" i="4" s="1" a="1"/>
  <c r="M4944" i="4" s="1"/>
  <c r="O4944" i="4" s="1"/>
  <c r="J4944" i="4"/>
  <c r="I4944" i="4"/>
  <c r="P4943" i="4"/>
  <c r="K4943" i="4"/>
  <c r="J4943" i="4"/>
  <c r="I4943" i="4"/>
  <c r="M4943" i="4" s="1" a="1"/>
  <c r="M4943" i="4" s="1"/>
  <c r="O4943" i="4" s="1"/>
  <c r="P4942" i="4"/>
  <c r="O4942" i="4"/>
  <c r="K4942" i="4"/>
  <c r="J4942" i="4"/>
  <c r="I4942" i="4"/>
  <c r="M4942" i="4" s="1" a="1"/>
  <c r="M4942" i="4" s="1"/>
  <c r="P4941" i="4"/>
  <c r="K4941" i="4"/>
  <c r="J4941" i="4"/>
  <c r="M4941" i="4" s="1" a="1"/>
  <c r="M4941" i="4" s="1"/>
  <c r="O4941" i="4" s="1"/>
  <c r="I4941" i="4"/>
  <c r="P4940" i="4"/>
  <c r="O4940" i="4"/>
  <c r="M4940" i="4" a="1"/>
  <c r="M4940" i="4" s="1"/>
  <c r="K4940" i="4"/>
  <c r="J4940" i="4"/>
  <c r="I4940" i="4"/>
  <c r="P4939" i="4"/>
  <c r="K4939" i="4"/>
  <c r="J4939" i="4"/>
  <c r="I4939" i="4"/>
  <c r="P4938" i="4"/>
  <c r="K4938" i="4"/>
  <c r="J4938" i="4"/>
  <c r="M4938" i="4" s="1" a="1"/>
  <c r="M4938" i="4" s="1"/>
  <c r="O4938" i="4" s="1"/>
  <c r="I4938" i="4"/>
  <c r="P4937" i="4"/>
  <c r="M4937" i="4"/>
  <c r="O4937" i="4" s="1"/>
  <c r="M4937" i="4" a="1"/>
  <c r="K4937" i="4"/>
  <c r="J4937" i="4"/>
  <c r="I4937" i="4"/>
  <c r="P4936" i="4"/>
  <c r="O4936" i="4"/>
  <c r="M4936" i="4"/>
  <c r="K4936" i="4"/>
  <c r="J4936" i="4"/>
  <c r="M4936" i="4" s="1" a="1"/>
  <c r="I4936" i="4"/>
  <c r="P4935" i="4"/>
  <c r="K4935" i="4"/>
  <c r="J4935" i="4"/>
  <c r="I4935" i="4"/>
  <c r="P4934" i="4"/>
  <c r="K4934" i="4"/>
  <c r="M4934" i="4" s="1" a="1"/>
  <c r="M4934" i="4" s="1"/>
  <c r="O4934" i="4" s="1"/>
  <c r="J4934" i="4"/>
  <c r="I4934" i="4"/>
  <c r="P4933" i="4"/>
  <c r="M4933" i="4"/>
  <c r="O4933" i="4" s="1"/>
  <c r="K4933" i="4"/>
  <c r="J4933" i="4"/>
  <c r="I4933" i="4"/>
  <c r="M4933" i="4" s="1" a="1"/>
  <c r="P4932" i="4"/>
  <c r="K4932" i="4"/>
  <c r="J4932" i="4"/>
  <c r="I4932" i="4"/>
  <c r="M4932" i="4" s="1" a="1"/>
  <c r="M4932" i="4" s="1"/>
  <c r="O4932" i="4" s="1"/>
  <c r="P4931" i="4"/>
  <c r="M4931" i="4"/>
  <c r="O4931" i="4" s="1"/>
  <c r="K4931" i="4"/>
  <c r="J4931" i="4"/>
  <c r="I4931" i="4"/>
  <c r="M4931" i="4" s="1" a="1"/>
  <c r="P4930" i="4"/>
  <c r="M4930" i="4"/>
  <c r="O4930" i="4" s="1"/>
  <c r="K4930" i="4"/>
  <c r="J4930" i="4"/>
  <c r="I4930" i="4"/>
  <c r="M4930" i="4" s="1" a="1"/>
  <c r="P4929" i="4"/>
  <c r="O4929" i="4"/>
  <c r="K4929" i="4"/>
  <c r="J4929" i="4"/>
  <c r="I4929" i="4"/>
  <c r="M4929" i="4" s="1" a="1"/>
  <c r="M4929" i="4" s="1"/>
  <c r="P4928" i="4"/>
  <c r="M4928" i="4" a="1"/>
  <c r="M4928" i="4" s="1"/>
  <c r="O4928" i="4" s="1"/>
  <c r="K4928" i="4"/>
  <c r="J4928" i="4"/>
  <c r="I4928" i="4"/>
  <c r="P4927" i="4"/>
  <c r="M4927" i="4"/>
  <c r="O4927" i="4" s="1"/>
  <c r="M4927" i="4" a="1"/>
  <c r="K4927" i="4"/>
  <c r="J4927" i="4"/>
  <c r="I4927" i="4"/>
  <c r="P4926" i="4"/>
  <c r="K4926" i="4"/>
  <c r="J4926" i="4"/>
  <c r="I4926" i="4"/>
  <c r="P4925" i="4"/>
  <c r="K4925" i="4"/>
  <c r="J4925" i="4"/>
  <c r="I4925" i="4"/>
  <c r="M4925" i="4" s="1" a="1"/>
  <c r="M4925" i="4" s="1"/>
  <c r="O4925" i="4" s="1"/>
  <c r="P4924" i="4"/>
  <c r="O4924" i="4"/>
  <c r="M4924" i="4" a="1"/>
  <c r="M4924" i="4" s="1"/>
  <c r="K4924" i="4"/>
  <c r="J4924" i="4"/>
  <c r="I4924" i="4"/>
  <c r="P4923" i="4"/>
  <c r="K4923" i="4"/>
  <c r="J4923" i="4"/>
  <c r="I4923" i="4"/>
  <c r="P4922" i="4"/>
  <c r="K4922" i="4"/>
  <c r="J4922" i="4"/>
  <c r="M4922" i="4" s="1" a="1"/>
  <c r="M4922" i="4" s="1"/>
  <c r="O4922" i="4" s="1"/>
  <c r="I4922" i="4"/>
  <c r="P4921" i="4"/>
  <c r="K4921" i="4"/>
  <c r="J4921" i="4"/>
  <c r="I4921" i="4"/>
  <c r="M4921" i="4" s="1" a="1"/>
  <c r="M4921" i="4" s="1"/>
  <c r="O4921" i="4" s="1"/>
  <c r="P4920" i="4"/>
  <c r="M4920" i="4"/>
  <c r="O4920" i="4" s="1"/>
  <c r="M4920" i="4" a="1"/>
  <c r="K4920" i="4"/>
  <c r="J4920" i="4"/>
  <c r="I4920" i="4"/>
  <c r="P4919" i="4"/>
  <c r="K4919" i="4"/>
  <c r="J4919" i="4"/>
  <c r="I4919" i="4"/>
  <c r="P4918" i="4"/>
  <c r="K4918" i="4"/>
  <c r="J4918" i="4"/>
  <c r="M4918" i="4" s="1" a="1"/>
  <c r="M4918" i="4" s="1"/>
  <c r="O4918" i="4" s="1"/>
  <c r="I4918" i="4"/>
  <c r="P4917" i="4"/>
  <c r="K4917" i="4"/>
  <c r="J4917" i="4"/>
  <c r="I4917" i="4"/>
  <c r="M4917" i="4" s="1" a="1"/>
  <c r="M4917" i="4" s="1"/>
  <c r="O4917" i="4" s="1"/>
  <c r="P4916" i="4"/>
  <c r="K4916" i="4"/>
  <c r="J4916" i="4"/>
  <c r="I4916" i="4"/>
  <c r="M4916" i="4" s="1" a="1"/>
  <c r="M4916" i="4" s="1"/>
  <c r="O4916" i="4" s="1"/>
  <c r="P4915" i="4"/>
  <c r="K4915" i="4"/>
  <c r="J4915" i="4"/>
  <c r="I4915" i="4"/>
  <c r="M4915" i="4" s="1" a="1"/>
  <c r="M4915" i="4" s="1"/>
  <c r="O4915" i="4" s="1"/>
  <c r="P4914" i="4"/>
  <c r="K4914" i="4"/>
  <c r="J4914" i="4"/>
  <c r="I4914" i="4"/>
  <c r="M4914" i="4" s="1" a="1"/>
  <c r="M4914" i="4" s="1"/>
  <c r="O4914" i="4" s="1"/>
  <c r="P4913" i="4"/>
  <c r="K4913" i="4"/>
  <c r="J4913" i="4"/>
  <c r="I4913" i="4"/>
  <c r="P4912" i="4"/>
  <c r="K4912" i="4"/>
  <c r="M4912" i="4" s="1" a="1"/>
  <c r="M4912" i="4" s="1"/>
  <c r="O4912" i="4" s="1"/>
  <c r="J4912" i="4"/>
  <c r="I4912" i="4"/>
  <c r="P4911" i="4"/>
  <c r="M4911" i="4" a="1"/>
  <c r="M4911" i="4" s="1"/>
  <c r="O4911" i="4" s="1"/>
  <c r="K4911" i="4"/>
  <c r="J4911" i="4"/>
  <c r="I4911" i="4"/>
  <c r="P4910" i="4"/>
  <c r="O4910" i="4"/>
  <c r="K4910" i="4"/>
  <c r="J4910" i="4"/>
  <c r="I4910" i="4"/>
  <c r="M4910" i="4" s="1" a="1"/>
  <c r="M4910" i="4" s="1"/>
  <c r="P4909" i="4"/>
  <c r="K4909" i="4"/>
  <c r="J4909" i="4"/>
  <c r="I4909" i="4"/>
  <c r="M4909" i="4" s="1" a="1"/>
  <c r="M4909" i="4" s="1"/>
  <c r="O4909" i="4" s="1"/>
  <c r="P4908" i="4"/>
  <c r="K4908" i="4"/>
  <c r="M4908" i="4" s="1" a="1"/>
  <c r="M4908" i="4" s="1"/>
  <c r="O4908" i="4" s="1"/>
  <c r="J4908" i="4"/>
  <c r="I4908" i="4"/>
  <c r="P4907" i="4"/>
  <c r="M4907" i="4" a="1"/>
  <c r="M4907" i="4" s="1"/>
  <c r="O4907" i="4" s="1"/>
  <c r="K4907" i="4"/>
  <c r="J4907" i="4"/>
  <c r="I4907" i="4"/>
  <c r="P4906" i="4"/>
  <c r="M4906" i="4" a="1"/>
  <c r="M4906" i="4" s="1"/>
  <c r="O4906" i="4" s="1"/>
  <c r="K4906" i="4"/>
  <c r="J4906" i="4"/>
  <c r="I4906" i="4"/>
  <c r="P4905" i="4"/>
  <c r="M4905" i="4"/>
  <c r="O4905" i="4" s="1"/>
  <c r="K4905" i="4"/>
  <c r="J4905" i="4"/>
  <c r="I4905" i="4"/>
  <c r="M4905" i="4" s="1" a="1"/>
  <c r="P4904" i="4"/>
  <c r="M4904" i="4" a="1"/>
  <c r="M4904" i="4" s="1"/>
  <c r="O4904" i="4" s="1"/>
  <c r="K4904" i="4"/>
  <c r="J4904" i="4"/>
  <c r="I4904" i="4"/>
  <c r="P4903" i="4"/>
  <c r="K4903" i="4"/>
  <c r="J4903" i="4"/>
  <c r="I4903" i="4"/>
  <c r="P4902" i="4"/>
  <c r="M4902" i="4" a="1"/>
  <c r="M4902" i="4" s="1"/>
  <c r="O4902" i="4" s="1"/>
  <c r="K4902" i="4"/>
  <c r="J4902" i="4"/>
  <c r="I4902" i="4"/>
  <c r="P4901" i="4"/>
  <c r="M4901" i="4" a="1"/>
  <c r="M4901" i="4" s="1"/>
  <c r="O4901" i="4" s="1"/>
  <c r="K4901" i="4"/>
  <c r="J4901" i="4"/>
  <c r="I4901" i="4"/>
  <c r="P4900" i="4"/>
  <c r="K4900" i="4"/>
  <c r="J4900" i="4"/>
  <c r="I4900" i="4"/>
  <c r="M4900" i="4" s="1" a="1"/>
  <c r="M4900" i="4" s="1"/>
  <c r="O4900" i="4" s="1"/>
  <c r="P4899" i="4"/>
  <c r="K4899" i="4"/>
  <c r="J4899" i="4"/>
  <c r="I4899" i="4"/>
  <c r="P4898" i="4"/>
  <c r="K4898" i="4"/>
  <c r="J4898" i="4"/>
  <c r="I4898" i="4"/>
  <c r="P4897" i="4"/>
  <c r="K4897" i="4"/>
  <c r="J4897" i="4"/>
  <c r="I4897" i="4"/>
  <c r="M4897" i="4" s="1" a="1"/>
  <c r="M4897" i="4" s="1"/>
  <c r="O4897" i="4" s="1"/>
  <c r="P4896" i="4"/>
  <c r="K4896" i="4"/>
  <c r="J4896" i="4"/>
  <c r="I4896" i="4"/>
  <c r="M4896" i="4" s="1" a="1"/>
  <c r="M4896" i="4" s="1"/>
  <c r="O4896" i="4" s="1"/>
  <c r="P4895" i="4"/>
  <c r="K4895" i="4"/>
  <c r="M4895" i="4" s="1" a="1"/>
  <c r="M4895" i="4" s="1"/>
  <c r="O4895" i="4" s="1"/>
  <c r="J4895" i="4"/>
  <c r="I4895" i="4"/>
  <c r="P4894" i="4"/>
  <c r="K4894" i="4"/>
  <c r="J4894" i="4"/>
  <c r="I4894" i="4"/>
  <c r="M4894" i="4" s="1" a="1"/>
  <c r="M4894" i="4" s="1"/>
  <c r="O4894" i="4" s="1"/>
  <c r="P4893" i="4"/>
  <c r="K4893" i="4"/>
  <c r="J4893" i="4"/>
  <c r="I4893" i="4"/>
  <c r="M4893" i="4" s="1" a="1"/>
  <c r="M4893" i="4" s="1"/>
  <c r="O4893" i="4" s="1"/>
  <c r="P4892" i="4"/>
  <c r="K4892" i="4"/>
  <c r="J4892" i="4"/>
  <c r="M4892" i="4" s="1" a="1"/>
  <c r="M4892" i="4" s="1"/>
  <c r="O4892" i="4" s="1"/>
  <c r="I4892" i="4"/>
  <c r="P4891" i="4"/>
  <c r="K4891" i="4"/>
  <c r="J4891" i="4"/>
  <c r="M4891" i="4" s="1" a="1"/>
  <c r="M4891" i="4" s="1"/>
  <c r="O4891" i="4" s="1"/>
  <c r="I4891" i="4"/>
  <c r="P4890" i="4"/>
  <c r="O4890" i="4"/>
  <c r="M4890" i="4" a="1"/>
  <c r="M4890" i="4" s="1"/>
  <c r="K4890" i="4"/>
  <c r="J4890" i="4"/>
  <c r="I4890" i="4"/>
  <c r="P4889" i="4"/>
  <c r="M4889" i="4" a="1"/>
  <c r="M4889" i="4" s="1"/>
  <c r="O4889" i="4" s="1"/>
  <c r="K4889" i="4"/>
  <c r="J4889" i="4"/>
  <c r="I4889" i="4"/>
  <c r="P4888" i="4"/>
  <c r="M4888" i="4"/>
  <c r="O4888" i="4" s="1"/>
  <c r="M4888" i="4" a="1"/>
  <c r="K4888" i="4"/>
  <c r="J4888" i="4"/>
  <c r="I4888" i="4"/>
  <c r="P4887" i="4"/>
  <c r="K4887" i="4"/>
  <c r="J4887" i="4"/>
  <c r="I4887" i="4"/>
  <c r="M4887" i="4" s="1" a="1"/>
  <c r="M4887" i="4" s="1"/>
  <c r="O4887" i="4" s="1"/>
  <c r="P4886" i="4"/>
  <c r="K4886" i="4"/>
  <c r="J4886" i="4"/>
  <c r="M4886" i="4" s="1" a="1"/>
  <c r="M4886" i="4" s="1"/>
  <c r="O4886" i="4" s="1"/>
  <c r="I4886" i="4"/>
  <c r="P4885" i="4"/>
  <c r="K4885" i="4"/>
  <c r="M4885" i="4" s="1" a="1"/>
  <c r="M4885" i="4" s="1"/>
  <c r="O4885" i="4" s="1"/>
  <c r="J4885" i="4"/>
  <c r="I4885" i="4"/>
  <c r="P4884" i="4"/>
  <c r="M4884" i="4" a="1"/>
  <c r="M4884" i="4" s="1"/>
  <c r="O4884" i="4" s="1"/>
  <c r="K4884" i="4"/>
  <c r="J4884" i="4"/>
  <c r="I4884" i="4"/>
  <c r="P4883" i="4"/>
  <c r="K4883" i="4"/>
  <c r="J4883" i="4"/>
  <c r="I4883" i="4"/>
  <c r="P4882" i="4"/>
  <c r="M4882" i="4"/>
  <c r="O4882" i="4" s="1"/>
  <c r="K4882" i="4"/>
  <c r="J4882" i="4"/>
  <c r="I4882" i="4"/>
  <c r="M4882" i="4" s="1" a="1"/>
  <c r="P4881" i="4"/>
  <c r="K4881" i="4"/>
  <c r="J4881" i="4"/>
  <c r="I4881" i="4"/>
  <c r="M4881" i="4" s="1" a="1"/>
  <c r="M4881" i="4" s="1"/>
  <c r="O4881" i="4" s="1"/>
  <c r="P4880" i="4"/>
  <c r="O4880" i="4"/>
  <c r="M4880" i="4" a="1"/>
  <c r="M4880" i="4" s="1"/>
  <c r="K4880" i="4"/>
  <c r="J4880" i="4"/>
  <c r="I4880" i="4"/>
  <c r="P4879" i="4"/>
  <c r="M4879" i="4" a="1"/>
  <c r="M4879" i="4" s="1"/>
  <c r="O4879" i="4" s="1"/>
  <c r="K4879" i="4"/>
  <c r="J4879" i="4"/>
  <c r="I4879" i="4"/>
  <c r="P4878" i="4"/>
  <c r="K4878" i="4"/>
  <c r="J4878" i="4"/>
  <c r="I4878" i="4"/>
  <c r="M4878" i="4" s="1" a="1"/>
  <c r="M4878" i="4" s="1"/>
  <c r="O4878" i="4" s="1"/>
  <c r="P4877" i="4"/>
  <c r="M4877" i="4"/>
  <c r="O4877" i="4" s="1"/>
  <c r="K4877" i="4"/>
  <c r="J4877" i="4"/>
  <c r="I4877" i="4"/>
  <c r="M4877" i="4" s="1" a="1"/>
  <c r="P4876" i="4"/>
  <c r="K4876" i="4"/>
  <c r="J4876" i="4"/>
  <c r="M4876" i="4" s="1" a="1"/>
  <c r="M4876" i="4" s="1"/>
  <c r="O4876" i="4" s="1"/>
  <c r="I4876" i="4"/>
  <c r="P4875" i="4"/>
  <c r="K4875" i="4"/>
  <c r="J4875" i="4"/>
  <c r="I4875" i="4"/>
  <c r="M4875" i="4" s="1" a="1"/>
  <c r="M4875" i="4" s="1"/>
  <c r="O4875" i="4" s="1"/>
  <c r="P4874" i="4"/>
  <c r="K4874" i="4"/>
  <c r="J4874" i="4"/>
  <c r="M4874" i="4" s="1" a="1"/>
  <c r="M4874" i="4" s="1"/>
  <c r="O4874" i="4" s="1"/>
  <c r="I4874" i="4"/>
  <c r="P4873" i="4"/>
  <c r="K4873" i="4"/>
  <c r="J4873" i="4"/>
  <c r="I4873" i="4"/>
  <c r="M4873" i="4" s="1" a="1"/>
  <c r="M4873" i="4" s="1"/>
  <c r="O4873" i="4" s="1"/>
  <c r="P4872" i="4"/>
  <c r="M4872" i="4" a="1"/>
  <c r="M4872" i="4" s="1"/>
  <c r="O4872" i="4" s="1"/>
  <c r="K4872" i="4"/>
  <c r="J4872" i="4"/>
  <c r="I4872" i="4"/>
  <c r="P4871" i="4"/>
  <c r="K4871" i="4"/>
  <c r="J4871" i="4"/>
  <c r="I4871" i="4"/>
  <c r="M4871" i="4" s="1" a="1"/>
  <c r="M4871" i="4" s="1"/>
  <c r="O4871" i="4" s="1"/>
  <c r="P4870" i="4"/>
  <c r="K4870" i="4"/>
  <c r="M4870" i="4" s="1" a="1"/>
  <c r="M4870" i="4" s="1"/>
  <c r="O4870" i="4" s="1"/>
  <c r="J4870" i="4"/>
  <c r="I4870" i="4"/>
  <c r="P4869" i="4"/>
  <c r="M4869" i="4" a="1"/>
  <c r="M4869" i="4" s="1"/>
  <c r="O4869" i="4" s="1"/>
  <c r="K4869" i="4"/>
  <c r="J4869" i="4"/>
  <c r="I4869" i="4"/>
  <c r="P4868" i="4"/>
  <c r="K4868" i="4"/>
  <c r="J4868" i="4"/>
  <c r="M4868" i="4" s="1" a="1"/>
  <c r="M4868" i="4" s="1"/>
  <c r="O4868" i="4" s="1"/>
  <c r="I4868" i="4"/>
  <c r="P4867" i="4"/>
  <c r="K4867" i="4"/>
  <c r="J4867" i="4"/>
  <c r="I4867" i="4"/>
  <c r="P4866" i="4"/>
  <c r="K4866" i="4"/>
  <c r="J4866" i="4"/>
  <c r="I4866" i="4"/>
  <c r="P4865" i="4"/>
  <c r="K4865" i="4"/>
  <c r="J4865" i="4"/>
  <c r="I4865" i="4"/>
  <c r="P4864" i="4"/>
  <c r="M4864" i="4" a="1"/>
  <c r="M4864" i="4" s="1"/>
  <c r="O4864" i="4" s="1"/>
  <c r="K4864" i="4"/>
  <c r="J4864" i="4"/>
  <c r="I4864" i="4"/>
  <c r="P4863" i="4"/>
  <c r="K4863" i="4"/>
  <c r="J4863" i="4"/>
  <c r="I4863" i="4"/>
  <c r="M4863" i="4" s="1" a="1"/>
  <c r="M4863" i="4" s="1"/>
  <c r="O4863" i="4" s="1"/>
  <c r="P4862" i="4"/>
  <c r="K4862" i="4"/>
  <c r="J4862" i="4"/>
  <c r="M4862" i="4" s="1" a="1"/>
  <c r="M4862" i="4" s="1"/>
  <c r="O4862" i="4" s="1"/>
  <c r="I4862" i="4"/>
  <c r="P4861" i="4"/>
  <c r="M4861" i="4" a="1"/>
  <c r="M4861" i="4" s="1"/>
  <c r="O4861" i="4" s="1"/>
  <c r="K4861" i="4"/>
  <c r="J4861" i="4"/>
  <c r="I4861" i="4"/>
  <c r="P4860" i="4"/>
  <c r="M4860" i="4" a="1"/>
  <c r="M4860" i="4" s="1"/>
  <c r="O4860" i="4" s="1"/>
  <c r="K4860" i="4"/>
  <c r="J4860" i="4"/>
  <c r="I4860" i="4"/>
  <c r="P4859" i="4"/>
  <c r="O4859" i="4"/>
  <c r="K4859" i="4"/>
  <c r="J4859" i="4"/>
  <c r="I4859" i="4"/>
  <c r="M4859" i="4" s="1" a="1"/>
  <c r="M4859" i="4" s="1"/>
  <c r="P4858" i="4"/>
  <c r="K4858" i="4"/>
  <c r="J4858" i="4"/>
  <c r="I4858" i="4"/>
  <c r="M4858" i="4" s="1" a="1"/>
  <c r="M4858" i="4" s="1"/>
  <c r="O4858" i="4" s="1"/>
  <c r="P4857" i="4"/>
  <c r="K4857" i="4"/>
  <c r="J4857" i="4"/>
  <c r="I4857" i="4"/>
  <c r="M4857" i="4" s="1" a="1"/>
  <c r="M4857" i="4" s="1"/>
  <c r="O4857" i="4" s="1"/>
  <c r="P4856" i="4"/>
  <c r="M4856" i="4"/>
  <c r="O4856" i="4" s="1"/>
  <c r="M4856" i="4" a="1"/>
  <c r="K4856" i="4"/>
  <c r="J4856" i="4"/>
  <c r="I4856" i="4"/>
  <c r="P4855" i="4"/>
  <c r="K4855" i="4"/>
  <c r="J4855" i="4"/>
  <c r="I4855" i="4"/>
  <c r="P4854" i="4"/>
  <c r="K4854" i="4"/>
  <c r="J4854" i="4"/>
  <c r="M4854" i="4" s="1" a="1"/>
  <c r="M4854" i="4" s="1"/>
  <c r="O4854" i="4" s="1"/>
  <c r="I4854" i="4"/>
  <c r="P4853" i="4"/>
  <c r="K4853" i="4"/>
  <c r="J4853" i="4"/>
  <c r="I4853" i="4"/>
  <c r="M4853" i="4" s="1" a="1"/>
  <c r="M4853" i="4" s="1"/>
  <c r="O4853" i="4" s="1"/>
  <c r="P4852" i="4"/>
  <c r="K4852" i="4"/>
  <c r="J4852" i="4"/>
  <c r="I4852" i="4"/>
  <c r="M4852" i="4" s="1" a="1"/>
  <c r="M4852" i="4" s="1"/>
  <c r="O4852" i="4" s="1"/>
  <c r="P4851" i="4"/>
  <c r="K4851" i="4"/>
  <c r="J4851" i="4"/>
  <c r="I4851" i="4"/>
  <c r="M4851" i="4" s="1" a="1"/>
  <c r="M4851" i="4" s="1"/>
  <c r="O4851" i="4" s="1"/>
  <c r="P4850" i="4"/>
  <c r="K4850" i="4"/>
  <c r="J4850" i="4"/>
  <c r="I4850" i="4"/>
  <c r="M4850" i="4" s="1" a="1"/>
  <c r="M4850" i="4" s="1"/>
  <c r="O4850" i="4" s="1"/>
  <c r="P4849" i="4"/>
  <c r="K4849" i="4"/>
  <c r="J4849" i="4"/>
  <c r="I4849" i="4"/>
  <c r="P4848" i="4"/>
  <c r="K4848" i="4"/>
  <c r="M4848" i="4" s="1" a="1"/>
  <c r="M4848" i="4" s="1"/>
  <c r="O4848" i="4" s="1"/>
  <c r="J4848" i="4"/>
  <c r="I4848" i="4"/>
  <c r="P4847" i="4"/>
  <c r="M4847" i="4" a="1"/>
  <c r="M4847" i="4" s="1"/>
  <c r="O4847" i="4" s="1"/>
  <c r="K4847" i="4"/>
  <c r="J4847" i="4"/>
  <c r="I4847" i="4"/>
  <c r="P4846" i="4"/>
  <c r="K4846" i="4"/>
  <c r="J4846" i="4"/>
  <c r="I4846" i="4"/>
  <c r="M4846" i="4" s="1" a="1"/>
  <c r="M4846" i="4" s="1"/>
  <c r="O4846" i="4" s="1"/>
  <c r="P4845" i="4"/>
  <c r="K4845" i="4"/>
  <c r="J4845" i="4"/>
  <c r="M4845" i="4" s="1" a="1"/>
  <c r="M4845" i="4" s="1"/>
  <c r="O4845" i="4" s="1"/>
  <c r="I4845" i="4"/>
  <c r="P4844" i="4"/>
  <c r="K4844" i="4"/>
  <c r="M4844" i="4" s="1" a="1"/>
  <c r="M4844" i="4" s="1"/>
  <c r="O4844" i="4" s="1"/>
  <c r="J4844" i="4"/>
  <c r="I4844" i="4"/>
  <c r="P4843" i="4"/>
  <c r="M4843" i="4" a="1"/>
  <c r="M4843" i="4" s="1"/>
  <c r="O4843" i="4" s="1"/>
  <c r="K4843" i="4"/>
  <c r="J4843" i="4"/>
  <c r="I4843" i="4"/>
  <c r="P4842" i="4"/>
  <c r="M4842" i="4" a="1"/>
  <c r="M4842" i="4" s="1"/>
  <c r="O4842" i="4" s="1"/>
  <c r="K4842" i="4"/>
  <c r="J4842" i="4"/>
  <c r="I4842" i="4"/>
  <c r="P4841" i="4"/>
  <c r="M4841" i="4"/>
  <c r="O4841" i="4" s="1"/>
  <c r="K4841" i="4"/>
  <c r="J4841" i="4"/>
  <c r="I4841" i="4"/>
  <c r="M4841" i="4" s="1" a="1"/>
  <c r="P4840" i="4"/>
  <c r="M4840" i="4" a="1"/>
  <c r="M4840" i="4" s="1"/>
  <c r="O4840" i="4" s="1"/>
  <c r="K4840" i="4"/>
  <c r="J4840" i="4"/>
  <c r="I4840" i="4"/>
  <c r="P4839" i="4"/>
  <c r="K4839" i="4"/>
  <c r="J4839" i="4"/>
  <c r="I4839" i="4"/>
  <c r="P4838" i="4"/>
  <c r="M4838" i="4" a="1"/>
  <c r="M4838" i="4" s="1"/>
  <c r="O4838" i="4" s="1"/>
  <c r="K4838" i="4"/>
  <c r="J4838" i="4"/>
  <c r="I4838" i="4"/>
  <c r="P4837" i="4"/>
  <c r="M4837" i="4" a="1"/>
  <c r="M4837" i="4" s="1"/>
  <c r="O4837" i="4" s="1"/>
  <c r="K4837" i="4"/>
  <c r="J4837" i="4"/>
  <c r="I4837" i="4"/>
  <c r="P4836" i="4"/>
  <c r="M4836" i="4"/>
  <c r="O4836" i="4" s="1"/>
  <c r="K4836" i="4"/>
  <c r="J4836" i="4"/>
  <c r="I4836" i="4"/>
  <c r="M4836" i="4" s="1" a="1"/>
  <c r="P4835" i="4"/>
  <c r="K4835" i="4"/>
  <c r="J4835" i="4"/>
  <c r="I4835" i="4"/>
  <c r="P4834" i="4"/>
  <c r="K4834" i="4"/>
  <c r="J4834" i="4"/>
  <c r="I4834" i="4"/>
  <c r="M4834" i="4" s="1" a="1"/>
  <c r="M4834" i="4" s="1"/>
  <c r="O4834" i="4" s="1"/>
  <c r="P4833" i="4"/>
  <c r="K4833" i="4"/>
  <c r="M4833" i="4" s="1" a="1"/>
  <c r="M4833" i="4" s="1"/>
  <c r="O4833" i="4" s="1"/>
  <c r="J4833" i="4"/>
  <c r="I4833" i="4"/>
  <c r="P4832" i="4"/>
  <c r="K4832" i="4"/>
  <c r="J4832" i="4"/>
  <c r="I4832" i="4"/>
  <c r="M4832" i="4" s="1" a="1"/>
  <c r="M4832" i="4" s="1"/>
  <c r="O4832" i="4" s="1"/>
  <c r="P4831" i="4"/>
  <c r="K4831" i="4"/>
  <c r="J4831" i="4"/>
  <c r="I4831" i="4"/>
  <c r="M4831" i="4" s="1" a="1"/>
  <c r="M4831" i="4" s="1"/>
  <c r="O4831" i="4" s="1"/>
  <c r="P4830" i="4"/>
  <c r="K4830" i="4"/>
  <c r="J4830" i="4"/>
  <c r="I4830" i="4"/>
  <c r="M4830" i="4" s="1" a="1"/>
  <c r="M4830" i="4" s="1"/>
  <c r="O4830" i="4" s="1"/>
  <c r="P4829" i="4"/>
  <c r="K4829" i="4"/>
  <c r="M4829" i="4" s="1" a="1"/>
  <c r="M4829" i="4" s="1"/>
  <c r="O4829" i="4" s="1"/>
  <c r="J4829" i="4"/>
  <c r="I4829" i="4"/>
  <c r="P4828" i="4"/>
  <c r="M4828" i="4" a="1"/>
  <c r="M4828" i="4" s="1"/>
  <c r="O4828" i="4" s="1"/>
  <c r="K4828" i="4"/>
  <c r="J4828" i="4"/>
  <c r="I4828" i="4"/>
  <c r="P4827" i="4"/>
  <c r="M4827" i="4" a="1"/>
  <c r="M4827" i="4" s="1"/>
  <c r="O4827" i="4" s="1"/>
  <c r="K4827" i="4"/>
  <c r="J4827" i="4"/>
  <c r="I4827" i="4"/>
  <c r="P4826" i="4"/>
  <c r="O4826" i="4"/>
  <c r="K4826" i="4"/>
  <c r="J4826" i="4"/>
  <c r="I4826" i="4"/>
  <c r="M4826" i="4" s="1" a="1"/>
  <c r="M4826" i="4" s="1"/>
  <c r="P4825" i="4"/>
  <c r="K4825" i="4"/>
  <c r="J4825" i="4"/>
  <c r="I4825" i="4"/>
  <c r="M4825" i="4" s="1" a="1"/>
  <c r="M4825" i="4" s="1"/>
  <c r="O4825" i="4" s="1"/>
  <c r="P4824" i="4"/>
  <c r="K4824" i="4"/>
  <c r="M4824" i="4" s="1" a="1"/>
  <c r="M4824" i="4" s="1"/>
  <c r="O4824" i="4" s="1"/>
  <c r="J4824" i="4"/>
  <c r="I4824" i="4"/>
  <c r="P4823" i="4"/>
  <c r="M4823" i="4"/>
  <c r="O4823" i="4" s="1"/>
  <c r="K4823" i="4"/>
  <c r="J4823" i="4"/>
  <c r="I4823" i="4"/>
  <c r="M4823" i="4" s="1" a="1"/>
  <c r="P4822" i="4"/>
  <c r="M4822" i="4"/>
  <c r="O4822" i="4" s="1"/>
  <c r="M4822" i="4" a="1"/>
  <c r="K4822" i="4"/>
  <c r="J4822" i="4"/>
  <c r="I4822" i="4"/>
  <c r="P4821" i="4"/>
  <c r="K4821" i="4"/>
  <c r="J4821" i="4"/>
  <c r="I4821" i="4"/>
  <c r="M4821" i="4" s="1" a="1"/>
  <c r="M4821" i="4" s="1"/>
  <c r="O4821" i="4" s="1"/>
  <c r="P4820" i="4"/>
  <c r="K4820" i="4"/>
  <c r="J4820" i="4"/>
  <c r="I4820" i="4"/>
  <c r="M4820" i="4" s="1" a="1"/>
  <c r="M4820" i="4" s="1"/>
  <c r="O4820" i="4" s="1"/>
  <c r="P4819" i="4"/>
  <c r="K4819" i="4"/>
  <c r="J4819" i="4"/>
  <c r="I4819" i="4"/>
  <c r="P4818" i="4"/>
  <c r="K4818" i="4"/>
  <c r="J4818" i="4"/>
  <c r="I4818" i="4"/>
  <c r="P4817" i="4"/>
  <c r="M4817" i="4" a="1"/>
  <c r="M4817" i="4" s="1"/>
  <c r="O4817" i="4" s="1"/>
  <c r="K4817" i="4"/>
  <c r="J4817" i="4"/>
  <c r="I4817" i="4"/>
  <c r="P4816" i="4"/>
  <c r="K4816" i="4"/>
  <c r="J4816" i="4"/>
  <c r="I4816" i="4"/>
  <c r="M4816" i="4" s="1" a="1"/>
  <c r="M4816" i="4" s="1"/>
  <c r="O4816" i="4" s="1"/>
  <c r="P4815" i="4"/>
  <c r="K4815" i="4"/>
  <c r="J4815" i="4"/>
  <c r="I4815" i="4"/>
  <c r="M4815" i="4" s="1" a="1"/>
  <c r="M4815" i="4" s="1"/>
  <c r="O4815" i="4" s="1"/>
  <c r="P4814" i="4"/>
  <c r="O4814" i="4"/>
  <c r="M4814" i="4"/>
  <c r="M4814" i="4" a="1"/>
  <c r="K4814" i="4"/>
  <c r="J4814" i="4"/>
  <c r="I4814" i="4"/>
  <c r="P4813" i="4"/>
  <c r="K4813" i="4"/>
  <c r="J4813" i="4"/>
  <c r="I4813" i="4"/>
  <c r="M4813" i="4" s="1" a="1"/>
  <c r="M4813" i="4" s="1"/>
  <c r="O4813" i="4" s="1"/>
  <c r="P4812" i="4"/>
  <c r="O4812" i="4"/>
  <c r="M4812" i="4" a="1"/>
  <c r="M4812" i="4" s="1"/>
  <c r="K4812" i="4"/>
  <c r="J4812" i="4"/>
  <c r="I4812" i="4"/>
  <c r="P4811" i="4"/>
  <c r="K4811" i="4"/>
  <c r="J4811" i="4"/>
  <c r="I4811" i="4"/>
  <c r="M4811" i="4" s="1" a="1"/>
  <c r="M4811" i="4" s="1"/>
  <c r="O4811" i="4" s="1"/>
  <c r="P4810" i="4"/>
  <c r="K4810" i="4"/>
  <c r="J4810" i="4"/>
  <c r="I4810" i="4"/>
  <c r="M4810" i="4" s="1" a="1"/>
  <c r="M4810" i="4" s="1"/>
  <c r="O4810" i="4" s="1"/>
  <c r="P4809" i="4"/>
  <c r="M4809" i="4"/>
  <c r="O4809" i="4" s="1"/>
  <c r="M4809" i="4" a="1"/>
  <c r="K4809" i="4"/>
  <c r="J4809" i="4"/>
  <c r="I4809" i="4"/>
  <c r="P4808" i="4"/>
  <c r="K4808" i="4"/>
  <c r="J4808" i="4"/>
  <c r="M4808" i="4" s="1" a="1"/>
  <c r="M4808" i="4" s="1"/>
  <c r="O4808" i="4" s="1"/>
  <c r="I4808" i="4"/>
  <c r="P4807" i="4"/>
  <c r="K4807" i="4"/>
  <c r="J4807" i="4"/>
  <c r="I4807" i="4"/>
  <c r="P4806" i="4"/>
  <c r="K4806" i="4"/>
  <c r="J4806" i="4"/>
  <c r="M4806" i="4" s="1" a="1"/>
  <c r="M4806" i="4" s="1"/>
  <c r="O4806" i="4" s="1"/>
  <c r="I4806" i="4"/>
  <c r="P4805" i="4"/>
  <c r="K4805" i="4"/>
  <c r="J4805" i="4"/>
  <c r="I4805" i="4"/>
  <c r="M4805" i="4" s="1" a="1"/>
  <c r="M4805" i="4" s="1"/>
  <c r="O4805" i="4" s="1"/>
  <c r="P4804" i="4"/>
  <c r="K4804" i="4"/>
  <c r="M4804" i="4" s="1" a="1"/>
  <c r="M4804" i="4" s="1"/>
  <c r="O4804" i="4" s="1"/>
  <c r="J4804" i="4"/>
  <c r="I4804" i="4"/>
  <c r="P4803" i="4"/>
  <c r="M4803" i="4"/>
  <c r="O4803" i="4" s="1"/>
  <c r="K4803" i="4"/>
  <c r="J4803" i="4"/>
  <c r="I4803" i="4"/>
  <c r="M4803" i="4" s="1" a="1"/>
  <c r="P4802" i="4"/>
  <c r="M4802" i="4"/>
  <c r="O4802" i="4" s="1"/>
  <c r="M4802" i="4" a="1"/>
  <c r="K4802" i="4"/>
  <c r="J4802" i="4"/>
  <c r="I4802" i="4"/>
  <c r="P4801" i="4"/>
  <c r="M4801" i="4" a="1"/>
  <c r="M4801" i="4" s="1"/>
  <c r="O4801" i="4" s="1"/>
  <c r="K4801" i="4"/>
  <c r="J4801" i="4"/>
  <c r="I4801" i="4"/>
  <c r="P4800" i="4"/>
  <c r="K4800" i="4"/>
  <c r="J4800" i="4"/>
  <c r="I4800" i="4"/>
  <c r="M4800" i="4" s="1" a="1"/>
  <c r="M4800" i="4" s="1"/>
  <c r="O4800" i="4" s="1"/>
  <c r="P4799" i="4"/>
  <c r="K4799" i="4"/>
  <c r="J4799" i="4"/>
  <c r="I4799" i="4"/>
  <c r="M4799" i="4" s="1" a="1"/>
  <c r="M4799" i="4" s="1"/>
  <c r="O4799" i="4" s="1"/>
  <c r="P4798" i="4"/>
  <c r="K4798" i="4"/>
  <c r="J4798" i="4"/>
  <c r="I4798" i="4"/>
  <c r="M4798" i="4" s="1" a="1"/>
  <c r="M4798" i="4" s="1"/>
  <c r="O4798" i="4" s="1"/>
  <c r="P4797" i="4"/>
  <c r="K4797" i="4"/>
  <c r="M4797" i="4" s="1" a="1"/>
  <c r="M4797" i="4" s="1"/>
  <c r="O4797" i="4" s="1"/>
  <c r="J4797" i="4"/>
  <c r="I4797" i="4"/>
  <c r="P4796" i="4"/>
  <c r="K4796" i="4"/>
  <c r="J4796" i="4"/>
  <c r="I4796" i="4"/>
  <c r="M4796" i="4" s="1" a="1"/>
  <c r="M4796" i="4" s="1"/>
  <c r="O4796" i="4" s="1"/>
  <c r="P4795" i="4"/>
  <c r="K4795" i="4"/>
  <c r="J4795" i="4"/>
  <c r="I4795" i="4"/>
  <c r="M4795" i="4" s="1" a="1"/>
  <c r="M4795" i="4" s="1"/>
  <c r="O4795" i="4" s="1"/>
  <c r="P4794" i="4"/>
  <c r="K4794" i="4"/>
  <c r="M4794" i="4" s="1" a="1"/>
  <c r="M4794" i="4" s="1"/>
  <c r="O4794" i="4" s="1"/>
  <c r="J4794" i="4"/>
  <c r="I4794" i="4"/>
  <c r="P4793" i="4"/>
  <c r="M4793" i="4" a="1"/>
  <c r="M4793" i="4" s="1"/>
  <c r="O4793" i="4" s="1"/>
  <c r="K4793" i="4"/>
  <c r="J4793" i="4"/>
  <c r="I4793" i="4"/>
  <c r="P4792" i="4"/>
  <c r="K4792" i="4"/>
  <c r="J4792" i="4"/>
  <c r="I4792" i="4"/>
  <c r="M4792" i="4" s="1" a="1"/>
  <c r="M4792" i="4" s="1"/>
  <c r="O4792" i="4" s="1"/>
  <c r="P4791" i="4"/>
  <c r="K4791" i="4"/>
  <c r="J4791" i="4"/>
  <c r="I4791" i="4"/>
  <c r="M4791" i="4" s="1" a="1"/>
  <c r="M4791" i="4" s="1"/>
  <c r="O4791" i="4" s="1"/>
  <c r="P4790" i="4"/>
  <c r="M4790" i="4" a="1"/>
  <c r="M4790" i="4" s="1"/>
  <c r="O4790" i="4" s="1"/>
  <c r="K4790" i="4"/>
  <c r="J4790" i="4"/>
  <c r="I4790" i="4"/>
  <c r="P4789" i="4"/>
  <c r="K4789" i="4"/>
  <c r="J4789" i="4"/>
  <c r="I4789" i="4"/>
  <c r="M4789" i="4" s="1" a="1"/>
  <c r="M4789" i="4" s="1"/>
  <c r="O4789" i="4" s="1"/>
  <c r="P4788" i="4"/>
  <c r="K4788" i="4"/>
  <c r="J4788" i="4"/>
  <c r="M4788" i="4" s="1" a="1"/>
  <c r="M4788" i="4" s="1"/>
  <c r="O4788" i="4" s="1"/>
  <c r="I4788" i="4"/>
  <c r="P4787" i="4"/>
  <c r="M4787" i="4" a="1"/>
  <c r="M4787" i="4" s="1"/>
  <c r="O4787" i="4" s="1"/>
  <c r="K4787" i="4"/>
  <c r="J4787" i="4"/>
  <c r="I4787" i="4"/>
  <c r="P4786" i="4"/>
  <c r="M4786" i="4"/>
  <c r="O4786" i="4" s="1"/>
  <c r="M4786" i="4" a="1"/>
  <c r="K4786" i="4"/>
  <c r="J4786" i="4"/>
  <c r="I4786" i="4"/>
  <c r="P4785" i="4"/>
  <c r="K4785" i="4"/>
  <c r="J4785" i="4"/>
  <c r="M4785" i="4" s="1" a="1"/>
  <c r="M4785" i="4" s="1"/>
  <c r="O4785" i="4" s="1"/>
  <c r="I4785" i="4"/>
  <c r="P4784" i="4"/>
  <c r="K4784" i="4"/>
  <c r="J4784" i="4"/>
  <c r="I4784" i="4"/>
  <c r="M4784" i="4" s="1" a="1"/>
  <c r="M4784" i="4" s="1"/>
  <c r="O4784" i="4" s="1"/>
  <c r="P4783" i="4"/>
  <c r="M4783" i="4"/>
  <c r="O4783" i="4" s="1"/>
  <c r="K4783" i="4"/>
  <c r="J4783" i="4"/>
  <c r="I4783" i="4"/>
  <c r="M4783" i="4" s="1" a="1"/>
  <c r="P4782" i="4"/>
  <c r="K4782" i="4"/>
  <c r="J4782" i="4"/>
  <c r="I4782" i="4"/>
  <c r="M4782" i="4" s="1" a="1"/>
  <c r="M4782" i="4" s="1"/>
  <c r="O4782" i="4" s="1"/>
  <c r="P4781" i="4"/>
  <c r="K4781" i="4"/>
  <c r="M4781" i="4" s="1" a="1"/>
  <c r="M4781" i="4" s="1"/>
  <c r="O4781" i="4" s="1"/>
  <c r="J4781" i="4"/>
  <c r="I4781" i="4"/>
  <c r="P4780" i="4"/>
  <c r="K4780" i="4"/>
  <c r="J4780" i="4"/>
  <c r="I4780" i="4"/>
  <c r="M4780" i="4" s="1" a="1"/>
  <c r="M4780" i="4" s="1"/>
  <c r="O4780" i="4" s="1"/>
  <c r="P4779" i="4"/>
  <c r="K4779" i="4"/>
  <c r="J4779" i="4"/>
  <c r="I4779" i="4"/>
  <c r="M4779" i="4" s="1" a="1"/>
  <c r="M4779" i="4" s="1"/>
  <c r="O4779" i="4" s="1"/>
  <c r="P4778" i="4"/>
  <c r="K4778" i="4"/>
  <c r="M4778" i="4" s="1" a="1"/>
  <c r="M4778" i="4" s="1"/>
  <c r="O4778" i="4" s="1"/>
  <c r="J4778" i="4"/>
  <c r="I4778" i="4"/>
  <c r="P4777" i="4"/>
  <c r="M4777" i="4" a="1"/>
  <c r="M4777" i="4" s="1"/>
  <c r="O4777" i="4" s="1"/>
  <c r="K4777" i="4"/>
  <c r="J4777" i="4"/>
  <c r="I4777" i="4"/>
  <c r="P4776" i="4"/>
  <c r="K4776" i="4"/>
  <c r="J4776" i="4"/>
  <c r="I4776" i="4"/>
  <c r="M4776" i="4" s="1" a="1"/>
  <c r="M4776" i="4" s="1"/>
  <c r="O4776" i="4" s="1"/>
  <c r="P4775" i="4"/>
  <c r="K4775" i="4"/>
  <c r="J4775" i="4"/>
  <c r="I4775" i="4"/>
  <c r="M4775" i="4" s="1" a="1"/>
  <c r="M4775" i="4" s="1"/>
  <c r="O4775" i="4" s="1"/>
  <c r="P4774" i="4"/>
  <c r="M4774" i="4" a="1"/>
  <c r="M4774" i="4" s="1"/>
  <c r="O4774" i="4" s="1"/>
  <c r="K4774" i="4"/>
  <c r="J4774" i="4"/>
  <c r="I4774" i="4"/>
  <c r="P4773" i="4"/>
  <c r="K4773" i="4"/>
  <c r="J4773" i="4"/>
  <c r="I4773" i="4"/>
  <c r="M4773" i="4" s="1" a="1"/>
  <c r="M4773" i="4" s="1"/>
  <c r="O4773" i="4" s="1"/>
  <c r="P4772" i="4"/>
  <c r="K4772" i="4"/>
  <c r="J4772" i="4"/>
  <c r="M4772" i="4" s="1" a="1"/>
  <c r="M4772" i="4" s="1"/>
  <c r="O4772" i="4" s="1"/>
  <c r="I4772" i="4"/>
  <c r="P4771" i="4"/>
  <c r="M4771" i="4" a="1"/>
  <c r="M4771" i="4" s="1"/>
  <c r="O4771" i="4" s="1"/>
  <c r="K4771" i="4"/>
  <c r="J4771" i="4"/>
  <c r="I4771" i="4"/>
  <c r="P4770" i="4"/>
  <c r="M4770" i="4"/>
  <c r="O4770" i="4" s="1"/>
  <c r="M4770" i="4" a="1"/>
  <c r="K4770" i="4"/>
  <c r="J4770" i="4"/>
  <c r="I4770" i="4"/>
  <c r="P4769" i="4"/>
  <c r="K4769" i="4"/>
  <c r="J4769" i="4"/>
  <c r="M4769" i="4" s="1" a="1"/>
  <c r="M4769" i="4" s="1"/>
  <c r="O4769" i="4" s="1"/>
  <c r="I4769" i="4"/>
  <c r="P4768" i="4"/>
  <c r="K4768" i="4"/>
  <c r="J4768" i="4"/>
  <c r="I4768" i="4"/>
  <c r="M4768" i="4" s="1" a="1"/>
  <c r="M4768" i="4" s="1"/>
  <c r="O4768" i="4" s="1"/>
  <c r="P4767" i="4"/>
  <c r="K4767" i="4"/>
  <c r="J4767" i="4"/>
  <c r="I4767" i="4"/>
  <c r="M4767" i="4" s="1" a="1"/>
  <c r="M4767" i="4" s="1"/>
  <c r="O4767" i="4" s="1"/>
  <c r="P4766" i="4"/>
  <c r="K4766" i="4"/>
  <c r="J4766" i="4"/>
  <c r="I4766" i="4"/>
  <c r="M4766" i="4" s="1" a="1"/>
  <c r="M4766" i="4" s="1"/>
  <c r="O4766" i="4" s="1"/>
  <c r="P4765" i="4"/>
  <c r="K4765" i="4"/>
  <c r="M4765" i="4" s="1" a="1"/>
  <c r="M4765" i="4" s="1"/>
  <c r="O4765" i="4" s="1"/>
  <c r="J4765" i="4"/>
  <c r="I4765" i="4"/>
  <c r="P4764" i="4"/>
  <c r="K4764" i="4"/>
  <c r="J4764" i="4"/>
  <c r="I4764" i="4"/>
  <c r="M4764" i="4" s="1" a="1"/>
  <c r="M4764" i="4" s="1"/>
  <c r="O4764" i="4" s="1"/>
  <c r="P4763" i="4"/>
  <c r="K4763" i="4"/>
  <c r="J4763" i="4"/>
  <c r="I4763" i="4"/>
  <c r="M4763" i="4" s="1" a="1"/>
  <c r="M4763" i="4" s="1"/>
  <c r="O4763" i="4" s="1"/>
  <c r="P4762" i="4"/>
  <c r="K4762" i="4"/>
  <c r="M4762" i="4" s="1" a="1"/>
  <c r="M4762" i="4" s="1"/>
  <c r="O4762" i="4" s="1"/>
  <c r="J4762" i="4"/>
  <c r="I4762" i="4"/>
  <c r="P4761" i="4"/>
  <c r="M4761" i="4" a="1"/>
  <c r="M4761" i="4" s="1"/>
  <c r="O4761" i="4" s="1"/>
  <c r="K4761" i="4"/>
  <c r="J4761" i="4"/>
  <c r="I4761" i="4"/>
  <c r="P4760" i="4"/>
  <c r="K4760" i="4"/>
  <c r="J4760" i="4"/>
  <c r="I4760" i="4"/>
  <c r="M4760" i="4" s="1" a="1"/>
  <c r="M4760" i="4" s="1"/>
  <c r="O4760" i="4" s="1"/>
  <c r="P4759" i="4"/>
  <c r="K4759" i="4"/>
  <c r="J4759" i="4"/>
  <c r="I4759" i="4"/>
  <c r="M4759" i="4" s="1" a="1"/>
  <c r="M4759" i="4" s="1"/>
  <c r="O4759" i="4" s="1"/>
  <c r="P4758" i="4"/>
  <c r="M4758" i="4" a="1"/>
  <c r="M4758" i="4" s="1"/>
  <c r="O4758" i="4" s="1"/>
  <c r="K4758" i="4"/>
  <c r="J4758" i="4"/>
  <c r="I4758" i="4"/>
  <c r="P4757" i="4"/>
  <c r="K4757" i="4"/>
  <c r="J4757" i="4"/>
  <c r="I4757" i="4"/>
  <c r="M4757" i="4" s="1" a="1"/>
  <c r="M4757" i="4" s="1"/>
  <c r="O4757" i="4" s="1"/>
  <c r="P4756" i="4"/>
  <c r="K4756" i="4"/>
  <c r="J4756" i="4"/>
  <c r="M4756" i="4" s="1" a="1"/>
  <c r="M4756" i="4" s="1"/>
  <c r="O4756" i="4" s="1"/>
  <c r="I4756" i="4"/>
  <c r="P4755" i="4"/>
  <c r="M4755" i="4" a="1"/>
  <c r="M4755" i="4" s="1"/>
  <c r="O4755" i="4" s="1"/>
  <c r="K4755" i="4"/>
  <c r="J4755" i="4"/>
  <c r="I4755" i="4"/>
  <c r="P4754" i="4"/>
  <c r="M4754" i="4"/>
  <c r="O4754" i="4" s="1"/>
  <c r="M4754" i="4" a="1"/>
  <c r="K4754" i="4"/>
  <c r="J4754" i="4"/>
  <c r="I4754" i="4"/>
  <c r="P4753" i="4"/>
  <c r="K4753" i="4"/>
  <c r="J4753" i="4"/>
  <c r="M4753" i="4" s="1" a="1"/>
  <c r="M4753" i="4" s="1"/>
  <c r="O4753" i="4" s="1"/>
  <c r="I4753" i="4"/>
  <c r="P4752" i="4"/>
  <c r="K4752" i="4"/>
  <c r="J4752" i="4"/>
  <c r="I4752" i="4"/>
  <c r="M4752" i="4" s="1" a="1"/>
  <c r="M4752" i="4" s="1"/>
  <c r="O4752" i="4" s="1"/>
  <c r="P4751" i="4"/>
  <c r="M4751" i="4"/>
  <c r="O4751" i="4" s="1"/>
  <c r="K4751" i="4"/>
  <c r="J4751" i="4"/>
  <c r="I4751" i="4"/>
  <c r="M4751" i="4" s="1" a="1"/>
  <c r="P4750" i="4"/>
  <c r="K4750" i="4"/>
  <c r="J4750" i="4"/>
  <c r="I4750" i="4"/>
  <c r="M4750" i="4" s="1" a="1"/>
  <c r="M4750" i="4" s="1"/>
  <c r="O4750" i="4" s="1"/>
  <c r="P4749" i="4"/>
  <c r="K4749" i="4"/>
  <c r="M4749" i="4" s="1" a="1"/>
  <c r="M4749" i="4" s="1"/>
  <c r="O4749" i="4" s="1"/>
  <c r="J4749" i="4"/>
  <c r="I4749" i="4"/>
  <c r="P4748" i="4"/>
  <c r="K4748" i="4"/>
  <c r="J4748" i="4"/>
  <c r="I4748" i="4"/>
  <c r="M4748" i="4" s="1" a="1"/>
  <c r="M4748" i="4" s="1"/>
  <c r="O4748" i="4" s="1"/>
  <c r="P4747" i="4"/>
  <c r="K4747" i="4"/>
  <c r="J4747" i="4"/>
  <c r="I4747" i="4"/>
  <c r="M4747" i="4" s="1" a="1"/>
  <c r="M4747" i="4" s="1"/>
  <c r="O4747" i="4" s="1"/>
  <c r="P4746" i="4"/>
  <c r="K4746" i="4"/>
  <c r="M4746" i="4" s="1" a="1"/>
  <c r="M4746" i="4" s="1"/>
  <c r="O4746" i="4" s="1"/>
  <c r="J4746" i="4"/>
  <c r="I4746" i="4"/>
  <c r="P4745" i="4"/>
  <c r="M4745" i="4" a="1"/>
  <c r="M4745" i="4" s="1"/>
  <c r="O4745" i="4" s="1"/>
  <c r="K4745" i="4"/>
  <c r="J4745" i="4"/>
  <c r="I4745" i="4"/>
  <c r="P4744" i="4"/>
  <c r="O4744" i="4"/>
  <c r="K4744" i="4"/>
  <c r="J4744" i="4"/>
  <c r="I4744" i="4"/>
  <c r="M4744" i="4" s="1" a="1"/>
  <c r="M4744" i="4" s="1"/>
  <c r="P4743" i="4"/>
  <c r="K4743" i="4"/>
  <c r="J4743" i="4"/>
  <c r="I4743" i="4"/>
  <c r="M4743" i="4" s="1" a="1"/>
  <c r="M4743" i="4" s="1"/>
  <c r="O4743" i="4" s="1"/>
  <c r="P4742" i="4"/>
  <c r="M4742" i="4" a="1"/>
  <c r="M4742" i="4" s="1"/>
  <c r="O4742" i="4" s="1"/>
  <c r="K4742" i="4"/>
  <c r="J4742" i="4"/>
  <c r="I4742" i="4"/>
  <c r="P4741" i="4"/>
  <c r="O4741" i="4"/>
  <c r="K4741" i="4"/>
  <c r="J4741" i="4"/>
  <c r="I4741" i="4"/>
  <c r="M4741" i="4" s="1" a="1"/>
  <c r="M4741" i="4" s="1"/>
  <c r="P4740" i="4"/>
  <c r="K4740" i="4"/>
  <c r="J4740" i="4"/>
  <c r="M4740" i="4" s="1" a="1"/>
  <c r="M4740" i="4" s="1"/>
  <c r="O4740" i="4" s="1"/>
  <c r="I4740" i="4"/>
  <c r="P4739" i="4"/>
  <c r="M4739" i="4" a="1"/>
  <c r="M4739" i="4" s="1"/>
  <c r="O4739" i="4" s="1"/>
  <c r="K4739" i="4"/>
  <c r="J4739" i="4"/>
  <c r="I4739" i="4"/>
  <c r="P4738" i="4"/>
  <c r="M4738" i="4"/>
  <c r="O4738" i="4" s="1"/>
  <c r="M4738" i="4" a="1"/>
  <c r="K4738" i="4"/>
  <c r="J4738" i="4"/>
  <c r="I4738" i="4"/>
  <c r="P4737" i="4"/>
  <c r="K4737" i="4"/>
  <c r="J4737" i="4"/>
  <c r="M4737" i="4" s="1" a="1"/>
  <c r="M4737" i="4" s="1"/>
  <c r="O4737" i="4" s="1"/>
  <c r="I4737" i="4"/>
  <c r="P4736" i="4"/>
  <c r="K4736" i="4"/>
  <c r="J4736" i="4"/>
  <c r="I4736" i="4"/>
  <c r="P4735" i="4"/>
  <c r="K4735" i="4"/>
  <c r="J4735" i="4"/>
  <c r="I4735" i="4"/>
  <c r="M4735" i="4" s="1" a="1"/>
  <c r="M4735" i="4" s="1"/>
  <c r="O4735" i="4" s="1"/>
  <c r="P4734" i="4"/>
  <c r="K4734" i="4"/>
  <c r="J4734" i="4"/>
  <c r="I4734" i="4"/>
  <c r="M4734" i="4" s="1" a="1"/>
  <c r="M4734" i="4" s="1"/>
  <c r="O4734" i="4" s="1"/>
  <c r="P4733" i="4"/>
  <c r="K4733" i="4"/>
  <c r="M4733" i="4" s="1" a="1"/>
  <c r="M4733" i="4" s="1"/>
  <c r="O4733" i="4" s="1"/>
  <c r="J4733" i="4"/>
  <c r="I4733" i="4"/>
  <c r="P4732" i="4"/>
  <c r="K4732" i="4"/>
  <c r="J4732" i="4"/>
  <c r="I4732" i="4"/>
  <c r="M4732" i="4" s="1" a="1"/>
  <c r="M4732" i="4" s="1"/>
  <c r="O4732" i="4" s="1"/>
  <c r="P4731" i="4"/>
  <c r="O4731" i="4"/>
  <c r="K4731" i="4"/>
  <c r="J4731" i="4"/>
  <c r="I4731" i="4"/>
  <c r="M4731" i="4" s="1" a="1"/>
  <c r="M4731" i="4" s="1"/>
  <c r="P4730" i="4"/>
  <c r="K4730" i="4"/>
  <c r="M4730" i="4" s="1" a="1"/>
  <c r="M4730" i="4" s="1"/>
  <c r="O4730" i="4" s="1"/>
  <c r="J4730" i="4"/>
  <c r="I4730" i="4"/>
  <c r="P4729" i="4"/>
  <c r="M4729" i="4" a="1"/>
  <c r="M4729" i="4" s="1"/>
  <c r="O4729" i="4" s="1"/>
  <c r="K4729" i="4"/>
  <c r="J4729" i="4"/>
  <c r="I4729" i="4"/>
  <c r="P4728" i="4"/>
  <c r="K4728" i="4"/>
  <c r="J4728" i="4"/>
  <c r="I4728" i="4"/>
  <c r="M4728" i="4" s="1" a="1"/>
  <c r="M4728" i="4" s="1"/>
  <c r="O4728" i="4" s="1"/>
  <c r="P4727" i="4"/>
  <c r="K4727" i="4"/>
  <c r="J4727" i="4"/>
  <c r="I4727" i="4"/>
  <c r="P4726" i="4"/>
  <c r="M4726" i="4" a="1"/>
  <c r="M4726" i="4" s="1"/>
  <c r="O4726" i="4" s="1"/>
  <c r="K4726" i="4"/>
  <c r="J4726" i="4"/>
  <c r="I4726" i="4"/>
  <c r="P4725" i="4"/>
  <c r="K4725" i="4"/>
  <c r="J4725" i="4"/>
  <c r="I4725" i="4"/>
  <c r="M4725" i="4" s="1" a="1"/>
  <c r="M4725" i="4" s="1"/>
  <c r="O4725" i="4" s="1"/>
  <c r="P4724" i="4"/>
  <c r="K4724" i="4"/>
  <c r="J4724" i="4"/>
  <c r="M4724" i="4" s="1" a="1"/>
  <c r="M4724" i="4" s="1"/>
  <c r="O4724" i="4" s="1"/>
  <c r="I4724" i="4"/>
  <c r="P4723" i="4"/>
  <c r="M4723" i="4" a="1"/>
  <c r="M4723" i="4" s="1"/>
  <c r="O4723" i="4" s="1"/>
  <c r="K4723" i="4"/>
  <c r="J4723" i="4"/>
  <c r="I4723" i="4"/>
  <c r="P4722" i="4"/>
  <c r="M4722" i="4"/>
  <c r="O4722" i="4" s="1"/>
  <c r="M4722" i="4" a="1"/>
  <c r="K4722" i="4"/>
  <c r="J4722" i="4"/>
  <c r="I4722" i="4"/>
  <c r="P4721" i="4"/>
  <c r="K4721" i="4"/>
  <c r="J4721" i="4"/>
  <c r="M4721" i="4" s="1" a="1"/>
  <c r="M4721" i="4" s="1"/>
  <c r="O4721" i="4" s="1"/>
  <c r="I4721" i="4"/>
  <c r="P4720" i="4"/>
  <c r="K4720" i="4"/>
  <c r="J4720" i="4"/>
  <c r="I4720" i="4"/>
  <c r="P4719" i="4"/>
  <c r="M4719" i="4"/>
  <c r="O4719" i="4" s="1"/>
  <c r="K4719" i="4"/>
  <c r="J4719" i="4"/>
  <c r="I4719" i="4"/>
  <c r="M4719" i="4" s="1" a="1"/>
  <c r="P4718" i="4"/>
  <c r="K4718" i="4"/>
  <c r="J4718" i="4"/>
  <c r="I4718" i="4"/>
  <c r="M4718" i="4" s="1" a="1"/>
  <c r="M4718" i="4" s="1"/>
  <c r="O4718" i="4" s="1"/>
  <c r="P4717" i="4"/>
  <c r="K4717" i="4"/>
  <c r="M4717" i="4" s="1" a="1"/>
  <c r="M4717" i="4" s="1"/>
  <c r="O4717" i="4" s="1"/>
  <c r="J4717" i="4"/>
  <c r="I4717" i="4"/>
  <c r="P4716" i="4"/>
  <c r="K4716" i="4"/>
  <c r="J4716" i="4"/>
  <c r="I4716" i="4"/>
  <c r="M4716" i="4" s="1" a="1"/>
  <c r="M4716" i="4" s="1"/>
  <c r="O4716" i="4" s="1"/>
  <c r="P4715" i="4"/>
  <c r="K4715" i="4"/>
  <c r="J4715" i="4"/>
  <c r="I4715" i="4"/>
  <c r="M4715" i="4" s="1" a="1"/>
  <c r="M4715" i="4" s="1"/>
  <c r="O4715" i="4" s="1"/>
  <c r="P4714" i="4"/>
  <c r="K4714" i="4"/>
  <c r="M4714" i="4" s="1" a="1"/>
  <c r="M4714" i="4" s="1"/>
  <c r="O4714" i="4" s="1"/>
  <c r="J4714" i="4"/>
  <c r="I4714" i="4"/>
  <c r="P4713" i="4"/>
  <c r="M4713" i="4" a="1"/>
  <c r="M4713" i="4" s="1"/>
  <c r="O4713" i="4" s="1"/>
  <c r="K4713" i="4"/>
  <c r="J4713" i="4"/>
  <c r="I4713" i="4"/>
  <c r="P4712" i="4"/>
  <c r="O4712" i="4"/>
  <c r="K4712" i="4"/>
  <c r="J4712" i="4"/>
  <c r="I4712" i="4"/>
  <c r="M4712" i="4" s="1" a="1"/>
  <c r="M4712" i="4" s="1"/>
  <c r="P4711" i="4"/>
  <c r="K4711" i="4"/>
  <c r="J4711" i="4"/>
  <c r="I4711" i="4"/>
  <c r="M4711" i="4" s="1" a="1"/>
  <c r="M4711" i="4" s="1"/>
  <c r="O4711" i="4" s="1"/>
  <c r="P4710" i="4"/>
  <c r="M4710" i="4" a="1"/>
  <c r="M4710" i="4" s="1"/>
  <c r="O4710" i="4" s="1"/>
  <c r="K4710" i="4"/>
  <c r="J4710" i="4"/>
  <c r="I4710" i="4"/>
  <c r="P4709" i="4"/>
  <c r="K4709" i="4"/>
  <c r="J4709" i="4"/>
  <c r="I4709" i="4"/>
  <c r="M4709" i="4" s="1" a="1"/>
  <c r="M4709" i="4" s="1"/>
  <c r="O4709" i="4" s="1"/>
  <c r="P4708" i="4"/>
  <c r="K4708" i="4"/>
  <c r="J4708" i="4"/>
  <c r="M4708" i="4" s="1" a="1"/>
  <c r="M4708" i="4" s="1"/>
  <c r="O4708" i="4" s="1"/>
  <c r="I4708" i="4"/>
  <c r="P4707" i="4"/>
  <c r="M4707" i="4" a="1"/>
  <c r="M4707" i="4" s="1"/>
  <c r="O4707" i="4" s="1"/>
  <c r="K4707" i="4"/>
  <c r="J4707" i="4"/>
  <c r="I4707" i="4"/>
  <c r="P4706" i="4"/>
  <c r="M4706" i="4"/>
  <c r="O4706" i="4" s="1"/>
  <c r="M4706" i="4" a="1"/>
  <c r="K4706" i="4"/>
  <c r="J4706" i="4"/>
  <c r="I4706" i="4"/>
  <c r="P4705" i="4"/>
  <c r="K4705" i="4"/>
  <c r="J4705" i="4"/>
  <c r="M4705" i="4" s="1" a="1"/>
  <c r="M4705" i="4" s="1"/>
  <c r="O4705" i="4" s="1"/>
  <c r="I4705" i="4"/>
  <c r="P4704" i="4"/>
  <c r="K4704" i="4"/>
  <c r="J4704" i="4"/>
  <c r="I4704" i="4"/>
  <c r="M4704" i="4" s="1" a="1"/>
  <c r="M4704" i="4" s="1"/>
  <c r="O4704" i="4" s="1"/>
  <c r="P4703" i="4"/>
  <c r="M4703" i="4"/>
  <c r="O4703" i="4" s="1"/>
  <c r="K4703" i="4"/>
  <c r="J4703" i="4"/>
  <c r="I4703" i="4"/>
  <c r="M4703" i="4" s="1" a="1"/>
  <c r="P4702" i="4"/>
  <c r="K4702" i="4"/>
  <c r="J4702" i="4"/>
  <c r="I4702" i="4"/>
  <c r="M4702" i="4" s="1" a="1"/>
  <c r="M4702" i="4" s="1"/>
  <c r="O4702" i="4" s="1"/>
  <c r="P4701" i="4"/>
  <c r="K4701" i="4"/>
  <c r="M4701" i="4" s="1" a="1"/>
  <c r="M4701" i="4" s="1"/>
  <c r="O4701" i="4" s="1"/>
  <c r="J4701" i="4"/>
  <c r="I4701" i="4"/>
  <c r="P4700" i="4"/>
  <c r="M4700" i="4"/>
  <c r="O4700" i="4" s="1"/>
  <c r="K4700" i="4"/>
  <c r="J4700" i="4"/>
  <c r="I4700" i="4"/>
  <c r="M4700" i="4" s="1" a="1"/>
  <c r="P4699" i="4"/>
  <c r="O4699" i="4"/>
  <c r="K4699" i="4"/>
  <c r="J4699" i="4"/>
  <c r="I4699" i="4"/>
  <c r="M4699" i="4" s="1" a="1"/>
  <c r="M4699" i="4" s="1"/>
  <c r="P4698" i="4"/>
  <c r="K4698" i="4"/>
  <c r="M4698" i="4" s="1" a="1"/>
  <c r="M4698" i="4" s="1"/>
  <c r="O4698" i="4" s="1"/>
  <c r="J4698" i="4"/>
  <c r="I4698" i="4"/>
  <c r="P4697" i="4"/>
  <c r="M4697" i="4" a="1"/>
  <c r="M4697" i="4" s="1"/>
  <c r="O4697" i="4" s="1"/>
  <c r="K4697" i="4"/>
  <c r="J4697" i="4"/>
  <c r="I4697" i="4"/>
  <c r="P4696" i="4"/>
  <c r="O4696" i="4"/>
  <c r="K4696" i="4"/>
  <c r="J4696" i="4"/>
  <c r="I4696" i="4"/>
  <c r="M4696" i="4" s="1" a="1"/>
  <c r="M4696" i="4" s="1"/>
  <c r="P4695" i="4"/>
  <c r="K4695" i="4"/>
  <c r="J4695" i="4"/>
  <c r="I4695" i="4"/>
  <c r="M4695" i="4" s="1" a="1"/>
  <c r="M4695" i="4" s="1"/>
  <c r="O4695" i="4" s="1"/>
  <c r="P4694" i="4"/>
  <c r="M4694" i="4" a="1"/>
  <c r="M4694" i="4" s="1"/>
  <c r="O4694" i="4" s="1"/>
  <c r="K4694" i="4"/>
  <c r="J4694" i="4"/>
  <c r="I4694" i="4"/>
  <c r="P4693" i="4"/>
  <c r="O4693" i="4"/>
  <c r="K4693" i="4"/>
  <c r="J4693" i="4"/>
  <c r="I4693" i="4"/>
  <c r="M4693" i="4" s="1" a="1"/>
  <c r="M4693" i="4" s="1"/>
  <c r="P4692" i="4"/>
  <c r="K4692" i="4"/>
  <c r="J4692" i="4"/>
  <c r="M4692" i="4" s="1" a="1"/>
  <c r="M4692" i="4" s="1"/>
  <c r="O4692" i="4" s="1"/>
  <c r="I4692" i="4"/>
  <c r="P4691" i="4"/>
  <c r="M4691" i="4" a="1"/>
  <c r="M4691" i="4" s="1"/>
  <c r="O4691" i="4" s="1"/>
  <c r="K4691" i="4"/>
  <c r="J4691" i="4"/>
  <c r="I4691" i="4"/>
  <c r="P4690" i="4"/>
  <c r="M4690" i="4"/>
  <c r="O4690" i="4" s="1"/>
  <c r="M4690" i="4" a="1"/>
  <c r="K4690" i="4"/>
  <c r="J4690" i="4"/>
  <c r="I4690" i="4"/>
  <c r="P4689" i="4"/>
  <c r="K4689" i="4"/>
  <c r="J4689" i="4"/>
  <c r="M4689" i="4" s="1" a="1"/>
  <c r="M4689" i="4" s="1"/>
  <c r="O4689" i="4" s="1"/>
  <c r="I4689" i="4"/>
  <c r="P4688" i="4"/>
  <c r="K4688" i="4"/>
  <c r="J4688" i="4"/>
  <c r="I4688" i="4"/>
  <c r="P4687" i="4"/>
  <c r="K4687" i="4"/>
  <c r="J4687" i="4"/>
  <c r="I4687" i="4"/>
  <c r="M4687" i="4" s="1" a="1"/>
  <c r="M4687" i="4" s="1"/>
  <c r="O4687" i="4" s="1"/>
  <c r="P4686" i="4"/>
  <c r="K4686" i="4"/>
  <c r="J4686" i="4"/>
  <c r="I4686" i="4"/>
  <c r="M4686" i="4" s="1" a="1"/>
  <c r="M4686" i="4" s="1"/>
  <c r="O4686" i="4" s="1"/>
  <c r="P4685" i="4"/>
  <c r="K4685" i="4"/>
  <c r="M4685" i="4" s="1" a="1"/>
  <c r="M4685" i="4" s="1"/>
  <c r="O4685" i="4" s="1"/>
  <c r="J4685" i="4"/>
  <c r="I4685" i="4"/>
  <c r="P4684" i="4"/>
  <c r="M4684" i="4"/>
  <c r="O4684" i="4" s="1"/>
  <c r="K4684" i="4"/>
  <c r="J4684" i="4"/>
  <c r="I4684" i="4"/>
  <c r="M4684" i="4" s="1" a="1"/>
  <c r="P4683" i="4"/>
  <c r="M4683" i="4"/>
  <c r="O4683" i="4" s="1"/>
  <c r="K4683" i="4"/>
  <c r="J4683" i="4"/>
  <c r="I4683" i="4"/>
  <c r="M4683" i="4" s="1" a="1"/>
  <c r="P4682" i="4"/>
  <c r="K4682" i="4"/>
  <c r="M4682" i="4" s="1" a="1"/>
  <c r="M4682" i="4" s="1"/>
  <c r="O4682" i="4" s="1"/>
  <c r="J4682" i="4"/>
  <c r="I4682" i="4"/>
  <c r="P4681" i="4"/>
  <c r="K4681" i="4"/>
  <c r="M4681" i="4" s="1" a="1"/>
  <c r="M4681" i="4" s="1"/>
  <c r="O4681" i="4" s="1"/>
  <c r="J4681" i="4"/>
  <c r="I4681" i="4"/>
  <c r="P4680" i="4"/>
  <c r="K4680" i="4"/>
  <c r="J4680" i="4"/>
  <c r="I4680" i="4"/>
  <c r="M4680" i="4" s="1" a="1"/>
  <c r="M4680" i="4" s="1"/>
  <c r="O4680" i="4" s="1"/>
  <c r="P4679" i="4"/>
  <c r="K4679" i="4"/>
  <c r="J4679" i="4"/>
  <c r="I4679" i="4"/>
  <c r="M4679" i="4" s="1" a="1"/>
  <c r="M4679" i="4" s="1"/>
  <c r="O4679" i="4" s="1"/>
  <c r="P4678" i="4"/>
  <c r="M4678" i="4" a="1"/>
  <c r="M4678" i="4" s="1"/>
  <c r="O4678" i="4" s="1"/>
  <c r="K4678" i="4"/>
  <c r="J4678" i="4"/>
  <c r="I4678" i="4"/>
  <c r="P4677" i="4"/>
  <c r="O4677" i="4"/>
  <c r="K4677" i="4"/>
  <c r="J4677" i="4"/>
  <c r="I4677" i="4"/>
  <c r="M4677" i="4" s="1" a="1"/>
  <c r="M4677" i="4" s="1"/>
  <c r="P4676" i="4"/>
  <c r="O4676" i="4"/>
  <c r="K4676" i="4"/>
  <c r="J4676" i="4"/>
  <c r="M4676" i="4" s="1" a="1"/>
  <c r="M4676" i="4" s="1"/>
  <c r="I4676" i="4"/>
  <c r="P4675" i="4"/>
  <c r="M4675" i="4" a="1"/>
  <c r="M4675" i="4" s="1"/>
  <c r="O4675" i="4" s="1"/>
  <c r="K4675" i="4"/>
  <c r="J4675" i="4"/>
  <c r="I4675" i="4"/>
  <c r="P4674" i="4"/>
  <c r="M4674" i="4"/>
  <c r="O4674" i="4" s="1"/>
  <c r="M4674" i="4" a="1"/>
  <c r="K4674" i="4"/>
  <c r="J4674" i="4"/>
  <c r="I4674" i="4"/>
  <c r="P4673" i="4"/>
  <c r="K4673" i="4"/>
  <c r="J4673" i="4"/>
  <c r="M4673" i="4" s="1" a="1"/>
  <c r="M4673" i="4" s="1"/>
  <c r="O4673" i="4" s="1"/>
  <c r="I4673" i="4"/>
  <c r="P4672" i="4"/>
  <c r="K4672" i="4"/>
  <c r="J4672" i="4"/>
  <c r="I4672" i="4"/>
  <c r="P4671" i="4"/>
  <c r="M4671" i="4"/>
  <c r="O4671" i="4" s="1"/>
  <c r="K4671" i="4"/>
  <c r="J4671" i="4"/>
  <c r="I4671" i="4"/>
  <c r="M4671" i="4" s="1" a="1"/>
  <c r="P4670" i="4"/>
  <c r="K4670" i="4"/>
  <c r="J4670" i="4"/>
  <c r="I4670" i="4"/>
  <c r="M4670" i="4" s="1" a="1"/>
  <c r="M4670" i="4" s="1"/>
  <c r="O4670" i="4" s="1"/>
  <c r="P4669" i="4"/>
  <c r="K4669" i="4"/>
  <c r="M4669" i="4" s="1" a="1"/>
  <c r="M4669" i="4" s="1"/>
  <c r="O4669" i="4" s="1"/>
  <c r="J4669" i="4"/>
  <c r="I4669" i="4"/>
  <c r="P4668" i="4"/>
  <c r="K4668" i="4"/>
  <c r="J4668" i="4"/>
  <c r="I4668" i="4"/>
  <c r="M4668" i="4" s="1" a="1"/>
  <c r="M4668" i="4" s="1"/>
  <c r="O4668" i="4" s="1"/>
  <c r="P4667" i="4"/>
  <c r="O4667" i="4"/>
  <c r="M4667" i="4"/>
  <c r="K4667" i="4"/>
  <c r="J4667" i="4"/>
  <c r="I4667" i="4"/>
  <c r="M4667" i="4" s="1" a="1"/>
  <c r="P4666" i="4"/>
  <c r="K4666" i="4"/>
  <c r="M4666" i="4" s="1" a="1"/>
  <c r="M4666" i="4" s="1"/>
  <c r="O4666" i="4" s="1"/>
  <c r="J4666" i="4"/>
  <c r="I4666" i="4"/>
  <c r="P4665" i="4"/>
  <c r="M4665" i="4" a="1"/>
  <c r="M4665" i="4" s="1"/>
  <c r="O4665" i="4" s="1"/>
  <c r="K4665" i="4"/>
  <c r="J4665" i="4"/>
  <c r="I4665" i="4"/>
  <c r="P4664" i="4"/>
  <c r="O4664" i="4"/>
  <c r="K4664" i="4"/>
  <c r="J4664" i="4"/>
  <c r="I4664" i="4"/>
  <c r="M4664" i="4" s="1" a="1"/>
  <c r="M4664" i="4" s="1"/>
  <c r="P4663" i="4"/>
  <c r="K4663" i="4"/>
  <c r="J4663" i="4"/>
  <c r="I4663" i="4"/>
  <c r="P4662" i="4"/>
  <c r="M4662" i="4" a="1"/>
  <c r="M4662" i="4" s="1"/>
  <c r="O4662" i="4" s="1"/>
  <c r="K4662" i="4"/>
  <c r="J4662" i="4"/>
  <c r="I4662" i="4"/>
  <c r="P4661" i="4"/>
  <c r="K4661" i="4"/>
  <c r="J4661" i="4"/>
  <c r="I4661" i="4"/>
  <c r="M4661" i="4" s="1" a="1"/>
  <c r="M4661" i="4" s="1"/>
  <c r="O4661" i="4" s="1"/>
  <c r="P4660" i="4"/>
  <c r="K4660" i="4"/>
  <c r="J4660" i="4"/>
  <c r="M4660" i="4" s="1" a="1"/>
  <c r="M4660" i="4" s="1"/>
  <c r="O4660" i="4" s="1"/>
  <c r="I4660" i="4"/>
  <c r="P4659" i="4"/>
  <c r="M4659" i="4" a="1"/>
  <c r="M4659" i="4" s="1"/>
  <c r="O4659" i="4" s="1"/>
  <c r="K4659" i="4"/>
  <c r="J4659" i="4"/>
  <c r="I4659" i="4"/>
  <c r="P4658" i="4"/>
  <c r="M4658" i="4" a="1"/>
  <c r="M4658" i="4" s="1"/>
  <c r="O4658" i="4" s="1"/>
  <c r="K4658" i="4"/>
  <c r="J4658" i="4"/>
  <c r="I4658" i="4"/>
  <c r="P4657" i="4"/>
  <c r="K4657" i="4"/>
  <c r="J4657" i="4"/>
  <c r="M4657" i="4" s="1" a="1"/>
  <c r="M4657" i="4" s="1"/>
  <c r="O4657" i="4" s="1"/>
  <c r="I4657" i="4"/>
  <c r="P4656" i="4"/>
  <c r="K4656" i="4"/>
  <c r="J4656" i="4"/>
  <c r="I4656" i="4"/>
  <c r="P4655" i="4"/>
  <c r="K4655" i="4"/>
  <c r="J4655" i="4"/>
  <c r="I4655" i="4"/>
  <c r="M4655" i="4" s="1" a="1"/>
  <c r="M4655" i="4" s="1"/>
  <c r="O4655" i="4" s="1"/>
  <c r="P4654" i="4"/>
  <c r="K4654" i="4"/>
  <c r="J4654" i="4"/>
  <c r="I4654" i="4"/>
  <c r="M4654" i="4" s="1" a="1"/>
  <c r="M4654" i="4" s="1"/>
  <c r="O4654" i="4" s="1"/>
  <c r="P4653" i="4"/>
  <c r="K4653" i="4"/>
  <c r="M4653" i="4" s="1" a="1"/>
  <c r="M4653" i="4" s="1"/>
  <c r="O4653" i="4" s="1"/>
  <c r="J4653" i="4"/>
  <c r="I4653" i="4"/>
  <c r="P4652" i="4"/>
  <c r="M4652" i="4"/>
  <c r="O4652" i="4" s="1"/>
  <c r="K4652" i="4"/>
  <c r="J4652" i="4"/>
  <c r="I4652" i="4"/>
  <c r="M4652" i="4" s="1" a="1"/>
  <c r="P4651" i="4"/>
  <c r="M4651" i="4"/>
  <c r="O4651" i="4" s="1"/>
  <c r="K4651" i="4"/>
  <c r="J4651" i="4"/>
  <c r="I4651" i="4"/>
  <c r="M4651" i="4" s="1" a="1"/>
  <c r="P4650" i="4"/>
  <c r="K4650" i="4"/>
  <c r="M4650" i="4" s="1" a="1"/>
  <c r="M4650" i="4" s="1"/>
  <c r="O4650" i="4" s="1"/>
  <c r="J4650" i="4"/>
  <c r="I4650" i="4"/>
  <c r="P4649" i="4"/>
  <c r="M4649" i="4" a="1"/>
  <c r="M4649" i="4" s="1"/>
  <c r="O4649" i="4" s="1"/>
  <c r="K4649" i="4"/>
  <c r="J4649" i="4"/>
  <c r="I4649" i="4"/>
  <c r="P4648" i="4"/>
  <c r="K4648" i="4"/>
  <c r="J4648" i="4"/>
  <c r="I4648" i="4"/>
  <c r="P4647" i="4"/>
  <c r="K4647" i="4"/>
  <c r="J4647" i="4"/>
  <c r="I4647" i="4"/>
  <c r="M4647" i="4" s="1" a="1"/>
  <c r="M4647" i="4" s="1"/>
  <c r="O4647" i="4" s="1"/>
  <c r="P4646" i="4"/>
  <c r="K4646" i="4"/>
  <c r="J4646" i="4"/>
  <c r="I4646" i="4"/>
  <c r="M4646" i="4" s="1" a="1"/>
  <c r="M4646" i="4" s="1"/>
  <c r="O4646" i="4" s="1"/>
  <c r="P4645" i="4"/>
  <c r="K4645" i="4"/>
  <c r="J4645" i="4"/>
  <c r="I4645" i="4"/>
  <c r="M4645" i="4" s="1" a="1"/>
  <c r="M4645" i="4" s="1"/>
  <c r="O4645" i="4" s="1"/>
  <c r="P4644" i="4"/>
  <c r="K4644" i="4"/>
  <c r="J4644" i="4"/>
  <c r="M4644" i="4" s="1" a="1"/>
  <c r="M4644" i="4" s="1"/>
  <c r="O4644" i="4" s="1"/>
  <c r="I4644" i="4"/>
  <c r="P4643" i="4"/>
  <c r="K4643" i="4"/>
  <c r="J4643" i="4"/>
  <c r="I4643" i="4"/>
  <c r="M4643" i="4" s="1" a="1"/>
  <c r="M4643" i="4" s="1"/>
  <c r="O4643" i="4" s="1"/>
  <c r="P4642" i="4"/>
  <c r="K4642" i="4"/>
  <c r="M4642" i="4" s="1" a="1"/>
  <c r="M4642" i="4" s="1"/>
  <c r="O4642" i="4" s="1"/>
  <c r="J4642" i="4"/>
  <c r="I4642" i="4"/>
  <c r="P4641" i="4"/>
  <c r="K4641" i="4"/>
  <c r="J4641" i="4"/>
  <c r="M4641" i="4" s="1" a="1"/>
  <c r="M4641" i="4" s="1"/>
  <c r="O4641" i="4" s="1"/>
  <c r="I4641" i="4"/>
  <c r="P4640" i="4"/>
  <c r="K4640" i="4"/>
  <c r="J4640" i="4"/>
  <c r="I4640" i="4"/>
  <c r="M4640" i="4" s="1" a="1"/>
  <c r="M4640" i="4" s="1"/>
  <c r="O4640" i="4" s="1"/>
  <c r="P4639" i="4"/>
  <c r="K4639" i="4"/>
  <c r="J4639" i="4"/>
  <c r="I4639" i="4"/>
  <c r="M4639" i="4" s="1" a="1"/>
  <c r="M4639" i="4" s="1"/>
  <c r="O4639" i="4" s="1"/>
  <c r="P4638" i="4"/>
  <c r="K4638" i="4"/>
  <c r="J4638" i="4"/>
  <c r="I4638" i="4"/>
  <c r="M4638" i="4" s="1" a="1"/>
  <c r="M4638" i="4" s="1"/>
  <c r="O4638" i="4" s="1"/>
  <c r="P4637" i="4"/>
  <c r="O4637" i="4"/>
  <c r="K4637" i="4"/>
  <c r="M4637" i="4" s="1" a="1"/>
  <c r="M4637" i="4" s="1"/>
  <c r="J4637" i="4"/>
  <c r="I4637" i="4"/>
  <c r="P4636" i="4"/>
  <c r="K4636" i="4"/>
  <c r="J4636" i="4"/>
  <c r="I4636" i="4"/>
  <c r="M4636" i="4" s="1" a="1"/>
  <c r="M4636" i="4" s="1"/>
  <c r="O4636" i="4" s="1"/>
  <c r="P4635" i="4"/>
  <c r="K4635" i="4"/>
  <c r="J4635" i="4"/>
  <c r="I4635" i="4"/>
  <c r="M4635" i="4" s="1" a="1"/>
  <c r="M4635" i="4" s="1"/>
  <c r="O4635" i="4" s="1"/>
  <c r="P4634" i="4"/>
  <c r="K4634" i="4"/>
  <c r="M4634" i="4" s="1" a="1"/>
  <c r="M4634" i="4" s="1"/>
  <c r="O4634" i="4" s="1"/>
  <c r="J4634" i="4"/>
  <c r="I4634" i="4"/>
  <c r="P4633" i="4"/>
  <c r="M4633" i="4"/>
  <c r="O4633" i="4" s="1"/>
  <c r="M4633" i="4" a="1"/>
  <c r="K4633" i="4"/>
  <c r="J4633" i="4"/>
  <c r="I4633" i="4"/>
  <c r="P4632" i="4"/>
  <c r="K4632" i="4"/>
  <c r="J4632" i="4"/>
  <c r="I4632" i="4"/>
  <c r="P4631" i="4"/>
  <c r="K4631" i="4"/>
  <c r="J4631" i="4"/>
  <c r="I4631" i="4"/>
  <c r="M4631" i="4" s="1" a="1"/>
  <c r="M4631" i="4" s="1"/>
  <c r="O4631" i="4" s="1"/>
  <c r="P4630" i="4"/>
  <c r="M4630" i="4" a="1"/>
  <c r="M4630" i="4" s="1"/>
  <c r="O4630" i="4" s="1"/>
  <c r="K4630" i="4"/>
  <c r="J4630" i="4"/>
  <c r="I4630" i="4"/>
  <c r="P4629" i="4"/>
  <c r="K4629" i="4"/>
  <c r="J4629" i="4"/>
  <c r="I4629" i="4"/>
  <c r="M4629" i="4" s="1" a="1"/>
  <c r="M4629" i="4" s="1"/>
  <c r="O4629" i="4" s="1"/>
  <c r="P4628" i="4"/>
  <c r="O4628" i="4"/>
  <c r="M4628" i="4"/>
  <c r="K4628" i="4"/>
  <c r="J4628" i="4"/>
  <c r="M4628" i="4" s="1" a="1"/>
  <c r="I4628" i="4"/>
  <c r="P4627" i="4"/>
  <c r="K4627" i="4"/>
  <c r="J4627" i="4"/>
  <c r="I4627" i="4"/>
  <c r="M4627" i="4" s="1" a="1"/>
  <c r="M4627" i="4" s="1"/>
  <c r="O4627" i="4" s="1"/>
  <c r="P4626" i="4"/>
  <c r="K4626" i="4"/>
  <c r="M4626" i="4" s="1" a="1"/>
  <c r="M4626" i="4" s="1"/>
  <c r="O4626" i="4" s="1"/>
  <c r="J4626" i="4"/>
  <c r="I4626" i="4"/>
  <c r="P4625" i="4"/>
  <c r="K4625" i="4"/>
  <c r="J4625" i="4"/>
  <c r="M4625" i="4" s="1" a="1"/>
  <c r="M4625" i="4" s="1"/>
  <c r="O4625" i="4" s="1"/>
  <c r="I4625" i="4"/>
  <c r="P4624" i="4"/>
  <c r="K4624" i="4"/>
  <c r="J4624" i="4"/>
  <c r="I4624" i="4"/>
  <c r="M4624" i="4" s="1" a="1"/>
  <c r="M4624" i="4" s="1"/>
  <c r="O4624" i="4" s="1"/>
  <c r="P4623" i="4"/>
  <c r="M4623" i="4"/>
  <c r="O4623" i="4" s="1"/>
  <c r="K4623" i="4"/>
  <c r="J4623" i="4"/>
  <c r="I4623" i="4"/>
  <c r="M4623" i="4" s="1" a="1"/>
  <c r="P4622" i="4"/>
  <c r="M4622" i="4" a="1"/>
  <c r="M4622" i="4" s="1"/>
  <c r="O4622" i="4" s="1"/>
  <c r="K4622" i="4"/>
  <c r="J4622" i="4"/>
  <c r="I4622" i="4"/>
  <c r="P4621" i="4"/>
  <c r="K4621" i="4"/>
  <c r="M4621" i="4" s="1" a="1"/>
  <c r="M4621" i="4" s="1"/>
  <c r="O4621" i="4" s="1"/>
  <c r="J4621" i="4"/>
  <c r="I4621" i="4"/>
  <c r="P4620" i="4"/>
  <c r="M4620" i="4"/>
  <c r="O4620" i="4" s="1"/>
  <c r="K4620" i="4"/>
  <c r="J4620" i="4"/>
  <c r="I4620" i="4"/>
  <c r="M4620" i="4" s="1" a="1"/>
  <c r="P4619" i="4"/>
  <c r="K4619" i="4"/>
  <c r="J4619" i="4"/>
  <c r="I4619" i="4"/>
  <c r="M4619" i="4" s="1" a="1"/>
  <c r="M4619" i="4" s="1"/>
  <c r="O4619" i="4" s="1"/>
  <c r="P4618" i="4"/>
  <c r="K4618" i="4"/>
  <c r="M4618" i="4" s="1" a="1"/>
  <c r="M4618" i="4" s="1"/>
  <c r="O4618" i="4" s="1"/>
  <c r="J4618" i="4"/>
  <c r="I4618" i="4"/>
  <c r="P4617" i="4"/>
  <c r="K4617" i="4"/>
  <c r="J4617" i="4"/>
  <c r="M4617" i="4" s="1" a="1"/>
  <c r="M4617" i="4" s="1"/>
  <c r="O4617" i="4" s="1"/>
  <c r="I4617" i="4"/>
  <c r="P4616" i="4"/>
  <c r="K4616" i="4"/>
  <c r="J4616" i="4"/>
  <c r="I4616" i="4"/>
  <c r="P4615" i="4"/>
  <c r="K4615" i="4"/>
  <c r="J4615" i="4"/>
  <c r="M4615" i="4" s="1" a="1"/>
  <c r="M4615" i="4" s="1"/>
  <c r="O4615" i="4" s="1"/>
  <c r="I4615" i="4"/>
  <c r="P4614" i="4"/>
  <c r="M4614" i="4" a="1"/>
  <c r="M4614" i="4" s="1"/>
  <c r="O4614" i="4" s="1"/>
  <c r="K4614" i="4"/>
  <c r="J4614" i="4"/>
  <c r="I4614" i="4"/>
  <c r="P4613" i="4"/>
  <c r="K4613" i="4"/>
  <c r="J4613" i="4"/>
  <c r="I4613" i="4"/>
  <c r="P4612" i="4"/>
  <c r="K4612" i="4"/>
  <c r="J4612" i="4"/>
  <c r="M4612" i="4" s="1" a="1"/>
  <c r="M4612" i="4" s="1"/>
  <c r="O4612" i="4" s="1"/>
  <c r="I4612" i="4"/>
  <c r="P4611" i="4"/>
  <c r="M4611" i="4"/>
  <c r="O4611" i="4" s="1"/>
  <c r="M4611" i="4" a="1"/>
  <c r="K4611" i="4"/>
  <c r="J4611" i="4"/>
  <c r="I4611" i="4"/>
  <c r="P4610" i="4"/>
  <c r="K4610" i="4"/>
  <c r="M4610" i="4" s="1" a="1"/>
  <c r="M4610" i="4" s="1"/>
  <c r="O4610" i="4" s="1"/>
  <c r="J4610" i="4"/>
  <c r="I4610" i="4"/>
  <c r="P4609" i="4"/>
  <c r="K4609" i="4"/>
  <c r="J4609" i="4"/>
  <c r="M4609" i="4" s="1" a="1"/>
  <c r="M4609" i="4" s="1"/>
  <c r="O4609" i="4" s="1"/>
  <c r="I4609" i="4"/>
  <c r="P4608" i="4"/>
  <c r="K4608" i="4"/>
  <c r="J4608" i="4"/>
  <c r="I4608" i="4"/>
  <c r="M4608" i="4" s="1" a="1"/>
  <c r="M4608" i="4" s="1"/>
  <c r="O4608" i="4" s="1"/>
  <c r="P4607" i="4"/>
  <c r="K4607" i="4"/>
  <c r="J4607" i="4"/>
  <c r="I4607" i="4"/>
  <c r="P4606" i="4"/>
  <c r="K4606" i="4"/>
  <c r="J4606" i="4"/>
  <c r="I4606" i="4"/>
  <c r="M4606" i="4" s="1" a="1"/>
  <c r="M4606" i="4" s="1"/>
  <c r="O4606" i="4" s="1"/>
  <c r="P4605" i="4"/>
  <c r="K4605" i="4"/>
  <c r="M4605" i="4" s="1" a="1"/>
  <c r="M4605" i="4" s="1"/>
  <c r="O4605" i="4" s="1"/>
  <c r="J4605" i="4"/>
  <c r="I4605" i="4"/>
  <c r="P4604" i="4"/>
  <c r="K4604" i="4"/>
  <c r="J4604" i="4"/>
  <c r="I4604" i="4"/>
  <c r="P4603" i="4"/>
  <c r="M4603" i="4" a="1"/>
  <c r="M4603" i="4" s="1"/>
  <c r="O4603" i="4" s="1"/>
  <c r="K4603" i="4"/>
  <c r="J4603" i="4"/>
  <c r="I4603" i="4"/>
  <c r="P4602" i="4"/>
  <c r="M4602" i="4" a="1"/>
  <c r="M4602" i="4" s="1"/>
  <c r="O4602" i="4" s="1"/>
  <c r="K4602" i="4"/>
  <c r="J4602" i="4"/>
  <c r="I4602" i="4"/>
  <c r="P4601" i="4"/>
  <c r="O4601" i="4"/>
  <c r="K4601" i="4"/>
  <c r="J4601" i="4"/>
  <c r="M4601" i="4" s="1" a="1"/>
  <c r="M4601" i="4" s="1"/>
  <c r="I4601" i="4"/>
  <c r="P4600" i="4"/>
  <c r="K4600" i="4"/>
  <c r="J4600" i="4"/>
  <c r="I4600" i="4"/>
  <c r="M4600" i="4" s="1" a="1"/>
  <c r="M4600" i="4" s="1"/>
  <c r="O4600" i="4" s="1"/>
  <c r="P4599" i="4"/>
  <c r="K4599" i="4"/>
  <c r="J4599" i="4"/>
  <c r="I4599" i="4"/>
  <c r="M4599" i="4" s="1" a="1"/>
  <c r="M4599" i="4" s="1"/>
  <c r="O4599" i="4" s="1"/>
  <c r="P4598" i="4"/>
  <c r="K4598" i="4"/>
  <c r="J4598" i="4"/>
  <c r="I4598" i="4"/>
  <c r="M4598" i="4" s="1" a="1"/>
  <c r="M4598" i="4" s="1"/>
  <c r="O4598" i="4" s="1"/>
  <c r="P4597" i="4"/>
  <c r="K4597" i="4"/>
  <c r="J4597" i="4"/>
  <c r="I4597" i="4"/>
  <c r="M4597" i="4" s="1" a="1"/>
  <c r="M4597" i="4" s="1"/>
  <c r="O4597" i="4" s="1"/>
  <c r="P4596" i="4"/>
  <c r="O4596" i="4"/>
  <c r="M4596" i="4"/>
  <c r="K4596" i="4"/>
  <c r="J4596" i="4"/>
  <c r="M4596" i="4" s="1" a="1"/>
  <c r="I4596" i="4"/>
  <c r="P4595" i="4"/>
  <c r="M4595" i="4" a="1"/>
  <c r="M4595" i="4" s="1"/>
  <c r="O4595" i="4" s="1"/>
  <c r="K4595" i="4"/>
  <c r="J4595" i="4"/>
  <c r="I4595" i="4"/>
  <c r="P4594" i="4"/>
  <c r="M4594" i="4" a="1"/>
  <c r="M4594" i="4" s="1"/>
  <c r="O4594" i="4" s="1"/>
  <c r="K4594" i="4"/>
  <c r="J4594" i="4"/>
  <c r="I4594" i="4"/>
  <c r="P4593" i="4"/>
  <c r="M4593" i="4" a="1"/>
  <c r="M4593" i="4" s="1"/>
  <c r="O4593" i="4" s="1"/>
  <c r="K4593" i="4"/>
  <c r="J4593" i="4"/>
  <c r="I4593" i="4"/>
  <c r="P4592" i="4"/>
  <c r="K4592" i="4"/>
  <c r="J4592" i="4"/>
  <c r="I4592" i="4"/>
  <c r="M4592" i="4" s="1" a="1"/>
  <c r="M4592" i="4" s="1"/>
  <c r="O4592" i="4" s="1"/>
  <c r="P4591" i="4"/>
  <c r="K4591" i="4"/>
  <c r="J4591" i="4"/>
  <c r="I4591" i="4"/>
  <c r="P4590" i="4"/>
  <c r="K4590" i="4"/>
  <c r="J4590" i="4"/>
  <c r="I4590" i="4"/>
  <c r="M4590" i="4" s="1" a="1"/>
  <c r="M4590" i="4" s="1"/>
  <c r="O4590" i="4" s="1"/>
  <c r="P4589" i="4"/>
  <c r="O4589" i="4"/>
  <c r="K4589" i="4"/>
  <c r="M4589" i="4" s="1" a="1"/>
  <c r="M4589" i="4" s="1"/>
  <c r="J4589" i="4"/>
  <c r="I4589" i="4"/>
  <c r="P4588" i="4"/>
  <c r="K4588" i="4"/>
  <c r="J4588" i="4"/>
  <c r="I4588" i="4"/>
  <c r="P4587" i="4"/>
  <c r="K4587" i="4"/>
  <c r="J4587" i="4"/>
  <c r="I4587" i="4"/>
  <c r="M4587" i="4" s="1" a="1"/>
  <c r="M4587" i="4" s="1"/>
  <c r="O4587" i="4" s="1"/>
  <c r="P4586" i="4"/>
  <c r="K4586" i="4"/>
  <c r="M4586" i="4" s="1" a="1"/>
  <c r="M4586" i="4" s="1"/>
  <c r="O4586" i="4" s="1"/>
  <c r="J4586" i="4"/>
  <c r="I4586" i="4"/>
  <c r="P4585" i="4"/>
  <c r="M4585" i="4" a="1"/>
  <c r="M4585" i="4" s="1"/>
  <c r="O4585" i="4" s="1"/>
  <c r="K4585" i="4"/>
  <c r="J4585" i="4"/>
  <c r="I4585" i="4"/>
  <c r="P4584" i="4"/>
  <c r="K4584" i="4"/>
  <c r="J4584" i="4"/>
  <c r="I4584" i="4"/>
  <c r="P4583" i="4"/>
  <c r="M4583" i="4" a="1"/>
  <c r="M4583" i="4" s="1"/>
  <c r="O4583" i="4" s="1"/>
  <c r="K4583" i="4"/>
  <c r="J4583" i="4"/>
  <c r="I4583" i="4"/>
  <c r="P4582" i="4"/>
  <c r="M4582" i="4" a="1"/>
  <c r="M4582" i="4" s="1"/>
  <c r="O4582" i="4" s="1"/>
  <c r="K4582" i="4"/>
  <c r="J4582" i="4"/>
  <c r="I4582" i="4"/>
  <c r="P4581" i="4"/>
  <c r="K4581" i="4"/>
  <c r="J4581" i="4"/>
  <c r="I4581" i="4"/>
  <c r="P4580" i="4"/>
  <c r="M4580" i="4"/>
  <c r="O4580" i="4" s="1"/>
  <c r="K4580" i="4"/>
  <c r="J4580" i="4"/>
  <c r="M4580" i="4" s="1" a="1"/>
  <c r="I4580" i="4"/>
  <c r="P4579" i="4"/>
  <c r="O4579" i="4"/>
  <c r="K4579" i="4"/>
  <c r="J4579" i="4"/>
  <c r="I4579" i="4"/>
  <c r="M4579" i="4" s="1" a="1"/>
  <c r="M4579" i="4" s="1"/>
  <c r="P4578" i="4"/>
  <c r="K4578" i="4"/>
  <c r="M4578" i="4" s="1" a="1"/>
  <c r="M4578" i="4" s="1"/>
  <c r="O4578" i="4" s="1"/>
  <c r="J4578" i="4"/>
  <c r="I4578" i="4"/>
  <c r="P4577" i="4"/>
  <c r="K4577" i="4"/>
  <c r="J4577" i="4"/>
  <c r="M4577" i="4" s="1" a="1"/>
  <c r="M4577" i="4" s="1"/>
  <c r="O4577" i="4" s="1"/>
  <c r="I4577" i="4"/>
  <c r="P4576" i="4"/>
  <c r="M4576" i="4" a="1"/>
  <c r="M4576" i="4" s="1"/>
  <c r="O4576" i="4" s="1"/>
  <c r="K4576" i="4"/>
  <c r="J4576" i="4"/>
  <c r="I4576" i="4"/>
  <c r="P4575" i="4"/>
  <c r="M4575" i="4"/>
  <c r="O4575" i="4" s="1"/>
  <c r="K4575" i="4"/>
  <c r="J4575" i="4"/>
  <c r="I4575" i="4"/>
  <c r="M4575" i="4" s="1" a="1"/>
  <c r="P4574" i="4"/>
  <c r="M4574" i="4" a="1"/>
  <c r="M4574" i="4" s="1"/>
  <c r="O4574" i="4" s="1"/>
  <c r="K4574" i="4"/>
  <c r="J4574" i="4"/>
  <c r="I4574" i="4"/>
  <c r="P4573" i="4"/>
  <c r="O4573" i="4"/>
  <c r="M4573" i="4" a="1"/>
  <c r="M4573" i="4" s="1"/>
  <c r="K4573" i="4"/>
  <c r="J4573" i="4"/>
  <c r="I4573" i="4"/>
  <c r="P4572" i="4"/>
  <c r="K4572" i="4"/>
  <c r="J4572" i="4"/>
  <c r="I4572" i="4"/>
  <c r="P4571" i="4"/>
  <c r="K4571" i="4"/>
  <c r="J4571" i="4"/>
  <c r="I4571" i="4"/>
  <c r="M4571" i="4" s="1" a="1"/>
  <c r="M4571" i="4" s="1"/>
  <c r="O4571" i="4" s="1"/>
  <c r="P4570" i="4"/>
  <c r="K4570" i="4"/>
  <c r="M4570" i="4" s="1" a="1"/>
  <c r="M4570" i="4" s="1"/>
  <c r="O4570" i="4" s="1"/>
  <c r="J4570" i="4"/>
  <c r="I4570" i="4"/>
  <c r="P4569" i="4"/>
  <c r="M4569" i="4" a="1"/>
  <c r="M4569" i="4" s="1"/>
  <c r="O4569" i="4" s="1"/>
  <c r="K4569" i="4"/>
  <c r="J4569" i="4"/>
  <c r="I4569" i="4"/>
  <c r="P4568" i="4"/>
  <c r="K4568" i="4"/>
  <c r="J4568" i="4"/>
  <c r="I4568" i="4"/>
  <c r="P4567" i="4"/>
  <c r="M4567" i="4" a="1"/>
  <c r="M4567" i="4" s="1"/>
  <c r="O4567" i="4" s="1"/>
  <c r="K4567" i="4"/>
  <c r="J4567" i="4"/>
  <c r="I4567" i="4"/>
  <c r="P4566" i="4"/>
  <c r="O4566" i="4"/>
  <c r="K4566" i="4"/>
  <c r="J4566" i="4"/>
  <c r="I4566" i="4"/>
  <c r="M4566" i="4" s="1" a="1"/>
  <c r="M4566" i="4" s="1"/>
  <c r="P4565" i="4"/>
  <c r="K4565" i="4"/>
  <c r="J4565" i="4"/>
  <c r="I4565" i="4"/>
  <c r="M4565" i="4" s="1" a="1"/>
  <c r="M4565" i="4" s="1"/>
  <c r="O4565" i="4" s="1"/>
  <c r="P4564" i="4"/>
  <c r="K4564" i="4"/>
  <c r="J4564" i="4"/>
  <c r="M4564" i="4" s="1" a="1"/>
  <c r="M4564" i="4" s="1"/>
  <c r="O4564" i="4" s="1"/>
  <c r="I4564" i="4"/>
  <c r="P4563" i="4"/>
  <c r="M4563" i="4" a="1"/>
  <c r="M4563" i="4" s="1"/>
  <c r="O4563" i="4" s="1"/>
  <c r="K4563" i="4"/>
  <c r="J4563" i="4"/>
  <c r="I4563" i="4"/>
  <c r="P4562" i="4"/>
  <c r="K4562" i="4"/>
  <c r="J4562" i="4"/>
  <c r="M4562" i="4" s="1" a="1"/>
  <c r="M4562" i="4" s="1"/>
  <c r="O4562" i="4" s="1"/>
  <c r="I4562" i="4"/>
  <c r="P4561" i="4"/>
  <c r="K4561" i="4"/>
  <c r="J4561" i="4"/>
  <c r="M4561" i="4" s="1" a="1"/>
  <c r="M4561" i="4" s="1"/>
  <c r="O4561" i="4" s="1"/>
  <c r="I4561" i="4"/>
  <c r="P4560" i="4"/>
  <c r="K4560" i="4"/>
  <c r="J4560" i="4"/>
  <c r="I4560" i="4"/>
  <c r="M4560" i="4" s="1" a="1"/>
  <c r="M4560" i="4" s="1"/>
  <c r="O4560" i="4" s="1"/>
  <c r="P4559" i="4"/>
  <c r="K4559" i="4"/>
  <c r="J4559" i="4"/>
  <c r="I4559" i="4"/>
  <c r="P4558" i="4"/>
  <c r="K4558" i="4"/>
  <c r="J4558" i="4"/>
  <c r="I4558" i="4"/>
  <c r="M4558" i="4" s="1" a="1"/>
  <c r="M4558" i="4" s="1"/>
  <c r="O4558" i="4" s="1"/>
  <c r="P4557" i="4"/>
  <c r="K4557" i="4"/>
  <c r="M4557" i="4" s="1" a="1"/>
  <c r="M4557" i="4" s="1"/>
  <c r="O4557" i="4" s="1"/>
  <c r="J4557" i="4"/>
  <c r="I4557" i="4"/>
  <c r="P4556" i="4"/>
  <c r="M4556" i="4"/>
  <c r="O4556" i="4" s="1"/>
  <c r="K4556" i="4"/>
  <c r="J4556" i="4"/>
  <c r="I4556" i="4"/>
  <c r="M4556" i="4" s="1" a="1"/>
  <c r="P4555" i="4"/>
  <c r="K4555" i="4"/>
  <c r="J4555" i="4"/>
  <c r="I4555" i="4"/>
  <c r="M4555" i="4" s="1" a="1"/>
  <c r="M4555" i="4" s="1"/>
  <c r="O4555" i="4" s="1"/>
  <c r="P4554" i="4"/>
  <c r="K4554" i="4"/>
  <c r="M4554" i="4" s="1" a="1"/>
  <c r="M4554" i="4" s="1"/>
  <c r="O4554" i="4" s="1"/>
  <c r="J4554" i="4"/>
  <c r="I4554" i="4"/>
  <c r="P4553" i="4"/>
  <c r="K4553" i="4"/>
  <c r="M4553" i="4" s="1" a="1"/>
  <c r="M4553" i="4" s="1"/>
  <c r="O4553" i="4" s="1"/>
  <c r="J4553" i="4"/>
  <c r="I4553" i="4"/>
  <c r="P4552" i="4"/>
  <c r="K4552" i="4"/>
  <c r="J4552" i="4"/>
  <c r="I4552" i="4"/>
  <c r="P4551" i="4"/>
  <c r="K4551" i="4"/>
  <c r="J4551" i="4"/>
  <c r="M4551" i="4" s="1" a="1"/>
  <c r="M4551" i="4" s="1"/>
  <c r="O4551" i="4" s="1"/>
  <c r="I4551" i="4"/>
  <c r="P4550" i="4"/>
  <c r="M4550" i="4"/>
  <c r="O4550" i="4" s="1"/>
  <c r="M4550" i="4" a="1"/>
  <c r="K4550" i="4"/>
  <c r="J4550" i="4"/>
  <c r="I4550" i="4"/>
  <c r="P4549" i="4"/>
  <c r="K4549" i="4"/>
  <c r="J4549" i="4"/>
  <c r="I4549" i="4"/>
  <c r="P4548" i="4"/>
  <c r="K4548" i="4"/>
  <c r="J4548" i="4"/>
  <c r="I4548" i="4"/>
  <c r="M4548" i="4" s="1" a="1"/>
  <c r="M4548" i="4" s="1"/>
  <c r="O4548" i="4" s="1"/>
  <c r="P4547" i="4"/>
  <c r="K4547" i="4"/>
  <c r="J4547" i="4"/>
  <c r="I4547" i="4"/>
  <c r="M4547" i="4" s="1" a="1"/>
  <c r="M4547" i="4" s="1"/>
  <c r="O4547" i="4" s="1"/>
  <c r="P4546" i="4"/>
  <c r="M4546" i="4"/>
  <c r="O4546" i="4" s="1"/>
  <c r="K4546" i="4"/>
  <c r="J4546" i="4"/>
  <c r="I4546" i="4"/>
  <c r="M4546" i="4" s="1" a="1"/>
  <c r="P4545" i="4"/>
  <c r="K4545" i="4"/>
  <c r="J4545" i="4"/>
  <c r="I4545" i="4"/>
  <c r="M4545" i="4" s="1" a="1"/>
  <c r="M4545" i="4" s="1"/>
  <c r="O4545" i="4" s="1"/>
  <c r="P4544" i="4"/>
  <c r="K4544" i="4"/>
  <c r="J4544" i="4"/>
  <c r="M4544" i="4" s="1" a="1"/>
  <c r="M4544" i="4" s="1"/>
  <c r="O4544" i="4" s="1"/>
  <c r="I4544" i="4"/>
  <c r="P4543" i="4"/>
  <c r="M4543" i="4"/>
  <c r="O4543" i="4" s="1"/>
  <c r="M4543" i="4" a="1"/>
  <c r="K4543" i="4"/>
  <c r="J4543" i="4"/>
  <c r="I4543" i="4"/>
  <c r="P4542" i="4"/>
  <c r="K4542" i="4"/>
  <c r="J4542" i="4"/>
  <c r="I4542" i="4"/>
  <c r="M4542" i="4" s="1" a="1"/>
  <c r="M4542" i="4" s="1"/>
  <c r="O4542" i="4" s="1"/>
  <c r="P4541" i="4"/>
  <c r="K4541" i="4"/>
  <c r="J4541" i="4"/>
  <c r="M4541" i="4" s="1" a="1"/>
  <c r="M4541" i="4" s="1"/>
  <c r="O4541" i="4" s="1"/>
  <c r="I4541" i="4"/>
  <c r="P4540" i="4"/>
  <c r="M4540" i="4" a="1"/>
  <c r="M4540" i="4" s="1"/>
  <c r="O4540" i="4" s="1"/>
  <c r="K4540" i="4"/>
  <c r="J4540" i="4"/>
  <c r="I4540" i="4"/>
  <c r="P4539" i="4"/>
  <c r="O4539" i="4"/>
  <c r="K4539" i="4"/>
  <c r="J4539" i="4"/>
  <c r="I4539" i="4"/>
  <c r="M4539" i="4" s="1" a="1"/>
  <c r="M4539" i="4" s="1"/>
  <c r="P4538" i="4"/>
  <c r="K4538" i="4"/>
  <c r="J4538" i="4"/>
  <c r="I4538" i="4"/>
  <c r="M4538" i="4" s="1" a="1"/>
  <c r="M4538" i="4" s="1"/>
  <c r="O4538" i="4" s="1"/>
  <c r="P4537" i="4"/>
  <c r="M4537" i="4" a="1"/>
  <c r="M4537" i="4" s="1"/>
  <c r="O4537" i="4" s="1"/>
  <c r="K4537" i="4"/>
  <c r="J4537" i="4"/>
  <c r="I4537" i="4"/>
  <c r="P4536" i="4"/>
  <c r="K4536" i="4"/>
  <c r="J4536" i="4"/>
  <c r="I4536" i="4"/>
  <c r="M4536" i="4" s="1" a="1"/>
  <c r="M4536" i="4" s="1"/>
  <c r="O4536" i="4" s="1"/>
  <c r="P4535" i="4"/>
  <c r="K4535" i="4"/>
  <c r="J4535" i="4"/>
  <c r="M4535" i="4" s="1" a="1"/>
  <c r="M4535" i="4" s="1"/>
  <c r="O4535" i="4" s="1"/>
  <c r="I4535" i="4"/>
  <c r="P4534" i="4"/>
  <c r="M4534" i="4" a="1"/>
  <c r="M4534" i="4" s="1"/>
  <c r="O4534" i="4" s="1"/>
  <c r="K4534" i="4"/>
  <c r="J4534" i="4"/>
  <c r="I4534" i="4"/>
  <c r="P4533" i="4"/>
  <c r="K4533" i="4"/>
  <c r="J4533" i="4"/>
  <c r="M4533" i="4" s="1" a="1"/>
  <c r="M4533" i="4" s="1"/>
  <c r="O4533" i="4" s="1"/>
  <c r="I4533" i="4"/>
  <c r="P4532" i="4"/>
  <c r="K4532" i="4"/>
  <c r="J4532" i="4"/>
  <c r="I4532" i="4"/>
  <c r="M4532" i="4" s="1" a="1"/>
  <c r="M4532" i="4" s="1"/>
  <c r="O4532" i="4" s="1"/>
  <c r="P4531" i="4"/>
  <c r="K4531" i="4"/>
  <c r="J4531" i="4"/>
  <c r="I4531" i="4"/>
  <c r="M4531" i="4" s="1" a="1"/>
  <c r="M4531" i="4" s="1"/>
  <c r="O4531" i="4" s="1"/>
  <c r="P4530" i="4"/>
  <c r="M4530" i="4"/>
  <c r="O4530" i="4" s="1"/>
  <c r="K4530" i="4"/>
  <c r="J4530" i="4"/>
  <c r="I4530" i="4"/>
  <c r="M4530" i="4" s="1" a="1"/>
  <c r="P4529" i="4"/>
  <c r="K4529" i="4"/>
  <c r="J4529" i="4"/>
  <c r="I4529" i="4"/>
  <c r="M4529" i="4" s="1" a="1"/>
  <c r="M4529" i="4" s="1"/>
  <c r="O4529" i="4" s="1"/>
  <c r="P4528" i="4"/>
  <c r="K4528" i="4"/>
  <c r="J4528" i="4"/>
  <c r="M4528" i="4" s="1" a="1"/>
  <c r="M4528" i="4" s="1"/>
  <c r="O4528" i="4" s="1"/>
  <c r="I4528" i="4"/>
  <c r="P4527" i="4"/>
  <c r="M4527" i="4"/>
  <c r="O4527" i="4" s="1"/>
  <c r="M4527" i="4" a="1"/>
  <c r="K4527" i="4"/>
  <c r="J4527" i="4"/>
  <c r="I4527" i="4"/>
  <c r="P4526" i="4"/>
  <c r="K4526" i="4"/>
  <c r="J4526" i="4"/>
  <c r="I4526" i="4"/>
  <c r="M4526" i="4" s="1" a="1"/>
  <c r="M4526" i="4" s="1"/>
  <c r="O4526" i="4" s="1"/>
  <c r="P4525" i="4"/>
  <c r="K4525" i="4"/>
  <c r="J4525" i="4"/>
  <c r="M4525" i="4" s="1" a="1"/>
  <c r="M4525" i="4" s="1"/>
  <c r="O4525" i="4" s="1"/>
  <c r="I4525" i="4"/>
  <c r="P4524" i="4"/>
  <c r="M4524" i="4" a="1"/>
  <c r="M4524" i="4" s="1"/>
  <c r="O4524" i="4" s="1"/>
  <c r="K4524" i="4"/>
  <c r="J4524" i="4"/>
  <c r="I4524" i="4"/>
  <c r="P4523" i="4"/>
  <c r="O4523" i="4"/>
  <c r="K4523" i="4"/>
  <c r="J4523" i="4"/>
  <c r="I4523" i="4"/>
  <c r="M4523" i="4" s="1" a="1"/>
  <c r="M4523" i="4" s="1"/>
  <c r="P4522" i="4"/>
  <c r="K4522" i="4"/>
  <c r="J4522" i="4"/>
  <c r="I4522" i="4"/>
  <c r="M4522" i="4" s="1" a="1"/>
  <c r="M4522" i="4" s="1"/>
  <c r="O4522" i="4" s="1"/>
  <c r="P4521" i="4"/>
  <c r="M4521" i="4" a="1"/>
  <c r="M4521" i="4" s="1"/>
  <c r="O4521" i="4" s="1"/>
  <c r="K4521" i="4"/>
  <c r="J4521" i="4"/>
  <c r="I4521" i="4"/>
  <c r="P4520" i="4"/>
  <c r="K4520" i="4"/>
  <c r="J4520" i="4"/>
  <c r="I4520" i="4"/>
  <c r="M4520" i="4" s="1" a="1"/>
  <c r="M4520" i="4" s="1"/>
  <c r="O4520" i="4" s="1"/>
  <c r="P4519" i="4"/>
  <c r="K4519" i="4"/>
  <c r="J4519" i="4"/>
  <c r="M4519" i="4" s="1" a="1"/>
  <c r="M4519" i="4" s="1"/>
  <c r="O4519" i="4" s="1"/>
  <c r="I4519" i="4"/>
  <c r="P4518" i="4"/>
  <c r="M4518" i="4" a="1"/>
  <c r="M4518" i="4" s="1"/>
  <c r="O4518" i="4" s="1"/>
  <c r="K4518" i="4"/>
  <c r="J4518" i="4"/>
  <c r="I4518" i="4"/>
  <c r="P4517" i="4"/>
  <c r="K4517" i="4"/>
  <c r="J4517" i="4"/>
  <c r="M4517" i="4" s="1" a="1"/>
  <c r="M4517" i="4" s="1"/>
  <c r="O4517" i="4" s="1"/>
  <c r="I4517" i="4"/>
  <c r="P4516" i="4"/>
  <c r="K4516" i="4"/>
  <c r="J4516" i="4"/>
  <c r="I4516" i="4"/>
  <c r="M4516" i="4" s="1" a="1"/>
  <c r="M4516" i="4" s="1"/>
  <c r="O4516" i="4" s="1"/>
  <c r="P4515" i="4"/>
  <c r="K4515" i="4"/>
  <c r="J4515" i="4"/>
  <c r="M4515" i="4" s="1" a="1"/>
  <c r="M4515" i="4" s="1"/>
  <c r="O4515" i="4" s="1"/>
  <c r="I4515" i="4"/>
  <c r="P4514" i="4"/>
  <c r="K4514" i="4"/>
  <c r="J4514" i="4"/>
  <c r="I4514" i="4"/>
  <c r="M4514" i="4" s="1" a="1"/>
  <c r="M4514" i="4" s="1"/>
  <c r="O4514" i="4" s="1"/>
  <c r="P4513" i="4"/>
  <c r="K4513" i="4"/>
  <c r="J4513" i="4"/>
  <c r="I4513" i="4"/>
  <c r="M4513" i="4" s="1" a="1"/>
  <c r="M4513" i="4" s="1"/>
  <c r="O4513" i="4" s="1"/>
  <c r="P4512" i="4"/>
  <c r="K4512" i="4"/>
  <c r="J4512" i="4"/>
  <c r="I4512" i="4"/>
  <c r="P4511" i="4"/>
  <c r="M4511" i="4"/>
  <c r="O4511" i="4" s="1"/>
  <c r="M4511" i="4" a="1"/>
  <c r="K4511" i="4"/>
  <c r="J4511" i="4"/>
  <c r="I4511" i="4"/>
  <c r="P4510" i="4"/>
  <c r="K4510" i="4"/>
  <c r="J4510" i="4"/>
  <c r="I4510" i="4"/>
  <c r="M4510" i="4" s="1" a="1"/>
  <c r="M4510" i="4" s="1"/>
  <c r="O4510" i="4" s="1"/>
  <c r="P4509" i="4"/>
  <c r="K4509" i="4"/>
  <c r="J4509" i="4"/>
  <c r="M4509" i="4" s="1" a="1"/>
  <c r="M4509" i="4" s="1"/>
  <c r="O4509" i="4" s="1"/>
  <c r="I4509" i="4"/>
  <c r="P4508" i="4"/>
  <c r="M4508" i="4" a="1"/>
  <c r="M4508" i="4" s="1"/>
  <c r="O4508" i="4" s="1"/>
  <c r="K4508" i="4"/>
  <c r="J4508" i="4"/>
  <c r="I4508" i="4"/>
  <c r="P4507" i="4"/>
  <c r="K4507" i="4"/>
  <c r="J4507" i="4"/>
  <c r="I4507" i="4"/>
  <c r="M4507" i="4" s="1" a="1"/>
  <c r="M4507" i="4" s="1"/>
  <c r="O4507" i="4" s="1"/>
  <c r="P4506" i="4"/>
  <c r="K4506" i="4"/>
  <c r="J4506" i="4"/>
  <c r="I4506" i="4"/>
  <c r="M4506" i="4" s="1" a="1"/>
  <c r="M4506" i="4" s="1"/>
  <c r="O4506" i="4" s="1"/>
  <c r="P4505" i="4"/>
  <c r="M4505" i="4" a="1"/>
  <c r="M4505" i="4" s="1"/>
  <c r="O4505" i="4" s="1"/>
  <c r="K4505" i="4"/>
  <c r="J4505" i="4"/>
  <c r="I4505" i="4"/>
  <c r="P4504" i="4"/>
  <c r="K4504" i="4"/>
  <c r="J4504" i="4"/>
  <c r="I4504" i="4"/>
  <c r="M4504" i="4" s="1" a="1"/>
  <c r="M4504" i="4" s="1"/>
  <c r="O4504" i="4" s="1"/>
  <c r="P4503" i="4"/>
  <c r="K4503" i="4"/>
  <c r="J4503" i="4"/>
  <c r="M4503" i="4" s="1" a="1"/>
  <c r="M4503" i="4" s="1"/>
  <c r="O4503" i="4" s="1"/>
  <c r="I4503" i="4"/>
  <c r="P4502" i="4"/>
  <c r="M4502" i="4" a="1"/>
  <c r="M4502" i="4" s="1"/>
  <c r="O4502" i="4" s="1"/>
  <c r="K4502" i="4"/>
  <c r="J4502" i="4"/>
  <c r="I4502" i="4"/>
  <c r="P4501" i="4"/>
  <c r="K4501" i="4"/>
  <c r="J4501" i="4"/>
  <c r="M4501" i="4" s="1" a="1"/>
  <c r="M4501" i="4" s="1"/>
  <c r="O4501" i="4" s="1"/>
  <c r="I4501" i="4"/>
  <c r="P4500" i="4"/>
  <c r="K4500" i="4"/>
  <c r="J4500" i="4"/>
  <c r="I4500" i="4"/>
  <c r="M4500" i="4" s="1" a="1"/>
  <c r="M4500" i="4" s="1"/>
  <c r="O4500" i="4" s="1"/>
  <c r="P4499" i="4"/>
  <c r="K4499" i="4"/>
  <c r="J4499" i="4"/>
  <c r="M4499" i="4" s="1" a="1"/>
  <c r="M4499" i="4" s="1"/>
  <c r="O4499" i="4" s="1"/>
  <c r="I4499" i="4"/>
  <c r="P4498" i="4"/>
  <c r="M4498" i="4"/>
  <c r="O4498" i="4" s="1"/>
  <c r="K4498" i="4"/>
  <c r="J4498" i="4"/>
  <c r="I4498" i="4"/>
  <c r="M4498" i="4" s="1" a="1"/>
  <c r="P4497" i="4"/>
  <c r="K4497" i="4"/>
  <c r="J4497" i="4"/>
  <c r="I4497" i="4"/>
  <c r="M4497" i="4" s="1" a="1"/>
  <c r="M4497" i="4" s="1"/>
  <c r="O4497" i="4" s="1"/>
  <c r="P4496" i="4"/>
  <c r="K4496" i="4"/>
  <c r="J4496" i="4"/>
  <c r="I4496" i="4"/>
  <c r="P4495" i="4"/>
  <c r="M4495" i="4"/>
  <c r="O4495" i="4" s="1"/>
  <c r="M4495" i="4" a="1"/>
  <c r="K4495" i="4"/>
  <c r="J4495" i="4"/>
  <c r="I4495" i="4"/>
  <c r="P4494" i="4"/>
  <c r="K4494" i="4"/>
  <c r="J4494" i="4"/>
  <c r="I4494" i="4"/>
  <c r="M4494" i="4" s="1" a="1"/>
  <c r="M4494" i="4" s="1"/>
  <c r="O4494" i="4" s="1"/>
  <c r="P4493" i="4"/>
  <c r="K4493" i="4"/>
  <c r="J4493" i="4"/>
  <c r="M4493" i="4" s="1" a="1"/>
  <c r="M4493" i="4" s="1"/>
  <c r="O4493" i="4" s="1"/>
  <c r="I4493" i="4"/>
  <c r="P4492" i="4"/>
  <c r="M4492" i="4" a="1"/>
  <c r="M4492" i="4" s="1"/>
  <c r="O4492" i="4" s="1"/>
  <c r="K4492" i="4"/>
  <c r="J4492" i="4"/>
  <c r="I4492" i="4"/>
  <c r="P4491" i="4"/>
  <c r="O4491" i="4"/>
  <c r="K4491" i="4"/>
  <c r="J4491" i="4"/>
  <c r="I4491" i="4"/>
  <c r="M4491" i="4" s="1" a="1"/>
  <c r="M4491" i="4" s="1"/>
  <c r="P4490" i="4"/>
  <c r="K4490" i="4"/>
  <c r="J4490" i="4"/>
  <c r="I4490" i="4"/>
  <c r="M4490" i="4" s="1" a="1"/>
  <c r="M4490" i="4" s="1"/>
  <c r="O4490" i="4" s="1"/>
  <c r="P4489" i="4"/>
  <c r="M4489" i="4" a="1"/>
  <c r="M4489" i="4" s="1"/>
  <c r="O4489" i="4" s="1"/>
  <c r="K4489" i="4"/>
  <c r="J4489" i="4"/>
  <c r="I4489" i="4"/>
  <c r="P4488" i="4"/>
  <c r="K4488" i="4"/>
  <c r="J4488" i="4"/>
  <c r="I4488" i="4"/>
  <c r="M4488" i="4" s="1" a="1"/>
  <c r="M4488" i="4" s="1"/>
  <c r="O4488" i="4" s="1"/>
  <c r="P4487" i="4"/>
  <c r="K4487" i="4"/>
  <c r="J4487" i="4"/>
  <c r="M4487" i="4" s="1" a="1"/>
  <c r="M4487" i="4" s="1"/>
  <c r="O4487" i="4" s="1"/>
  <c r="I4487" i="4"/>
  <c r="P4486" i="4"/>
  <c r="M4486" i="4" a="1"/>
  <c r="M4486" i="4" s="1"/>
  <c r="O4486" i="4" s="1"/>
  <c r="K4486" i="4"/>
  <c r="J4486" i="4"/>
  <c r="I4486" i="4"/>
  <c r="P4485" i="4"/>
  <c r="K4485" i="4"/>
  <c r="J4485" i="4"/>
  <c r="M4485" i="4" s="1" a="1"/>
  <c r="M4485" i="4" s="1"/>
  <c r="O4485" i="4" s="1"/>
  <c r="I4485" i="4"/>
  <c r="P4484" i="4"/>
  <c r="K4484" i="4"/>
  <c r="J4484" i="4"/>
  <c r="I4484" i="4"/>
  <c r="M4484" i="4" s="1" a="1"/>
  <c r="M4484" i="4" s="1"/>
  <c r="O4484" i="4" s="1"/>
  <c r="P4483" i="4"/>
  <c r="K4483" i="4"/>
  <c r="J4483" i="4"/>
  <c r="M4483" i="4" s="1" a="1"/>
  <c r="M4483" i="4" s="1"/>
  <c r="O4483" i="4" s="1"/>
  <c r="I4483" i="4"/>
  <c r="P4482" i="4"/>
  <c r="M4482" i="4"/>
  <c r="O4482" i="4" s="1"/>
  <c r="K4482" i="4"/>
  <c r="J4482" i="4"/>
  <c r="I4482" i="4"/>
  <c r="M4482" i="4" s="1" a="1"/>
  <c r="P4481" i="4"/>
  <c r="K4481" i="4"/>
  <c r="J4481" i="4"/>
  <c r="I4481" i="4"/>
  <c r="M4481" i="4" s="1" a="1"/>
  <c r="M4481" i="4" s="1"/>
  <c r="O4481" i="4" s="1"/>
  <c r="P4480" i="4"/>
  <c r="K4480" i="4"/>
  <c r="J4480" i="4"/>
  <c r="I4480" i="4"/>
  <c r="P4479" i="4"/>
  <c r="M4479" i="4"/>
  <c r="O4479" i="4" s="1"/>
  <c r="M4479" i="4" a="1"/>
  <c r="K4479" i="4"/>
  <c r="J4479" i="4"/>
  <c r="I4479" i="4"/>
  <c r="P4478" i="4"/>
  <c r="K4478" i="4"/>
  <c r="J4478" i="4"/>
  <c r="I4478" i="4"/>
  <c r="M4478" i="4" s="1" a="1"/>
  <c r="M4478" i="4" s="1"/>
  <c r="O4478" i="4" s="1"/>
  <c r="P4477" i="4"/>
  <c r="K4477" i="4"/>
  <c r="J4477" i="4"/>
  <c r="M4477" i="4" s="1" a="1"/>
  <c r="M4477" i="4" s="1"/>
  <c r="O4477" i="4" s="1"/>
  <c r="I4477" i="4"/>
  <c r="P4476" i="4"/>
  <c r="M4476" i="4" a="1"/>
  <c r="M4476" i="4" s="1"/>
  <c r="O4476" i="4" s="1"/>
  <c r="K4476" i="4"/>
  <c r="J4476" i="4"/>
  <c r="I4476" i="4"/>
  <c r="P4475" i="4"/>
  <c r="O4475" i="4"/>
  <c r="K4475" i="4"/>
  <c r="J4475" i="4"/>
  <c r="I4475" i="4"/>
  <c r="M4475" i="4" s="1" a="1"/>
  <c r="M4475" i="4" s="1"/>
  <c r="P4474" i="4"/>
  <c r="K4474" i="4"/>
  <c r="J4474" i="4"/>
  <c r="I4474" i="4"/>
  <c r="M4474" i="4" s="1" a="1"/>
  <c r="M4474" i="4" s="1"/>
  <c r="O4474" i="4" s="1"/>
  <c r="P4473" i="4"/>
  <c r="M4473" i="4" a="1"/>
  <c r="M4473" i="4" s="1"/>
  <c r="O4473" i="4" s="1"/>
  <c r="K4473" i="4"/>
  <c r="J4473" i="4"/>
  <c r="I4473" i="4"/>
  <c r="P4472" i="4"/>
  <c r="K4472" i="4"/>
  <c r="J4472" i="4"/>
  <c r="I4472" i="4"/>
  <c r="M4472" i="4" s="1" a="1"/>
  <c r="M4472" i="4" s="1"/>
  <c r="O4472" i="4" s="1"/>
  <c r="P4471" i="4"/>
  <c r="K4471" i="4"/>
  <c r="J4471" i="4"/>
  <c r="M4471" i="4" s="1" a="1"/>
  <c r="M4471" i="4" s="1"/>
  <c r="O4471" i="4" s="1"/>
  <c r="I4471" i="4"/>
  <c r="P4470" i="4"/>
  <c r="M4470" i="4" a="1"/>
  <c r="M4470" i="4" s="1"/>
  <c r="O4470" i="4" s="1"/>
  <c r="K4470" i="4"/>
  <c r="J4470" i="4"/>
  <c r="I4470" i="4"/>
  <c r="P4469" i="4"/>
  <c r="K4469" i="4"/>
  <c r="J4469" i="4"/>
  <c r="M4469" i="4" s="1" a="1"/>
  <c r="M4469" i="4" s="1"/>
  <c r="O4469" i="4" s="1"/>
  <c r="I4469" i="4"/>
  <c r="P4468" i="4"/>
  <c r="K4468" i="4"/>
  <c r="J4468" i="4"/>
  <c r="I4468" i="4"/>
  <c r="M4468" i="4" s="1" a="1"/>
  <c r="M4468" i="4" s="1"/>
  <c r="O4468" i="4" s="1"/>
  <c r="P4467" i="4"/>
  <c r="K4467" i="4"/>
  <c r="J4467" i="4"/>
  <c r="M4467" i="4" s="1" a="1"/>
  <c r="M4467" i="4" s="1"/>
  <c r="O4467" i="4" s="1"/>
  <c r="I4467" i="4"/>
  <c r="P4466" i="4"/>
  <c r="M4466" i="4"/>
  <c r="O4466" i="4" s="1"/>
  <c r="K4466" i="4"/>
  <c r="J4466" i="4"/>
  <c r="I4466" i="4"/>
  <c r="M4466" i="4" s="1" a="1"/>
  <c r="P4465" i="4"/>
  <c r="K4465" i="4"/>
  <c r="J4465" i="4"/>
  <c r="I4465" i="4"/>
  <c r="M4465" i="4" s="1" a="1"/>
  <c r="M4465" i="4" s="1"/>
  <c r="O4465" i="4" s="1"/>
  <c r="P4464" i="4"/>
  <c r="K4464" i="4"/>
  <c r="J4464" i="4"/>
  <c r="I4464" i="4"/>
  <c r="P4463" i="4"/>
  <c r="M4463" i="4"/>
  <c r="O4463" i="4" s="1"/>
  <c r="M4463" i="4" a="1"/>
  <c r="K4463" i="4"/>
  <c r="J4463" i="4"/>
  <c r="I4463" i="4"/>
  <c r="P4462" i="4"/>
  <c r="K4462" i="4"/>
  <c r="J4462" i="4"/>
  <c r="I4462" i="4"/>
  <c r="M4462" i="4" s="1" a="1"/>
  <c r="M4462" i="4" s="1"/>
  <c r="O4462" i="4" s="1"/>
  <c r="P4461" i="4"/>
  <c r="K4461" i="4"/>
  <c r="J4461" i="4"/>
  <c r="M4461" i="4" s="1" a="1"/>
  <c r="M4461" i="4" s="1"/>
  <c r="O4461" i="4" s="1"/>
  <c r="I4461" i="4"/>
  <c r="P4460" i="4"/>
  <c r="M4460" i="4" a="1"/>
  <c r="M4460" i="4" s="1"/>
  <c r="O4460" i="4" s="1"/>
  <c r="K4460" i="4"/>
  <c r="J4460" i="4"/>
  <c r="I4460" i="4"/>
  <c r="P4459" i="4"/>
  <c r="O4459" i="4"/>
  <c r="K4459" i="4"/>
  <c r="J4459" i="4"/>
  <c r="I4459" i="4"/>
  <c r="M4459" i="4" s="1" a="1"/>
  <c r="M4459" i="4" s="1"/>
  <c r="P4458" i="4"/>
  <c r="K4458" i="4"/>
  <c r="J4458" i="4"/>
  <c r="I4458" i="4"/>
  <c r="M4458" i="4" s="1" a="1"/>
  <c r="M4458" i="4" s="1"/>
  <c r="O4458" i="4" s="1"/>
  <c r="P4457" i="4"/>
  <c r="M4457" i="4" a="1"/>
  <c r="M4457" i="4" s="1"/>
  <c r="O4457" i="4" s="1"/>
  <c r="K4457" i="4"/>
  <c r="J4457" i="4"/>
  <c r="I4457" i="4"/>
  <c r="P4456" i="4"/>
  <c r="K4456" i="4"/>
  <c r="J4456" i="4"/>
  <c r="I4456" i="4"/>
  <c r="M4456" i="4" s="1" a="1"/>
  <c r="M4456" i="4" s="1"/>
  <c r="O4456" i="4" s="1"/>
  <c r="P4455" i="4"/>
  <c r="K4455" i="4"/>
  <c r="J4455" i="4"/>
  <c r="M4455" i="4" s="1" a="1"/>
  <c r="M4455" i="4" s="1"/>
  <c r="O4455" i="4" s="1"/>
  <c r="I4455" i="4"/>
  <c r="P4454" i="4"/>
  <c r="M4454" i="4" a="1"/>
  <c r="M4454" i="4" s="1"/>
  <c r="O4454" i="4" s="1"/>
  <c r="K4454" i="4"/>
  <c r="J4454" i="4"/>
  <c r="I4454" i="4"/>
  <c r="P4453" i="4"/>
  <c r="K4453" i="4"/>
  <c r="J4453" i="4"/>
  <c r="M4453" i="4" s="1" a="1"/>
  <c r="M4453" i="4" s="1"/>
  <c r="O4453" i="4" s="1"/>
  <c r="I4453" i="4"/>
  <c r="P4452" i="4"/>
  <c r="K4452" i="4"/>
  <c r="J4452" i="4"/>
  <c r="I4452" i="4"/>
  <c r="M4452" i="4" s="1" a="1"/>
  <c r="M4452" i="4" s="1"/>
  <c r="O4452" i="4" s="1"/>
  <c r="P4451" i="4"/>
  <c r="K4451" i="4"/>
  <c r="J4451" i="4"/>
  <c r="M4451" i="4" s="1" a="1"/>
  <c r="M4451" i="4" s="1"/>
  <c r="O4451" i="4" s="1"/>
  <c r="I4451" i="4"/>
  <c r="P4450" i="4"/>
  <c r="M4450" i="4"/>
  <c r="O4450" i="4" s="1"/>
  <c r="K4450" i="4"/>
  <c r="J4450" i="4"/>
  <c r="I4450" i="4"/>
  <c r="M4450" i="4" s="1" a="1"/>
  <c r="P4449" i="4"/>
  <c r="K4449" i="4"/>
  <c r="J4449" i="4"/>
  <c r="I4449" i="4"/>
  <c r="M4449" i="4" s="1" a="1"/>
  <c r="M4449" i="4" s="1"/>
  <c r="O4449" i="4" s="1"/>
  <c r="P4448" i="4"/>
  <c r="K4448" i="4"/>
  <c r="J4448" i="4"/>
  <c r="I4448" i="4"/>
  <c r="P4447" i="4"/>
  <c r="M4447" i="4"/>
  <c r="O4447" i="4" s="1"/>
  <c r="M4447" i="4" a="1"/>
  <c r="K4447" i="4"/>
  <c r="J4447" i="4"/>
  <c r="I4447" i="4"/>
  <c r="P4446" i="4"/>
  <c r="K4446" i="4"/>
  <c r="J4446" i="4"/>
  <c r="I4446" i="4"/>
  <c r="M4446" i="4" s="1" a="1"/>
  <c r="M4446" i="4" s="1"/>
  <c r="O4446" i="4" s="1"/>
  <c r="P4445" i="4"/>
  <c r="K4445" i="4"/>
  <c r="J4445" i="4"/>
  <c r="M4445" i="4" s="1" a="1"/>
  <c r="M4445" i="4" s="1"/>
  <c r="O4445" i="4" s="1"/>
  <c r="I4445" i="4"/>
  <c r="P4444" i="4"/>
  <c r="M4444" i="4" a="1"/>
  <c r="M4444" i="4" s="1"/>
  <c r="O4444" i="4" s="1"/>
  <c r="K4444" i="4"/>
  <c r="J4444" i="4"/>
  <c r="I4444" i="4"/>
  <c r="P4443" i="4"/>
  <c r="O4443" i="4"/>
  <c r="K4443" i="4"/>
  <c r="J4443" i="4"/>
  <c r="I4443" i="4"/>
  <c r="M4443" i="4" s="1" a="1"/>
  <c r="M4443" i="4" s="1"/>
  <c r="P4442" i="4"/>
  <c r="K4442" i="4"/>
  <c r="J4442" i="4"/>
  <c r="I4442" i="4"/>
  <c r="M4442" i="4" s="1" a="1"/>
  <c r="M4442" i="4" s="1"/>
  <c r="O4442" i="4" s="1"/>
  <c r="P4441" i="4"/>
  <c r="M4441" i="4" a="1"/>
  <c r="M4441" i="4" s="1"/>
  <c r="O4441" i="4" s="1"/>
  <c r="K4441" i="4"/>
  <c r="J4441" i="4"/>
  <c r="I4441" i="4"/>
  <c r="P4440" i="4"/>
  <c r="K4440" i="4"/>
  <c r="J4440" i="4"/>
  <c r="I4440" i="4"/>
  <c r="M4440" i="4" s="1" a="1"/>
  <c r="M4440" i="4" s="1"/>
  <c r="O4440" i="4" s="1"/>
  <c r="P4439" i="4"/>
  <c r="K4439" i="4"/>
  <c r="J4439" i="4"/>
  <c r="M4439" i="4" s="1" a="1"/>
  <c r="M4439" i="4" s="1"/>
  <c r="O4439" i="4" s="1"/>
  <c r="I4439" i="4"/>
  <c r="P4438" i="4"/>
  <c r="M4438" i="4" a="1"/>
  <c r="M4438" i="4" s="1"/>
  <c r="O4438" i="4" s="1"/>
  <c r="K4438" i="4"/>
  <c r="J4438" i="4"/>
  <c r="I4438" i="4"/>
  <c r="P4437" i="4"/>
  <c r="K4437" i="4"/>
  <c r="J4437" i="4"/>
  <c r="M4437" i="4" s="1" a="1"/>
  <c r="M4437" i="4" s="1"/>
  <c r="O4437" i="4" s="1"/>
  <c r="I4437" i="4"/>
  <c r="P4436" i="4"/>
  <c r="K4436" i="4"/>
  <c r="J4436" i="4"/>
  <c r="I4436" i="4"/>
  <c r="M4436" i="4" s="1" a="1"/>
  <c r="M4436" i="4" s="1"/>
  <c r="O4436" i="4" s="1"/>
  <c r="P4435" i="4"/>
  <c r="K4435" i="4"/>
  <c r="J4435" i="4"/>
  <c r="M4435" i="4" s="1" a="1"/>
  <c r="M4435" i="4" s="1"/>
  <c r="O4435" i="4" s="1"/>
  <c r="I4435" i="4"/>
  <c r="P4434" i="4"/>
  <c r="M4434" i="4"/>
  <c r="O4434" i="4" s="1"/>
  <c r="K4434" i="4"/>
  <c r="J4434" i="4"/>
  <c r="I4434" i="4"/>
  <c r="M4434" i="4" s="1" a="1"/>
  <c r="P4433" i="4"/>
  <c r="K4433" i="4"/>
  <c r="J4433" i="4"/>
  <c r="I4433" i="4"/>
  <c r="M4433" i="4" s="1" a="1"/>
  <c r="M4433" i="4" s="1"/>
  <c r="O4433" i="4" s="1"/>
  <c r="P4432" i="4"/>
  <c r="K4432" i="4"/>
  <c r="J4432" i="4"/>
  <c r="I4432" i="4"/>
  <c r="P4431" i="4"/>
  <c r="M4431" i="4"/>
  <c r="O4431" i="4" s="1"/>
  <c r="M4431" i="4" a="1"/>
  <c r="K4431" i="4"/>
  <c r="J4431" i="4"/>
  <c r="I4431" i="4"/>
  <c r="P4430" i="4"/>
  <c r="K4430" i="4"/>
  <c r="J4430" i="4"/>
  <c r="I4430" i="4"/>
  <c r="M4430" i="4" s="1" a="1"/>
  <c r="M4430" i="4" s="1"/>
  <c r="O4430" i="4" s="1"/>
  <c r="P4429" i="4"/>
  <c r="K4429" i="4"/>
  <c r="J4429" i="4"/>
  <c r="M4429" i="4" s="1" a="1"/>
  <c r="M4429" i="4" s="1"/>
  <c r="O4429" i="4" s="1"/>
  <c r="I4429" i="4"/>
  <c r="P4428" i="4"/>
  <c r="M4428" i="4" a="1"/>
  <c r="M4428" i="4" s="1"/>
  <c r="O4428" i="4" s="1"/>
  <c r="K4428" i="4"/>
  <c r="J4428" i="4"/>
  <c r="I4428" i="4"/>
  <c r="P4427" i="4"/>
  <c r="O4427" i="4"/>
  <c r="K4427" i="4"/>
  <c r="J4427" i="4"/>
  <c r="I4427" i="4"/>
  <c r="M4427" i="4" s="1" a="1"/>
  <c r="M4427" i="4" s="1"/>
  <c r="P4426" i="4"/>
  <c r="K4426" i="4"/>
  <c r="J4426" i="4"/>
  <c r="I4426" i="4"/>
  <c r="M4426" i="4" s="1" a="1"/>
  <c r="M4426" i="4" s="1"/>
  <c r="O4426" i="4" s="1"/>
  <c r="P4425" i="4"/>
  <c r="M4425" i="4" a="1"/>
  <c r="M4425" i="4" s="1"/>
  <c r="O4425" i="4" s="1"/>
  <c r="K4425" i="4"/>
  <c r="J4425" i="4"/>
  <c r="I4425" i="4"/>
  <c r="P4424" i="4"/>
  <c r="K4424" i="4"/>
  <c r="J4424" i="4"/>
  <c r="I4424" i="4"/>
  <c r="M4424" i="4" s="1" a="1"/>
  <c r="M4424" i="4" s="1"/>
  <c r="O4424" i="4" s="1"/>
  <c r="P4423" i="4"/>
  <c r="K4423" i="4"/>
  <c r="J4423" i="4"/>
  <c r="M4423" i="4" s="1" a="1"/>
  <c r="M4423" i="4" s="1"/>
  <c r="O4423" i="4" s="1"/>
  <c r="I4423" i="4"/>
  <c r="P4422" i="4"/>
  <c r="M4422" i="4" a="1"/>
  <c r="M4422" i="4" s="1"/>
  <c r="O4422" i="4" s="1"/>
  <c r="K4422" i="4"/>
  <c r="J4422" i="4"/>
  <c r="I4422" i="4"/>
  <c r="P4421" i="4"/>
  <c r="K4421" i="4"/>
  <c r="J4421" i="4"/>
  <c r="M4421" i="4" s="1" a="1"/>
  <c r="M4421" i="4" s="1"/>
  <c r="O4421" i="4" s="1"/>
  <c r="I4421" i="4"/>
  <c r="P4420" i="4"/>
  <c r="K4420" i="4"/>
  <c r="J4420" i="4"/>
  <c r="I4420" i="4"/>
  <c r="M4420" i="4" s="1" a="1"/>
  <c r="M4420" i="4" s="1"/>
  <c r="O4420" i="4" s="1"/>
  <c r="P4419" i="4"/>
  <c r="K4419" i="4"/>
  <c r="J4419" i="4"/>
  <c r="M4419" i="4" s="1" a="1"/>
  <c r="M4419" i="4" s="1"/>
  <c r="O4419" i="4" s="1"/>
  <c r="I4419" i="4"/>
  <c r="P4418" i="4"/>
  <c r="M4418" i="4"/>
  <c r="O4418" i="4" s="1"/>
  <c r="K4418" i="4"/>
  <c r="J4418" i="4"/>
  <c r="I4418" i="4"/>
  <c r="M4418" i="4" s="1" a="1"/>
  <c r="P4417" i="4"/>
  <c r="K4417" i="4"/>
  <c r="J4417" i="4"/>
  <c r="I4417" i="4"/>
  <c r="M4417" i="4" s="1" a="1"/>
  <c r="M4417" i="4" s="1"/>
  <c r="O4417" i="4" s="1"/>
  <c r="P4416" i="4"/>
  <c r="K4416" i="4"/>
  <c r="J4416" i="4"/>
  <c r="I4416" i="4"/>
  <c r="P4415" i="4"/>
  <c r="M4415" i="4"/>
  <c r="O4415" i="4" s="1"/>
  <c r="M4415" i="4" a="1"/>
  <c r="K4415" i="4"/>
  <c r="J4415" i="4"/>
  <c r="I4415" i="4"/>
  <c r="P4414" i="4"/>
  <c r="K4414" i="4"/>
  <c r="J4414" i="4"/>
  <c r="I4414" i="4"/>
  <c r="M4414" i="4" s="1" a="1"/>
  <c r="M4414" i="4" s="1"/>
  <c r="O4414" i="4" s="1"/>
  <c r="P4413" i="4"/>
  <c r="K4413" i="4"/>
  <c r="J4413" i="4"/>
  <c r="M4413" i="4" s="1" a="1"/>
  <c r="M4413" i="4" s="1"/>
  <c r="O4413" i="4" s="1"/>
  <c r="I4413" i="4"/>
  <c r="P4412" i="4"/>
  <c r="M4412" i="4" a="1"/>
  <c r="M4412" i="4" s="1"/>
  <c r="O4412" i="4" s="1"/>
  <c r="K4412" i="4"/>
  <c r="J4412" i="4"/>
  <c r="I4412" i="4"/>
  <c r="P4411" i="4"/>
  <c r="O4411" i="4"/>
  <c r="K4411" i="4"/>
  <c r="J4411" i="4"/>
  <c r="I4411" i="4"/>
  <c r="M4411" i="4" s="1" a="1"/>
  <c r="M4411" i="4" s="1"/>
  <c r="P4410" i="4"/>
  <c r="K4410" i="4"/>
  <c r="J4410" i="4"/>
  <c r="I4410" i="4"/>
  <c r="M4410" i="4" s="1" a="1"/>
  <c r="M4410" i="4" s="1"/>
  <c r="O4410" i="4" s="1"/>
  <c r="P4409" i="4"/>
  <c r="M4409" i="4" a="1"/>
  <c r="M4409" i="4" s="1"/>
  <c r="O4409" i="4" s="1"/>
  <c r="K4409" i="4"/>
  <c r="J4409" i="4"/>
  <c r="I4409" i="4"/>
  <c r="P4408" i="4"/>
  <c r="K4408" i="4"/>
  <c r="J4408" i="4"/>
  <c r="I4408" i="4"/>
  <c r="M4408" i="4" s="1" a="1"/>
  <c r="M4408" i="4" s="1"/>
  <c r="O4408" i="4" s="1"/>
  <c r="P4407" i="4"/>
  <c r="K4407" i="4"/>
  <c r="J4407" i="4"/>
  <c r="M4407" i="4" s="1" a="1"/>
  <c r="M4407" i="4" s="1"/>
  <c r="O4407" i="4" s="1"/>
  <c r="I4407" i="4"/>
  <c r="P4406" i="4"/>
  <c r="M4406" i="4" a="1"/>
  <c r="M4406" i="4" s="1"/>
  <c r="O4406" i="4" s="1"/>
  <c r="K4406" i="4"/>
  <c r="J4406" i="4"/>
  <c r="I4406" i="4"/>
  <c r="P4405" i="4"/>
  <c r="K4405" i="4"/>
  <c r="J4405" i="4"/>
  <c r="M4405" i="4" s="1" a="1"/>
  <c r="M4405" i="4" s="1"/>
  <c r="O4405" i="4" s="1"/>
  <c r="I4405" i="4"/>
  <c r="P4404" i="4"/>
  <c r="K4404" i="4"/>
  <c r="J4404" i="4"/>
  <c r="I4404" i="4"/>
  <c r="M4404" i="4" s="1" a="1"/>
  <c r="M4404" i="4" s="1"/>
  <c r="O4404" i="4" s="1"/>
  <c r="P4403" i="4"/>
  <c r="K4403" i="4"/>
  <c r="J4403" i="4"/>
  <c r="M4403" i="4" s="1" a="1"/>
  <c r="M4403" i="4" s="1"/>
  <c r="O4403" i="4" s="1"/>
  <c r="I4403" i="4"/>
  <c r="P4402" i="4"/>
  <c r="M4402" i="4"/>
  <c r="O4402" i="4" s="1"/>
  <c r="K4402" i="4"/>
  <c r="J4402" i="4"/>
  <c r="I4402" i="4"/>
  <c r="M4402" i="4" s="1" a="1"/>
  <c r="P4401" i="4"/>
  <c r="K4401" i="4"/>
  <c r="J4401" i="4"/>
  <c r="I4401" i="4"/>
  <c r="M4401" i="4" s="1" a="1"/>
  <c r="M4401" i="4" s="1"/>
  <c r="O4401" i="4" s="1"/>
  <c r="P4400" i="4"/>
  <c r="K4400" i="4"/>
  <c r="J4400" i="4"/>
  <c r="I4400" i="4"/>
  <c r="P4399" i="4"/>
  <c r="M4399" i="4"/>
  <c r="O4399" i="4" s="1"/>
  <c r="M4399" i="4" a="1"/>
  <c r="K4399" i="4"/>
  <c r="J4399" i="4"/>
  <c r="I4399" i="4"/>
  <c r="P4398" i="4"/>
  <c r="K4398" i="4"/>
  <c r="J4398" i="4"/>
  <c r="I4398" i="4"/>
  <c r="M4398" i="4" s="1" a="1"/>
  <c r="M4398" i="4" s="1"/>
  <c r="O4398" i="4" s="1"/>
  <c r="P4397" i="4"/>
  <c r="K4397" i="4"/>
  <c r="J4397" i="4"/>
  <c r="M4397" i="4" s="1" a="1"/>
  <c r="M4397" i="4" s="1"/>
  <c r="O4397" i="4" s="1"/>
  <c r="I4397" i="4"/>
  <c r="P4396" i="4"/>
  <c r="M4396" i="4" a="1"/>
  <c r="M4396" i="4" s="1"/>
  <c r="O4396" i="4" s="1"/>
  <c r="K4396" i="4"/>
  <c r="J4396" i="4"/>
  <c r="I4396" i="4"/>
  <c r="P4395" i="4"/>
  <c r="O4395" i="4"/>
  <c r="K4395" i="4"/>
  <c r="J4395" i="4"/>
  <c r="I4395" i="4"/>
  <c r="M4395" i="4" s="1" a="1"/>
  <c r="M4395" i="4" s="1"/>
  <c r="P4394" i="4"/>
  <c r="K4394" i="4"/>
  <c r="J4394" i="4"/>
  <c r="I4394" i="4"/>
  <c r="M4394" i="4" s="1" a="1"/>
  <c r="M4394" i="4" s="1"/>
  <c r="O4394" i="4" s="1"/>
  <c r="P4393" i="4"/>
  <c r="M4393" i="4" a="1"/>
  <c r="M4393" i="4" s="1"/>
  <c r="O4393" i="4" s="1"/>
  <c r="K4393" i="4"/>
  <c r="J4393" i="4"/>
  <c r="I4393" i="4"/>
  <c r="P4392" i="4"/>
  <c r="K4392" i="4"/>
  <c r="J4392" i="4"/>
  <c r="I4392" i="4"/>
  <c r="M4392" i="4" s="1" a="1"/>
  <c r="M4392" i="4" s="1"/>
  <c r="O4392" i="4" s="1"/>
  <c r="P4391" i="4"/>
  <c r="K4391" i="4"/>
  <c r="J4391" i="4"/>
  <c r="M4391" i="4" s="1" a="1"/>
  <c r="M4391" i="4" s="1"/>
  <c r="O4391" i="4" s="1"/>
  <c r="I4391" i="4"/>
  <c r="P4390" i="4"/>
  <c r="M4390" i="4" a="1"/>
  <c r="M4390" i="4" s="1"/>
  <c r="O4390" i="4" s="1"/>
  <c r="K4390" i="4"/>
  <c r="J4390" i="4"/>
  <c r="I4390" i="4"/>
  <c r="P4389" i="4"/>
  <c r="K4389" i="4"/>
  <c r="J4389" i="4"/>
  <c r="M4389" i="4" s="1" a="1"/>
  <c r="M4389" i="4" s="1"/>
  <c r="O4389" i="4" s="1"/>
  <c r="I4389" i="4"/>
  <c r="P4388" i="4"/>
  <c r="K4388" i="4"/>
  <c r="J4388" i="4"/>
  <c r="I4388" i="4"/>
  <c r="M4388" i="4" s="1" a="1"/>
  <c r="M4388" i="4" s="1"/>
  <c r="O4388" i="4" s="1"/>
  <c r="P4387" i="4"/>
  <c r="K4387" i="4"/>
  <c r="J4387" i="4"/>
  <c r="M4387" i="4" s="1" a="1"/>
  <c r="M4387" i="4" s="1"/>
  <c r="O4387" i="4" s="1"/>
  <c r="I4387" i="4"/>
  <c r="P4386" i="4"/>
  <c r="M4386" i="4"/>
  <c r="O4386" i="4" s="1"/>
  <c r="K4386" i="4"/>
  <c r="J4386" i="4"/>
  <c r="I4386" i="4"/>
  <c r="M4386" i="4" s="1" a="1"/>
  <c r="P4385" i="4"/>
  <c r="K4385" i="4"/>
  <c r="J4385" i="4"/>
  <c r="I4385" i="4"/>
  <c r="M4385" i="4" s="1" a="1"/>
  <c r="M4385" i="4" s="1"/>
  <c r="O4385" i="4" s="1"/>
  <c r="P4384" i="4"/>
  <c r="K4384" i="4"/>
  <c r="J4384" i="4"/>
  <c r="I4384" i="4"/>
  <c r="P4383" i="4"/>
  <c r="M4383" i="4"/>
  <c r="O4383" i="4" s="1"/>
  <c r="M4383" i="4" a="1"/>
  <c r="K4383" i="4"/>
  <c r="J4383" i="4"/>
  <c r="I4383" i="4"/>
  <c r="P4382" i="4"/>
  <c r="K4382" i="4"/>
  <c r="J4382" i="4"/>
  <c r="I4382" i="4"/>
  <c r="M4382" i="4" s="1" a="1"/>
  <c r="M4382" i="4" s="1"/>
  <c r="O4382" i="4" s="1"/>
  <c r="P4381" i="4"/>
  <c r="K4381" i="4"/>
  <c r="J4381" i="4"/>
  <c r="M4381" i="4" s="1" a="1"/>
  <c r="M4381" i="4" s="1"/>
  <c r="O4381" i="4" s="1"/>
  <c r="I4381" i="4"/>
  <c r="P4380" i="4"/>
  <c r="M4380" i="4" a="1"/>
  <c r="M4380" i="4" s="1"/>
  <c r="O4380" i="4" s="1"/>
  <c r="K4380" i="4"/>
  <c r="J4380" i="4"/>
  <c r="I4380" i="4"/>
  <c r="P4379" i="4"/>
  <c r="O4379" i="4"/>
  <c r="K4379" i="4"/>
  <c r="J4379" i="4"/>
  <c r="I4379" i="4"/>
  <c r="M4379" i="4" s="1" a="1"/>
  <c r="M4379" i="4" s="1"/>
  <c r="P4378" i="4"/>
  <c r="K4378" i="4"/>
  <c r="J4378" i="4"/>
  <c r="I4378" i="4"/>
  <c r="M4378" i="4" s="1" a="1"/>
  <c r="M4378" i="4" s="1"/>
  <c r="O4378" i="4" s="1"/>
  <c r="P4377" i="4"/>
  <c r="M4377" i="4" a="1"/>
  <c r="M4377" i="4" s="1"/>
  <c r="O4377" i="4" s="1"/>
  <c r="K4377" i="4"/>
  <c r="J4377" i="4"/>
  <c r="I4377" i="4"/>
  <c r="P4376" i="4"/>
  <c r="K4376" i="4"/>
  <c r="J4376" i="4"/>
  <c r="I4376" i="4"/>
  <c r="M4376" i="4" s="1" a="1"/>
  <c r="M4376" i="4" s="1"/>
  <c r="O4376" i="4" s="1"/>
  <c r="P4375" i="4"/>
  <c r="K4375" i="4"/>
  <c r="J4375" i="4"/>
  <c r="M4375" i="4" s="1" a="1"/>
  <c r="M4375" i="4" s="1"/>
  <c r="O4375" i="4" s="1"/>
  <c r="I4375" i="4"/>
  <c r="P4374" i="4"/>
  <c r="M4374" i="4" a="1"/>
  <c r="M4374" i="4" s="1"/>
  <c r="O4374" i="4" s="1"/>
  <c r="K4374" i="4"/>
  <c r="J4374" i="4"/>
  <c r="I4374" i="4"/>
  <c r="P4373" i="4"/>
  <c r="K4373" i="4"/>
  <c r="J4373" i="4"/>
  <c r="M4373" i="4" s="1" a="1"/>
  <c r="M4373" i="4" s="1"/>
  <c r="O4373" i="4" s="1"/>
  <c r="I4373" i="4"/>
  <c r="P4372" i="4"/>
  <c r="K4372" i="4"/>
  <c r="J4372" i="4"/>
  <c r="I4372" i="4"/>
  <c r="M4372" i="4" s="1" a="1"/>
  <c r="M4372" i="4" s="1"/>
  <c r="O4372" i="4" s="1"/>
  <c r="P4371" i="4"/>
  <c r="K4371" i="4"/>
  <c r="J4371" i="4"/>
  <c r="M4371" i="4" s="1" a="1"/>
  <c r="M4371" i="4" s="1"/>
  <c r="O4371" i="4" s="1"/>
  <c r="I4371" i="4"/>
  <c r="P4370" i="4"/>
  <c r="K4370" i="4"/>
  <c r="J4370" i="4"/>
  <c r="I4370" i="4"/>
  <c r="M4370" i="4" s="1" a="1"/>
  <c r="M4370" i="4" s="1"/>
  <c r="O4370" i="4" s="1"/>
  <c r="P4369" i="4"/>
  <c r="K4369" i="4"/>
  <c r="J4369" i="4"/>
  <c r="I4369" i="4"/>
  <c r="M4369" i="4" s="1" a="1"/>
  <c r="M4369" i="4" s="1"/>
  <c r="O4369" i="4" s="1"/>
  <c r="P4368" i="4"/>
  <c r="K4368" i="4"/>
  <c r="J4368" i="4"/>
  <c r="M4368" i="4" s="1" a="1"/>
  <c r="M4368" i="4" s="1"/>
  <c r="O4368" i="4" s="1"/>
  <c r="I4368" i="4"/>
  <c r="P4367" i="4"/>
  <c r="M4367" i="4"/>
  <c r="O4367" i="4" s="1"/>
  <c r="M4367" i="4" a="1"/>
  <c r="K4367" i="4"/>
  <c r="J4367" i="4"/>
  <c r="I4367" i="4"/>
  <c r="P4366" i="4"/>
  <c r="K4366" i="4"/>
  <c r="J4366" i="4"/>
  <c r="I4366" i="4"/>
  <c r="M4366" i="4" s="1" a="1"/>
  <c r="M4366" i="4" s="1"/>
  <c r="O4366" i="4" s="1"/>
  <c r="P4365" i="4"/>
  <c r="K4365" i="4"/>
  <c r="J4365" i="4"/>
  <c r="M4365" i="4" s="1" a="1"/>
  <c r="M4365" i="4" s="1"/>
  <c r="O4365" i="4" s="1"/>
  <c r="I4365" i="4"/>
  <c r="P4364" i="4"/>
  <c r="M4364" i="4" a="1"/>
  <c r="M4364" i="4" s="1"/>
  <c r="O4364" i="4" s="1"/>
  <c r="K4364" i="4"/>
  <c r="J4364" i="4"/>
  <c r="I4364" i="4"/>
  <c r="P4363" i="4"/>
  <c r="K4363" i="4"/>
  <c r="J4363" i="4"/>
  <c r="I4363" i="4"/>
  <c r="M4363" i="4" s="1" a="1"/>
  <c r="M4363" i="4" s="1"/>
  <c r="O4363" i="4" s="1"/>
  <c r="P4362" i="4"/>
  <c r="K4362" i="4"/>
  <c r="J4362" i="4"/>
  <c r="I4362" i="4"/>
  <c r="M4362" i="4" s="1" a="1"/>
  <c r="M4362" i="4" s="1"/>
  <c r="O4362" i="4" s="1"/>
  <c r="P4361" i="4"/>
  <c r="M4361" i="4" a="1"/>
  <c r="M4361" i="4" s="1"/>
  <c r="O4361" i="4" s="1"/>
  <c r="K4361" i="4"/>
  <c r="J4361" i="4"/>
  <c r="I4361" i="4"/>
  <c r="P4360" i="4"/>
  <c r="K4360" i="4"/>
  <c r="J4360" i="4"/>
  <c r="I4360" i="4"/>
  <c r="M4360" i="4" s="1" a="1"/>
  <c r="M4360" i="4" s="1"/>
  <c r="O4360" i="4" s="1"/>
  <c r="P4359" i="4"/>
  <c r="K4359" i="4"/>
  <c r="J4359" i="4"/>
  <c r="M4359" i="4" s="1" a="1"/>
  <c r="M4359" i="4" s="1"/>
  <c r="O4359" i="4" s="1"/>
  <c r="I4359" i="4"/>
  <c r="P4358" i="4"/>
  <c r="M4358" i="4" a="1"/>
  <c r="M4358" i="4" s="1"/>
  <c r="O4358" i="4" s="1"/>
  <c r="K4358" i="4"/>
  <c r="J4358" i="4"/>
  <c r="I4358" i="4"/>
  <c r="P4357" i="4"/>
  <c r="K4357" i="4"/>
  <c r="J4357" i="4"/>
  <c r="M4357" i="4" s="1" a="1"/>
  <c r="M4357" i="4" s="1"/>
  <c r="O4357" i="4" s="1"/>
  <c r="I4357" i="4"/>
  <c r="P4356" i="4"/>
  <c r="K4356" i="4"/>
  <c r="J4356" i="4"/>
  <c r="I4356" i="4"/>
  <c r="M4356" i="4" s="1" a="1"/>
  <c r="M4356" i="4" s="1"/>
  <c r="O4356" i="4" s="1"/>
  <c r="P4355" i="4"/>
  <c r="K4355" i="4"/>
  <c r="J4355" i="4"/>
  <c r="I4355" i="4"/>
  <c r="P4354" i="4"/>
  <c r="K4354" i="4"/>
  <c r="J4354" i="4"/>
  <c r="I4354" i="4"/>
  <c r="M4354" i="4" s="1" a="1"/>
  <c r="M4354" i="4" s="1"/>
  <c r="O4354" i="4" s="1"/>
  <c r="P4353" i="4"/>
  <c r="K4353" i="4"/>
  <c r="J4353" i="4"/>
  <c r="I4353" i="4"/>
  <c r="M4353" i="4" s="1" a="1"/>
  <c r="M4353" i="4" s="1"/>
  <c r="O4353" i="4" s="1"/>
  <c r="P4352" i="4"/>
  <c r="K4352" i="4"/>
  <c r="J4352" i="4"/>
  <c r="M4352" i="4" s="1" a="1"/>
  <c r="M4352" i="4" s="1"/>
  <c r="O4352" i="4" s="1"/>
  <c r="I4352" i="4"/>
  <c r="P4351" i="4"/>
  <c r="M4351" i="4"/>
  <c r="O4351" i="4" s="1"/>
  <c r="M4351" i="4" a="1"/>
  <c r="K4351" i="4"/>
  <c r="J4351" i="4"/>
  <c r="I4351" i="4"/>
  <c r="P4350" i="4"/>
  <c r="O4350" i="4"/>
  <c r="K4350" i="4"/>
  <c r="J4350" i="4"/>
  <c r="I4350" i="4"/>
  <c r="M4350" i="4" s="1" a="1"/>
  <c r="M4350" i="4" s="1"/>
  <c r="P4349" i="4"/>
  <c r="K4349" i="4"/>
  <c r="J4349" i="4"/>
  <c r="M4349" i="4" s="1" a="1"/>
  <c r="M4349" i="4" s="1"/>
  <c r="O4349" i="4" s="1"/>
  <c r="I4349" i="4"/>
  <c r="P4348" i="4"/>
  <c r="M4348" i="4" a="1"/>
  <c r="M4348" i="4" s="1"/>
  <c r="O4348" i="4" s="1"/>
  <c r="K4348" i="4"/>
  <c r="J4348" i="4"/>
  <c r="I4348" i="4"/>
  <c r="P4347" i="4"/>
  <c r="O4347" i="4"/>
  <c r="K4347" i="4"/>
  <c r="J4347" i="4"/>
  <c r="I4347" i="4"/>
  <c r="M4347" i="4" s="1" a="1"/>
  <c r="M4347" i="4" s="1"/>
  <c r="P4346" i="4"/>
  <c r="K4346" i="4"/>
  <c r="J4346" i="4"/>
  <c r="I4346" i="4"/>
  <c r="P4345" i="4"/>
  <c r="M4345" i="4" a="1"/>
  <c r="M4345" i="4" s="1"/>
  <c r="O4345" i="4" s="1"/>
  <c r="K4345" i="4"/>
  <c r="J4345" i="4"/>
  <c r="I4345" i="4"/>
  <c r="P4344" i="4"/>
  <c r="K4344" i="4"/>
  <c r="J4344" i="4"/>
  <c r="I4344" i="4"/>
  <c r="M4344" i="4" s="1" a="1"/>
  <c r="M4344" i="4" s="1"/>
  <c r="O4344" i="4" s="1"/>
  <c r="P4343" i="4"/>
  <c r="K4343" i="4"/>
  <c r="J4343" i="4"/>
  <c r="M4343" i="4" s="1" a="1"/>
  <c r="M4343" i="4" s="1"/>
  <c r="O4343" i="4" s="1"/>
  <c r="I4343" i="4"/>
  <c r="P4342" i="4"/>
  <c r="M4342" i="4" a="1"/>
  <c r="M4342" i="4" s="1"/>
  <c r="O4342" i="4" s="1"/>
  <c r="K4342" i="4"/>
  <c r="J4342" i="4"/>
  <c r="I4342" i="4"/>
  <c r="P4341" i="4"/>
  <c r="M4341" i="4"/>
  <c r="O4341" i="4" s="1"/>
  <c r="K4341" i="4"/>
  <c r="J4341" i="4"/>
  <c r="M4341" i="4" s="1" a="1"/>
  <c r="I4341" i="4"/>
  <c r="P4340" i="4"/>
  <c r="K4340" i="4"/>
  <c r="J4340" i="4"/>
  <c r="I4340" i="4"/>
  <c r="P4339" i="4"/>
  <c r="K4339" i="4"/>
  <c r="J4339" i="4"/>
  <c r="M4339" i="4" s="1" a="1"/>
  <c r="M4339" i="4" s="1"/>
  <c r="O4339" i="4" s="1"/>
  <c r="I4339" i="4"/>
  <c r="P4338" i="4"/>
  <c r="M4338" i="4"/>
  <c r="O4338" i="4" s="1"/>
  <c r="K4338" i="4"/>
  <c r="J4338" i="4"/>
  <c r="I4338" i="4"/>
  <c r="M4338" i="4" s="1" a="1"/>
  <c r="P4337" i="4"/>
  <c r="K4337" i="4"/>
  <c r="J4337" i="4"/>
  <c r="I4337" i="4"/>
  <c r="M4337" i="4" s="1" a="1"/>
  <c r="M4337" i="4" s="1"/>
  <c r="O4337" i="4" s="1"/>
  <c r="P4336" i="4"/>
  <c r="K4336" i="4"/>
  <c r="J4336" i="4"/>
  <c r="I4336" i="4"/>
  <c r="P4335" i="4"/>
  <c r="M4335" i="4"/>
  <c r="O4335" i="4" s="1"/>
  <c r="M4335" i="4" a="1"/>
  <c r="K4335" i="4"/>
  <c r="J4335" i="4"/>
  <c r="I4335" i="4"/>
  <c r="P4334" i="4"/>
  <c r="K4334" i="4"/>
  <c r="J4334" i="4"/>
  <c r="I4334" i="4"/>
  <c r="M4334" i="4" s="1" a="1"/>
  <c r="M4334" i="4" s="1"/>
  <c r="O4334" i="4" s="1"/>
  <c r="P4333" i="4"/>
  <c r="K4333" i="4"/>
  <c r="J4333" i="4"/>
  <c r="M4333" i="4" s="1" a="1"/>
  <c r="M4333" i="4" s="1"/>
  <c r="O4333" i="4" s="1"/>
  <c r="I4333" i="4"/>
  <c r="P4332" i="4"/>
  <c r="M4332" i="4" a="1"/>
  <c r="M4332" i="4" s="1"/>
  <c r="O4332" i="4" s="1"/>
  <c r="K4332" i="4"/>
  <c r="J4332" i="4"/>
  <c r="I4332" i="4"/>
  <c r="P4331" i="4"/>
  <c r="K4331" i="4"/>
  <c r="J4331" i="4"/>
  <c r="I4331" i="4"/>
  <c r="M4331" i="4" s="1" a="1"/>
  <c r="M4331" i="4" s="1"/>
  <c r="O4331" i="4" s="1"/>
  <c r="P4330" i="4"/>
  <c r="K4330" i="4"/>
  <c r="J4330" i="4"/>
  <c r="I4330" i="4"/>
  <c r="M4330" i="4" s="1" a="1"/>
  <c r="M4330" i="4" s="1"/>
  <c r="O4330" i="4" s="1"/>
  <c r="P4329" i="4"/>
  <c r="M4329" i="4" a="1"/>
  <c r="M4329" i="4" s="1"/>
  <c r="O4329" i="4" s="1"/>
  <c r="K4329" i="4"/>
  <c r="J4329" i="4"/>
  <c r="I4329" i="4"/>
  <c r="P4328" i="4"/>
  <c r="K4328" i="4"/>
  <c r="J4328" i="4"/>
  <c r="I4328" i="4"/>
  <c r="M4328" i="4" s="1" a="1"/>
  <c r="M4328" i="4" s="1"/>
  <c r="O4328" i="4" s="1"/>
  <c r="P4327" i="4"/>
  <c r="K4327" i="4"/>
  <c r="J4327" i="4"/>
  <c r="M4327" i="4" s="1" a="1"/>
  <c r="M4327" i="4" s="1"/>
  <c r="O4327" i="4" s="1"/>
  <c r="I4327" i="4"/>
  <c r="P4326" i="4"/>
  <c r="M4326" i="4" a="1"/>
  <c r="M4326" i="4" s="1"/>
  <c r="O4326" i="4" s="1"/>
  <c r="K4326" i="4"/>
  <c r="J4326" i="4"/>
  <c r="I4326" i="4"/>
  <c r="P4325" i="4"/>
  <c r="M4325" i="4"/>
  <c r="O4325" i="4" s="1"/>
  <c r="K4325" i="4"/>
  <c r="J4325" i="4"/>
  <c r="M4325" i="4" s="1" a="1"/>
  <c r="I4325" i="4"/>
  <c r="P4324" i="4"/>
  <c r="K4324" i="4"/>
  <c r="J4324" i="4"/>
  <c r="I4324" i="4"/>
  <c r="M4324" i="4" s="1" a="1"/>
  <c r="M4324" i="4" s="1"/>
  <c r="O4324" i="4" s="1"/>
  <c r="P4323" i="4"/>
  <c r="K4323" i="4"/>
  <c r="J4323" i="4"/>
  <c r="M4323" i="4" s="1" a="1"/>
  <c r="M4323" i="4" s="1"/>
  <c r="O4323" i="4" s="1"/>
  <c r="I4323" i="4"/>
  <c r="P4322" i="4"/>
  <c r="K4322" i="4"/>
  <c r="J4322" i="4"/>
  <c r="I4322" i="4"/>
  <c r="M4322" i="4" s="1" a="1"/>
  <c r="M4322" i="4" s="1"/>
  <c r="O4322" i="4" s="1"/>
  <c r="P4321" i="4"/>
  <c r="K4321" i="4"/>
  <c r="J4321" i="4"/>
  <c r="I4321" i="4"/>
  <c r="M4321" i="4" s="1" a="1"/>
  <c r="M4321" i="4" s="1"/>
  <c r="O4321" i="4" s="1"/>
  <c r="P4320" i="4"/>
  <c r="K4320" i="4"/>
  <c r="J4320" i="4"/>
  <c r="I4320" i="4"/>
  <c r="P4319" i="4"/>
  <c r="M4319" i="4" a="1"/>
  <c r="M4319" i="4" s="1"/>
  <c r="O4319" i="4" s="1"/>
  <c r="K4319" i="4"/>
  <c r="J4319" i="4"/>
  <c r="I4319" i="4"/>
  <c r="P4318" i="4"/>
  <c r="K4318" i="4"/>
  <c r="J4318" i="4"/>
  <c r="I4318" i="4"/>
  <c r="M4318" i="4" s="1" a="1"/>
  <c r="M4318" i="4" s="1"/>
  <c r="O4318" i="4" s="1"/>
  <c r="P4317" i="4"/>
  <c r="K4317" i="4"/>
  <c r="J4317" i="4"/>
  <c r="M4317" i="4" s="1" a="1"/>
  <c r="M4317" i="4" s="1"/>
  <c r="O4317" i="4" s="1"/>
  <c r="I4317" i="4"/>
  <c r="P4316" i="4"/>
  <c r="M4316" i="4" a="1"/>
  <c r="M4316" i="4" s="1"/>
  <c r="O4316" i="4" s="1"/>
  <c r="K4316" i="4"/>
  <c r="J4316" i="4"/>
  <c r="I4316" i="4"/>
  <c r="P4315" i="4"/>
  <c r="O4315" i="4"/>
  <c r="K4315" i="4"/>
  <c r="J4315" i="4"/>
  <c r="I4315" i="4"/>
  <c r="M4315" i="4" s="1" a="1"/>
  <c r="M4315" i="4" s="1"/>
  <c r="P4314" i="4"/>
  <c r="K4314" i="4"/>
  <c r="J4314" i="4"/>
  <c r="I4314" i="4"/>
  <c r="P4313" i="4"/>
  <c r="M4313" i="4" a="1"/>
  <c r="M4313" i="4" s="1"/>
  <c r="O4313" i="4" s="1"/>
  <c r="K4313" i="4"/>
  <c r="J4313" i="4"/>
  <c r="I4313" i="4"/>
  <c r="P4312" i="4"/>
  <c r="O4312" i="4"/>
  <c r="M4312" i="4"/>
  <c r="K4312" i="4"/>
  <c r="J4312" i="4"/>
  <c r="I4312" i="4"/>
  <c r="M4312" i="4" s="1" a="1"/>
  <c r="P4311" i="4"/>
  <c r="K4311" i="4"/>
  <c r="J4311" i="4"/>
  <c r="M4311" i="4" s="1" a="1"/>
  <c r="M4311" i="4" s="1"/>
  <c r="O4311" i="4" s="1"/>
  <c r="I4311" i="4"/>
  <c r="P4310" i="4"/>
  <c r="K4310" i="4"/>
  <c r="M4310" i="4" s="1" a="1"/>
  <c r="M4310" i="4" s="1"/>
  <c r="O4310" i="4" s="1"/>
  <c r="J4310" i="4"/>
  <c r="I4310" i="4"/>
  <c r="P4309" i="4"/>
  <c r="K4309" i="4"/>
  <c r="J4309" i="4"/>
  <c r="M4309" i="4" s="1" a="1"/>
  <c r="M4309" i="4" s="1"/>
  <c r="O4309" i="4" s="1"/>
  <c r="I4309" i="4"/>
  <c r="P4308" i="4"/>
  <c r="K4308" i="4"/>
  <c r="J4308" i="4"/>
  <c r="I4308" i="4"/>
  <c r="M4308" i="4" s="1" a="1"/>
  <c r="M4308" i="4" s="1"/>
  <c r="O4308" i="4" s="1"/>
  <c r="P4307" i="4"/>
  <c r="K4307" i="4"/>
  <c r="J4307" i="4"/>
  <c r="I4307" i="4"/>
  <c r="P4306" i="4"/>
  <c r="M4306" i="4"/>
  <c r="O4306" i="4" s="1"/>
  <c r="K4306" i="4"/>
  <c r="J4306" i="4"/>
  <c r="I4306" i="4"/>
  <c r="M4306" i="4" s="1" a="1"/>
  <c r="P4305" i="4"/>
  <c r="O4305" i="4"/>
  <c r="K4305" i="4"/>
  <c r="J4305" i="4"/>
  <c r="I4305" i="4"/>
  <c r="M4305" i="4" s="1" a="1"/>
  <c r="M4305" i="4" s="1"/>
  <c r="P4304" i="4"/>
  <c r="M4304" i="4"/>
  <c r="O4304" i="4" s="1"/>
  <c r="K4304" i="4"/>
  <c r="J4304" i="4"/>
  <c r="M4304" i="4" s="1" a="1"/>
  <c r="I4304" i="4"/>
  <c r="P4303" i="4"/>
  <c r="M4303" i="4" a="1"/>
  <c r="M4303" i="4" s="1"/>
  <c r="O4303" i="4" s="1"/>
  <c r="K4303" i="4"/>
  <c r="J4303" i="4"/>
  <c r="I4303" i="4"/>
  <c r="P4302" i="4"/>
  <c r="O4302" i="4"/>
  <c r="K4302" i="4"/>
  <c r="J4302" i="4"/>
  <c r="I4302" i="4"/>
  <c r="M4302" i="4" s="1" a="1"/>
  <c r="M4302" i="4" s="1"/>
  <c r="P4301" i="4"/>
  <c r="K4301" i="4"/>
  <c r="J4301" i="4"/>
  <c r="I4301" i="4"/>
  <c r="P4300" i="4"/>
  <c r="K4300" i="4"/>
  <c r="J4300" i="4"/>
  <c r="I4300" i="4"/>
  <c r="M4300" i="4" s="1" a="1"/>
  <c r="M4300" i="4" s="1"/>
  <c r="O4300" i="4" s="1"/>
  <c r="P4299" i="4"/>
  <c r="O4299" i="4"/>
  <c r="K4299" i="4"/>
  <c r="J4299" i="4"/>
  <c r="I4299" i="4"/>
  <c r="M4299" i="4" s="1" a="1"/>
  <c r="M4299" i="4" s="1"/>
  <c r="P4298" i="4"/>
  <c r="K4298" i="4"/>
  <c r="J4298" i="4"/>
  <c r="I4298" i="4"/>
  <c r="M4298" i="4" s="1" a="1"/>
  <c r="M4298" i="4" s="1"/>
  <c r="O4298" i="4" s="1"/>
  <c r="P4297" i="4"/>
  <c r="O4297" i="4"/>
  <c r="M4297" i="4" a="1"/>
  <c r="M4297" i="4" s="1"/>
  <c r="K4297" i="4"/>
  <c r="J4297" i="4"/>
  <c r="I4297" i="4"/>
  <c r="P4296" i="4"/>
  <c r="M4296" i="4"/>
  <c r="O4296" i="4" s="1"/>
  <c r="K4296" i="4"/>
  <c r="J4296" i="4"/>
  <c r="I4296" i="4"/>
  <c r="M4296" i="4" s="1" a="1"/>
  <c r="P4295" i="4"/>
  <c r="K4295" i="4"/>
  <c r="J4295" i="4"/>
  <c r="M4295" i="4" s="1" a="1"/>
  <c r="M4295" i="4" s="1"/>
  <c r="O4295" i="4" s="1"/>
  <c r="I4295" i="4"/>
  <c r="P4294" i="4"/>
  <c r="K4294" i="4"/>
  <c r="M4294" i="4" s="1" a="1"/>
  <c r="M4294" i="4" s="1"/>
  <c r="O4294" i="4" s="1"/>
  <c r="J4294" i="4"/>
  <c r="I4294" i="4"/>
  <c r="P4293" i="4"/>
  <c r="K4293" i="4"/>
  <c r="J4293" i="4"/>
  <c r="M4293" i="4" s="1" a="1"/>
  <c r="M4293" i="4" s="1"/>
  <c r="O4293" i="4" s="1"/>
  <c r="I4293" i="4"/>
  <c r="P4292" i="4"/>
  <c r="K4292" i="4"/>
  <c r="J4292" i="4"/>
  <c r="I4292" i="4"/>
  <c r="M4292" i="4" s="1" a="1"/>
  <c r="M4292" i="4" s="1"/>
  <c r="O4292" i="4" s="1"/>
  <c r="P4291" i="4"/>
  <c r="K4291" i="4"/>
  <c r="J4291" i="4"/>
  <c r="M4291" i="4" s="1" a="1"/>
  <c r="M4291" i="4" s="1"/>
  <c r="O4291" i="4" s="1"/>
  <c r="I4291" i="4"/>
  <c r="P4290" i="4"/>
  <c r="K4290" i="4"/>
  <c r="J4290" i="4"/>
  <c r="I4290" i="4"/>
  <c r="P4289" i="4"/>
  <c r="K4289" i="4"/>
  <c r="J4289" i="4"/>
  <c r="I4289" i="4"/>
  <c r="P4288" i="4"/>
  <c r="K4288" i="4"/>
  <c r="J4288" i="4"/>
  <c r="I4288" i="4"/>
  <c r="M4288" i="4" s="1" a="1"/>
  <c r="M4288" i="4" s="1"/>
  <c r="O4288" i="4" s="1"/>
  <c r="P4287" i="4"/>
  <c r="M4287" i="4" a="1"/>
  <c r="M4287" i="4" s="1"/>
  <c r="O4287" i="4" s="1"/>
  <c r="K4287" i="4"/>
  <c r="J4287" i="4"/>
  <c r="I4287" i="4"/>
  <c r="P4286" i="4"/>
  <c r="M4286" i="4" a="1"/>
  <c r="M4286" i="4" s="1"/>
  <c r="O4286" i="4" s="1"/>
  <c r="K4286" i="4"/>
  <c r="J4286" i="4"/>
  <c r="I4286" i="4"/>
  <c r="P4285" i="4"/>
  <c r="M4285" i="4" a="1"/>
  <c r="M4285" i="4" s="1"/>
  <c r="O4285" i="4" s="1"/>
  <c r="K4285" i="4"/>
  <c r="J4285" i="4"/>
  <c r="I4285" i="4"/>
  <c r="P4284" i="4"/>
  <c r="K4284" i="4"/>
  <c r="J4284" i="4"/>
  <c r="I4284" i="4"/>
  <c r="M4284" i="4" s="1" a="1"/>
  <c r="M4284" i="4" s="1"/>
  <c r="O4284" i="4" s="1"/>
  <c r="P4283" i="4"/>
  <c r="K4283" i="4"/>
  <c r="J4283" i="4"/>
  <c r="I4283" i="4"/>
  <c r="M4283" i="4" s="1" a="1"/>
  <c r="M4283" i="4" s="1"/>
  <c r="O4283" i="4" s="1"/>
  <c r="P4282" i="4"/>
  <c r="K4282" i="4"/>
  <c r="J4282" i="4"/>
  <c r="I4282" i="4"/>
  <c r="P4281" i="4"/>
  <c r="M4281" i="4" a="1"/>
  <c r="M4281" i="4" s="1"/>
  <c r="O4281" i="4" s="1"/>
  <c r="K4281" i="4"/>
  <c r="J4281" i="4"/>
  <c r="I4281" i="4"/>
  <c r="P4280" i="4"/>
  <c r="K4280" i="4"/>
  <c r="J4280" i="4"/>
  <c r="I4280" i="4"/>
  <c r="M4280" i="4" s="1" a="1"/>
  <c r="M4280" i="4" s="1"/>
  <c r="O4280" i="4" s="1"/>
  <c r="P4279" i="4"/>
  <c r="K4279" i="4"/>
  <c r="J4279" i="4"/>
  <c r="M4279" i="4" s="1" a="1"/>
  <c r="M4279" i="4" s="1"/>
  <c r="O4279" i="4" s="1"/>
  <c r="I4279" i="4"/>
  <c r="P4278" i="4"/>
  <c r="K4278" i="4"/>
  <c r="M4278" i="4" s="1" a="1"/>
  <c r="M4278" i="4" s="1"/>
  <c r="O4278" i="4" s="1"/>
  <c r="J4278" i="4"/>
  <c r="I4278" i="4"/>
  <c r="P4277" i="4"/>
  <c r="M4277" i="4" a="1"/>
  <c r="M4277" i="4" s="1"/>
  <c r="O4277" i="4" s="1"/>
  <c r="K4277" i="4"/>
  <c r="J4277" i="4"/>
  <c r="I4277" i="4"/>
  <c r="P4276" i="4"/>
  <c r="M4276" i="4" a="1"/>
  <c r="M4276" i="4" s="1"/>
  <c r="O4276" i="4" s="1"/>
  <c r="K4276" i="4"/>
  <c r="J4276" i="4"/>
  <c r="I4276" i="4"/>
  <c r="P4275" i="4"/>
  <c r="M4275" i="4" a="1"/>
  <c r="M4275" i="4" s="1"/>
  <c r="O4275" i="4" s="1"/>
  <c r="K4275" i="4"/>
  <c r="J4275" i="4"/>
  <c r="I4275" i="4"/>
  <c r="P4274" i="4"/>
  <c r="K4274" i="4"/>
  <c r="J4274" i="4"/>
  <c r="I4274" i="4"/>
  <c r="P4273" i="4"/>
  <c r="O4273" i="4"/>
  <c r="K4273" i="4"/>
  <c r="J4273" i="4"/>
  <c r="I4273" i="4"/>
  <c r="M4273" i="4" s="1" a="1"/>
  <c r="M4273" i="4" s="1"/>
  <c r="P4272" i="4"/>
  <c r="K4272" i="4"/>
  <c r="J4272" i="4"/>
  <c r="I4272" i="4"/>
  <c r="P4271" i="4"/>
  <c r="M4271" i="4"/>
  <c r="O4271" i="4" s="1"/>
  <c r="M4271" i="4" a="1"/>
  <c r="K4271" i="4"/>
  <c r="J4271" i="4"/>
  <c r="I4271" i="4"/>
  <c r="P4270" i="4"/>
  <c r="M4270" i="4" a="1"/>
  <c r="M4270" i="4" s="1"/>
  <c r="O4270" i="4" s="1"/>
  <c r="K4270" i="4"/>
  <c r="J4270" i="4"/>
  <c r="I4270" i="4"/>
  <c r="P4269" i="4"/>
  <c r="K4269" i="4"/>
  <c r="J4269" i="4"/>
  <c r="M4269" i="4" s="1" a="1"/>
  <c r="M4269" i="4" s="1"/>
  <c r="O4269" i="4" s="1"/>
  <c r="I4269" i="4"/>
  <c r="P4268" i="4"/>
  <c r="K4268" i="4"/>
  <c r="M4268" i="4" s="1" a="1"/>
  <c r="M4268" i="4" s="1"/>
  <c r="O4268" i="4" s="1"/>
  <c r="J4268" i="4"/>
  <c r="I4268" i="4"/>
  <c r="P4267" i="4"/>
  <c r="K4267" i="4"/>
  <c r="J4267" i="4"/>
  <c r="I4267" i="4"/>
  <c r="P4266" i="4"/>
  <c r="K4266" i="4"/>
  <c r="J4266" i="4"/>
  <c r="I4266" i="4"/>
  <c r="M4266" i="4" s="1" a="1"/>
  <c r="M4266" i="4" s="1"/>
  <c r="O4266" i="4" s="1"/>
  <c r="P4265" i="4"/>
  <c r="M4265" i="4" a="1"/>
  <c r="M4265" i="4" s="1"/>
  <c r="O4265" i="4" s="1"/>
  <c r="K4265" i="4"/>
  <c r="J4265" i="4"/>
  <c r="I4265" i="4"/>
  <c r="P4264" i="4"/>
  <c r="K4264" i="4"/>
  <c r="J4264" i="4"/>
  <c r="I4264" i="4"/>
  <c r="M4264" i="4" s="1" a="1"/>
  <c r="M4264" i="4" s="1"/>
  <c r="O4264" i="4" s="1"/>
  <c r="P4263" i="4"/>
  <c r="M4263" i="4" a="1"/>
  <c r="M4263" i="4" s="1"/>
  <c r="O4263" i="4" s="1"/>
  <c r="K4263" i="4"/>
  <c r="J4263" i="4"/>
  <c r="I4263" i="4"/>
  <c r="P4262" i="4"/>
  <c r="K4262" i="4"/>
  <c r="M4262" i="4" s="1" a="1"/>
  <c r="M4262" i="4" s="1"/>
  <c r="O4262" i="4" s="1"/>
  <c r="J4262" i="4"/>
  <c r="I4262" i="4"/>
  <c r="P4261" i="4"/>
  <c r="K4261" i="4"/>
  <c r="J4261" i="4"/>
  <c r="M4261" i="4" s="1" a="1"/>
  <c r="M4261" i="4" s="1"/>
  <c r="O4261" i="4" s="1"/>
  <c r="I4261" i="4"/>
  <c r="P4260" i="4"/>
  <c r="K4260" i="4"/>
  <c r="J4260" i="4"/>
  <c r="M4260" i="4" s="1" a="1"/>
  <c r="M4260" i="4" s="1"/>
  <c r="O4260" i="4" s="1"/>
  <c r="I4260" i="4"/>
  <c r="P4259" i="4"/>
  <c r="K4259" i="4"/>
  <c r="J4259" i="4"/>
  <c r="M4259" i="4" s="1" a="1"/>
  <c r="M4259" i="4" s="1"/>
  <c r="O4259" i="4" s="1"/>
  <c r="I4259" i="4"/>
  <c r="P4258" i="4"/>
  <c r="K4258" i="4"/>
  <c r="J4258" i="4"/>
  <c r="I4258" i="4"/>
  <c r="M4258" i="4" s="1" a="1"/>
  <c r="M4258" i="4" s="1"/>
  <c r="O4258" i="4" s="1"/>
  <c r="P4257" i="4"/>
  <c r="K4257" i="4"/>
  <c r="J4257" i="4"/>
  <c r="I4257" i="4"/>
  <c r="M4257" i="4" s="1" a="1"/>
  <c r="M4257" i="4" s="1"/>
  <c r="O4257" i="4" s="1"/>
  <c r="P4256" i="4"/>
  <c r="M4256" i="4"/>
  <c r="O4256" i="4" s="1"/>
  <c r="K4256" i="4"/>
  <c r="J4256" i="4"/>
  <c r="I4256" i="4"/>
  <c r="M4256" i="4" s="1" a="1"/>
  <c r="P4255" i="4"/>
  <c r="M4255" i="4" a="1"/>
  <c r="M4255" i="4" s="1"/>
  <c r="O4255" i="4" s="1"/>
  <c r="K4255" i="4"/>
  <c r="J4255" i="4"/>
  <c r="I4255" i="4"/>
  <c r="P4254" i="4"/>
  <c r="K4254" i="4"/>
  <c r="J4254" i="4"/>
  <c r="I4254" i="4"/>
  <c r="M4254" i="4" s="1" a="1"/>
  <c r="M4254" i="4" s="1"/>
  <c r="O4254" i="4" s="1"/>
  <c r="P4253" i="4"/>
  <c r="K4253" i="4"/>
  <c r="J4253" i="4"/>
  <c r="M4253" i="4" s="1" a="1"/>
  <c r="M4253" i="4" s="1"/>
  <c r="O4253" i="4" s="1"/>
  <c r="I4253" i="4"/>
  <c r="P4252" i="4"/>
  <c r="K4252" i="4"/>
  <c r="J4252" i="4"/>
  <c r="I4252" i="4"/>
  <c r="M4252" i="4" s="1" a="1"/>
  <c r="M4252" i="4" s="1"/>
  <c r="O4252" i="4" s="1"/>
  <c r="P4251" i="4"/>
  <c r="K4251" i="4"/>
  <c r="J4251" i="4"/>
  <c r="I4251" i="4"/>
  <c r="M4251" i="4" s="1" a="1"/>
  <c r="M4251" i="4" s="1"/>
  <c r="O4251" i="4" s="1"/>
  <c r="P4250" i="4"/>
  <c r="K4250" i="4"/>
  <c r="J4250" i="4"/>
  <c r="I4250" i="4"/>
  <c r="M4250" i="4" s="1" a="1"/>
  <c r="M4250" i="4" s="1"/>
  <c r="O4250" i="4" s="1"/>
  <c r="P4249" i="4"/>
  <c r="O4249" i="4"/>
  <c r="M4249" i="4" a="1"/>
  <c r="M4249" i="4" s="1"/>
  <c r="K4249" i="4"/>
  <c r="J4249" i="4"/>
  <c r="I4249" i="4"/>
  <c r="P4248" i="4"/>
  <c r="K4248" i="4"/>
  <c r="J4248" i="4"/>
  <c r="I4248" i="4"/>
  <c r="M4248" i="4" s="1" a="1"/>
  <c r="M4248" i="4" s="1"/>
  <c r="O4248" i="4" s="1"/>
  <c r="P4247" i="4"/>
  <c r="K4247" i="4"/>
  <c r="J4247" i="4"/>
  <c r="M4247" i="4" s="1" a="1"/>
  <c r="M4247" i="4" s="1"/>
  <c r="O4247" i="4" s="1"/>
  <c r="I4247" i="4"/>
  <c r="P4246" i="4"/>
  <c r="M4246" i="4" a="1"/>
  <c r="M4246" i="4" s="1"/>
  <c r="O4246" i="4" s="1"/>
  <c r="K4246" i="4"/>
  <c r="J4246" i="4"/>
  <c r="I4246" i="4"/>
  <c r="P4245" i="4"/>
  <c r="K4245" i="4"/>
  <c r="J4245" i="4"/>
  <c r="M4245" i="4" s="1" a="1"/>
  <c r="M4245" i="4" s="1"/>
  <c r="O4245" i="4" s="1"/>
  <c r="I4245" i="4"/>
  <c r="P4244" i="4"/>
  <c r="M4244" i="4" a="1"/>
  <c r="M4244" i="4" s="1"/>
  <c r="O4244" i="4" s="1"/>
  <c r="K4244" i="4"/>
  <c r="J4244" i="4"/>
  <c r="I4244" i="4"/>
  <c r="P4243" i="4"/>
  <c r="K4243" i="4"/>
  <c r="J4243" i="4"/>
  <c r="I4243" i="4"/>
  <c r="M4243" i="4" s="1" a="1"/>
  <c r="M4243" i="4" s="1"/>
  <c r="O4243" i="4" s="1"/>
  <c r="P4242" i="4"/>
  <c r="K4242" i="4"/>
  <c r="J4242" i="4"/>
  <c r="I4242" i="4"/>
  <c r="M4242" i="4" s="1" a="1"/>
  <c r="M4242" i="4" s="1"/>
  <c r="O4242" i="4" s="1"/>
  <c r="P4241" i="4"/>
  <c r="O4241" i="4"/>
  <c r="K4241" i="4"/>
  <c r="J4241" i="4"/>
  <c r="I4241" i="4"/>
  <c r="M4241" i="4" s="1" a="1"/>
  <c r="M4241" i="4" s="1"/>
  <c r="P4240" i="4"/>
  <c r="K4240" i="4"/>
  <c r="J4240" i="4"/>
  <c r="I4240" i="4"/>
  <c r="P4239" i="4"/>
  <c r="M4239" i="4"/>
  <c r="O4239" i="4" s="1"/>
  <c r="M4239" i="4" a="1"/>
  <c r="K4239" i="4"/>
  <c r="J4239" i="4"/>
  <c r="I4239" i="4"/>
  <c r="P4238" i="4"/>
  <c r="K4238" i="4"/>
  <c r="M4238" i="4" s="1" a="1"/>
  <c r="M4238" i="4" s="1"/>
  <c r="O4238" i="4" s="1"/>
  <c r="J4238" i="4"/>
  <c r="I4238" i="4"/>
  <c r="P4237" i="4"/>
  <c r="M4237" i="4" a="1"/>
  <c r="M4237" i="4" s="1"/>
  <c r="O4237" i="4" s="1"/>
  <c r="K4237" i="4"/>
  <c r="J4237" i="4"/>
  <c r="I4237" i="4"/>
  <c r="P4236" i="4"/>
  <c r="M4236" i="4" a="1"/>
  <c r="M4236" i="4" s="1"/>
  <c r="O4236" i="4" s="1"/>
  <c r="K4236" i="4"/>
  <c r="J4236" i="4"/>
  <c r="I4236" i="4"/>
  <c r="P4235" i="4"/>
  <c r="O4235" i="4"/>
  <c r="K4235" i="4"/>
  <c r="J4235" i="4"/>
  <c r="I4235" i="4"/>
  <c r="M4235" i="4" s="1" a="1"/>
  <c r="M4235" i="4" s="1"/>
  <c r="P4234" i="4"/>
  <c r="K4234" i="4"/>
  <c r="J4234" i="4"/>
  <c r="I4234" i="4"/>
  <c r="P4233" i="4"/>
  <c r="M4233" i="4" a="1"/>
  <c r="M4233" i="4" s="1"/>
  <c r="O4233" i="4" s="1"/>
  <c r="K4233" i="4"/>
  <c r="J4233" i="4"/>
  <c r="I4233" i="4"/>
  <c r="P4232" i="4"/>
  <c r="M4232" i="4"/>
  <c r="O4232" i="4" s="1"/>
  <c r="K4232" i="4"/>
  <c r="J4232" i="4"/>
  <c r="I4232" i="4"/>
  <c r="M4232" i="4" s="1" a="1"/>
  <c r="P4231" i="4"/>
  <c r="K4231" i="4"/>
  <c r="J4231" i="4"/>
  <c r="M4231" i="4" s="1" a="1"/>
  <c r="M4231" i="4" s="1"/>
  <c r="O4231" i="4" s="1"/>
  <c r="I4231" i="4"/>
  <c r="P4230" i="4"/>
  <c r="M4230" i="4" a="1"/>
  <c r="M4230" i="4" s="1"/>
  <c r="O4230" i="4" s="1"/>
  <c r="K4230" i="4"/>
  <c r="J4230" i="4"/>
  <c r="I4230" i="4"/>
  <c r="P4229" i="4"/>
  <c r="M4229" i="4" a="1"/>
  <c r="M4229" i="4" s="1"/>
  <c r="O4229" i="4" s="1"/>
  <c r="K4229" i="4"/>
  <c r="J4229" i="4"/>
  <c r="I4229" i="4"/>
  <c r="P4228" i="4"/>
  <c r="K4228" i="4"/>
  <c r="J4228" i="4"/>
  <c r="M4228" i="4" s="1" a="1"/>
  <c r="M4228" i="4" s="1"/>
  <c r="O4228" i="4" s="1"/>
  <c r="I4228" i="4"/>
  <c r="P4227" i="4"/>
  <c r="K4227" i="4"/>
  <c r="M4227" i="4" s="1" a="1"/>
  <c r="M4227" i="4" s="1"/>
  <c r="O4227" i="4" s="1"/>
  <c r="J4227" i="4"/>
  <c r="I4227" i="4"/>
  <c r="P4226" i="4"/>
  <c r="K4226" i="4"/>
  <c r="J4226" i="4"/>
  <c r="I4226" i="4"/>
  <c r="M4226" i="4" s="1" a="1"/>
  <c r="M4226" i="4" s="1"/>
  <c r="O4226" i="4" s="1"/>
  <c r="P4225" i="4"/>
  <c r="K4225" i="4"/>
  <c r="J4225" i="4"/>
  <c r="I4225" i="4"/>
  <c r="P4224" i="4"/>
  <c r="K4224" i="4"/>
  <c r="J4224" i="4"/>
  <c r="I4224" i="4"/>
  <c r="P4223" i="4"/>
  <c r="M4223" i="4"/>
  <c r="O4223" i="4" s="1"/>
  <c r="M4223" i="4" a="1"/>
  <c r="K4223" i="4"/>
  <c r="J4223" i="4"/>
  <c r="I4223" i="4"/>
  <c r="P4222" i="4"/>
  <c r="K4222" i="4"/>
  <c r="J4222" i="4"/>
  <c r="I4222" i="4"/>
  <c r="M4222" i="4" s="1" a="1"/>
  <c r="M4222" i="4" s="1"/>
  <c r="O4222" i="4" s="1"/>
  <c r="P4221" i="4"/>
  <c r="K4221" i="4"/>
  <c r="J4221" i="4"/>
  <c r="M4221" i="4" s="1" a="1"/>
  <c r="M4221" i="4" s="1"/>
  <c r="O4221" i="4" s="1"/>
  <c r="I4221" i="4"/>
  <c r="P4220" i="4"/>
  <c r="K4220" i="4"/>
  <c r="J4220" i="4"/>
  <c r="I4220" i="4"/>
  <c r="M4220" i="4" s="1" a="1"/>
  <c r="M4220" i="4" s="1"/>
  <c r="O4220" i="4" s="1"/>
  <c r="P4219" i="4"/>
  <c r="K4219" i="4"/>
  <c r="J4219" i="4"/>
  <c r="I4219" i="4"/>
  <c r="P4218" i="4"/>
  <c r="K4218" i="4"/>
  <c r="J4218" i="4"/>
  <c r="I4218" i="4"/>
  <c r="M4218" i="4" s="1" a="1"/>
  <c r="M4218" i="4" s="1"/>
  <c r="O4218" i="4" s="1"/>
  <c r="P4217" i="4"/>
  <c r="K4217" i="4"/>
  <c r="J4217" i="4"/>
  <c r="I4217" i="4"/>
  <c r="M4217" i="4" s="1" a="1"/>
  <c r="M4217" i="4" s="1"/>
  <c r="O4217" i="4" s="1"/>
  <c r="P4216" i="4"/>
  <c r="M4216" i="4"/>
  <c r="O4216" i="4" s="1"/>
  <c r="K4216" i="4"/>
  <c r="J4216" i="4"/>
  <c r="I4216" i="4"/>
  <c r="M4216" i="4" s="1" a="1"/>
  <c r="P4215" i="4"/>
  <c r="M4215" i="4" a="1"/>
  <c r="M4215" i="4" s="1"/>
  <c r="O4215" i="4" s="1"/>
  <c r="K4215" i="4"/>
  <c r="J4215" i="4"/>
  <c r="I4215" i="4"/>
  <c r="P4214" i="4"/>
  <c r="M4214" i="4"/>
  <c r="O4214" i="4" s="1"/>
  <c r="M4214" i="4" a="1"/>
  <c r="K4214" i="4"/>
  <c r="J4214" i="4"/>
  <c r="I4214" i="4"/>
  <c r="P4213" i="4"/>
  <c r="K4213" i="4"/>
  <c r="J4213" i="4"/>
  <c r="M4213" i="4" s="1" a="1"/>
  <c r="M4213" i="4" s="1"/>
  <c r="O4213" i="4" s="1"/>
  <c r="I4213" i="4"/>
  <c r="P4212" i="4"/>
  <c r="K4212" i="4"/>
  <c r="J4212" i="4"/>
  <c r="I4212" i="4"/>
  <c r="M4212" i="4" s="1" a="1"/>
  <c r="M4212" i="4" s="1"/>
  <c r="O4212" i="4" s="1"/>
  <c r="P4211" i="4"/>
  <c r="K4211" i="4"/>
  <c r="J4211" i="4"/>
  <c r="I4211" i="4"/>
  <c r="M4211" i="4" s="1" a="1"/>
  <c r="M4211" i="4" s="1"/>
  <c r="O4211" i="4" s="1"/>
  <c r="P4210" i="4"/>
  <c r="K4210" i="4"/>
  <c r="J4210" i="4"/>
  <c r="I4210" i="4"/>
  <c r="M4210" i="4" s="1" a="1"/>
  <c r="M4210" i="4" s="1"/>
  <c r="O4210" i="4" s="1"/>
  <c r="P4209" i="4"/>
  <c r="K4209" i="4"/>
  <c r="J4209" i="4"/>
  <c r="I4209" i="4"/>
  <c r="M4209" i="4" s="1" a="1"/>
  <c r="M4209" i="4" s="1"/>
  <c r="O4209" i="4" s="1"/>
  <c r="P4208" i="4"/>
  <c r="K4208" i="4"/>
  <c r="J4208" i="4"/>
  <c r="I4208" i="4"/>
  <c r="M4208" i="4" s="1" a="1"/>
  <c r="M4208" i="4" s="1"/>
  <c r="O4208" i="4" s="1"/>
  <c r="P4207" i="4"/>
  <c r="M4207" i="4"/>
  <c r="O4207" i="4" s="1"/>
  <c r="M4207" i="4" a="1"/>
  <c r="K4207" i="4"/>
  <c r="J4207" i="4"/>
  <c r="I4207" i="4"/>
  <c r="P4206" i="4"/>
  <c r="M4206" i="4" a="1"/>
  <c r="M4206" i="4" s="1"/>
  <c r="O4206" i="4" s="1"/>
  <c r="K4206" i="4"/>
  <c r="J4206" i="4"/>
  <c r="I4206" i="4"/>
  <c r="P4205" i="4"/>
  <c r="M4205" i="4"/>
  <c r="O4205" i="4" s="1"/>
  <c r="K4205" i="4"/>
  <c r="J4205" i="4"/>
  <c r="M4205" i="4" s="1" a="1"/>
  <c r="I4205" i="4"/>
  <c r="P4204" i="4"/>
  <c r="K4204" i="4"/>
  <c r="J4204" i="4"/>
  <c r="I4204" i="4"/>
  <c r="M4204" i="4" s="1" a="1"/>
  <c r="M4204" i="4" s="1"/>
  <c r="O4204" i="4" s="1"/>
  <c r="P4203" i="4"/>
  <c r="K4203" i="4"/>
  <c r="J4203" i="4"/>
  <c r="I4203" i="4"/>
  <c r="P4202" i="4"/>
  <c r="K4202" i="4"/>
  <c r="J4202" i="4"/>
  <c r="I4202" i="4"/>
  <c r="M4202" i="4" s="1" a="1"/>
  <c r="M4202" i="4" s="1"/>
  <c r="O4202" i="4" s="1"/>
  <c r="P4201" i="4"/>
  <c r="K4201" i="4"/>
  <c r="J4201" i="4"/>
  <c r="I4201" i="4"/>
  <c r="M4201" i="4" s="1" a="1"/>
  <c r="M4201" i="4" s="1"/>
  <c r="O4201" i="4" s="1"/>
  <c r="P4200" i="4"/>
  <c r="K4200" i="4"/>
  <c r="J4200" i="4"/>
  <c r="I4200" i="4"/>
  <c r="P4199" i="4"/>
  <c r="K4199" i="4"/>
  <c r="J4199" i="4"/>
  <c r="M4199" i="4" s="1" a="1"/>
  <c r="M4199" i="4" s="1"/>
  <c r="O4199" i="4" s="1"/>
  <c r="I4199" i="4"/>
  <c r="P4198" i="4"/>
  <c r="K4198" i="4"/>
  <c r="J4198" i="4"/>
  <c r="M4198" i="4" s="1" a="1"/>
  <c r="M4198" i="4" s="1"/>
  <c r="O4198" i="4" s="1"/>
  <c r="I4198" i="4"/>
  <c r="P4197" i="4"/>
  <c r="M4197" i="4"/>
  <c r="O4197" i="4" s="1"/>
  <c r="K4197" i="4"/>
  <c r="J4197" i="4"/>
  <c r="I4197" i="4"/>
  <c r="M4197" i="4" s="1" a="1"/>
  <c r="P4196" i="4"/>
  <c r="K4196" i="4"/>
  <c r="J4196" i="4"/>
  <c r="I4196" i="4"/>
  <c r="M4196" i="4" s="1" a="1"/>
  <c r="M4196" i="4" s="1"/>
  <c r="O4196" i="4" s="1"/>
  <c r="P4195" i="4"/>
  <c r="K4195" i="4"/>
  <c r="M4195" i="4" s="1" a="1"/>
  <c r="M4195" i="4" s="1"/>
  <c r="O4195" i="4" s="1"/>
  <c r="J4195" i="4"/>
  <c r="I4195" i="4"/>
  <c r="P4194" i="4"/>
  <c r="K4194" i="4"/>
  <c r="J4194" i="4"/>
  <c r="I4194" i="4"/>
  <c r="M4194" i="4" s="1" a="1"/>
  <c r="M4194" i="4" s="1"/>
  <c r="O4194" i="4" s="1"/>
  <c r="P4193" i="4"/>
  <c r="K4193" i="4"/>
  <c r="J4193" i="4"/>
  <c r="I4193" i="4"/>
  <c r="M4193" i="4" s="1" a="1"/>
  <c r="M4193" i="4" s="1"/>
  <c r="O4193" i="4" s="1"/>
  <c r="P4192" i="4"/>
  <c r="K4192" i="4"/>
  <c r="J4192" i="4"/>
  <c r="I4192" i="4"/>
  <c r="M4192" i="4" s="1" a="1"/>
  <c r="M4192" i="4" s="1"/>
  <c r="O4192" i="4" s="1"/>
  <c r="P4191" i="4"/>
  <c r="M4191" i="4" a="1"/>
  <c r="M4191" i="4" s="1"/>
  <c r="O4191" i="4" s="1"/>
  <c r="K4191" i="4"/>
  <c r="J4191" i="4"/>
  <c r="I4191" i="4"/>
  <c r="P4190" i="4"/>
  <c r="O4190" i="4"/>
  <c r="K4190" i="4"/>
  <c r="J4190" i="4"/>
  <c r="I4190" i="4"/>
  <c r="M4190" i="4" s="1" a="1"/>
  <c r="M4190" i="4" s="1"/>
  <c r="P4189" i="4"/>
  <c r="K4189" i="4"/>
  <c r="J4189" i="4"/>
  <c r="I4189" i="4"/>
  <c r="M4189" i="4" s="1" a="1"/>
  <c r="M4189" i="4" s="1"/>
  <c r="O4189" i="4" s="1"/>
  <c r="P4188" i="4"/>
  <c r="M4188" i="4" a="1"/>
  <c r="M4188" i="4" s="1"/>
  <c r="O4188" i="4" s="1"/>
  <c r="K4188" i="4"/>
  <c r="J4188" i="4"/>
  <c r="I4188" i="4"/>
  <c r="P4187" i="4"/>
  <c r="K4187" i="4"/>
  <c r="J4187" i="4"/>
  <c r="I4187" i="4"/>
  <c r="M4187" i="4" s="1" a="1"/>
  <c r="M4187" i="4" s="1"/>
  <c r="O4187" i="4" s="1"/>
  <c r="P4186" i="4"/>
  <c r="K4186" i="4"/>
  <c r="J4186" i="4"/>
  <c r="M4186" i="4" s="1" a="1"/>
  <c r="M4186" i="4" s="1"/>
  <c r="O4186" i="4" s="1"/>
  <c r="I4186" i="4"/>
  <c r="P4185" i="4"/>
  <c r="M4185" i="4" a="1"/>
  <c r="M4185" i="4" s="1"/>
  <c r="O4185" i="4" s="1"/>
  <c r="K4185" i="4"/>
  <c r="J4185" i="4"/>
  <c r="I4185" i="4"/>
  <c r="P4184" i="4"/>
  <c r="M4184" i="4"/>
  <c r="O4184" i="4" s="1"/>
  <c r="M4184" i="4" a="1"/>
  <c r="K4184" i="4"/>
  <c r="J4184" i="4"/>
  <c r="I4184" i="4"/>
  <c r="P4183" i="4"/>
  <c r="K4183" i="4"/>
  <c r="J4183" i="4"/>
  <c r="M4183" i="4" s="1" a="1"/>
  <c r="M4183" i="4" s="1"/>
  <c r="O4183" i="4" s="1"/>
  <c r="I4183" i="4"/>
  <c r="P4182" i="4"/>
  <c r="K4182" i="4"/>
  <c r="J4182" i="4"/>
  <c r="M4182" i="4" s="1" a="1"/>
  <c r="M4182" i="4" s="1"/>
  <c r="O4182" i="4" s="1"/>
  <c r="I4182" i="4"/>
  <c r="P4181" i="4"/>
  <c r="K4181" i="4"/>
  <c r="J4181" i="4"/>
  <c r="I4181" i="4"/>
  <c r="M4181" i="4" s="1" a="1"/>
  <c r="M4181" i="4" s="1"/>
  <c r="O4181" i="4" s="1"/>
  <c r="P4180" i="4"/>
  <c r="K4180" i="4"/>
  <c r="J4180" i="4"/>
  <c r="I4180" i="4"/>
  <c r="M4180" i="4" s="1" a="1"/>
  <c r="M4180" i="4" s="1"/>
  <c r="O4180" i="4" s="1"/>
  <c r="P4179" i="4"/>
  <c r="K4179" i="4"/>
  <c r="M4179" i="4" s="1" a="1"/>
  <c r="M4179" i="4" s="1"/>
  <c r="O4179" i="4" s="1"/>
  <c r="J4179" i="4"/>
  <c r="I4179" i="4"/>
  <c r="P4178" i="4"/>
  <c r="K4178" i="4"/>
  <c r="J4178" i="4"/>
  <c r="I4178" i="4"/>
  <c r="M4178" i="4" s="1" a="1"/>
  <c r="M4178" i="4" s="1"/>
  <c r="O4178" i="4" s="1"/>
  <c r="P4177" i="4"/>
  <c r="K4177" i="4"/>
  <c r="J4177" i="4"/>
  <c r="I4177" i="4"/>
  <c r="M4177" i="4" s="1" a="1"/>
  <c r="M4177" i="4" s="1"/>
  <c r="O4177" i="4" s="1"/>
  <c r="P4176" i="4"/>
  <c r="K4176" i="4"/>
  <c r="J4176" i="4"/>
  <c r="I4176" i="4"/>
  <c r="M4176" i="4" s="1" a="1"/>
  <c r="M4176" i="4" s="1"/>
  <c r="O4176" i="4" s="1"/>
  <c r="P4175" i="4"/>
  <c r="M4175" i="4" a="1"/>
  <c r="M4175" i="4" s="1"/>
  <c r="O4175" i="4" s="1"/>
  <c r="K4175" i="4"/>
  <c r="J4175" i="4"/>
  <c r="I4175" i="4"/>
  <c r="P4174" i="4"/>
  <c r="O4174" i="4"/>
  <c r="K4174" i="4"/>
  <c r="J4174" i="4"/>
  <c r="I4174" i="4"/>
  <c r="M4174" i="4" s="1" a="1"/>
  <c r="M4174" i="4" s="1"/>
  <c r="P4173" i="4"/>
  <c r="K4173" i="4"/>
  <c r="J4173" i="4"/>
  <c r="I4173" i="4"/>
  <c r="M4173" i="4" s="1" a="1"/>
  <c r="M4173" i="4" s="1"/>
  <c r="O4173" i="4" s="1"/>
  <c r="P4172" i="4"/>
  <c r="M4172" i="4" a="1"/>
  <c r="M4172" i="4" s="1"/>
  <c r="O4172" i="4" s="1"/>
  <c r="K4172" i="4"/>
  <c r="J4172" i="4"/>
  <c r="I4172" i="4"/>
  <c r="P4171" i="4"/>
  <c r="K4171" i="4"/>
  <c r="J4171" i="4"/>
  <c r="I4171" i="4"/>
  <c r="M4171" i="4" s="1" a="1"/>
  <c r="M4171" i="4" s="1"/>
  <c r="O4171" i="4" s="1"/>
  <c r="P4170" i="4"/>
  <c r="K4170" i="4"/>
  <c r="J4170" i="4"/>
  <c r="M4170" i="4" s="1" a="1"/>
  <c r="M4170" i="4" s="1"/>
  <c r="O4170" i="4" s="1"/>
  <c r="I4170" i="4"/>
  <c r="P4169" i="4"/>
  <c r="M4169" i="4" a="1"/>
  <c r="M4169" i="4" s="1"/>
  <c r="O4169" i="4" s="1"/>
  <c r="K4169" i="4"/>
  <c r="J4169" i="4"/>
  <c r="I4169" i="4"/>
  <c r="P4168" i="4"/>
  <c r="M4168" i="4"/>
  <c r="O4168" i="4" s="1"/>
  <c r="M4168" i="4" a="1"/>
  <c r="K4168" i="4"/>
  <c r="J4168" i="4"/>
  <c r="I4168" i="4"/>
  <c r="P4167" i="4"/>
  <c r="K4167" i="4"/>
  <c r="J4167" i="4"/>
  <c r="M4167" i="4" s="1" a="1"/>
  <c r="M4167" i="4" s="1"/>
  <c r="O4167" i="4" s="1"/>
  <c r="I4167" i="4"/>
  <c r="P4166" i="4"/>
  <c r="K4166" i="4"/>
  <c r="J4166" i="4"/>
  <c r="M4166" i="4" s="1" a="1"/>
  <c r="M4166" i="4" s="1"/>
  <c r="O4166" i="4" s="1"/>
  <c r="I4166" i="4"/>
  <c r="P4165" i="4"/>
  <c r="M4165" i="4"/>
  <c r="O4165" i="4" s="1"/>
  <c r="K4165" i="4"/>
  <c r="J4165" i="4"/>
  <c r="I4165" i="4"/>
  <c r="M4165" i="4" s="1" a="1"/>
  <c r="P4164" i="4"/>
  <c r="K4164" i="4"/>
  <c r="J4164" i="4"/>
  <c r="I4164" i="4"/>
  <c r="M4164" i="4" s="1" a="1"/>
  <c r="M4164" i="4" s="1"/>
  <c r="O4164" i="4" s="1"/>
  <c r="P4163" i="4"/>
  <c r="K4163" i="4"/>
  <c r="M4163" i="4" s="1" a="1"/>
  <c r="M4163" i="4" s="1"/>
  <c r="O4163" i="4" s="1"/>
  <c r="J4163" i="4"/>
  <c r="I4163" i="4"/>
  <c r="P4162" i="4"/>
  <c r="K4162" i="4"/>
  <c r="J4162" i="4"/>
  <c r="I4162" i="4"/>
  <c r="M4162" i="4" s="1" a="1"/>
  <c r="M4162" i="4" s="1"/>
  <c r="O4162" i="4" s="1"/>
  <c r="P4161" i="4"/>
  <c r="K4161" i="4"/>
  <c r="J4161" i="4"/>
  <c r="I4161" i="4"/>
  <c r="M4161" i="4" s="1" a="1"/>
  <c r="M4161" i="4" s="1"/>
  <c r="O4161" i="4" s="1"/>
  <c r="P4160" i="4"/>
  <c r="K4160" i="4"/>
  <c r="J4160" i="4"/>
  <c r="I4160" i="4"/>
  <c r="M4160" i="4" s="1" a="1"/>
  <c r="M4160" i="4" s="1"/>
  <c r="O4160" i="4" s="1"/>
  <c r="P4159" i="4"/>
  <c r="M4159" i="4" a="1"/>
  <c r="M4159" i="4" s="1"/>
  <c r="O4159" i="4" s="1"/>
  <c r="K4159" i="4"/>
  <c r="J4159" i="4"/>
  <c r="I4159" i="4"/>
  <c r="P4158" i="4"/>
  <c r="K4158" i="4"/>
  <c r="J4158" i="4"/>
  <c r="I4158" i="4"/>
  <c r="M4158" i="4" s="1" a="1"/>
  <c r="M4158" i="4" s="1"/>
  <c r="O4158" i="4" s="1"/>
  <c r="P4157" i="4"/>
  <c r="K4157" i="4"/>
  <c r="J4157" i="4"/>
  <c r="I4157" i="4"/>
  <c r="M4157" i="4" s="1" a="1"/>
  <c r="M4157" i="4" s="1"/>
  <c r="O4157" i="4" s="1"/>
  <c r="P4156" i="4"/>
  <c r="M4156" i="4" a="1"/>
  <c r="M4156" i="4" s="1"/>
  <c r="O4156" i="4" s="1"/>
  <c r="K4156" i="4"/>
  <c r="J4156" i="4"/>
  <c r="I4156" i="4"/>
  <c r="P4155" i="4"/>
  <c r="K4155" i="4"/>
  <c r="J4155" i="4"/>
  <c r="I4155" i="4"/>
  <c r="M4155" i="4" s="1" a="1"/>
  <c r="M4155" i="4" s="1"/>
  <c r="O4155" i="4" s="1"/>
  <c r="P4154" i="4"/>
  <c r="K4154" i="4"/>
  <c r="J4154" i="4"/>
  <c r="M4154" i="4" s="1" a="1"/>
  <c r="M4154" i="4" s="1"/>
  <c r="O4154" i="4" s="1"/>
  <c r="I4154" i="4"/>
  <c r="P4153" i="4"/>
  <c r="M4153" i="4" a="1"/>
  <c r="M4153" i="4" s="1"/>
  <c r="O4153" i="4" s="1"/>
  <c r="K4153" i="4"/>
  <c r="J4153" i="4"/>
  <c r="I4153" i="4"/>
  <c r="P4152" i="4"/>
  <c r="M4152" i="4"/>
  <c r="O4152" i="4" s="1"/>
  <c r="M4152" i="4" a="1"/>
  <c r="K4152" i="4"/>
  <c r="J4152" i="4"/>
  <c r="I4152" i="4"/>
  <c r="P4151" i="4"/>
  <c r="K4151" i="4"/>
  <c r="J4151" i="4"/>
  <c r="M4151" i="4" s="1" a="1"/>
  <c r="M4151" i="4" s="1"/>
  <c r="O4151" i="4" s="1"/>
  <c r="I4151" i="4"/>
  <c r="P4150" i="4"/>
  <c r="K4150" i="4"/>
  <c r="J4150" i="4"/>
  <c r="M4150" i="4" s="1" a="1"/>
  <c r="M4150" i="4" s="1"/>
  <c r="O4150" i="4" s="1"/>
  <c r="I4150" i="4"/>
  <c r="P4149" i="4"/>
  <c r="M4149" i="4"/>
  <c r="O4149" i="4" s="1"/>
  <c r="K4149" i="4"/>
  <c r="J4149" i="4"/>
  <c r="I4149" i="4"/>
  <c r="M4149" i="4" s="1" a="1"/>
  <c r="P4148" i="4"/>
  <c r="K4148" i="4"/>
  <c r="J4148" i="4"/>
  <c r="I4148" i="4"/>
  <c r="M4148" i="4" s="1" a="1"/>
  <c r="M4148" i="4" s="1"/>
  <c r="O4148" i="4" s="1"/>
  <c r="P4147" i="4"/>
  <c r="K4147" i="4"/>
  <c r="J4147" i="4"/>
  <c r="I4147" i="4"/>
  <c r="P4146" i="4"/>
  <c r="K4146" i="4"/>
  <c r="J4146" i="4"/>
  <c r="I4146" i="4"/>
  <c r="M4146" i="4" s="1" a="1"/>
  <c r="M4146" i="4" s="1"/>
  <c r="O4146" i="4" s="1"/>
  <c r="P4145" i="4"/>
  <c r="K4145" i="4"/>
  <c r="J4145" i="4"/>
  <c r="I4145" i="4"/>
  <c r="M4145" i="4" s="1" a="1"/>
  <c r="M4145" i="4" s="1"/>
  <c r="O4145" i="4" s="1"/>
  <c r="P4144" i="4"/>
  <c r="K4144" i="4"/>
  <c r="J4144" i="4"/>
  <c r="I4144" i="4"/>
  <c r="M4144" i="4" s="1" a="1"/>
  <c r="M4144" i="4" s="1"/>
  <c r="O4144" i="4" s="1"/>
  <c r="P4143" i="4"/>
  <c r="M4143" i="4" a="1"/>
  <c r="M4143" i="4" s="1"/>
  <c r="O4143" i="4" s="1"/>
  <c r="K4143" i="4"/>
  <c r="J4143" i="4"/>
  <c r="I4143" i="4"/>
  <c r="P4142" i="4"/>
  <c r="K4142" i="4"/>
  <c r="J4142" i="4"/>
  <c r="I4142" i="4"/>
  <c r="M4142" i="4" s="1" a="1"/>
  <c r="M4142" i="4" s="1"/>
  <c r="O4142" i="4" s="1"/>
  <c r="P4141" i="4"/>
  <c r="K4141" i="4"/>
  <c r="J4141" i="4"/>
  <c r="I4141" i="4"/>
  <c r="M4141" i="4" s="1" a="1"/>
  <c r="M4141" i="4" s="1"/>
  <c r="O4141" i="4" s="1"/>
  <c r="P4140" i="4"/>
  <c r="M4140" i="4" a="1"/>
  <c r="M4140" i="4" s="1"/>
  <c r="O4140" i="4" s="1"/>
  <c r="K4140" i="4"/>
  <c r="J4140" i="4"/>
  <c r="I4140" i="4"/>
  <c r="P4139" i="4"/>
  <c r="K4139" i="4"/>
  <c r="J4139" i="4"/>
  <c r="I4139" i="4"/>
  <c r="M4139" i="4" s="1" a="1"/>
  <c r="M4139" i="4" s="1"/>
  <c r="O4139" i="4" s="1"/>
  <c r="P4138" i="4"/>
  <c r="K4138" i="4"/>
  <c r="J4138" i="4"/>
  <c r="M4138" i="4" s="1" a="1"/>
  <c r="M4138" i="4" s="1"/>
  <c r="O4138" i="4" s="1"/>
  <c r="I4138" i="4"/>
  <c r="P4137" i="4"/>
  <c r="M4137" i="4" a="1"/>
  <c r="M4137" i="4" s="1"/>
  <c r="O4137" i="4" s="1"/>
  <c r="K4137" i="4"/>
  <c r="J4137" i="4"/>
  <c r="I4137" i="4"/>
  <c r="P4136" i="4"/>
  <c r="M4136" i="4"/>
  <c r="O4136" i="4" s="1"/>
  <c r="M4136" i="4" a="1"/>
  <c r="K4136" i="4"/>
  <c r="J4136" i="4"/>
  <c r="I4136" i="4"/>
  <c r="P4135" i="4"/>
  <c r="K4135" i="4"/>
  <c r="J4135" i="4"/>
  <c r="M4135" i="4" s="1" a="1"/>
  <c r="M4135" i="4" s="1"/>
  <c r="O4135" i="4" s="1"/>
  <c r="I4135" i="4"/>
  <c r="P4134" i="4"/>
  <c r="K4134" i="4"/>
  <c r="J4134" i="4"/>
  <c r="M4134" i="4" s="1" a="1"/>
  <c r="M4134" i="4" s="1"/>
  <c r="O4134" i="4" s="1"/>
  <c r="I4134" i="4"/>
  <c r="P4133" i="4"/>
  <c r="K4133" i="4"/>
  <c r="J4133" i="4"/>
  <c r="I4133" i="4"/>
  <c r="M4133" i="4" s="1" a="1"/>
  <c r="M4133" i="4" s="1"/>
  <c r="O4133" i="4" s="1"/>
  <c r="P4132" i="4"/>
  <c r="K4132" i="4"/>
  <c r="J4132" i="4"/>
  <c r="I4132" i="4"/>
  <c r="M4132" i="4" s="1" a="1"/>
  <c r="M4132" i="4" s="1"/>
  <c r="O4132" i="4" s="1"/>
  <c r="P4131" i="4"/>
  <c r="K4131" i="4"/>
  <c r="J4131" i="4"/>
  <c r="I4131" i="4"/>
  <c r="P4130" i="4"/>
  <c r="K4130" i="4"/>
  <c r="J4130" i="4"/>
  <c r="I4130" i="4"/>
  <c r="M4130" i="4" s="1" a="1"/>
  <c r="M4130" i="4" s="1"/>
  <c r="O4130" i="4" s="1"/>
  <c r="P4129" i="4"/>
  <c r="K4129" i="4"/>
  <c r="J4129" i="4"/>
  <c r="I4129" i="4"/>
  <c r="M4129" i="4" s="1" a="1"/>
  <c r="M4129" i="4" s="1"/>
  <c r="O4129" i="4" s="1"/>
  <c r="P4128" i="4"/>
  <c r="K4128" i="4"/>
  <c r="J4128" i="4"/>
  <c r="I4128" i="4"/>
  <c r="M4128" i="4" s="1" a="1"/>
  <c r="M4128" i="4" s="1"/>
  <c r="O4128" i="4" s="1"/>
  <c r="P4127" i="4"/>
  <c r="M4127" i="4" a="1"/>
  <c r="M4127" i="4" s="1"/>
  <c r="O4127" i="4" s="1"/>
  <c r="K4127" i="4"/>
  <c r="J4127" i="4"/>
  <c r="I4127" i="4"/>
  <c r="P4126" i="4"/>
  <c r="K4126" i="4"/>
  <c r="J4126" i="4"/>
  <c r="I4126" i="4"/>
  <c r="M4126" i="4" s="1" a="1"/>
  <c r="M4126" i="4" s="1"/>
  <c r="O4126" i="4" s="1"/>
  <c r="P4125" i="4"/>
  <c r="K4125" i="4"/>
  <c r="J4125" i="4"/>
  <c r="I4125" i="4"/>
  <c r="M4125" i="4" s="1" a="1"/>
  <c r="M4125" i="4" s="1"/>
  <c r="O4125" i="4" s="1"/>
  <c r="P4124" i="4"/>
  <c r="M4124" i="4" a="1"/>
  <c r="M4124" i="4" s="1"/>
  <c r="O4124" i="4" s="1"/>
  <c r="K4124" i="4"/>
  <c r="J4124" i="4"/>
  <c r="I4124" i="4"/>
  <c r="P4123" i="4"/>
  <c r="K4123" i="4"/>
  <c r="J4123" i="4"/>
  <c r="I4123" i="4"/>
  <c r="M4123" i="4" s="1" a="1"/>
  <c r="M4123" i="4" s="1"/>
  <c r="O4123" i="4" s="1"/>
  <c r="P4122" i="4"/>
  <c r="K4122" i="4"/>
  <c r="J4122" i="4"/>
  <c r="M4122" i="4" s="1" a="1"/>
  <c r="M4122" i="4" s="1"/>
  <c r="O4122" i="4" s="1"/>
  <c r="I4122" i="4"/>
  <c r="P4121" i="4"/>
  <c r="M4121" i="4" a="1"/>
  <c r="M4121" i="4" s="1"/>
  <c r="O4121" i="4" s="1"/>
  <c r="K4121" i="4"/>
  <c r="J4121" i="4"/>
  <c r="I4121" i="4"/>
  <c r="P4120" i="4"/>
  <c r="M4120" i="4"/>
  <c r="O4120" i="4" s="1"/>
  <c r="M4120" i="4" a="1"/>
  <c r="K4120" i="4"/>
  <c r="J4120" i="4"/>
  <c r="I4120" i="4"/>
  <c r="P4119" i="4"/>
  <c r="K4119" i="4"/>
  <c r="J4119" i="4"/>
  <c r="M4119" i="4" s="1" a="1"/>
  <c r="M4119" i="4" s="1"/>
  <c r="O4119" i="4" s="1"/>
  <c r="I4119" i="4"/>
  <c r="P4118" i="4"/>
  <c r="K4118" i="4"/>
  <c r="J4118" i="4"/>
  <c r="M4118" i="4" s="1" a="1"/>
  <c r="M4118" i="4" s="1"/>
  <c r="O4118" i="4" s="1"/>
  <c r="I4118" i="4"/>
  <c r="P4117" i="4"/>
  <c r="M4117" i="4"/>
  <c r="O4117" i="4" s="1"/>
  <c r="K4117" i="4"/>
  <c r="J4117" i="4"/>
  <c r="I4117" i="4"/>
  <c r="M4117" i="4" s="1" a="1"/>
  <c r="P4116" i="4"/>
  <c r="K4116" i="4"/>
  <c r="J4116" i="4"/>
  <c r="I4116" i="4"/>
  <c r="M4116" i="4" s="1" a="1"/>
  <c r="M4116" i="4" s="1"/>
  <c r="O4116" i="4" s="1"/>
  <c r="P4115" i="4"/>
  <c r="K4115" i="4"/>
  <c r="J4115" i="4"/>
  <c r="I4115" i="4"/>
  <c r="M4115" i="4" s="1" a="1"/>
  <c r="M4115" i="4" s="1"/>
  <c r="O4115" i="4" s="1"/>
  <c r="P4114" i="4"/>
  <c r="K4114" i="4"/>
  <c r="J4114" i="4"/>
  <c r="I4114" i="4"/>
  <c r="M4114" i="4" s="1" a="1"/>
  <c r="M4114" i="4" s="1"/>
  <c r="O4114" i="4" s="1"/>
  <c r="P4113" i="4"/>
  <c r="K4113" i="4"/>
  <c r="J4113" i="4"/>
  <c r="I4113" i="4"/>
  <c r="M4113" i="4" s="1" a="1"/>
  <c r="M4113" i="4" s="1"/>
  <c r="O4113" i="4" s="1"/>
  <c r="P4112" i="4"/>
  <c r="K4112" i="4"/>
  <c r="J4112" i="4"/>
  <c r="I4112" i="4"/>
  <c r="M4112" i="4" s="1" a="1"/>
  <c r="M4112" i="4" s="1"/>
  <c r="O4112" i="4" s="1"/>
  <c r="P4111" i="4"/>
  <c r="M4111" i="4" a="1"/>
  <c r="M4111" i="4" s="1"/>
  <c r="O4111" i="4" s="1"/>
  <c r="K4111" i="4"/>
  <c r="J4111" i="4"/>
  <c r="I4111" i="4"/>
  <c r="P4110" i="4"/>
  <c r="O4110" i="4"/>
  <c r="K4110" i="4"/>
  <c r="J4110" i="4"/>
  <c r="I4110" i="4"/>
  <c r="M4110" i="4" s="1" a="1"/>
  <c r="M4110" i="4" s="1"/>
  <c r="P4109" i="4"/>
  <c r="K4109" i="4"/>
  <c r="J4109" i="4"/>
  <c r="I4109" i="4"/>
  <c r="M4109" i="4" s="1" a="1"/>
  <c r="M4109" i="4" s="1"/>
  <c r="O4109" i="4" s="1"/>
  <c r="P4108" i="4"/>
  <c r="M4108" i="4" a="1"/>
  <c r="M4108" i="4" s="1"/>
  <c r="O4108" i="4" s="1"/>
  <c r="K4108" i="4"/>
  <c r="J4108" i="4"/>
  <c r="I4108" i="4"/>
  <c r="P4107" i="4"/>
  <c r="K4107" i="4"/>
  <c r="J4107" i="4"/>
  <c r="I4107" i="4"/>
  <c r="M4107" i="4" s="1" a="1"/>
  <c r="M4107" i="4" s="1"/>
  <c r="O4107" i="4" s="1"/>
  <c r="P4106" i="4"/>
  <c r="K4106" i="4"/>
  <c r="J4106" i="4"/>
  <c r="M4106" i="4" s="1" a="1"/>
  <c r="M4106" i="4" s="1"/>
  <c r="O4106" i="4" s="1"/>
  <c r="I4106" i="4"/>
  <c r="P4105" i="4"/>
  <c r="M4105" i="4" a="1"/>
  <c r="M4105" i="4" s="1"/>
  <c r="O4105" i="4" s="1"/>
  <c r="K4105" i="4"/>
  <c r="J4105" i="4"/>
  <c r="I4105" i="4"/>
  <c r="P4104" i="4"/>
  <c r="M4104" i="4"/>
  <c r="O4104" i="4" s="1"/>
  <c r="M4104" i="4" a="1"/>
  <c r="K4104" i="4"/>
  <c r="J4104" i="4"/>
  <c r="I4104" i="4"/>
  <c r="P4103" i="4"/>
  <c r="K4103" i="4"/>
  <c r="J4103" i="4"/>
  <c r="M4103" i="4" s="1" a="1"/>
  <c r="M4103" i="4" s="1"/>
  <c r="O4103" i="4" s="1"/>
  <c r="I4103" i="4"/>
  <c r="P4102" i="4"/>
  <c r="K4102" i="4"/>
  <c r="J4102" i="4"/>
  <c r="M4102" i="4" s="1" a="1"/>
  <c r="M4102" i="4" s="1"/>
  <c r="O4102" i="4" s="1"/>
  <c r="I4102" i="4"/>
  <c r="P4101" i="4"/>
  <c r="K4101" i="4"/>
  <c r="J4101" i="4"/>
  <c r="I4101" i="4"/>
  <c r="M4101" i="4" s="1" a="1"/>
  <c r="M4101" i="4" s="1"/>
  <c r="O4101" i="4" s="1"/>
  <c r="P4100" i="4"/>
  <c r="K4100" i="4"/>
  <c r="J4100" i="4"/>
  <c r="I4100" i="4"/>
  <c r="M4100" i="4" s="1" a="1"/>
  <c r="M4100" i="4" s="1"/>
  <c r="O4100" i="4" s="1"/>
  <c r="P4099" i="4"/>
  <c r="K4099" i="4"/>
  <c r="J4099" i="4"/>
  <c r="I4099" i="4"/>
  <c r="M4099" i="4" s="1" a="1"/>
  <c r="M4099" i="4" s="1"/>
  <c r="O4099" i="4" s="1"/>
  <c r="P4098" i="4"/>
  <c r="K4098" i="4"/>
  <c r="J4098" i="4"/>
  <c r="I4098" i="4"/>
  <c r="M4098" i="4" s="1" a="1"/>
  <c r="M4098" i="4" s="1"/>
  <c r="O4098" i="4" s="1"/>
  <c r="P4097" i="4"/>
  <c r="K4097" i="4"/>
  <c r="J4097" i="4"/>
  <c r="I4097" i="4"/>
  <c r="M4097" i="4" s="1" a="1"/>
  <c r="M4097" i="4" s="1"/>
  <c r="O4097" i="4" s="1"/>
  <c r="P4096" i="4"/>
  <c r="K4096" i="4"/>
  <c r="J4096" i="4"/>
  <c r="I4096" i="4"/>
  <c r="M4096" i="4" s="1" a="1"/>
  <c r="M4096" i="4" s="1"/>
  <c r="O4096" i="4" s="1"/>
  <c r="P4095" i="4"/>
  <c r="M4095" i="4" a="1"/>
  <c r="M4095" i="4" s="1"/>
  <c r="O4095" i="4" s="1"/>
  <c r="K4095" i="4"/>
  <c r="J4095" i="4"/>
  <c r="I4095" i="4"/>
  <c r="P4094" i="4"/>
  <c r="O4094" i="4"/>
  <c r="K4094" i="4"/>
  <c r="J4094" i="4"/>
  <c r="I4094" i="4"/>
  <c r="M4094" i="4" s="1" a="1"/>
  <c r="M4094" i="4" s="1"/>
  <c r="P4093" i="4"/>
  <c r="K4093" i="4"/>
  <c r="J4093" i="4"/>
  <c r="I4093" i="4"/>
  <c r="M4093" i="4" s="1" a="1"/>
  <c r="M4093" i="4" s="1"/>
  <c r="O4093" i="4" s="1"/>
  <c r="P4092" i="4"/>
  <c r="M4092" i="4" a="1"/>
  <c r="M4092" i="4" s="1"/>
  <c r="O4092" i="4" s="1"/>
  <c r="K4092" i="4"/>
  <c r="J4092" i="4"/>
  <c r="I4092" i="4"/>
  <c r="P4091" i="4"/>
  <c r="K4091" i="4"/>
  <c r="J4091" i="4"/>
  <c r="I4091" i="4"/>
  <c r="M4091" i="4" s="1" a="1"/>
  <c r="M4091" i="4" s="1"/>
  <c r="O4091" i="4" s="1"/>
  <c r="P4090" i="4"/>
  <c r="K4090" i="4"/>
  <c r="J4090" i="4"/>
  <c r="M4090" i="4" s="1" a="1"/>
  <c r="M4090" i="4" s="1"/>
  <c r="O4090" i="4" s="1"/>
  <c r="I4090" i="4"/>
  <c r="P4089" i="4"/>
  <c r="M4089" i="4" a="1"/>
  <c r="M4089" i="4" s="1"/>
  <c r="O4089" i="4" s="1"/>
  <c r="K4089" i="4"/>
  <c r="J4089" i="4"/>
  <c r="I4089" i="4"/>
  <c r="P4088" i="4"/>
  <c r="M4088" i="4"/>
  <c r="O4088" i="4" s="1"/>
  <c r="M4088" i="4" a="1"/>
  <c r="K4088" i="4"/>
  <c r="J4088" i="4"/>
  <c r="I4088" i="4"/>
  <c r="P4087" i="4"/>
  <c r="K4087" i="4"/>
  <c r="J4087" i="4"/>
  <c r="M4087" i="4" s="1" a="1"/>
  <c r="M4087" i="4" s="1"/>
  <c r="O4087" i="4" s="1"/>
  <c r="I4087" i="4"/>
  <c r="P4086" i="4"/>
  <c r="K4086" i="4"/>
  <c r="J4086" i="4"/>
  <c r="M4086" i="4" s="1" a="1"/>
  <c r="M4086" i="4" s="1"/>
  <c r="O4086" i="4" s="1"/>
  <c r="I4086" i="4"/>
  <c r="P4085" i="4"/>
  <c r="M4085" i="4"/>
  <c r="O4085" i="4" s="1"/>
  <c r="K4085" i="4"/>
  <c r="J4085" i="4"/>
  <c r="I4085" i="4"/>
  <c r="M4085" i="4" s="1" a="1"/>
  <c r="P4084" i="4"/>
  <c r="K4084" i="4"/>
  <c r="J4084" i="4"/>
  <c r="I4084" i="4"/>
  <c r="M4084" i="4" s="1" a="1"/>
  <c r="M4084" i="4" s="1"/>
  <c r="O4084" i="4" s="1"/>
  <c r="P4083" i="4"/>
  <c r="K4083" i="4"/>
  <c r="J4083" i="4"/>
  <c r="I4083" i="4"/>
  <c r="P4082" i="4"/>
  <c r="K4082" i="4"/>
  <c r="J4082" i="4"/>
  <c r="I4082" i="4"/>
  <c r="M4082" i="4" s="1" a="1"/>
  <c r="M4082" i="4" s="1"/>
  <c r="O4082" i="4" s="1"/>
  <c r="P4081" i="4"/>
  <c r="K4081" i="4"/>
  <c r="J4081" i="4"/>
  <c r="I4081" i="4"/>
  <c r="M4081" i="4" s="1" a="1"/>
  <c r="M4081" i="4" s="1"/>
  <c r="O4081" i="4" s="1"/>
  <c r="P4080" i="4"/>
  <c r="K4080" i="4"/>
  <c r="J4080" i="4"/>
  <c r="I4080" i="4"/>
  <c r="M4080" i="4" s="1" a="1"/>
  <c r="M4080" i="4" s="1"/>
  <c r="O4080" i="4" s="1"/>
  <c r="P4079" i="4"/>
  <c r="M4079" i="4" a="1"/>
  <c r="M4079" i="4" s="1"/>
  <c r="O4079" i="4" s="1"/>
  <c r="K4079" i="4"/>
  <c r="J4079" i="4"/>
  <c r="I4079" i="4"/>
  <c r="P4078" i="4"/>
  <c r="O4078" i="4"/>
  <c r="K4078" i="4"/>
  <c r="J4078" i="4"/>
  <c r="I4078" i="4"/>
  <c r="M4078" i="4" s="1" a="1"/>
  <c r="M4078" i="4" s="1"/>
  <c r="P4077" i="4"/>
  <c r="K4077" i="4"/>
  <c r="J4077" i="4"/>
  <c r="I4077" i="4"/>
  <c r="M4077" i="4" s="1" a="1"/>
  <c r="M4077" i="4" s="1"/>
  <c r="O4077" i="4" s="1"/>
  <c r="P4076" i="4"/>
  <c r="M4076" i="4" a="1"/>
  <c r="M4076" i="4" s="1"/>
  <c r="O4076" i="4" s="1"/>
  <c r="K4076" i="4"/>
  <c r="J4076" i="4"/>
  <c r="I4076" i="4"/>
  <c r="P4075" i="4"/>
  <c r="K4075" i="4"/>
  <c r="J4075" i="4"/>
  <c r="I4075" i="4"/>
  <c r="M4075" i="4" s="1" a="1"/>
  <c r="M4075" i="4" s="1"/>
  <c r="O4075" i="4" s="1"/>
  <c r="P4074" i="4"/>
  <c r="K4074" i="4"/>
  <c r="J4074" i="4"/>
  <c r="M4074" i="4" s="1" a="1"/>
  <c r="M4074" i="4" s="1"/>
  <c r="O4074" i="4" s="1"/>
  <c r="I4074" i="4"/>
  <c r="P4073" i="4"/>
  <c r="M4073" i="4" a="1"/>
  <c r="M4073" i="4" s="1"/>
  <c r="O4073" i="4" s="1"/>
  <c r="K4073" i="4"/>
  <c r="J4073" i="4"/>
  <c r="I4073" i="4"/>
  <c r="P4072" i="4"/>
  <c r="M4072" i="4"/>
  <c r="O4072" i="4" s="1"/>
  <c r="M4072" i="4" a="1"/>
  <c r="K4072" i="4"/>
  <c r="J4072" i="4"/>
  <c r="I4072" i="4"/>
  <c r="P4071" i="4"/>
  <c r="K4071" i="4"/>
  <c r="J4071" i="4"/>
  <c r="M4071" i="4" s="1" a="1"/>
  <c r="M4071" i="4" s="1"/>
  <c r="O4071" i="4" s="1"/>
  <c r="I4071" i="4"/>
  <c r="P4070" i="4"/>
  <c r="K4070" i="4"/>
  <c r="J4070" i="4"/>
  <c r="M4070" i="4" s="1" a="1"/>
  <c r="M4070" i="4" s="1"/>
  <c r="O4070" i="4" s="1"/>
  <c r="I4070" i="4"/>
  <c r="P4069" i="4"/>
  <c r="M4069" i="4"/>
  <c r="O4069" i="4" s="1"/>
  <c r="K4069" i="4"/>
  <c r="J4069" i="4"/>
  <c r="I4069" i="4"/>
  <c r="M4069" i="4" s="1" a="1"/>
  <c r="P4068" i="4"/>
  <c r="K4068" i="4"/>
  <c r="J4068" i="4"/>
  <c r="I4068" i="4"/>
  <c r="M4068" i="4" s="1" a="1"/>
  <c r="M4068" i="4" s="1"/>
  <c r="O4068" i="4" s="1"/>
  <c r="P4067" i="4"/>
  <c r="K4067" i="4"/>
  <c r="J4067" i="4"/>
  <c r="I4067" i="4"/>
  <c r="M4067" i="4" s="1" a="1"/>
  <c r="M4067" i="4" s="1"/>
  <c r="O4067" i="4" s="1"/>
  <c r="P4066" i="4"/>
  <c r="K4066" i="4"/>
  <c r="J4066" i="4"/>
  <c r="I4066" i="4"/>
  <c r="M4066" i="4" s="1" a="1"/>
  <c r="M4066" i="4" s="1"/>
  <c r="O4066" i="4" s="1"/>
  <c r="P4065" i="4"/>
  <c r="K4065" i="4"/>
  <c r="J4065" i="4"/>
  <c r="I4065" i="4"/>
  <c r="M4065" i="4" s="1" a="1"/>
  <c r="M4065" i="4" s="1"/>
  <c r="O4065" i="4" s="1"/>
  <c r="P4064" i="4"/>
  <c r="K4064" i="4"/>
  <c r="J4064" i="4"/>
  <c r="I4064" i="4"/>
  <c r="M4064" i="4" s="1" a="1"/>
  <c r="M4064" i="4" s="1"/>
  <c r="O4064" i="4" s="1"/>
  <c r="P4063" i="4"/>
  <c r="M4063" i="4" a="1"/>
  <c r="M4063" i="4" s="1"/>
  <c r="O4063" i="4" s="1"/>
  <c r="K4063" i="4"/>
  <c r="J4063" i="4"/>
  <c r="I4063" i="4"/>
  <c r="P4062" i="4"/>
  <c r="K4062" i="4"/>
  <c r="J4062" i="4"/>
  <c r="I4062" i="4"/>
  <c r="M4062" i="4" s="1" a="1"/>
  <c r="M4062" i="4" s="1"/>
  <c r="O4062" i="4" s="1"/>
  <c r="P4061" i="4"/>
  <c r="K4061" i="4"/>
  <c r="J4061" i="4"/>
  <c r="I4061" i="4"/>
  <c r="M4061" i="4" s="1" a="1"/>
  <c r="M4061" i="4" s="1"/>
  <c r="O4061" i="4" s="1"/>
  <c r="P4060" i="4"/>
  <c r="M4060" i="4" a="1"/>
  <c r="M4060" i="4" s="1"/>
  <c r="O4060" i="4" s="1"/>
  <c r="K4060" i="4"/>
  <c r="J4060" i="4"/>
  <c r="I4060" i="4"/>
  <c r="P4059" i="4"/>
  <c r="K4059" i="4"/>
  <c r="J4059" i="4"/>
  <c r="I4059" i="4"/>
  <c r="M4059" i="4" s="1" a="1"/>
  <c r="M4059" i="4" s="1"/>
  <c r="O4059" i="4" s="1"/>
  <c r="P4058" i="4"/>
  <c r="K4058" i="4"/>
  <c r="J4058" i="4"/>
  <c r="M4058" i="4" s="1" a="1"/>
  <c r="M4058" i="4" s="1"/>
  <c r="O4058" i="4" s="1"/>
  <c r="I4058" i="4"/>
  <c r="P4057" i="4"/>
  <c r="M4057" i="4" a="1"/>
  <c r="M4057" i="4" s="1"/>
  <c r="O4057" i="4" s="1"/>
  <c r="K4057" i="4"/>
  <c r="J4057" i="4"/>
  <c r="I4057" i="4"/>
  <c r="P4056" i="4"/>
  <c r="M4056" i="4"/>
  <c r="O4056" i="4" s="1"/>
  <c r="M4056" i="4" a="1"/>
  <c r="K4056" i="4"/>
  <c r="J4056" i="4"/>
  <c r="I4056" i="4"/>
  <c r="P4055" i="4"/>
  <c r="K4055" i="4"/>
  <c r="J4055" i="4"/>
  <c r="M4055" i="4" s="1" a="1"/>
  <c r="M4055" i="4" s="1"/>
  <c r="O4055" i="4" s="1"/>
  <c r="I4055" i="4"/>
  <c r="P4054" i="4"/>
  <c r="K4054" i="4"/>
  <c r="J4054" i="4"/>
  <c r="M4054" i="4" s="1" a="1"/>
  <c r="M4054" i="4" s="1"/>
  <c r="O4054" i="4" s="1"/>
  <c r="I4054" i="4"/>
  <c r="P4053" i="4"/>
  <c r="M4053" i="4"/>
  <c r="O4053" i="4" s="1"/>
  <c r="K4053" i="4"/>
  <c r="J4053" i="4"/>
  <c r="I4053" i="4"/>
  <c r="M4053" i="4" s="1" a="1"/>
  <c r="P4052" i="4"/>
  <c r="K4052" i="4"/>
  <c r="J4052" i="4"/>
  <c r="I4052" i="4"/>
  <c r="M4052" i="4" s="1" a="1"/>
  <c r="M4052" i="4" s="1"/>
  <c r="O4052" i="4" s="1"/>
  <c r="P4051" i="4"/>
  <c r="K4051" i="4"/>
  <c r="J4051" i="4"/>
  <c r="I4051" i="4"/>
  <c r="P4050" i="4"/>
  <c r="K4050" i="4"/>
  <c r="J4050" i="4"/>
  <c r="I4050" i="4"/>
  <c r="M4050" i="4" s="1" a="1"/>
  <c r="M4050" i="4" s="1"/>
  <c r="O4050" i="4" s="1"/>
  <c r="P4049" i="4"/>
  <c r="K4049" i="4"/>
  <c r="J4049" i="4"/>
  <c r="I4049" i="4"/>
  <c r="M4049" i="4" s="1" a="1"/>
  <c r="M4049" i="4" s="1"/>
  <c r="O4049" i="4" s="1"/>
  <c r="P4048" i="4"/>
  <c r="K4048" i="4"/>
  <c r="J4048" i="4"/>
  <c r="I4048" i="4"/>
  <c r="M4048" i="4" s="1" a="1"/>
  <c r="M4048" i="4" s="1"/>
  <c r="O4048" i="4" s="1"/>
  <c r="P4047" i="4"/>
  <c r="M4047" i="4" a="1"/>
  <c r="M4047" i="4" s="1"/>
  <c r="O4047" i="4" s="1"/>
  <c r="K4047" i="4"/>
  <c r="J4047" i="4"/>
  <c r="I4047" i="4"/>
  <c r="P4046" i="4"/>
  <c r="K4046" i="4"/>
  <c r="J4046" i="4"/>
  <c r="I4046" i="4"/>
  <c r="M4046" i="4" s="1" a="1"/>
  <c r="M4046" i="4" s="1"/>
  <c r="O4046" i="4" s="1"/>
  <c r="P4045" i="4"/>
  <c r="K4045" i="4"/>
  <c r="J4045" i="4"/>
  <c r="I4045" i="4"/>
  <c r="M4045" i="4" s="1" a="1"/>
  <c r="M4045" i="4" s="1"/>
  <c r="O4045" i="4" s="1"/>
  <c r="P4044" i="4"/>
  <c r="M4044" i="4" a="1"/>
  <c r="M4044" i="4" s="1"/>
  <c r="O4044" i="4" s="1"/>
  <c r="K4044" i="4"/>
  <c r="J4044" i="4"/>
  <c r="I4044" i="4"/>
  <c r="P4043" i="4"/>
  <c r="K4043" i="4"/>
  <c r="J4043" i="4"/>
  <c r="I4043" i="4"/>
  <c r="M4043" i="4" s="1" a="1"/>
  <c r="M4043" i="4" s="1"/>
  <c r="O4043" i="4" s="1"/>
  <c r="P4042" i="4"/>
  <c r="K4042" i="4"/>
  <c r="J4042" i="4"/>
  <c r="M4042" i="4" s="1" a="1"/>
  <c r="M4042" i="4" s="1"/>
  <c r="O4042" i="4" s="1"/>
  <c r="I4042" i="4"/>
  <c r="P4041" i="4"/>
  <c r="M4041" i="4" a="1"/>
  <c r="M4041" i="4" s="1"/>
  <c r="O4041" i="4" s="1"/>
  <c r="K4041" i="4"/>
  <c r="J4041" i="4"/>
  <c r="I4041" i="4"/>
  <c r="P4040" i="4"/>
  <c r="M4040" i="4"/>
  <c r="O4040" i="4" s="1"/>
  <c r="M4040" i="4" a="1"/>
  <c r="K4040" i="4"/>
  <c r="J4040" i="4"/>
  <c r="I4040" i="4"/>
  <c r="P4039" i="4"/>
  <c r="K4039" i="4"/>
  <c r="J4039" i="4"/>
  <c r="M4039" i="4" s="1" a="1"/>
  <c r="M4039" i="4" s="1"/>
  <c r="O4039" i="4" s="1"/>
  <c r="I4039" i="4"/>
  <c r="P4038" i="4"/>
  <c r="K4038" i="4"/>
  <c r="J4038" i="4"/>
  <c r="M4038" i="4" s="1" a="1"/>
  <c r="M4038" i="4" s="1"/>
  <c r="O4038" i="4" s="1"/>
  <c r="I4038" i="4"/>
  <c r="P4037" i="4"/>
  <c r="K4037" i="4"/>
  <c r="J4037" i="4"/>
  <c r="I4037" i="4"/>
  <c r="M4037" i="4" s="1" a="1"/>
  <c r="M4037" i="4" s="1"/>
  <c r="O4037" i="4" s="1"/>
  <c r="P4036" i="4"/>
  <c r="K4036" i="4"/>
  <c r="J4036" i="4"/>
  <c r="I4036" i="4"/>
  <c r="M4036" i="4" s="1" a="1"/>
  <c r="M4036" i="4" s="1"/>
  <c r="O4036" i="4" s="1"/>
  <c r="P4035" i="4"/>
  <c r="K4035" i="4"/>
  <c r="J4035" i="4"/>
  <c r="I4035" i="4"/>
  <c r="P4034" i="4"/>
  <c r="K4034" i="4"/>
  <c r="J4034" i="4"/>
  <c r="I4034" i="4"/>
  <c r="M4034" i="4" s="1" a="1"/>
  <c r="M4034" i="4" s="1"/>
  <c r="O4034" i="4" s="1"/>
  <c r="P4033" i="4"/>
  <c r="K4033" i="4"/>
  <c r="J4033" i="4"/>
  <c r="I4033" i="4"/>
  <c r="M4033" i="4" s="1" a="1"/>
  <c r="M4033" i="4" s="1"/>
  <c r="O4033" i="4" s="1"/>
  <c r="P4032" i="4"/>
  <c r="K4032" i="4"/>
  <c r="J4032" i="4"/>
  <c r="I4032" i="4"/>
  <c r="M4032" i="4" s="1" a="1"/>
  <c r="M4032" i="4" s="1"/>
  <c r="O4032" i="4" s="1"/>
  <c r="P4031" i="4"/>
  <c r="M4031" i="4" a="1"/>
  <c r="M4031" i="4" s="1"/>
  <c r="O4031" i="4" s="1"/>
  <c r="K4031" i="4"/>
  <c r="J4031" i="4"/>
  <c r="I4031" i="4"/>
  <c r="P4030" i="4"/>
  <c r="O4030" i="4"/>
  <c r="K4030" i="4"/>
  <c r="J4030" i="4"/>
  <c r="I4030" i="4"/>
  <c r="M4030" i="4" s="1" a="1"/>
  <c r="M4030" i="4" s="1"/>
  <c r="P4029" i="4"/>
  <c r="K4029" i="4"/>
  <c r="J4029" i="4"/>
  <c r="I4029" i="4"/>
  <c r="M4029" i="4" s="1" a="1"/>
  <c r="M4029" i="4" s="1"/>
  <c r="O4029" i="4" s="1"/>
  <c r="P4028" i="4"/>
  <c r="M4028" i="4" a="1"/>
  <c r="M4028" i="4" s="1"/>
  <c r="O4028" i="4" s="1"/>
  <c r="K4028" i="4"/>
  <c r="J4028" i="4"/>
  <c r="I4028" i="4"/>
  <c r="P4027" i="4"/>
  <c r="K4027" i="4"/>
  <c r="J4027" i="4"/>
  <c r="I4027" i="4"/>
  <c r="M4027" i="4" s="1" a="1"/>
  <c r="M4027" i="4" s="1"/>
  <c r="O4027" i="4" s="1"/>
  <c r="P4026" i="4"/>
  <c r="K4026" i="4"/>
  <c r="J4026" i="4"/>
  <c r="M4026" i="4" s="1" a="1"/>
  <c r="M4026" i="4" s="1"/>
  <c r="O4026" i="4" s="1"/>
  <c r="I4026" i="4"/>
  <c r="P4025" i="4"/>
  <c r="M4025" i="4" a="1"/>
  <c r="M4025" i="4" s="1"/>
  <c r="O4025" i="4" s="1"/>
  <c r="K4025" i="4"/>
  <c r="J4025" i="4"/>
  <c r="I4025" i="4"/>
  <c r="P4024" i="4"/>
  <c r="M4024" i="4"/>
  <c r="O4024" i="4" s="1"/>
  <c r="M4024" i="4" a="1"/>
  <c r="K4024" i="4"/>
  <c r="J4024" i="4"/>
  <c r="I4024" i="4"/>
  <c r="P4023" i="4"/>
  <c r="K4023" i="4"/>
  <c r="J4023" i="4"/>
  <c r="M4023" i="4" s="1" a="1"/>
  <c r="M4023" i="4" s="1"/>
  <c r="O4023" i="4" s="1"/>
  <c r="I4023" i="4"/>
  <c r="P4022" i="4"/>
  <c r="K4022" i="4"/>
  <c r="J4022" i="4"/>
  <c r="M4022" i="4" s="1" a="1"/>
  <c r="M4022" i="4" s="1"/>
  <c r="O4022" i="4" s="1"/>
  <c r="I4022" i="4"/>
  <c r="P4021" i="4"/>
  <c r="K4021" i="4"/>
  <c r="J4021" i="4"/>
  <c r="I4021" i="4"/>
  <c r="M4021" i="4" s="1" a="1"/>
  <c r="M4021" i="4" s="1"/>
  <c r="O4021" i="4" s="1"/>
  <c r="P4020" i="4"/>
  <c r="K4020" i="4"/>
  <c r="J4020" i="4"/>
  <c r="I4020" i="4"/>
  <c r="M4020" i="4" s="1" a="1"/>
  <c r="M4020" i="4" s="1"/>
  <c r="O4020" i="4" s="1"/>
  <c r="P4019" i="4"/>
  <c r="K4019" i="4"/>
  <c r="J4019" i="4"/>
  <c r="I4019" i="4"/>
  <c r="M4019" i="4" s="1" a="1"/>
  <c r="M4019" i="4" s="1"/>
  <c r="O4019" i="4" s="1"/>
  <c r="P4018" i="4"/>
  <c r="K4018" i="4"/>
  <c r="J4018" i="4"/>
  <c r="I4018" i="4"/>
  <c r="M4018" i="4" s="1" a="1"/>
  <c r="M4018" i="4" s="1"/>
  <c r="O4018" i="4" s="1"/>
  <c r="P4017" i="4"/>
  <c r="K4017" i="4"/>
  <c r="J4017" i="4"/>
  <c r="I4017" i="4"/>
  <c r="M4017" i="4" s="1" a="1"/>
  <c r="M4017" i="4" s="1"/>
  <c r="O4017" i="4" s="1"/>
  <c r="P4016" i="4"/>
  <c r="K4016" i="4"/>
  <c r="J4016" i="4"/>
  <c r="I4016" i="4"/>
  <c r="M4016" i="4" s="1" a="1"/>
  <c r="M4016" i="4" s="1"/>
  <c r="O4016" i="4" s="1"/>
  <c r="P4015" i="4"/>
  <c r="M4015" i="4" a="1"/>
  <c r="M4015" i="4" s="1"/>
  <c r="O4015" i="4" s="1"/>
  <c r="K4015" i="4"/>
  <c r="J4015" i="4"/>
  <c r="I4015" i="4"/>
  <c r="P4014" i="4"/>
  <c r="K4014" i="4"/>
  <c r="J4014" i="4"/>
  <c r="I4014" i="4"/>
  <c r="M4014" i="4" s="1" a="1"/>
  <c r="M4014" i="4" s="1"/>
  <c r="O4014" i="4" s="1"/>
  <c r="P4013" i="4"/>
  <c r="K4013" i="4"/>
  <c r="J4013" i="4"/>
  <c r="I4013" i="4"/>
  <c r="M4013" i="4" s="1" a="1"/>
  <c r="M4013" i="4" s="1"/>
  <c r="O4013" i="4" s="1"/>
  <c r="P4012" i="4"/>
  <c r="M4012" i="4" a="1"/>
  <c r="M4012" i="4" s="1"/>
  <c r="O4012" i="4" s="1"/>
  <c r="K4012" i="4"/>
  <c r="J4012" i="4"/>
  <c r="I4012" i="4"/>
  <c r="P4011" i="4"/>
  <c r="K4011" i="4"/>
  <c r="J4011" i="4"/>
  <c r="I4011" i="4"/>
  <c r="M4011" i="4" s="1" a="1"/>
  <c r="M4011" i="4" s="1"/>
  <c r="O4011" i="4" s="1"/>
  <c r="P4010" i="4"/>
  <c r="K4010" i="4"/>
  <c r="J4010" i="4"/>
  <c r="M4010" i="4" s="1" a="1"/>
  <c r="M4010" i="4" s="1"/>
  <c r="O4010" i="4" s="1"/>
  <c r="I4010" i="4"/>
  <c r="P4009" i="4"/>
  <c r="M4009" i="4" a="1"/>
  <c r="M4009" i="4" s="1"/>
  <c r="O4009" i="4" s="1"/>
  <c r="K4009" i="4"/>
  <c r="J4009" i="4"/>
  <c r="I4009" i="4"/>
  <c r="P4008" i="4"/>
  <c r="M4008" i="4"/>
  <c r="O4008" i="4" s="1"/>
  <c r="M4008" i="4" a="1"/>
  <c r="K4008" i="4"/>
  <c r="J4008" i="4"/>
  <c r="I4008" i="4"/>
  <c r="P4007" i="4"/>
  <c r="K4007" i="4"/>
  <c r="J4007" i="4"/>
  <c r="M4007" i="4" s="1" a="1"/>
  <c r="M4007" i="4" s="1"/>
  <c r="O4007" i="4" s="1"/>
  <c r="I4007" i="4"/>
  <c r="P4006" i="4"/>
  <c r="K4006" i="4"/>
  <c r="J4006" i="4"/>
  <c r="M4006" i="4" s="1" a="1"/>
  <c r="M4006" i="4" s="1"/>
  <c r="O4006" i="4" s="1"/>
  <c r="I4006" i="4"/>
  <c r="P4005" i="4"/>
  <c r="K4005" i="4"/>
  <c r="J4005" i="4"/>
  <c r="I4005" i="4"/>
  <c r="M4005" i="4" s="1" a="1"/>
  <c r="M4005" i="4" s="1"/>
  <c r="O4005" i="4" s="1"/>
  <c r="P4004" i="4"/>
  <c r="K4004" i="4"/>
  <c r="J4004" i="4"/>
  <c r="I4004" i="4"/>
  <c r="M4004" i="4" s="1" a="1"/>
  <c r="M4004" i="4" s="1"/>
  <c r="O4004" i="4" s="1"/>
  <c r="P4003" i="4"/>
  <c r="K4003" i="4"/>
  <c r="J4003" i="4"/>
  <c r="I4003" i="4"/>
  <c r="P4002" i="4"/>
  <c r="M4002" i="4"/>
  <c r="O4002" i="4" s="1"/>
  <c r="K4002" i="4"/>
  <c r="J4002" i="4"/>
  <c r="I4002" i="4"/>
  <c r="M4002" i="4" s="1" a="1"/>
  <c r="P4001" i="4"/>
  <c r="K4001" i="4"/>
  <c r="J4001" i="4"/>
  <c r="I4001" i="4"/>
  <c r="M4001" i="4" s="1" a="1"/>
  <c r="M4001" i="4" s="1"/>
  <c r="O4001" i="4" s="1"/>
  <c r="P4000" i="4"/>
  <c r="K4000" i="4"/>
  <c r="J4000" i="4"/>
  <c r="I4000" i="4"/>
  <c r="M4000" i="4" s="1" a="1"/>
  <c r="M4000" i="4" s="1"/>
  <c r="O4000" i="4" s="1"/>
  <c r="P3999" i="4"/>
  <c r="M3999" i="4" a="1"/>
  <c r="M3999" i="4" s="1"/>
  <c r="O3999" i="4" s="1"/>
  <c r="K3999" i="4"/>
  <c r="J3999" i="4"/>
  <c r="I3999" i="4"/>
  <c r="P3998" i="4"/>
  <c r="O3998" i="4"/>
  <c r="K3998" i="4"/>
  <c r="J3998" i="4"/>
  <c r="I3998" i="4"/>
  <c r="M3998" i="4" s="1" a="1"/>
  <c r="M3998" i="4" s="1"/>
  <c r="P3997" i="4"/>
  <c r="K3997" i="4"/>
  <c r="J3997" i="4"/>
  <c r="I3997" i="4"/>
  <c r="M3997" i="4" s="1" a="1"/>
  <c r="M3997" i="4" s="1"/>
  <c r="O3997" i="4" s="1"/>
  <c r="P3996" i="4"/>
  <c r="M3996" i="4" a="1"/>
  <c r="M3996" i="4" s="1"/>
  <c r="O3996" i="4" s="1"/>
  <c r="K3996" i="4"/>
  <c r="J3996" i="4"/>
  <c r="I3996" i="4"/>
  <c r="P3995" i="4"/>
  <c r="O3995" i="4"/>
  <c r="K3995" i="4"/>
  <c r="J3995" i="4"/>
  <c r="I3995" i="4"/>
  <c r="M3995" i="4" s="1" a="1"/>
  <c r="M3995" i="4" s="1"/>
  <c r="P3994" i="4"/>
  <c r="K3994" i="4"/>
  <c r="J3994" i="4"/>
  <c r="M3994" i="4" s="1" a="1"/>
  <c r="M3994" i="4" s="1"/>
  <c r="O3994" i="4" s="1"/>
  <c r="I3994" i="4"/>
  <c r="P3993" i="4"/>
  <c r="M3993" i="4" a="1"/>
  <c r="M3993" i="4" s="1"/>
  <c r="O3993" i="4" s="1"/>
  <c r="K3993" i="4"/>
  <c r="J3993" i="4"/>
  <c r="I3993" i="4"/>
  <c r="P3992" i="4"/>
  <c r="M3992" i="4"/>
  <c r="O3992" i="4" s="1"/>
  <c r="M3992" i="4" a="1"/>
  <c r="K3992" i="4"/>
  <c r="J3992" i="4"/>
  <c r="I3992" i="4"/>
  <c r="P3991" i="4"/>
  <c r="K3991" i="4"/>
  <c r="J3991" i="4"/>
  <c r="M3991" i="4" s="1" a="1"/>
  <c r="M3991" i="4" s="1"/>
  <c r="O3991" i="4" s="1"/>
  <c r="I3991" i="4"/>
  <c r="P3990" i="4"/>
  <c r="K3990" i="4"/>
  <c r="J3990" i="4"/>
  <c r="M3990" i="4" s="1" a="1"/>
  <c r="M3990" i="4" s="1"/>
  <c r="O3990" i="4" s="1"/>
  <c r="I3990" i="4"/>
  <c r="P3989" i="4"/>
  <c r="M3989" i="4"/>
  <c r="O3989" i="4" s="1"/>
  <c r="K3989" i="4"/>
  <c r="J3989" i="4"/>
  <c r="I3989" i="4"/>
  <c r="M3989" i="4" s="1" a="1"/>
  <c r="P3988" i="4"/>
  <c r="K3988" i="4"/>
  <c r="J3988" i="4"/>
  <c r="I3988" i="4"/>
  <c r="M3988" i="4" s="1" a="1"/>
  <c r="M3988" i="4" s="1"/>
  <c r="O3988" i="4" s="1"/>
  <c r="P3987" i="4"/>
  <c r="K3987" i="4"/>
  <c r="J3987" i="4"/>
  <c r="I3987" i="4"/>
  <c r="P3986" i="4"/>
  <c r="K3986" i="4"/>
  <c r="J3986" i="4"/>
  <c r="I3986" i="4"/>
  <c r="M3986" i="4" s="1" a="1"/>
  <c r="M3986" i="4" s="1"/>
  <c r="O3986" i="4" s="1"/>
  <c r="P3985" i="4"/>
  <c r="K3985" i="4"/>
  <c r="J3985" i="4"/>
  <c r="I3985" i="4"/>
  <c r="M3985" i="4" s="1" a="1"/>
  <c r="M3985" i="4" s="1"/>
  <c r="O3985" i="4" s="1"/>
  <c r="P3984" i="4"/>
  <c r="K3984" i="4"/>
  <c r="J3984" i="4"/>
  <c r="I3984" i="4"/>
  <c r="P3983" i="4"/>
  <c r="M3983" i="4" a="1"/>
  <c r="M3983" i="4" s="1"/>
  <c r="O3983" i="4" s="1"/>
  <c r="K3983" i="4"/>
  <c r="J3983" i="4"/>
  <c r="I3983" i="4"/>
  <c r="P3982" i="4"/>
  <c r="O3982" i="4"/>
  <c r="K3982" i="4"/>
  <c r="J3982" i="4"/>
  <c r="I3982" i="4"/>
  <c r="M3982" i="4" s="1" a="1"/>
  <c r="M3982" i="4" s="1"/>
  <c r="P3981" i="4"/>
  <c r="K3981" i="4"/>
  <c r="J3981" i="4"/>
  <c r="I3981" i="4"/>
  <c r="M3981" i="4" s="1" a="1"/>
  <c r="M3981" i="4" s="1"/>
  <c r="O3981" i="4" s="1"/>
  <c r="P3980" i="4"/>
  <c r="M3980" i="4" a="1"/>
  <c r="M3980" i="4" s="1"/>
  <c r="O3980" i="4" s="1"/>
  <c r="K3980" i="4"/>
  <c r="J3980" i="4"/>
  <c r="I3980" i="4"/>
  <c r="P3979" i="4"/>
  <c r="K3979" i="4"/>
  <c r="J3979" i="4"/>
  <c r="I3979" i="4"/>
  <c r="M3979" i="4" s="1" a="1"/>
  <c r="M3979" i="4" s="1"/>
  <c r="O3979" i="4" s="1"/>
  <c r="P3978" i="4"/>
  <c r="K3978" i="4"/>
  <c r="J3978" i="4"/>
  <c r="M3978" i="4" s="1" a="1"/>
  <c r="M3978" i="4" s="1"/>
  <c r="O3978" i="4" s="1"/>
  <c r="I3978" i="4"/>
  <c r="P3977" i="4"/>
  <c r="M3977" i="4" a="1"/>
  <c r="M3977" i="4" s="1"/>
  <c r="O3977" i="4" s="1"/>
  <c r="K3977" i="4"/>
  <c r="J3977" i="4"/>
  <c r="I3977" i="4"/>
  <c r="P3976" i="4"/>
  <c r="M3976" i="4"/>
  <c r="O3976" i="4" s="1"/>
  <c r="M3976" i="4" a="1"/>
  <c r="K3976" i="4"/>
  <c r="J3976" i="4"/>
  <c r="I3976" i="4"/>
  <c r="P3975" i="4"/>
  <c r="K3975" i="4"/>
  <c r="J3975" i="4"/>
  <c r="M3975" i="4" s="1" a="1"/>
  <c r="M3975" i="4" s="1"/>
  <c r="O3975" i="4" s="1"/>
  <c r="I3975" i="4"/>
  <c r="P3974" i="4"/>
  <c r="K3974" i="4"/>
  <c r="J3974" i="4"/>
  <c r="M3974" i="4" s="1" a="1"/>
  <c r="M3974" i="4" s="1"/>
  <c r="O3974" i="4" s="1"/>
  <c r="I3974" i="4"/>
  <c r="P3973" i="4"/>
  <c r="M3973" i="4"/>
  <c r="O3973" i="4" s="1"/>
  <c r="K3973" i="4"/>
  <c r="J3973" i="4"/>
  <c r="I3973" i="4"/>
  <c r="M3973" i="4" s="1" a="1"/>
  <c r="P3972" i="4"/>
  <c r="K3972" i="4"/>
  <c r="J3972" i="4"/>
  <c r="I3972" i="4"/>
  <c r="M3972" i="4" s="1" a="1"/>
  <c r="M3972" i="4" s="1"/>
  <c r="O3972" i="4" s="1"/>
  <c r="P3971" i="4"/>
  <c r="K3971" i="4"/>
  <c r="J3971" i="4"/>
  <c r="I3971" i="4"/>
  <c r="M3971" i="4" s="1" a="1"/>
  <c r="M3971" i="4" s="1"/>
  <c r="O3971" i="4" s="1"/>
  <c r="P3970" i="4"/>
  <c r="M3970" i="4"/>
  <c r="O3970" i="4" s="1"/>
  <c r="K3970" i="4"/>
  <c r="J3970" i="4"/>
  <c r="I3970" i="4"/>
  <c r="M3970" i="4" s="1" a="1"/>
  <c r="P3969" i="4"/>
  <c r="K3969" i="4"/>
  <c r="J3969" i="4"/>
  <c r="I3969" i="4"/>
  <c r="M3969" i="4" s="1" a="1"/>
  <c r="M3969" i="4" s="1"/>
  <c r="O3969" i="4" s="1"/>
  <c r="P3968" i="4"/>
  <c r="K3968" i="4"/>
  <c r="J3968" i="4"/>
  <c r="I3968" i="4"/>
  <c r="P3967" i="4"/>
  <c r="K3967" i="4"/>
  <c r="M3967" i="4" s="1" a="1"/>
  <c r="M3967" i="4" s="1"/>
  <c r="O3967" i="4" s="1"/>
  <c r="J3967" i="4"/>
  <c r="I3967" i="4"/>
  <c r="P3966" i="4"/>
  <c r="O3966" i="4"/>
  <c r="K3966" i="4"/>
  <c r="J3966" i="4"/>
  <c r="I3966" i="4"/>
  <c r="M3966" i="4" s="1" a="1"/>
  <c r="M3966" i="4" s="1"/>
  <c r="P3965" i="4"/>
  <c r="K3965" i="4"/>
  <c r="J3965" i="4"/>
  <c r="I3965" i="4"/>
  <c r="P3964" i="4"/>
  <c r="M3964" i="4" a="1"/>
  <c r="M3964" i="4" s="1"/>
  <c r="O3964" i="4" s="1"/>
  <c r="K3964" i="4"/>
  <c r="J3964" i="4"/>
  <c r="I3964" i="4"/>
  <c r="P3963" i="4"/>
  <c r="K3963" i="4"/>
  <c r="J3963" i="4"/>
  <c r="I3963" i="4"/>
  <c r="M3963" i="4" s="1" a="1"/>
  <c r="M3963" i="4" s="1"/>
  <c r="O3963" i="4" s="1"/>
  <c r="P3962" i="4"/>
  <c r="K3962" i="4"/>
  <c r="J3962" i="4"/>
  <c r="M3962" i="4" s="1" a="1"/>
  <c r="M3962" i="4" s="1"/>
  <c r="O3962" i="4" s="1"/>
  <c r="I3962" i="4"/>
  <c r="P3961" i="4"/>
  <c r="M3961" i="4" a="1"/>
  <c r="M3961" i="4" s="1"/>
  <c r="O3961" i="4" s="1"/>
  <c r="K3961" i="4"/>
  <c r="J3961" i="4"/>
  <c r="I3961" i="4"/>
  <c r="P3960" i="4"/>
  <c r="M3960" i="4"/>
  <c r="O3960" i="4" s="1"/>
  <c r="M3960" i="4" a="1"/>
  <c r="K3960" i="4"/>
  <c r="J3960" i="4"/>
  <c r="I3960" i="4"/>
  <c r="P3959" i="4"/>
  <c r="K3959" i="4"/>
  <c r="J3959" i="4"/>
  <c r="M3959" i="4" s="1" a="1"/>
  <c r="M3959" i="4" s="1"/>
  <c r="O3959" i="4" s="1"/>
  <c r="I3959" i="4"/>
  <c r="P3958" i="4"/>
  <c r="K3958" i="4"/>
  <c r="J3958" i="4"/>
  <c r="I3958" i="4"/>
  <c r="P3957" i="4"/>
  <c r="K3957" i="4"/>
  <c r="J3957" i="4"/>
  <c r="I3957" i="4"/>
  <c r="M3957" i="4" s="1" a="1"/>
  <c r="M3957" i="4" s="1"/>
  <c r="O3957" i="4" s="1"/>
  <c r="P3956" i="4"/>
  <c r="K3956" i="4"/>
  <c r="J3956" i="4"/>
  <c r="I3956" i="4"/>
  <c r="M3956" i="4" s="1" a="1"/>
  <c r="M3956" i="4" s="1"/>
  <c r="O3956" i="4" s="1"/>
  <c r="P3955" i="4"/>
  <c r="K3955" i="4"/>
  <c r="J3955" i="4"/>
  <c r="I3955" i="4"/>
  <c r="M3955" i="4" s="1" a="1"/>
  <c r="M3955" i="4" s="1"/>
  <c r="O3955" i="4" s="1"/>
  <c r="P3954" i="4"/>
  <c r="M3954" i="4"/>
  <c r="O3954" i="4" s="1"/>
  <c r="K3954" i="4"/>
  <c r="J3954" i="4"/>
  <c r="I3954" i="4"/>
  <c r="M3954" i="4" s="1" a="1"/>
  <c r="P3953" i="4"/>
  <c r="K3953" i="4"/>
  <c r="J3953" i="4"/>
  <c r="I3953" i="4"/>
  <c r="M3953" i="4" s="1" a="1"/>
  <c r="M3953" i="4" s="1"/>
  <c r="O3953" i="4" s="1"/>
  <c r="P3952" i="4"/>
  <c r="K3952" i="4"/>
  <c r="J3952" i="4"/>
  <c r="I3952" i="4"/>
  <c r="M3952" i="4" s="1" a="1"/>
  <c r="M3952" i="4" s="1"/>
  <c r="O3952" i="4" s="1"/>
  <c r="P3951" i="4"/>
  <c r="M3951" i="4" a="1"/>
  <c r="M3951" i="4" s="1"/>
  <c r="O3951" i="4" s="1"/>
  <c r="K3951" i="4"/>
  <c r="J3951" i="4"/>
  <c r="I3951" i="4"/>
  <c r="P3950" i="4"/>
  <c r="O3950" i="4"/>
  <c r="K3950" i="4"/>
  <c r="J3950" i="4"/>
  <c r="I3950" i="4"/>
  <c r="M3950" i="4" s="1" a="1"/>
  <c r="M3950" i="4" s="1"/>
  <c r="P3949" i="4"/>
  <c r="K3949" i="4"/>
  <c r="J3949" i="4"/>
  <c r="I3949" i="4"/>
  <c r="P3948" i="4"/>
  <c r="M3948" i="4" a="1"/>
  <c r="M3948" i="4" s="1"/>
  <c r="O3948" i="4" s="1"/>
  <c r="K3948" i="4"/>
  <c r="J3948" i="4"/>
  <c r="I3948" i="4"/>
  <c r="P3947" i="4"/>
  <c r="O3947" i="4"/>
  <c r="K3947" i="4"/>
  <c r="J3947" i="4"/>
  <c r="I3947" i="4"/>
  <c r="M3947" i="4" s="1" a="1"/>
  <c r="M3947" i="4" s="1"/>
  <c r="P3946" i="4"/>
  <c r="O3946" i="4"/>
  <c r="K3946" i="4"/>
  <c r="J3946" i="4"/>
  <c r="M3946" i="4" s="1" a="1"/>
  <c r="M3946" i="4" s="1"/>
  <c r="I3946" i="4"/>
  <c r="P3945" i="4"/>
  <c r="M3945" i="4" a="1"/>
  <c r="M3945" i="4" s="1"/>
  <c r="O3945" i="4" s="1"/>
  <c r="K3945" i="4"/>
  <c r="J3945" i="4"/>
  <c r="I3945" i="4"/>
  <c r="P3944" i="4"/>
  <c r="M3944" i="4" a="1"/>
  <c r="M3944" i="4" s="1"/>
  <c r="O3944" i="4" s="1"/>
  <c r="K3944" i="4"/>
  <c r="J3944" i="4"/>
  <c r="I3944" i="4"/>
  <c r="P3943" i="4"/>
  <c r="K3943" i="4"/>
  <c r="J3943" i="4"/>
  <c r="M3943" i="4" s="1" a="1"/>
  <c r="M3943" i="4" s="1"/>
  <c r="O3943" i="4" s="1"/>
  <c r="I3943" i="4"/>
  <c r="P3942" i="4"/>
  <c r="K3942" i="4"/>
  <c r="J3942" i="4"/>
  <c r="M3942" i="4" s="1" a="1"/>
  <c r="M3942" i="4" s="1"/>
  <c r="O3942" i="4" s="1"/>
  <c r="I3942" i="4"/>
  <c r="P3941" i="4"/>
  <c r="M3941" i="4"/>
  <c r="O3941" i="4" s="1"/>
  <c r="K3941" i="4"/>
  <c r="J3941" i="4"/>
  <c r="I3941" i="4"/>
  <c r="M3941" i="4" s="1" a="1"/>
  <c r="P3940" i="4"/>
  <c r="K3940" i="4"/>
  <c r="J3940" i="4"/>
  <c r="I3940" i="4"/>
  <c r="M3940" i="4" s="1" a="1"/>
  <c r="M3940" i="4" s="1"/>
  <c r="O3940" i="4" s="1"/>
  <c r="P3939" i="4"/>
  <c r="K3939" i="4"/>
  <c r="J3939" i="4"/>
  <c r="I3939" i="4"/>
  <c r="P3938" i="4"/>
  <c r="K3938" i="4"/>
  <c r="J3938" i="4"/>
  <c r="I3938" i="4"/>
  <c r="M3938" i="4" s="1" a="1"/>
  <c r="M3938" i="4" s="1"/>
  <c r="O3938" i="4" s="1"/>
  <c r="P3937" i="4"/>
  <c r="M3937" i="4"/>
  <c r="O3937" i="4" s="1"/>
  <c r="K3937" i="4"/>
  <c r="J3937" i="4"/>
  <c r="I3937" i="4"/>
  <c r="M3937" i="4" s="1" a="1"/>
  <c r="P3936" i="4"/>
  <c r="K3936" i="4"/>
  <c r="M3936" i="4" s="1" a="1"/>
  <c r="M3936" i="4" s="1"/>
  <c r="O3936" i="4" s="1"/>
  <c r="J3936" i="4"/>
  <c r="I3936" i="4"/>
  <c r="P3935" i="4"/>
  <c r="K3935" i="4"/>
  <c r="M3935" i="4" s="1" a="1"/>
  <c r="M3935" i="4" s="1"/>
  <c r="O3935" i="4" s="1"/>
  <c r="J3935" i="4"/>
  <c r="I3935" i="4"/>
  <c r="P3934" i="4"/>
  <c r="O3934" i="4"/>
  <c r="K3934" i="4"/>
  <c r="J3934" i="4"/>
  <c r="I3934" i="4"/>
  <c r="M3934" i="4" s="1" a="1"/>
  <c r="M3934" i="4" s="1"/>
  <c r="P3933" i="4"/>
  <c r="K3933" i="4"/>
  <c r="J3933" i="4"/>
  <c r="I3933" i="4"/>
  <c r="M3933" i="4" s="1" a="1"/>
  <c r="M3933" i="4" s="1"/>
  <c r="O3933" i="4" s="1"/>
  <c r="P3932" i="4"/>
  <c r="M3932" i="4" a="1"/>
  <c r="M3932" i="4" s="1"/>
  <c r="O3932" i="4" s="1"/>
  <c r="K3932" i="4"/>
  <c r="J3932" i="4"/>
  <c r="I3932" i="4"/>
  <c r="P3931" i="4"/>
  <c r="O3931" i="4"/>
  <c r="K3931" i="4"/>
  <c r="J3931" i="4"/>
  <c r="I3931" i="4"/>
  <c r="M3931" i="4" s="1" a="1"/>
  <c r="M3931" i="4" s="1"/>
  <c r="P3930" i="4"/>
  <c r="K3930" i="4"/>
  <c r="J3930" i="4"/>
  <c r="M3930" i="4" s="1" a="1"/>
  <c r="M3930" i="4" s="1"/>
  <c r="O3930" i="4" s="1"/>
  <c r="I3930" i="4"/>
  <c r="P3929" i="4"/>
  <c r="M3929" i="4" a="1"/>
  <c r="M3929" i="4" s="1"/>
  <c r="O3929" i="4" s="1"/>
  <c r="K3929" i="4"/>
  <c r="J3929" i="4"/>
  <c r="I3929" i="4"/>
  <c r="P3928" i="4"/>
  <c r="M3928" i="4"/>
  <c r="O3928" i="4" s="1"/>
  <c r="M3928" i="4" a="1"/>
  <c r="K3928" i="4"/>
  <c r="J3928" i="4"/>
  <c r="I3928" i="4"/>
  <c r="P3927" i="4"/>
  <c r="K3927" i="4"/>
  <c r="J3927" i="4"/>
  <c r="M3927" i="4" s="1" a="1"/>
  <c r="M3927" i="4" s="1"/>
  <c r="O3927" i="4" s="1"/>
  <c r="I3927" i="4"/>
  <c r="P3926" i="4"/>
  <c r="K3926" i="4"/>
  <c r="J3926" i="4"/>
  <c r="M3926" i="4" s="1" a="1"/>
  <c r="M3926" i="4" s="1"/>
  <c r="O3926" i="4" s="1"/>
  <c r="I3926" i="4"/>
  <c r="P3925" i="4"/>
  <c r="K3925" i="4"/>
  <c r="J3925" i="4"/>
  <c r="I3925" i="4"/>
  <c r="P3924" i="4"/>
  <c r="K3924" i="4"/>
  <c r="J3924" i="4"/>
  <c r="I3924" i="4"/>
  <c r="M3924" i="4" s="1" a="1"/>
  <c r="M3924" i="4" s="1"/>
  <c r="O3924" i="4" s="1"/>
  <c r="P3923" i="4"/>
  <c r="K3923" i="4"/>
  <c r="J3923" i="4"/>
  <c r="I3923" i="4"/>
  <c r="M3923" i="4" s="1" a="1"/>
  <c r="M3923" i="4" s="1"/>
  <c r="O3923" i="4" s="1"/>
  <c r="P3922" i="4"/>
  <c r="K3922" i="4"/>
  <c r="J3922" i="4"/>
  <c r="I3922" i="4"/>
  <c r="M3922" i="4" s="1" a="1"/>
  <c r="M3922" i="4" s="1"/>
  <c r="O3922" i="4" s="1"/>
  <c r="P3921" i="4"/>
  <c r="O3921" i="4"/>
  <c r="M3921" i="4"/>
  <c r="K3921" i="4"/>
  <c r="J3921" i="4"/>
  <c r="I3921" i="4"/>
  <c r="M3921" i="4" s="1" a="1"/>
  <c r="P3920" i="4"/>
  <c r="O3920" i="4"/>
  <c r="K3920" i="4"/>
  <c r="M3920" i="4" s="1" a="1"/>
  <c r="M3920" i="4" s="1"/>
  <c r="J3920" i="4"/>
  <c r="I3920" i="4"/>
  <c r="P3919" i="4"/>
  <c r="M3919" i="4"/>
  <c r="O3919" i="4" s="1"/>
  <c r="M3919" i="4" a="1"/>
  <c r="K3919" i="4"/>
  <c r="J3919" i="4"/>
  <c r="I3919" i="4"/>
  <c r="P3918" i="4"/>
  <c r="O3918" i="4"/>
  <c r="M3918" i="4" a="1"/>
  <c r="M3918" i="4" s="1"/>
  <c r="K3918" i="4"/>
  <c r="J3918" i="4"/>
  <c r="I3918" i="4"/>
  <c r="P3917" i="4"/>
  <c r="K3917" i="4"/>
  <c r="J3917" i="4"/>
  <c r="I3917" i="4"/>
  <c r="M3917" i="4" s="1" a="1"/>
  <c r="M3917" i="4" s="1"/>
  <c r="O3917" i="4" s="1"/>
  <c r="P3916" i="4"/>
  <c r="M3916" i="4" a="1"/>
  <c r="M3916" i="4" s="1"/>
  <c r="O3916" i="4" s="1"/>
  <c r="K3916" i="4"/>
  <c r="J3916" i="4"/>
  <c r="I3916" i="4"/>
  <c r="P3915" i="4"/>
  <c r="O3915" i="4"/>
  <c r="K3915" i="4"/>
  <c r="J3915" i="4"/>
  <c r="I3915" i="4"/>
  <c r="M3915" i="4" s="1" a="1"/>
  <c r="M3915" i="4" s="1"/>
  <c r="P3914" i="4"/>
  <c r="K3914" i="4"/>
  <c r="J3914" i="4"/>
  <c r="M3914" i="4" s="1" a="1"/>
  <c r="M3914" i="4" s="1"/>
  <c r="O3914" i="4" s="1"/>
  <c r="I3914" i="4"/>
  <c r="P3913" i="4"/>
  <c r="M3913" i="4" a="1"/>
  <c r="M3913" i="4" s="1"/>
  <c r="O3913" i="4" s="1"/>
  <c r="K3913" i="4"/>
  <c r="J3913" i="4"/>
  <c r="I3913" i="4"/>
  <c r="P3912" i="4"/>
  <c r="O3912" i="4"/>
  <c r="M3912" i="4"/>
  <c r="M3912" i="4" a="1"/>
  <c r="K3912" i="4"/>
  <c r="J3912" i="4"/>
  <c r="I3912" i="4"/>
  <c r="P3911" i="4"/>
  <c r="K3911" i="4"/>
  <c r="J3911" i="4"/>
  <c r="M3911" i="4" s="1" a="1"/>
  <c r="M3911" i="4" s="1"/>
  <c r="O3911" i="4" s="1"/>
  <c r="I3911" i="4"/>
  <c r="P3910" i="4"/>
  <c r="K3910" i="4"/>
  <c r="J3910" i="4"/>
  <c r="M3910" i="4" s="1" a="1"/>
  <c r="M3910" i="4" s="1"/>
  <c r="O3910" i="4" s="1"/>
  <c r="I3910" i="4"/>
  <c r="P3909" i="4"/>
  <c r="K3909" i="4"/>
  <c r="J3909" i="4"/>
  <c r="I3909" i="4"/>
  <c r="P3908" i="4"/>
  <c r="K3908" i="4"/>
  <c r="J3908" i="4"/>
  <c r="I3908" i="4"/>
  <c r="M3908" i="4" s="1" a="1"/>
  <c r="M3908" i="4" s="1"/>
  <c r="O3908" i="4" s="1"/>
  <c r="P3907" i="4"/>
  <c r="K3907" i="4"/>
  <c r="J3907" i="4"/>
  <c r="I3907" i="4"/>
  <c r="P3906" i="4"/>
  <c r="M3906" i="4"/>
  <c r="O3906" i="4" s="1"/>
  <c r="K3906" i="4"/>
  <c r="J3906" i="4"/>
  <c r="I3906" i="4"/>
  <c r="M3906" i="4" s="1" a="1"/>
  <c r="P3905" i="4"/>
  <c r="O3905" i="4"/>
  <c r="M3905" i="4"/>
  <c r="K3905" i="4"/>
  <c r="J3905" i="4"/>
  <c r="I3905" i="4"/>
  <c r="M3905" i="4" s="1" a="1"/>
  <c r="P3904" i="4"/>
  <c r="M3904" i="4"/>
  <c r="O3904" i="4" s="1"/>
  <c r="M3904" i="4" a="1"/>
  <c r="K3904" i="4"/>
  <c r="J3904" i="4"/>
  <c r="I3904" i="4"/>
  <c r="P3903" i="4"/>
  <c r="K3903" i="4"/>
  <c r="J3903" i="4"/>
  <c r="M3903" i="4" s="1" a="1"/>
  <c r="M3903" i="4" s="1"/>
  <c r="O3903" i="4" s="1"/>
  <c r="I3903" i="4"/>
  <c r="P3902" i="4"/>
  <c r="K3902" i="4"/>
  <c r="J3902" i="4"/>
  <c r="I3902" i="4"/>
  <c r="M3902" i="4" s="1" a="1"/>
  <c r="M3902" i="4" s="1"/>
  <c r="O3902" i="4" s="1"/>
  <c r="P3901" i="4"/>
  <c r="K3901" i="4"/>
  <c r="J3901" i="4"/>
  <c r="I3901" i="4"/>
  <c r="M3901" i="4" s="1" a="1"/>
  <c r="M3901" i="4" s="1"/>
  <c r="O3901" i="4" s="1"/>
  <c r="P3900" i="4"/>
  <c r="M3900" i="4" a="1"/>
  <c r="M3900" i="4" s="1"/>
  <c r="O3900" i="4" s="1"/>
  <c r="K3900" i="4"/>
  <c r="J3900" i="4"/>
  <c r="I3900" i="4"/>
  <c r="P3899" i="4"/>
  <c r="K3899" i="4"/>
  <c r="J3899" i="4"/>
  <c r="I3899" i="4"/>
  <c r="M3899" i="4" s="1" a="1"/>
  <c r="M3899" i="4" s="1"/>
  <c r="O3899" i="4" s="1"/>
  <c r="P3898" i="4"/>
  <c r="K3898" i="4"/>
  <c r="J3898" i="4"/>
  <c r="M3898" i="4" s="1" a="1"/>
  <c r="M3898" i="4" s="1"/>
  <c r="O3898" i="4" s="1"/>
  <c r="I3898" i="4"/>
  <c r="P3897" i="4"/>
  <c r="O3897" i="4"/>
  <c r="M3897" i="4"/>
  <c r="M3897" i="4" a="1"/>
  <c r="K3897" i="4"/>
  <c r="J3897" i="4"/>
  <c r="I3897" i="4"/>
  <c r="P3896" i="4"/>
  <c r="K3896" i="4"/>
  <c r="M3896" i="4" s="1" a="1"/>
  <c r="M3896" i="4" s="1"/>
  <c r="O3896" i="4" s="1"/>
  <c r="J3896" i="4"/>
  <c r="I3896" i="4"/>
  <c r="P3895" i="4"/>
  <c r="K3895" i="4"/>
  <c r="M3895" i="4" s="1" a="1"/>
  <c r="M3895" i="4" s="1"/>
  <c r="O3895" i="4" s="1"/>
  <c r="J3895" i="4"/>
  <c r="I3895" i="4"/>
  <c r="P3894" i="4"/>
  <c r="K3894" i="4"/>
  <c r="J3894" i="4"/>
  <c r="I3894" i="4"/>
  <c r="M3894" i="4" s="1" a="1"/>
  <c r="M3894" i="4" s="1"/>
  <c r="O3894" i="4" s="1"/>
  <c r="P3893" i="4"/>
  <c r="K3893" i="4"/>
  <c r="J3893" i="4"/>
  <c r="I3893" i="4"/>
  <c r="P3892" i="4"/>
  <c r="K3892" i="4"/>
  <c r="J3892" i="4"/>
  <c r="I3892" i="4"/>
  <c r="P3891" i="4"/>
  <c r="K3891" i="4"/>
  <c r="J3891" i="4"/>
  <c r="I3891" i="4"/>
  <c r="P3890" i="4"/>
  <c r="K3890" i="4"/>
  <c r="J3890" i="4"/>
  <c r="I3890" i="4"/>
  <c r="M3890" i="4" s="1" a="1"/>
  <c r="M3890" i="4" s="1"/>
  <c r="O3890" i="4" s="1"/>
  <c r="P3889" i="4"/>
  <c r="M3889" i="4"/>
  <c r="O3889" i="4" s="1"/>
  <c r="M3889" i="4" a="1"/>
  <c r="K3889" i="4"/>
  <c r="J3889" i="4"/>
  <c r="I3889" i="4"/>
  <c r="P3888" i="4"/>
  <c r="M3888" i="4" a="1"/>
  <c r="M3888" i="4" s="1"/>
  <c r="O3888" i="4" s="1"/>
  <c r="K3888" i="4"/>
  <c r="J3888" i="4"/>
  <c r="I3888" i="4"/>
  <c r="P3887" i="4"/>
  <c r="M3887" i="4"/>
  <c r="O3887" i="4" s="1"/>
  <c r="K3887" i="4"/>
  <c r="M3887" i="4" s="1" a="1"/>
  <c r="J3887" i="4"/>
  <c r="I3887" i="4"/>
  <c r="P3886" i="4"/>
  <c r="K3886" i="4"/>
  <c r="J3886" i="4"/>
  <c r="I3886" i="4"/>
  <c r="M3886" i="4" s="1" a="1"/>
  <c r="M3886" i="4" s="1"/>
  <c r="O3886" i="4" s="1"/>
  <c r="P3885" i="4"/>
  <c r="K3885" i="4"/>
  <c r="J3885" i="4"/>
  <c r="I3885" i="4"/>
  <c r="M3885" i="4" s="1" a="1"/>
  <c r="M3885" i="4" s="1"/>
  <c r="O3885" i="4" s="1"/>
  <c r="P3884" i="4"/>
  <c r="K3884" i="4"/>
  <c r="J3884" i="4"/>
  <c r="M3884" i="4" s="1" a="1"/>
  <c r="M3884" i="4" s="1"/>
  <c r="O3884" i="4" s="1"/>
  <c r="I3884" i="4"/>
  <c r="P3883" i="4"/>
  <c r="K3883" i="4"/>
  <c r="J3883" i="4"/>
  <c r="I3883" i="4"/>
  <c r="M3883" i="4" s="1" a="1"/>
  <c r="M3883" i="4" s="1"/>
  <c r="O3883" i="4" s="1"/>
  <c r="P3882" i="4"/>
  <c r="M3882" i="4" a="1"/>
  <c r="M3882" i="4" s="1"/>
  <c r="O3882" i="4" s="1"/>
  <c r="K3882" i="4"/>
  <c r="J3882" i="4"/>
  <c r="I3882" i="4"/>
  <c r="P3881" i="4"/>
  <c r="M3881" i="4" a="1"/>
  <c r="M3881" i="4" s="1"/>
  <c r="O3881" i="4" s="1"/>
  <c r="K3881" i="4"/>
  <c r="J3881" i="4"/>
  <c r="I3881" i="4"/>
  <c r="P3880" i="4"/>
  <c r="K3880" i="4"/>
  <c r="J3880" i="4"/>
  <c r="M3880" i="4" s="1" a="1"/>
  <c r="M3880" i="4" s="1"/>
  <c r="O3880" i="4" s="1"/>
  <c r="I3880" i="4"/>
  <c r="P3879" i="4"/>
  <c r="K3879" i="4"/>
  <c r="M3879" i="4" s="1" a="1"/>
  <c r="M3879" i="4" s="1"/>
  <c r="O3879" i="4" s="1"/>
  <c r="J3879" i="4"/>
  <c r="I3879" i="4"/>
  <c r="P3878" i="4"/>
  <c r="M3878" i="4" a="1"/>
  <c r="M3878" i="4" s="1"/>
  <c r="O3878" i="4" s="1"/>
  <c r="K3878" i="4"/>
  <c r="J3878" i="4"/>
  <c r="I3878" i="4"/>
  <c r="P3877" i="4"/>
  <c r="K3877" i="4"/>
  <c r="J3877" i="4"/>
  <c r="I3877" i="4"/>
  <c r="P3876" i="4"/>
  <c r="K3876" i="4"/>
  <c r="J3876" i="4"/>
  <c r="I3876" i="4"/>
  <c r="M3876" i="4" s="1" a="1"/>
  <c r="M3876" i="4" s="1"/>
  <c r="O3876" i="4" s="1"/>
  <c r="P3875" i="4"/>
  <c r="K3875" i="4"/>
  <c r="J3875" i="4"/>
  <c r="I3875" i="4"/>
  <c r="P3874" i="4"/>
  <c r="K3874" i="4"/>
  <c r="J3874" i="4"/>
  <c r="I3874" i="4"/>
  <c r="P3873" i="4"/>
  <c r="K3873" i="4"/>
  <c r="J3873" i="4"/>
  <c r="I3873" i="4"/>
  <c r="M3873" i="4" s="1" a="1"/>
  <c r="M3873" i="4" s="1"/>
  <c r="O3873" i="4" s="1"/>
  <c r="P3872" i="4"/>
  <c r="K3872" i="4"/>
  <c r="J3872" i="4"/>
  <c r="I3872" i="4"/>
  <c r="M3872" i="4" s="1" a="1"/>
  <c r="M3872" i="4" s="1"/>
  <c r="O3872" i="4" s="1"/>
  <c r="P3871" i="4"/>
  <c r="K3871" i="4"/>
  <c r="J3871" i="4"/>
  <c r="M3871" i="4" s="1" a="1"/>
  <c r="M3871" i="4" s="1"/>
  <c r="O3871" i="4" s="1"/>
  <c r="I3871" i="4"/>
  <c r="P3870" i="4"/>
  <c r="K3870" i="4"/>
  <c r="M3870" i="4" s="1" a="1"/>
  <c r="M3870" i="4" s="1"/>
  <c r="O3870" i="4" s="1"/>
  <c r="J3870" i="4"/>
  <c r="I3870" i="4"/>
  <c r="P3869" i="4"/>
  <c r="K3869" i="4"/>
  <c r="M3869" i="4" s="1" a="1"/>
  <c r="M3869" i="4" s="1"/>
  <c r="O3869" i="4" s="1"/>
  <c r="J3869" i="4"/>
  <c r="I3869" i="4"/>
  <c r="P3868" i="4"/>
  <c r="K3868" i="4"/>
  <c r="J3868" i="4"/>
  <c r="I3868" i="4"/>
  <c r="M3868" i="4" s="1" a="1"/>
  <c r="M3868" i="4" s="1"/>
  <c r="O3868" i="4" s="1"/>
  <c r="P3867" i="4"/>
  <c r="K3867" i="4"/>
  <c r="J3867" i="4"/>
  <c r="I3867" i="4"/>
  <c r="M3867" i="4" s="1" a="1"/>
  <c r="M3867" i="4" s="1"/>
  <c r="O3867" i="4" s="1"/>
  <c r="P3866" i="4"/>
  <c r="O3866" i="4"/>
  <c r="M3866" i="4"/>
  <c r="M3866" i="4" a="1"/>
  <c r="K3866" i="4"/>
  <c r="J3866" i="4"/>
  <c r="I3866" i="4"/>
  <c r="P3865" i="4"/>
  <c r="M3865" i="4"/>
  <c r="O3865" i="4" s="1"/>
  <c r="M3865" i="4" a="1"/>
  <c r="K3865" i="4"/>
  <c r="J3865" i="4"/>
  <c r="I3865" i="4"/>
  <c r="P3864" i="4"/>
  <c r="O3864" i="4"/>
  <c r="M3864" i="4" a="1"/>
  <c r="M3864" i="4" s="1"/>
  <c r="K3864" i="4"/>
  <c r="J3864" i="4"/>
  <c r="I3864" i="4"/>
  <c r="P3863" i="4"/>
  <c r="K3863" i="4"/>
  <c r="J3863" i="4"/>
  <c r="M3863" i="4" s="1" a="1"/>
  <c r="M3863" i="4" s="1"/>
  <c r="O3863" i="4" s="1"/>
  <c r="I3863" i="4"/>
  <c r="P3862" i="4"/>
  <c r="K3862" i="4"/>
  <c r="J3862" i="4"/>
  <c r="I3862" i="4"/>
  <c r="P3861" i="4"/>
  <c r="K3861" i="4"/>
  <c r="J3861" i="4"/>
  <c r="I3861" i="4"/>
  <c r="P3860" i="4"/>
  <c r="K3860" i="4"/>
  <c r="J3860" i="4"/>
  <c r="I3860" i="4"/>
  <c r="P3859" i="4"/>
  <c r="K3859" i="4"/>
  <c r="J3859" i="4"/>
  <c r="I3859" i="4"/>
  <c r="M3859" i="4" s="1" a="1"/>
  <c r="M3859" i="4" s="1"/>
  <c r="O3859" i="4" s="1"/>
  <c r="P3858" i="4"/>
  <c r="K3858" i="4"/>
  <c r="J3858" i="4"/>
  <c r="I3858" i="4"/>
  <c r="M3858" i="4" s="1" a="1"/>
  <c r="M3858" i="4" s="1"/>
  <c r="O3858" i="4" s="1"/>
  <c r="P3857" i="4"/>
  <c r="K3857" i="4"/>
  <c r="M3857" i="4" s="1" a="1"/>
  <c r="M3857" i="4" s="1"/>
  <c r="O3857" i="4" s="1"/>
  <c r="J3857" i="4"/>
  <c r="I3857" i="4"/>
  <c r="P3856" i="4"/>
  <c r="M3856" i="4" a="1"/>
  <c r="M3856" i="4" s="1"/>
  <c r="O3856" i="4" s="1"/>
  <c r="K3856" i="4"/>
  <c r="J3856" i="4"/>
  <c r="I3856" i="4"/>
  <c r="P3855" i="4"/>
  <c r="K3855" i="4"/>
  <c r="J3855" i="4"/>
  <c r="I3855" i="4"/>
  <c r="M3855" i="4" s="1" a="1"/>
  <c r="M3855" i="4" s="1"/>
  <c r="O3855" i="4" s="1"/>
  <c r="P3854" i="4"/>
  <c r="K3854" i="4"/>
  <c r="J3854" i="4"/>
  <c r="I3854" i="4"/>
  <c r="M3854" i="4" s="1" a="1"/>
  <c r="M3854" i="4" s="1"/>
  <c r="O3854" i="4" s="1"/>
  <c r="P3853" i="4"/>
  <c r="K3853" i="4"/>
  <c r="J3853" i="4"/>
  <c r="M3853" i="4" s="1" a="1"/>
  <c r="M3853" i="4" s="1"/>
  <c r="O3853" i="4" s="1"/>
  <c r="I3853" i="4"/>
  <c r="P3852" i="4"/>
  <c r="O3852" i="4"/>
  <c r="M3852" i="4" a="1"/>
  <c r="M3852" i="4" s="1"/>
  <c r="K3852" i="4"/>
  <c r="J3852" i="4"/>
  <c r="I3852" i="4"/>
  <c r="P3851" i="4"/>
  <c r="O3851" i="4"/>
  <c r="M3851" i="4" a="1"/>
  <c r="M3851" i="4" s="1"/>
  <c r="K3851" i="4"/>
  <c r="J3851" i="4"/>
  <c r="I3851" i="4"/>
  <c r="P3850" i="4"/>
  <c r="K3850" i="4"/>
  <c r="J3850" i="4"/>
  <c r="M3850" i="4" s="1" a="1"/>
  <c r="M3850" i="4" s="1"/>
  <c r="O3850" i="4" s="1"/>
  <c r="I3850" i="4"/>
  <c r="P3849" i="4"/>
  <c r="K3849" i="4"/>
  <c r="J3849" i="4"/>
  <c r="M3849" i="4" s="1" a="1"/>
  <c r="M3849" i="4" s="1"/>
  <c r="O3849" i="4" s="1"/>
  <c r="I3849" i="4"/>
  <c r="P3848" i="4"/>
  <c r="K3848" i="4"/>
  <c r="J3848" i="4"/>
  <c r="M3848" i="4" s="1" a="1"/>
  <c r="M3848" i="4" s="1"/>
  <c r="O3848" i="4" s="1"/>
  <c r="I3848" i="4"/>
  <c r="P3847" i="4"/>
  <c r="M3847" i="4" a="1"/>
  <c r="M3847" i="4" s="1"/>
  <c r="O3847" i="4" s="1"/>
  <c r="K3847" i="4"/>
  <c r="J3847" i="4"/>
  <c r="I3847" i="4"/>
  <c r="P3846" i="4"/>
  <c r="M3846" i="4" a="1"/>
  <c r="M3846" i="4" s="1"/>
  <c r="O3846" i="4" s="1"/>
  <c r="K3846" i="4"/>
  <c r="J3846" i="4"/>
  <c r="I3846" i="4"/>
  <c r="P3845" i="4"/>
  <c r="K3845" i="4"/>
  <c r="J3845" i="4"/>
  <c r="I3845" i="4"/>
  <c r="M3845" i="4" s="1" a="1"/>
  <c r="M3845" i="4" s="1"/>
  <c r="O3845" i="4" s="1"/>
  <c r="P3844" i="4"/>
  <c r="K3844" i="4"/>
  <c r="J3844" i="4"/>
  <c r="I3844" i="4"/>
  <c r="M3844" i="4" s="1" a="1"/>
  <c r="M3844" i="4" s="1"/>
  <c r="O3844" i="4" s="1"/>
  <c r="P3843" i="4"/>
  <c r="M3843" i="4"/>
  <c r="O3843" i="4" s="1"/>
  <c r="K3843" i="4"/>
  <c r="J3843" i="4"/>
  <c r="I3843" i="4"/>
  <c r="M3843" i="4" s="1" a="1"/>
  <c r="P3842" i="4"/>
  <c r="K3842" i="4"/>
  <c r="J3842" i="4"/>
  <c r="I3842" i="4"/>
  <c r="M3842" i="4" s="1" a="1"/>
  <c r="M3842" i="4" s="1"/>
  <c r="O3842" i="4" s="1"/>
  <c r="P3841" i="4"/>
  <c r="K3841" i="4"/>
  <c r="J3841" i="4"/>
  <c r="I3841" i="4"/>
  <c r="M3841" i="4" s="1" a="1"/>
  <c r="M3841" i="4" s="1"/>
  <c r="O3841" i="4" s="1"/>
  <c r="P3840" i="4"/>
  <c r="K3840" i="4"/>
  <c r="J3840" i="4"/>
  <c r="I3840" i="4"/>
  <c r="M3840" i="4" s="1" a="1"/>
  <c r="M3840" i="4" s="1"/>
  <c r="O3840" i="4" s="1"/>
  <c r="P3839" i="4"/>
  <c r="K3839" i="4"/>
  <c r="J3839" i="4"/>
  <c r="I3839" i="4"/>
  <c r="M3839" i="4" s="1" a="1"/>
  <c r="M3839" i="4" s="1"/>
  <c r="O3839" i="4" s="1"/>
  <c r="P3838" i="4"/>
  <c r="K3838" i="4"/>
  <c r="J3838" i="4"/>
  <c r="M3838" i="4" s="1" a="1"/>
  <c r="M3838" i="4" s="1"/>
  <c r="O3838" i="4" s="1"/>
  <c r="I3838" i="4"/>
  <c r="P3837" i="4"/>
  <c r="K3837" i="4"/>
  <c r="J3837" i="4"/>
  <c r="I3837" i="4"/>
  <c r="M3837" i="4" s="1" a="1"/>
  <c r="M3837" i="4" s="1"/>
  <c r="O3837" i="4" s="1"/>
  <c r="P3836" i="4"/>
  <c r="K3836" i="4"/>
  <c r="J3836" i="4"/>
  <c r="I3836" i="4"/>
  <c r="M3836" i="4" s="1" a="1"/>
  <c r="M3836" i="4" s="1"/>
  <c r="O3836" i="4" s="1"/>
  <c r="P3835" i="4"/>
  <c r="K3835" i="4"/>
  <c r="J3835" i="4"/>
  <c r="M3835" i="4" s="1" a="1"/>
  <c r="M3835" i="4" s="1"/>
  <c r="O3835" i="4" s="1"/>
  <c r="I3835" i="4"/>
  <c r="P3834" i="4"/>
  <c r="M3834" i="4" a="1"/>
  <c r="M3834" i="4" s="1"/>
  <c r="O3834" i="4" s="1"/>
  <c r="K3834" i="4"/>
  <c r="J3834" i="4"/>
  <c r="I3834" i="4"/>
  <c r="P3833" i="4"/>
  <c r="K3833" i="4"/>
  <c r="J3833" i="4"/>
  <c r="M3833" i="4" s="1" a="1"/>
  <c r="M3833" i="4" s="1"/>
  <c r="O3833" i="4" s="1"/>
  <c r="I3833" i="4"/>
  <c r="P3832" i="4"/>
  <c r="M3832" i="4" a="1"/>
  <c r="M3832" i="4" s="1"/>
  <c r="O3832" i="4" s="1"/>
  <c r="K3832" i="4"/>
  <c r="J3832" i="4"/>
  <c r="I3832" i="4"/>
  <c r="P3831" i="4"/>
  <c r="M3831" i="4" a="1"/>
  <c r="M3831" i="4" s="1"/>
  <c r="O3831" i="4" s="1"/>
  <c r="K3831" i="4"/>
  <c r="J3831" i="4"/>
  <c r="I3831" i="4"/>
  <c r="P3830" i="4"/>
  <c r="K3830" i="4"/>
  <c r="J3830" i="4"/>
  <c r="I3830" i="4"/>
  <c r="M3830" i="4" s="1" a="1"/>
  <c r="M3830" i="4" s="1"/>
  <c r="O3830" i="4" s="1"/>
  <c r="P3829" i="4"/>
  <c r="K3829" i="4"/>
  <c r="J3829" i="4"/>
  <c r="I3829" i="4"/>
  <c r="P3828" i="4"/>
  <c r="K3828" i="4"/>
  <c r="J3828" i="4"/>
  <c r="I3828" i="4"/>
  <c r="P3827" i="4"/>
  <c r="K3827" i="4"/>
  <c r="J3827" i="4"/>
  <c r="I3827" i="4"/>
  <c r="P3826" i="4"/>
  <c r="K3826" i="4"/>
  <c r="J3826" i="4"/>
  <c r="I3826" i="4"/>
  <c r="M3826" i="4" s="1" a="1"/>
  <c r="M3826" i="4" s="1"/>
  <c r="O3826" i="4" s="1"/>
  <c r="P3825" i="4"/>
  <c r="K3825" i="4"/>
  <c r="J3825" i="4"/>
  <c r="I3825" i="4"/>
  <c r="M3825" i="4" s="1" a="1"/>
  <c r="M3825" i="4" s="1"/>
  <c r="O3825" i="4" s="1"/>
  <c r="P3824" i="4"/>
  <c r="K3824" i="4"/>
  <c r="M3824" i="4" s="1" a="1"/>
  <c r="M3824" i="4" s="1"/>
  <c r="O3824" i="4" s="1"/>
  <c r="J3824" i="4"/>
  <c r="I3824" i="4"/>
  <c r="P3823" i="4"/>
  <c r="M3823" i="4" a="1"/>
  <c r="M3823" i="4" s="1"/>
  <c r="O3823" i="4" s="1"/>
  <c r="K3823" i="4"/>
  <c r="J3823" i="4"/>
  <c r="I3823" i="4"/>
  <c r="P3822" i="4"/>
  <c r="K3822" i="4"/>
  <c r="J3822" i="4"/>
  <c r="I3822" i="4"/>
  <c r="M3822" i="4" s="1" a="1"/>
  <c r="M3822" i="4" s="1"/>
  <c r="O3822" i="4" s="1"/>
  <c r="P3821" i="4"/>
  <c r="M3821" i="4" a="1"/>
  <c r="M3821" i="4" s="1"/>
  <c r="O3821" i="4" s="1"/>
  <c r="K3821" i="4"/>
  <c r="J3821" i="4"/>
  <c r="I3821" i="4"/>
  <c r="P3820" i="4"/>
  <c r="K3820" i="4"/>
  <c r="J3820" i="4"/>
  <c r="I3820" i="4"/>
  <c r="M3820" i="4" s="1" a="1"/>
  <c r="M3820" i="4" s="1"/>
  <c r="O3820" i="4" s="1"/>
  <c r="P3819" i="4"/>
  <c r="K3819" i="4"/>
  <c r="J3819" i="4"/>
  <c r="I3819" i="4"/>
  <c r="M3819" i="4" s="1" a="1"/>
  <c r="M3819" i="4" s="1"/>
  <c r="O3819" i="4" s="1"/>
  <c r="P3818" i="4"/>
  <c r="K3818" i="4"/>
  <c r="J3818" i="4"/>
  <c r="M3818" i="4" s="1" a="1"/>
  <c r="M3818" i="4" s="1"/>
  <c r="O3818" i="4" s="1"/>
  <c r="I3818" i="4"/>
  <c r="P3817" i="4"/>
  <c r="K3817" i="4"/>
  <c r="J3817" i="4"/>
  <c r="I3817" i="4"/>
  <c r="M3817" i="4" s="1" a="1"/>
  <c r="M3817" i="4" s="1"/>
  <c r="O3817" i="4" s="1"/>
  <c r="P3816" i="4"/>
  <c r="K3816" i="4"/>
  <c r="J3816" i="4"/>
  <c r="M3816" i="4" s="1" a="1"/>
  <c r="M3816" i="4" s="1"/>
  <c r="O3816" i="4" s="1"/>
  <c r="I3816" i="4"/>
  <c r="P3815" i="4"/>
  <c r="M3815" i="4" a="1"/>
  <c r="M3815" i="4" s="1"/>
  <c r="O3815" i="4" s="1"/>
  <c r="K3815" i="4"/>
  <c r="J3815" i="4"/>
  <c r="I3815" i="4"/>
  <c r="P3814" i="4"/>
  <c r="M3814" i="4"/>
  <c r="O3814" i="4" s="1"/>
  <c r="K3814" i="4"/>
  <c r="M3814" i="4" s="1" a="1"/>
  <c r="J3814" i="4"/>
  <c r="I3814" i="4"/>
  <c r="P3813" i="4"/>
  <c r="K3813" i="4"/>
  <c r="J3813" i="4"/>
  <c r="I3813" i="4"/>
  <c r="M3813" i="4" s="1" a="1"/>
  <c r="M3813" i="4" s="1"/>
  <c r="O3813" i="4" s="1"/>
  <c r="P3812" i="4"/>
  <c r="K3812" i="4"/>
  <c r="J3812" i="4"/>
  <c r="I3812" i="4"/>
  <c r="P3811" i="4"/>
  <c r="K3811" i="4"/>
  <c r="J3811" i="4"/>
  <c r="I3811" i="4"/>
  <c r="M3811" i="4" s="1" a="1"/>
  <c r="M3811" i="4" s="1"/>
  <c r="O3811" i="4" s="1"/>
  <c r="P3810" i="4"/>
  <c r="K3810" i="4"/>
  <c r="J3810" i="4"/>
  <c r="I3810" i="4"/>
  <c r="M3810" i="4" s="1" a="1"/>
  <c r="M3810" i="4" s="1"/>
  <c r="O3810" i="4" s="1"/>
  <c r="P3809" i="4"/>
  <c r="K3809" i="4"/>
  <c r="J3809" i="4"/>
  <c r="I3809" i="4"/>
  <c r="M3809" i="4" s="1" a="1"/>
  <c r="M3809" i="4" s="1"/>
  <c r="O3809" i="4" s="1"/>
  <c r="P3808" i="4"/>
  <c r="K3808" i="4"/>
  <c r="M3808" i="4" s="1" a="1"/>
  <c r="M3808" i="4" s="1"/>
  <c r="O3808" i="4" s="1"/>
  <c r="J3808" i="4"/>
  <c r="I3808" i="4"/>
  <c r="P3807" i="4"/>
  <c r="M3807" i="4" a="1"/>
  <c r="M3807" i="4" s="1"/>
  <c r="O3807" i="4" s="1"/>
  <c r="K3807" i="4"/>
  <c r="J3807" i="4"/>
  <c r="I3807" i="4"/>
  <c r="P3806" i="4"/>
  <c r="K3806" i="4"/>
  <c r="J3806" i="4"/>
  <c r="I3806" i="4"/>
  <c r="M3806" i="4" s="1" a="1"/>
  <c r="M3806" i="4" s="1"/>
  <c r="O3806" i="4" s="1"/>
  <c r="P3805" i="4"/>
  <c r="M3805" i="4" a="1"/>
  <c r="M3805" i="4" s="1"/>
  <c r="O3805" i="4" s="1"/>
  <c r="K3805" i="4"/>
  <c r="J3805" i="4"/>
  <c r="I3805" i="4"/>
  <c r="P3804" i="4"/>
  <c r="K3804" i="4"/>
  <c r="J3804" i="4"/>
  <c r="I3804" i="4"/>
  <c r="M3804" i="4" s="1" a="1"/>
  <c r="M3804" i="4" s="1"/>
  <c r="O3804" i="4" s="1"/>
  <c r="P3803" i="4"/>
  <c r="K3803" i="4"/>
  <c r="J3803" i="4"/>
  <c r="I3803" i="4"/>
  <c r="P3802" i="4"/>
  <c r="K3802" i="4"/>
  <c r="J3802" i="4"/>
  <c r="M3802" i="4" s="1" a="1"/>
  <c r="M3802" i="4" s="1"/>
  <c r="O3802" i="4" s="1"/>
  <c r="I3802" i="4"/>
  <c r="P3801" i="4"/>
  <c r="K3801" i="4"/>
  <c r="J3801" i="4"/>
  <c r="I3801" i="4"/>
  <c r="M3801" i="4" s="1" a="1"/>
  <c r="M3801" i="4" s="1"/>
  <c r="O3801" i="4" s="1"/>
  <c r="P3800" i="4"/>
  <c r="K3800" i="4"/>
  <c r="J3800" i="4"/>
  <c r="M3800" i="4" s="1" a="1"/>
  <c r="M3800" i="4" s="1"/>
  <c r="O3800" i="4" s="1"/>
  <c r="I3800" i="4"/>
  <c r="P3799" i="4"/>
  <c r="M3799" i="4" a="1"/>
  <c r="M3799" i="4" s="1"/>
  <c r="O3799" i="4" s="1"/>
  <c r="K3799" i="4"/>
  <c r="J3799" i="4"/>
  <c r="I3799" i="4"/>
  <c r="P3798" i="4"/>
  <c r="M3798" i="4"/>
  <c r="O3798" i="4" s="1"/>
  <c r="K3798" i="4"/>
  <c r="M3798" i="4" s="1" a="1"/>
  <c r="J3798" i="4"/>
  <c r="I3798" i="4"/>
  <c r="P3797" i="4"/>
  <c r="K3797" i="4"/>
  <c r="J3797" i="4"/>
  <c r="I3797" i="4"/>
  <c r="M3797" i="4" s="1" a="1"/>
  <c r="M3797" i="4" s="1"/>
  <c r="O3797" i="4" s="1"/>
  <c r="P3796" i="4"/>
  <c r="K3796" i="4"/>
  <c r="J3796" i="4"/>
  <c r="I3796" i="4"/>
  <c r="M3796" i="4" s="1" a="1"/>
  <c r="M3796" i="4" s="1"/>
  <c r="O3796" i="4" s="1"/>
  <c r="P3795" i="4"/>
  <c r="K3795" i="4"/>
  <c r="J3795" i="4"/>
  <c r="I3795" i="4"/>
  <c r="M3795" i="4" s="1" a="1"/>
  <c r="M3795" i="4" s="1"/>
  <c r="O3795" i="4" s="1"/>
  <c r="P3794" i="4"/>
  <c r="K3794" i="4"/>
  <c r="J3794" i="4"/>
  <c r="I3794" i="4"/>
  <c r="M3794" i="4" s="1" a="1"/>
  <c r="M3794" i="4" s="1"/>
  <c r="O3794" i="4" s="1"/>
  <c r="P3793" i="4"/>
  <c r="K3793" i="4"/>
  <c r="J3793" i="4"/>
  <c r="I3793" i="4"/>
  <c r="M3793" i="4" s="1" a="1"/>
  <c r="M3793" i="4" s="1"/>
  <c r="O3793" i="4" s="1"/>
  <c r="P3792" i="4"/>
  <c r="K3792" i="4"/>
  <c r="M3792" i="4" s="1" a="1"/>
  <c r="M3792" i="4" s="1"/>
  <c r="O3792" i="4" s="1"/>
  <c r="J3792" i="4"/>
  <c r="I3792" i="4"/>
  <c r="P3791" i="4"/>
  <c r="M3791" i="4" a="1"/>
  <c r="M3791" i="4" s="1"/>
  <c r="O3791" i="4" s="1"/>
  <c r="K3791" i="4"/>
  <c r="J3791" i="4"/>
  <c r="I3791" i="4"/>
  <c r="P3790" i="4"/>
  <c r="K3790" i="4"/>
  <c r="J3790" i="4"/>
  <c r="I3790" i="4"/>
  <c r="M3790" i="4" s="1" a="1"/>
  <c r="M3790" i="4" s="1"/>
  <c r="O3790" i="4" s="1"/>
  <c r="P3789" i="4"/>
  <c r="M3789" i="4" a="1"/>
  <c r="M3789" i="4" s="1"/>
  <c r="O3789" i="4" s="1"/>
  <c r="K3789" i="4"/>
  <c r="J3789" i="4"/>
  <c r="I3789" i="4"/>
  <c r="P3788" i="4"/>
  <c r="K3788" i="4"/>
  <c r="J3788" i="4"/>
  <c r="I3788" i="4"/>
  <c r="M3788" i="4" s="1" a="1"/>
  <c r="M3788" i="4" s="1"/>
  <c r="O3788" i="4" s="1"/>
  <c r="P3787" i="4"/>
  <c r="K3787" i="4"/>
  <c r="J3787" i="4"/>
  <c r="I3787" i="4"/>
  <c r="P3786" i="4"/>
  <c r="K3786" i="4"/>
  <c r="J3786" i="4"/>
  <c r="M3786" i="4" s="1" a="1"/>
  <c r="M3786" i="4" s="1"/>
  <c r="O3786" i="4" s="1"/>
  <c r="I3786" i="4"/>
  <c r="P3785" i="4"/>
  <c r="K3785" i="4"/>
  <c r="J3785" i="4"/>
  <c r="I3785" i="4"/>
  <c r="M3785" i="4" s="1" a="1"/>
  <c r="M3785" i="4" s="1"/>
  <c r="O3785" i="4" s="1"/>
  <c r="P3784" i="4"/>
  <c r="K3784" i="4"/>
  <c r="J3784" i="4"/>
  <c r="M3784" i="4" s="1" a="1"/>
  <c r="M3784" i="4" s="1"/>
  <c r="O3784" i="4" s="1"/>
  <c r="I3784" i="4"/>
  <c r="P3783" i="4"/>
  <c r="M3783" i="4" a="1"/>
  <c r="M3783" i="4" s="1"/>
  <c r="O3783" i="4" s="1"/>
  <c r="K3783" i="4"/>
  <c r="J3783" i="4"/>
  <c r="I3783" i="4"/>
  <c r="P3782" i="4"/>
  <c r="M3782" i="4"/>
  <c r="O3782" i="4" s="1"/>
  <c r="K3782" i="4"/>
  <c r="M3782" i="4" s="1" a="1"/>
  <c r="J3782" i="4"/>
  <c r="I3782" i="4"/>
  <c r="P3781" i="4"/>
  <c r="K3781" i="4"/>
  <c r="J3781" i="4"/>
  <c r="I3781" i="4"/>
  <c r="M3781" i="4" s="1" a="1"/>
  <c r="M3781" i="4" s="1"/>
  <c r="O3781" i="4" s="1"/>
  <c r="P3780" i="4"/>
  <c r="K3780" i="4"/>
  <c r="J3780" i="4"/>
  <c r="I3780" i="4"/>
  <c r="M3780" i="4" s="1" a="1"/>
  <c r="M3780" i="4" s="1"/>
  <c r="O3780" i="4" s="1"/>
  <c r="P3779" i="4"/>
  <c r="K3779" i="4"/>
  <c r="J3779" i="4"/>
  <c r="M3779" i="4" s="1" a="1"/>
  <c r="M3779" i="4" s="1"/>
  <c r="O3779" i="4" s="1"/>
  <c r="I3779" i="4"/>
  <c r="P3778" i="4"/>
  <c r="K3778" i="4"/>
  <c r="J3778" i="4"/>
  <c r="I3778" i="4"/>
  <c r="M3778" i="4" s="1" a="1"/>
  <c r="M3778" i="4" s="1"/>
  <c r="O3778" i="4" s="1"/>
  <c r="P3777" i="4"/>
  <c r="K3777" i="4"/>
  <c r="J3777" i="4"/>
  <c r="I3777" i="4"/>
  <c r="M3777" i="4" s="1" a="1"/>
  <c r="M3777" i="4" s="1"/>
  <c r="O3777" i="4" s="1"/>
  <c r="P3776" i="4"/>
  <c r="K3776" i="4"/>
  <c r="M3776" i="4" s="1" a="1"/>
  <c r="M3776" i="4" s="1"/>
  <c r="O3776" i="4" s="1"/>
  <c r="J3776" i="4"/>
  <c r="I3776" i="4"/>
  <c r="P3775" i="4"/>
  <c r="M3775" i="4" a="1"/>
  <c r="M3775" i="4" s="1"/>
  <c r="O3775" i="4" s="1"/>
  <c r="K3775" i="4"/>
  <c r="J3775" i="4"/>
  <c r="I3775" i="4"/>
  <c r="P3774" i="4"/>
  <c r="K3774" i="4"/>
  <c r="J3774" i="4"/>
  <c r="I3774" i="4"/>
  <c r="M3774" i="4" s="1" a="1"/>
  <c r="M3774" i="4" s="1"/>
  <c r="O3774" i="4" s="1"/>
  <c r="P3773" i="4"/>
  <c r="K3773" i="4"/>
  <c r="J3773" i="4"/>
  <c r="M3773" i="4" s="1" a="1"/>
  <c r="M3773" i="4" s="1"/>
  <c r="O3773" i="4" s="1"/>
  <c r="I3773" i="4"/>
  <c r="P3772" i="4"/>
  <c r="K3772" i="4"/>
  <c r="J3772" i="4"/>
  <c r="I3772" i="4"/>
  <c r="M3772" i="4" s="1" a="1"/>
  <c r="M3772" i="4" s="1"/>
  <c r="O3772" i="4" s="1"/>
  <c r="P3771" i="4"/>
  <c r="K3771" i="4"/>
  <c r="J3771" i="4"/>
  <c r="I3771" i="4"/>
  <c r="M3771" i="4" s="1" a="1"/>
  <c r="M3771" i="4" s="1"/>
  <c r="O3771" i="4" s="1"/>
  <c r="P3770" i="4"/>
  <c r="K3770" i="4"/>
  <c r="J3770" i="4"/>
  <c r="M3770" i="4" s="1" a="1"/>
  <c r="M3770" i="4" s="1"/>
  <c r="O3770" i="4" s="1"/>
  <c r="I3770" i="4"/>
  <c r="P3769" i="4"/>
  <c r="K3769" i="4"/>
  <c r="J3769" i="4"/>
  <c r="I3769" i="4"/>
  <c r="M3769" i="4" s="1" a="1"/>
  <c r="M3769" i="4" s="1"/>
  <c r="O3769" i="4" s="1"/>
  <c r="P3768" i="4"/>
  <c r="K3768" i="4"/>
  <c r="J3768" i="4"/>
  <c r="M3768" i="4" s="1" a="1"/>
  <c r="M3768" i="4" s="1"/>
  <c r="O3768" i="4" s="1"/>
  <c r="I3768" i="4"/>
  <c r="P3767" i="4"/>
  <c r="M3767" i="4" a="1"/>
  <c r="M3767" i="4" s="1"/>
  <c r="O3767" i="4" s="1"/>
  <c r="K3767" i="4"/>
  <c r="J3767" i="4"/>
  <c r="I3767" i="4"/>
  <c r="P3766" i="4"/>
  <c r="M3766" i="4"/>
  <c r="O3766" i="4" s="1"/>
  <c r="K3766" i="4"/>
  <c r="M3766" i="4" s="1" a="1"/>
  <c r="J3766" i="4"/>
  <c r="I3766" i="4"/>
  <c r="P3765" i="4"/>
  <c r="K3765" i="4"/>
  <c r="J3765" i="4"/>
  <c r="I3765" i="4"/>
  <c r="M3765" i="4" s="1" a="1"/>
  <c r="M3765" i="4" s="1"/>
  <c r="O3765" i="4" s="1"/>
  <c r="P3764" i="4"/>
  <c r="K3764" i="4"/>
  <c r="J3764" i="4"/>
  <c r="I3764" i="4"/>
  <c r="P3763" i="4"/>
  <c r="K3763" i="4"/>
  <c r="J3763" i="4"/>
  <c r="I3763" i="4"/>
  <c r="M3763" i="4" s="1" a="1"/>
  <c r="M3763" i="4" s="1"/>
  <c r="O3763" i="4" s="1"/>
  <c r="P3762" i="4"/>
  <c r="K3762" i="4"/>
  <c r="J3762" i="4"/>
  <c r="I3762" i="4"/>
  <c r="M3762" i="4" s="1" a="1"/>
  <c r="M3762" i="4" s="1"/>
  <c r="O3762" i="4" s="1"/>
  <c r="P3761" i="4"/>
  <c r="O3761" i="4"/>
  <c r="K3761" i="4"/>
  <c r="J3761" i="4"/>
  <c r="I3761" i="4"/>
  <c r="M3761" i="4" s="1" a="1"/>
  <c r="M3761" i="4" s="1"/>
  <c r="P3760" i="4"/>
  <c r="K3760" i="4"/>
  <c r="M3760" i="4" s="1" a="1"/>
  <c r="M3760" i="4" s="1"/>
  <c r="O3760" i="4" s="1"/>
  <c r="J3760" i="4"/>
  <c r="I3760" i="4"/>
  <c r="P3759" i="4"/>
  <c r="O3759" i="4"/>
  <c r="M3759" i="4" a="1"/>
  <c r="M3759" i="4" s="1"/>
  <c r="K3759" i="4"/>
  <c r="J3759" i="4"/>
  <c r="I3759" i="4"/>
  <c r="P3758" i="4"/>
  <c r="K3758" i="4"/>
  <c r="J3758" i="4"/>
  <c r="I3758" i="4"/>
  <c r="M3758" i="4" s="1" a="1"/>
  <c r="M3758" i="4" s="1"/>
  <c r="O3758" i="4" s="1"/>
  <c r="P3757" i="4"/>
  <c r="K3757" i="4"/>
  <c r="J3757" i="4"/>
  <c r="M3757" i="4" s="1" a="1"/>
  <c r="M3757" i="4" s="1"/>
  <c r="O3757" i="4" s="1"/>
  <c r="I3757" i="4"/>
  <c r="P3756" i="4"/>
  <c r="K3756" i="4"/>
  <c r="J3756" i="4"/>
  <c r="I3756" i="4"/>
  <c r="M3756" i="4" s="1" a="1"/>
  <c r="M3756" i="4" s="1"/>
  <c r="O3756" i="4" s="1"/>
  <c r="P3755" i="4"/>
  <c r="K3755" i="4"/>
  <c r="J3755" i="4"/>
  <c r="I3755" i="4"/>
  <c r="M3755" i="4" s="1" a="1"/>
  <c r="M3755" i="4" s="1"/>
  <c r="O3755" i="4" s="1"/>
  <c r="P3754" i="4"/>
  <c r="K3754" i="4"/>
  <c r="J3754" i="4"/>
  <c r="M3754" i="4" s="1" a="1"/>
  <c r="M3754" i="4" s="1"/>
  <c r="O3754" i="4" s="1"/>
  <c r="I3754" i="4"/>
  <c r="P3753" i="4"/>
  <c r="K3753" i="4"/>
  <c r="J3753" i="4"/>
  <c r="I3753" i="4"/>
  <c r="M3753" i="4" s="1" a="1"/>
  <c r="M3753" i="4" s="1"/>
  <c r="O3753" i="4" s="1"/>
  <c r="P3752" i="4"/>
  <c r="K3752" i="4"/>
  <c r="J3752" i="4"/>
  <c r="M3752" i="4" s="1" a="1"/>
  <c r="M3752" i="4" s="1"/>
  <c r="O3752" i="4" s="1"/>
  <c r="I3752" i="4"/>
  <c r="P3751" i="4"/>
  <c r="M3751" i="4" a="1"/>
  <c r="M3751" i="4" s="1"/>
  <c r="O3751" i="4" s="1"/>
  <c r="K3751" i="4"/>
  <c r="J3751" i="4"/>
  <c r="I3751" i="4"/>
  <c r="P3750" i="4"/>
  <c r="K3750" i="4"/>
  <c r="M3750" i="4" s="1" a="1"/>
  <c r="M3750" i="4" s="1"/>
  <c r="O3750" i="4" s="1"/>
  <c r="J3750" i="4"/>
  <c r="I3750" i="4"/>
  <c r="P3749" i="4"/>
  <c r="K3749" i="4"/>
  <c r="J3749" i="4"/>
  <c r="I3749" i="4"/>
  <c r="M3749" i="4" s="1" a="1"/>
  <c r="M3749" i="4" s="1"/>
  <c r="O3749" i="4" s="1"/>
  <c r="P3748" i="4"/>
  <c r="K3748" i="4"/>
  <c r="J3748" i="4"/>
  <c r="I3748" i="4"/>
  <c r="P3747" i="4"/>
  <c r="K3747" i="4"/>
  <c r="J3747" i="4"/>
  <c r="M3747" i="4" s="1" a="1"/>
  <c r="M3747" i="4" s="1"/>
  <c r="O3747" i="4" s="1"/>
  <c r="I3747" i="4"/>
  <c r="P3746" i="4"/>
  <c r="K3746" i="4"/>
  <c r="J3746" i="4"/>
  <c r="I3746" i="4"/>
  <c r="M3746" i="4" s="1" a="1"/>
  <c r="M3746" i="4" s="1"/>
  <c r="O3746" i="4" s="1"/>
  <c r="P3745" i="4"/>
  <c r="O3745" i="4"/>
  <c r="K3745" i="4"/>
  <c r="J3745" i="4"/>
  <c r="I3745" i="4"/>
  <c r="M3745" i="4" s="1" a="1"/>
  <c r="M3745" i="4" s="1"/>
  <c r="P3744" i="4"/>
  <c r="K3744" i="4"/>
  <c r="M3744" i="4" s="1" a="1"/>
  <c r="M3744" i="4" s="1"/>
  <c r="O3744" i="4" s="1"/>
  <c r="J3744" i="4"/>
  <c r="I3744" i="4"/>
  <c r="P3743" i="4"/>
  <c r="M3743" i="4" a="1"/>
  <c r="M3743" i="4" s="1"/>
  <c r="O3743" i="4" s="1"/>
  <c r="K3743" i="4"/>
  <c r="J3743" i="4"/>
  <c r="I3743" i="4"/>
  <c r="P3742" i="4"/>
  <c r="K3742" i="4"/>
  <c r="J3742" i="4"/>
  <c r="I3742" i="4"/>
  <c r="M3742" i="4" s="1" a="1"/>
  <c r="M3742" i="4" s="1"/>
  <c r="O3742" i="4" s="1"/>
  <c r="P3741" i="4"/>
  <c r="K3741" i="4"/>
  <c r="J3741" i="4"/>
  <c r="M3741" i="4" s="1" a="1"/>
  <c r="M3741" i="4" s="1"/>
  <c r="O3741" i="4" s="1"/>
  <c r="I3741" i="4"/>
  <c r="P3740" i="4"/>
  <c r="K3740" i="4"/>
  <c r="J3740" i="4"/>
  <c r="I3740" i="4"/>
  <c r="M3740" i="4" s="1" a="1"/>
  <c r="M3740" i="4" s="1"/>
  <c r="O3740" i="4" s="1"/>
  <c r="P3739" i="4"/>
  <c r="K3739" i="4"/>
  <c r="J3739" i="4"/>
  <c r="I3739" i="4"/>
  <c r="P3738" i="4"/>
  <c r="K3738" i="4"/>
  <c r="J3738" i="4"/>
  <c r="M3738" i="4" s="1" a="1"/>
  <c r="M3738" i="4" s="1"/>
  <c r="O3738" i="4" s="1"/>
  <c r="I3738" i="4"/>
  <c r="P3737" i="4"/>
  <c r="K3737" i="4"/>
  <c r="J3737" i="4"/>
  <c r="I3737" i="4"/>
  <c r="M3737" i="4" s="1" a="1"/>
  <c r="M3737" i="4" s="1"/>
  <c r="O3737" i="4" s="1"/>
  <c r="P3736" i="4"/>
  <c r="K3736" i="4"/>
  <c r="J3736" i="4"/>
  <c r="M3736" i="4" s="1" a="1"/>
  <c r="M3736" i="4" s="1"/>
  <c r="O3736" i="4" s="1"/>
  <c r="I3736" i="4"/>
  <c r="P3735" i="4"/>
  <c r="M3735" i="4" a="1"/>
  <c r="M3735" i="4" s="1"/>
  <c r="O3735" i="4" s="1"/>
  <c r="K3735" i="4"/>
  <c r="J3735" i="4"/>
  <c r="I3735" i="4"/>
  <c r="P3734" i="4"/>
  <c r="K3734" i="4"/>
  <c r="M3734" i="4" s="1" a="1"/>
  <c r="M3734" i="4" s="1"/>
  <c r="O3734" i="4" s="1"/>
  <c r="J3734" i="4"/>
  <c r="I3734" i="4"/>
  <c r="P3733" i="4"/>
  <c r="K3733" i="4"/>
  <c r="J3733" i="4"/>
  <c r="I3733" i="4"/>
  <c r="M3733" i="4" s="1" a="1"/>
  <c r="M3733" i="4" s="1"/>
  <c r="O3733" i="4" s="1"/>
  <c r="P3732" i="4"/>
  <c r="K3732" i="4"/>
  <c r="J3732" i="4"/>
  <c r="I3732" i="4"/>
  <c r="M3732" i="4" s="1" a="1"/>
  <c r="M3732" i="4" s="1"/>
  <c r="O3732" i="4" s="1"/>
  <c r="P3731" i="4"/>
  <c r="K3731" i="4"/>
  <c r="J3731" i="4"/>
  <c r="M3731" i="4" s="1" a="1"/>
  <c r="M3731" i="4" s="1"/>
  <c r="O3731" i="4" s="1"/>
  <c r="I3731" i="4"/>
  <c r="P3730" i="4"/>
  <c r="K3730" i="4"/>
  <c r="J3730" i="4"/>
  <c r="I3730" i="4"/>
  <c r="M3730" i="4" s="1" a="1"/>
  <c r="M3730" i="4" s="1"/>
  <c r="O3730" i="4" s="1"/>
  <c r="P3729" i="4"/>
  <c r="O3729" i="4"/>
  <c r="K3729" i="4"/>
  <c r="J3729" i="4"/>
  <c r="I3729" i="4"/>
  <c r="M3729" i="4" s="1" a="1"/>
  <c r="M3729" i="4" s="1"/>
  <c r="P3728" i="4"/>
  <c r="K3728" i="4"/>
  <c r="M3728" i="4" s="1" a="1"/>
  <c r="M3728" i="4" s="1"/>
  <c r="O3728" i="4" s="1"/>
  <c r="J3728" i="4"/>
  <c r="I3728" i="4"/>
  <c r="P3727" i="4"/>
  <c r="M3727" i="4" a="1"/>
  <c r="M3727" i="4" s="1"/>
  <c r="O3727" i="4" s="1"/>
  <c r="K3727" i="4"/>
  <c r="J3727" i="4"/>
  <c r="I3727" i="4"/>
  <c r="P3726" i="4"/>
  <c r="K3726" i="4"/>
  <c r="J3726" i="4"/>
  <c r="I3726" i="4"/>
  <c r="M3726" i="4" s="1" a="1"/>
  <c r="M3726" i="4" s="1"/>
  <c r="O3726" i="4" s="1"/>
  <c r="P3725" i="4"/>
  <c r="K3725" i="4"/>
  <c r="M3725" i="4" s="1" a="1"/>
  <c r="M3725" i="4" s="1"/>
  <c r="O3725" i="4" s="1"/>
  <c r="J3725" i="4"/>
  <c r="I3725" i="4"/>
  <c r="P3724" i="4"/>
  <c r="K3724" i="4"/>
  <c r="J3724" i="4"/>
  <c r="I3724" i="4"/>
  <c r="M3724" i="4" s="1" a="1"/>
  <c r="M3724" i="4" s="1"/>
  <c r="O3724" i="4" s="1"/>
  <c r="P3723" i="4"/>
  <c r="K3723" i="4"/>
  <c r="J3723" i="4"/>
  <c r="I3723" i="4"/>
  <c r="M3723" i="4" s="1" a="1"/>
  <c r="M3723" i="4" s="1"/>
  <c r="O3723" i="4" s="1"/>
  <c r="P3722" i="4"/>
  <c r="K3722" i="4"/>
  <c r="J3722" i="4"/>
  <c r="M3722" i="4" s="1" a="1"/>
  <c r="M3722" i="4" s="1"/>
  <c r="O3722" i="4" s="1"/>
  <c r="I3722" i="4"/>
  <c r="P3721" i="4"/>
  <c r="O3721" i="4"/>
  <c r="K3721" i="4"/>
  <c r="J3721" i="4"/>
  <c r="I3721" i="4"/>
  <c r="M3721" i="4" s="1" a="1"/>
  <c r="M3721" i="4" s="1"/>
  <c r="P3720" i="4"/>
  <c r="K3720" i="4"/>
  <c r="J3720" i="4"/>
  <c r="M3720" i="4" s="1" a="1"/>
  <c r="M3720" i="4" s="1"/>
  <c r="O3720" i="4" s="1"/>
  <c r="I3720" i="4"/>
  <c r="P3719" i="4"/>
  <c r="M3719" i="4" a="1"/>
  <c r="M3719" i="4" s="1"/>
  <c r="O3719" i="4" s="1"/>
  <c r="K3719" i="4"/>
  <c r="J3719" i="4"/>
  <c r="I3719" i="4"/>
  <c r="P3718" i="4"/>
  <c r="O3718" i="4"/>
  <c r="K3718" i="4"/>
  <c r="M3718" i="4" s="1" a="1"/>
  <c r="M3718" i="4" s="1"/>
  <c r="J3718" i="4"/>
  <c r="I3718" i="4"/>
  <c r="P3717" i="4"/>
  <c r="K3717" i="4"/>
  <c r="J3717" i="4"/>
  <c r="I3717" i="4"/>
  <c r="P3716" i="4"/>
  <c r="K3716" i="4"/>
  <c r="J3716" i="4"/>
  <c r="I3716" i="4"/>
  <c r="M3716" i="4" s="1" a="1"/>
  <c r="M3716" i="4" s="1"/>
  <c r="O3716" i="4" s="1"/>
  <c r="P3715" i="4"/>
  <c r="K3715" i="4"/>
  <c r="J3715" i="4"/>
  <c r="I3715" i="4"/>
  <c r="M3715" i="4" s="1" a="1"/>
  <c r="M3715" i="4" s="1"/>
  <c r="O3715" i="4" s="1"/>
  <c r="P3714" i="4"/>
  <c r="K3714" i="4"/>
  <c r="J3714" i="4"/>
  <c r="I3714" i="4"/>
  <c r="P3713" i="4"/>
  <c r="O3713" i="4"/>
  <c r="K3713" i="4"/>
  <c r="J3713" i="4"/>
  <c r="I3713" i="4"/>
  <c r="M3713" i="4" s="1" a="1"/>
  <c r="M3713" i="4" s="1"/>
  <c r="P3712" i="4"/>
  <c r="M3712" i="4"/>
  <c r="O3712" i="4" s="1"/>
  <c r="K3712" i="4"/>
  <c r="J3712" i="4"/>
  <c r="M3712" i="4" s="1" a="1"/>
  <c r="I3712" i="4"/>
  <c r="P3711" i="4"/>
  <c r="M3711" i="4"/>
  <c r="O3711" i="4" s="1"/>
  <c r="M3711" i="4" a="1"/>
  <c r="K3711" i="4"/>
  <c r="J3711" i="4"/>
  <c r="I3711" i="4"/>
  <c r="P3710" i="4"/>
  <c r="K3710" i="4"/>
  <c r="J3710" i="4"/>
  <c r="I3710" i="4"/>
  <c r="P3709" i="4"/>
  <c r="K3709" i="4"/>
  <c r="J3709" i="4"/>
  <c r="M3709" i="4" s="1" a="1"/>
  <c r="M3709" i="4" s="1"/>
  <c r="O3709" i="4" s="1"/>
  <c r="I3709" i="4"/>
  <c r="P3708" i="4"/>
  <c r="K3708" i="4"/>
  <c r="J3708" i="4"/>
  <c r="I3708" i="4"/>
  <c r="M3708" i="4" s="1" a="1"/>
  <c r="M3708" i="4" s="1"/>
  <c r="O3708" i="4" s="1"/>
  <c r="P3707" i="4"/>
  <c r="K3707" i="4"/>
  <c r="J3707" i="4"/>
  <c r="I3707" i="4"/>
  <c r="P3706" i="4"/>
  <c r="K3706" i="4"/>
  <c r="J3706" i="4"/>
  <c r="M3706" i="4" s="1" a="1"/>
  <c r="M3706" i="4" s="1"/>
  <c r="O3706" i="4" s="1"/>
  <c r="I3706" i="4"/>
  <c r="P3705" i="4"/>
  <c r="O3705" i="4"/>
  <c r="K3705" i="4"/>
  <c r="J3705" i="4"/>
  <c r="I3705" i="4"/>
  <c r="M3705" i="4" s="1" a="1"/>
  <c r="M3705" i="4" s="1"/>
  <c r="P3704" i="4"/>
  <c r="M3704" i="4"/>
  <c r="O3704" i="4" s="1"/>
  <c r="K3704" i="4"/>
  <c r="J3704" i="4"/>
  <c r="M3704" i="4" s="1" a="1"/>
  <c r="I3704" i="4"/>
  <c r="P3703" i="4"/>
  <c r="M3703" i="4" a="1"/>
  <c r="M3703" i="4" s="1"/>
  <c r="O3703" i="4" s="1"/>
  <c r="K3703" i="4"/>
  <c r="J3703" i="4"/>
  <c r="I3703" i="4"/>
  <c r="P3702" i="4"/>
  <c r="M3702" i="4"/>
  <c r="O3702" i="4" s="1"/>
  <c r="M3702" i="4" a="1"/>
  <c r="K3702" i="4"/>
  <c r="J3702" i="4"/>
  <c r="I3702" i="4"/>
  <c r="P3701" i="4"/>
  <c r="K3701" i="4"/>
  <c r="J3701" i="4"/>
  <c r="I3701" i="4"/>
  <c r="M3701" i="4" s="1" a="1"/>
  <c r="M3701" i="4" s="1"/>
  <c r="O3701" i="4" s="1"/>
  <c r="P3700" i="4"/>
  <c r="M3700" i="4" a="1"/>
  <c r="M3700" i="4" s="1"/>
  <c r="O3700" i="4" s="1"/>
  <c r="K3700" i="4"/>
  <c r="J3700" i="4"/>
  <c r="I3700" i="4"/>
  <c r="P3699" i="4"/>
  <c r="K3699" i="4"/>
  <c r="J3699" i="4"/>
  <c r="I3699" i="4"/>
  <c r="M3699" i="4" s="1" a="1"/>
  <c r="M3699" i="4" s="1"/>
  <c r="O3699" i="4" s="1"/>
  <c r="P3698" i="4"/>
  <c r="K3698" i="4"/>
  <c r="J3698" i="4"/>
  <c r="I3698" i="4"/>
  <c r="M3698" i="4" s="1" a="1"/>
  <c r="M3698" i="4" s="1"/>
  <c r="O3698" i="4" s="1"/>
  <c r="P3697" i="4"/>
  <c r="K3697" i="4"/>
  <c r="J3697" i="4"/>
  <c r="I3697" i="4"/>
  <c r="M3697" i="4" s="1" a="1"/>
  <c r="M3697" i="4" s="1"/>
  <c r="O3697" i="4" s="1"/>
  <c r="P3696" i="4"/>
  <c r="K3696" i="4"/>
  <c r="J3696" i="4"/>
  <c r="M3696" i="4" s="1" a="1"/>
  <c r="M3696" i="4" s="1"/>
  <c r="O3696" i="4" s="1"/>
  <c r="I3696" i="4"/>
  <c r="P3695" i="4"/>
  <c r="M3695" i="4" a="1"/>
  <c r="M3695" i="4" s="1"/>
  <c r="O3695" i="4" s="1"/>
  <c r="K3695" i="4"/>
  <c r="J3695" i="4"/>
  <c r="I3695" i="4"/>
  <c r="P3694" i="4"/>
  <c r="K3694" i="4"/>
  <c r="J3694" i="4"/>
  <c r="I3694" i="4"/>
  <c r="M3694" i="4" s="1" a="1"/>
  <c r="M3694" i="4" s="1"/>
  <c r="O3694" i="4" s="1"/>
  <c r="P3693" i="4"/>
  <c r="K3693" i="4"/>
  <c r="M3693" i="4" s="1" a="1"/>
  <c r="M3693" i="4" s="1"/>
  <c r="O3693" i="4" s="1"/>
  <c r="J3693" i="4"/>
  <c r="I3693" i="4"/>
  <c r="P3692" i="4"/>
  <c r="K3692" i="4"/>
  <c r="J3692" i="4"/>
  <c r="I3692" i="4"/>
  <c r="M3692" i="4" s="1" a="1"/>
  <c r="M3692" i="4" s="1"/>
  <c r="O3692" i="4" s="1"/>
  <c r="P3691" i="4"/>
  <c r="K3691" i="4"/>
  <c r="J3691" i="4"/>
  <c r="I3691" i="4"/>
  <c r="M3691" i="4" s="1" a="1"/>
  <c r="M3691" i="4" s="1"/>
  <c r="O3691" i="4" s="1"/>
  <c r="P3690" i="4"/>
  <c r="K3690" i="4"/>
  <c r="J3690" i="4"/>
  <c r="M3690" i="4" s="1" a="1"/>
  <c r="M3690" i="4" s="1"/>
  <c r="O3690" i="4" s="1"/>
  <c r="I3690" i="4"/>
  <c r="P3689" i="4"/>
  <c r="O3689" i="4"/>
  <c r="K3689" i="4"/>
  <c r="J3689" i="4"/>
  <c r="I3689" i="4"/>
  <c r="M3689" i="4" s="1" a="1"/>
  <c r="M3689" i="4" s="1"/>
  <c r="P3688" i="4"/>
  <c r="K3688" i="4"/>
  <c r="J3688" i="4"/>
  <c r="M3688" i="4" s="1" a="1"/>
  <c r="M3688" i="4" s="1"/>
  <c r="O3688" i="4" s="1"/>
  <c r="I3688" i="4"/>
  <c r="P3687" i="4"/>
  <c r="M3687" i="4" a="1"/>
  <c r="M3687" i="4" s="1"/>
  <c r="O3687" i="4" s="1"/>
  <c r="K3687" i="4"/>
  <c r="J3687" i="4"/>
  <c r="I3687" i="4"/>
  <c r="P3686" i="4"/>
  <c r="M3686" i="4" a="1"/>
  <c r="M3686" i="4" s="1"/>
  <c r="O3686" i="4" s="1"/>
  <c r="K3686" i="4"/>
  <c r="J3686" i="4"/>
  <c r="I3686" i="4"/>
  <c r="P3685" i="4"/>
  <c r="K3685" i="4"/>
  <c r="J3685" i="4"/>
  <c r="I3685" i="4"/>
  <c r="P3684" i="4"/>
  <c r="K3684" i="4"/>
  <c r="M3684" i="4" s="1" a="1"/>
  <c r="M3684" i="4" s="1"/>
  <c r="O3684" i="4" s="1"/>
  <c r="J3684" i="4"/>
  <c r="I3684" i="4"/>
  <c r="P3683" i="4"/>
  <c r="K3683" i="4"/>
  <c r="J3683" i="4"/>
  <c r="I3683" i="4"/>
  <c r="M3683" i="4" s="1" a="1"/>
  <c r="M3683" i="4" s="1"/>
  <c r="O3683" i="4" s="1"/>
  <c r="P3682" i="4"/>
  <c r="K3682" i="4"/>
  <c r="J3682" i="4"/>
  <c r="I3682" i="4"/>
  <c r="P3681" i="4"/>
  <c r="K3681" i="4"/>
  <c r="J3681" i="4"/>
  <c r="I3681" i="4"/>
  <c r="M3681" i="4" s="1" a="1"/>
  <c r="M3681" i="4" s="1"/>
  <c r="O3681" i="4" s="1"/>
  <c r="P3680" i="4"/>
  <c r="K3680" i="4"/>
  <c r="J3680" i="4"/>
  <c r="M3680" i="4" s="1" a="1"/>
  <c r="M3680" i="4" s="1"/>
  <c r="O3680" i="4" s="1"/>
  <c r="I3680" i="4"/>
  <c r="P3679" i="4"/>
  <c r="O3679" i="4"/>
  <c r="M3679" i="4"/>
  <c r="M3679" i="4" a="1"/>
  <c r="K3679" i="4"/>
  <c r="J3679" i="4"/>
  <c r="I3679" i="4"/>
  <c r="P3678" i="4"/>
  <c r="K3678" i="4"/>
  <c r="J3678" i="4"/>
  <c r="I3678" i="4"/>
  <c r="M3678" i="4" s="1" a="1"/>
  <c r="M3678" i="4" s="1"/>
  <c r="O3678" i="4" s="1"/>
  <c r="P3677" i="4"/>
  <c r="K3677" i="4"/>
  <c r="J3677" i="4"/>
  <c r="M3677" i="4" s="1" a="1"/>
  <c r="M3677" i="4" s="1"/>
  <c r="O3677" i="4" s="1"/>
  <c r="I3677" i="4"/>
  <c r="P3676" i="4"/>
  <c r="K3676" i="4"/>
  <c r="J3676" i="4"/>
  <c r="I3676" i="4"/>
  <c r="M3676" i="4" s="1" a="1"/>
  <c r="M3676" i="4" s="1"/>
  <c r="O3676" i="4" s="1"/>
  <c r="P3675" i="4"/>
  <c r="K3675" i="4"/>
  <c r="J3675" i="4"/>
  <c r="I3675" i="4"/>
  <c r="P3674" i="4"/>
  <c r="K3674" i="4"/>
  <c r="J3674" i="4"/>
  <c r="M3674" i="4" s="1" a="1"/>
  <c r="M3674" i="4" s="1"/>
  <c r="O3674" i="4" s="1"/>
  <c r="I3674" i="4"/>
  <c r="P3673" i="4"/>
  <c r="K3673" i="4"/>
  <c r="J3673" i="4"/>
  <c r="I3673" i="4"/>
  <c r="M3673" i="4" s="1" a="1"/>
  <c r="M3673" i="4" s="1"/>
  <c r="O3673" i="4" s="1"/>
  <c r="P3672" i="4"/>
  <c r="M3672" i="4"/>
  <c r="O3672" i="4" s="1"/>
  <c r="K3672" i="4"/>
  <c r="J3672" i="4"/>
  <c r="M3672" i="4" s="1" a="1"/>
  <c r="I3672" i="4"/>
  <c r="P3671" i="4"/>
  <c r="M3671" i="4" a="1"/>
  <c r="M3671" i="4" s="1"/>
  <c r="O3671" i="4" s="1"/>
  <c r="K3671" i="4"/>
  <c r="J3671" i="4"/>
  <c r="I3671" i="4"/>
  <c r="P3670" i="4"/>
  <c r="K3670" i="4"/>
  <c r="M3670" i="4" s="1" a="1"/>
  <c r="M3670" i="4" s="1"/>
  <c r="O3670" i="4" s="1"/>
  <c r="J3670" i="4"/>
  <c r="I3670" i="4"/>
  <c r="P3669" i="4"/>
  <c r="K3669" i="4"/>
  <c r="J3669" i="4"/>
  <c r="I3669" i="4"/>
  <c r="P3668" i="4"/>
  <c r="K3668" i="4"/>
  <c r="J3668" i="4"/>
  <c r="M3668" i="4" s="1" a="1"/>
  <c r="M3668" i="4" s="1"/>
  <c r="O3668" i="4" s="1"/>
  <c r="I3668" i="4"/>
  <c r="P3667" i="4"/>
  <c r="K3667" i="4"/>
  <c r="J3667" i="4"/>
  <c r="I3667" i="4"/>
  <c r="M3667" i="4" s="1" a="1"/>
  <c r="M3667" i="4" s="1"/>
  <c r="O3667" i="4" s="1"/>
  <c r="P3666" i="4"/>
  <c r="K3666" i="4"/>
  <c r="J3666" i="4"/>
  <c r="I3666" i="4"/>
  <c r="M3666" i="4" s="1" a="1"/>
  <c r="M3666" i="4" s="1"/>
  <c r="O3666" i="4" s="1"/>
  <c r="P3665" i="4"/>
  <c r="O3665" i="4"/>
  <c r="K3665" i="4"/>
  <c r="J3665" i="4"/>
  <c r="I3665" i="4"/>
  <c r="M3665" i="4" s="1" a="1"/>
  <c r="M3665" i="4" s="1"/>
  <c r="P3664" i="4"/>
  <c r="M3664" i="4"/>
  <c r="O3664" i="4" s="1"/>
  <c r="K3664" i="4"/>
  <c r="J3664" i="4"/>
  <c r="M3664" i="4" s="1" a="1"/>
  <c r="I3664" i="4"/>
  <c r="P3663" i="4"/>
  <c r="M3663" i="4"/>
  <c r="O3663" i="4" s="1"/>
  <c r="M3663" i="4" a="1"/>
  <c r="K3663" i="4"/>
  <c r="J3663" i="4"/>
  <c r="I3663" i="4"/>
  <c r="P3662" i="4"/>
  <c r="K3662" i="4"/>
  <c r="J3662" i="4"/>
  <c r="I3662" i="4"/>
  <c r="M3662" i="4" s="1" a="1"/>
  <c r="M3662" i="4" s="1"/>
  <c r="O3662" i="4" s="1"/>
  <c r="P3661" i="4"/>
  <c r="K3661" i="4"/>
  <c r="J3661" i="4"/>
  <c r="M3661" i="4" s="1" a="1"/>
  <c r="M3661" i="4" s="1"/>
  <c r="O3661" i="4" s="1"/>
  <c r="I3661" i="4"/>
  <c r="P3660" i="4"/>
  <c r="K3660" i="4"/>
  <c r="J3660" i="4"/>
  <c r="I3660" i="4"/>
  <c r="M3660" i="4" s="1" a="1"/>
  <c r="M3660" i="4" s="1"/>
  <c r="O3660" i="4" s="1"/>
  <c r="P3659" i="4"/>
  <c r="K3659" i="4"/>
  <c r="J3659" i="4"/>
  <c r="I3659" i="4"/>
  <c r="P3658" i="4"/>
  <c r="K3658" i="4"/>
  <c r="J3658" i="4"/>
  <c r="M3658" i="4" s="1" a="1"/>
  <c r="M3658" i="4" s="1"/>
  <c r="O3658" i="4" s="1"/>
  <c r="I3658" i="4"/>
  <c r="P3657" i="4"/>
  <c r="M3657" i="4" a="1"/>
  <c r="M3657" i="4" s="1"/>
  <c r="O3657" i="4" s="1"/>
  <c r="K3657" i="4"/>
  <c r="J3657" i="4"/>
  <c r="I3657" i="4"/>
  <c r="P3656" i="4"/>
  <c r="K3656" i="4"/>
  <c r="J3656" i="4"/>
  <c r="M3656" i="4" s="1" a="1"/>
  <c r="M3656" i="4" s="1"/>
  <c r="O3656" i="4" s="1"/>
  <c r="I3656" i="4"/>
  <c r="P3655" i="4"/>
  <c r="M3655" i="4" a="1"/>
  <c r="M3655" i="4" s="1"/>
  <c r="O3655" i="4" s="1"/>
  <c r="K3655" i="4"/>
  <c r="J3655" i="4"/>
  <c r="I3655" i="4"/>
  <c r="P3654" i="4"/>
  <c r="M3654" i="4" a="1"/>
  <c r="M3654" i="4" s="1"/>
  <c r="O3654" i="4" s="1"/>
  <c r="K3654" i="4"/>
  <c r="J3654" i="4"/>
  <c r="I3654" i="4"/>
  <c r="P3653" i="4"/>
  <c r="K3653" i="4"/>
  <c r="J3653" i="4"/>
  <c r="I3653" i="4"/>
  <c r="P3652" i="4"/>
  <c r="K3652" i="4"/>
  <c r="M3652" i="4" s="1" a="1"/>
  <c r="M3652" i="4" s="1"/>
  <c r="O3652" i="4" s="1"/>
  <c r="J3652" i="4"/>
  <c r="I3652" i="4"/>
  <c r="P3651" i="4"/>
  <c r="K3651" i="4"/>
  <c r="J3651" i="4"/>
  <c r="M3651" i="4" s="1" a="1"/>
  <c r="M3651" i="4" s="1"/>
  <c r="O3651" i="4" s="1"/>
  <c r="I3651" i="4"/>
  <c r="P3650" i="4"/>
  <c r="K3650" i="4"/>
  <c r="J3650" i="4"/>
  <c r="I3650" i="4"/>
  <c r="M3650" i="4" s="1" a="1"/>
  <c r="M3650" i="4" s="1"/>
  <c r="O3650" i="4" s="1"/>
  <c r="P3649" i="4"/>
  <c r="K3649" i="4"/>
  <c r="J3649" i="4"/>
  <c r="I3649" i="4"/>
  <c r="M3649" i="4" s="1" a="1"/>
  <c r="M3649" i="4" s="1"/>
  <c r="O3649" i="4" s="1"/>
  <c r="P3648" i="4"/>
  <c r="K3648" i="4"/>
  <c r="J3648" i="4"/>
  <c r="M3648" i="4" s="1" a="1"/>
  <c r="M3648" i="4" s="1"/>
  <c r="O3648" i="4" s="1"/>
  <c r="I3648" i="4"/>
  <c r="P3647" i="4"/>
  <c r="M3647" i="4" a="1"/>
  <c r="M3647" i="4" s="1"/>
  <c r="O3647" i="4" s="1"/>
  <c r="K3647" i="4"/>
  <c r="J3647" i="4"/>
  <c r="I3647" i="4"/>
  <c r="P3646" i="4"/>
  <c r="K3646" i="4"/>
  <c r="J3646" i="4"/>
  <c r="I3646" i="4"/>
  <c r="M3646" i="4" s="1" a="1"/>
  <c r="M3646" i="4" s="1"/>
  <c r="O3646" i="4" s="1"/>
  <c r="P3645" i="4"/>
  <c r="K3645" i="4"/>
  <c r="M3645" i="4" s="1" a="1"/>
  <c r="M3645" i="4" s="1"/>
  <c r="O3645" i="4" s="1"/>
  <c r="J3645" i="4"/>
  <c r="I3645" i="4"/>
  <c r="P3644" i="4"/>
  <c r="K3644" i="4"/>
  <c r="J3644" i="4"/>
  <c r="I3644" i="4"/>
  <c r="M3644" i="4" s="1" a="1"/>
  <c r="M3644" i="4" s="1"/>
  <c r="O3644" i="4" s="1"/>
  <c r="P3643" i="4"/>
  <c r="K3643" i="4"/>
  <c r="J3643" i="4"/>
  <c r="I3643" i="4"/>
  <c r="P3642" i="4"/>
  <c r="K3642" i="4"/>
  <c r="J3642" i="4"/>
  <c r="M3642" i="4" s="1" a="1"/>
  <c r="M3642" i="4" s="1"/>
  <c r="O3642" i="4" s="1"/>
  <c r="I3642" i="4"/>
  <c r="P3641" i="4"/>
  <c r="M3641" i="4" a="1"/>
  <c r="M3641" i="4" s="1"/>
  <c r="O3641" i="4" s="1"/>
  <c r="K3641" i="4"/>
  <c r="J3641" i="4"/>
  <c r="I3641" i="4"/>
  <c r="P3640" i="4"/>
  <c r="K3640" i="4"/>
  <c r="J3640" i="4"/>
  <c r="M3640" i="4" s="1" a="1"/>
  <c r="M3640" i="4" s="1"/>
  <c r="O3640" i="4" s="1"/>
  <c r="I3640" i="4"/>
  <c r="P3639" i="4"/>
  <c r="K3639" i="4"/>
  <c r="J3639" i="4"/>
  <c r="M3639" i="4" s="1" a="1"/>
  <c r="M3639" i="4" s="1"/>
  <c r="O3639" i="4" s="1"/>
  <c r="I3639" i="4"/>
  <c r="P3638" i="4"/>
  <c r="K3638" i="4"/>
  <c r="M3638" i="4" s="1" a="1"/>
  <c r="M3638" i="4" s="1"/>
  <c r="O3638" i="4" s="1"/>
  <c r="J3638" i="4"/>
  <c r="I3638" i="4"/>
  <c r="P3637" i="4"/>
  <c r="K3637" i="4"/>
  <c r="J3637" i="4"/>
  <c r="I3637" i="4"/>
  <c r="P3636" i="4"/>
  <c r="K3636" i="4"/>
  <c r="J3636" i="4"/>
  <c r="I3636" i="4"/>
  <c r="M3636" i="4" s="1" a="1"/>
  <c r="M3636" i="4" s="1"/>
  <c r="O3636" i="4" s="1"/>
  <c r="P3635" i="4"/>
  <c r="K3635" i="4"/>
  <c r="J3635" i="4"/>
  <c r="M3635" i="4" s="1" a="1"/>
  <c r="M3635" i="4" s="1"/>
  <c r="O3635" i="4" s="1"/>
  <c r="I3635" i="4"/>
  <c r="P3634" i="4"/>
  <c r="K3634" i="4"/>
  <c r="J3634" i="4"/>
  <c r="I3634" i="4"/>
  <c r="P3633" i="4"/>
  <c r="O3633" i="4"/>
  <c r="K3633" i="4"/>
  <c r="J3633" i="4"/>
  <c r="I3633" i="4"/>
  <c r="M3633" i="4" s="1" a="1"/>
  <c r="M3633" i="4" s="1"/>
  <c r="P3632" i="4"/>
  <c r="K3632" i="4"/>
  <c r="J3632" i="4"/>
  <c r="M3632" i="4" s="1" a="1"/>
  <c r="M3632" i="4" s="1"/>
  <c r="O3632" i="4" s="1"/>
  <c r="I3632" i="4"/>
  <c r="P3631" i="4"/>
  <c r="M3631" i="4" a="1"/>
  <c r="M3631" i="4" s="1"/>
  <c r="O3631" i="4" s="1"/>
  <c r="K3631" i="4"/>
  <c r="J3631" i="4"/>
  <c r="I3631" i="4"/>
  <c r="P3630" i="4"/>
  <c r="O3630" i="4"/>
  <c r="K3630" i="4"/>
  <c r="J3630" i="4"/>
  <c r="I3630" i="4"/>
  <c r="M3630" i="4" s="1" a="1"/>
  <c r="M3630" i="4" s="1"/>
  <c r="P3629" i="4"/>
  <c r="M3629" i="4" a="1"/>
  <c r="M3629" i="4" s="1"/>
  <c r="O3629" i="4" s="1"/>
  <c r="K3629" i="4"/>
  <c r="J3629" i="4"/>
  <c r="I3629" i="4"/>
  <c r="P3628" i="4"/>
  <c r="K3628" i="4"/>
  <c r="J3628" i="4"/>
  <c r="I3628" i="4"/>
  <c r="M3628" i="4" s="1" a="1"/>
  <c r="M3628" i="4" s="1"/>
  <c r="O3628" i="4" s="1"/>
  <c r="P3627" i="4"/>
  <c r="K3627" i="4"/>
  <c r="J3627" i="4"/>
  <c r="I3627" i="4"/>
  <c r="M3627" i="4" s="1" a="1"/>
  <c r="M3627" i="4" s="1"/>
  <c r="O3627" i="4" s="1"/>
  <c r="P3626" i="4"/>
  <c r="M3626" i="4" a="1"/>
  <c r="M3626" i="4" s="1"/>
  <c r="O3626" i="4" s="1"/>
  <c r="K3626" i="4"/>
  <c r="J3626" i="4"/>
  <c r="I3626" i="4"/>
  <c r="P3625" i="4"/>
  <c r="K3625" i="4"/>
  <c r="J3625" i="4"/>
  <c r="I3625" i="4"/>
  <c r="M3625" i="4" s="1" a="1"/>
  <c r="M3625" i="4" s="1"/>
  <c r="O3625" i="4" s="1"/>
  <c r="P3624" i="4"/>
  <c r="M3624" i="4"/>
  <c r="O3624" i="4" s="1"/>
  <c r="K3624" i="4"/>
  <c r="J3624" i="4"/>
  <c r="M3624" i="4" s="1" a="1"/>
  <c r="I3624" i="4"/>
  <c r="P3623" i="4"/>
  <c r="K3623" i="4"/>
  <c r="J3623" i="4"/>
  <c r="I3623" i="4"/>
  <c r="M3623" i="4" s="1" a="1"/>
  <c r="M3623" i="4" s="1"/>
  <c r="O3623" i="4" s="1"/>
  <c r="P3622" i="4"/>
  <c r="K3622" i="4"/>
  <c r="M3622" i="4" s="1" a="1"/>
  <c r="M3622" i="4" s="1"/>
  <c r="O3622" i="4" s="1"/>
  <c r="J3622" i="4"/>
  <c r="I3622" i="4"/>
  <c r="P3621" i="4"/>
  <c r="K3621" i="4"/>
  <c r="J3621" i="4"/>
  <c r="I3621" i="4"/>
  <c r="P3620" i="4"/>
  <c r="K3620" i="4"/>
  <c r="J3620" i="4"/>
  <c r="M3620" i="4" s="1" a="1"/>
  <c r="M3620" i="4" s="1"/>
  <c r="O3620" i="4" s="1"/>
  <c r="I3620" i="4"/>
  <c r="P3619" i="4"/>
  <c r="K3619" i="4"/>
  <c r="J3619" i="4"/>
  <c r="I3619" i="4"/>
  <c r="P3618" i="4"/>
  <c r="M3618" i="4" a="1"/>
  <c r="M3618" i="4" s="1"/>
  <c r="O3618" i="4" s="1"/>
  <c r="K3618" i="4"/>
  <c r="J3618" i="4"/>
  <c r="I3618" i="4"/>
  <c r="P3617" i="4"/>
  <c r="K3617" i="4"/>
  <c r="J3617" i="4"/>
  <c r="I3617" i="4"/>
  <c r="M3617" i="4" s="1" a="1"/>
  <c r="M3617" i="4" s="1"/>
  <c r="O3617" i="4" s="1"/>
  <c r="P3616" i="4"/>
  <c r="K3616" i="4"/>
  <c r="J3616" i="4"/>
  <c r="M3616" i="4" s="1" a="1"/>
  <c r="M3616" i="4" s="1"/>
  <c r="O3616" i="4" s="1"/>
  <c r="I3616" i="4"/>
  <c r="P3615" i="4"/>
  <c r="K3615" i="4"/>
  <c r="J3615" i="4"/>
  <c r="I3615" i="4"/>
  <c r="M3615" i="4" s="1" a="1"/>
  <c r="M3615" i="4" s="1"/>
  <c r="O3615" i="4" s="1"/>
  <c r="P3614" i="4"/>
  <c r="K3614" i="4"/>
  <c r="J3614" i="4"/>
  <c r="I3614" i="4"/>
  <c r="M3614" i="4" s="1" a="1"/>
  <c r="M3614" i="4" s="1"/>
  <c r="O3614" i="4" s="1"/>
  <c r="P3613" i="4"/>
  <c r="K3613" i="4"/>
  <c r="M3613" i="4" s="1" a="1"/>
  <c r="M3613" i="4" s="1"/>
  <c r="O3613" i="4" s="1"/>
  <c r="J3613" i="4"/>
  <c r="I3613" i="4"/>
  <c r="P3612" i="4"/>
  <c r="M3612" i="4" a="1"/>
  <c r="M3612" i="4" s="1"/>
  <c r="O3612" i="4" s="1"/>
  <c r="K3612" i="4"/>
  <c r="J3612" i="4"/>
  <c r="I3612" i="4"/>
  <c r="P3611" i="4"/>
  <c r="K3611" i="4"/>
  <c r="J3611" i="4"/>
  <c r="I3611" i="4"/>
  <c r="P3610" i="4"/>
  <c r="K3610" i="4"/>
  <c r="J3610" i="4"/>
  <c r="M3610" i="4" s="1" a="1"/>
  <c r="M3610" i="4" s="1"/>
  <c r="O3610" i="4" s="1"/>
  <c r="I3610" i="4"/>
  <c r="P3609" i="4"/>
  <c r="K3609" i="4"/>
  <c r="J3609" i="4"/>
  <c r="I3609" i="4"/>
  <c r="M3609" i="4" s="1" a="1"/>
  <c r="M3609" i="4" s="1"/>
  <c r="O3609" i="4" s="1"/>
  <c r="P3608" i="4"/>
  <c r="K3608" i="4"/>
  <c r="J3608" i="4"/>
  <c r="M3608" i="4" s="1" a="1"/>
  <c r="M3608" i="4" s="1"/>
  <c r="O3608" i="4" s="1"/>
  <c r="I3608" i="4"/>
  <c r="P3607" i="4"/>
  <c r="M3607" i="4" a="1"/>
  <c r="M3607" i="4" s="1"/>
  <c r="O3607" i="4" s="1"/>
  <c r="K3607" i="4"/>
  <c r="J3607" i="4"/>
  <c r="I3607" i="4"/>
  <c r="P3606" i="4"/>
  <c r="K3606" i="4"/>
  <c r="M3606" i="4" s="1" a="1"/>
  <c r="M3606" i="4" s="1"/>
  <c r="O3606" i="4" s="1"/>
  <c r="J3606" i="4"/>
  <c r="I3606" i="4"/>
  <c r="P3605" i="4"/>
  <c r="K3605" i="4"/>
  <c r="J3605" i="4"/>
  <c r="I3605" i="4"/>
  <c r="P3604" i="4"/>
  <c r="K3604" i="4"/>
  <c r="J3604" i="4"/>
  <c r="I3604" i="4"/>
  <c r="M3604" i="4" s="1" a="1"/>
  <c r="M3604" i="4" s="1"/>
  <c r="O3604" i="4" s="1"/>
  <c r="P3603" i="4"/>
  <c r="K3603" i="4"/>
  <c r="J3603" i="4"/>
  <c r="I3603" i="4"/>
  <c r="M3603" i="4" s="1" a="1"/>
  <c r="M3603" i="4" s="1"/>
  <c r="O3603" i="4" s="1"/>
  <c r="P3602" i="4"/>
  <c r="K3602" i="4"/>
  <c r="J3602" i="4"/>
  <c r="M3602" i="4" s="1" a="1"/>
  <c r="M3602" i="4" s="1"/>
  <c r="O3602" i="4" s="1"/>
  <c r="I3602" i="4"/>
  <c r="P3601" i="4"/>
  <c r="O3601" i="4"/>
  <c r="K3601" i="4"/>
  <c r="J3601" i="4"/>
  <c r="I3601" i="4"/>
  <c r="M3601" i="4" s="1" a="1"/>
  <c r="M3601" i="4" s="1"/>
  <c r="P3600" i="4"/>
  <c r="K3600" i="4"/>
  <c r="M3600" i="4" s="1" a="1"/>
  <c r="M3600" i="4" s="1"/>
  <c r="O3600" i="4" s="1"/>
  <c r="J3600" i="4"/>
  <c r="I3600" i="4"/>
  <c r="P3599" i="4"/>
  <c r="M3599" i="4" a="1"/>
  <c r="M3599" i="4" s="1"/>
  <c r="O3599" i="4" s="1"/>
  <c r="K3599" i="4"/>
  <c r="J3599" i="4"/>
  <c r="I3599" i="4"/>
  <c r="P3598" i="4"/>
  <c r="K3598" i="4"/>
  <c r="J3598" i="4"/>
  <c r="I3598" i="4"/>
  <c r="M3598" i="4" s="1" a="1"/>
  <c r="M3598" i="4" s="1"/>
  <c r="O3598" i="4" s="1"/>
  <c r="P3597" i="4"/>
  <c r="K3597" i="4"/>
  <c r="J3597" i="4"/>
  <c r="M3597" i="4" s="1" a="1"/>
  <c r="M3597" i="4" s="1"/>
  <c r="O3597" i="4" s="1"/>
  <c r="I3597" i="4"/>
  <c r="P3596" i="4"/>
  <c r="O3596" i="4"/>
  <c r="M3596" i="4" a="1"/>
  <c r="M3596" i="4" s="1"/>
  <c r="K3596" i="4"/>
  <c r="J3596" i="4"/>
  <c r="I3596" i="4"/>
  <c r="P3595" i="4"/>
  <c r="K3595" i="4"/>
  <c r="J3595" i="4"/>
  <c r="I3595" i="4"/>
  <c r="M3595" i="4" s="1" a="1"/>
  <c r="M3595" i="4" s="1"/>
  <c r="O3595" i="4" s="1"/>
  <c r="P3594" i="4"/>
  <c r="K3594" i="4"/>
  <c r="J3594" i="4"/>
  <c r="M3594" i="4" s="1" a="1"/>
  <c r="M3594" i="4" s="1"/>
  <c r="O3594" i="4" s="1"/>
  <c r="I3594" i="4"/>
  <c r="P3593" i="4"/>
  <c r="M3593" i="4" a="1"/>
  <c r="M3593" i="4" s="1"/>
  <c r="O3593" i="4" s="1"/>
  <c r="K3593" i="4"/>
  <c r="J3593" i="4"/>
  <c r="I3593" i="4"/>
  <c r="P3592" i="4"/>
  <c r="O3592" i="4"/>
  <c r="M3592" i="4"/>
  <c r="K3592" i="4"/>
  <c r="J3592" i="4"/>
  <c r="M3592" i="4" s="1" a="1"/>
  <c r="I3592" i="4"/>
  <c r="P3591" i="4"/>
  <c r="K3591" i="4"/>
  <c r="J3591" i="4"/>
  <c r="M3591" i="4" s="1" a="1"/>
  <c r="M3591" i="4" s="1"/>
  <c r="O3591" i="4" s="1"/>
  <c r="I3591" i="4"/>
  <c r="P3590" i="4"/>
  <c r="M3590" i="4" a="1"/>
  <c r="M3590" i="4" s="1"/>
  <c r="O3590" i="4" s="1"/>
  <c r="K3590" i="4"/>
  <c r="J3590" i="4"/>
  <c r="I3590" i="4"/>
  <c r="P3589" i="4"/>
  <c r="M3589" i="4"/>
  <c r="O3589" i="4" s="1"/>
  <c r="K3589" i="4"/>
  <c r="J3589" i="4"/>
  <c r="I3589" i="4"/>
  <c r="M3589" i="4" s="1" a="1"/>
  <c r="P3588" i="4"/>
  <c r="M3588" i="4" a="1"/>
  <c r="M3588" i="4" s="1"/>
  <c r="O3588" i="4" s="1"/>
  <c r="K3588" i="4"/>
  <c r="J3588" i="4"/>
  <c r="I3588" i="4"/>
  <c r="P3587" i="4"/>
  <c r="K3587" i="4"/>
  <c r="J3587" i="4"/>
  <c r="I3587" i="4"/>
  <c r="P3586" i="4"/>
  <c r="K3586" i="4"/>
  <c r="J3586" i="4"/>
  <c r="I3586" i="4"/>
  <c r="M3586" i="4" s="1" a="1"/>
  <c r="M3586" i="4" s="1"/>
  <c r="O3586" i="4" s="1"/>
  <c r="P3585" i="4"/>
  <c r="O3585" i="4"/>
  <c r="K3585" i="4"/>
  <c r="J3585" i="4"/>
  <c r="I3585" i="4"/>
  <c r="M3585" i="4" s="1" a="1"/>
  <c r="M3585" i="4" s="1"/>
  <c r="P3584" i="4"/>
  <c r="K3584" i="4"/>
  <c r="J3584" i="4"/>
  <c r="M3584" i="4" s="1" a="1"/>
  <c r="M3584" i="4" s="1"/>
  <c r="O3584" i="4" s="1"/>
  <c r="I3584" i="4"/>
  <c r="P3583" i="4"/>
  <c r="M3583" i="4" a="1"/>
  <c r="M3583" i="4" s="1"/>
  <c r="O3583" i="4" s="1"/>
  <c r="K3583" i="4"/>
  <c r="J3583" i="4"/>
  <c r="I3583" i="4"/>
  <c r="P3582" i="4"/>
  <c r="K3582" i="4"/>
  <c r="J3582" i="4"/>
  <c r="I3582" i="4"/>
  <c r="P3581" i="4"/>
  <c r="K3581" i="4"/>
  <c r="M3581" i="4" s="1" a="1"/>
  <c r="M3581" i="4" s="1"/>
  <c r="O3581" i="4" s="1"/>
  <c r="J3581" i="4"/>
  <c r="I3581" i="4"/>
  <c r="P3580" i="4"/>
  <c r="O3580" i="4"/>
  <c r="M3580" i="4" a="1"/>
  <c r="M3580" i="4" s="1"/>
  <c r="K3580" i="4"/>
  <c r="J3580" i="4"/>
  <c r="I3580" i="4"/>
  <c r="P3579" i="4"/>
  <c r="K3579" i="4"/>
  <c r="J3579" i="4"/>
  <c r="I3579" i="4"/>
  <c r="M3579" i="4" s="1" a="1"/>
  <c r="M3579" i="4" s="1"/>
  <c r="O3579" i="4" s="1"/>
  <c r="P3578" i="4"/>
  <c r="M3578" i="4" a="1"/>
  <c r="M3578" i="4" s="1"/>
  <c r="O3578" i="4" s="1"/>
  <c r="K3578" i="4"/>
  <c r="J3578" i="4"/>
  <c r="I3578" i="4"/>
  <c r="P3577" i="4"/>
  <c r="M3577" i="4"/>
  <c r="O3577" i="4" s="1"/>
  <c r="M3577" i="4" a="1"/>
  <c r="K3577" i="4"/>
  <c r="J3577" i="4"/>
  <c r="I3577" i="4"/>
  <c r="P3576" i="4"/>
  <c r="K3576" i="4"/>
  <c r="J3576" i="4"/>
  <c r="M3576" i="4" s="1" a="1"/>
  <c r="M3576" i="4" s="1"/>
  <c r="O3576" i="4" s="1"/>
  <c r="I3576" i="4"/>
  <c r="P3575" i="4"/>
  <c r="K3575" i="4"/>
  <c r="J3575" i="4"/>
  <c r="I3575" i="4"/>
  <c r="M3575" i="4" s="1" a="1"/>
  <c r="M3575" i="4" s="1"/>
  <c r="O3575" i="4" s="1"/>
  <c r="P3574" i="4"/>
  <c r="K3574" i="4"/>
  <c r="J3574" i="4"/>
  <c r="M3574" i="4" s="1" a="1"/>
  <c r="M3574" i="4" s="1"/>
  <c r="O3574" i="4" s="1"/>
  <c r="I3574" i="4"/>
  <c r="P3573" i="4"/>
  <c r="M3573" i="4"/>
  <c r="O3573" i="4" s="1"/>
  <c r="K3573" i="4"/>
  <c r="J3573" i="4"/>
  <c r="I3573" i="4"/>
  <c r="M3573" i="4" s="1" a="1"/>
  <c r="P3572" i="4"/>
  <c r="K3572" i="4"/>
  <c r="J3572" i="4"/>
  <c r="I3572" i="4"/>
  <c r="P3571" i="4"/>
  <c r="K3571" i="4"/>
  <c r="J3571" i="4"/>
  <c r="I3571" i="4"/>
  <c r="P3570" i="4"/>
  <c r="K3570" i="4"/>
  <c r="J3570" i="4"/>
  <c r="I3570" i="4"/>
  <c r="M3570" i="4" s="1" a="1"/>
  <c r="M3570" i="4" s="1"/>
  <c r="O3570" i="4" s="1"/>
  <c r="P3569" i="4"/>
  <c r="O3569" i="4"/>
  <c r="M3569" i="4"/>
  <c r="K3569" i="4"/>
  <c r="J3569" i="4"/>
  <c r="I3569" i="4"/>
  <c r="M3569" i="4" s="1" a="1"/>
  <c r="P3568" i="4"/>
  <c r="K3568" i="4"/>
  <c r="J3568" i="4"/>
  <c r="M3568" i="4" s="1" a="1"/>
  <c r="M3568" i="4" s="1"/>
  <c r="O3568" i="4" s="1"/>
  <c r="I3568" i="4"/>
  <c r="P3567" i="4"/>
  <c r="M3567" i="4" a="1"/>
  <c r="M3567" i="4" s="1"/>
  <c r="O3567" i="4" s="1"/>
  <c r="K3567" i="4"/>
  <c r="J3567" i="4"/>
  <c r="I3567" i="4"/>
  <c r="P3566" i="4"/>
  <c r="K3566" i="4"/>
  <c r="J3566" i="4"/>
  <c r="I3566" i="4"/>
  <c r="P3565" i="4"/>
  <c r="M3565" i="4" a="1"/>
  <c r="M3565" i="4" s="1"/>
  <c r="O3565" i="4" s="1"/>
  <c r="K3565" i="4"/>
  <c r="J3565" i="4"/>
  <c r="I3565" i="4"/>
  <c r="P3564" i="4"/>
  <c r="M3564" i="4" a="1"/>
  <c r="M3564" i="4" s="1"/>
  <c r="O3564" i="4" s="1"/>
  <c r="K3564" i="4"/>
  <c r="J3564" i="4"/>
  <c r="I3564" i="4"/>
  <c r="P3563" i="4"/>
  <c r="K3563" i="4"/>
  <c r="J3563" i="4"/>
  <c r="I3563" i="4"/>
  <c r="P3562" i="4"/>
  <c r="K3562" i="4"/>
  <c r="J3562" i="4"/>
  <c r="I3562" i="4"/>
  <c r="M3562" i="4" s="1" a="1"/>
  <c r="M3562" i="4" s="1"/>
  <c r="O3562" i="4" s="1"/>
  <c r="P3561" i="4"/>
  <c r="M3561" i="4" a="1"/>
  <c r="M3561" i="4" s="1"/>
  <c r="O3561" i="4" s="1"/>
  <c r="K3561" i="4"/>
  <c r="J3561" i="4"/>
  <c r="I3561" i="4"/>
  <c r="P3560" i="4"/>
  <c r="M3560" i="4" a="1"/>
  <c r="M3560" i="4" s="1"/>
  <c r="O3560" i="4" s="1"/>
  <c r="K3560" i="4"/>
  <c r="J3560" i="4"/>
  <c r="I3560" i="4"/>
  <c r="P3559" i="4"/>
  <c r="M3559" i="4" a="1"/>
  <c r="M3559" i="4" s="1"/>
  <c r="O3559" i="4" s="1"/>
  <c r="K3559" i="4"/>
  <c r="J3559" i="4"/>
  <c r="I3559" i="4"/>
  <c r="P3558" i="4"/>
  <c r="K3558" i="4"/>
  <c r="J3558" i="4"/>
  <c r="M3558" i="4" s="1" a="1"/>
  <c r="M3558" i="4" s="1"/>
  <c r="O3558" i="4" s="1"/>
  <c r="I3558" i="4"/>
  <c r="P3557" i="4"/>
  <c r="K3557" i="4"/>
  <c r="J3557" i="4"/>
  <c r="I3557" i="4"/>
  <c r="M3557" i="4" s="1" a="1"/>
  <c r="M3557" i="4" s="1"/>
  <c r="O3557" i="4" s="1"/>
  <c r="P3556" i="4"/>
  <c r="M3556" i="4" a="1"/>
  <c r="M3556" i="4" s="1"/>
  <c r="O3556" i="4" s="1"/>
  <c r="K3556" i="4"/>
  <c r="J3556" i="4"/>
  <c r="I3556" i="4"/>
  <c r="P3555" i="4"/>
  <c r="K3555" i="4"/>
  <c r="J3555" i="4"/>
  <c r="M3555" i="4" s="1" a="1"/>
  <c r="M3555" i="4" s="1"/>
  <c r="O3555" i="4" s="1"/>
  <c r="I3555" i="4"/>
  <c r="P3554" i="4"/>
  <c r="K3554" i="4"/>
  <c r="J3554" i="4"/>
  <c r="M3554" i="4" s="1" a="1"/>
  <c r="M3554" i="4" s="1"/>
  <c r="O3554" i="4" s="1"/>
  <c r="I3554" i="4"/>
  <c r="P3553" i="4"/>
  <c r="K3553" i="4"/>
  <c r="J3553" i="4"/>
  <c r="I3553" i="4"/>
  <c r="M3553" i="4" s="1" a="1"/>
  <c r="M3553" i="4" s="1"/>
  <c r="O3553" i="4" s="1"/>
  <c r="P3552" i="4"/>
  <c r="K3552" i="4"/>
  <c r="J3552" i="4"/>
  <c r="M3552" i="4" s="1" a="1"/>
  <c r="M3552" i="4" s="1"/>
  <c r="O3552" i="4" s="1"/>
  <c r="I3552" i="4"/>
  <c r="P3551" i="4"/>
  <c r="K3551" i="4"/>
  <c r="J3551" i="4"/>
  <c r="I3551" i="4"/>
  <c r="M3551" i="4" s="1" a="1"/>
  <c r="M3551" i="4" s="1"/>
  <c r="O3551" i="4" s="1"/>
  <c r="P3550" i="4"/>
  <c r="K3550" i="4"/>
  <c r="J3550" i="4"/>
  <c r="I3550" i="4"/>
  <c r="P3549" i="4"/>
  <c r="K3549" i="4"/>
  <c r="J3549" i="4"/>
  <c r="M3549" i="4" s="1" a="1"/>
  <c r="M3549" i="4" s="1"/>
  <c r="O3549" i="4" s="1"/>
  <c r="I3549" i="4"/>
  <c r="P3548" i="4"/>
  <c r="K3548" i="4"/>
  <c r="M3548" i="4" s="1" a="1"/>
  <c r="M3548" i="4" s="1"/>
  <c r="O3548" i="4" s="1"/>
  <c r="J3548" i="4"/>
  <c r="I3548" i="4"/>
  <c r="P3547" i="4"/>
  <c r="M3547" i="4"/>
  <c r="O3547" i="4" s="1"/>
  <c r="K3547" i="4"/>
  <c r="J3547" i="4"/>
  <c r="I3547" i="4"/>
  <c r="M3547" i="4" s="1" a="1"/>
  <c r="P3546" i="4"/>
  <c r="M3546" i="4" a="1"/>
  <c r="M3546" i="4" s="1"/>
  <c r="O3546" i="4" s="1"/>
  <c r="K3546" i="4"/>
  <c r="J3546" i="4"/>
  <c r="I3546" i="4"/>
  <c r="P3545" i="4"/>
  <c r="K3545" i="4"/>
  <c r="J3545" i="4"/>
  <c r="I3545" i="4"/>
  <c r="M3545" i="4" s="1" a="1"/>
  <c r="M3545" i="4" s="1"/>
  <c r="O3545" i="4" s="1"/>
  <c r="P3544" i="4"/>
  <c r="K3544" i="4"/>
  <c r="J3544" i="4"/>
  <c r="M3544" i="4" s="1" a="1"/>
  <c r="M3544" i="4" s="1"/>
  <c r="O3544" i="4" s="1"/>
  <c r="I3544" i="4"/>
  <c r="P3543" i="4"/>
  <c r="K3543" i="4"/>
  <c r="J3543" i="4"/>
  <c r="M3543" i="4" s="1" a="1"/>
  <c r="M3543" i="4" s="1"/>
  <c r="O3543" i="4" s="1"/>
  <c r="I3543" i="4"/>
  <c r="P3542" i="4"/>
  <c r="K3542" i="4"/>
  <c r="J3542" i="4"/>
  <c r="M3542" i="4" s="1" a="1"/>
  <c r="M3542" i="4" s="1"/>
  <c r="O3542" i="4" s="1"/>
  <c r="I3542" i="4"/>
  <c r="P3541" i="4"/>
  <c r="K3541" i="4"/>
  <c r="J3541" i="4"/>
  <c r="M3541" i="4" s="1" a="1"/>
  <c r="M3541" i="4" s="1"/>
  <c r="O3541" i="4" s="1"/>
  <c r="I3541" i="4"/>
  <c r="P3540" i="4"/>
  <c r="K3540" i="4"/>
  <c r="J3540" i="4"/>
  <c r="I3540" i="4"/>
  <c r="M3540" i="4" s="1" a="1"/>
  <c r="M3540" i="4" s="1"/>
  <c r="O3540" i="4" s="1"/>
  <c r="P3539" i="4"/>
  <c r="K3539" i="4"/>
  <c r="J3539" i="4"/>
  <c r="I3539" i="4"/>
  <c r="P3538" i="4"/>
  <c r="M3538" i="4" a="1"/>
  <c r="M3538" i="4" s="1"/>
  <c r="O3538" i="4" s="1"/>
  <c r="K3538" i="4"/>
  <c r="J3538" i="4"/>
  <c r="I3538" i="4"/>
  <c r="P3537" i="4"/>
  <c r="K3537" i="4"/>
  <c r="J3537" i="4"/>
  <c r="I3537" i="4"/>
  <c r="P3536" i="4"/>
  <c r="K3536" i="4"/>
  <c r="J3536" i="4"/>
  <c r="I3536" i="4"/>
  <c r="P3535" i="4"/>
  <c r="K3535" i="4"/>
  <c r="J3535" i="4"/>
  <c r="I3535" i="4"/>
  <c r="M3535" i="4" s="1" a="1"/>
  <c r="M3535" i="4" s="1"/>
  <c r="O3535" i="4" s="1"/>
  <c r="P3534" i="4"/>
  <c r="K3534" i="4"/>
  <c r="J3534" i="4"/>
  <c r="I3534" i="4"/>
  <c r="P3533" i="4"/>
  <c r="K3533" i="4"/>
  <c r="J3533" i="4"/>
  <c r="I3533" i="4"/>
  <c r="M3533" i="4" s="1" a="1"/>
  <c r="M3533" i="4" s="1"/>
  <c r="O3533" i="4" s="1"/>
  <c r="P3532" i="4"/>
  <c r="M3532" i="4" a="1"/>
  <c r="M3532" i="4" s="1"/>
  <c r="O3532" i="4" s="1"/>
  <c r="K3532" i="4"/>
  <c r="J3532" i="4"/>
  <c r="I3532" i="4"/>
  <c r="P3531" i="4"/>
  <c r="K3531" i="4"/>
  <c r="J3531" i="4"/>
  <c r="I3531" i="4"/>
  <c r="P3530" i="4"/>
  <c r="K3530" i="4"/>
  <c r="J3530" i="4"/>
  <c r="M3530" i="4" s="1" a="1"/>
  <c r="M3530" i="4" s="1"/>
  <c r="O3530" i="4" s="1"/>
  <c r="I3530" i="4"/>
  <c r="P3529" i="4"/>
  <c r="K3529" i="4"/>
  <c r="J3529" i="4"/>
  <c r="I3529" i="4"/>
  <c r="M3529" i="4" s="1" a="1"/>
  <c r="M3529" i="4" s="1"/>
  <c r="O3529" i="4" s="1"/>
  <c r="P3528" i="4"/>
  <c r="K3528" i="4"/>
  <c r="J3528" i="4"/>
  <c r="M3528" i="4" s="1" a="1"/>
  <c r="M3528" i="4" s="1"/>
  <c r="O3528" i="4" s="1"/>
  <c r="I3528" i="4"/>
  <c r="P3527" i="4"/>
  <c r="K3527" i="4"/>
  <c r="J3527" i="4"/>
  <c r="M3527" i="4" s="1" a="1"/>
  <c r="M3527" i="4" s="1"/>
  <c r="O3527" i="4" s="1"/>
  <c r="I3527" i="4"/>
  <c r="P3526" i="4"/>
  <c r="K3526" i="4"/>
  <c r="J3526" i="4"/>
  <c r="I3526" i="4"/>
  <c r="P3525" i="4"/>
  <c r="K3525" i="4"/>
  <c r="J3525" i="4"/>
  <c r="I3525" i="4"/>
  <c r="M3525" i="4" s="1" a="1"/>
  <c r="M3525" i="4" s="1"/>
  <c r="O3525" i="4" s="1"/>
  <c r="P3524" i="4"/>
  <c r="K3524" i="4"/>
  <c r="J3524" i="4"/>
  <c r="I3524" i="4"/>
  <c r="M3524" i="4" s="1" a="1"/>
  <c r="M3524" i="4" s="1"/>
  <c r="O3524" i="4" s="1"/>
  <c r="P3523" i="4"/>
  <c r="M3523" i="4"/>
  <c r="O3523" i="4" s="1"/>
  <c r="K3523" i="4"/>
  <c r="J3523" i="4"/>
  <c r="I3523" i="4"/>
  <c r="M3523" i="4" s="1" a="1"/>
  <c r="P3522" i="4"/>
  <c r="K3522" i="4"/>
  <c r="J3522" i="4"/>
  <c r="I3522" i="4"/>
  <c r="M3522" i="4" s="1" a="1"/>
  <c r="M3522" i="4" s="1"/>
  <c r="O3522" i="4" s="1"/>
  <c r="P3521" i="4"/>
  <c r="K3521" i="4"/>
  <c r="J3521" i="4"/>
  <c r="I3521" i="4"/>
  <c r="M3521" i="4" s="1" a="1"/>
  <c r="M3521" i="4" s="1"/>
  <c r="O3521" i="4" s="1"/>
  <c r="P3520" i="4"/>
  <c r="M3520" i="4" a="1"/>
  <c r="M3520" i="4" s="1"/>
  <c r="O3520" i="4" s="1"/>
  <c r="K3520" i="4"/>
  <c r="J3520" i="4"/>
  <c r="I3520" i="4"/>
  <c r="P3519" i="4"/>
  <c r="M3519" i="4" a="1"/>
  <c r="M3519" i="4" s="1"/>
  <c r="O3519" i="4" s="1"/>
  <c r="K3519" i="4"/>
  <c r="J3519" i="4"/>
  <c r="I3519" i="4"/>
  <c r="P3518" i="4"/>
  <c r="M3518" i="4"/>
  <c r="O3518" i="4" s="1"/>
  <c r="K3518" i="4"/>
  <c r="J3518" i="4"/>
  <c r="I3518" i="4"/>
  <c r="M3518" i="4" s="1" a="1"/>
  <c r="P3517" i="4"/>
  <c r="K3517" i="4"/>
  <c r="J3517" i="4"/>
  <c r="I3517" i="4"/>
  <c r="M3517" i="4" s="1" a="1"/>
  <c r="M3517" i="4" s="1"/>
  <c r="O3517" i="4" s="1"/>
  <c r="P3516" i="4"/>
  <c r="K3516" i="4"/>
  <c r="J3516" i="4"/>
  <c r="I3516" i="4"/>
  <c r="M3516" i="4" s="1" a="1"/>
  <c r="M3516" i="4" s="1"/>
  <c r="O3516" i="4" s="1"/>
  <c r="P3515" i="4"/>
  <c r="K3515" i="4"/>
  <c r="J3515" i="4"/>
  <c r="I3515" i="4"/>
  <c r="P3514" i="4"/>
  <c r="K3514" i="4"/>
  <c r="J3514" i="4"/>
  <c r="M3514" i="4" s="1" a="1"/>
  <c r="M3514" i="4" s="1"/>
  <c r="O3514" i="4" s="1"/>
  <c r="I3514" i="4"/>
  <c r="P3513" i="4"/>
  <c r="K3513" i="4"/>
  <c r="M3513" i="4" s="1" a="1"/>
  <c r="M3513" i="4" s="1"/>
  <c r="O3513" i="4" s="1"/>
  <c r="J3513" i="4"/>
  <c r="I3513" i="4"/>
  <c r="P3512" i="4"/>
  <c r="K3512" i="4"/>
  <c r="J3512" i="4"/>
  <c r="M3512" i="4" s="1" a="1"/>
  <c r="M3512" i="4" s="1"/>
  <c r="O3512" i="4" s="1"/>
  <c r="I3512" i="4"/>
  <c r="P3511" i="4"/>
  <c r="K3511" i="4"/>
  <c r="J3511" i="4"/>
  <c r="I3511" i="4"/>
  <c r="M3511" i="4" s="1" a="1"/>
  <c r="M3511" i="4" s="1"/>
  <c r="O3511" i="4" s="1"/>
  <c r="P3510" i="4"/>
  <c r="M3510" i="4" a="1"/>
  <c r="M3510" i="4" s="1"/>
  <c r="O3510" i="4" s="1"/>
  <c r="K3510" i="4"/>
  <c r="J3510" i="4"/>
  <c r="I3510" i="4"/>
  <c r="P3509" i="4"/>
  <c r="M3509" i="4"/>
  <c r="O3509" i="4" s="1"/>
  <c r="M3509" i="4" a="1"/>
  <c r="K3509" i="4"/>
  <c r="J3509" i="4"/>
  <c r="I3509" i="4"/>
  <c r="P3508" i="4"/>
  <c r="K3508" i="4"/>
  <c r="J3508" i="4"/>
  <c r="I3508" i="4"/>
  <c r="P3507" i="4"/>
  <c r="K3507" i="4"/>
  <c r="J3507" i="4"/>
  <c r="I3507" i="4"/>
  <c r="P3506" i="4"/>
  <c r="K3506" i="4"/>
  <c r="J3506" i="4"/>
  <c r="I3506" i="4"/>
  <c r="M3506" i="4" s="1" a="1"/>
  <c r="M3506" i="4" s="1"/>
  <c r="O3506" i="4" s="1"/>
  <c r="P3505" i="4"/>
  <c r="O3505" i="4"/>
  <c r="M3505" i="4"/>
  <c r="K3505" i="4"/>
  <c r="J3505" i="4"/>
  <c r="I3505" i="4"/>
  <c r="M3505" i="4" s="1" a="1"/>
  <c r="P3504" i="4"/>
  <c r="K3504" i="4"/>
  <c r="J3504" i="4"/>
  <c r="M3504" i="4" s="1" a="1"/>
  <c r="M3504" i="4" s="1"/>
  <c r="O3504" i="4" s="1"/>
  <c r="I3504" i="4"/>
  <c r="P3503" i="4"/>
  <c r="M3503" i="4" a="1"/>
  <c r="M3503" i="4" s="1"/>
  <c r="O3503" i="4" s="1"/>
  <c r="K3503" i="4"/>
  <c r="J3503" i="4"/>
  <c r="I3503" i="4"/>
  <c r="P3502" i="4"/>
  <c r="K3502" i="4"/>
  <c r="J3502" i="4"/>
  <c r="I3502" i="4"/>
  <c r="P3501" i="4"/>
  <c r="M3501" i="4" a="1"/>
  <c r="M3501" i="4" s="1"/>
  <c r="O3501" i="4" s="1"/>
  <c r="K3501" i="4"/>
  <c r="J3501" i="4"/>
  <c r="I3501" i="4"/>
  <c r="P3500" i="4"/>
  <c r="M3500" i="4" a="1"/>
  <c r="M3500" i="4" s="1"/>
  <c r="O3500" i="4" s="1"/>
  <c r="K3500" i="4"/>
  <c r="J3500" i="4"/>
  <c r="I3500" i="4"/>
  <c r="P3499" i="4"/>
  <c r="K3499" i="4"/>
  <c r="J3499" i="4"/>
  <c r="I3499" i="4"/>
  <c r="P3498" i="4"/>
  <c r="K3498" i="4"/>
  <c r="J3498" i="4"/>
  <c r="I3498" i="4"/>
  <c r="M3498" i="4" s="1" a="1"/>
  <c r="M3498" i="4" s="1"/>
  <c r="O3498" i="4" s="1"/>
  <c r="P3497" i="4"/>
  <c r="M3497" i="4" a="1"/>
  <c r="M3497" i="4" s="1"/>
  <c r="O3497" i="4" s="1"/>
  <c r="K3497" i="4"/>
  <c r="J3497" i="4"/>
  <c r="I3497" i="4"/>
  <c r="P3496" i="4"/>
  <c r="M3496" i="4" a="1"/>
  <c r="M3496" i="4" s="1"/>
  <c r="O3496" i="4" s="1"/>
  <c r="K3496" i="4"/>
  <c r="J3496" i="4"/>
  <c r="I3496" i="4"/>
  <c r="P3495" i="4"/>
  <c r="M3495" i="4"/>
  <c r="O3495" i="4" s="1"/>
  <c r="K3495" i="4"/>
  <c r="J3495" i="4"/>
  <c r="M3495" i="4" s="1" a="1"/>
  <c r="I3495" i="4"/>
  <c r="P3494" i="4"/>
  <c r="K3494" i="4"/>
  <c r="J3494" i="4"/>
  <c r="M3494" i="4" s="1" a="1"/>
  <c r="M3494" i="4" s="1"/>
  <c r="O3494" i="4" s="1"/>
  <c r="I3494" i="4"/>
  <c r="P3493" i="4"/>
  <c r="K3493" i="4"/>
  <c r="J3493" i="4"/>
  <c r="M3493" i="4" s="1" a="1"/>
  <c r="M3493" i="4" s="1"/>
  <c r="O3493" i="4" s="1"/>
  <c r="I3493" i="4"/>
  <c r="P3492" i="4"/>
  <c r="K3492" i="4"/>
  <c r="J3492" i="4"/>
  <c r="I3492" i="4"/>
  <c r="M3492" i="4" s="1" a="1"/>
  <c r="M3492" i="4" s="1"/>
  <c r="O3492" i="4" s="1"/>
  <c r="P3491" i="4"/>
  <c r="K3491" i="4"/>
  <c r="J3491" i="4"/>
  <c r="I3491" i="4"/>
  <c r="M3491" i="4" s="1" a="1"/>
  <c r="M3491" i="4" s="1"/>
  <c r="O3491" i="4" s="1"/>
  <c r="P3490" i="4"/>
  <c r="K3490" i="4"/>
  <c r="M3490" i="4" s="1" a="1"/>
  <c r="M3490" i="4" s="1"/>
  <c r="O3490" i="4" s="1"/>
  <c r="J3490" i="4"/>
  <c r="I3490" i="4"/>
  <c r="P3489" i="4"/>
  <c r="K3489" i="4"/>
  <c r="J3489" i="4"/>
  <c r="I3489" i="4"/>
  <c r="M3489" i="4" s="1" a="1"/>
  <c r="M3489" i="4" s="1"/>
  <c r="O3489" i="4" s="1"/>
  <c r="P3488" i="4"/>
  <c r="K3488" i="4"/>
  <c r="J3488" i="4"/>
  <c r="I3488" i="4"/>
  <c r="M3488" i="4" s="1" a="1"/>
  <c r="M3488" i="4" s="1"/>
  <c r="O3488" i="4" s="1"/>
  <c r="P3487" i="4"/>
  <c r="K3487" i="4"/>
  <c r="M3487" i="4" s="1" a="1"/>
  <c r="M3487" i="4" s="1"/>
  <c r="O3487" i="4" s="1"/>
  <c r="J3487" i="4"/>
  <c r="I3487" i="4"/>
  <c r="P3486" i="4"/>
  <c r="M3486" i="4" a="1"/>
  <c r="M3486" i="4" s="1"/>
  <c r="O3486" i="4" s="1"/>
  <c r="K3486" i="4"/>
  <c r="J3486" i="4"/>
  <c r="I3486" i="4"/>
  <c r="P3485" i="4"/>
  <c r="K3485" i="4"/>
  <c r="J3485" i="4"/>
  <c r="I3485" i="4"/>
  <c r="M3485" i="4" s="1" a="1"/>
  <c r="M3485" i="4" s="1"/>
  <c r="O3485" i="4" s="1"/>
  <c r="P3484" i="4"/>
  <c r="K3484" i="4"/>
  <c r="J3484" i="4"/>
  <c r="M3484" i="4" s="1" a="1"/>
  <c r="M3484" i="4" s="1"/>
  <c r="O3484" i="4" s="1"/>
  <c r="I3484" i="4"/>
  <c r="P3483" i="4"/>
  <c r="K3483" i="4"/>
  <c r="J3483" i="4"/>
  <c r="I3483" i="4"/>
  <c r="M3483" i="4" s="1" a="1"/>
  <c r="M3483" i="4" s="1"/>
  <c r="O3483" i="4" s="1"/>
  <c r="P3482" i="4"/>
  <c r="K3482" i="4"/>
  <c r="J3482" i="4"/>
  <c r="I3482" i="4"/>
  <c r="M3482" i="4" s="1" a="1"/>
  <c r="M3482" i="4" s="1"/>
  <c r="O3482" i="4" s="1"/>
  <c r="P3481" i="4"/>
  <c r="M3481" i="4" a="1"/>
  <c r="M3481" i="4" s="1"/>
  <c r="O3481" i="4" s="1"/>
  <c r="K3481" i="4"/>
  <c r="J3481" i="4"/>
  <c r="I3481" i="4"/>
  <c r="P3480" i="4"/>
  <c r="M3480" i="4" a="1"/>
  <c r="M3480" i="4" s="1"/>
  <c r="O3480" i="4" s="1"/>
  <c r="K3480" i="4"/>
  <c r="J3480" i="4"/>
  <c r="I3480" i="4"/>
  <c r="P3479" i="4"/>
  <c r="M3479" i="4"/>
  <c r="O3479" i="4" s="1"/>
  <c r="K3479" i="4"/>
  <c r="J3479" i="4"/>
  <c r="M3479" i="4" s="1" a="1"/>
  <c r="I3479" i="4"/>
  <c r="P3478" i="4"/>
  <c r="K3478" i="4"/>
  <c r="J3478" i="4"/>
  <c r="M3478" i="4" s="1" a="1"/>
  <c r="M3478" i="4" s="1"/>
  <c r="O3478" i="4" s="1"/>
  <c r="I3478" i="4"/>
  <c r="P3477" i="4"/>
  <c r="K3477" i="4"/>
  <c r="J3477" i="4"/>
  <c r="M3477" i="4" s="1" a="1"/>
  <c r="M3477" i="4" s="1"/>
  <c r="O3477" i="4" s="1"/>
  <c r="I3477" i="4"/>
  <c r="P3476" i="4"/>
  <c r="K3476" i="4"/>
  <c r="J3476" i="4"/>
  <c r="I3476" i="4"/>
  <c r="M3476" i="4" s="1" a="1"/>
  <c r="M3476" i="4" s="1"/>
  <c r="O3476" i="4" s="1"/>
  <c r="P3475" i="4"/>
  <c r="K3475" i="4"/>
  <c r="J3475" i="4"/>
  <c r="I3475" i="4"/>
  <c r="M3475" i="4" s="1" a="1"/>
  <c r="M3475" i="4" s="1"/>
  <c r="O3475" i="4" s="1"/>
  <c r="P3474" i="4"/>
  <c r="K3474" i="4"/>
  <c r="M3474" i="4" s="1" a="1"/>
  <c r="M3474" i="4" s="1"/>
  <c r="O3474" i="4" s="1"/>
  <c r="J3474" i="4"/>
  <c r="I3474" i="4"/>
  <c r="P3473" i="4"/>
  <c r="K3473" i="4"/>
  <c r="J3473" i="4"/>
  <c r="I3473" i="4"/>
  <c r="M3473" i="4" s="1" a="1"/>
  <c r="M3473" i="4" s="1"/>
  <c r="O3473" i="4" s="1"/>
  <c r="P3472" i="4"/>
  <c r="K3472" i="4"/>
  <c r="J3472" i="4"/>
  <c r="I3472" i="4"/>
  <c r="M3472" i="4" s="1" a="1"/>
  <c r="M3472" i="4" s="1"/>
  <c r="O3472" i="4" s="1"/>
  <c r="P3471" i="4"/>
  <c r="K3471" i="4"/>
  <c r="M3471" i="4" s="1" a="1"/>
  <c r="M3471" i="4" s="1"/>
  <c r="O3471" i="4" s="1"/>
  <c r="J3471" i="4"/>
  <c r="I3471" i="4"/>
  <c r="P3470" i="4"/>
  <c r="M3470" i="4" a="1"/>
  <c r="M3470" i="4" s="1"/>
  <c r="O3470" i="4" s="1"/>
  <c r="K3470" i="4"/>
  <c r="J3470" i="4"/>
  <c r="I3470" i="4"/>
  <c r="P3469" i="4"/>
  <c r="K3469" i="4"/>
  <c r="J3469" i="4"/>
  <c r="I3469" i="4"/>
  <c r="M3469" i="4" s="1" a="1"/>
  <c r="M3469" i="4" s="1"/>
  <c r="O3469" i="4" s="1"/>
  <c r="P3468" i="4"/>
  <c r="K3468" i="4"/>
  <c r="J3468" i="4"/>
  <c r="M3468" i="4" s="1" a="1"/>
  <c r="M3468" i="4" s="1"/>
  <c r="O3468" i="4" s="1"/>
  <c r="I3468" i="4"/>
  <c r="P3467" i="4"/>
  <c r="K3467" i="4"/>
  <c r="J3467" i="4"/>
  <c r="I3467" i="4"/>
  <c r="M3467" i="4" s="1" a="1"/>
  <c r="M3467" i="4" s="1"/>
  <c r="O3467" i="4" s="1"/>
  <c r="P3466" i="4"/>
  <c r="K3466" i="4"/>
  <c r="J3466" i="4"/>
  <c r="I3466" i="4"/>
  <c r="M3466" i="4" s="1" a="1"/>
  <c r="M3466" i="4" s="1"/>
  <c r="O3466" i="4" s="1"/>
  <c r="P3465" i="4"/>
  <c r="M3465" i="4" a="1"/>
  <c r="M3465" i="4" s="1"/>
  <c r="O3465" i="4" s="1"/>
  <c r="K3465" i="4"/>
  <c r="J3465" i="4"/>
  <c r="I3465" i="4"/>
  <c r="P3464" i="4"/>
  <c r="M3464" i="4" a="1"/>
  <c r="M3464" i="4" s="1"/>
  <c r="O3464" i="4" s="1"/>
  <c r="K3464" i="4"/>
  <c r="J3464" i="4"/>
  <c r="I3464" i="4"/>
  <c r="P3463" i="4"/>
  <c r="M3463" i="4"/>
  <c r="O3463" i="4" s="1"/>
  <c r="K3463" i="4"/>
  <c r="J3463" i="4"/>
  <c r="M3463" i="4" s="1" a="1"/>
  <c r="I3463" i="4"/>
  <c r="P3462" i="4"/>
  <c r="K3462" i="4"/>
  <c r="J3462" i="4"/>
  <c r="M3462" i="4" s="1" a="1"/>
  <c r="M3462" i="4" s="1"/>
  <c r="O3462" i="4" s="1"/>
  <c r="I3462" i="4"/>
  <c r="P3461" i="4"/>
  <c r="K3461" i="4"/>
  <c r="J3461" i="4"/>
  <c r="M3461" i="4" s="1" a="1"/>
  <c r="M3461" i="4" s="1"/>
  <c r="O3461" i="4" s="1"/>
  <c r="I3461" i="4"/>
  <c r="P3460" i="4"/>
  <c r="K3460" i="4"/>
  <c r="J3460" i="4"/>
  <c r="I3460" i="4"/>
  <c r="M3460" i="4" s="1" a="1"/>
  <c r="M3460" i="4" s="1"/>
  <c r="O3460" i="4" s="1"/>
  <c r="P3459" i="4"/>
  <c r="K3459" i="4"/>
  <c r="J3459" i="4"/>
  <c r="I3459" i="4"/>
  <c r="M3459" i="4" s="1" a="1"/>
  <c r="M3459" i="4" s="1"/>
  <c r="O3459" i="4" s="1"/>
  <c r="P3458" i="4"/>
  <c r="K3458" i="4"/>
  <c r="M3458" i="4" s="1" a="1"/>
  <c r="M3458" i="4" s="1"/>
  <c r="O3458" i="4" s="1"/>
  <c r="J3458" i="4"/>
  <c r="I3458" i="4"/>
  <c r="P3457" i="4"/>
  <c r="K3457" i="4"/>
  <c r="J3457" i="4"/>
  <c r="I3457" i="4"/>
  <c r="M3457" i="4" s="1" a="1"/>
  <c r="M3457" i="4" s="1"/>
  <c r="O3457" i="4" s="1"/>
  <c r="P3456" i="4"/>
  <c r="K3456" i="4"/>
  <c r="J3456" i="4"/>
  <c r="I3456" i="4"/>
  <c r="M3456" i="4" s="1" a="1"/>
  <c r="M3456" i="4" s="1"/>
  <c r="O3456" i="4" s="1"/>
  <c r="P3455" i="4"/>
  <c r="K3455" i="4"/>
  <c r="M3455" i="4" s="1" a="1"/>
  <c r="M3455" i="4" s="1"/>
  <c r="O3455" i="4" s="1"/>
  <c r="J3455" i="4"/>
  <c r="I3455" i="4"/>
  <c r="P3454" i="4"/>
  <c r="M3454" i="4" a="1"/>
  <c r="M3454" i="4" s="1"/>
  <c r="O3454" i="4" s="1"/>
  <c r="K3454" i="4"/>
  <c r="J3454" i="4"/>
  <c r="I3454" i="4"/>
  <c r="P3453" i="4"/>
  <c r="K3453" i="4"/>
  <c r="J3453" i="4"/>
  <c r="I3453" i="4"/>
  <c r="M3453" i="4" s="1" a="1"/>
  <c r="M3453" i="4" s="1"/>
  <c r="O3453" i="4" s="1"/>
  <c r="P3452" i="4"/>
  <c r="K3452" i="4"/>
  <c r="J3452" i="4"/>
  <c r="M3452" i="4" s="1" a="1"/>
  <c r="M3452" i="4" s="1"/>
  <c r="O3452" i="4" s="1"/>
  <c r="I3452" i="4"/>
  <c r="P3451" i="4"/>
  <c r="K3451" i="4"/>
  <c r="J3451" i="4"/>
  <c r="I3451" i="4"/>
  <c r="M3451" i="4" s="1" a="1"/>
  <c r="M3451" i="4" s="1"/>
  <c r="O3451" i="4" s="1"/>
  <c r="P3450" i="4"/>
  <c r="K3450" i="4"/>
  <c r="J3450" i="4"/>
  <c r="I3450" i="4"/>
  <c r="M3450" i="4" s="1" a="1"/>
  <c r="M3450" i="4" s="1"/>
  <c r="O3450" i="4" s="1"/>
  <c r="P3449" i="4"/>
  <c r="M3449" i="4" a="1"/>
  <c r="M3449" i="4" s="1"/>
  <c r="O3449" i="4" s="1"/>
  <c r="K3449" i="4"/>
  <c r="J3449" i="4"/>
  <c r="I3449" i="4"/>
  <c r="P3448" i="4"/>
  <c r="M3448" i="4" a="1"/>
  <c r="M3448" i="4" s="1"/>
  <c r="O3448" i="4" s="1"/>
  <c r="K3448" i="4"/>
  <c r="J3448" i="4"/>
  <c r="I3448" i="4"/>
  <c r="P3447" i="4"/>
  <c r="M3447" i="4"/>
  <c r="O3447" i="4" s="1"/>
  <c r="K3447" i="4"/>
  <c r="J3447" i="4"/>
  <c r="M3447" i="4" s="1" a="1"/>
  <c r="I3447" i="4"/>
  <c r="P3446" i="4"/>
  <c r="K3446" i="4"/>
  <c r="J3446" i="4"/>
  <c r="M3446" i="4" s="1" a="1"/>
  <c r="M3446" i="4" s="1"/>
  <c r="O3446" i="4" s="1"/>
  <c r="I3446" i="4"/>
  <c r="P3445" i="4"/>
  <c r="K3445" i="4"/>
  <c r="J3445" i="4"/>
  <c r="M3445" i="4" s="1" a="1"/>
  <c r="M3445" i="4" s="1"/>
  <c r="O3445" i="4" s="1"/>
  <c r="I3445" i="4"/>
  <c r="P3444" i="4"/>
  <c r="K3444" i="4"/>
  <c r="J3444" i="4"/>
  <c r="I3444" i="4"/>
  <c r="M3444" i="4" s="1" a="1"/>
  <c r="M3444" i="4" s="1"/>
  <c r="O3444" i="4" s="1"/>
  <c r="P3443" i="4"/>
  <c r="K3443" i="4"/>
  <c r="J3443" i="4"/>
  <c r="I3443" i="4"/>
  <c r="M3443" i="4" s="1" a="1"/>
  <c r="M3443" i="4" s="1"/>
  <c r="O3443" i="4" s="1"/>
  <c r="P3442" i="4"/>
  <c r="K3442" i="4"/>
  <c r="M3442" i="4" s="1" a="1"/>
  <c r="M3442" i="4" s="1"/>
  <c r="O3442" i="4" s="1"/>
  <c r="J3442" i="4"/>
  <c r="I3442" i="4"/>
  <c r="P3441" i="4"/>
  <c r="K3441" i="4"/>
  <c r="J3441" i="4"/>
  <c r="I3441" i="4"/>
  <c r="M3441" i="4" s="1" a="1"/>
  <c r="M3441" i="4" s="1"/>
  <c r="O3441" i="4" s="1"/>
  <c r="P3440" i="4"/>
  <c r="K3440" i="4"/>
  <c r="J3440" i="4"/>
  <c r="I3440" i="4"/>
  <c r="M3440" i="4" s="1" a="1"/>
  <c r="M3440" i="4" s="1"/>
  <c r="O3440" i="4" s="1"/>
  <c r="P3439" i="4"/>
  <c r="K3439" i="4"/>
  <c r="M3439" i="4" s="1" a="1"/>
  <c r="M3439" i="4" s="1"/>
  <c r="O3439" i="4" s="1"/>
  <c r="J3439" i="4"/>
  <c r="I3439" i="4"/>
  <c r="P3438" i="4"/>
  <c r="M3438" i="4" a="1"/>
  <c r="M3438" i="4" s="1"/>
  <c r="O3438" i="4" s="1"/>
  <c r="K3438" i="4"/>
  <c r="J3438" i="4"/>
  <c r="I3438" i="4"/>
  <c r="P3437" i="4"/>
  <c r="K3437" i="4"/>
  <c r="J3437" i="4"/>
  <c r="I3437" i="4"/>
  <c r="M3437" i="4" s="1" a="1"/>
  <c r="M3437" i="4" s="1"/>
  <c r="O3437" i="4" s="1"/>
  <c r="P3436" i="4"/>
  <c r="K3436" i="4"/>
  <c r="J3436" i="4"/>
  <c r="M3436" i="4" s="1" a="1"/>
  <c r="M3436" i="4" s="1"/>
  <c r="O3436" i="4" s="1"/>
  <c r="I3436" i="4"/>
  <c r="P3435" i="4"/>
  <c r="K3435" i="4"/>
  <c r="J3435" i="4"/>
  <c r="I3435" i="4"/>
  <c r="M3435" i="4" s="1" a="1"/>
  <c r="M3435" i="4" s="1"/>
  <c r="O3435" i="4" s="1"/>
  <c r="P3434" i="4"/>
  <c r="K3434" i="4"/>
  <c r="J3434" i="4"/>
  <c r="I3434" i="4"/>
  <c r="M3434" i="4" s="1" a="1"/>
  <c r="M3434" i="4" s="1"/>
  <c r="O3434" i="4" s="1"/>
  <c r="P3433" i="4"/>
  <c r="M3433" i="4" a="1"/>
  <c r="M3433" i="4" s="1"/>
  <c r="O3433" i="4" s="1"/>
  <c r="K3433" i="4"/>
  <c r="J3433" i="4"/>
  <c r="I3433" i="4"/>
  <c r="P3432" i="4"/>
  <c r="M3432" i="4" a="1"/>
  <c r="M3432" i="4" s="1"/>
  <c r="O3432" i="4" s="1"/>
  <c r="K3432" i="4"/>
  <c r="J3432" i="4"/>
  <c r="I3432" i="4"/>
  <c r="P3431" i="4"/>
  <c r="M3431" i="4"/>
  <c r="O3431" i="4" s="1"/>
  <c r="K3431" i="4"/>
  <c r="J3431" i="4"/>
  <c r="M3431" i="4" s="1" a="1"/>
  <c r="I3431" i="4"/>
  <c r="P3430" i="4"/>
  <c r="K3430" i="4"/>
  <c r="J3430" i="4"/>
  <c r="M3430" i="4" s="1" a="1"/>
  <c r="M3430" i="4" s="1"/>
  <c r="O3430" i="4" s="1"/>
  <c r="I3430" i="4"/>
  <c r="P3429" i="4"/>
  <c r="K3429" i="4"/>
  <c r="J3429" i="4"/>
  <c r="M3429" i="4" s="1" a="1"/>
  <c r="M3429" i="4" s="1"/>
  <c r="O3429" i="4" s="1"/>
  <c r="I3429" i="4"/>
  <c r="P3428" i="4"/>
  <c r="K3428" i="4"/>
  <c r="J3428" i="4"/>
  <c r="I3428" i="4"/>
  <c r="M3428" i="4" s="1" a="1"/>
  <c r="M3428" i="4" s="1"/>
  <c r="O3428" i="4" s="1"/>
  <c r="P3427" i="4"/>
  <c r="K3427" i="4"/>
  <c r="J3427" i="4"/>
  <c r="I3427" i="4"/>
  <c r="M3427" i="4" s="1" a="1"/>
  <c r="M3427" i="4" s="1"/>
  <c r="O3427" i="4" s="1"/>
  <c r="P3426" i="4"/>
  <c r="K3426" i="4"/>
  <c r="M3426" i="4" s="1" a="1"/>
  <c r="M3426" i="4" s="1"/>
  <c r="O3426" i="4" s="1"/>
  <c r="J3426" i="4"/>
  <c r="I3426" i="4"/>
  <c r="P3425" i="4"/>
  <c r="M3425" i="4"/>
  <c r="O3425" i="4" s="1"/>
  <c r="K3425" i="4"/>
  <c r="J3425" i="4"/>
  <c r="I3425" i="4"/>
  <c r="M3425" i="4" s="1" a="1"/>
  <c r="P3424" i="4"/>
  <c r="K3424" i="4"/>
  <c r="J3424" i="4"/>
  <c r="I3424" i="4"/>
  <c r="P3423" i="4"/>
  <c r="K3423" i="4"/>
  <c r="M3423" i="4" s="1" a="1"/>
  <c r="M3423" i="4" s="1"/>
  <c r="O3423" i="4" s="1"/>
  <c r="J3423" i="4"/>
  <c r="I3423" i="4"/>
  <c r="P3422" i="4"/>
  <c r="K3422" i="4"/>
  <c r="J3422" i="4"/>
  <c r="I3422" i="4"/>
  <c r="M3422" i="4" s="1" a="1"/>
  <c r="M3422" i="4" s="1"/>
  <c r="O3422" i="4" s="1"/>
  <c r="P3421" i="4"/>
  <c r="K3421" i="4"/>
  <c r="J3421" i="4"/>
  <c r="I3421" i="4"/>
  <c r="M3421" i="4" s="1" a="1"/>
  <c r="M3421" i="4" s="1"/>
  <c r="O3421" i="4" s="1"/>
  <c r="P3420" i="4"/>
  <c r="K3420" i="4"/>
  <c r="J3420" i="4"/>
  <c r="M3420" i="4" s="1" a="1"/>
  <c r="M3420" i="4" s="1"/>
  <c r="O3420" i="4" s="1"/>
  <c r="I3420" i="4"/>
  <c r="P3419" i="4"/>
  <c r="O3419" i="4"/>
  <c r="K3419" i="4"/>
  <c r="J3419" i="4"/>
  <c r="I3419" i="4"/>
  <c r="M3419" i="4" s="1" a="1"/>
  <c r="M3419" i="4" s="1"/>
  <c r="P3418" i="4"/>
  <c r="O3418" i="4"/>
  <c r="K3418" i="4"/>
  <c r="J3418" i="4"/>
  <c r="I3418" i="4"/>
  <c r="M3418" i="4" s="1" a="1"/>
  <c r="M3418" i="4" s="1"/>
  <c r="P3417" i="4"/>
  <c r="M3417" i="4" a="1"/>
  <c r="M3417" i="4" s="1"/>
  <c r="O3417" i="4" s="1"/>
  <c r="K3417" i="4"/>
  <c r="J3417" i="4"/>
  <c r="I3417" i="4"/>
  <c r="P3416" i="4"/>
  <c r="M3416" i="4" a="1"/>
  <c r="M3416" i="4" s="1"/>
  <c r="O3416" i="4" s="1"/>
  <c r="K3416" i="4"/>
  <c r="J3416" i="4"/>
  <c r="I3416" i="4"/>
  <c r="P3415" i="4"/>
  <c r="K3415" i="4"/>
  <c r="J3415" i="4"/>
  <c r="M3415" i="4" s="1" a="1"/>
  <c r="M3415" i="4" s="1"/>
  <c r="O3415" i="4" s="1"/>
  <c r="I3415" i="4"/>
  <c r="P3414" i="4"/>
  <c r="K3414" i="4"/>
  <c r="J3414" i="4"/>
  <c r="M3414" i="4" s="1" a="1"/>
  <c r="M3414" i="4" s="1"/>
  <c r="O3414" i="4" s="1"/>
  <c r="I3414" i="4"/>
  <c r="P3413" i="4"/>
  <c r="K3413" i="4"/>
  <c r="J3413" i="4"/>
  <c r="I3413" i="4"/>
  <c r="P3412" i="4"/>
  <c r="K3412" i="4"/>
  <c r="J3412" i="4"/>
  <c r="I3412" i="4"/>
  <c r="M3412" i="4" s="1" a="1"/>
  <c r="M3412" i="4" s="1"/>
  <c r="O3412" i="4" s="1"/>
  <c r="P3411" i="4"/>
  <c r="K3411" i="4"/>
  <c r="J3411" i="4"/>
  <c r="I3411" i="4"/>
  <c r="M3411" i="4" s="1" a="1"/>
  <c r="M3411" i="4" s="1"/>
  <c r="O3411" i="4" s="1"/>
  <c r="P3410" i="4"/>
  <c r="K3410" i="4"/>
  <c r="M3410" i="4" s="1" a="1"/>
  <c r="M3410" i="4" s="1"/>
  <c r="O3410" i="4" s="1"/>
  <c r="J3410" i="4"/>
  <c r="I3410" i="4"/>
  <c r="P3409" i="4"/>
  <c r="K3409" i="4"/>
  <c r="J3409" i="4"/>
  <c r="I3409" i="4"/>
  <c r="M3409" i="4" s="1" a="1"/>
  <c r="M3409" i="4" s="1"/>
  <c r="O3409" i="4" s="1"/>
  <c r="P3408" i="4"/>
  <c r="K3408" i="4"/>
  <c r="J3408" i="4"/>
  <c r="I3408" i="4"/>
  <c r="M3408" i="4" s="1" a="1"/>
  <c r="M3408" i="4" s="1"/>
  <c r="O3408" i="4" s="1"/>
  <c r="P3407" i="4"/>
  <c r="K3407" i="4"/>
  <c r="M3407" i="4" s="1" a="1"/>
  <c r="M3407" i="4" s="1"/>
  <c r="O3407" i="4" s="1"/>
  <c r="J3407" i="4"/>
  <c r="I3407" i="4"/>
  <c r="P3406" i="4"/>
  <c r="M3406" i="4" a="1"/>
  <c r="M3406" i="4" s="1"/>
  <c r="O3406" i="4" s="1"/>
  <c r="K3406" i="4"/>
  <c r="J3406" i="4"/>
  <c r="I3406" i="4"/>
  <c r="P3405" i="4"/>
  <c r="K3405" i="4"/>
  <c r="J3405" i="4"/>
  <c r="I3405" i="4"/>
  <c r="M3405" i="4" s="1" a="1"/>
  <c r="M3405" i="4" s="1"/>
  <c r="O3405" i="4" s="1"/>
  <c r="P3404" i="4"/>
  <c r="K3404" i="4"/>
  <c r="J3404" i="4"/>
  <c r="M3404" i="4" s="1" a="1"/>
  <c r="M3404" i="4" s="1"/>
  <c r="O3404" i="4" s="1"/>
  <c r="I3404" i="4"/>
  <c r="P3403" i="4"/>
  <c r="K3403" i="4"/>
  <c r="J3403" i="4"/>
  <c r="I3403" i="4"/>
  <c r="M3403" i="4" s="1" a="1"/>
  <c r="M3403" i="4" s="1"/>
  <c r="O3403" i="4" s="1"/>
  <c r="P3402" i="4"/>
  <c r="K3402" i="4"/>
  <c r="J3402" i="4"/>
  <c r="I3402" i="4"/>
  <c r="M3402" i="4" s="1" a="1"/>
  <c r="M3402" i="4" s="1"/>
  <c r="O3402" i="4" s="1"/>
  <c r="P3401" i="4"/>
  <c r="M3401" i="4" a="1"/>
  <c r="M3401" i="4" s="1"/>
  <c r="O3401" i="4" s="1"/>
  <c r="K3401" i="4"/>
  <c r="J3401" i="4"/>
  <c r="I3401" i="4"/>
  <c r="P3400" i="4"/>
  <c r="M3400" i="4" a="1"/>
  <c r="M3400" i="4" s="1"/>
  <c r="O3400" i="4" s="1"/>
  <c r="K3400" i="4"/>
  <c r="J3400" i="4"/>
  <c r="I3400" i="4"/>
  <c r="P3399" i="4"/>
  <c r="K3399" i="4"/>
  <c r="J3399" i="4"/>
  <c r="I3399" i="4"/>
  <c r="M3399" i="4" s="1" a="1"/>
  <c r="M3399" i="4" s="1"/>
  <c r="O3399" i="4" s="1"/>
  <c r="P3398" i="4"/>
  <c r="M3398" i="4" a="1"/>
  <c r="M3398" i="4" s="1"/>
  <c r="O3398" i="4" s="1"/>
  <c r="K3398" i="4"/>
  <c r="J3398" i="4"/>
  <c r="I3398" i="4"/>
  <c r="P3397" i="4"/>
  <c r="K3397" i="4"/>
  <c r="J3397" i="4"/>
  <c r="M3397" i="4" s="1" a="1"/>
  <c r="M3397" i="4" s="1"/>
  <c r="O3397" i="4" s="1"/>
  <c r="I3397" i="4"/>
  <c r="P3396" i="4"/>
  <c r="K3396" i="4"/>
  <c r="J3396" i="4"/>
  <c r="I3396" i="4"/>
  <c r="P3395" i="4"/>
  <c r="K3395" i="4"/>
  <c r="J3395" i="4"/>
  <c r="I3395" i="4"/>
  <c r="M3395" i="4" s="1" a="1"/>
  <c r="M3395" i="4" s="1"/>
  <c r="O3395" i="4" s="1"/>
  <c r="P3394" i="4"/>
  <c r="K3394" i="4"/>
  <c r="M3394" i="4" s="1" a="1"/>
  <c r="M3394" i="4" s="1"/>
  <c r="O3394" i="4" s="1"/>
  <c r="J3394" i="4"/>
  <c r="I3394" i="4"/>
  <c r="P3393" i="4"/>
  <c r="K3393" i="4"/>
  <c r="J3393" i="4"/>
  <c r="I3393" i="4"/>
  <c r="M3393" i="4" s="1" a="1"/>
  <c r="M3393" i="4" s="1"/>
  <c r="O3393" i="4" s="1"/>
  <c r="P3392" i="4"/>
  <c r="K3392" i="4"/>
  <c r="J3392" i="4"/>
  <c r="I3392" i="4"/>
  <c r="M3392" i="4" s="1" a="1"/>
  <c r="M3392" i="4" s="1"/>
  <c r="O3392" i="4" s="1"/>
  <c r="P3391" i="4"/>
  <c r="M3391" i="4"/>
  <c r="O3391" i="4" s="1"/>
  <c r="K3391" i="4"/>
  <c r="M3391" i="4" s="1" a="1"/>
  <c r="J3391" i="4"/>
  <c r="I3391" i="4"/>
  <c r="P3390" i="4"/>
  <c r="K3390" i="4"/>
  <c r="J3390" i="4"/>
  <c r="I3390" i="4"/>
  <c r="M3390" i="4" s="1" a="1"/>
  <c r="M3390" i="4" s="1"/>
  <c r="O3390" i="4" s="1"/>
  <c r="P3389" i="4"/>
  <c r="K3389" i="4"/>
  <c r="J3389" i="4"/>
  <c r="I3389" i="4"/>
  <c r="M3389" i="4" s="1" a="1"/>
  <c r="M3389" i="4" s="1"/>
  <c r="O3389" i="4" s="1"/>
  <c r="P3388" i="4"/>
  <c r="K3388" i="4"/>
  <c r="J3388" i="4"/>
  <c r="M3388" i="4" s="1" a="1"/>
  <c r="M3388" i="4" s="1"/>
  <c r="O3388" i="4" s="1"/>
  <c r="I3388" i="4"/>
  <c r="P3387" i="4"/>
  <c r="O3387" i="4"/>
  <c r="K3387" i="4"/>
  <c r="J3387" i="4"/>
  <c r="I3387" i="4"/>
  <c r="M3387" i="4" s="1" a="1"/>
  <c r="M3387" i="4" s="1"/>
  <c r="P3386" i="4"/>
  <c r="O3386" i="4"/>
  <c r="K3386" i="4"/>
  <c r="J3386" i="4"/>
  <c r="I3386" i="4"/>
  <c r="M3386" i="4" s="1" a="1"/>
  <c r="M3386" i="4" s="1"/>
  <c r="P3385" i="4"/>
  <c r="M3385" i="4" a="1"/>
  <c r="M3385" i="4" s="1"/>
  <c r="O3385" i="4" s="1"/>
  <c r="K3385" i="4"/>
  <c r="J3385" i="4"/>
  <c r="I3385" i="4"/>
  <c r="P3384" i="4"/>
  <c r="M3384" i="4" a="1"/>
  <c r="M3384" i="4" s="1"/>
  <c r="O3384" i="4" s="1"/>
  <c r="K3384" i="4"/>
  <c r="J3384" i="4"/>
  <c r="I3384" i="4"/>
  <c r="P3383" i="4"/>
  <c r="K3383" i="4"/>
  <c r="J3383" i="4"/>
  <c r="I3383" i="4"/>
  <c r="P3382" i="4"/>
  <c r="K3382" i="4"/>
  <c r="J3382" i="4"/>
  <c r="M3382" i="4" s="1" a="1"/>
  <c r="M3382" i="4" s="1"/>
  <c r="O3382" i="4" s="1"/>
  <c r="I3382" i="4"/>
  <c r="P3381" i="4"/>
  <c r="K3381" i="4"/>
  <c r="J3381" i="4"/>
  <c r="M3381" i="4" s="1" a="1"/>
  <c r="M3381" i="4" s="1"/>
  <c r="O3381" i="4" s="1"/>
  <c r="I3381" i="4"/>
  <c r="P3380" i="4"/>
  <c r="K3380" i="4"/>
  <c r="J3380" i="4"/>
  <c r="I3380" i="4"/>
  <c r="M3380" i="4" s="1" a="1"/>
  <c r="M3380" i="4" s="1"/>
  <c r="O3380" i="4" s="1"/>
  <c r="P3379" i="4"/>
  <c r="K3379" i="4"/>
  <c r="J3379" i="4"/>
  <c r="I3379" i="4"/>
  <c r="M3379" i="4" s="1" a="1"/>
  <c r="M3379" i="4" s="1"/>
  <c r="O3379" i="4" s="1"/>
  <c r="P3378" i="4"/>
  <c r="K3378" i="4"/>
  <c r="M3378" i="4" s="1" a="1"/>
  <c r="M3378" i="4" s="1"/>
  <c r="O3378" i="4" s="1"/>
  <c r="J3378" i="4"/>
  <c r="I3378" i="4"/>
  <c r="P3377" i="4"/>
  <c r="M3377" i="4"/>
  <c r="O3377" i="4" s="1"/>
  <c r="K3377" i="4"/>
  <c r="J3377" i="4"/>
  <c r="I3377" i="4"/>
  <c r="M3377" i="4" s="1" a="1"/>
  <c r="P3376" i="4"/>
  <c r="K3376" i="4"/>
  <c r="J3376" i="4"/>
  <c r="I3376" i="4"/>
  <c r="P3375" i="4"/>
  <c r="M3375" i="4"/>
  <c r="O3375" i="4" s="1"/>
  <c r="K3375" i="4"/>
  <c r="M3375" i="4" s="1" a="1"/>
  <c r="J3375" i="4"/>
  <c r="I3375" i="4"/>
  <c r="P3374" i="4"/>
  <c r="K3374" i="4"/>
  <c r="J3374" i="4"/>
  <c r="I3374" i="4"/>
  <c r="M3374" i="4" s="1" a="1"/>
  <c r="M3374" i="4" s="1"/>
  <c r="O3374" i="4" s="1"/>
  <c r="P3373" i="4"/>
  <c r="K3373" i="4"/>
  <c r="J3373" i="4"/>
  <c r="I3373" i="4"/>
  <c r="M3373" i="4" s="1" a="1"/>
  <c r="M3373" i="4" s="1"/>
  <c r="O3373" i="4" s="1"/>
  <c r="P3372" i="4"/>
  <c r="K3372" i="4"/>
  <c r="J3372" i="4"/>
  <c r="M3372" i="4" s="1" a="1"/>
  <c r="M3372" i="4" s="1"/>
  <c r="O3372" i="4" s="1"/>
  <c r="I3372" i="4"/>
  <c r="P3371" i="4"/>
  <c r="O3371" i="4"/>
  <c r="K3371" i="4"/>
  <c r="J3371" i="4"/>
  <c r="I3371" i="4"/>
  <c r="M3371" i="4" s="1" a="1"/>
  <c r="M3371" i="4" s="1"/>
  <c r="P3370" i="4"/>
  <c r="O3370" i="4"/>
  <c r="K3370" i="4"/>
  <c r="J3370" i="4"/>
  <c r="I3370" i="4"/>
  <c r="M3370" i="4" s="1" a="1"/>
  <c r="M3370" i="4" s="1"/>
  <c r="P3369" i="4"/>
  <c r="M3369" i="4" a="1"/>
  <c r="M3369" i="4" s="1"/>
  <c r="O3369" i="4" s="1"/>
  <c r="K3369" i="4"/>
  <c r="J3369" i="4"/>
  <c r="I3369" i="4"/>
  <c r="P3368" i="4"/>
  <c r="M3368" i="4" a="1"/>
  <c r="M3368" i="4" s="1"/>
  <c r="O3368" i="4" s="1"/>
  <c r="K3368" i="4"/>
  <c r="J3368" i="4"/>
  <c r="I3368" i="4"/>
  <c r="P3367" i="4"/>
  <c r="K3367" i="4"/>
  <c r="J3367" i="4"/>
  <c r="I3367" i="4"/>
  <c r="P3366" i="4"/>
  <c r="M3366" i="4" a="1"/>
  <c r="M3366" i="4" s="1"/>
  <c r="O3366" i="4" s="1"/>
  <c r="K3366" i="4"/>
  <c r="J3366" i="4"/>
  <c r="I3366" i="4"/>
  <c r="P3365" i="4"/>
  <c r="K3365" i="4"/>
  <c r="M3365" i="4" s="1" a="1"/>
  <c r="M3365" i="4" s="1"/>
  <c r="O3365" i="4" s="1"/>
  <c r="J3365" i="4"/>
  <c r="I3365" i="4"/>
  <c r="P3364" i="4"/>
  <c r="K3364" i="4"/>
  <c r="J3364" i="4"/>
  <c r="I3364" i="4"/>
  <c r="P3363" i="4"/>
  <c r="K3363" i="4"/>
  <c r="J3363" i="4"/>
  <c r="I3363" i="4"/>
  <c r="M3363" i="4" s="1" a="1"/>
  <c r="M3363" i="4" s="1"/>
  <c r="O3363" i="4" s="1"/>
  <c r="P3362" i="4"/>
  <c r="K3362" i="4"/>
  <c r="M3362" i="4" s="1" a="1"/>
  <c r="M3362" i="4" s="1"/>
  <c r="O3362" i="4" s="1"/>
  <c r="J3362" i="4"/>
  <c r="I3362" i="4"/>
  <c r="P3361" i="4"/>
  <c r="K3361" i="4"/>
  <c r="J3361" i="4"/>
  <c r="I3361" i="4"/>
  <c r="M3361" i="4" s="1" a="1"/>
  <c r="M3361" i="4" s="1"/>
  <c r="O3361" i="4" s="1"/>
  <c r="P3360" i="4"/>
  <c r="K3360" i="4"/>
  <c r="J3360" i="4"/>
  <c r="I3360" i="4"/>
  <c r="M3360" i="4" s="1" a="1"/>
  <c r="M3360" i="4" s="1"/>
  <c r="O3360" i="4" s="1"/>
  <c r="P3359" i="4"/>
  <c r="M3359" i="4"/>
  <c r="O3359" i="4" s="1"/>
  <c r="K3359" i="4"/>
  <c r="M3359" i="4" s="1" a="1"/>
  <c r="J3359" i="4"/>
  <c r="I3359" i="4"/>
  <c r="P3358" i="4"/>
  <c r="K3358" i="4"/>
  <c r="J3358" i="4"/>
  <c r="I3358" i="4"/>
  <c r="M3358" i="4" s="1" a="1"/>
  <c r="M3358" i="4" s="1"/>
  <c r="O3358" i="4" s="1"/>
  <c r="P3357" i="4"/>
  <c r="K3357" i="4"/>
  <c r="J3357" i="4"/>
  <c r="I3357" i="4"/>
  <c r="M3357" i="4" s="1" a="1"/>
  <c r="M3357" i="4" s="1"/>
  <c r="O3357" i="4" s="1"/>
  <c r="P3356" i="4"/>
  <c r="M3356" i="4"/>
  <c r="O3356" i="4" s="1"/>
  <c r="K3356" i="4"/>
  <c r="J3356" i="4"/>
  <c r="M3356" i="4" s="1" a="1"/>
  <c r="I3356" i="4"/>
  <c r="P3355" i="4"/>
  <c r="K3355" i="4"/>
  <c r="J3355" i="4"/>
  <c r="I3355" i="4"/>
  <c r="M3355" i="4" s="1" a="1"/>
  <c r="M3355" i="4" s="1"/>
  <c r="O3355" i="4" s="1"/>
  <c r="P3354" i="4"/>
  <c r="K3354" i="4"/>
  <c r="J3354" i="4"/>
  <c r="I3354" i="4"/>
  <c r="M3354" i="4" s="1" a="1"/>
  <c r="M3354" i="4" s="1"/>
  <c r="O3354" i="4" s="1"/>
  <c r="P3353" i="4"/>
  <c r="M3353" i="4" a="1"/>
  <c r="M3353" i="4" s="1"/>
  <c r="O3353" i="4" s="1"/>
  <c r="K3353" i="4"/>
  <c r="J3353" i="4"/>
  <c r="I3353" i="4"/>
  <c r="P3352" i="4"/>
  <c r="O3352" i="4"/>
  <c r="K3352" i="4"/>
  <c r="J3352" i="4"/>
  <c r="I3352" i="4"/>
  <c r="M3352" i="4" s="1" a="1"/>
  <c r="M3352" i="4" s="1"/>
  <c r="P3351" i="4"/>
  <c r="K3351" i="4"/>
  <c r="J3351" i="4"/>
  <c r="I3351" i="4"/>
  <c r="M3351" i="4" s="1" a="1"/>
  <c r="M3351" i="4" s="1"/>
  <c r="O3351" i="4" s="1"/>
  <c r="P3350" i="4"/>
  <c r="K3350" i="4"/>
  <c r="J3350" i="4"/>
  <c r="M3350" i="4" s="1" a="1"/>
  <c r="M3350" i="4" s="1"/>
  <c r="O3350" i="4" s="1"/>
  <c r="I3350" i="4"/>
  <c r="P3349" i="4"/>
  <c r="M3349" i="4"/>
  <c r="O3349" i="4" s="1"/>
  <c r="K3349" i="4"/>
  <c r="M3349" i="4" s="1" a="1"/>
  <c r="J3349" i="4"/>
  <c r="I3349" i="4"/>
  <c r="P3348" i="4"/>
  <c r="K3348" i="4"/>
  <c r="J3348" i="4"/>
  <c r="I3348" i="4"/>
  <c r="M3348" i="4" s="1" a="1"/>
  <c r="M3348" i="4" s="1"/>
  <c r="O3348" i="4" s="1"/>
  <c r="P3347" i="4"/>
  <c r="K3347" i="4"/>
  <c r="J3347" i="4"/>
  <c r="I3347" i="4"/>
  <c r="M3347" i="4" s="1" a="1"/>
  <c r="M3347" i="4" s="1"/>
  <c r="O3347" i="4" s="1"/>
  <c r="P3346" i="4"/>
  <c r="K3346" i="4"/>
  <c r="M3346" i="4" s="1" a="1"/>
  <c r="M3346" i="4" s="1"/>
  <c r="O3346" i="4" s="1"/>
  <c r="J3346" i="4"/>
  <c r="I3346" i="4"/>
  <c r="P3345" i="4"/>
  <c r="K3345" i="4"/>
  <c r="J3345" i="4"/>
  <c r="I3345" i="4"/>
  <c r="M3345" i="4" s="1" a="1"/>
  <c r="M3345" i="4" s="1"/>
  <c r="O3345" i="4" s="1"/>
  <c r="P3344" i="4"/>
  <c r="K3344" i="4"/>
  <c r="J3344" i="4"/>
  <c r="I3344" i="4"/>
  <c r="M3344" i="4" s="1" a="1"/>
  <c r="M3344" i="4" s="1"/>
  <c r="O3344" i="4" s="1"/>
  <c r="P3343" i="4"/>
  <c r="M3343" i="4" a="1"/>
  <c r="M3343" i="4" s="1"/>
  <c r="O3343" i="4" s="1"/>
  <c r="K3343" i="4"/>
  <c r="J3343" i="4"/>
  <c r="I3343" i="4"/>
  <c r="P3342" i="4"/>
  <c r="K3342" i="4"/>
  <c r="J3342" i="4"/>
  <c r="I3342" i="4"/>
  <c r="M3342" i="4" s="1" a="1"/>
  <c r="M3342" i="4" s="1"/>
  <c r="O3342" i="4" s="1"/>
  <c r="P3341" i="4"/>
  <c r="K3341" i="4"/>
  <c r="J3341" i="4"/>
  <c r="I3341" i="4"/>
  <c r="M3341" i="4" s="1" a="1"/>
  <c r="M3341" i="4" s="1"/>
  <c r="O3341" i="4" s="1"/>
  <c r="P3340" i="4"/>
  <c r="K3340" i="4"/>
  <c r="J3340" i="4"/>
  <c r="M3340" i="4" s="1" a="1"/>
  <c r="M3340" i="4" s="1"/>
  <c r="O3340" i="4" s="1"/>
  <c r="I3340" i="4"/>
  <c r="P3339" i="4"/>
  <c r="M3339" i="4" a="1"/>
  <c r="M3339" i="4" s="1"/>
  <c r="O3339" i="4" s="1"/>
  <c r="K3339" i="4"/>
  <c r="J3339" i="4"/>
  <c r="I3339" i="4"/>
  <c r="P3338" i="4"/>
  <c r="K3338" i="4"/>
  <c r="J3338" i="4"/>
  <c r="I3338" i="4"/>
  <c r="P3337" i="4"/>
  <c r="K3337" i="4"/>
  <c r="J3337" i="4"/>
  <c r="M3337" i="4" s="1" a="1"/>
  <c r="M3337" i="4" s="1"/>
  <c r="O3337" i="4" s="1"/>
  <c r="I3337" i="4"/>
  <c r="P3336" i="4"/>
  <c r="M3336" i="4" a="1"/>
  <c r="M3336" i="4" s="1"/>
  <c r="O3336" i="4" s="1"/>
  <c r="K3336" i="4"/>
  <c r="J3336" i="4"/>
  <c r="I3336" i="4"/>
  <c r="P3335" i="4"/>
  <c r="M3335" i="4"/>
  <c r="O3335" i="4" s="1"/>
  <c r="K3335" i="4"/>
  <c r="J3335" i="4"/>
  <c r="I3335" i="4"/>
  <c r="M3335" i="4" s="1" a="1"/>
  <c r="P3334" i="4"/>
  <c r="K3334" i="4"/>
  <c r="J3334" i="4"/>
  <c r="M3334" i="4" s="1" a="1"/>
  <c r="M3334" i="4" s="1"/>
  <c r="O3334" i="4" s="1"/>
  <c r="I3334" i="4"/>
  <c r="P3333" i="4"/>
  <c r="M3333" i="4"/>
  <c r="O3333" i="4" s="1"/>
  <c r="K3333" i="4"/>
  <c r="M3333" i="4" s="1" a="1"/>
  <c r="J3333" i="4"/>
  <c r="I3333" i="4"/>
  <c r="P3332" i="4"/>
  <c r="K3332" i="4"/>
  <c r="J3332" i="4"/>
  <c r="I3332" i="4"/>
  <c r="P3331" i="4"/>
  <c r="K3331" i="4"/>
  <c r="J3331" i="4"/>
  <c r="I3331" i="4"/>
  <c r="M3331" i="4" s="1" a="1"/>
  <c r="M3331" i="4" s="1"/>
  <c r="O3331" i="4" s="1"/>
  <c r="P3330" i="4"/>
  <c r="M3330" i="4"/>
  <c r="O3330" i="4" s="1"/>
  <c r="M3330" i="4" a="1"/>
  <c r="K3330" i="4"/>
  <c r="J3330" i="4"/>
  <c r="I3330" i="4"/>
  <c r="P3329" i="4"/>
  <c r="K3329" i="4"/>
  <c r="J3329" i="4"/>
  <c r="I3329" i="4"/>
  <c r="M3329" i="4" s="1" a="1"/>
  <c r="M3329" i="4" s="1"/>
  <c r="O3329" i="4" s="1"/>
  <c r="P3328" i="4"/>
  <c r="K3328" i="4"/>
  <c r="J3328" i="4"/>
  <c r="I3328" i="4"/>
  <c r="P3327" i="4"/>
  <c r="K3327" i="4"/>
  <c r="J3327" i="4"/>
  <c r="M3327" i="4" s="1" a="1"/>
  <c r="M3327" i="4" s="1"/>
  <c r="O3327" i="4" s="1"/>
  <c r="I3327" i="4"/>
  <c r="P3326" i="4"/>
  <c r="M3326" i="4" a="1"/>
  <c r="M3326" i="4" s="1"/>
  <c r="O3326" i="4" s="1"/>
  <c r="K3326" i="4"/>
  <c r="J3326" i="4"/>
  <c r="I3326" i="4"/>
  <c r="P3325" i="4"/>
  <c r="K3325" i="4"/>
  <c r="J3325" i="4"/>
  <c r="I3325" i="4"/>
  <c r="P3324" i="4"/>
  <c r="M3324" i="4" a="1"/>
  <c r="M3324" i="4" s="1"/>
  <c r="O3324" i="4" s="1"/>
  <c r="K3324" i="4"/>
  <c r="J3324" i="4"/>
  <c r="I3324" i="4"/>
  <c r="P3323" i="4"/>
  <c r="K3323" i="4"/>
  <c r="J3323" i="4"/>
  <c r="I3323" i="4"/>
  <c r="M3323" i="4" s="1" a="1"/>
  <c r="M3323" i="4" s="1"/>
  <c r="O3323" i="4" s="1"/>
  <c r="P3322" i="4"/>
  <c r="K3322" i="4"/>
  <c r="J3322" i="4"/>
  <c r="I3322" i="4"/>
  <c r="M3322" i="4" s="1" a="1"/>
  <c r="M3322" i="4" s="1"/>
  <c r="O3322" i="4" s="1"/>
  <c r="P3321" i="4"/>
  <c r="M3321" i="4" a="1"/>
  <c r="M3321" i="4" s="1"/>
  <c r="O3321" i="4" s="1"/>
  <c r="K3321" i="4"/>
  <c r="J3321" i="4"/>
  <c r="I3321" i="4"/>
  <c r="P3320" i="4"/>
  <c r="K3320" i="4"/>
  <c r="M3320" i="4" s="1" a="1"/>
  <c r="M3320" i="4" s="1"/>
  <c r="O3320" i="4" s="1"/>
  <c r="J3320" i="4"/>
  <c r="I3320" i="4"/>
  <c r="P3319" i="4"/>
  <c r="M3319" i="4"/>
  <c r="O3319" i="4" s="1"/>
  <c r="K3319" i="4"/>
  <c r="J3319" i="4"/>
  <c r="I3319" i="4"/>
  <c r="M3319" i="4" s="1" a="1"/>
  <c r="P3318" i="4"/>
  <c r="K3318" i="4"/>
  <c r="J3318" i="4"/>
  <c r="M3318" i="4" s="1" a="1"/>
  <c r="M3318" i="4" s="1"/>
  <c r="O3318" i="4" s="1"/>
  <c r="I3318" i="4"/>
  <c r="P3317" i="4"/>
  <c r="M3317" i="4"/>
  <c r="O3317" i="4" s="1"/>
  <c r="M3317" i="4" a="1"/>
  <c r="K3317" i="4"/>
  <c r="J3317" i="4"/>
  <c r="I3317" i="4"/>
  <c r="P3316" i="4"/>
  <c r="O3316" i="4"/>
  <c r="K3316" i="4"/>
  <c r="J3316" i="4"/>
  <c r="I3316" i="4"/>
  <c r="M3316" i="4" s="1" a="1"/>
  <c r="M3316" i="4" s="1"/>
  <c r="P3315" i="4"/>
  <c r="K3315" i="4"/>
  <c r="J3315" i="4"/>
  <c r="I3315" i="4"/>
  <c r="M3315" i="4" s="1" a="1"/>
  <c r="M3315" i="4" s="1"/>
  <c r="O3315" i="4" s="1"/>
  <c r="P3314" i="4"/>
  <c r="K3314" i="4"/>
  <c r="M3314" i="4" s="1" a="1"/>
  <c r="M3314" i="4" s="1"/>
  <c r="O3314" i="4" s="1"/>
  <c r="J3314" i="4"/>
  <c r="I3314" i="4"/>
  <c r="P3313" i="4"/>
  <c r="K3313" i="4"/>
  <c r="J3313" i="4"/>
  <c r="M3313" i="4" s="1" a="1"/>
  <c r="M3313" i="4" s="1"/>
  <c r="O3313" i="4" s="1"/>
  <c r="I3313" i="4"/>
  <c r="P3312" i="4"/>
  <c r="K3312" i="4"/>
  <c r="J3312" i="4"/>
  <c r="I3312" i="4"/>
  <c r="P3311" i="4"/>
  <c r="K3311" i="4"/>
  <c r="M3311" i="4" s="1" a="1"/>
  <c r="M3311" i="4" s="1"/>
  <c r="O3311" i="4" s="1"/>
  <c r="J3311" i="4"/>
  <c r="I3311" i="4"/>
  <c r="P3310" i="4"/>
  <c r="K3310" i="4"/>
  <c r="J3310" i="4"/>
  <c r="I3310" i="4"/>
  <c r="M3310" i="4" s="1" a="1"/>
  <c r="M3310" i="4" s="1"/>
  <c r="O3310" i="4" s="1"/>
  <c r="P3309" i="4"/>
  <c r="O3309" i="4"/>
  <c r="K3309" i="4"/>
  <c r="J3309" i="4"/>
  <c r="I3309" i="4"/>
  <c r="M3309" i="4" s="1" a="1"/>
  <c r="M3309" i="4" s="1"/>
  <c r="P3308" i="4"/>
  <c r="K3308" i="4"/>
  <c r="J3308" i="4"/>
  <c r="I3308" i="4"/>
  <c r="M3308" i="4" s="1" a="1"/>
  <c r="M3308" i="4" s="1"/>
  <c r="O3308" i="4" s="1"/>
  <c r="P3307" i="4"/>
  <c r="K3307" i="4"/>
  <c r="J3307" i="4"/>
  <c r="I3307" i="4"/>
  <c r="M3307" i="4" s="1" a="1"/>
  <c r="M3307" i="4" s="1"/>
  <c r="O3307" i="4" s="1"/>
  <c r="P3306" i="4"/>
  <c r="K3306" i="4"/>
  <c r="J3306" i="4"/>
  <c r="I3306" i="4"/>
  <c r="P3305" i="4"/>
  <c r="K3305" i="4"/>
  <c r="J3305" i="4"/>
  <c r="M3305" i="4" s="1" a="1"/>
  <c r="M3305" i="4" s="1"/>
  <c r="O3305" i="4" s="1"/>
  <c r="I3305" i="4"/>
  <c r="P3304" i="4"/>
  <c r="M3304" i="4"/>
  <c r="O3304" i="4" s="1"/>
  <c r="M3304" i="4" a="1"/>
  <c r="K3304" i="4"/>
  <c r="J3304" i="4"/>
  <c r="I3304" i="4"/>
  <c r="P3303" i="4"/>
  <c r="O3303" i="4"/>
  <c r="K3303" i="4"/>
  <c r="J3303" i="4"/>
  <c r="I3303" i="4"/>
  <c r="M3303" i="4" s="1" a="1"/>
  <c r="M3303" i="4" s="1"/>
  <c r="P3302" i="4"/>
  <c r="K3302" i="4"/>
  <c r="J3302" i="4"/>
  <c r="I3302" i="4"/>
  <c r="M3302" i="4" s="1" a="1"/>
  <c r="M3302" i="4" s="1"/>
  <c r="O3302" i="4" s="1"/>
  <c r="P3301" i="4"/>
  <c r="K3301" i="4"/>
  <c r="J3301" i="4"/>
  <c r="M3301" i="4" s="1" a="1"/>
  <c r="M3301" i="4" s="1"/>
  <c r="O3301" i="4" s="1"/>
  <c r="I3301" i="4"/>
  <c r="P3300" i="4"/>
  <c r="K3300" i="4"/>
  <c r="J3300" i="4"/>
  <c r="I3300" i="4"/>
  <c r="P3299" i="4"/>
  <c r="M3299" i="4" a="1"/>
  <c r="M3299" i="4" s="1"/>
  <c r="O3299" i="4" s="1"/>
  <c r="K3299" i="4"/>
  <c r="J3299" i="4"/>
  <c r="I3299" i="4"/>
  <c r="P3298" i="4"/>
  <c r="M3298" i="4" a="1"/>
  <c r="M3298" i="4" s="1"/>
  <c r="O3298" i="4" s="1"/>
  <c r="K3298" i="4"/>
  <c r="J3298" i="4"/>
  <c r="I3298" i="4"/>
  <c r="P3297" i="4"/>
  <c r="K3297" i="4"/>
  <c r="J3297" i="4"/>
  <c r="I3297" i="4"/>
  <c r="M3297" i="4" s="1" a="1"/>
  <c r="M3297" i="4" s="1"/>
  <c r="O3297" i="4" s="1"/>
  <c r="P3296" i="4"/>
  <c r="K3296" i="4"/>
  <c r="J3296" i="4"/>
  <c r="I3296" i="4"/>
  <c r="M3296" i="4" s="1" a="1"/>
  <c r="M3296" i="4" s="1"/>
  <c r="O3296" i="4" s="1"/>
  <c r="P3295" i="4"/>
  <c r="K3295" i="4"/>
  <c r="J3295" i="4"/>
  <c r="M3295" i="4" s="1" a="1"/>
  <c r="M3295" i="4" s="1"/>
  <c r="O3295" i="4" s="1"/>
  <c r="I3295" i="4"/>
  <c r="P3294" i="4"/>
  <c r="M3294" i="4" a="1"/>
  <c r="M3294" i="4" s="1"/>
  <c r="O3294" i="4" s="1"/>
  <c r="K3294" i="4"/>
  <c r="J3294" i="4"/>
  <c r="I3294" i="4"/>
  <c r="P3293" i="4"/>
  <c r="K3293" i="4"/>
  <c r="J3293" i="4"/>
  <c r="I3293" i="4"/>
  <c r="P3292" i="4"/>
  <c r="K3292" i="4"/>
  <c r="J3292" i="4"/>
  <c r="I3292" i="4"/>
  <c r="M3292" i="4" s="1" a="1"/>
  <c r="M3292" i="4" s="1"/>
  <c r="O3292" i="4" s="1"/>
  <c r="P3291" i="4"/>
  <c r="M3291" i="4" a="1"/>
  <c r="M3291" i="4" s="1"/>
  <c r="O3291" i="4" s="1"/>
  <c r="K3291" i="4"/>
  <c r="J3291" i="4"/>
  <c r="I3291" i="4"/>
  <c r="P3290" i="4"/>
  <c r="M3290" i="4" a="1"/>
  <c r="M3290" i="4" s="1"/>
  <c r="O3290" i="4" s="1"/>
  <c r="K3290" i="4"/>
  <c r="J3290" i="4"/>
  <c r="I3290" i="4"/>
  <c r="P3289" i="4"/>
  <c r="O3289" i="4"/>
  <c r="M3289" i="4" a="1"/>
  <c r="M3289" i="4" s="1"/>
  <c r="K3289" i="4"/>
  <c r="J3289" i="4"/>
  <c r="I3289" i="4"/>
  <c r="P3288" i="4"/>
  <c r="K3288" i="4"/>
  <c r="J3288" i="4"/>
  <c r="I3288" i="4"/>
  <c r="M3288" i="4" s="1" a="1"/>
  <c r="M3288" i="4" s="1"/>
  <c r="O3288" i="4" s="1"/>
  <c r="P3287" i="4"/>
  <c r="K3287" i="4"/>
  <c r="J3287" i="4"/>
  <c r="M3287" i="4" s="1" a="1"/>
  <c r="M3287" i="4" s="1"/>
  <c r="O3287" i="4" s="1"/>
  <c r="I3287" i="4"/>
  <c r="P3286" i="4"/>
  <c r="K3286" i="4"/>
  <c r="M3286" i="4" s="1" a="1"/>
  <c r="M3286" i="4" s="1"/>
  <c r="O3286" i="4" s="1"/>
  <c r="J3286" i="4"/>
  <c r="I3286" i="4"/>
  <c r="P3285" i="4"/>
  <c r="M3285" i="4"/>
  <c r="O3285" i="4" s="1"/>
  <c r="M3285" i="4" a="1"/>
  <c r="K3285" i="4"/>
  <c r="J3285" i="4"/>
  <c r="I3285" i="4"/>
  <c r="P3284" i="4"/>
  <c r="K3284" i="4"/>
  <c r="J3284" i="4"/>
  <c r="I3284" i="4"/>
  <c r="M3284" i="4" s="1" a="1"/>
  <c r="M3284" i="4" s="1"/>
  <c r="O3284" i="4" s="1"/>
  <c r="P3283" i="4"/>
  <c r="K3283" i="4"/>
  <c r="J3283" i="4"/>
  <c r="M3283" i="4" s="1" a="1"/>
  <c r="M3283" i="4" s="1"/>
  <c r="O3283" i="4" s="1"/>
  <c r="I3283" i="4"/>
  <c r="P3282" i="4"/>
  <c r="M3282" i="4" a="1"/>
  <c r="M3282" i="4" s="1"/>
  <c r="O3282" i="4" s="1"/>
  <c r="K3282" i="4"/>
  <c r="J3282" i="4"/>
  <c r="I3282" i="4"/>
  <c r="P3281" i="4"/>
  <c r="K3281" i="4"/>
  <c r="J3281" i="4"/>
  <c r="I3281" i="4"/>
  <c r="M3281" i="4" s="1" a="1"/>
  <c r="M3281" i="4" s="1"/>
  <c r="O3281" i="4" s="1"/>
  <c r="P3280" i="4"/>
  <c r="K3280" i="4"/>
  <c r="J3280" i="4"/>
  <c r="I3280" i="4"/>
  <c r="M3280" i="4" s="1" a="1"/>
  <c r="M3280" i="4" s="1"/>
  <c r="O3280" i="4" s="1"/>
  <c r="P3279" i="4"/>
  <c r="K3279" i="4"/>
  <c r="J3279" i="4"/>
  <c r="I3279" i="4"/>
  <c r="M3279" i="4" s="1" a="1"/>
  <c r="M3279" i="4" s="1"/>
  <c r="O3279" i="4" s="1"/>
  <c r="P3278" i="4"/>
  <c r="K3278" i="4"/>
  <c r="M3278" i="4" s="1" a="1"/>
  <c r="M3278" i="4" s="1"/>
  <c r="O3278" i="4" s="1"/>
  <c r="J3278" i="4"/>
  <c r="I3278" i="4"/>
  <c r="P3277" i="4"/>
  <c r="K3277" i="4"/>
  <c r="J3277" i="4"/>
  <c r="I3277" i="4"/>
  <c r="P3276" i="4"/>
  <c r="M3276" i="4"/>
  <c r="O3276" i="4" s="1"/>
  <c r="K3276" i="4"/>
  <c r="J3276" i="4"/>
  <c r="I3276" i="4"/>
  <c r="M3276" i="4" s="1" a="1"/>
  <c r="P3275" i="4"/>
  <c r="K3275" i="4"/>
  <c r="J3275" i="4"/>
  <c r="I3275" i="4"/>
  <c r="M3275" i="4" s="1" a="1"/>
  <c r="M3275" i="4" s="1"/>
  <c r="O3275" i="4" s="1"/>
  <c r="P3274" i="4"/>
  <c r="K3274" i="4"/>
  <c r="M3274" i="4" s="1" a="1"/>
  <c r="M3274" i="4" s="1"/>
  <c r="O3274" i="4" s="1"/>
  <c r="J3274" i="4"/>
  <c r="I3274" i="4"/>
  <c r="P3273" i="4"/>
  <c r="M3273" i="4" a="1"/>
  <c r="M3273" i="4" s="1"/>
  <c r="O3273" i="4" s="1"/>
  <c r="K3273" i="4"/>
  <c r="J3273" i="4"/>
  <c r="I3273" i="4"/>
  <c r="P3272" i="4"/>
  <c r="K3272" i="4"/>
  <c r="J3272" i="4"/>
  <c r="I3272" i="4"/>
  <c r="M3272" i="4" s="1" a="1"/>
  <c r="M3272" i="4" s="1"/>
  <c r="O3272" i="4" s="1"/>
  <c r="P3271" i="4"/>
  <c r="K3271" i="4"/>
  <c r="J3271" i="4"/>
  <c r="I3271" i="4"/>
  <c r="M3271" i="4" s="1" a="1"/>
  <c r="M3271" i="4" s="1"/>
  <c r="O3271" i="4" s="1"/>
  <c r="P3270" i="4"/>
  <c r="K3270" i="4"/>
  <c r="J3270" i="4"/>
  <c r="M3270" i="4" s="1" a="1"/>
  <c r="M3270" i="4" s="1"/>
  <c r="O3270" i="4" s="1"/>
  <c r="I3270" i="4"/>
  <c r="P3269" i="4"/>
  <c r="M3269" i="4" a="1"/>
  <c r="M3269" i="4" s="1"/>
  <c r="O3269" i="4" s="1"/>
  <c r="K3269" i="4"/>
  <c r="J3269" i="4"/>
  <c r="I3269" i="4"/>
  <c r="P3268" i="4"/>
  <c r="K3268" i="4"/>
  <c r="J3268" i="4"/>
  <c r="I3268" i="4"/>
  <c r="M3268" i="4" s="1" a="1"/>
  <c r="M3268" i="4" s="1"/>
  <c r="O3268" i="4" s="1"/>
  <c r="P3267" i="4"/>
  <c r="K3267" i="4"/>
  <c r="J3267" i="4"/>
  <c r="M3267" i="4" s="1" a="1"/>
  <c r="M3267" i="4" s="1"/>
  <c r="O3267" i="4" s="1"/>
  <c r="I3267" i="4"/>
  <c r="P3266" i="4"/>
  <c r="K3266" i="4"/>
  <c r="J3266" i="4"/>
  <c r="M3266" i="4" s="1" a="1"/>
  <c r="M3266" i="4" s="1"/>
  <c r="O3266" i="4" s="1"/>
  <c r="I3266" i="4"/>
  <c r="P3265" i="4"/>
  <c r="M3265" i="4"/>
  <c r="O3265" i="4" s="1"/>
  <c r="M3265" i="4" a="1"/>
  <c r="K3265" i="4"/>
  <c r="J3265" i="4"/>
  <c r="I3265" i="4"/>
  <c r="P3264" i="4"/>
  <c r="K3264" i="4"/>
  <c r="J3264" i="4"/>
  <c r="I3264" i="4"/>
  <c r="P3263" i="4"/>
  <c r="K3263" i="4"/>
  <c r="J3263" i="4"/>
  <c r="I3263" i="4"/>
  <c r="M3263" i="4" s="1" a="1"/>
  <c r="M3263" i="4" s="1"/>
  <c r="O3263" i="4" s="1"/>
  <c r="P3262" i="4"/>
  <c r="M3262" i="4" a="1"/>
  <c r="M3262" i="4" s="1"/>
  <c r="O3262" i="4" s="1"/>
  <c r="K3262" i="4"/>
  <c r="J3262" i="4"/>
  <c r="I3262" i="4"/>
  <c r="P3261" i="4"/>
  <c r="K3261" i="4"/>
  <c r="J3261" i="4"/>
  <c r="I3261" i="4"/>
  <c r="P3260" i="4"/>
  <c r="M3260" i="4"/>
  <c r="O3260" i="4" s="1"/>
  <c r="M3260" i="4" a="1"/>
  <c r="K3260" i="4"/>
  <c r="J3260" i="4"/>
  <c r="I3260" i="4"/>
  <c r="P3259" i="4"/>
  <c r="O3259" i="4"/>
  <c r="K3259" i="4"/>
  <c r="J3259" i="4"/>
  <c r="I3259" i="4"/>
  <c r="M3259" i="4" s="1" a="1"/>
  <c r="M3259" i="4" s="1"/>
  <c r="P3258" i="4"/>
  <c r="K3258" i="4"/>
  <c r="J3258" i="4"/>
  <c r="M3258" i="4" s="1" a="1"/>
  <c r="M3258" i="4" s="1"/>
  <c r="O3258" i="4" s="1"/>
  <c r="I3258" i="4"/>
  <c r="P3257" i="4"/>
  <c r="K3257" i="4"/>
  <c r="M3257" i="4" s="1" a="1"/>
  <c r="M3257" i="4" s="1"/>
  <c r="O3257" i="4" s="1"/>
  <c r="J3257" i="4"/>
  <c r="I3257" i="4"/>
  <c r="P3256" i="4"/>
  <c r="K3256" i="4"/>
  <c r="J3256" i="4"/>
  <c r="I3256" i="4"/>
  <c r="M3256" i="4" s="1" a="1"/>
  <c r="M3256" i="4" s="1"/>
  <c r="O3256" i="4" s="1"/>
  <c r="P3255" i="4"/>
  <c r="K3255" i="4"/>
  <c r="J3255" i="4"/>
  <c r="I3255" i="4"/>
  <c r="M3255" i="4" s="1" a="1"/>
  <c r="M3255" i="4" s="1"/>
  <c r="O3255" i="4" s="1"/>
  <c r="P3254" i="4"/>
  <c r="K3254" i="4"/>
  <c r="J3254" i="4"/>
  <c r="I3254" i="4"/>
  <c r="M3254" i="4" s="1" a="1"/>
  <c r="M3254" i="4" s="1"/>
  <c r="O3254" i="4" s="1"/>
  <c r="P3253" i="4"/>
  <c r="M3253" i="4" a="1"/>
  <c r="M3253" i="4" s="1"/>
  <c r="O3253" i="4" s="1"/>
  <c r="K3253" i="4"/>
  <c r="J3253" i="4"/>
  <c r="I3253" i="4"/>
  <c r="P3252" i="4"/>
  <c r="K3252" i="4"/>
  <c r="J3252" i="4"/>
  <c r="I3252" i="4"/>
  <c r="M3252" i="4" s="1" a="1"/>
  <c r="M3252" i="4" s="1"/>
  <c r="O3252" i="4" s="1"/>
  <c r="P3251" i="4"/>
  <c r="K3251" i="4"/>
  <c r="J3251" i="4"/>
  <c r="I3251" i="4"/>
  <c r="M3251" i="4" s="1" a="1"/>
  <c r="M3251" i="4" s="1"/>
  <c r="O3251" i="4" s="1"/>
  <c r="P3250" i="4"/>
  <c r="K3250" i="4"/>
  <c r="J3250" i="4"/>
  <c r="M3250" i="4" s="1" a="1"/>
  <c r="M3250" i="4" s="1"/>
  <c r="O3250" i="4" s="1"/>
  <c r="I3250" i="4"/>
  <c r="P3249" i="4"/>
  <c r="M3249" i="4" a="1"/>
  <c r="M3249" i="4" s="1"/>
  <c r="O3249" i="4" s="1"/>
  <c r="K3249" i="4"/>
  <c r="J3249" i="4"/>
  <c r="I3249" i="4"/>
  <c r="P3248" i="4"/>
  <c r="O3248" i="4"/>
  <c r="M3248" i="4"/>
  <c r="K3248" i="4"/>
  <c r="J3248" i="4"/>
  <c r="I3248" i="4"/>
  <c r="M3248" i="4" s="1" a="1"/>
  <c r="P3247" i="4"/>
  <c r="K3247" i="4"/>
  <c r="J3247" i="4"/>
  <c r="I3247" i="4"/>
  <c r="M3247" i="4" s="1" a="1"/>
  <c r="M3247" i="4" s="1"/>
  <c r="O3247" i="4" s="1"/>
  <c r="P3246" i="4"/>
  <c r="K3246" i="4"/>
  <c r="J3246" i="4"/>
  <c r="I3246" i="4"/>
  <c r="M3246" i="4" s="1" a="1"/>
  <c r="M3246" i="4" s="1"/>
  <c r="O3246" i="4" s="1"/>
  <c r="P3245" i="4"/>
  <c r="K3245" i="4"/>
  <c r="J3245" i="4"/>
  <c r="I3245" i="4"/>
  <c r="P3244" i="4"/>
  <c r="M3244" i="4" a="1"/>
  <c r="M3244" i="4" s="1"/>
  <c r="O3244" i="4" s="1"/>
  <c r="K3244" i="4"/>
  <c r="J3244" i="4"/>
  <c r="I3244" i="4"/>
  <c r="P3243" i="4"/>
  <c r="K3243" i="4"/>
  <c r="J3243" i="4"/>
  <c r="I3243" i="4"/>
  <c r="M3243" i="4" s="1" a="1"/>
  <c r="M3243" i="4" s="1"/>
  <c r="O3243" i="4" s="1"/>
  <c r="P3242" i="4"/>
  <c r="K3242" i="4"/>
  <c r="J3242" i="4"/>
  <c r="I3242" i="4"/>
  <c r="M3242" i="4" s="1" a="1"/>
  <c r="M3242" i="4" s="1"/>
  <c r="O3242" i="4" s="1"/>
  <c r="P3241" i="4"/>
  <c r="K3241" i="4"/>
  <c r="J3241" i="4"/>
  <c r="M3241" i="4" s="1" a="1"/>
  <c r="M3241" i="4" s="1"/>
  <c r="O3241" i="4" s="1"/>
  <c r="I3241" i="4"/>
  <c r="P3240" i="4"/>
  <c r="M3240" i="4" a="1"/>
  <c r="M3240" i="4" s="1"/>
  <c r="O3240" i="4" s="1"/>
  <c r="K3240" i="4"/>
  <c r="J3240" i="4"/>
  <c r="I3240" i="4"/>
  <c r="P3239" i="4"/>
  <c r="K3239" i="4"/>
  <c r="J3239" i="4"/>
  <c r="I3239" i="4"/>
  <c r="M3239" i="4" s="1" a="1"/>
  <c r="M3239" i="4" s="1"/>
  <c r="O3239" i="4" s="1"/>
  <c r="P3238" i="4"/>
  <c r="K3238" i="4"/>
  <c r="J3238" i="4"/>
  <c r="I3238" i="4"/>
  <c r="M3238" i="4" s="1" a="1"/>
  <c r="M3238" i="4" s="1"/>
  <c r="O3238" i="4" s="1"/>
  <c r="P3237" i="4"/>
  <c r="K3237" i="4"/>
  <c r="J3237" i="4"/>
  <c r="M3237" i="4" s="1" a="1"/>
  <c r="M3237" i="4" s="1"/>
  <c r="O3237" i="4" s="1"/>
  <c r="I3237" i="4"/>
  <c r="P3236" i="4"/>
  <c r="M3236" i="4"/>
  <c r="O3236" i="4" s="1"/>
  <c r="M3236" i="4" a="1"/>
  <c r="K3236" i="4"/>
  <c r="J3236" i="4"/>
  <c r="I3236" i="4"/>
  <c r="P3235" i="4"/>
  <c r="O3235" i="4"/>
  <c r="K3235" i="4"/>
  <c r="J3235" i="4"/>
  <c r="I3235" i="4"/>
  <c r="M3235" i="4" s="1" a="1"/>
  <c r="M3235" i="4" s="1"/>
  <c r="P3234" i="4"/>
  <c r="K3234" i="4"/>
  <c r="J3234" i="4"/>
  <c r="M3234" i="4" s="1" a="1"/>
  <c r="M3234" i="4" s="1"/>
  <c r="O3234" i="4" s="1"/>
  <c r="I3234" i="4"/>
  <c r="P3233" i="4"/>
  <c r="K3233" i="4"/>
  <c r="M3233" i="4" s="1" a="1"/>
  <c r="M3233" i="4" s="1"/>
  <c r="O3233" i="4" s="1"/>
  <c r="J3233" i="4"/>
  <c r="I3233" i="4"/>
  <c r="P3232" i="4"/>
  <c r="K3232" i="4"/>
  <c r="J3232" i="4"/>
  <c r="I3232" i="4"/>
  <c r="P3231" i="4"/>
  <c r="M3231" i="4"/>
  <c r="O3231" i="4" s="1"/>
  <c r="M3231" i="4" a="1"/>
  <c r="K3231" i="4"/>
  <c r="J3231" i="4"/>
  <c r="I3231" i="4"/>
  <c r="P3230" i="4"/>
  <c r="K3230" i="4"/>
  <c r="J3230" i="4"/>
  <c r="I3230" i="4"/>
  <c r="M3230" i="4" s="1" a="1"/>
  <c r="M3230" i="4" s="1"/>
  <c r="O3230" i="4" s="1"/>
  <c r="P3229" i="4"/>
  <c r="K3229" i="4"/>
  <c r="J3229" i="4"/>
  <c r="M3229" i="4" s="1" a="1"/>
  <c r="M3229" i="4" s="1"/>
  <c r="O3229" i="4" s="1"/>
  <c r="I3229" i="4"/>
  <c r="P3228" i="4"/>
  <c r="M3228" i="4" a="1"/>
  <c r="M3228" i="4" s="1"/>
  <c r="O3228" i="4" s="1"/>
  <c r="K3228" i="4"/>
  <c r="J3228" i="4"/>
  <c r="I3228" i="4"/>
  <c r="P3227" i="4"/>
  <c r="K3227" i="4"/>
  <c r="J3227" i="4"/>
  <c r="I3227" i="4"/>
  <c r="M3227" i="4" s="1" a="1"/>
  <c r="M3227" i="4" s="1"/>
  <c r="O3227" i="4" s="1"/>
  <c r="P3226" i="4"/>
  <c r="K3226" i="4"/>
  <c r="J3226" i="4"/>
  <c r="M3226" i="4" s="1" a="1"/>
  <c r="M3226" i="4" s="1"/>
  <c r="O3226" i="4" s="1"/>
  <c r="I3226" i="4"/>
  <c r="P3225" i="4"/>
  <c r="M3225" i="4" a="1"/>
  <c r="M3225" i="4" s="1"/>
  <c r="O3225" i="4" s="1"/>
  <c r="K3225" i="4"/>
  <c r="J3225" i="4"/>
  <c r="I3225" i="4"/>
  <c r="P3224" i="4"/>
  <c r="K3224" i="4"/>
  <c r="J3224" i="4"/>
  <c r="I3224" i="4"/>
  <c r="M3224" i="4" s="1" a="1"/>
  <c r="M3224" i="4" s="1"/>
  <c r="O3224" i="4" s="1"/>
  <c r="P3223" i="4"/>
  <c r="K3223" i="4"/>
  <c r="J3223" i="4"/>
  <c r="I3223" i="4"/>
  <c r="M3223" i="4" s="1" a="1"/>
  <c r="M3223" i="4" s="1"/>
  <c r="O3223" i="4" s="1"/>
  <c r="P3222" i="4"/>
  <c r="M3222" i="4" a="1"/>
  <c r="M3222" i="4" s="1"/>
  <c r="O3222" i="4" s="1"/>
  <c r="K3222" i="4"/>
  <c r="J3222" i="4"/>
  <c r="I3222" i="4"/>
  <c r="P3221" i="4"/>
  <c r="M3221" i="4"/>
  <c r="O3221" i="4" s="1"/>
  <c r="K3221" i="4"/>
  <c r="J3221" i="4"/>
  <c r="I3221" i="4"/>
  <c r="M3221" i="4" s="1" a="1"/>
  <c r="P3220" i="4"/>
  <c r="K3220" i="4"/>
  <c r="J3220" i="4"/>
  <c r="I3220" i="4"/>
  <c r="M3220" i="4" s="1" a="1"/>
  <c r="M3220" i="4" s="1"/>
  <c r="O3220" i="4" s="1"/>
  <c r="P3219" i="4"/>
  <c r="K3219" i="4"/>
  <c r="M3219" i="4" s="1" a="1"/>
  <c r="M3219" i="4" s="1"/>
  <c r="O3219" i="4" s="1"/>
  <c r="J3219" i="4"/>
  <c r="I3219" i="4"/>
  <c r="P3218" i="4"/>
  <c r="K3218" i="4"/>
  <c r="J3218" i="4"/>
  <c r="I3218" i="4"/>
  <c r="M3218" i="4" s="1" a="1"/>
  <c r="M3218" i="4" s="1"/>
  <c r="O3218" i="4" s="1"/>
  <c r="P3217" i="4"/>
  <c r="K3217" i="4"/>
  <c r="J3217" i="4"/>
  <c r="I3217" i="4"/>
  <c r="M3217" i="4" s="1" a="1"/>
  <c r="M3217" i="4" s="1"/>
  <c r="O3217" i="4" s="1"/>
  <c r="P3216" i="4"/>
  <c r="K3216" i="4"/>
  <c r="J3216" i="4"/>
  <c r="I3216" i="4"/>
  <c r="M3216" i="4" s="1" a="1"/>
  <c r="M3216" i="4" s="1"/>
  <c r="O3216" i="4" s="1"/>
  <c r="P3215" i="4"/>
  <c r="M3215" i="4"/>
  <c r="O3215" i="4" s="1"/>
  <c r="M3215" i="4" a="1"/>
  <c r="K3215" i="4"/>
  <c r="J3215" i="4"/>
  <c r="I3215" i="4"/>
  <c r="P3214" i="4"/>
  <c r="O3214" i="4"/>
  <c r="K3214" i="4"/>
  <c r="J3214" i="4"/>
  <c r="I3214" i="4"/>
  <c r="M3214" i="4" s="1" a="1"/>
  <c r="M3214" i="4" s="1"/>
  <c r="P3213" i="4"/>
  <c r="K3213" i="4"/>
  <c r="J3213" i="4"/>
  <c r="M3213" i="4" s="1" a="1"/>
  <c r="M3213" i="4" s="1"/>
  <c r="O3213" i="4" s="1"/>
  <c r="I3213" i="4"/>
  <c r="P3212" i="4"/>
  <c r="M3212" i="4" a="1"/>
  <c r="M3212" i="4" s="1"/>
  <c r="O3212" i="4" s="1"/>
  <c r="K3212" i="4"/>
  <c r="J3212" i="4"/>
  <c r="I3212" i="4"/>
  <c r="P3211" i="4"/>
  <c r="K3211" i="4"/>
  <c r="J3211" i="4"/>
  <c r="I3211" i="4"/>
  <c r="M3211" i="4" s="1" a="1"/>
  <c r="M3211" i="4" s="1"/>
  <c r="O3211" i="4" s="1"/>
  <c r="P3210" i="4"/>
  <c r="K3210" i="4"/>
  <c r="J3210" i="4"/>
  <c r="M3210" i="4" s="1" a="1"/>
  <c r="M3210" i="4" s="1"/>
  <c r="O3210" i="4" s="1"/>
  <c r="I3210" i="4"/>
  <c r="P3209" i="4"/>
  <c r="M3209" i="4" a="1"/>
  <c r="M3209" i="4" s="1"/>
  <c r="O3209" i="4" s="1"/>
  <c r="K3209" i="4"/>
  <c r="J3209" i="4"/>
  <c r="I3209" i="4"/>
  <c r="P3208" i="4"/>
  <c r="K3208" i="4"/>
  <c r="J3208" i="4"/>
  <c r="I3208" i="4"/>
  <c r="M3208" i="4" s="1" a="1"/>
  <c r="M3208" i="4" s="1"/>
  <c r="O3208" i="4" s="1"/>
  <c r="P3207" i="4"/>
  <c r="K3207" i="4"/>
  <c r="J3207" i="4"/>
  <c r="I3207" i="4"/>
  <c r="M3207" i="4" s="1" a="1"/>
  <c r="M3207" i="4" s="1"/>
  <c r="O3207" i="4" s="1"/>
  <c r="P3206" i="4"/>
  <c r="M3206" i="4" a="1"/>
  <c r="M3206" i="4" s="1"/>
  <c r="O3206" i="4" s="1"/>
  <c r="K3206" i="4"/>
  <c r="J3206" i="4"/>
  <c r="I3206" i="4"/>
  <c r="P3205" i="4"/>
  <c r="M3205" i="4"/>
  <c r="O3205" i="4" s="1"/>
  <c r="K3205" i="4"/>
  <c r="J3205" i="4"/>
  <c r="I3205" i="4"/>
  <c r="M3205" i="4" s="1" a="1"/>
  <c r="P3204" i="4"/>
  <c r="K3204" i="4"/>
  <c r="J3204" i="4"/>
  <c r="I3204" i="4"/>
  <c r="M3204" i="4" s="1" a="1"/>
  <c r="M3204" i="4" s="1"/>
  <c r="O3204" i="4" s="1"/>
  <c r="P3203" i="4"/>
  <c r="K3203" i="4"/>
  <c r="M3203" i="4" s="1" a="1"/>
  <c r="M3203" i="4" s="1"/>
  <c r="O3203" i="4" s="1"/>
  <c r="J3203" i="4"/>
  <c r="I3203" i="4"/>
  <c r="P3202" i="4"/>
  <c r="K3202" i="4"/>
  <c r="J3202" i="4"/>
  <c r="I3202" i="4"/>
  <c r="M3202" i="4" s="1" a="1"/>
  <c r="M3202" i="4" s="1"/>
  <c r="O3202" i="4" s="1"/>
  <c r="P3201" i="4"/>
  <c r="K3201" i="4"/>
  <c r="J3201" i="4"/>
  <c r="I3201" i="4"/>
  <c r="M3201" i="4" s="1" a="1"/>
  <c r="M3201" i="4" s="1"/>
  <c r="O3201" i="4" s="1"/>
  <c r="P3200" i="4"/>
  <c r="K3200" i="4"/>
  <c r="J3200" i="4"/>
  <c r="I3200" i="4"/>
  <c r="M3200" i="4" s="1" a="1"/>
  <c r="M3200" i="4" s="1"/>
  <c r="O3200" i="4" s="1"/>
  <c r="P3199" i="4"/>
  <c r="M3199" i="4"/>
  <c r="O3199" i="4" s="1"/>
  <c r="M3199" i="4" a="1"/>
  <c r="K3199" i="4"/>
  <c r="J3199" i="4"/>
  <c r="I3199" i="4"/>
  <c r="P3198" i="4"/>
  <c r="K3198" i="4"/>
  <c r="J3198" i="4"/>
  <c r="I3198" i="4"/>
  <c r="M3198" i="4" s="1" a="1"/>
  <c r="M3198" i="4" s="1"/>
  <c r="O3198" i="4" s="1"/>
  <c r="P3197" i="4"/>
  <c r="K3197" i="4"/>
  <c r="J3197" i="4"/>
  <c r="M3197" i="4" s="1" a="1"/>
  <c r="M3197" i="4" s="1"/>
  <c r="O3197" i="4" s="1"/>
  <c r="I3197" i="4"/>
  <c r="P3196" i="4"/>
  <c r="M3196" i="4" a="1"/>
  <c r="M3196" i="4" s="1"/>
  <c r="O3196" i="4" s="1"/>
  <c r="K3196" i="4"/>
  <c r="J3196" i="4"/>
  <c r="I3196" i="4"/>
  <c r="P3195" i="4"/>
  <c r="K3195" i="4"/>
  <c r="J3195" i="4"/>
  <c r="I3195" i="4"/>
  <c r="M3195" i="4" s="1" a="1"/>
  <c r="M3195" i="4" s="1"/>
  <c r="O3195" i="4" s="1"/>
  <c r="P3194" i="4"/>
  <c r="K3194" i="4"/>
  <c r="J3194" i="4"/>
  <c r="M3194" i="4" s="1" a="1"/>
  <c r="M3194" i="4" s="1"/>
  <c r="O3194" i="4" s="1"/>
  <c r="I3194" i="4"/>
  <c r="P3193" i="4"/>
  <c r="M3193" i="4" a="1"/>
  <c r="M3193" i="4" s="1"/>
  <c r="O3193" i="4" s="1"/>
  <c r="K3193" i="4"/>
  <c r="J3193" i="4"/>
  <c r="I3193" i="4"/>
  <c r="P3192" i="4"/>
  <c r="K3192" i="4"/>
  <c r="J3192" i="4"/>
  <c r="I3192" i="4"/>
  <c r="M3192" i="4" s="1" a="1"/>
  <c r="M3192" i="4" s="1"/>
  <c r="O3192" i="4" s="1"/>
  <c r="P3191" i="4"/>
  <c r="K3191" i="4"/>
  <c r="J3191" i="4"/>
  <c r="I3191" i="4"/>
  <c r="M3191" i="4" s="1" a="1"/>
  <c r="M3191" i="4" s="1"/>
  <c r="O3191" i="4" s="1"/>
  <c r="P3190" i="4"/>
  <c r="M3190" i="4" a="1"/>
  <c r="M3190" i="4" s="1"/>
  <c r="O3190" i="4" s="1"/>
  <c r="K3190" i="4"/>
  <c r="J3190" i="4"/>
  <c r="I3190" i="4"/>
  <c r="P3189" i="4"/>
  <c r="K3189" i="4"/>
  <c r="J3189" i="4"/>
  <c r="I3189" i="4"/>
  <c r="M3189" i="4" s="1" a="1"/>
  <c r="M3189" i="4" s="1"/>
  <c r="O3189" i="4" s="1"/>
  <c r="P3188" i="4"/>
  <c r="K3188" i="4"/>
  <c r="J3188" i="4"/>
  <c r="I3188" i="4"/>
  <c r="M3188" i="4" s="1" a="1"/>
  <c r="M3188" i="4" s="1"/>
  <c r="O3188" i="4" s="1"/>
  <c r="P3187" i="4"/>
  <c r="K3187" i="4"/>
  <c r="M3187" i="4" s="1" a="1"/>
  <c r="M3187" i="4" s="1"/>
  <c r="O3187" i="4" s="1"/>
  <c r="J3187" i="4"/>
  <c r="I3187" i="4"/>
  <c r="P3186" i="4"/>
  <c r="K3186" i="4"/>
  <c r="J3186" i="4"/>
  <c r="I3186" i="4"/>
  <c r="M3186" i="4" s="1" a="1"/>
  <c r="M3186" i="4" s="1"/>
  <c r="O3186" i="4" s="1"/>
  <c r="P3185" i="4"/>
  <c r="K3185" i="4"/>
  <c r="J3185" i="4"/>
  <c r="I3185" i="4"/>
  <c r="M3185" i="4" s="1" a="1"/>
  <c r="M3185" i="4" s="1"/>
  <c r="O3185" i="4" s="1"/>
  <c r="P3184" i="4"/>
  <c r="K3184" i="4"/>
  <c r="J3184" i="4"/>
  <c r="I3184" i="4"/>
  <c r="M3184" i="4" s="1" a="1"/>
  <c r="M3184" i="4" s="1"/>
  <c r="O3184" i="4" s="1"/>
  <c r="P3183" i="4"/>
  <c r="M3183" i="4"/>
  <c r="O3183" i="4" s="1"/>
  <c r="M3183" i="4" a="1"/>
  <c r="K3183" i="4"/>
  <c r="J3183" i="4"/>
  <c r="I3183" i="4"/>
  <c r="P3182" i="4"/>
  <c r="O3182" i="4"/>
  <c r="K3182" i="4"/>
  <c r="J3182" i="4"/>
  <c r="I3182" i="4"/>
  <c r="M3182" i="4" s="1" a="1"/>
  <c r="M3182" i="4" s="1"/>
  <c r="P3181" i="4"/>
  <c r="K3181" i="4"/>
  <c r="J3181" i="4"/>
  <c r="M3181" i="4" s="1" a="1"/>
  <c r="M3181" i="4" s="1"/>
  <c r="O3181" i="4" s="1"/>
  <c r="I3181" i="4"/>
  <c r="P3180" i="4"/>
  <c r="M3180" i="4" a="1"/>
  <c r="M3180" i="4" s="1"/>
  <c r="O3180" i="4" s="1"/>
  <c r="K3180" i="4"/>
  <c r="J3180" i="4"/>
  <c r="I3180" i="4"/>
  <c r="P3179" i="4"/>
  <c r="K3179" i="4"/>
  <c r="J3179" i="4"/>
  <c r="I3179" i="4"/>
  <c r="M3179" i="4" s="1" a="1"/>
  <c r="M3179" i="4" s="1"/>
  <c r="O3179" i="4" s="1"/>
  <c r="P3178" i="4"/>
  <c r="K3178" i="4"/>
  <c r="J3178" i="4"/>
  <c r="M3178" i="4" s="1" a="1"/>
  <c r="M3178" i="4" s="1"/>
  <c r="O3178" i="4" s="1"/>
  <c r="I3178" i="4"/>
  <c r="P3177" i="4"/>
  <c r="M3177" i="4" a="1"/>
  <c r="M3177" i="4" s="1"/>
  <c r="O3177" i="4" s="1"/>
  <c r="K3177" i="4"/>
  <c r="J3177" i="4"/>
  <c r="I3177" i="4"/>
  <c r="P3176" i="4"/>
  <c r="K3176" i="4"/>
  <c r="J3176" i="4"/>
  <c r="I3176" i="4"/>
  <c r="M3176" i="4" s="1" a="1"/>
  <c r="M3176" i="4" s="1"/>
  <c r="O3176" i="4" s="1"/>
  <c r="P3175" i="4"/>
  <c r="K3175" i="4"/>
  <c r="J3175" i="4"/>
  <c r="I3175" i="4"/>
  <c r="M3175" i="4" s="1" a="1"/>
  <c r="M3175" i="4" s="1"/>
  <c r="O3175" i="4" s="1"/>
  <c r="P3174" i="4"/>
  <c r="M3174" i="4" a="1"/>
  <c r="M3174" i="4" s="1"/>
  <c r="O3174" i="4" s="1"/>
  <c r="K3174" i="4"/>
  <c r="J3174" i="4"/>
  <c r="I3174" i="4"/>
  <c r="P3173" i="4"/>
  <c r="M3173" i="4"/>
  <c r="O3173" i="4" s="1"/>
  <c r="K3173" i="4"/>
  <c r="J3173" i="4"/>
  <c r="I3173" i="4"/>
  <c r="M3173" i="4" s="1" a="1"/>
  <c r="P3172" i="4"/>
  <c r="K3172" i="4"/>
  <c r="J3172" i="4"/>
  <c r="I3172" i="4"/>
  <c r="M3172" i="4" s="1" a="1"/>
  <c r="M3172" i="4" s="1"/>
  <c r="O3172" i="4" s="1"/>
  <c r="P3171" i="4"/>
  <c r="K3171" i="4"/>
  <c r="M3171" i="4" s="1" a="1"/>
  <c r="M3171" i="4" s="1"/>
  <c r="O3171" i="4" s="1"/>
  <c r="J3171" i="4"/>
  <c r="I3171" i="4"/>
  <c r="P3170" i="4"/>
  <c r="K3170" i="4"/>
  <c r="J3170" i="4"/>
  <c r="I3170" i="4"/>
  <c r="M3170" i="4" s="1" a="1"/>
  <c r="M3170" i="4" s="1"/>
  <c r="O3170" i="4" s="1"/>
  <c r="P3169" i="4"/>
  <c r="K3169" i="4"/>
  <c r="J3169" i="4"/>
  <c r="I3169" i="4"/>
  <c r="M3169" i="4" s="1" a="1"/>
  <c r="M3169" i="4" s="1"/>
  <c r="O3169" i="4" s="1"/>
  <c r="P3168" i="4"/>
  <c r="K3168" i="4"/>
  <c r="M3168" i="4" s="1" a="1"/>
  <c r="M3168" i="4" s="1"/>
  <c r="O3168" i="4" s="1"/>
  <c r="J3168" i="4"/>
  <c r="I3168" i="4"/>
  <c r="P3167" i="4"/>
  <c r="M3167" i="4"/>
  <c r="O3167" i="4" s="1"/>
  <c r="M3167" i="4" a="1"/>
  <c r="K3167" i="4"/>
  <c r="J3167" i="4"/>
  <c r="I3167" i="4"/>
  <c r="P3166" i="4"/>
  <c r="K3166" i="4"/>
  <c r="J3166" i="4"/>
  <c r="I3166" i="4"/>
  <c r="M3166" i="4" s="1" a="1"/>
  <c r="M3166" i="4" s="1"/>
  <c r="O3166" i="4" s="1"/>
  <c r="P3165" i="4"/>
  <c r="K3165" i="4"/>
  <c r="J3165" i="4"/>
  <c r="M3165" i="4" s="1" a="1"/>
  <c r="M3165" i="4" s="1"/>
  <c r="O3165" i="4" s="1"/>
  <c r="I3165" i="4"/>
  <c r="P3164" i="4"/>
  <c r="M3164" i="4" a="1"/>
  <c r="M3164" i="4" s="1"/>
  <c r="O3164" i="4" s="1"/>
  <c r="K3164" i="4"/>
  <c r="J3164" i="4"/>
  <c r="I3164" i="4"/>
  <c r="P3163" i="4"/>
  <c r="K3163" i="4"/>
  <c r="J3163" i="4"/>
  <c r="I3163" i="4"/>
  <c r="M3163" i="4" s="1" a="1"/>
  <c r="M3163" i="4" s="1"/>
  <c r="O3163" i="4" s="1"/>
  <c r="P3162" i="4"/>
  <c r="K3162" i="4"/>
  <c r="J3162" i="4"/>
  <c r="M3162" i="4" s="1" a="1"/>
  <c r="M3162" i="4" s="1"/>
  <c r="O3162" i="4" s="1"/>
  <c r="I3162" i="4"/>
  <c r="P3161" i="4"/>
  <c r="M3161" i="4" a="1"/>
  <c r="M3161" i="4" s="1"/>
  <c r="O3161" i="4" s="1"/>
  <c r="K3161" i="4"/>
  <c r="J3161" i="4"/>
  <c r="I3161" i="4"/>
  <c r="P3160" i="4"/>
  <c r="K3160" i="4"/>
  <c r="J3160" i="4"/>
  <c r="I3160" i="4"/>
  <c r="M3160" i="4" s="1" a="1"/>
  <c r="M3160" i="4" s="1"/>
  <c r="O3160" i="4" s="1"/>
  <c r="P3159" i="4"/>
  <c r="K3159" i="4"/>
  <c r="J3159" i="4"/>
  <c r="I3159" i="4"/>
  <c r="M3159" i="4" s="1" a="1"/>
  <c r="M3159" i="4" s="1"/>
  <c r="O3159" i="4" s="1"/>
  <c r="P3158" i="4"/>
  <c r="M3158" i="4" a="1"/>
  <c r="M3158" i="4" s="1"/>
  <c r="O3158" i="4" s="1"/>
  <c r="K3158" i="4"/>
  <c r="J3158" i="4"/>
  <c r="I3158" i="4"/>
  <c r="P3157" i="4"/>
  <c r="K3157" i="4"/>
  <c r="J3157" i="4"/>
  <c r="I3157" i="4"/>
  <c r="M3157" i="4" s="1" a="1"/>
  <c r="M3157" i="4" s="1"/>
  <c r="O3157" i="4" s="1"/>
  <c r="P3156" i="4"/>
  <c r="K3156" i="4"/>
  <c r="J3156" i="4"/>
  <c r="I3156" i="4"/>
  <c r="M3156" i="4" s="1" a="1"/>
  <c r="M3156" i="4" s="1"/>
  <c r="O3156" i="4" s="1"/>
  <c r="P3155" i="4"/>
  <c r="K3155" i="4"/>
  <c r="M3155" i="4" s="1" a="1"/>
  <c r="M3155" i="4" s="1"/>
  <c r="O3155" i="4" s="1"/>
  <c r="J3155" i="4"/>
  <c r="I3155" i="4"/>
  <c r="P3154" i="4"/>
  <c r="K3154" i="4"/>
  <c r="J3154" i="4"/>
  <c r="I3154" i="4"/>
  <c r="M3154" i="4" s="1" a="1"/>
  <c r="M3154" i="4" s="1"/>
  <c r="O3154" i="4" s="1"/>
  <c r="P3153" i="4"/>
  <c r="K3153" i="4"/>
  <c r="J3153" i="4"/>
  <c r="I3153" i="4"/>
  <c r="M3153" i="4" s="1" a="1"/>
  <c r="M3153" i="4" s="1"/>
  <c r="O3153" i="4" s="1"/>
  <c r="P3152" i="4"/>
  <c r="K3152" i="4"/>
  <c r="M3152" i="4" s="1" a="1"/>
  <c r="M3152" i="4" s="1"/>
  <c r="O3152" i="4" s="1"/>
  <c r="J3152" i="4"/>
  <c r="I3152" i="4"/>
  <c r="P3151" i="4"/>
  <c r="M3151" i="4"/>
  <c r="O3151" i="4" s="1"/>
  <c r="M3151" i="4" a="1"/>
  <c r="K3151" i="4"/>
  <c r="J3151" i="4"/>
  <c r="I3151" i="4"/>
  <c r="P3150" i="4"/>
  <c r="K3150" i="4"/>
  <c r="J3150" i="4"/>
  <c r="I3150" i="4"/>
  <c r="M3150" i="4" s="1" a="1"/>
  <c r="M3150" i="4" s="1"/>
  <c r="O3150" i="4" s="1"/>
  <c r="P3149" i="4"/>
  <c r="K3149" i="4"/>
  <c r="J3149" i="4"/>
  <c r="M3149" i="4" s="1" a="1"/>
  <c r="M3149" i="4" s="1"/>
  <c r="O3149" i="4" s="1"/>
  <c r="I3149" i="4"/>
  <c r="P3148" i="4"/>
  <c r="M3148" i="4" a="1"/>
  <c r="M3148" i="4" s="1"/>
  <c r="O3148" i="4" s="1"/>
  <c r="K3148" i="4"/>
  <c r="J3148" i="4"/>
  <c r="I3148" i="4"/>
  <c r="P3147" i="4"/>
  <c r="K3147" i="4"/>
  <c r="J3147" i="4"/>
  <c r="I3147" i="4"/>
  <c r="M3147" i="4" s="1" a="1"/>
  <c r="M3147" i="4" s="1"/>
  <c r="O3147" i="4" s="1"/>
  <c r="P3146" i="4"/>
  <c r="K3146" i="4"/>
  <c r="J3146" i="4"/>
  <c r="M3146" i="4" s="1" a="1"/>
  <c r="M3146" i="4" s="1"/>
  <c r="O3146" i="4" s="1"/>
  <c r="I3146" i="4"/>
  <c r="P3145" i="4"/>
  <c r="M3145" i="4" a="1"/>
  <c r="M3145" i="4" s="1"/>
  <c r="O3145" i="4" s="1"/>
  <c r="K3145" i="4"/>
  <c r="J3145" i="4"/>
  <c r="I3145" i="4"/>
  <c r="P3144" i="4"/>
  <c r="K3144" i="4"/>
  <c r="J3144" i="4"/>
  <c r="I3144" i="4"/>
  <c r="M3144" i="4" s="1" a="1"/>
  <c r="M3144" i="4" s="1"/>
  <c r="O3144" i="4" s="1"/>
  <c r="P3143" i="4"/>
  <c r="K3143" i="4"/>
  <c r="J3143" i="4"/>
  <c r="I3143" i="4"/>
  <c r="M3143" i="4" s="1" a="1"/>
  <c r="M3143" i="4" s="1"/>
  <c r="O3143" i="4" s="1"/>
  <c r="P3142" i="4"/>
  <c r="M3142" i="4" a="1"/>
  <c r="M3142" i="4" s="1"/>
  <c r="O3142" i="4" s="1"/>
  <c r="K3142" i="4"/>
  <c r="J3142" i="4"/>
  <c r="I3142" i="4"/>
  <c r="P3141" i="4"/>
  <c r="K3141" i="4"/>
  <c r="J3141" i="4"/>
  <c r="I3141" i="4"/>
  <c r="M3141" i="4" s="1" a="1"/>
  <c r="M3141" i="4" s="1"/>
  <c r="O3141" i="4" s="1"/>
  <c r="P3140" i="4"/>
  <c r="K3140" i="4"/>
  <c r="J3140" i="4"/>
  <c r="I3140" i="4"/>
  <c r="M3140" i="4" s="1" a="1"/>
  <c r="M3140" i="4" s="1"/>
  <c r="O3140" i="4" s="1"/>
  <c r="P3139" i="4"/>
  <c r="K3139" i="4"/>
  <c r="M3139" i="4" s="1" a="1"/>
  <c r="M3139" i="4" s="1"/>
  <c r="O3139" i="4" s="1"/>
  <c r="J3139" i="4"/>
  <c r="I3139" i="4"/>
  <c r="P3138" i="4"/>
  <c r="K3138" i="4"/>
  <c r="J3138" i="4"/>
  <c r="I3138" i="4"/>
  <c r="M3138" i="4" s="1" a="1"/>
  <c r="M3138" i="4" s="1"/>
  <c r="O3138" i="4" s="1"/>
  <c r="P3137" i="4"/>
  <c r="K3137" i="4"/>
  <c r="J3137" i="4"/>
  <c r="I3137" i="4"/>
  <c r="M3137" i="4" s="1" a="1"/>
  <c r="M3137" i="4" s="1"/>
  <c r="O3137" i="4" s="1"/>
  <c r="P3136" i="4"/>
  <c r="K3136" i="4"/>
  <c r="M3136" i="4" s="1" a="1"/>
  <c r="M3136" i="4" s="1"/>
  <c r="O3136" i="4" s="1"/>
  <c r="J3136" i="4"/>
  <c r="I3136" i="4"/>
  <c r="P3135" i="4"/>
  <c r="M3135" i="4"/>
  <c r="O3135" i="4" s="1"/>
  <c r="M3135" i="4" a="1"/>
  <c r="K3135" i="4"/>
  <c r="J3135" i="4"/>
  <c r="I3135" i="4"/>
  <c r="P3134" i="4"/>
  <c r="K3134" i="4"/>
  <c r="J3134" i="4"/>
  <c r="I3134" i="4"/>
  <c r="M3134" i="4" s="1" a="1"/>
  <c r="M3134" i="4" s="1"/>
  <c r="O3134" i="4" s="1"/>
  <c r="P3133" i="4"/>
  <c r="K3133" i="4"/>
  <c r="J3133" i="4"/>
  <c r="M3133" i="4" s="1" a="1"/>
  <c r="M3133" i="4" s="1"/>
  <c r="O3133" i="4" s="1"/>
  <c r="I3133" i="4"/>
  <c r="P3132" i="4"/>
  <c r="M3132" i="4" a="1"/>
  <c r="M3132" i="4" s="1"/>
  <c r="O3132" i="4" s="1"/>
  <c r="K3132" i="4"/>
  <c r="J3132" i="4"/>
  <c r="I3132" i="4"/>
  <c r="P3131" i="4"/>
  <c r="K3131" i="4"/>
  <c r="J3131" i="4"/>
  <c r="I3131" i="4"/>
  <c r="M3131" i="4" s="1" a="1"/>
  <c r="M3131" i="4" s="1"/>
  <c r="O3131" i="4" s="1"/>
  <c r="P3130" i="4"/>
  <c r="K3130" i="4"/>
  <c r="J3130" i="4"/>
  <c r="M3130" i="4" s="1" a="1"/>
  <c r="M3130" i="4" s="1"/>
  <c r="O3130" i="4" s="1"/>
  <c r="I3130" i="4"/>
  <c r="P3129" i="4"/>
  <c r="M3129" i="4" a="1"/>
  <c r="M3129" i="4" s="1"/>
  <c r="O3129" i="4" s="1"/>
  <c r="K3129" i="4"/>
  <c r="J3129" i="4"/>
  <c r="I3129" i="4"/>
  <c r="P3128" i="4"/>
  <c r="K3128" i="4"/>
  <c r="J3128" i="4"/>
  <c r="I3128" i="4"/>
  <c r="M3128" i="4" s="1" a="1"/>
  <c r="M3128" i="4" s="1"/>
  <c r="O3128" i="4" s="1"/>
  <c r="P3127" i="4"/>
  <c r="K3127" i="4"/>
  <c r="J3127" i="4"/>
  <c r="I3127" i="4"/>
  <c r="M3127" i="4" s="1" a="1"/>
  <c r="M3127" i="4" s="1"/>
  <c r="O3127" i="4" s="1"/>
  <c r="P3126" i="4"/>
  <c r="M3126" i="4" a="1"/>
  <c r="M3126" i="4" s="1"/>
  <c r="O3126" i="4" s="1"/>
  <c r="K3126" i="4"/>
  <c r="J3126" i="4"/>
  <c r="I3126" i="4"/>
  <c r="P3125" i="4"/>
  <c r="M3125" i="4"/>
  <c r="O3125" i="4" s="1"/>
  <c r="K3125" i="4"/>
  <c r="J3125" i="4"/>
  <c r="I3125" i="4"/>
  <c r="M3125" i="4" s="1" a="1"/>
  <c r="P3124" i="4"/>
  <c r="K3124" i="4"/>
  <c r="J3124" i="4"/>
  <c r="I3124" i="4"/>
  <c r="M3124" i="4" s="1" a="1"/>
  <c r="M3124" i="4" s="1"/>
  <c r="O3124" i="4" s="1"/>
  <c r="P3123" i="4"/>
  <c r="K3123" i="4"/>
  <c r="M3123" i="4" s="1" a="1"/>
  <c r="M3123" i="4" s="1"/>
  <c r="O3123" i="4" s="1"/>
  <c r="J3123" i="4"/>
  <c r="I3123" i="4"/>
  <c r="P3122" i="4"/>
  <c r="K3122" i="4"/>
  <c r="J3122" i="4"/>
  <c r="I3122" i="4"/>
  <c r="M3122" i="4" s="1" a="1"/>
  <c r="M3122" i="4" s="1"/>
  <c r="O3122" i="4" s="1"/>
  <c r="P3121" i="4"/>
  <c r="K3121" i="4"/>
  <c r="J3121" i="4"/>
  <c r="I3121" i="4"/>
  <c r="M3121" i="4" s="1" a="1"/>
  <c r="M3121" i="4" s="1"/>
  <c r="O3121" i="4" s="1"/>
  <c r="P3120" i="4"/>
  <c r="K3120" i="4"/>
  <c r="M3120" i="4" s="1" a="1"/>
  <c r="M3120" i="4" s="1"/>
  <c r="O3120" i="4" s="1"/>
  <c r="J3120" i="4"/>
  <c r="I3120" i="4"/>
  <c r="P3119" i="4"/>
  <c r="M3119" i="4"/>
  <c r="O3119" i="4" s="1"/>
  <c r="M3119" i="4" a="1"/>
  <c r="K3119" i="4"/>
  <c r="J3119" i="4"/>
  <c r="I3119" i="4"/>
  <c r="P3118" i="4"/>
  <c r="O3118" i="4"/>
  <c r="K3118" i="4"/>
  <c r="J3118" i="4"/>
  <c r="I3118" i="4"/>
  <c r="M3118" i="4" s="1" a="1"/>
  <c r="M3118" i="4" s="1"/>
  <c r="P3117" i="4"/>
  <c r="K3117" i="4"/>
  <c r="J3117" i="4"/>
  <c r="M3117" i="4" s="1" a="1"/>
  <c r="M3117" i="4" s="1"/>
  <c r="O3117" i="4" s="1"/>
  <c r="I3117" i="4"/>
  <c r="P3116" i="4"/>
  <c r="M3116" i="4" a="1"/>
  <c r="M3116" i="4" s="1"/>
  <c r="O3116" i="4" s="1"/>
  <c r="K3116" i="4"/>
  <c r="J3116" i="4"/>
  <c r="I3116" i="4"/>
  <c r="P3115" i="4"/>
  <c r="K3115" i="4"/>
  <c r="J3115" i="4"/>
  <c r="I3115" i="4"/>
  <c r="M3115" i="4" s="1" a="1"/>
  <c r="M3115" i="4" s="1"/>
  <c r="O3115" i="4" s="1"/>
  <c r="P3114" i="4"/>
  <c r="K3114" i="4"/>
  <c r="J3114" i="4"/>
  <c r="M3114" i="4" s="1" a="1"/>
  <c r="M3114" i="4" s="1"/>
  <c r="O3114" i="4" s="1"/>
  <c r="I3114" i="4"/>
  <c r="P3113" i="4"/>
  <c r="M3113" i="4" a="1"/>
  <c r="M3113" i="4" s="1"/>
  <c r="O3113" i="4" s="1"/>
  <c r="K3113" i="4"/>
  <c r="J3113" i="4"/>
  <c r="I3113" i="4"/>
  <c r="P3112" i="4"/>
  <c r="K3112" i="4"/>
  <c r="J3112" i="4"/>
  <c r="I3112" i="4"/>
  <c r="M3112" i="4" s="1" a="1"/>
  <c r="M3112" i="4" s="1"/>
  <c r="O3112" i="4" s="1"/>
  <c r="P3111" i="4"/>
  <c r="K3111" i="4"/>
  <c r="J3111" i="4"/>
  <c r="I3111" i="4"/>
  <c r="M3111" i="4" s="1" a="1"/>
  <c r="M3111" i="4" s="1"/>
  <c r="O3111" i="4" s="1"/>
  <c r="P3110" i="4"/>
  <c r="M3110" i="4" a="1"/>
  <c r="M3110" i="4" s="1"/>
  <c r="O3110" i="4" s="1"/>
  <c r="K3110" i="4"/>
  <c r="J3110" i="4"/>
  <c r="I3110" i="4"/>
  <c r="P3109" i="4"/>
  <c r="K3109" i="4"/>
  <c r="J3109" i="4"/>
  <c r="I3109" i="4"/>
  <c r="M3109" i="4" s="1" a="1"/>
  <c r="M3109" i="4" s="1"/>
  <c r="O3109" i="4" s="1"/>
  <c r="P3108" i="4"/>
  <c r="K3108" i="4"/>
  <c r="J3108" i="4"/>
  <c r="I3108" i="4"/>
  <c r="M3108" i="4" s="1" a="1"/>
  <c r="M3108" i="4" s="1"/>
  <c r="O3108" i="4" s="1"/>
  <c r="P3107" i="4"/>
  <c r="K3107" i="4"/>
  <c r="M3107" i="4" s="1" a="1"/>
  <c r="M3107" i="4" s="1"/>
  <c r="O3107" i="4" s="1"/>
  <c r="J3107" i="4"/>
  <c r="I3107" i="4"/>
  <c r="P3106" i="4"/>
  <c r="K3106" i="4"/>
  <c r="J3106" i="4"/>
  <c r="I3106" i="4"/>
  <c r="M3106" i="4" s="1" a="1"/>
  <c r="M3106" i="4" s="1"/>
  <c r="O3106" i="4" s="1"/>
  <c r="P3105" i="4"/>
  <c r="K3105" i="4"/>
  <c r="J3105" i="4"/>
  <c r="I3105" i="4"/>
  <c r="M3105" i="4" s="1" a="1"/>
  <c r="M3105" i="4" s="1"/>
  <c r="O3105" i="4" s="1"/>
  <c r="P3104" i="4"/>
  <c r="K3104" i="4"/>
  <c r="M3104" i="4" s="1" a="1"/>
  <c r="M3104" i="4" s="1"/>
  <c r="O3104" i="4" s="1"/>
  <c r="J3104" i="4"/>
  <c r="I3104" i="4"/>
  <c r="P3103" i="4"/>
  <c r="M3103" i="4"/>
  <c r="O3103" i="4" s="1"/>
  <c r="M3103" i="4" a="1"/>
  <c r="K3103" i="4"/>
  <c r="J3103" i="4"/>
  <c r="I3103" i="4"/>
  <c r="P3102" i="4"/>
  <c r="O3102" i="4"/>
  <c r="K3102" i="4"/>
  <c r="J3102" i="4"/>
  <c r="I3102" i="4"/>
  <c r="M3102" i="4" s="1" a="1"/>
  <c r="M3102" i="4" s="1"/>
  <c r="P3101" i="4"/>
  <c r="K3101" i="4"/>
  <c r="J3101" i="4"/>
  <c r="M3101" i="4" s="1" a="1"/>
  <c r="M3101" i="4" s="1"/>
  <c r="O3101" i="4" s="1"/>
  <c r="I3101" i="4"/>
  <c r="P3100" i="4"/>
  <c r="M3100" i="4" a="1"/>
  <c r="M3100" i="4" s="1"/>
  <c r="O3100" i="4" s="1"/>
  <c r="K3100" i="4"/>
  <c r="J3100" i="4"/>
  <c r="I3100" i="4"/>
  <c r="P3099" i="4"/>
  <c r="K3099" i="4"/>
  <c r="J3099" i="4"/>
  <c r="I3099" i="4"/>
  <c r="M3099" i="4" s="1" a="1"/>
  <c r="M3099" i="4" s="1"/>
  <c r="O3099" i="4" s="1"/>
  <c r="P3098" i="4"/>
  <c r="K3098" i="4"/>
  <c r="J3098" i="4"/>
  <c r="M3098" i="4" s="1" a="1"/>
  <c r="M3098" i="4" s="1"/>
  <c r="O3098" i="4" s="1"/>
  <c r="I3098" i="4"/>
  <c r="P3097" i="4"/>
  <c r="M3097" i="4" a="1"/>
  <c r="M3097" i="4" s="1"/>
  <c r="O3097" i="4" s="1"/>
  <c r="K3097" i="4"/>
  <c r="J3097" i="4"/>
  <c r="I3097" i="4"/>
  <c r="P3096" i="4"/>
  <c r="K3096" i="4"/>
  <c r="J3096" i="4"/>
  <c r="I3096" i="4"/>
  <c r="M3096" i="4" s="1" a="1"/>
  <c r="M3096" i="4" s="1"/>
  <c r="O3096" i="4" s="1"/>
  <c r="P3095" i="4"/>
  <c r="K3095" i="4"/>
  <c r="J3095" i="4"/>
  <c r="I3095" i="4"/>
  <c r="M3095" i="4" s="1" a="1"/>
  <c r="M3095" i="4" s="1"/>
  <c r="O3095" i="4" s="1"/>
  <c r="P3094" i="4"/>
  <c r="M3094" i="4" a="1"/>
  <c r="M3094" i="4" s="1"/>
  <c r="O3094" i="4" s="1"/>
  <c r="K3094" i="4"/>
  <c r="J3094" i="4"/>
  <c r="I3094" i="4"/>
  <c r="P3093" i="4"/>
  <c r="M3093" i="4"/>
  <c r="O3093" i="4" s="1"/>
  <c r="K3093" i="4"/>
  <c r="J3093" i="4"/>
  <c r="I3093" i="4"/>
  <c r="M3093" i="4" s="1" a="1"/>
  <c r="P3092" i="4"/>
  <c r="K3092" i="4"/>
  <c r="J3092" i="4"/>
  <c r="I3092" i="4"/>
  <c r="M3092" i="4" s="1" a="1"/>
  <c r="M3092" i="4" s="1"/>
  <c r="O3092" i="4" s="1"/>
  <c r="P3091" i="4"/>
  <c r="K3091" i="4"/>
  <c r="M3091" i="4" s="1" a="1"/>
  <c r="M3091" i="4" s="1"/>
  <c r="O3091" i="4" s="1"/>
  <c r="J3091" i="4"/>
  <c r="I3091" i="4"/>
  <c r="P3090" i="4"/>
  <c r="K3090" i="4"/>
  <c r="J3090" i="4"/>
  <c r="I3090" i="4"/>
  <c r="M3090" i="4" s="1" a="1"/>
  <c r="M3090" i="4" s="1"/>
  <c r="O3090" i="4" s="1"/>
  <c r="P3089" i="4"/>
  <c r="K3089" i="4"/>
  <c r="J3089" i="4"/>
  <c r="I3089" i="4"/>
  <c r="M3089" i="4" s="1" a="1"/>
  <c r="M3089" i="4" s="1"/>
  <c r="O3089" i="4" s="1"/>
  <c r="P3088" i="4"/>
  <c r="K3088" i="4"/>
  <c r="M3088" i="4" s="1" a="1"/>
  <c r="M3088" i="4" s="1"/>
  <c r="O3088" i="4" s="1"/>
  <c r="J3088" i="4"/>
  <c r="I3088" i="4"/>
  <c r="P3087" i="4"/>
  <c r="M3087" i="4" a="1"/>
  <c r="M3087" i="4" s="1"/>
  <c r="O3087" i="4" s="1"/>
  <c r="K3087" i="4"/>
  <c r="J3087" i="4"/>
  <c r="I3087" i="4"/>
  <c r="P3086" i="4"/>
  <c r="O3086" i="4"/>
  <c r="K3086" i="4"/>
  <c r="J3086" i="4"/>
  <c r="I3086" i="4"/>
  <c r="M3086" i="4" s="1" a="1"/>
  <c r="M3086" i="4" s="1"/>
  <c r="P3085" i="4"/>
  <c r="K3085" i="4"/>
  <c r="J3085" i="4"/>
  <c r="I3085" i="4"/>
  <c r="P3084" i="4"/>
  <c r="M3084" i="4" a="1"/>
  <c r="M3084" i="4" s="1"/>
  <c r="O3084" i="4" s="1"/>
  <c r="K3084" i="4"/>
  <c r="J3084" i="4"/>
  <c r="I3084" i="4"/>
  <c r="P3083" i="4"/>
  <c r="K3083" i="4"/>
  <c r="J3083" i="4"/>
  <c r="I3083" i="4"/>
  <c r="M3083" i="4" s="1" a="1"/>
  <c r="M3083" i="4" s="1"/>
  <c r="O3083" i="4" s="1"/>
  <c r="P3082" i="4"/>
  <c r="K3082" i="4"/>
  <c r="J3082" i="4"/>
  <c r="M3082" i="4" s="1" a="1"/>
  <c r="M3082" i="4" s="1"/>
  <c r="O3082" i="4" s="1"/>
  <c r="I3082" i="4"/>
  <c r="P3081" i="4"/>
  <c r="M3081" i="4" a="1"/>
  <c r="M3081" i="4" s="1"/>
  <c r="O3081" i="4" s="1"/>
  <c r="K3081" i="4"/>
  <c r="J3081" i="4"/>
  <c r="I3081" i="4"/>
  <c r="P3080" i="4"/>
  <c r="K3080" i="4"/>
  <c r="J3080" i="4"/>
  <c r="I3080" i="4"/>
  <c r="M3080" i="4" s="1" a="1"/>
  <c r="M3080" i="4" s="1"/>
  <c r="O3080" i="4" s="1"/>
  <c r="P3079" i="4"/>
  <c r="K3079" i="4"/>
  <c r="J3079" i="4"/>
  <c r="I3079" i="4"/>
  <c r="M3079" i="4" s="1" a="1"/>
  <c r="M3079" i="4" s="1"/>
  <c r="O3079" i="4" s="1"/>
  <c r="P3078" i="4"/>
  <c r="M3078" i="4" a="1"/>
  <c r="M3078" i="4" s="1"/>
  <c r="O3078" i="4" s="1"/>
  <c r="K3078" i="4"/>
  <c r="J3078" i="4"/>
  <c r="I3078" i="4"/>
  <c r="P3077" i="4"/>
  <c r="K3077" i="4"/>
  <c r="J3077" i="4"/>
  <c r="I3077" i="4"/>
  <c r="M3077" i="4" s="1" a="1"/>
  <c r="M3077" i="4" s="1"/>
  <c r="O3077" i="4" s="1"/>
  <c r="P3076" i="4"/>
  <c r="K3076" i="4"/>
  <c r="J3076" i="4"/>
  <c r="I3076" i="4"/>
  <c r="P3075" i="4"/>
  <c r="K3075" i="4"/>
  <c r="M3075" i="4" s="1" a="1"/>
  <c r="M3075" i="4" s="1"/>
  <c r="O3075" i="4" s="1"/>
  <c r="J3075" i="4"/>
  <c r="I3075" i="4"/>
  <c r="P3074" i="4"/>
  <c r="K3074" i="4"/>
  <c r="J3074" i="4"/>
  <c r="I3074" i="4"/>
  <c r="M3074" i="4" s="1" a="1"/>
  <c r="M3074" i="4" s="1"/>
  <c r="O3074" i="4" s="1"/>
  <c r="P3073" i="4"/>
  <c r="O3073" i="4"/>
  <c r="K3073" i="4"/>
  <c r="J3073" i="4"/>
  <c r="I3073" i="4"/>
  <c r="M3073" i="4" s="1" a="1"/>
  <c r="M3073" i="4" s="1"/>
  <c r="P3072" i="4"/>
  <c r="K3072" i="4"/>
  <c r="M3072" i="4" s="1" a="1"/>
  <c r="M3072" i="4" s="1"/>
  <c r="O3072" i="4" s="1"/>
  <c r="J3072" i="4"/>
  <c r="I3072" i="4"/>
  <c r="P3071" i="4"/>
  <c r="M3071" i="4" a="1"/>
  <c r="M3071" i="4" s="1"/>
  <c r="O3071" i="4" s="1"/>
  <c r="K3071" i="4"/>
  <c r="J3071" i="4"/>
  <c r="I3071" i="4"/>
  <c r="P3070" i="4"/>
  <c r="K3070" i="4"/>
  <c r="J3070" i="4"/>
  <c r="I3070" i="4"/>
  <c r="M3070" i="4" s="1" a="1"/>
  <c r="M3070" i="4" s="1"/>
  <c r="O3070" i="4" s="1"/>
  <c r="P3069" i="4"/>
  <c r="K3069" i="4"/>
  <c r="J3069" i="4"/>
  <c r="M3069" i="4" s="1" a="1"/>
  <c r="M3069" i="4" s="1"/>
  <c r="O3069" i="4" s="1"/>
  <c r="I3069" i="4"/>
  <c r="P3068" i="4"/>
  <c r="M3068" i="4" a="1"/>
  <c r="M3068" i="4" s="1"/>
  <c r="O3068" i="4" s="1"/>
  <c r="K3068" i="4"/>
  <c r="J3068" i="4"/>
  <c r="I3068" i="4"/>
  <c r="P3067" i="4"/>
  <c r="K3067" i="4"/>
  <c r="J3067" i="4"/>
  <c r="I3067" i="4"/>
  <c r="M3067" i="4" s="1" a="1"/>
  <c r="M3067" i="4" s="1"/>
  <c r="O3067" i="4" s="1"/>
  <c r="P3066" i="4"/>
  <c r="K3066" i="4"/>
  <c r="J3066" i="4"/>
  <c r="M3066" i="4" s="1" a="1"/>
  <c r="M3066" i="4" s="1"/>
  <c r="O3066" i="4" s="1"/>
  <c r="I3066" i="4"/>
  <c r="P3065" i="4"/>
  <c r="M3065" i="4" a="1"/>
  <c r="M3065" i="4" s="1"/>
  <c r="O3065" i="4" s="1"/>
  <c r="K3065" i="4"/>
  <c r="J3065" i="4"/>
  <c r="I3065" i="4"/>
  <c r="P3064" i="4"/>
  <c r="O3064" i="4"/>
  <c r="M3064" i="4"/>
  <c r="K3064" i="4"/>
  <c r="J3064" i="4"/>
  <c r="I3064" i="4"/>
  <c r="M3064" i="4" s="1" a="1"/>
  <c r="P3063" i="4"/>
  <c r="K3063" i="4"/>
  <c r="J3063" i="4"/>
  <c r="I3063" i="4"/>
  <c r="M3063" i="4" s="1" a="1"/>
  <c r="M3063" i="4" s="1"/>
  <c r="O3063" i="4" s="1"/>
  <c r="P3062" i="4"/>
  <c r="K3062" i="4"/>
  <c r="M3062" i="4" s="1" a="1"/>
  <c r="M3062" i="4" s="1"/>
  <c r="O3062" i="4" s="1"/>
  <c r="J3062" i="4"/>
  <c r="I3062" i="4"/>
  <c r="P3061" i="4"/>
  <c r="K3061" i="4"/>
  <c r="J3061" i="4"/>
  <c r="I3061" i="4"/>
  <c r="M3061" i="4" s="1" a="1"/>
  <c r="M3061" i="4" s="1"/>
  <c r="O3061" i="4" s="1"/>
  <c r="P3060" i="4"/>
  <c r="K3060" i="4"/>
  <c r="J3060" i="4"/>
  <c r="I3060" i="4"/>
  <c r="M3060" i="4" s="1" a="1"/>
  <c r="M3060" i="4" s="1"/>
  <c r="O3060" i="4" s="1"/>
  <c r="P3059" i="4"/>
  <c r="K3059" i="4"/>
  <c r="M3059" i="4" s="1" a="1"/>
  <c r="M3059" i="4" s="1"/>
  <c r="O3059" i="4" s="1"/>
  <c r="J3059" i="4"/>
  <c r="I3059" i="4"/>
  <c r="P3058" i="4"/>
  <c r="K3058" i="4"/>
  <c r="J3058" i="4"/>
  <c r="I3058" i="4"/>
  <c r="M3058" i="4" s="1" a="1"/>
  <c r="M3058" i="4" s="1"/>
  <c r="O3058" i="4" s="1"/>
  <c r="P3057" i="4"/>
  <c r="O3057" i="4"/>
  <c r="K3057" i="4"/>
  <c r="J3057" i="4"/>
  <c r="I3057" i="4"/>
  <c r="M3057" i="4" s="1" a="1"/>
  <c r="M3057" i="4" s="1"/>
  <c r="P3056" i="4"/>
  <c r="K3056" i="4"/>
  <c r="M3056" i="4" s="1" a="1"/>
  <c r="M3056" i="4" s="1"/>
  <c r="O3056" i="4" s="1"/>
  <c r="J3056" i="4"/>
  <c r="I3056" i="4"/>
  <c r="P3055" i="4"/>
  <c r="M3055" i="4" a="1"/>
  <c r="M3055" i="4" s="1"/>
  <c r="O3055" i="4" s="1"/>
  <c r="K3055" i="4"/>
  <c r="J3055" i="4"/>
  <c r="I3055" i="4"/>
  <c r="P3054" i="4"/>
  <c r="O3054" i="4"/>
  <c r="K3054" i="4"/>
  <c r="J3054" i="4"/>
  <c r="I3054" i="4"/>
  <c r="M3054" i="4" s="1" a="1"/>
  <c r="M3054" i="4" s="1"/>
  <c r="P3053" i="4"/>
  <c r="K3053" i="4"/>
  <c r="J3053" i="4"/>
  <c r="M3053" i="4" s="1" a="1"/>
  <c r="M3053" i="4" s="1"/>
  <c r="O3053" i="4" s="1"/>
  <c r="I3053" i="4"/>
  <c r="P3052" i="4"/>
  <c r="M3052" i="4" a="1"/>
  <c r="M3052" i="4" s="1"/>
  <c r="O3052" i="4" s="1"/>
  <c r="K3052" i="4"/>
  <c r="J3052" i="4"/>
  <c r="I3052" i="4"/>
  <c r="P3051" i="4"/>
  <c r="O3051" i="4"/>
  <c r="K3051" i="4"/>
  <c r="J3051" i="4"/>
  <c r="I3051" i="4"/>
  <c r="M3051" i="4" s="1" a="1"/>
  <c r="M3051" i="4" s="1"/>
  <c r="P3050" i="4"/>
  <c r="K3050" i="4"/>
  <c r="J3050" i="4"/>
  <c r="M3050" i="4" s="1" a="1"/>
  <c r="M3050" i="4" s="1"/>
  <c r="O3050" i="4" s="1"/>
  <c r="I3050" i="4"/>
  <c r="P3049" i="4"/>
  <c r="M3049" i="4" a="1"/>
  <c r="M3049" i="4" s="1"/>
  <c r="O3049" i="4" s="1"/>
  <c r="K3049" i="4"/>
  <c r="J3049" i="4"/>
  <c r="I3049" i="4"/>
  <c r="P3048" i="4"/>
  <c r="K3048" i="4"/>
  <c r="J3048" i="4"/>
  <c r="I3048" i="4"/>
  <c r="M3048" i="4" s="1" a="1"/>
  <c r="M3048" i="4" s="1"/>
  <c r="O3048" i="4" s="1"/>
  <c r="P3047" i="4"/>
  <c r="K3047" i="4"/>
  <c r="J3047" i="4"/>
  <c r="I3047" i="4"/>
  <c r="M3047" i="4" s="1" a="1"/>
  <c r="M3047" i="4" s="1"/>
  <c r="O3047" i="4" s="1"/>
  <c r="P3046" i="4"/>
  <c r="M3046" i="4" a="1"/>
  <c r="M3046" i="4" s="1"/>
  <c r="O3046" i="4" s="1"/>
  <c r="K3046" i="4"/>
  <c r="J3046" i="4"/>
  <c r="I3046" i="4"/>
  <c r="P3045" i="4"/>
  <c r="M3045" i="4"/>
  <c r="O3045" i="4" s="1"/>
  <c r="K3045" i="4"/>
  <c r="J3045" i="4"/>
  <c r="I3045" i="4"/>
  <c r="M3045" i="4" s="1" a="1"/>
  <c r="P3044" i="4"/>
  <c r="K3044" i="4"/>
  <c r="J3044" i="4"/>
  <c r="I3044" i="4"/>
  <c r="M3044" i="4" s="1" a="1"/>
  <c r="M3044" i="4" s="1"/>
  <c r="O3044" i="4" s="1"/>
  <c r="P3043" i="4"/>
  <c r="K3043" i="4"/>
  <c r="M3043" i="4" s="1" a="1"/>
  <c r="M3043" i="4" s="1"/>
  <c r="O3043" i="4" s="1"/>
  <c r="J3043" i="4"/>
  <c r="I3043" i="4"/>
  <c r="P3042" i="4"/>
  <c r="M3042" i="4"/>
  <c r="O3042" i="4" s="1"/>
  <c r="K3042" i="4"/>
  <c r="J3042" i="4"/>
  <c r="I3042" i="4"/>
  <c r="M3042" i="4" s="1" a="1"/>
  <c r="P3041" i="4"/>
  <c r="K3041" i="4"/>
  <c r="J3041" i="4"/>
  <c r="I3041" i="4"/>
  <c r="M3041" i="4" s="1" a="1"/>
  <c r="M3041" i="4" s="1"/>
  <c r="O3041" i="4" s="1"/>
  <c r="P3040" i="4"/>
  <c r="K3040" i="4"/>
  <c r="J3040" i="4"/>
  <c r="I3040" i="4"/>
  <c r="P3039" i="4"/>
  <c r="M3039" i="4"/>
  <c r="O3039" i="4" s="1"/>
  <c r="M3039" i="4" a="1"/>
  <c r="K3039" i="4"/>
  <c r="J3039" i="4"/>
  <c r="I3039" i="4"/>
  <c r="P3038" i="4"/>
  <c r="K3038" i="4"/>
  <c r="J3038" i="4"/>
  <c r="I3038" i="4"/>
  <c r="M3038" i="4" s="1" a="1"/>
  <c r="M3038" i="4" s="1"/>
  <c r="O3038" i="4" s="1"/>
  <c r="P3037" i="4"/>
  <c r="K3037" i="4"/>
  <c r="J3037" i="4"/>
  <c r="M3037" i="4" s="1" a="1"/>
  <c r="M3037" i="4" s="1"/>
  <c r="O3037" i="4" s="1"/>
  <c r="I3037" i="4"/>
  <c r="P3036" i="4"/>
  <c r="M3036" i="4" a="1"/>
  <c r="M3036" i="4" s="1"/>
  <c r="O3036" i="4" s="1"/>
  <c r="K3036" i="4"/>
  <c r="J3036" i="4"/>
  <c r="I3036" i="4"/>
  <c r="P3035" i="4"/>
  <c r="O3035" i="4"/>
  <c r="K3035" i="4"/>
  <c r="J3035" i="4"/>
  <c r="I3035" i="4"/>
  <c r="M3035" i="4" s="1" a="1"/>
  <c r="M3035" i="4" s="1"/>
  <c r="P3034" i="4"/>
  <c r="K3034" i="4"/>
  <c r="J3034" i="4"/>
  <c r="M3034" i="4" s="1" a="1"/>
  <c r="M3034" i="4" s="1"/>
  <c r="O3034" i="4" s="1"/>
  <c r="I3034" i="4"/>
  <c r="P3033" i="4"/>
  <c r="M3033" i="4" a="1"/>
  <c r="M3033" i="4" s="1"/>
  <c r="O3033" i="4" s="1"/>
  <c r="K3033" i="4"/>
  <c r="J3033" i="4"/>
  <c r="I3033" i="4"/>
  <c r="P3032" i="4"/>
  <c r="K3032" i="4"/>
  <c r="J3032" i="4"/>
  <c r="I3032" i="4"/>
  <c r="M3032" i="4" s="1" a="1"/>
  <c r="M3032" i="4" s="1"/>
  <c r="O3032" i="4" s="1"/>
  <c r="P3031" i="4"/>
  <c r="K3031" i="4"/>
  <c r="J3031" i="4"/>
  <c r="I3031" i="4"/>
  <c r="M3031" i="4" s="1" a="1"/>
  <c r="M3031" i="4" s="1"/>
  <c r="O3031" i="4" s="1"/>
  <c r="P3030" i="4"/>
  <c r="M3030" i="4" a="1"/>
  <c r="M3030" i="4" s="1"/>
  <c r="O3030" i="4" s="1"/>
  <c r="K3030" i="4"/>
  <c r="J3030" i="4"/>
  <c r="I3030" i="4"/>
  <c r="P3029" i="4"/>
  <c r="K3029" i="4"/>
  <c r="J3029" i="4"/>
  <c r="I3029" i="4"/>
  <c r="M3029" i="4" s="1" a="1"/>
  <c r="M3029" i="4" s="1"/>
  <c r="O3029" i="4" s="1"/>
  <c r="P3028" i="4"/>
  <c r="K3028" i="4"/>
  <c r="J3028" i="4"/>
  <c r="I3028" i="4"/>
  <c r="M3028" i="4" s="1" a="1"/>
  <c r="M3028" i="4" s="1"/>
  <c r="O3028" i="4" s="1"/>
  <c r="P3027" i="4"/>
  <c r="K3027" i="4"/>
  <c r="M3027" i="4" s="1" a="1"/>
  <c r="M3027" i="4" s="1"/>
  <c r="O3027" i="4" s="1"/>
  <c r="J3027" i="4"/>
  <c r="I3027" i="4"/>
  <c r="P3026" i="4"/>
  <c r="K3026" i="4"/>
  <c r="J3026" i="4"/>
  <c r="I3026" i="4"/>
  <c r="M3026" i="4" s="1" a="1"/>
  <c r="M3026" i="4" s="1"/>
  <c r="O3026" i="4" s="1"/>
  <c r="P3025" i="4"/>
  <c r="K3025" i="4"/>
  <c r="J3025" i="4"/>
  <c r="I3025" i="4"/>
  <c r="M3025" i="4" s="1" a="1"/>
  <c r="M3025" i="4" s="1"/>
  <c r="O3025" i="4" s="1"/>
  <c r="P3024" i="4"/>
  <c r="K3024" i="4"/>
  <c r="J3024" i="4"/>
  <c r="I3024" i="4"/>
  <c r="M3024" i="4" s="1" a="1"/>
  <c r="M3024" i="4" s="1"/>
  <c r="O3024" i="4" s="1"/>
  <c r="P3023" i="4"/>
  <c r="M3023" i="4"/>
  <c r="O3023" i="4" s="1"/>
  <c r="M3023" i="4" a="1"/>
  <c r="K3023" i="4"/>
  <c r="J3023" i="4"/>
  <c r="I3023" i="4"/>
  <c r="P3022" i="4"/>
  <c r="O3022" i="4"/>
  <c r="K3022" i="4"/>
  <c r="J3022" i="4"/>
  <c r="I3022" i="4"/>
  <c r="M3022" i="4" s="1" a="1"/>
  <c r="M3022" i="4" s="1"/>
  <c r="P3021" i="4"/>
  <c r="K3021" i="4"/>
  <c r="J3021" i="4"/>
  <c r="I3021" i="4"/>
  <c r="P3020" i="4"/>
  <c r="M3020" i="4" a="1"/>
  <c r="M3020" i="4" s="1"/>
  <c r="O3020" i="4" s="1"/>
  <c r="K3020" i="4"/>
  <c r="J3020" i="4"/>
  <c r="I3020" i="4"/>
  <c r="P3019" i="4"/>
  <c r="O3019" i="4"/>
  <c r="K3019" i="4"/>
  <c r="J3019" i="4"/>
  <c r="I3019" i="4"/>
  <c r="M3019" i="4" s="1" a="1"/>
  <c r="M3019" i="4" s="1"/>
  <c r="P3018" i="4"/>
  <c r="K3018" i="4"/>
  <c r="J3018" i="4"/>
  <c r="M3018" i="4" s="1" a="1"/>
  <c r="M3018" i="4" s="1"/>
  <c r="O3018" i="4" s="1"/>
  <c r="I3018" i="4"/>
  <c r="P3017" i="4"/>
  <c r="M3017" i="4" a="1"/>
  <c r="M3017" i="4" s="1"/>
  <c r="O3017" i="4" s="1"/>
  <c r="K3017" i="4"/>
  <c r="J3017" i="4"/>
  <c r="I3017" i="4"/>
  <c r="P3016" i="4"/>
  <c r="K3016" i="4"/>
  <c r="J3016" i="4"/>
  <c r="I3016" i="4"/>
  <c r="M3016" i="4" s="1" a="1"/>
  <c r="M3016" i="4" s="1"/>
  <c r="O3016" i="4" s="1"/>
  <c r="P3015" i="4"/>
  <c r="K3015" i="4"/>
  <c r="J3015" i="4"/>
  <c r="I3015" i="4"/>
  <c r="P3014" i="4"/>
  <c r="M3014" i="4" a="1"/>
  <c r="M3014" i="4" s="1"/>
  <c r="O3014" i="4" s="1"/>
  <c r="K3014" i="4"/>
  <c r="J3014" i="4"/>
  <c r="I3014" i="4"/>
  <c r="P3013" i="4"/>
  <c r="K3013" i="4"/>
  <c r="J3013" i="4"/>
  <c r="I3013" i="4"/>
  <c r="M3013" i="4" s="1" a="1"/>
  <c r="M3013" i="4" s="1"/>
  <c r="O3013" i="4" s="1"/>
  <c r="P3012" i="4"/>
  <c r="K3012" i="4"/>
  <c r="J3012" i="4"/>
  <c r="I3012" i="4"/>
  <c r="M3012" i="4" s="1" a="1"/>
  <c r="M3012" i="4" s="1"/>
  <c r="O3012" i="4" s="1"/>
  <c r="P3011" i="4"/>
  <c r="K3011" i="4"/>
  <c r="M3011" i="4" s="1" a="1"/>
  <c r="M3011" i="4" s="1"/>
  <c r="O3011" i="4" s="1"/>
  <c r="J3011" i="4"/>
  <c r="I3011" i="4"/>
  <c r="P3010" i="4"/>
  <c r="M3010" i="4"/>
  <c r="O3010" i="4" s="1"/>
  <c r="K3010" i="4"/>
  <c r="J3010" i="4"/>
  <c r="I3010" i="4"/>
  <c r="M3010" i="4" s="1" a="1"/>
  <c r="P3009" i="4"/>
  <c r="K3009" i="4"/>
  <c r="J3009" i="4"/>
  <c r="I3009" i="4"/>
  <c r="M3009" i="4" s="1" a="1"/>
  <c r="M3009" i="4" s="1"/>
  <c r="O3009" i="4" s="1"/>
  <c r="P3008" i="4"/>
  <c r="K3008" i="4"/>
  <c r="J3008" i="4"/>
  <c r="I3008" i="4"/>
  <c r="P3007" i="4"/>
  <c r="M3007" i="4"/>
  <c r="O3007" i="4" s="1"/>
  <c r="M3007" i="4" a="1"/>
  <c r="K3007" i="4"/>
  <c r="J3007" i="4"/>
  <c r="I3007" i="4"/>
  <c r="P3006" i="4"/>
  <c r="K3006" i="4"/>
  <c r="J3006" i="4"/>
  <c r="I3006" i="4"/>
  <c r="M3006" i="4" s="1" a="1"/>
  <c r="M3006" i="4" s="1"/>
  <c r="O3006" i="4" s="1"/>
  <c r="P3005" i="4"/>
  <c r="K3005" i="4"/>
  <c r="J3005" i="4"/>
  <c r="I3005" i="4"/>
  <c r="M3005" i="4" s="1" a="1"/>
  <c r="M3005" i="4" s="1"/>
  <c r="O3005" i="4" s="1"/>
  <c r="P3004" i="4"/>
  <c r="M3004" i="4" a="1"/>
  <c r="M3004" i="4" s="1"/>
  <c r="O3004" i="4" s="1"/>
  <c r="K3004" i="4"/>
  <c r="J3004" i="4"/>
  <c r="I3004" i="4"/>
  <c r="P3003" i="4"/>
  <c r="K3003" i="4"/>
  <c r="J3003" i="4"/>
  <c r="I3003" i="4"/>
  <c r="M3003" i="4" s="1" a="1"/>
  <c r="M3003" i="4" s="1"/>
  <c r="O3003" i="4" s="1"/>
  <c r="P3002" i="4"/>
  <c r="K3002" i="4"/>
  <c r="J3002" i="4"/>
  <c r="I3002" i="4"/>
  <c r="P3001" i="4"/>
  <c r="M3001" i="4" a="1"/>
  <c r="M3001" i="4" s="1"/>
  <c r="O3001" i="4" s="1"/>
  <c r="K3001" i="4"/>
  <c r="J3001" i="4"/>
  <c r="I3001" i="4"/>
  <c r="P3000" i="4"/>
  <c r="M3000" i="4"/>
  <c r="O3000" i="4" s="1"/>
  <c r="K3000" i="4"/>
  <c r="J3000" i="4"/>
  <c r="I3000" i="4"/>
  <c r="M3000" i="4" s="1" a="1"/>
  <c r="P2999" i="4"/>
  <c r="K2999" i="4"/>
  <c r="J2999" i="4"/>
  <c r="I2999" i="4"/>
  <c r="P2998" i="4"/>
  <c r="M2998" i="4" a="1"/>
  <c r="M2998" i="4" s="1"/>
  <c r="O2998" i="4" s="1"/>
  <c r="K2998" i="4"/>
  <c r="J2998" i="4"/>
  <c r="I2998" i="4"/>
  <c r="P2997" i="4"/>
  <c r="O2997" i="4"/>
  <c r="K2997" i="4"/>
  <c r="J2997" i="4"/>
  <c r="I2997" i="4"/>
  <c r="M2997" i="4" s="1" a="1"/>
  <c r="M2997" i="4" s="1"/>
  <c r="P2996" i="4"/>
  <c r="K2996" i="4"/>
  <c r="J2996" i="4"/>
  <c r="I2996" i="4"/>
  <c r="M2996" i="4" s="1" a="1"/>
  <c r="M2996" i="4" s="1"/>
  <c r="O2996" i="4" s="1"/>
  <c r="P2995" i="4"/>
  <c r="K2995" i="4"/>
  <c r="M2995" i="4" s="1" a="1"/>
  <c r="M2995" i="4" s="1"/>
  <c r="O2995" i="4" s="1"/>
  <c r="J2995" i="4"/>
  <c r="I2995" i="4"/>
  <c r="P2994" i="4"/>
  <c r="K2994" i="4"/>
  <c r="J2994" i="4"/>
  <c r="I2994" i="4"/>
  <c r="M2994" i="4" s="1" a="1"/>
  <c r="M2994" i="4" s="1"/>
  <c r="O2994" i="4" s="1"/>
  <c r="P2993" i="4"/>
  <c r="K2993" i="4"/>
  <c r="J2993" i="4"/>
  <c r="I2993" i="4"/>
  <c r="P2992" i="4"/>
  <c r="K2992" i="4"/>
  <c r="M2992" i="4" s="1" a="1"/>
  <c r="M2992" i="4" s="1"/>
  <c r="O2992" i="4" s="1"/>
  <c r="J2992" i="4"/>
  <c r="I2992" i="4"/>
  <c r="P2991" i="4"/>
  <c r="M2991" i="4" a="1"/>
  <c r="M2991" i="4" s="1"/>
  <c r="O2991" i="4" s="1"/>
  <c r="K2991" i="4"/>
  <c r="J2991" i="4"/>
  <c r="I2991" i="4"/>
  <c r="P2990" i="4"/>
  <c r="K2990" i="4"/>
  <c r="J2990" i="4"/>
  <c r="I2990" i="4"/>
  <c r="M2990" i="4" s="1" a="1"/>
  <c r="M2990" i="4" s="1"/>
  <c r="O2990" i="4" s="1"/>
  <c r="P2989" i="4"/>
  <c r="K2989" i="4"/>
  <c r="J2989" i="4"/>
  <c r="I2989" i="4"/>
  <c r="P2988" i="4"/>
  <c r="M2988" i="4" a="1"/>
  <c r="M2988" i="4" s="1"/>
  <c r="O2988" i="4" s="1"/>
  <c r="K2988" i="4"/>
  <c r="J2988" i="4"/>
  <c r="I2988" i="4"/>
  <c r="P2987" i="4"/>
  <c r="K2987" i="4"/>
  <c r="J2987" i="4"/>
  <c r="I2987" i="4"/>
  <c r="M2987" i="4" s="1" a="1"/>
  <c r="M2987" i="4" s="1"/>
  <c r="O2987" i="4" s="1"/>
  <c r="P2986" i="4"/>
  <c r="M2986" i="4" a="1"/>
  <c r="M2986" i="4" s="1"/>
  <c r="O2986" i="4" s="1"/>
  <c r="K2986" i="4"/>
  <c r="J2986" i="4"/>
  <c r="I2986" i="4"/>
  <c r="P2985" i="4"/>
  <c r="M2985" i="4" a="1"/>
  <c r="M2985" i="4" s="1"/>
  <c r="O2985" i="4" s="1"/>
  <c r="K2985" i="4"/>
  <c r="J2985" i="4"/>
  <c r="I2985" i="4"/>
  <c r="P2984" i="4"/>
  <c r="K2984" i="4"/>
  <c r="J2984" i="4"/>
  <c r="I2984" i="4"/>
  <c r="M2984" i="4" s="1" a="1"/>
  <c r="M2984" i="4" s="1"/>
  <c r="O2984" i="4" s="1"/>
  <c r="P2983" i="4"/>
  <c r="K2983" i="4"/>
  <c r="J2983" i="4"/>
  <c r="I2983" i="4"/>
  <c r="M2983" i="4" s="1" a="1"/>
  <c r="M2983" i="4" s="1"/>
  <c r="O2983" i="4" s="1"/>
  <c r="P2982" i="4"/>
  <c r="K2982" i="4"/>
  <c r="M2982" i="4" s="1" a="1"/>
  <c r="M2982" i="4" s="1"/>
  <c r="O2982" i="4" s="1"/>
  <c r="J2982" i="4"/>
  <c r="I2982" i="4"/>
  <c r="P2981" i="4"/>
  <c r="M2981" i="4"/>
  <c r="O2981" i="4" s="1"/>
  <c r="K2981" i="4"/>
  <c r="J2981" i="4"/>
  <c r="I2981" i="4"/>
  <c r="M2981" i="4" s="1" a="1"/>
  <c r="P2980" i="4"/>
  <c r="K2980" i="4"/>
  <c r="J2980" i="4"/>
  <c r="I2980" i="4"/>
  <c r="P2979" i="4"/>
  <c r="K2979" i="4"/>
  <c r="M2979" i="4" s="1" a="1"/>
  <c r="M2979" i="4" s="1"/>
  <c r="O2979" i="4" s="1"/>
  <c r="J2979" i="4"/>
  <c r="I2979" i="4"/>
  <c r="P2978" i="4"/>
  <c r="K2978" i="4"/>
  <c r="J2978" i="4"/>
  <c r="I2978" i="4"/>
  <c r="M2978" i="4" s="1" a="1"/>
  <c r="M2978" i="4" s="1"/>
  <c r="O2978" i="4" s="1"/>
  <c r="P2977" i="4"/>
  <c r="K2977" i="4"/>
  <c r="J2977" i="4"/>
  <c r="I2977" i="4"/>
  <c r="P2976" i="4"/>
  <c r="K2976" i="4"/>
  <c r="M2976" i="4" s="1" a="1"/>
  <c r="M2976" i="4" s="1"/>
  <c r="O2976" i="4" s="1"/>
  <c r="J2976" i="4"/>
  <c r="I2976" i="4"/>
  <c r="P2975" i="4"/>
  <c r="M2975" i="4" a="1"/>
  <c r="M2975" i="4" s="1"/>
  <c r="O2975" i="4" s="1"/>
  <c r="K2975" i="4"/>
  <c r="J2975" i="4"/>
  <c r="I2975" i="4"/>
  <c r="P2974" i="4"/>
  <c r="K2974" i="4"/>
  <c r="J2974" i="4"/>
  <c r="I2974" i="4"/>
  <c r="M2974" i="4" s="1" a="1"/>
  <c r="M2974" i="4" s="1"/>
  <c r="O2974" i="4" s="1"/>
  <c r="P2973" i="4"/>
  <c r="K2973" i="4"/>
  <c r="J2973" i="4"/>
  <c r="I2973" i="4"/>
  <c r="P2972" i="4"/>
  <c r="M2972" i="4" a="1"/>
  <c r="M2972" i="4" s="1"/>
  <c r="O2972" i="4" s="1"/>
  <c r="K2972" i="4"/>
  <c r="J2972" i="4"/>
  <c r="I2972" i="4"/>
  <c r="P2971" i="4"/>
  <c r="K2971" i="4"/>
  <c r="J2971" i="4"/>
  <c r="I2971" i="4"/>
  <c r="M2971" i="4" s="1" a="1"/>
  <c r="M2971" i="4" s="1"/>
  <c r="O2971" i="4" s="1"/>
  <c r="P2970" i="4"/>
  <c r="M2970" i="4" a="1"/>
  <c r="M2970" i="4" s="1"/>
  <c r="O2970" i="4" s="1"/>
  <c r="K2970" i="4"/>
  <c r="J2970" i="4"/>
  <c r="I2970" i="4"/>
  <c r="P2969" i="4"/>
  <c r="M2969" i="4"/>
  <c r="O2969" i="4" s="1"/>
  <c r="M2969" i="4" a="1"/>
  <c r="K2969" i="4"/>
  <c r="J2969" i="4"/>
  <c r="I2969" i="4"/>
  <c r="P2968" i="4"/>
  <c r="M2968" i="4" a="1"/>
  <c r="M2968" i="4" s="1"/>
  <c r="O2968" i="4" s="1"/>
  <c r="K2968" i="4"/>
  <c r="J2968" i="4"/>
  <c r="I2968" i="4"/>
  <c r="P2967" i="4"/>
  <c r="K2967" i="4"/>
  <c r="J2967" i="4"/>
  <c r="I2967" i="4"/>
  <c r="P2966" i="4"/>
  <c r="K2966" i="4"/>
  <c r="M2966" i="4" s="1" a="1"/>
  <c r="M2966" i="4" s="1"/>
  <c r="O2966" i="4" s="1"/>
  <c r="J2966" i="4"/>
  <c r="I2966" i="4"/>
  <c r="P2965" i="4"/>
  <c r="K2965" i="4"/>
  <c r="J2965" i="4"/>
  <c r="I2965" i="4"/>
  <c r="M2965" i="4" s="1" a="1"/>
  <c r="M2965" i="4" s="1"/>
  <c r="O2965" i="4" s="1"/>
  <c r="P2964" i="4"/>
  <c r="K2964" i="4"/>
  <c r="J2964" i="4"/>
  <c r="I2964" i="4"/>
  <c r="P2963" i="4"/>
  <c r="M2963" i="4" a="1"/>
  <c r="M2963" i="4" s="1"/>
  <c r="O2963" i="4" s="1"/>
  <c r="K2963" i="4"/>
  <c r="J2963" i="4"/>
  <c r="I2963" i="4"/>
  <c r="P2962" i="4"/>
  <c r="M2962" i="4"/>
  <c r="O2962" i="4" s="1"/>
  <c r="K2962" i="4"/>
  <c r="J2962" i="4"/>
  <c r="I2962" i="4"/>
  <c r="M2962" i="4" s="1" a="1"/>
  <c r="P2961" i="4"/>
  <c r="K2961" i="4"/>
  <c r="J2961" i="4"/>
  <c r="I2961" i="4"/>
  <c r="P2960" i="4"/>
  <c r="K2960" i="4"/>
  <c r="J2960" i="4"/>
  <c r="I2960" i="4"/>
  <c r="M2960" i="4" s="1" a="1"/>
  <c r="M2960" i="4" s="1"/>
  <c r="O2960" i="4" s="1"/>
  <c r="P2959" i="4"/>
  <c r="M2959" i="4" a="1"/>
  <c r="M2959" i="4" s="1"/>
  <c r="O2959" i="4" s="1"/>
  <c r="K2959" i="4"/>
  <c r="J2959" i="4"/>
  <c r="I2959" i="4"/>
  <c r="P2958" i="4"/>
  <c r="O2958" i="4"/>
  <c r="K2958" i="4"/>
  <c r="J2958" i="4"/>
  <c r="I2958" i="4"/>
  <c r="M2958" i="4" s="1" a="1"/>
  <c r="M2958" i="4" s="1"/>
  <c r="P2957" i="4"/>
  <c r="K2957" i="4"/>
  <c r="J2957" i="4"/>
  <c r="I2957" i="4"/>
  <c r="P2956" i="4"/>
  <c r="K2956" i="4"/>
  <c r="J2956" i="4"/>
  <c r="M2956" i="4" s="1" a="1"/>
  <c r="M2956" i="4" s="1"/>
  <c r="O2956" i="4" s="1"/>
  <c r="I2956" i="4"/>
  <c r="P2955" i="4"/>
  <c r="K2955" i="4"/>
  <c r="J2955" i="4"/>
  <c r="I2955" i="4"/>
  <c r="M2955" i="4" s="1" a="1"/>
  <c r="M2955" i="4" s="1"/>
  <c r="O2955" i="4" s="1"/>
  <c r="P2954" i="4"/>
  <c r="K2954" i="4"/>
  <c r="J2954" i="4"/>
  <c r="M2954" i="4" s="1" a="1"/>
  <c r="M2954" i="4" s="1"/>
  <c r="O2954" i="4" s="1"/>
  <c r="I2954" i="4"/>
  <c r="P2953" i="4"/>
  <c r="M2953" i="4" a="1"/>
  <c r="M2953" i="4" s="1"/>
  <c r="O2953" i="4" s="1"/>
  <c r="K2953" i="4"/>
  <c r="J2953" i="4"/>
  <c r="I2953" i="4"/>
  <c r="P2952" i="4"/>
  <c r="M2952" i="4"/>
  <c r="O2952" i="4" s="1"/>
  <c r="K2952" i="4"/>
  <c r="J2952" i="4"/>
  <c r="I2952" i="4"/>
  <c r="M2952" i="4" s="1" a="1"/>
  <c r="P2951" i="4"/>
  <c r="K2951" i="4"/>
  <c r="J2951" i="4"/>
  <c r="I2951" i="4"/>
  <c r="P2950" i="4"/>
  <c r="K2950" i="4"/>
  <c r="J2950" i="4"/>
  <c r="I2950" i="4"/>
  <c r="M2950" i="4" s="1" a="1"/>
  <c r="M2950" i="4" s="1"/>
  <c r="O2950" i="4" s="1"/>
  <c r="P2949" i="4"/>
  <c r="K2949" i="4"/>
  <c r="J2949" i="4"/>
  <c r="I2949" i="4"/>
  <c r="P2948" i="4"/>
  <c r="K2948" i="4"/>
  <c r="J2948" i="4"/>
  <c r="I2948" i="4"/>
  <c r="P2947" i="4"/>
  <c r="K2947" i="4"/>
  <c r="J2947" i="4"/>
  <c r="I2947" i="4"/>
  <c r="P2946" i="4"/>
  <c r="M2946" i="4" a="1"/>
  <c r="M2946" i="4" s="1"/>
  <c r="O2946" i="4" s="1"/>
  <c r="K2946" i="4"/>
  <c r="J2946" i="4"/>
  <c r="I2946" i="4"/>
  <c r="P2945" i="4"/>
  <c r="K2945" i="4"/>
  <c r="J2945" i="4"/>
  <c r="I2945" i="4"/>
  <c r="M2945" i="4" s="1" a="1"/>
  <c r="M2945" i="4" s="1"/>
  <c r="O2945" i="4" s="1"/>
  <c r="P2944" i="4"/>
  <c r="M2944" i="4" a="1"/>
  <c r="M2944" i="4" s="1"/>
  <c r="O2944" i="4" s="1"/>
  <c r="K2944" i="4"/>
  <c r="J2944" i="4"/>
  <c r="I2944" i="4"/>
  <c r="P2943" i="4"/>
  <c r="M2943" i="4" a="1"/>
  <c r="M2943" i="4" s="1"/>
  <c r="O2943" i="4" s="1"/>
  <c r="K2943" i="4"/>
  <c r="J2943" i="4"/>
  <c r="I2943" i="4"/>
  <c r="P2942" i="4"/>
  <c r="M2942" i="4" a="1"/>
  <c r="M2942" i="4" s="1"/>
  <c r="O2942" i="4" s="1"/>
  <c r="K2942" i="4"/>
  <c r="J2942" i="4"/>
  <c r="I2942" i="4"/>
  <c r="P2941" i="4"/>
  <c r="K2941" i="4"/>
  <c r="J2941" i="4"/>
  <c r="M2941" i="4" s="1" a="1"/>
  <c r="M2941" i="4" s="1"/>
  <c r="O2941" i="4" s="1"/>
  <c r="I2941" i="4"/>
  <c r="P2940" i="4"/>
  <c r="M2940" i="4" a="1"/>
  <c r="M2940" i="4" s="1"/>
  <c r="O2940" i="4" s="1"/>
  <c r="K2940" i="4"/>
  <c r="J2940" i="4"/>
  <c r="I2940" i="4"/>
  <c r="P2939" i="4"/>
  <c r="K2939" i="4"/>
  <c r="J2939" i="4"/>
  <c r="I2939" i="4"/>
  <c r="M2939" i="4" s="1" a="1"/>
  <c r="M2939" i="4" s="1"/>
  <c r="O2939" i="4" s="1"/>
  <c r="P2938" i="4"/>
  <c r="M2938" i="4"/>
  <c r="O2938" i="4" s="1"/>
  <c r="K2938" i="4"/>
  <c r="J2938" i="4"/>
  <c r="M2938" i="4" s="1" a="1"/>
  <c r="I2938" i="4"/>
  <c r="P2937" i="4"/>
  <c r="M2937" i="4"/>
  <c r="O2937" i="4" s="1"/>
  <c r="K2937" i="4"/>
  <c r="J2937" i="4"/>
  <c r="M2937" i="4" s="1" a="1"/>
  <c r="I2937" i="4"/>
  <c r="P2936" i="4"/>
  <c r="M2936" i="4" a="1"/>
  <c r="M2936" i="4" s="1"/>
  <c r="O2936" i="4" s="1"/>
  <c r="K2936" i="4"/>
  <c r="J2936" i="4"/>
  <c r="I2936" i="4"/>
  <c r="P2935" i="4"/>
  <c r="K2935" i="4"/>
  <c r="J2935" i="4"/>
  <c r="I2935" i="4"/>
  <c r="M2935" i="4" s="1" a="1"/>
  <c r="M2935" i="4" s="1"/>
  <c r="O2935" i="4" s="1"/>
  <c r="P2934" i="4"/>
  <c r="M2934" i="4" a="1"/>
  <c r="M2934" i="4" s="1"/>
  <c r="O2934" i="4" s="1"/>
  <c r="K2934" i="4"/>
  <c r="J2934" i="4"/>
  <c r="I2934" i="4"/>
  <c r="P2933" i="4"/>
  <c r="K2933" i="4"/>
  <c r="J2933" i="4"/>
  <c r="I2933" i="4"/>
  <c r="P2932" i="4"/>
  <c r="K2932" i="4"/>
  <c r="J2932" i="4"/>
  <c r="I2932" i="4"/>
  <c r="P2931" i="4"/>
  <c r="M2931" i="4" a="1"/>
  <c r="M2931" i="4" s="1"/>
  <c r="O2931" i="4" s="1"/>
  <c r="K2931" i="4"/>
  <c r="J2931" i="4"/>
  <c r="I2931" i="4"/>
  <c r="P2930" i="4"/>
  <c r="K2930" i="4"/>
  <c r="J2930" i="4"/>
  <c r="I2930" i="4"/>
  <c r="M2930" i="4" s="1" a="1"/>
  <c r="M2930" i="4" s="1"/>
  <c r="O2930" i="4" s="1"/>
  <c r="P2929" i="4"/>
  <c r="K2929" i="4"/>
  <c r="J2929" i="4"/>
  <c r="I2929" i="4"/>
  <c r="M2929" i="4" s="1" a="1"/>
  <c r="M2929" i="4" s="1"/>
  <c r="O2929" i="4" s="1"/>
  <c r="P2928" i="4"/>
  <c r="M2928" i="4" a="1"/>
  <c r="M2928" i="4" s="1"/>
  <c r="O2928" i="4" s="1"/>
  <c r="K2928" i="4"/>
  <c r="J2928" i="4"/>
  <c r="I2928" i="4"/>
  <c r="P2927" i="4"/>
  <c r="K2927" i="4"/>
  <c r="J2927" i="4"/>
  <c r="I2927" i="4"/>
  <c r="M2927" i="4" s="1" a="1"/>
  <c r="M2927" i="4" s="1"/>
  <c r="O2927" i="4" s="1"/>
  <c r="P2926" i="4"/>
  <c r="K2926" i="4"/>
  <c r="J2926" i="4"/>
  <c r="I2926" i="4"/>
  <c r="M2926" i="4" s="1" a="1"/>
  <c r="M2926" i="4" s="1"/>
  <c r="O2926" i="4" s="1"/>
  <c r="P2925" i="4"/>
  <c r="K2925" i="4"/>
  <c r="J2925" i="4"/>
  <c r="I2925" i="4"/>
  <c r="M2925" i="4" s="1" a="1"/>
  <c r="M2925" i="4" s="1"/>
  <c r="O2925" i="4" s="1"/>
  <c r="P2924" i="4"/>
  <c r="K2924" i="4"/>
  <c r="J2924" i="4"/>
  <c r="M2924" i="4" s="1" a="1"/>
  <c r="M2924" i="4" s="1"/>
  <c r="O2924" i="4" s="1"/>
  <c r="I2924" i="4"/>
  <c r="P2923" i="4"/>
  <c r="K2923" i="4"/>
  <c r="J2923" i="4"/>
  <c r="I2923" i="4"/>
  <c r="M2923" i="4" s="1" a="1"/>
  <c r="M2923" i="4" s="1"/>
  <c r="O2923" i="4" s="1"/>
  <c r="P2922" i="4"/>
  <c r="K2922" i="4"/>
  <c r="M2922" i="4" s="1" a="1"/>
  <c r="M2922" i="4" s="1"/>
  <c r="O2922" i="4" s="1"/>
  <c r="J2922" i="4"/>
  <c r="I2922" i="4"/>
  <c r="P2921" i="4"/>
  <c r="K2921" i="4"/>
  <c r="J2921" i="4"/>
  <c r="M2921" i="4" s="1" a="1"/>
  <c r="M2921" i="4" s="1"/>
  <c r="O2921" i="4" s="1"/>
  <c r="I2921" i="4"/>
  <c r="P2920" i="4"/>
  <c r="K2920" i="4"/>
  <c r="J2920" i="4"/>
  <c r="I2920" i="4"/>
  <c r="M2920" i="4" s="1" a="1"/>
  <c r="M2920" i="4" s="1"/>
  <c r="O2920" i="4" s="1"/>
  <c r="P2919" i="4"/>
  <c r="K2919" i="4"/>
  <c r="J2919" i="4"/>
  <c r="I2919" i="4"/>
  <c r="P2918" i="4"/>
  <c r="M2918" i="4" a="1"/>
  <c r="M2918" i="4" s="1"/>
  <c r="O2918" i="4" s="1"/>
  <c r="K2918" i="4"/>
  <c r="J2918" i="4"/>
  <c r="I2918" i="4"/>
  <c r="P2917" i="4"/>
  <c r="M2917" i="4"/>
  <c r="O2917" i="4" s="1"/>
  <c r="K2917" i="4"/>
  <c r="J2917" i="4"/>
  <c r="I2917" i="4"/>
  <c r="M2917" i="4" s="1" a="1"/>
  <c r="P2916" i="4"/>
  <c r="K2916" i="4"/>
  <c r="J2916" i="4"/>
  <c r="I2916" i="4"/>
  <c r="P2915" i="4"/>
  <c r="K2915" i="4"/>
  <c r="J2915" i="4"/>
  <c r="I2915" i="4"/>
  <c r="M2915" i="4" s="1" a="1"/>
  <c r="M2915" i="4" s="1"/>
  <c r="O2915" i="4" s="1"/>
  <c r="P2914" i="4"/>
  <c r="K2914" i="4"/>
  <c r="J2914" i="4"/>
  <c r="I2914" i="4"/>
  <c r="M2914" i="4" s="1" a="1"/>
  <c r="M2914" i="4" s="1"/>
  <c r="O2914" i="4" s="1"/>
  <c r="P2913" i="4"/>
  <c r="M2913" i="4"/>
  <c r="O2913" i="4" s="1"/>
  <c r="K2913" i="4"/>
  <c r="J2913" i="4"/>
  <c r="I2913" i="4"/>
  <c r="M2913" i="4" s="1" a="1"/>
  <c r="P2912" i="4"/>
  <c r="O2912" i="4"/>
  <c r="K2912" i="4"/>
  <c r="J2912" i="4"/>
  <c r="I2912" i="4"/>
  <c r="M2912" i="4" s="1" a="1"/>
  <c r="M2912" i="4" s="1"/>
  <c r="P2911" i="4"/>
  <c r="M2911" i="4" a="1"/>
  <c r="M2911" i="4" s="1"/>
  <c r="O2911" i="4" s="1"/>
  <c r="K2911" i="4"/>
  <c r="J2911" i="4"/>
  <c r="I2911" i="4"/>
  <c r="P2910" i="4"/>
  <c r="K2910" i="4"/>
  <c r="J2910" i="4"/>
  <c r="M2910" i="4" s="1" a="1"/>
  <c r="M2910" i="4" s="1"/>
  <c r="O2910" i="4" s="1"/>
  <c r="I2910" i="4"/>
  <c r="P2909" i="4"/>
  <c r="K2909" i="4"/>
  <c r="J2909" i="4"/>
  <c r="I2909" i="4"/>
  <c r="M2909" i="4" s="1" a="1"/>
  <c r="M2909" i="4" s="1"/>
  <c r="O2909" i="4" s="1"/>
  <c r="P2908" i="4"/>
  <c r="K2908" i="4"/>
  <c r="J2908" i="4"/>
  <c r="I2908" i="4"/>
  <c r="M2908" i="4" s="1" a="1"/>
  <c r="M2908" i="4" s="1"/>
  <c r="O2908" i="4" s="1"/>
  <c r="P2907" i="4"/>
  <c r="M2907" i="4" a="1"/>
  <c r="M2907" i="4" s="1"/>
  <c r="O2907" i="4" s="1"/>
  <c r="K2907" i="4"/>
  <c r="J2907" i="4"/>
  <c r="I2907" i="4"/>
  <c r="P2906" i="4"/>
  <c r="M2906" i="4" a="1"/>
  <c r="M2906" i="4" s="1"/>
  <c r="O2906" i="4" s="1"/>
  <c r="K2906" i="4"/>
  <c r="J2906" i="4"/>
  <c r="I2906" i="4"/>
  <c r="P2905" i="4"/>
  <c r="K2905" i="4"/>
  <c r="J2905" i="4"/>
  <c r="I2905" i="4"/>
  <c r="M2905" i="4" s="1" a="1"/>
  <c r="M2905" i="4" s="1"/>
  <c r="O2905" i="4" s="1"/>
  <c r="P2904" i="4"/>
  <c r="K2904" i="4"/>
  <c r="J2904" i="4"/>
  <c r="M2904" i="4" s="1" a="1"/>
  <c r="M2904" i="4" s="1"/>
  <c r="O2904" i="4" s="1"/>
  <c r="I2904" i="4"/>
  <c r="P2903" i="4"/>
  <c r="K2903" i="4"/>
  <c r="J2903" i="4"/>
  <c r="I2903" i="4"/>
  <c r="M2903" i="4" s="1" a="1"/>
  <c r="M2903" i="4" s="1"/>
  <c r="O2903" i="4" s="1"/>
  <c r="P2902" i="4"/>
  <c r="K2902" i="4"/>
  <c r="J2902" i="4"/>
  <c r="M2902" i="4" s="1" a="1"/>
  <c r="M2902" i="4" s="1"/>
  <c r="O2902" i="4" s="1"/>
  <c r="I2902" i="4"/>
  <c r="P2901" i="4"/>
  <c r="K2901" i="4"/>
  <c r="J2901" i="4"/>
  <c r="I2901" i="4"/>
  <c r="M2901" i="4" s="1" a="1"/>
  <c r="M2901" i="4" s="1"/>
  <c r="O2901" i="4" s="1"/>
  <c r="P2900" i="4"/>
  <c r="K2900" i="4"/>
  <c r="J2900" i="4"/>
  <c r="I2900" i="4"/>
  <c r="M2900" i="4" s="1" a="1"/>
  <c r="M2900" i="4" s="1"/>
  <c r="O2900" i="4" s="1"/>
  <c r="P2899" i="4"/>
  <c r="K2899" i="4"/>
  <c r="J2899" i="4"/>
  <c r="I2899" i="4"/>
  <c r="M2899" i="4" s="1" a="1"/>
  <c r="M2899" i="4" s="1"/>
  <c r="O2899" i="4" s="1"/>
  <c r="P2898" i="4"/>
  <c r="O2898" i="4"/>
  <c r="K2898" i="4"/>
  <c r="M2898" i="4" s="1" a="1"/>
  <c r="M2898" i="4" s="1"/>
  <c r="J2898" i="4"/>
  <c r="I2898" i="4"/>
  <c r="P2897" i="4"/>
  <c r="M2897" i="4"/>
  <c r="O2897" i="4" s="1"/>
  <c r="K2897" i="4"/>
  <c r="M2897" i="4" s="1" a="1"/>
  <c r="J2897" i="4"/>
  <c r="I2897" i="4"/>
  <c r="P2896" i="4"/>
  <c r="M2896" i="4" a="1"/>
  <c r="M2896" i="4" s="1"/>
  <c r="O2896" i="4" s="1"/>
  <c r="K2896" i="4"/>
  <c r="J2896" i="4"/>
  <c r="I2896" i="4"/>
  <c r="P2895" i="4"/>
  <c r="K2895" i="4"/>
  <c r="J2895" i="4"/>
  <c r="I2895" i="4"/>
  <c r="P2894" i="4"/>
  <c r="K2894" i="4"/>
  <c r="J2894" i="4"/>
  <c r="M2894" i="4" s="1" a="1"/>
  <c r="M2894" i="4" s="1"/>
  <c r="O2894" i="4" s="1"/>
  <c r="I2894" i="4"/>
  <c r="P2893" i="4"/>
  <c r="K2893" i="4"/>
  <c r="J2893" i="4"/>
  <c r="I2893" i="4"/>
  <c r="M2893" i="4" s="1" a="1"/>
  <c r="M2893" i="4" s="1"/>
  <c r="O2893" i="4" s="1"/>
  <c r="P2892" i="4"/>
  <c r="K2892" i="4"/>
  <c r="J2892" i="4"/>
  <c r="I2892" i="4"/>
  <c r="M2892" i="4" s="1" a="1"/>
  <c r="M2892" i="4" s="1"/>
  <c r="O2892" i="4" s="1"/>
  <c r="P2891" i="4"/>
  <c r="M2891" i="4" a="1"/>
  <c r="M2891" i="4" s="1"/>
  <c r="O2891" i="4" s="1"/>
  <c r="K2891" i="4"/>
  <c r="J2891" i="4"/>
  <c r="I2891" i="4"/>
  <c r="P2890" i="4"/>
  <c r="O2890" i="4"/>
  <c r="M2890" i="4" a="1"/>
  <c r="M2890" i="4" s="1"/>
  <c r="K2890" i="4"/>
  <c r="J2890" i="4"/>
  <c r="I2890" i="4"/>
  <c r="P2889" i="4"/>
  <c r="K2889" i="4"/>
  <c r="J2889" i="4"/>
  <c r="I2889" i="4"/>
  <c r="M2889" i="4" s="1" a="1"/>
  <c r="M2889" i="4" s="1"/>
  <c r="O2889" i="4" s="1"/>
  <c r="P2888" i="4"/>
  <c r="M2888" i="4" a="1"/>
  <c r="M2888" i="4" s="1"/>
  <c r="O2888" i="4" s="1"/>
  <c r="K2888" i="4"/>
  <c r="J2888" i="4"/>
  <c r="I2888" i="4"/>
  <c r="P2887" i="4"/>
  <c r="K2887" i="4"/>
  <c r="J2887" i="4"/>
  <c r="I2887" i="4"/>
  <c r="P2886" i="4"/>
  <c r="K2886" i="4"/>
  <c r="J2886" i="4"/>
  <c r="M2886" i="4" s="1" a="1"/>
  <c r="M2886" i="4" s="1"/>
  <c r="O2886" i="4" s="1"/>
  <c r="I2886" i="4"/>
  <c r="P2885" i="4"/>
  <c r="K2885" i="4"/>
  <c r="J2885" i="4"/>
  <c r="I2885" i="4"/>
  <c r="M2885" i="4" s="1" a="1"/>
  <c r="M2885" i="4" s="1"/>
  <c r="O2885" i="4" s="1"/>
  <c r="P2884" i="4"/>
  <c r="K2884" i="4"/>
  <c r="J2884" i="4"/>
  <c r="I2884" i="4"/>
  <c r="M2884" i="4" s="1" a="1"/>
  <c r="M2884" i="4" s="1"/>
  <c r="O2884" i="4" s="1"/>
  <c r="P2883" i="4"/>
  <c r="M2883" i="4"/>
  <c r="O2883" i="4" s="1"/>
  <c r="K2883" i="4"/>
  <c r="J2883" i="4"/>
  <c r="I2883" i="4"/>
  <c r="M2883" i="4" s="1" a="1"/>
  <c r="P2882" i="4"/>
  <c r="O2882" i="4"/>
  <c r="K2882" i="4"/>
  <c r="M2882" i="4" s="1" a="1"/>
  <c r="M2882" i="4" s="1"/>
  <c r="J2882" i="4"/>
  <c r="I2882" i="4"/>
  <c r="P2881" i="4"/>
  <c r="M2881" i="4"/>
  <c r="O2881" i="4" s="1"/>
  <c r="K2881" i="4"/>
  <c r="M2881" i="4" s="1" a="1"/>
  <c r="J2881" i="4"/>
  <c r="I2881" i="4"/>
  <c r="P2880" i="4"/>
  <c r="M2880" i="4" a="1"/>
  <c r="M2880" i="4" s="1"/>
  <c r="O2880" i="4" s="1"/>
  <c r="K2880" i="4"/>
  <c r="J2880" i="4"/>
  <c r="I2880" i="4"/>
  <c r="P2879" i="4"/>
  <c r="K2879" i="4"/>
  <c r="J2879" i="4"/>
  <c r="I2879" i="4"/>
  <c r="P2878" i="4"/>
  <c r="K2878" i="4"/>
  <c r="J2878" i="4"/>
  <c r="M2878" i="4" s="1" a="1"/>
  <c r="M2878" i="4" s="1"/>
  <c r="O2878" i="4" s="1"/>
  <c r="I2878" i="4"/>
  <c r="P2877" i="4"/>
  <c r="K2877" i="4"/>
  <c r="J2877" i="4"/>
  <c r="I2877" i="4"/>
  <c r="M2877" i="4" s="1" a="1"/>
  <c r="M2877" i="4" s="1"/>
  <c r="O2877" i="4" s="1"/>
  <c r="P2876" i="4"/>
  <c r="O2876" i="4"/>
  <c r="K2876" i="4"/>
  <c r="J2876" i="4"/>
  <c r="I2876" i="4"/>
  <c r="M2876" i="4" s="1" a="1"/>
  <c r="M2876" i="4" s="1"/>
  <c r="P2875" i="4"/>
  <c r="M2875" i="4" a="1"/>
  <c r="M2875" i="4" s="1"/>
  <c r="O2875" i="4" s="1"/>
  <c r="K2875" i="4"/>
  <c r="J2875" i="4"/>
  <c r="I2875" i="4"/>
  <c r="P2874" i="4"/>
  <c r="O2874" i="4"/>
  <c r="M2874" i="4" a="1"/>
  <c r="M2874" i="4" s="1"/>
  <c r="K2874" i="4"/>
  <c r="J2874" i="4"/>
  <c r="I2874" i="4"/>
  <c r="P2873" i="4"/>
  <c r="M2873" i="4"/>
  <c r="O2873" i="4" s="1"/>
  <c r="K2873" i="4"/>
  <c r="J2873" i="4"/>
  <c r="I2873" i="4"/>
  <c r="M2873" i="4" s="1" a="1"/>
  <c r="P2872" i="4"/>
  <c r="M2872" i="4" a="1"/>
  <c r="M2872" i="4" s="1"/>
  <c r="O2872" i="4" s="1"/>
  <c r="K2872" i="4"/>
  <c r="J2872" i="4"/>
  <c r="I2872" i="4"/>
  <c r="P2871" i="4"/>
  <c r="K2871" i="4"/>
  <c r="J2871" i="4"/>
  <c r="I2871" i="4"/>
  <c r="P2870" i="4"/>
  <c r="K2870" i="4"/>
  <c r="J2870" i="4"/>
  <c r="M2870" i="4" s="1" a="1"/>
  <c r="M2870" i="4" s="1"/>
  <c r="O2870" i="4" s="1"/>
  <c r="I2870" i="4"/>
  <c r="P2869" i="4"/>
  <c r="K2869" i="4"/>
  <c r="J2869" i="4"/>
  <c r="I2869" i="4"/>
  <c r="M2869" i="4" s="1" a="1"/>
  <c r="M2869" i="4" s="1"/>
  <c r="O2869" i="4" s="1"/>
  <c r="P2868" i="4"/>
  <c r="K2868" i="4"/>
  <c r="J2868" i="4"/>
  <c r="I2868" i="4"/>
  <c r="M2868" i="4" s="1" a="1"/>
  <c r="M2868" i="4" s="1"/>
  <c r="O2868" i="4" s="1"/>
  <c r="P2867" i="4"/>
  <c r="M2867" i="4"/>
  <c r="O2867" i="4" s="1"/>
  <c r="K2867" i="4"/>
  <c r="J2867" i="4"/>
  <c r="I2867" i="4"/>
  <c r="M2867" i="4" s="1" a="1"/>
  <c r="P2866" i="4"/>
  <c r="K2866" i="4"/>
  <c r="M2866" i="4" s="1" a="1"/>
  <c r="M2866" i="4" s="1"/>
  <c r="O2866" i="4" s="1"/>
  <c r="J2866" i="4"/>
  <c r="I2866" i="4"/>
  <c r="P2865" i="4"/>
  <c r="M2865" i="4"/>
  <c r="O2865" i="4" s="1"/>
  <c r="K2865" i="4"/>
  <c r="M2865" i="4" s="1" a="1"/>
  <c r="J2865" i="4"/>
  <c r="I2865" i="4"/>
  <c r="P2864" i="4"/>
  <c r="M2864" i="4" a="1"/>
  <c r="M2864" i="4" s="1"/>
  <c r="O2864" i="4" s="1"/>
  <c r="K2864" i="4"/>
  <c r="J2864" i="4"/>
  <c r="I2864" i="4"/>
  <c r="P2863" i="4"/>
  <c r="K2863" i="4"/>
  <c r="J2863" i="4"/>
  <c r="I2863" i="4"/>
  <c r="P2862" i="4"/>
  <c r="K2862" i="4"/>
  <c r="J2862" i="4"/>
  <c r="M2862" i="4" s="1" a="1"/>
  <c r="M2862" i="4" s="1"/>
  <c r="O2862" i="4" s="1"/>
  <c r="I2862" i="4"/>
  <c r="P2861" i="4"/>
  <c r="K2861" i="4"/>
  <c r="J2861" i="4"/>
  <c r="I2861" i="4"/>
  <c r="M2861" i="4" s="1" a="1"/>
  <c r="M2861" i="4" s="1"/>
  <c r="O2861" i="4" s="1"/>
  <c r="P2860" i="4"/>
  <c r="O2860" i="4"/>
  <c r="K2860" i="4"/>
  <c r="J2860" i="4"/>
  <c r="I2860" i="4"/>
  <c r="M2860" i="4" s="1" a="1"/>
  <c r="M2860" i="4" s="1"/>
  <c r="P2859" i="4"/>
  <c r="M2859" i="4" a="1"/>
  <c r="M2859" i="4" s="1"/>
  <c r="O2859" i="4" s="1"/>
  <c r="K2859" i="4"/>
  <c r="J2859" i="4"/>
  <c r="I2859" i="4"/>
  <c r="P2858" i="4"/>
  <c r="O2858" i="4"/>
  <c r="M2858" i="4" a="1"/>
  <c r="M2858" i="4" s="1"/>
  <c r="K2858" i="4"/>
  <c r="J2858" i="4"/>
  <c r="I2858" i="4"/>
  <c r="P2857" i="4"/>
  <c r="M2857" i="4"/>
  <c r="O2857" i="4" s="1"/>
  <c r="K2857" i="4"/>
  <c r="J2857" i="4"/>
  <c r="I2857" i="4"/>
  <c r="M2857" i="4" s="1" a="1"/>
  <c r="P2856" i="4"/>
  <c r="M2856" i="4" a="1"/>
  <c r="M2856" i="4" s="1"/>
  <c r="O2856" i="4" s="1"/>
  <c r="K2856" i="4"/>
  <c r="J2856" i="4"/>
  <c r="I2856" i="4"/>
  <c r="P2855" i="4"/>
  <c r="K2855" i="4"/>
  <c r="J2855" i="4"/>
  <c r="I2855" i="4"/>
  <c r="P2854" i="4"/>
  <c r="K2854" i="4"/>
  <c r="J2854" i="4"/>
  <c r="M2854" i="4" s="1" a="1"/>
  <c r="M2854" i="4" s="1"/>
  <c r="O2854" i="4" s="1"/>
  <c r="I2854" i="4"/>
  <c r="P2853" i="4"/>
  <c r="K2853" i="4"/>
  <c r="J2853" i="4"/>
  <c r="I2853" i="4"/>
  <c r="M2853" i="4" s="1" a="1"/>
  <c r="M2853" i="4" s="1"/>
  <c r="O2853" i="4" s="1"/>
  <c r="P2852" i="4"/>
  <c r="K2852" i="4"/>
  <c r="J2852" i="4"/>
  <c r="I2852" i="4"/>
  <c r="M2852" i="4" s="1" a="1"/>
  <c r="M2852" i="4" s="1"/>
  <c r="O2852" i="4" s="1"/>
  <c r="P2851" i="4"/>
  <c r="M2851" i="4"/>
  <c r="O2851" i="4" s="1"/>
  <c r="K2851" i="4"/>
  <c r="J2851" i="4"/>
  <c r="I2851" i="4"/>
  <c r="M2851" i="4" s="1" a="1"/>
  <c r="P2850" i="4"/>
  <c r="K2850" i="4"/>
  <c r="M2850" i="4" s="1" a="1"/>
  <c r="M2850" i="4" s="1"/>
  <c r="O2850" i="4" s="1"/>
  <c r="J2850" i="4"/>
  <c r="I2850" i="4"/>
  <c r="P2849" i="4"/>
  <c r="M2849" i="4"/>
  <c r="O2849" i="4" s="1"/>
  <c r="K2849" i="4"/>
  <c r="M2849" i="4" s="1" a="1"/>
  <c r="J2849" i="4"/>
  <c r="I2849" i="4"/>
  <c r="P2848" i="4"/>
  <c r="M2848" i="4" a="1"/>
  <c r="M2848" i="4" s="1"/>
  <c r="O2848" i="4" s="1"/>
  <c r="K2848" i="4"/>
  <c r="J2848" i="4"/>
  <c r="I2848" i="4"/>
  <c r="P2847" i="4"/>
  <c r="K2847" i="4"/>
  <c r="J2847" i="4"/>
  <c r="I2847" i="4"/>
  <c r="M2847" i="4" s="1" a="1"/>
  <c r="M2847" i="4" s="1"/>
  <c r="O2847" i="4" s="1"/>
  <c r="P2846" i="4"/>
  <c r="K2846" i="4"/>
  <c r="J2846" i="4"/>
  <c r="M2846" i="4" s="1" a="1"/>
  <c r="M2846" i="4" s="1"/>
  <c r="O2846" i="4" s="1"/>
  <c r="I2846" i="4"/>
  <c r="P2845" i="4"/>
  <c r="K2845" i="4"/>
  <c r="J2845" i="4"/>
  <c r="I2845" i="4"/>
  <c r="M2845" i="4" s="1" a="1"/>
  <c r="M2845" i="4" s="1"/>
  <c r="O2845" i="4" s="1"/>
  <c r="P2844" i="4"/>
  <c r="O2844" i="4"/>
  <c r="K2844" i="4"/>
  <c r="J2844" i="4"/>
  <c r="I2844" i="4"/>
  <c r="M2844" i="4" s="1" a="1"/>
  <c r="M2844" i="4" s="1"/>
  <c r="P2843" i="4"/>
  <c r="M2843" i="4" a="1"/>
  <c r="M2843" i="4" s="1"/>
  <c r="O2843" i="4" s="1"/>
  <c r="K2843" i="4"/>
  <c r="J2843" i="4"/>
  <c r="I2843" i="4"/>
  <c r="P2842" i="4"/>
  <c r="O2842" i="4"/>
  <c r="M2842" i="4" a="1"/>
  <c r="M2842" i="4" s="1"/>
  <c r="K2842" i="4"/>
  <c r="J2842" i="4"/>
  <c r="I2842" i="4"/>
  <c r="P2841" i="4"/>
  <c r="M2841" i="4"/>
  <c r="O2841" i="4" s="1"/>
  <c r="K2841" i="4"/>
  <c r="J2841" i="4"/>
  <c r="I2841" i="4"/>
  <c r="M2841" i="4" s="1" a="1"/>
  <c r="P2840" i="4"/>
  <c r="M2840" i="4" a="1"/>
  <c r="M2840" i="4" s="1"/>
  <c r="O2840" i="4" s="1"/>
  <c r="K2840" i="4"/>
  <c r="J2840" i="4"/>
  <c r="I2840" i="4"/>
  <c r="P2839" i="4"/>
  <c r="K2839" i="4"/>
  <c r="M2839" i="4" s="1" a="1"/>
  <c r="M2839" i="4" s="1"/>
  <c r="O2839" i="4" s="1"/>
  <c r="J2839" i="4"/>
  <c r="I2839" i="4"/>
  <c r="P2838" i="4"/>
  <c r="K2838" i="4"/>
  <c r="J2838" i="4"/>
  <c r="M2838" i="4" s="1" a="1"/>
  <c r="M2838" i="4" s="1"/>
  <c r="O2838" i="4" s="1"/>
  <c r="I2838" i="4"/>
  <c r="P2837" i="4"/>
  <c r="K2837" i="4"/>
  <c r="J2837" i="4"/>
  <c r="I2837" i="4"/>
  <c r="M2837" i="4" s="1" a="1"/>
  <c r="M2837" i="4" s="1"/>
  <c r="O2837" i="4" s="1"/>
  <c r="P2836" i="4"/>
  <c r="K2836" i="4"/>
  <c r="J2836" i="4"/>
  <c r="I2836" i="4"/>
  <c r="M2836" i="4" s="1" a="1"/>
  <c r="M2836" i="4" s="1"/>
  <c r="O2836" i="4" s="1"/>
  <c r="P2835" i="4"/>
  <c r="M2835" i="4"/>
  <c r="O2835" i="4" s="1"/>
  <c r="K2835" i="4"/>
  <c r="J2835" i="4"/>
  <c r="I2835" i="4"/>
  <c r="M2835" i="4" s="1" a="1"/>
  <c r="P2834" i="4"/>
  <c r="O2834" i="4"/>
  <c r="K2834" i="4"/>
  <c r="M2834" i="4" s="1" a="1"/>
  <c r="M2834" i="4" s="1"/>
  <c r="J2834" i="4"/>
  <c r="I2834" i="4"/>
  <c r="P2833" i="4"/>
  <c r="K2833" i="4"/>
  <c r="M2833" i="4" s="1" a="1"/>
  <c r="M2833" i="4" s="1"/>
  <c r="O2833" i="4" s="1"/>
  <c r="J2833" i="4"/>
  <c r="I2833" i="4"/>
  <c r="P2832" i="4"/>
  <c r="M2832" i="4" a="1"/>
  <c r="M2832" i="4" s="1"/>
  <c r="O2832" i="4" s="1"/>
  <c r="K2832" i="4"/>
  <c r="J2832" i="4"/>
  <c r="I2832" i="4"/>
  <c r="P2831" i="4"/>
  <c r="K2831" i="4"/>
  <c r="J2831" i="4"/>
  <c r="I2831" i="4"/>
  <c r="M2831" i="4" s="1" a="1"/>
  <c r="M2831" i="4" s="1"/>
  <c r="O2831" i="4" s="1"/>
  <c r="P2830" i="4"/>
  <c r="K2830" i="4"/>
  <c r="J2830" i="4"/>
  <c r="M2830" i="4" s="1" a="1"/>
  <c r="M2830" i="4" s="1"/>
  <c r="O2830" i="4" s="1"/>
  <c r="I2830" i="4"/>
  <c r="P2829" i="4"/>
  <c r="K2829" i="4"/>
  <c r="J2829" i="4"/>
  <c r="I2829" i="4"/>
  <c r="M2829" i="4" s="1" a="1"/>
  <c r="M2829" i="4" s="1"/>
  <c r="O2829" i="4" s="1"/>
  <c r="P2828" i="4"/>
  <c r="O2828" i="4"/>
  <c r="K2828" i="4"/>
  <c r="J2828" i="4"/>
  <c r="I2828" i="4"/>
  <c r="M2828" i="4" s="1" a="1"/>
  <c r="M2828" i="4" s="1"/>
  <c r="P2827" i="4"/>
  <c r="M2827" i="4" a="1"/>
  <c r="M2827" i="4" s="1"/>
  <c r="O2827" i="4" s="1"/>
  <c r="K2827" i="4"/>
  <c r="J2827" i="4"/>
  <c r="I2827" i="4"/>
  <c r="P2826" i="4"/>
  <c r="M2826" i="4" a="1"/>
  <c r="M2826" i="4" s="1"/>
  <c r="O2826" i="4" s="1"/>
  <c r="K2826" i="4"/>
  <c r="J2826" i="4"/>
  <c r="I2826" i="4"/>
  <c r="P2825" i="4"/>
  <c r="M2825" i="4"/>
  <c r="O2825" i="4" s="1"/>
  <c r="K2825" i="4"/>
  <c r="J2825" i="4"/>
  <c r="I2825" i="4"/>
  <c r="M2825" i="4" s="1" a="1"/>
  <c r="P2824" i="4"/>
  <c r="M2824" i="4" a="1"/>
  <c r="M2824" i="4" s="1"/>
  <c r="O2824" i="4" s="1"/>
  <c r="K2824" i="4"/>
  <c r="J2824" i="4"/>
  <c r="I2824" i="4"/>
  <c r="P2823" i="4"/>
  <c r="K2823" i="4"/>
  <c r="M2823" i="4" s="1" a="1"/>
  <c r="M2823" i="4" s="1"/>
  <c r="O2823" i="4" s="1"/>
  <c r="J2823" i="4"/>
  <c r="I2823" i="4"/>
  <c r="P2822" i="4"/>
  <c r="K2822" i="4"/>
  <c r="J2822" i="4"/>
  <c r="M2822" i="4" s="1" a="1"/>
  <c r="M2822" i="4" s="1"/>
  <c r="O2822" i="4" s="1"/>
  <c r="I2822" i="4"/>
  <c r="P2821" i="4"/>
  <c r="K2821" i="4"/>
  <c r="J2821" i="4"/>
  <c r="I2821" i="4"/>
  <c r="M2821" i="4" s="1" a="1"/>
  <c r="M2821" i="4" s="1"/>
  <c r="O2821" i="4" s="1"/>
  <c r="P2820" i="4"/>
  <c r="M2820" i="4"/>
  <c r="O2820" i="4" s="1"/>
  <c r="K2820" i="4"/>
  <c r="J2820" i="4"/>
  <c r="I2820" i="4"/>
  <c r="M2820" i="4" s="1" a="1"/>
  <c r="P2819" i="4"/>
  <c r="M2819" i="4"/>
  <c r="O2819" i="4" s="1"/>
  <c r="K2819" i="4"/>
  <c r="J2819" i="4"/>
  <c r="I2819" i="4"/>
  <c r="M2819" i="4" s="1" a="1"/>
  <c r="P2818" i="4"/>
  <c r="O2818" i="4"/>
  <c r="K2818" i="4"/>
  <c r="M2818" i="4" s="1" a="1"/>
  <c r="M2818" i="4" s="1"/>
  <c r="J2818" i="4"/>
  <c r="I2818" i="4"/>
  <c r="P2817" i="4"/>
  <c r="M2817" i="4"/>
  <c r="O2817" i="4" s="1"/>
  <c r="K2817" i="4"/>
  <c r="M2817" i="4" s="1" a="1"/>
  <c r="J2817" i="4"/>
  <c r="I2817" i="4"/>
  <c r="P2816" i="4"/>
  <c r="K2816" i="4"/>
  <c r="J2816" i="4"/>
  <c r="I2816" i="4"/>
  <c r="M2816" i="4" s="1" a="1"/>
  <c r="M2816" i="4" s="1"/>
  <c r="O2816" i="4" s="1"/>
  <c r="P2815" i="4"/>
  <c r="K2815" i="4"/>
  <c r="J2815" i="4"/>
  <c r="I2815" i="4"/>
  <c r="M2815" i="4" s="1" a="1"/>
  <c r="M2815" i="4" s="1"/>
  <c r="O2815" i="4" s="1"/>
  <c r="P2814" i="4"/>
  <c r="K2814" i="4"/>
  <c r="J2814" i="4"/>
  <c r="M2814" i="4" s="1" a="1"/>
  <c r="M2814" i="4" s="1"/>
  <c r="O2814" i="4" s="1"/>
  <c r="I2814" i="4"/>
  <c r="P2813" i="4"/>
  <c r="K2813" i="4"/>
  <c r="J2813" i="4"/>
  <c r="I2813" i="4"/>
  <c r="M2813" i="4" s="1" a="1"/>
  <c r="M2813" i="4" s="1"/>
  <c r="O2813" i="4" s="1"/>
  <c r="P2812" i="4"/>
  <c r="O2812" i="4"/>
  <c r="K2812" i="4"/>
  <c r="J2812" i="4"/>
  <c r="I2812" i="4"/>
  <c r="M2812" i="4" s="1" a="1"/>
  <c r="M2812" i="4" s="1"/>
  <c r="P2811" i="4"/>
  <c r="M2811" i="4" a="1"/>
  <c r="M2811" i="4" s="1"/>
  <c r="O2811" i="4" s="1"/>
  <c r="K2811" i="4"/>
  <c r="J2811" i="4"/>
  <c r="I2811" i="4"/>
  <c r="P2810" i="4"/>
  <c r="O2810" i="4"/>
  <c r="M2810" i="4" a="1"/>
  <c r="M2810" i="4" s="1"/>
  <c r="K2810" i="4"/>
  <c r="J2810" i="4"/>
  <c r="I2810" i="4"/>
  <c r="P2809" i="4"/>
  <c r="M2809" i="4"/>
  <c r="O2809" i="4" s="1"/>
  <c r="K2809" i="4"/>
  <c r="J2809" i="4"/>
  <c r="I2809" i="4"/>
  <c r="M2809" i="4" s="1" a="1"/>
  <c r="P2808" i="4"/>
  <c r="M2808" i="4" a="1"/>
  <c r="M2808" i="4" s="1"/>
  <c r="O2808" i="4" s="1"/>
  <c r="K2808" i="4"/>
  <c r="J2808" i="4"/>
  <c r="I2808" i="4"/>
  <c r="P2807" i="4"/>
  <c r="K2807" i="4"/>
  <c r="M2807" i="4" s="1" a="1"/>
  <c r="M2807" i="4" s="1"/>
  <c r="O2807" i="4" s="1"/>
  <c r="J2807" i="4"/>
  <c r="I2807" i="4"/>
  <c r="P2806" i="4"/>
  <c r="K2806" i="4"/>
  <c r="J2806" i="4"/>
  <c r="M2806" i="4" s="1" a="1"/>
  <c r="M2806" i="4" s="1"/>
  <c r="O2806" i="4" s="1"/>
  <c r="I2806" i="4"/>
  <c r="P2805" i="4"/>
  <c r="K2805" i="4"/>
  <c r="J2805" i="4"/>
  <c r="I2805" i="4"/>
  <c r="M2805" i="4" s="1" a="1"/>
  <c r="M2805" i="4" s="1"/>
  <c r="O2805" i="4" s="1"/>
  <c r="P2804" i="4"/>
  <c r="M2804" i="4"/>
  <c r="O2804" i="4" s="1"/>
  <c r="K2804" i="4"/>
  <c r="J2804" i="4"/>
  <c r="I2804" i="4"/>
  <c r="M2804" i="4" s="1" a="1"/>
  <c r="P2803" i="4"/>
  <c r="K2803" i="4"/>
  <c r="J2803" i="4"/>
  <c r="I2803" i="4"/>
  <c r="M2803" i="4" s="1" a="1"/>
  <c r="M2803" i="4" s="1"/>
  <c r="O2803" i="4" s="1"/>
  <c r="P2802" i="4"/>
  <c r="O2802" i="4"/>
  <c r="K2802" i="4"/>
  <c r="M2802" i="4" s="1" a="1"/>
  <c r="M2802" i="4" s="1"/>
  <c r="J2802" i="4"/>
  <c r="I2802" i="4"/>
  <c r="P2801" i="4"/>
  <c r="K2801" i="4"/>
  <c r="M2801" i="4" s="1" a="1"/>
  <c r="M2801" i="4" s="1"/>
  <c r="O2801" i="4" s="1"/>
  <c r="J2801" i="4"/>
  <c r="I2801" i="4"/>
  <c r="P2800" i="4"/>
  <c r="M2800" i="4" a="1"/>
  <c r="M2800" i="4" s="1"/>
  <c r="O2800" i="4" s="1"/>
  <c r="K2800" i="4"/>
  <c r="J2800" i="4"/>
  <c r="I2800" i="4"/>
  <c r="P2799" i="4"/>
  <c r="K2799" i="4"/>
  <c r="J2799" i="4"/>
  <c r="I2799" i="4"/>
  <c r="P2798" i="4"/>
  <c r="K2798" i="4"/>
  <c r="J2798" i="4"/>
  <c r="M2798" i="4" s="1" a="1"/>
  <c r="M2798" i="4" s="1"/>
  <c r="O2798" i="4" s="1"/>
  <c r="I2798" i="4"/>
  <c r="P2797" i="4"/>
  <c r="K2797" i="4"/>
  <c r="J2797" i="4"/>
  <c r="I2797" i="4"/>
  <c r="M2797" i="4" s="1" a="1"/>
  <c r="M2797" i="4" s="1"/>
  <c r="O2797" i="4" s="1"/>
  <c r="P2796" i="4"/>
  <c r="K2796" i="4"/>
  <c r="J2796" i="4"/>
  <c r="I2796" i="4"/>
  <c r="M2796" i="4" s="1" a="1"/>
  <c r="M2796" i="4" s="1"/>
  <c r="O2796" i="4" s="1"/>
  <c r="P2795" i="4"/>
  <c r="M2795" i="4" a="1"/>
  <c r="M2795" i="4" s="1"/>
  <c r="O2795" i="4" s="1"/>
  <c r="K2795" i="4"/>
  <c r="J2795" i="4"/>
  <c r="I2795" i="4"/>
  <c r="P2794" i="4"/>
  <c r="O2794" i="4"/>
  <c r="M2794" i="4" a="1"/>
  <c r="M2794" i="4" s="1"/>
  <c r="K2794" i="4"/>
  <c r="J2794" i="4"/>
  <c r="I2794" i="4"/>
  <c r="P2793" i="4"/>
  <c r="K2793" i="4"/>
  <c r="J2793" i="4"/>
  <c r="I2793" i="4"/>
  <c r="M2793" i="4" s="1" a="1"/>
  <c r="M2793" i="4" s="1"/>
  <c r="O2793" i="4" s="1"/>
  <c r="P2792" i="4"/>
  <c r="K2792" i="4"/>
  <c r="J2792" i="4"/>
  <c r="M2792" i="4" s="1" a="1"/>
  <c r="M2792" i="4" s="1"/>
  <c r="O2792" i="4" s="1"/>
  <c r="I2792" i="4"/>
  <c r="P2791" i="4"/>
  <c r="K2791" i="4"/>
  <c r="M2791" i="4" s="1" a="1"/>
  <c r="M2791" i="4" s="1"/>
  <c r="O2791" i="4" s="1"/>
  <c r="J2791" i="4"/>
  <c r="I2791" i="4"/>
  <c r="P2790" i="4"/>
  <c r="K2790" i="4"/>
  <c r="J2790" i="4"/>
  <c r="M2790" i="4" s="1" a="1"/>
  <c r="M2790" i="4" s="1"/>
  <c r="O2790" i="4" s="1"/>
  <c r="I2790" i="4"/>
  <c r="P2789" i="4"/>
  <c r="K2789" i="4"/>
  <c r="J2789" i="4"/>
  <c r="I2789" i="4"/>
  <c r="M2789" i="4" s="1" a="1"/>
  <c r="M2789" i="4" s="1"/>
  <c r="O2789" i="4" s="1"/>
  <c r="P2788" i="4"/>
  <c r="K2788" i="4"/>
  <c r="J2788" i="4"/>
  <c r="I2788" i="4"/>
  <c r="M2788" i="4" s="1" a="1"/>
  <c r="M2788" i="4" s="1"/>
  <c r="O2788" i="4" s="1"/>
  <c r="P2787" i="4"/>
  <c r="K2787" i="4"/>
  <c r="J2787" i="4"/>
  <c r="I2787" i="4"/>
  <c r="M2787" i="4" s="1" a="1"/>
  <c r="M2787" i="4" s="1"/>
  <c r="O2787" i="4" s="1"/>
  <c r="P2786" i="4"/>
  <c r="K2786" i="4"/>
  <c r="M2786" i="4" s="1" a="1"/>
  <c r="M2786" i="4" s="1"/>
  <c r="O2786" i="4" s="1"/>
  <c r="J2786" i="4"/>
  <c r="I2786" i="4"/>
  <c r="P2785" i="4"/>
  <c r="M2785" i="4"/>
  <c r="O2785" i="4" s="1"/>
  <c r="K2785" i="4"/>
  <c r="M2785" i="4" s="1" a="1"/>
  <c r="J2785" i="4"/>
  <c r="I2785" i="4"/>
  <c r="P2784" i="4"/>
  <c r="M2784" i="4" a="1"/>
  <c r="M2784" i="4" s="1"/>
  <c r="O2784" i="4" s="1"/>
  <c r="K2784" i="4"/>
  <c r="J2784" i="4"/>
  <c r="I2784" i="4"/>
  <c r="P2783" i="4"/>
  <c r="K2783" i="4"/>
  <c r="J2783" i="4"/>
  <c r="I2783" i="4"/>
  <c r="P2782" i="4"/>
  <c r="K2782" i="4"/>
  <c r="J2782" i="4"/>
  <c r="M2782" i="4" s="1" a="1"/>
  <c r="M2782" i="4" s="1"/>
  <c r="O2782" i="4" s="1"/>
  <c r="I2782" i="4"/>
  <c r="P2781" i="4"/>
  <c r="K2781" i="4"/>
  <c r="J2781" i="4"/>
  <c r="I2781" i="4"/>
  <c r="M2781" i="4" s="1" a="1"/>
  <c r="M2781" i="4" s="1"/>
  <c r="O2781" i="4" s="1"/>
  <c r="P2780" i="4"/>
  <c r="O2780" i="4"/>
  <c r="K2780" i="4"/>
  <c r="J2780" i="4"/>
  <c r="I2780" i="4"/>
  <c r="M2780" i="4" s="1" a="1"/>
  <c r="M2780" i="4" s="1"/>
  <c r="P2779" i="4"/>
  <c r="M2779" i="4" a="1"/>
  <c r="M2779" i="4" s="1"/>
  <c r="O2779" i="4" s="1"/>
  <c r="K2779" i="4"/>
  <c r="J2779" i="4"/>
  <c r="I2779" i="4"/>
  <c r="P2778" i="4"/>
  <c r="M2778" i="4" a="1"/>
  <c r="M2778" i="4" s="1"/>
  <c r="O2778" i="4" s="1"/>
  <c r="K2778" i="4"/>
  <c r="J2778" i="4"/>
  <c r="I2778" i="4"/>
  <c r="P2777" i="4"/>
  <c r="K2777" i="4"/>
  <c r="J2777" i="4"/>
  <c r="I2777" i="4"/>
  <c r="P2776" i="4"/>
  <c r="K2776" i="4"/>
  <c r="J2776" i="4"/>
  <c r="M2776" i="4" s="1" a="1"/>
  <c r="M2776" i="4" s="1"/>
  <c r="O2776" i="4" s="1"/>
  <c r="I2776" i="4"/>
  <c r="P2775" i="4"/>
  <c r="K2775" i="4"/>
  <c r="M2775" i="4" s="1" a="1"/>
  <c r="M2775" i="4" s="1"/>
  <c r="O2775" i="4" s="1"/>
  <c r="J2775" i="4"/>
  <c r="I2775" i="4"/>
  <c r="P2774" i="4"/>
  <c r="K2774" i="4"/>
  <c r="J2774" i="4"/>
  <c r="M2774" i="4" s="1" a="1"/>
  <c r="M2774" i="4" s="1"/>
  <c r="O2774" i="4" s="1"/>
  <c r="I2774" i="4"/>
  <c r="P2773" i="4"/>
  <c r="K2773" i="4"/>
  <c r="J2773" i="4"/>
  <c r="I2773" i="4"/>
  <c r="M2773" i="4" s="1" a="1"/>
  <c r="M2773" i="4" s="1"/>
  <c r="O2773" i="4" s="1"/>
  <c r="P2772" i="4"/>
  <c r="K2772" i="4"/>
  <c r="J2772" i="4"/>
  <c r="I2772" i="4"/>
  <c r="M2772" i="4" s="1" a="1"/>
  <c r="M2772" i="4" s="1"/>
  <c r="O2772" i="4" s="1"/>
  <c r="P2771" i="4"/>
  <c r="K2771" i="4"/>
  <c r="J2771" i="4"/>
  <c r="I2771" i="4"/>
  <c r="M2771" i="4" s="1" a="1"/>
  <c r="M2771" i="4" s="1"/>
  <c r="O2771" i="4" s="1"/>
  <c r="P2770" i="4"/>
  <c r="K2770" i="4"/>
  <c r="M2770" i="4" s="1" a="1"/>
  <c r="M2770" i="4" s="1"/>
  <c r="O2770" i="4" s="1"/>
  <c r="J2770" i="4"/>
  <c r="I2770" i="4"/>
  <c r="P2769" i="4"/>
  <c r="M2769" i="4"/>
  <c r="O2769" i="4" s="1"/>
  <c r="K2769" i="4"/>
  <c r="M2769" i="4" s="1" a="1"/>
  <c r="J2769" i="4"/>
  <c r="I2769" i="4"/>
  <c r="P2768" i="4"/>
  <c r="K2768" i="4"/>
  <c r="J2768" i="4"/>
  <c r="I2768" i="4"/>
  <c r="M2768" i="4" s="1" a="1"/>
  <c r="M2768" i="4" s="1"/>
  <c r="O2768" i="4" s="1"/>
  <c r="P2767" i="4"/>
  <c r="K2767" i="4"/>
  <c r="J2767" i="4"/>
  <c r="I2767" i="4"/>
  <c r="M2767" i="4" s="1" a="1"/>
  <c r="M2767" i="4" s="1"/>
  <c r="O2767" i="4" s="1"/>
  <c r="P2766" i="4"/>
  <c r="K2766" i="4"/>
  <c r="J2766" i="4"/>
  <c r="M2766" i="4" s="1" a="1"/>
  <c r="M2766" i="4" s="1"/>
  <c r="O2766" i="4" s="1"/>
  <c r="I2766" i="4"/>
  <c r="P2765" i="4"/>
  <c r="O2765" i="4"/>
  <c r="K2765" i="4"/>
  <c r="J2765" i="4"/>
  <c r="I2765" i="4"/>
  <c r="M2765" i="4" s="1" a="1"/>
  <c r="M2765" i="4" s="1"/>
  <c r="P2764" i="4"/>
  <c r="O2764" i="4"/>
  <c r="K2764" i="4"/>
  <c r="J2764" i="4"/>
  <c r="I2764" i="4"/>
  <c r="M2764" i="4" s="1" a="1"/>
  <c r="M2764" i="4" s="1"/>
  <c r="P2763" i="4"/>
  <c r="M2763" i="4" a="1"/>
  <c r="M2763" i="4" s="1"/>
  <c r="O2763" i="4" s="1"/>
  <c r="K2763" i="4"/>
  <c r="J2763" i="4"/>
  <c r="I2763" i="4"/>
  <c r="P2762" i="4"/>
  <c r="M2762" i="4" a="1"/>
  <c r="M2762" i="4" s="1"/>
  <c r="O2762" i="4" s="1"/>
  <c r="K2762" i="4"/>
  <c r="J2762" i="4"/>
  <c r="I2762" i="4"/>
  <c r="P2761" i="4"/>
  <c r="K2761" i="4"/>
  <c r="J2761" i="4"/>
  <c r="I2761" i="4"/>
  <c r="P2760" i="4"/>
  <c r="M2760" i="4" a="1"/>
  <c r="M2760" i="4" s="1"/>
  <c r="O2760" i="4" s="1"/>
  <c r="K2760" i="4"/>
  <c r="J2760" i="4"/>
  <c r="I2760" i="4"/>
  <c r="P2759" i="4"/>
  <c r="K2759" i="4"/>
  <c r="M2759" i="4" s="1" a="1"/>
  <c r="M2759" i="4" s="1"/>
  <c r="O2759" i="4" s="1"/>
  <c r="J2759" i="4"/>
  <c r="I2759" i="4"/>
  <c r="P2758" i="4"/>
  <c r="K2758" i="4"/>
  <c r="J2758" i="4"/>
  <c r="M2758" i="4" s="1" a="1"/>
  <c r="M2758" i="4" s="1"/>
  <c r="O2758" i="4" s="1"/>
  <c r="I2758" i="4"/>
  <c r="P2757" i="4"/>
  <c r="K2757" i="4"/>
  <c r="J2757" i="4"/>
  <c r="I2757" i="4"/>
  <c r="M2757" i="4" s="1" a="1"/>
  <c r="M2757" i="4" s="1"/>
  <c r="O2757" i="4" s="1"/>
  <c r="P2756" i="4"/>
  <c r="M2756" i="4"/>
  <c r="O2756" i="4" s="1"/>
  <c r="K2756" i="4"/>
  <c r="J2756" i="4"/>
  <c r="I2756" i="4"/>
  <c r="M2756" i="4" s="1" a="1"/>
  <c r="P2755" i="4"/>
  <c r="M2755" i="4"/>
  <c r="O2755" i="4" s="1"/>
  <c r="K2755" i="4"/>
  <c r="J2755" i="4"/>
  <c r="I2755" i="4"/>
  <c r="M2755" i="4" s="1" a="1"/>
  <c r="P2754" i="4"/>
  <c r="O2754" i="4"/>
  <c r="K2754" i="4"/>
  <c r="M2754" i="4" s="1" a="1"/>
  <c r="M2754" i="4" s="1"/>
  <c r="J2754" i="4"/>
  <c r="I2754" i="4"/>
  <c r="P2753" i="4"/>
  <c r="M2753" i="4"/>
  <c r="O2753" i="4" s="1"/>
  <c r="K2753" i="4"/>
  <c r="M2753" i="4" s="1" a="1"/>
  <c r="J2753" i="4"/>
  <c r="I2753" i="4"/>
  <c r="P2752" i="4"/>
  <c r="K2752" i="4"/>
  <c r="J2752" i="4"/>
  <c r="I2752" i="4"/>
  <c r="M2752" i="4" s="1" a="1"/>
  <c r="M2752" i="4" s="1"/>
  <c r="O2752" i="4" s="1"/>
  <c r="P2751" i="4"/>
  <c r="K2751" i="4"/>
  <c r="J2751" i="4"/>
  <c r="I2751" i="4"/>
  <c r="M2751" i="4" s="1" a="1"/>
  <c r="M2751" i="4" s="1"/>
  <c r="O2751" i="4" s="1"/>
  <c r="P2750" i="4"/>
  <c r="K2750" i="4"/>
  <c r="J2750" i="4"/>
  <c r="M2750" i="4" s="1" a="1"/>
  <c r="M2750" i="4" s="1"/>
  <c r="O2750" i="4" s="1"/>
  <c r="I2750" i="4"/>
  <c r="P2749" i="4"/>
  <c r="K2749" i="4"/>
  <c r="J2749" i="4"/>
  <c r="I2749" i="4"/>
  <c r="M2749" i="4" s="1" a="1"/>
  <c r="M2749" i="4" s="1"/>
  <c r="O2749" i="4" s="1"/>
  <c r="P2748" i="4"/>
  <c r="O2748" i="4"/>
  <c r="K2748" i="4"/>
  <c r="J2748" i="4"/>
  <c r="I2748" i="4"/>
  <c r="M2748" i="4" s="1" a="1"/>
  <c r="M2748" i="4" s="1"/>
  <c r="P2747" i="4"/>
  <c r="M2747" i="4" a="1"/>
  <c r="M2747" i="4" s="1"/>
  <c r="O2747" i="4" s="1"/>
  <c r="K2747" i="4"/>
  <c r="J2747" i="4"/>
  <c r="I2747" i="4"/>
  <c r="P2746" i="4"/>
  <c r="O2746" i="4"/>
  <c r="M2746" i="4" a="1"/>
  <c r="M2746" i="4" s="1"/>
  <c r="K2746" i="4"/>
  <c r="J2746" i="4"/>
  <c r="I2746" i="4"/>
  <c r="P2745" i="4"/>
  <c r="M2745" i="4"/>
  <c r="O2745" i="4" s="1"/>
  <c r="K2745" i="4"/>
  <c r="J2745" i="4"/>
  <c r="I2745" i="4"/>
  <c r="M2745" i="4" s="1" a="1"/>
  <c r="P2744" i="4"/>
  <c r="M2744" i="4" a="1"/>
  <c r="M2744" i="4" s="1"/>
  <c r="O2744" i="4" s="1"/>
  <c r="K2744" i="4"/>
  <c r="J2744" i="4"/>
  <c r="I2744" i="4"/>
  <c r="P2743" i="4"/>
  <c r="K2743" i="4"/>
  <c r="M2743" i="4" s="1" a="1"/>
  <c r="M2743" i="4" s="1"/>
  <c r="O2743" i="4" s="1"/>
  <c r="J2743" i="4"/>
  <c r="I2743" i="4"/>
  <c r="P2742" i="4"/>
  <c r="K2742" i="4"/>
  <c r="J2742" i="4"/>
  <c r="M2742" i="4" s="1" a="1"/>
  <c r="M2742" i="4" s="1"/>
  <c r="O2742" i="4" s="1"/>
  <c r="I2742" i="4"/>
  <c r="P2741" i="4"/>
  <c r="K2741" i="4"/>
  <c r="J2741" i="4"/>
  <c r="I2741" i="4"/>
  <c r="M2741" i="4" s="1" a="1"/>
  <c r="M2741" i="4" s="1"/>
  <c r="O2741" i="4" s="1"/>
  <c r="P2740" i="4"/>
  <c r="M2740" i="4"/>
  <c r="O2740" i="4" s="1"/>
  <c r="K2740" i="4"/>
  <c r="J2740" i="4"/>
  <c r="I2740" i="4"/>
  <c r="M2740" i="4" s="1" a="1"/>
  <c r="P2739" i="4"/>
  <c r="K2739" i="4"/>
  <c r="J2739" i="4"/>
  <c r="I2739" i="4"/>
  <c r="M2739" i="4" s="1" a="1"/>
  <c r="M2739" i="4" s="1"/>
  <c r="O2739" i="4" s="1"/>
  <c r="P2738" i="4"/>
  <c r="O2738" i="4"/>
  <c r="K2738" i="4"/>
  <c r="M2738" i="4" s="1" a="1"/>
  <c r="M2738" i="4" s="1"/>
  <c r="J2738" i="4"/>
  <c r="I2738" i="4"/>
  <c r="P2737" i="4"/>
  <c r="K2737" i="4"/>
  <c r="J2737" i="4"/>
  <c r="I2737" i="4"/>
  <c r="P2736" i="4"/>
  <c r="M2736" i="4" a="1"/>
  <c r="M2736" i="4" s="1"/>
  <c r="O2736" i="4" s="1"/>
  <c r="K2736" i="4"/>
  <c r="J2736" i="4"/>
  <c r="I2736" i="4"/>
  <c r="P2735" i="4"/>
  <c r="K2735" i="4"/>
  <c r="J2735" i="4"/>
  <c r="I2735" i="4"/>
  <c r="P2734" i="4"/>
  <c r="K2734" i="4"/>
  <c r="J2734" i="4"/>
  <c r="M2734" i="4" s="1" a="1"/>
  <c r="M2734" i="4" s="1"/>
  <c r="O2734" i="4" s="1"/>
  <c r="I2734" i="4"/>
  <c r="P2733" i="4"/>
  <c r="K2733" i="4"/>
  <c r="J2733" i="4"/>
  <c r="I2733" i="4"/>
  <c r="M2733" i="4" s="1" a="1"/>
  <c r="M2733" i="4" s="1"/>
  <c r="O2733" i="4" s="1"/>
  <c r="P2732" i="4"/>
  <c r="K2732" i="4"/>
  <c r="J2732" i="4"/>
  <c r="I2732" i="4"/>
  <c r="M2732" i="4" s="1" a="1"/>
  <c r="M2732" i="4" s="1"/>
  <c r="O2732" i="4" s="1"/>
  <c r="P2731" i="4"/>
  <c r="M2731" i="4" a="1"/>
  <c r="M2731" i="4" s="1"/>
  <c r="O2731" i="4" s="1"/>
  <c r="K2731" i="4"/>
  <c r="J2731" i="4"/>
  <c r="I2731" i="4"/>
  <c r="P2730" i="4"/>
  <c r="O2730" i="4"/>
  <c r="M2730" i="4" a="1"/>
  <c r="M2730" i="4" s="1"/>
  <c r="K2730" i="4"/>
  <c r="J2730" i="4"/>
  <c r="I2730" i="4"/>
  <c r="P2729" i="4"/>
  <c r="K2729" i="4"/>
  <c r="J2729" i="4"/>
  <c r="I2729" i="4"/>
  <c r="M2729" i="4" s="1" a="1"/>
  <c r="M2729" i="4" s="1"/>
  <c r="O2729" i="4" s="1"/>
  <c r="P2728" i="4"/>
  <c r="K2728" i="4"/>
  <c r="J2728" i="4"/>
  <c r="M2728" i="4" s="1" a="1"/>
  <c r="M2728" i="4" s="1"/>
  <c r="O2728" i="4" s="1"/>
  <c r="I2728" i="4"/>
  <c r="P2727" i="4"/>
  <c r="K2727" i="4"/>
  <c r="M2727" i="4" s="1" a="1"/>
  <c r="M2727" i="4" s="1"/>
  <c r="O2727" i="4" s="1"/>
  <c r="J2727" i="4"/>
  <c r="I2727" i="4"/>
  <c r="P2726" i="4"/>
  <c r="K2726" i="4"/>
  <c r="J2726" i="4"/>
  <c r="M2726" i="4" s="1" a="1"/>
  <c r="M2726" i="4" s="1"/>
  <c r="O2726" i="4" s="1"/>
  <c r="I2726" i="4"/>
  <c r="P2725" i="4"/>
  <c r="K2725" i="4"/>
  <c r="J2725" i="4"/>
  <c r="I2725" i="4"/>
  <c r="M2725" i="4" s="1" a="1"/>
  <c r="M2725" i="4" s="1"/>
  <c r="O2725" i="4" s="1"/>
  <c r="P2724" i="4"/>
  <c r="K2724" i="4"/>
  <c r="J2724" i="4"/>
  <c r="I2724" i="4"/>
  <c r="M2724" i="4" s="1" a="1"/>
  <c r="M2724" i="4" s="1"/>
  <c r="O2724" i="4" s="1"/>
  <c r="P2723" i="4"/>
  <c r="K2723" i="4"/>
  <c r="J2723" i="4"/>
  <c r="I2723" i="4"/>
  <c r="M2723" i="4" s="1" a="1"/>
  <c r="M2723" i="4" s="1"/>
  <c r="O2723" i="4" s="1"/>
  <c r="P2722" i="4"/>
  <c r="K2722" i="4"/>
  <c r="M2722" i="4" s="1" a="1"/>
  <c r="M2722" i="4" s="1"/>
  <c r="O2722" i="4" s="1"/>
  <c r="J2722" i="4"/>
  <c r="I2722" i="4"/>
  <c r="P2721" i="4"/>
  <c r="K2721" i="4"/>
  <c r="J2721" i="4"/>
  <c r="I2721" i="4"/>
  <c r="M2721" i="4" s="1" a="1"/>
  <c r="M2721" i="4" s="1"/>
  <c r="O2721" i="4" s="1"/>
  <c r="P2720" i="4"/>
  <c r="M2720" i="4" a="1"/>
  <c r="M2720" i="4" s="1"/>
  <c r="O2720" i="4" s="1"/>
  <c r="K2720" i="4"/>
  <c r="J2720" i="4"/>
  <c r="I2720" i="4"/>
  <c r="P2719" i="4"/>
  <c r="K2719" i="4"/>
  <c r="J2719" i="4"/>
  <c r="I2719" i="4"/>
  <c r="M2719" i="4" s="1" a="1"/>
  <c r="M2719" i="4" s="1"/>
  <c r="O2719" i="4" s="1"/>
  <c r="P2718" i="4"/>
  <c r="K2718" i="4"/>
  <c r="J2718" i="4"/>
  <c r="M2718" i="4" s="1" a="1"/>
  <c r="M2718" i="4" s="1"/>
  <c r="O2718" i="4" s="1"/>
  <c r="I2718" i="4"/>
  <c r="P2717" i="4"/>
  <c r="K2717" i="4"/>
  <c r="J2717" i="4"/>
  <c r="I2717" i="4"/>
  <c r="M2717" i="4" s="1" a="1"/>
  <c r="M2717" i="4" s="1"/>
  <c r="O2717" i="4" s="1"/>
  <c r="P2716" i="4"/>
  <c r="O2716" i="4"/>
  <c r="K2716" i="4"/>
  <c r="J2716" i="4"/>
  <c r="I2716" i="4"/>
  <c r="M2716" i="4" s="1" a="1"/>
  <c r="M2716" i="4" s="1"/>
  <c r="P2715" i="4"/>
  <c r="K2715" i="4"/>
  <c r="J2715" i="4"/>
  <c r="I2715" i="4"/>
  <c r="M2715" i="4" s="1" a="1"/>
  <c r="M2715" i="4" s="1"/>
  <c r="O2715" i="4" s="1"/>
  <c r="P2714" i="4"/>
  <c r="M2714" i="4" a="1"/>
  <c r="M2714" i="4" s="1"/>
  <c r="O2714" i="4" s="1"/>
  <c r="K2714" i="4"/>
  <c r="J2714" i="4"/>
  <c r="I2714" i="4"/>
  <c r="P2713" i="4"/>
  <c r="K2713" i="4"/>
  <c r="J2713" i="4"/>
  <c r="I2713" i="4"/>
  <c r="P2712" i="4"/>
  <c r="K2712" i="4"/>
  <c r="J2712" i="4"/>
  <c r="M2712" i="4" s="1" a="1"/>
  <c r="M2712" i="4" s="1"/>
  <c r="O2712" i="4" s="1"/>
  <c r="I2712" i="4"/>
  <c r="P2711" i="4"/>
  <c r="K2711" i="4"/>
  <c r="M2711" i="4" s="1" a="1"/>
  <c r="M2711" i="4" s="1"/>
  <c r="O2711" i="4" s="1"/>
  <c r="J2711" i="4"/>
  <c r="I2711" i="4"/>
  <c r="P2710" i="4"/>
  <c r="K2710" i="4"/>
  <c r="J2710" i="4"/>
  <c r="M2710" i="4" s="1" a="1"/>
  <c r="M2710" i="4" s="1"/>
  <c r="O2710" i="4" s="1"/>
  <c r="I2710" i="4"/>
  <c r="P2709" i="4"/>
  <c r="K2709" i="4"/>
  <c r="J2709" i="4"/>
  <c r="I2709" i="4"/>
  <c r="M2709" i="4" s="1" a="1"/>
  <c r="M2709" i="4" s="1"/>
  <c r="O2709" i="4" s="1"/>
  <c r="P2708" i="4"/>
  <c r="K2708" i="4"/>
  <c r="J2708" i="4"/>
  <c r="I2708" i="4"/>
  <c r="M2708" i="4" s="1" a="1"/>
  <c r="M2708" i="4" s="1"/>
  <c r="O2708" i="4" s="1"/>
  <c r="P2707" i="4"/>
  <c r="M2707" i="4"/>
  <c r="O2707" i="4" s="1"/>
  <c r="K2707" i="4"/>
  <c r="J2707" i="4"/>
  <c r="I2707" i="4"/>
  <c r="M2707" i="4" s="1" a="1"/>
  <c r="P2706" i="4"/>
  <c r="O2706" i="4"/>
  <c r="K2706" i="4"/>
  <c r="M2706" i="4" s="1" a="1"/>
  <c r="M2706" i="4" s="1"/>
  <c r="J2706" i="4"/>
  <c r="I2706" i="4"/>
  <c r="P2705" i="4"/>
  <c r="M2705" i="4"/>
  <c r="O2705" i="4" s="1"/>
  <c r="K2705" i="4"/>
  <c r="J2705" i="4"/>
  <c r="I2705" i="4"/>
  <c r="M2705" i="4" s="1" a="1"/>
  <c r="P2704" i="4"/>
  <c r="M2704" i="4" a="1"/>
  <c r="M2704" i="4" s="1"/>
  <c r="O2704" i="4" s="1"/>
  <c r="K2704" i="4"/>
  <c r="J2704" i="4"/>
  <c r="I2704" i="4"/>
  <c r="P2703" i="4"/>
  <c r="K2703" i="4"/>
  <c r="J2703" i="4"/>
  <c r="I2703" i="4"/>
  <c r="M2703" i="4" s="1" a="1"/>
  <c r="M2703" i="4" s="1"/>
  <c r="O2703" i="4" s="1"/>
  <c r="P2702" i="4"/>
  <c r="M2702" i="4" a="1"/>
  <c r="M2702" i="4" s="1"/>
  <c r="O2702" i="4" s="1"/>
  <c r="K2702" i="4"/>
  <c r="J2702" i="4"/>
  <c r="I2702" i="4"/>
  <c r="P2701" i="4"/>
  <c r="K2701" i="4"/>
  <c r="J2701" i="4"/>
  <c r="I2701" i="4"/>
  <c r="P2700" i="4"/>
  <c r="O2700" i="4"/>
  <c r="K2700" i="4"/>
  <c r="J2700" i="4"/>
  <c r="I2700" i="4"/>
  <c r="M2700" i="4" s="1" a="1"/>
  <c r="M2700" i="4" s="1"/>
  <c r="P2699" i="4"/>
  <c r="M2699" i="4" a="1"/>
  <c r="M2699" i="4" s="1"/>
  <c r="O2699" i="4" s="1"/>
  <c r="K2699" i="4"/>
  <c r="J2699" i="4"/>
  <c r="I2699" i="4"/>
  <c r="P2698" i="4"/>
  <c r="O2698" i="4"/>
  <c r="M2698" i="4" a="1"/>
  <c r="M2698" i="4" s="1"/>
  <c r="K2698" i="4"/>
  <c r="J2698" i="4"/>
  <c r="I2698" i="4"/>
  <c r="P2697" i="4"/>
  <c r="K2697" i="4"/>
  <c r="J2697" i="4"/>
  <c r="I2697" i="4"/>
  <c r="P2696" i="4"/>
  <c r="K2696" i="4"/>
  <c r="J2696" i="4"/>
  <c r="M2696" i="4" s="1" a="1"/>
  <c r="M2696" i="4" s="1"/>
  <c r="O2696" i="4" s="1"/>
  <c r="I2696" i="4"/>
  <c r="P2695" i="4"/>
  <c r="K2695" i="4"/>
  <c r="M2695" i="4" s="1" a="1"/>
  <c r="M2695" i="4" s="1"/>
  <c r="O2695" i="4" s="1"/>
  <c r="J2695" i="4"/>
  <c r="I2695" i="4"/>
  <c r="P2694" i="4"/>
  <c r="K2694" i="4"/>
  <c r="J2694" i="4"/>
  <c r="M2694" i="4" s="1" a="1"/>
  <c r="M2694" i="4" s="1"/>
  <c r="O2694" i="4" s="1"/>
  <c r="I2694" i="4"/>
  <c r="P2693" i="4"/>
  <c r="K2693" i="4"/>
  <c r="J2693" i="4"/>
  <c r="I2693" i="4"/>
  <c r="M2693" i="4" s="1" a="1"/>
  <c r="M2693" i="4" s="1"/>
  <c r="O2693" i="4" s="1"/>
  <c r="P2692" i="4"/>
  <c r="M2692" i="4"/>
  <c r="O2692" i="4" s="1"/>
  <c r="K2692" i="4"/>
  <c r="J2692" i="4"/>
  <c r="I2692" i="4"/>
  <c r="M2692" i="4" s="1" a="1"/>
  <c r="P2691" i="4"/>
  <c r="M2691" i="4"/>
  <c r="O2691" i="4" s="1"/>
  <c r="K2691" i="4"/>
  <c r="J2691" i="4"/>
  <c r="I2691" i="4"/>
  <c r="M2691" i="4" s="1" a="1"/>
  <c r="P2690" i="4"/>
  <c r="K2690" i="4"/>
  <c r="M2690" i="4" s="1" a="1"/>
  <c r="M2690" i="4" s="1"/>
  <c r="O2690" i="4" s="1"/>
  <c r="J2690" i="4"/>
  <c r="I2690" i="4"/>
  <c r="P2689" i="4"/>
  <c r="K2689" i="4"/>
  <c r="J2689" i="4"/>
  <c r="I2689" i="4"/>
  <c r="P2688" i="4"/>
  <c r="K2688" i="4"/>
  <c r="J2688" i="4"/>
  <c r="I2688" i="4"/>
  <c r="M2688" i="4" s="1" a="1"/>
  <c r="M2688" i="4" s="1"/>
  <c r="O2688" i="4" s="1"/>
  <c r="P2687" i="4"/>
  <c r="M2687" i="4"/>
  <c r="O2687" i="4" s="1"/>
  <c r="K2687" i="4"/>
  <c r="J2687" i="4"/>
  <c r="I2687" i="4"/>
  <c r="M2687" i="4" s="1" a="1"/>
  <c r="P2686" i="4"/>
  <c r="K2686" i="4"/>
  <c r="M2686" i="4" s="1" a="1"/>
  <c r="M2686" i="4" s="1"/>
  <c r="O2686" i="4" s="1"/>
  <c r="J2686" i="4"/>
  <c r="I2686" i="4"/>
  <c r="P2685" i="4"/>
  <c r="O2685" i="4"/>
  <c r="K2685" i="4"/>
  <c r="J2685" i="4"/>
  <c r="I2685" i="4"/>
  <c r="M2685" i="4" s="1" a="1"/>
  <c r="M2685" i="4" s="1"/>
  <c r="P2684" i="4"/>
  <c r="K2684" i="4"/>
  <c r="J2684" i="4"/>
  <c r="I2684" i="4"/>
  <c r="P2683" i="4"/>
  <c r="M2683" i="4"/>
  <c r="O2683" i="4" s="1"/>
  <c r="M2683" i="4" a="1"/>
  <c r="K2683" i="4"/>
  <c r="J2683" i="4"/>
  <c r="I2683" i="4"/>
  <c r="P2682" i="4"/>
  <c r="O2682" i="4"/>
  <c r="M2682" i="4" a="1"/>
  <c r="M2682" i="4" s="1"/>
  <c r="K2682" i="4"/>
  <c r="J2682" i="4"/>
  <c r="I2682" i="4"/>
  <c r="P2681" i="4"/>
  <c r="K2681" i="4"/>
  <c r="J2681" i="4"/>
  <c r="I2681" i="4"/>
  <c r="M2681" i="4" s="1" a="1"/>
  <c r="M2681" i="4" s="1"/>
  <c r="O2681" i="4" s="1"/>
  <c r="P2680" i="4"/>
  <c r="K2680" i="4"/>
  <c r="J2680" i="4"/>
  <c r="M2680" i="4" s="1" a="1"/>
  <c r="M2680" i="4" s="1"/>
  <c r="O2680" i="4" s="1"/>
  <c r="I2680" i="4"/>
  <c r="P2679" i="4"/>
  <c r="K2679" i="4"/>
  <c r="J2679" i="4"/>
  <c r="I2679" i="4"/>
  <c r="M2679" i="4" s="1" a="1"/>
  <c r="M2679" i="4" s="1"/>
  <c r="O2679" i="4" s="1"/>
  <c r="P2678" i="4"/>
  <c r="K2678" i="4"/>
  <c r="J2678" i="4"/>
  <c r="M2678" i="4" s="1" a="1"/>
  <c r="M2678" i="4" s="1"/>
  <c r="O2678" i="4" s="1"/>
  <c r="I2678" i="4"/>
  <c r="P2677" i="4"/>
  <c r="K2677" i="4"/>
  <c r="J2677" i="4"/>
  <c r="I2677" i="4"/>
  <c r="M2677" i="4" s="1" a="1"/>
  <c r="M2677" i="4" s="1"/>
  <c r="O2677" i="4" s="1"/>
  <c r="P2676" i="4"/>
  <c r="K2676" i="4"/>
  <c r="J2676" i="4"/>
  <c r="I2676" i="4"/>
  <c r="M2676" i="4" s="1" a="1"/>
  <c r="M2676" i="4" s="1"/>
  <c r="O2676" i="4" s="1"/>
  <c r="P2675" i="4"/>
  <c r="K2675" i="4"/>
  <c r="J2675" i="4"/>
  <c r="I2675" i="4"/>
  <c r="M2675" i="4" s="1" a="1"/>
  <c r="M2675" i="4" s="1"/>
  <c r="O2675" i="4" s="1"/>
  <c r="P2674" i="4"/>
  <c r="K2674" i="4"/>
  <c r="M2674" i="4" s="1" a="1"/>
  <c r="M2674" i="4" s="1"/>
  <c r="O2674" i="4" s="1"/>
  <c r="J2674" i="4"/>
  <c r="I2674" i="4"/>
  <c r="P2673" i="4"/>
  <c r="K2673" i="4"/>
  <c r="J2673" i="4"/>
  <c r="I2673" i="4"/>
  <c r="M2673" i="4" s="1" a="1"/>
  <c r="M2673" i="4" s="1"/>
  <c r="O2673" i="4" s="1"/>
  <c r="P2672" i="4"/>
  <c r="K2672" i="4"/>
  <c r="J2672" i="4"/>
  <c r="I2672" i="4"/>
  <c r="M2672" i="4" s="1" a="1"/>
  <c r="M2672" i="4" s="1"/>
  <c r="O2672" i="4" s="1"/>
  <c r="P2671" i="4"/>
  <c r="K2671" i="4"/>
  <c r="J2671" i="4"/>
  <c r="I2671" i="4"/>
  <c r="P2670" i="4"/>
  <c r="K2670" i="4"/>
  <c r="J2670" i="4"/>
  <c r="M2670" i="4" s="1" a="1"/>
  <c r="M2670" i="4" s="1"/>
  <c r="O2670" i="4" s="1"/>
  <c r="I2670" i="4"/>
  <c r="P2669" i="4"/>
  <c r="K2669" i="4"/>
  <c r="J2669" i="4"/>
  <c r="I2669" i="4"/>
  <c r="M2669" i="4" s="1" a="1"/>
  <c r="M2669" i="4" s="1"/>
  <c r="O2669" i="4" s="1"/>
  <c r="P2668" i="4"/>
  <c r="K2668" i="4"/>
  <c r="J2668" i="4"/>
  <c r="I2668" i="4"/>
  <c r="P2667" i="4"/>
  <c r="K2667" i="4"/>
  <c r="J2667" i="4"/>
  <c r="I2667" i="4"/>
  <c r="M2667" i="4" s="1" a="1"/>
  <c r="M2667" i="4" s="1"/>
  <c r="O2667" i="4" s="1"/>
  <c r="P2666" i="4"/>
  <c r="K2666" i="4"/>
  <c r="J2666" i="4"/>
  <c r="M2666" i="4" s="1" a="1"/>
  <c r="M2666" i="4" s="1"/>
  <c r="O2666" i="4" s="1"/>
  <c r="I2666" i="4"/>
  <c r="P2665" i="4"/>
  <c r="K2665" i="4"/>
  <c r="J2665" i="4"/>
  <c r="I2665" i="4"/>
  <c r="P2664" i="4"/>
  <c r="M2664" i="4" a="1"/>
  <c r="M2664" i="4" s="1"/>
  <c r="O2664" i="4" s="1"/>
  <c r="K2664" i="4"/>
  <c r="J2664" i="4"/>
  <c r="I2664" i="4"/>
  <c r="P2663" i="4"/>
  <c r="M2663" i="4" a="1"/>
  <c r="M2663" i="4" s="1"/>
  <c r="O2663" i="4" s="1"/>
  <c r="K2663" i="4"/>
  <c r="J2663" i="4"/>
  <c r="I2663" i="4"/>
  <c r="P2662" i="4"/>
  <c r="K2662" i="4"/>
  <c r="J2662" i="4"/>
  <c r="M2662" i="4" s="1" a="1"/>
  <c r="M2662" i="4" s="1"/>
  <c r="O2662" i="4" s="1"/>
  <c r="I2662" i="4"/>
  <c r="P2661" i="4"/>
  <c r="K2661" i="4"/>
  <c r="J2661" i="4"/>
  <c r="I2661" i="4"/>
  <c r="M2661" i="4" s="1" a="1"/>
  <c r="M2661" i="4" s="1"/>
  <c r="O2661" i="4" s="1"/>
  <c r="P2660" i="4"/>
  <c r="K2660" i="4"/>
  <c r="J2660" i="4"/>
  <c r="I2660" i="4"/>
  <c r="P2659" i="4"/>
  <c r="K2659" i="4"/>
  <c r="J2659" i="4"/>
  <c r="I2659" i="4"/>
  <c r="M2659" i="4" s="1" a="1"/>
  <c r="M2659" i="4" s="1"/>
  <c r="O2659" i="4" s="1"/>
  <c r="P2658" i="4"/>
  <c r="K2658" i="4"/>
  <c r="J2658" i="4"/>
  <c r="I2658" i="4"/>
  <c r="M2658" i="4" s="1" a="1"/>
  <c r="M2658" i="4" s="1"/>
  <c r="O2658" i="4" s="1"/>
  <c r="P2657" i="4"/>
  <c r="K2657" i="4"/>
  <c r="J2657" i="4"/>
  <c r="I2657" i="4"/>
  <c r="P2656" i="4"/>
  <c r="M2656" i="4" a="1"/>
  <c r="M2656" i="4" s="1"/>
  <c r="O2656" i="4" s="1"/>
  <c r="K2656" i="4"/>
  <c r="J2656" i="4"/>
  <c r="I2656" i="4"/>
  <c r="P2655" i="4"/>
  <c r="K2655" i="4"/>
  <c r="J2655" i="4"/>
  <c r="I2655" i="4"/>
  <c r="M2655" i="4" s="1" a="1"/>
  <c r="M2655" i="4" s="1"/>
  <c r="O2655" i="4" s="1"/>
  <c r="P2654" i="4"/>
  <c r="K2654" i="4"/>
  <c r="J2654" i="4"/>
  <c r="M2654" i="4" s="1" a="1"/>
  <c r="M2654" i="4" s="1"/>
  <c r="O2654" i="4" s="1"/>
  <c r="I2654" i="4"/>
  <c r="P2653" i="4"/>
  <c r="M2653" i="4" a="1"/>
  <c r="M2653" i="4" s="1"/>
  <c r="O2653" i="4" s="1"/>
  <c r="K2653" i="4"/>
  <c r="J2653" i="4"/>
  <c r="I2653" i="4"/>
  <c r="P2652" i="4"/>
  <c r="O2652" i="4"/>
  <c r="M2652" i="4" a="1"/>
  <c r="M2652" i="4" s="1"/>
  <c r="K2652" i="4"/>
  <c r="J2652" i="4"/>
  <c r="I2652" i="4"/>
  <c r="P2651" i="4"/>
  <c r="M2651" i="4" a="1"/>
  <c r="M2651" i="4" s="1"/>
  <c r="O2651" i="4" s="1"/>
  <c r="K2651" i="4"/>
  <c r="J2651" i="4"/>
  <c r="I2651" i="4"/>
  <c r="P2650" i="4"/>
  <c r="M2650" i="4" a="1"/>
  <c r="M2650" i="4" s="1"/>
  <c r="O2650" i="4" s="1"/>
  <c r="K2650" i="4"/>
  <c r="J2650" i="4"/>
  <c r="I2650" i="4"/>
  <c r="P2649" i="4"/>
  <c r="K2649" i="4"/>
  <c r="J2649" i="4"/>
  <c r="I2649" i="4"/>
  <c r="P2648" i="4"/>
  <c r="K2648" i="4"/>
  <c r="J2648" i="4"/>
  <c r="M2648" i="4" s="1" a="1"/>
  <c r="M2648" i="4" s="1"/>
  <c r="O2648" i="4" s="1"/>
  <c r="I2648" i="4"/>
  <c r="P2647" i="4"/>
  <c r="M2647" i="4"/>
  <c r="O2647" i="4" s="1"/>
  <c r="M2647" i="4" a="1"/>
  <c r="K2647" i="4"/>
  <c r="J2647" i="4"/>
  <c r="I2647" i="4"/>
  <c r="P2646" i="4"/>
  <c r="M2646" i="4" a="1"/>
  <c r="M2646" i="4" s="1"/>
  <c r="O2646" i="4" s="1"/>
  <c r="K2646" i="4"/>
  <c r="J2646" i="4"/>
  <c r="I2646" i="4"/>
  <c r="P2645" i="4"/>
  <c r="M2645" i="4" a="1"/>
  <c r="M2645" i="4" s="1"/>
  <c r="O2645" i="4" s="1"/>
  <c r="K2645" i="4"/>
  <c r="J2645" i="4"/>
  <c r="I2645" i="4"/>
  <c r="P2644" i="4"/>
  <c r="K2644" i="4"/>
  <c r="J2644" i="4"/>
  <c r="I2644" i="4"/>
  <c r="M2644" i="4" s="1" a="1"/>
  <c r="M2644" i="4" s="1"/>
  <c r="O2644" i="4" s="1"/>
  <c r="P2643" i="4"/>
  <c r="K2643" i="4"/>
  <c r="J2643" i="4"/>
  <c r="I2643" i="4"/>
  <c r="M2643" i="4" s="1" a="1"/>
  <c r="M2643" i="4" s="1"/>
  <c r="O2643" i="4" s="1"/>
  <c r="P2642" i="4"/>
  <c r="K2642" i="4"/>
  <c r="J2642" i="4"/>
  <c r="I2642" i="4"/>
  <c r="M2642" i="4" s="1" a="1"/>
  <c r="M2642" i="4" s="1"/>
  <c r="O2642" i="4" s="1"/>
  <c r="P2641" i="4"/>
  <c r="K2641" i="4"/>
  <c r="J2641" i="4"/>
  <c r="I2641" i="4"/>
  <c r="M2641" i="4" s="1" a="1"/>
  <c r="M2641" i="4" s="1"/>
  <c r="O2641" i="4" s="1"/>
  <c r="P2640" i="4"/>
  <c r="M2640" i="4" a="1"/>
  <c r="M2640" i="4" s="1"/>
  <c r="O2640" i="4" s="1"/>
  <c r="K2640" i="4"/>
  <c r="J2640" i="4"/>
  <c r="I2640" i="4"/>
  <c r="P2639" i="4"/>
  <c r="K2639" i="4"/>
  <c r="J2639" i="4"/>
  <c r="I2639" i="4"/>
  <c r="M2639" i="4" s="1" a="1"/>
  <c r="M2639" i="4" s="1"/>
  <c r="O2639" i="4" s="1"/>
  <c r="P2638" i="4"/>
  <c r="K2638" i="4"/>
  <c r="J2638" i="4"/>
  <c r="M2638" i="4" s="1" a="1"/>
  <c r="M2638" i="4" s="1"/>
  <c r="O2638" i="4" s="1"/>
  <c r="I2638" i="4"/>
  <c r="P2637" i="4"/>
  <c r="K2637" i="4"/>
  <c r="J2637" i="4"/>
  <c r="M2637" i="4" s="1" a="1"/>
  <c r="M2637" i="4" s="1"/>
  <c r="O2637" i="4" s="1"/>
  <c r="I2637" i="4"/>
  <c r="P2636" i="4"/>
  <c r="K2636" i="4"/>
  <c r="J2636" i="4"/>
  <c r="I2636" i="4"/>
  <c r="M2636" i="4" s="1" a="1"/>
  <c r="M2636" i="4" s="1"/>
  <c r="O2636" i="4" s="1"/>
  <c r="P2635" i="4"/>
  <c r="M2635" i="4" a="1"/>
  <c r="M2635" i="4" s="1"/>
  <c r="O2635" i="4" s="1"/>
  <c r="K2635" i="4"/>
  <c r="J2635" i="4"/>
  <c r="I2635" i="4"/>
  <c r="P2634" i="4"/>
  <c r="O2634" i="4"/>
  <c r="M2634" i="4" a="1"/>
  <c r="M2634" i="4" s="1"/>
  <c r="K2634" i="4"/>
  <c r="J2634" i="4"/>
  <c r="I2634" i="4"/>
  <c r="P2633" i="4"/>
  <c r="K2633" i="4"/>
  <c r="J2633" i="4"/>
  <c r="I2633" i="4"/>
  <c r="P2632" i="4"/>
  <c r="K2632" i="4"/>
  <c r="J2632" i="4"/>
  <c r="M2632" i="4" s="1" a="1"/>
  <c r="M2632" i="4" s="1"/>
  <c r="O2632" i="4" s="1"/>
  <c r="I2632" i="4"/>
  <c r="P2631" i="4"/>
  <c r="K2631" i="4"/>
  <c r="J2631" i="4"/>
  <c r="I2631" i="4"/>
  <c r="M2631" i="4" s="1" a="1"/>
  <c r="M2631" i="4" s="1"/>
  <c r="O2631" i="4" s="1"/>
  <c r="P2630" i="4"/>
  <c r="M2630" i="4" a="1"/>
  <c r="M2630" i="4" s="1"/>
  <c r="O2630" i="4" s="1"/>
  <c r="K2630" i="4"/>
  <c r="J2630" i="4"/>
  <c r="I2630" i="4"/>
  <c r="P2629" i="4"/>
  <c r="M2629" i="4"/>
  <c r="O2629" i="4" s="1"/>
  <c r="M2629" i="4" a="1"/>
  <c r="K2629" i="4"/>
  <c r="J2629" i="4"/>
  <c r="I2629" i="4"/>
  <c r="P2628" i="4"/>
  <c r="M2628" i="4"/>
  <c r="O2628" i="4" s="1"/>
  <c r="K2628" i="4"/>
  <c r="J2628" i="4"/>
  <c r="I2628" i="4"/>
  <c r="M2628" i="4" s="1" a="1"/>
  <c r="P2627" i="4"/>
  <c r="K2627" i="4"/>
  <c r="J2627" i="4"/>
  <c r="I2627" i="4"/>
  <c r="P2626" i="4"/>
  <c r="K2626" i="4"/>
  <c r="J2626" i="4"/>
  <c r="I2626" i="4"/>
  <c r="M2626" i="4" s="1" a="1"/>
  <c r="M2626" i="4" s="1"/>
  <c r="O2626" i="4" s="1"/>
  <c r="P2625" i="4"/>
  <c r="K2625" i="4"/>
  <c r="J2625" i="4"/>
  <c r="I2625" i="4"/>
  <c r="M2625" i="4" s="1" a="1"/>
  <c r="M2625" i="4" s="1"/>
  <c r="O2625" i="4" s="1"/>
  <c r="P2624" i="4"/>
  <c r="K2624" i="4"/>
  <c r="J2624" i="4"/>
  <c r="M2624" i="4" s="1" a="1"/>
  <c r="M2624" i="4" s="1"/>
  <c r="O2624" i="4" s="1"/>
  <c r="I2624" i="4"/>
  <c r="P2623" i="4"/>
  <c r="K2623" i="4"/>
  <c r="M2623" i="4" s="1" a="1"/>
  <c r="M2623" i="4" s="1"/>
  <c r="O2623" i="4" s="1"/>
  <c r="J2623" i="4"/>
  <c r="I2623" i="4"/>
  <c r="P2622" i="4"/>
  <c r="M2622" i="4" a="1"/>
  <c r="M2622" i="4" s="1"/>
  <c r="O2622" i="4" s="1"/>
  <c r="K2622" i="4"/>
  <c r="J2622" i="4"/>
  <c r="I2622" i="4"/>
  <c r="P2621" i="4"/>
  <c r="K2621" i="4"/>
  <c r="J2621" i="4"/>
  <c r="I2621" i="4"/>
  <c r="M2621" i="4" s="1" a="1"/>
  <c r="M2621" i="4" s="1"/>
  <c r="O2621" i="4" s="1"/>
  <c r="P2620" i="4"/>
  <c r="K2620" i="4"/>
  <c r="J2620" i="4"/>
  <c r="I2620" i="4"/>
  <c r="M2620" i="4" s="1" a="1"/>
  <c r="M2620" i="4" s="1"/>
  <c r="O2620" i="4" s="1"/>
  <c r="P2619" i="4"/>
  <c r="K2619" i="4"/>
  <c r="J2619" i="4"/>
  <c r="M2619" i="4" s="1" a="1"/>
  <c r="M2619" i="4" s="1"/>
  <c r="O2619" i="4" s="1"/>
  <c r="I2619" i="4"/>
  <c r="P2618" i="4"/>
  <c r="K2618" i="4"/>
  <c r="J2618" i="4"/>
  <c r="I2618" i="4"/>
  <c r="M2618" i="4" s="1" a="1"/>
  <c r="M2618" i="4" s="1"/>
  <c r="O2618" i="4" s="1"/>
  <c r="P2617" i="4"/>
  <c r="M2617" i="4"/>
  <c r="O2617" i="4" s="1"/>
  <c r="K2617" i="4"/>
  <c r="J2617" i="4"/>
  <c r="M2617" i="4" s="1" a="1"/>
  <c r="I2617" i="4"/>
  <c r="P2616" i="4"/>
  <c r="K2616" i="4"/>
  <c r="J2616" i="4"/>
  <c r="M2616" i="4" s="1" a="1"/>
  <c r="M2616" i="4" s="1"/>
  <c r="O2616" i="4" s="1"/>
  <c r="I2616" i="4"/>
  <c r="P2615" i="4"/>
  <c r="K2615" i="4"/>
  <c r="J2615" i="4"/>
  <c r="I2615" i="4"/>
  <c r="M2615" i="4" s="1" a="1"/>
  <c r="M2615" i="4" s="1"/>
  <c r="O2615" i="4" s="1"/>
  <c r="P2614" i="4"/>
  <c r="K2614" i="4"/>
  <c r="J2614" i="4"/>
  <c r="M2614" i="4" s="1" a="1"/>
  <c r="M2614" i="4" s="1"/>
  <c r="O2614" i="4" s="1"/>
  <c r="I2614" i="4"/>
  <c r="P2613" i="4"/>
  <c r="K2613" i="4"/>
  <c r="J2613" i="4"/>
  <c r="I2613" i="4"/>
  <c r="M2613" i="4" s="1" a="1"/>
  <c r="M2613" i="4" s="1"/>
  <c r="O2613" i="4" s="1"/>
  <c r="P2612" i="4"/>
  <c r="K2612" i="4"/>
  <c r="J2612" i="4"/>
  <c r="I2612" i="4"/>
  <c r="P2611" i="4"/>
  <c r="K2611" i="4"/>
  <c r="J2611" i="4"/>
  <c r="I2611" i="4"/>
  <c r="P2610" i="4"/>
  <c r="K2610" i="4"/>
  <c r="M2610" i="4" s="1" a="1"/>
  <c r="M2610" i="4" s="1"/>
  <c r="O2610" i="4" s="1"/>
  <c r="J2610" i="4"/>
  <c r="I2610" i="4"/>
  <c r="P2609" i="4"/>
  <c r="K2609" i="4"/>
  <c r="J2609" i="4"/>
  <c r="I2609" i="4"/>
  <c r="P2608" i="4"/>
  <c r="K2608" i="4"/>
  <c r="J2608" i="4"/>
  <c r="I2608" i="4"/>
  <c r="M2608" i="4" s="1" a="1"/>
  <c r="M2608" i="4" s="1"/>
  <c r="O2608" i="4" s="1"/>
  <c r="P2607" i="4"/>
  <c r="K2607" i="4"/>
  <c r="J2607" i="4"/>
  <c r="I2607" i="4"/>
  <c r="P2606" i="4"/>
  <c r="M2606" i="4" a="1"/>
  <c r="M2606" i="4" s="1"/>
  <c r="O2606" i="4" s="1"/>
  <c r="K2606" i="4"/>
  <c r="J2606" i="4"/>
  <c r="I2606" i="4"/>
  <c r="P2605" i="4"/>
  <c r="M2605" i="4" a="1"/>
  <c r="M2605" i="4" s="1"/>
  <c r="O2605" i="4" s="1"/>
  <c r="K2605" i="4"/>
  <c r="J2605" i="4"/>
  <c r="I2605" i="4"/>
  <c r="P2604" i="4"/>
  <c r="M2604" i="4" a="1"/>
  <c r="M2604" i="4" s="1"/>
  <c r="O2604" i="4" s="1"/>
  <c r="K2604" i="4"/>
  <c r="J2604" i="4"/>
  <c r="I2604" i="4"/>
  <c r="P2603" i="4"/>
  <c r="K2603" i="4"/>
  <c r="J2603" i="4"/>
  <c r="I2603" i="4"/>
  <c r="M2603" i="4" s="1" a="1"/>
  <c r="M2603" i="4" s="1"/>
  <c r="O2603" i="4" s="1"/>
  <c r="P2602" i="4"/>
  <c r="K2602" i="4"/>
  <c r="J2602" i="4"/>
  <c r="I2602" i="4"/>
  <c r="M2602" i="4" s="1" a="1"/>
  <c r="M2602" i="4" s="1"/>
  <c r="O2602" i="4" s="1"/>
  <c r="P2601" i="4"/>
  <c r="K2601" i="4"/>
  <c r="J2601" i="4"/>
  <c r="M2601" i="4" s="1" a="1"/>
  <c r="M2601" i="4" s="1"/>
  <c r="O2601" i="4" s="1"/>
  <c r="I2601" i="4"/>
  <c r="P2600" i="4"/>
  <c r="M2600" i="4" a="1"/>
  <c r="M2600" i="4" s="1"/>
  <c r="O2600" i="4" s="1"/>
  <c r="K2600" i="4"/>
  <c r="J2600" i="4"/>
  <c r="I2600" i="4"/>
  <c r="P2599" i="4"/>
  <c r="M2599" i="4" a="1"/>
  <c r="M2599" i="4" s="1"/>
  <c r="O2599" i="4" s="1"/>
  <c r="K2599" i="4"/>
  <c r="J2599" i="4"/>
  <c r="I2599" i="4"/>
  <c r="P2598" i="4"/>
  <c r="K2598" i="4"/>
  <c r="J2598" i="4"/>
  <c r="M2598" i="4" s="1" a="1"/>
  <c r="M2598" i="4" s="1"/>
  <c r="O2598" i="4" s="1"/>
  <c r="I2598" i="4"/>
  <c r="P2597" i="4"/>
  <c r="K2597" i="4"/>
  <c r="J2597" i="4"/>
  <c r="I2597" i="4"/>
  <c r="M2597" i="4" s="1" a="1"/>
  <c r="M2597" i="4" s="1"/>
  <c r="O2597" i="4" s="1"/>
  <c r="P2596" i="4"/>
  <c r="K2596" i="4"/>
  <c r="J2596" i="4"/>
  <c r="I2596" i="4"/>
  <c r="P2595" i="4"/>
  <c r="K2595" i="4"/>
  <c r="J2595" i="4"/>
  <c r="I2595" i="4"/>
  <c r="M2595" i="4" s="1" a="1"/>
  <c r="M2595" i="4" s="1"/>
  <c r="O2595" i="4" s="1"/>
  <c r="P2594" i="4"/>
  <c r="K2594" i="4"/>
  <c r="J2594" i="4"/>
  <c r="I2594" i="4"/>
  <c r="M2594" i="4" s="1" a="1"/>
  <c r="M2594" i="4" s="1"/>
  <c r="O2594" i="4" s="1"/>
  <c r="P2593" i="4"/>
  <c r="K2593" i="4"/>
  <c r="J2593" i="4"/>
  <c r="I2593" i="4"/>
  <c r="P2592" i="4"/>
  <c r="M2592" i="4" a="1"/>
  <c r="M2592" i="4" s="1"/>
  <c r="O2592" i="4" s="1"/>
  <c r="K2592" i="4"/>
  <c r="J2592" i="4"/>
  <c r="I2592" i="4"/>
  <c r="P2591" i="4"/>
  <c r="M2591" i="4"/>
  <c r="O2591" i="4" s="1"/>
  <c r="K2591" i="4"/>
  <c r="J2591" i="4"/>
  <c r="I2591" i="4"/>
  <c r="M2591" i="4" s="1" a="1"/>
  <c r="P2590" i="4"/>
  <c r="K2590" i="4"/>
  <c r="J2590" i="4"/>
  <c r="M2590" i="4" s="1" a="1"/>
  <c r="M2590" i="4" s="1"/>
  <c r="O2590" i="4" s="1"/>
  <c r="I2590" i="4"/>
  <c r="P2589" i="4"/>
  <c r="M2589" i="4" a="1"/>
  <c r="M2589" i="4" s="1"/>
  <c r="O2589" i="4" s="1"/>
  <c r="K2589" i="4"/>
  <c r="J2589" i="4"/>
  <c r="I2589" i="4"/>
  <c r="P2588" i="4"/>
  <c r="M2588" i="4" a="1"/>
  <c r="M2588" i="4" s="1"/>
  <c r="O2588" i="4" s="1"/>
  <c r="K2588" i="4"/>
  <c r="J2588" i="4"/>
  <c r="I2588" i="4"/>
  <c r="P2587" i="4"/>
  <c r="M2587" i="4" a="1"/>
  <c r="M2587" i="4" s="1"/>
  <c r="O2587" i="4" s="1"/>
  <c r="K2587" i="4"/>
  <c r="J2587" i="4"/>
  <c r="I2587" i="4"/>
  <c r="P2586" i="4"/>
  <c r="M2586" i="4" a="1"/>
  <c r="M2586" i="4" s="1"/>
  <c r="O2586" i="4" s="1"/>
  <c r="K2586" i="4"/>
  <c r="J2586" i="4"/>
  <c r="I2586" i="4"/>
  <c r="P2585" i="4"/>
  <c r="K2585" i="4"/>
  <c r="J2585" i="4"/>
  <c r="I2585" i="4"/>
  <c r="M2585" i="4" s="1" a="1"/>
  <c r="M2585" i="4" s="1"/>
  <c r="O2585" i="4" s="1"/>
  <c r="P2584" i="4"/>
  <c r="K2584" i="4"/>
  <c r="J2584" i="4"/>
  <c r="M2584" i="4" s="1" a="1"/>
  <c r="M2584" i="4" s="1"/>
  <c r="O2584" i="4" s="1"/>
  <c r="I2584" i="4"/>
  <c r="P2583" i="4"/>
  <c r="M2583" i="4" a="1"/>
  <c r="M2583" i="4" s="1"/>
  <c r="O2583" i="4" s="1"/>
  <c r="K2583" i="4"/>
  <c r="J2583" i="4"/>
  <c r="I2583" i="4"/>
  <c r="P2582" i="4"/>
  <c r="M2582" i="4" a="1"/>
  <c r="M2582" i="4" s="1"/>
  <c r="O2582" i="4" s="1"/>
  <c r="K2582" i="4"/>
  <c r="J2582" i="4"/>
  <c r="I2582" i="4"/>
  <c r="P2581" i="4"/>
  <c r="M2581" i="4" a="1"/>
  <c r="M2581" i="4" s="1"/>
  <c r="O2581" i="4" s="1"/>
  <c r="K2581" i="4"/>
  <c r="J2581" i="4"/>
  <c r="I2581" i="4"/>
  <c r="P2580" i="4"/>
  <c r="K2580" i="4"/>
  <c r="J2580" i="4"/>
  <c r="I2580" i="4"/>
  <c r="M2580" i="4" s="1" a="1"/>
  <c r="M2580" i="4" s="1"/>
  <c r="O2580" i="4" s="1"/>
  <c r="P2579" i="4"/>
  <c r="M2579" i="4" a="1"/>
  <c r="M2579" i="4" s="1"/>
  <c r="O2579" i="4" s="1"/>
  <c r="K2579" i="4"/>
  <c r="J2579" i="4"/>
  <c r="I2579" i="4"/>
  <c r="P2578" i="4"/>
  <c r="K2578" i="4"/>
  <c r="J2578" i="4"/>
  <c r="I2578" i="4"/>
  <c r="M2578" i="4" s="1" a="1"/>
  <c r="M2578" i="4" s="1"/>
  <c r="O2578" i="4" s="1"/>
  <c r="P2577" i="4"/>
  <c r="K2577" i="4"/>
  <c r="J2577" i="4"/>
  <c r="I2577" i="4"/>
  <c r="P2576" i="4"/>
  <c r="K2576" i="4"/>
  <c r="M2576" i="4" s="1" a="1"/>
  <c r="M2576" i="4" s="1"/>
  <c r="O2576" i="4" s="1"/>
  <c r="J2576" i="4"/>
  <c r="I2576" i="4"/>
  <c r="P2575" i="4"/>
  <c r="M2575" i="4" a="1"/>
  <c r="M2575" i="4" s="1"/>
  <c r="O2575" i="4" s="1"/>
  <c r="K2575" i="4"/>
  <c r="J2575" i="4"/>
  <c r="I2575" i="4"/>
  <c r="P2574" i="4"/>
  <c r="M2574" i="4"/>
  <c r="O2574" i="4" s="1"/>
  <c r="K2574" i="4"/>
  <c r="J2574" i="4"/>
  <c r="I2574" i="4"/>
  <c r="M2574" i="4" s="1" a="1"/>
  <c r="P2573" i="4"/>
  <c r="K2573" i="4"/>
  <c r="J2573" i="4"/>
  <c r="I2573" i="4"/>
  <c r="M2573" i="4" s="1" a="1"/>
  <c r="M2573" i="4" s="1"/>
  <c r="O2573" i="4" s="1"/>
  <c r="P2572" i="4"/>
  <c r="M2572" i="4"/>
  <c r="O2572" i="4" s="1"/>
  <c r="K2572" i="4"/>
  <c r="M2572" i="4" s="1" a="1"/>
  <c r="J2572" i="4"/>
  <c r="I2572" i="4"/>
  <c r="P2571" i="4"/>
  <c r="K2571" i="4"/>
  <c r="J2571" i="4"/>
  <c r="I2571" i="4"/>
  <c r="M2571" i="4" s="1" a="1"/>
  <c r="M2571" i="4" s="1"/>
  <c r="O2571" i="4" s="1"/>
  <c r="P2570" i="4"/>
  <c r="K2570" i="4"/>
  <c r="J2570" i="4"/>
  <c r="I2570" i="4"/>
  <c r="M2570" i="4" s="1" a="1"/>
  <c r="M2570" i="4" s="1"/>
  <c r="O2570" i="4" s="1"/>
  <c r="P2569" i="4"/>
  <c r="M2569" i="4" a="1"/>
  <c r="M2569" i="4" s="1"/>
  <c r="O2569" i="4" s="1"/>
  <c r="K2569" i="4"/>
  <c r="J2569" i="4"/>
  <c r="I2569" i="4"/>
  <c r="P2568" i="4"/>
  <c r="K2568" i="4"/>
  <c r="J2568" i="4"/>
  <c r="I2568" i="4"/>
  <c r="M2568" i="4" s="1" a="1"/>
  <c r="M2568" i="4" s="1"/>
  <c r="O2568" i="4" s="1"/>
  <c r="P2567" i="4"/>
  <c r="O2567" i="4"/>
  <c r="K2567" i="4"/>
  <c r="J2567" i="4"/>
  <c r="M2567" i="4" s="1" a="1"/>
  <c r="M2567" i="4" s="1"/>
  <c r="I2567" i="4"/>
  <c r="P2566" i="4"/>
  <c r="K2566" i="4"/>
  <c r="M2566" i="4" s="1" a="1"/>
  <c r="M2566" i="4" s="1"/>
  <c r="O2566" i="4" s="1"/>
  <c r="J2566" i="4"/>
  <c r="I2566" i="4"/>
  <c r="P2565" i="4"/>
  <c r="M2565" i="4" a="1"/>
  <c r="M2565" i="4" s="1"/>
  <c r="O2565" i="4" s="1"/>
  <c r="K2565" i="4"/>
  <c r="J2565" i="4"/>
  <c r="I2565" i="4"/>
  <c r="P2564" i="4"/>
  <c r="K2564" i="4"/>
  <c r="J2564" i="4"/>
  <c r="I2564" i="4"/>
  <c r="M2564" i="4" s="1" a="1"/>
  <c r="M2564" i="4" s="1"/>
  <c r="O2564" i="4" s="1"/>
  <c r="P2563" i="4"/>
  <c r="K2563" i="4"/>
  <c r="J2563" i="4"/>
  <c r="M2563" i="4" s="1" a="1"/>
  <c r="M2563" i="4" s="1"/>
  <c r="O2563" i="4" s="1"/>
  <c r="I2563" i="4"/>
  <c r="P2562" i="4"/>
  <c r="K2562" i="4"/>
  <c r="J2562" i="4"/>
  <c r="I2562" i="4"/>
  <c r="M2562" i="4" s="1" a="1"/>
  <c r="M2562" i="4" s="1"/>
  <c r="O2562" i="4" s="1"/>
  <c r="P2561" i="4"/>
  <c r="K2561" i="4"/>
  <c r="J2561" i="4"/>
  <c r="I2561" i="4"/>
  <c r="M2561" i="4" s="1" a="1"/>
  <c r="M2561" i="4" s="1"/>
  <c r="O2561" i="4" s="1"/>
  <c r="P2560" i="4"/>
  <c r="K2560" i="4"/>
  <c r="M2560" i="4" s="1" a="1"/>
  <c r="M2560" i="4" s="1"/>
  <c r="O2560" i="4" s="1"/>
  <c r="J2560" i="4"/>
  <c r="I2560" i="4"/>
  <c r="P2559" i="4"/>
  <c r="M2559" i="4" a="1"/>
  <c r="M2559" i="4" s="1"/>
  <c r="O2559" i="4" s="1"/>
  <c r="K2559" i="4"/>
  <c r="J2559" i="4"/>
  <c r="I2559" i="4"/>
  <c r="P2558" i="4"/>
  <c r="K2558" i="4"/>
  <c r="J2558" i="4"/>
  <c r="I2558" i="4"/>
  <c r="M2558" i="4" s="1" a="1"/>
  <c r="M2558" i="4" s="1"/>
  <c r="O2558" i="4" s="1"/>
  <c r="P2557" i="4"/>
  <c r="K2557" i="4"/>
  <c r="J2557" i="4"/>
  <c r="I2557" i="4"/>
  <c r="M2557" i="4" s="1" a="1"/>
  <c r="M2557" i="4" s="1"/>
  <c r="O2557" i="4" s="1"/>
  <c r="P2556" i="4"/>
  <c r="M2556" i="4"/>
  <c r="O2556" i="4" s="1"/>
  <c r="K2556" i="4"/>
  <c r="M2556" i="4" s="1" a="1"/>
  <c r="J2556" i="4"/>
  <c r="I2556" i="4"/>
  <c r="P2555" i="4"/>
  <c r="K2555" i="4"/>
  <c r="J2555" i="4"/>
  <c r="I2555" i="4"/>
  <c r="M2555" i="4" s="1" a="1"/>
  <c r="M2555" i="4" s="1"/>
  <c r="O2555" i="4" s="1"/>
  <c r="P2554" i="4"/>
  <c r="K2554" i="4"/>
  <c r="J2554" i="4"/>
  <c r="I2554" i="4"/>
  <c r="P2553" i="4"/>
  <c r="M2553" i="4" a="1"/>
  <c r="M2553" i="4" s="1"/>
  <c r="O2553" i="4" s="1"/>
  <c r="K2553" i="4"/>
  <c r="J2553" i="4"/>
  <c r="I2553" i="4"/>
  <c r="P2552" i="4"/>
  <c r="K2552" i="4"/>
  <c r="J2552" i="4"/>
  <c r="I2552" i="4"/>
  <c r="M2552" i="4" s="1" a="1"/>
  <c r="M2552" i="4" s="1"/>
  <c r="O2552" i="4" s="1"/>
  <c r="P2551" i="4"/>
  <c r="K2551" i="4"/>
  <c r="J2551" i="4"/>
  <c r="M2551" i="4" s="1" a="1"/>
  <c r="M2551" i="4" s="1"/>
  <c r="O2551" i="4" s="1"/>
  <c r="I2551" i="4"/>
  <c r="P2550" i="4"/>
  <c r="K2550" i="4"/>
  <c r="M2550" i="4" s="1" a="1"/>
  <c r="M2550" i="4" s="1"/>
  <c r="O2550" i="4" s="1"/>
  <c r="J2550" i="4"/>
  <c r="I2550" i="4"/>
  <c r="P2549" i="4"/>
  <c r="O2549" i="4"/>
  <c r="M2549" i="4" a="1"/>
  <c r="M2549" i="4" s="1"/>
  <c r="K2549" i="4"/>
  <c r="J2549" i="4"/>
  <c r="I2549" i="4"/>
  <c r="P2548" i="4"/>
  <c r="K2548" i="4"/>
  <c r="J2548" i="4"/>
  <c r="I2548" i="4"/>
  <c r="M2548" i="4" s="1" a="1"/>
  <c r="M2548" i="4" s="1"/>
  <c r="O2548" i="4" s="1"/>
  <c r="P2547" i="4"/>
  <c r="K2547" i="4"/>
  <c r="J2547" i="4"/>
  <c r="M2547" i="4" s="1" a="1"/>
  <c r="M2547" i="4" s="1"/>
  <c r="O2547" i="4" s="1"/>
  <c r="I2547" i="4"/>
  <c r="P2546" i="4"/>
  <c r="K2546" i="4"/>
  <c r="J2546" i="4"/>
  <c r="I2546" i="4"/>
  <c r="M2546" i="4" s="1" a="1"/>
  <c r="M2546" i="4" s="1"/>
  <c r="O2546" i="4" s="1"/>
  <c r="P2545" i="4"/>
  <c r="K2545" i="4"/>
  <c r="J2545" i="4"/>
  <c r="I2545" i="4"/>
  <c r="P2544" i="4"/>
  <c r="K2544" i="4"/>
  <c r="M2544" i="4" s="1" a="1"/>
  <c r="M2544" i="4" s="1"/>
  <c r="O2544" i="4" s="1"/>
  <c r="J2544" i="4"/>
  <c r="I2544" i="4"/>
  <c r="P2543" i="4"/>
  <c r="M2543" i="4" a="1"/>
  <c r="M2543" i="4" s="1"/>
  <c r="O2543" i="4" s="1"/>
  <c r="K2543" i="4"/>
  <c r="J2543" i="4"/>
  <c r="I2543" i="4"/>
  <c r="P2542" i="4"/>
  <c r="M2542" i="4"/>
  <c r="O2542" i="4" s="1"/>
  <c r="K2542" i="4"/>
  <c r="J2542" i="4"/>
  <c r="I2542" i="4"/>
  <c r="M2542" i="4" s="1" a="1"/>
  <c r="P2541" i="4"/>
  <c r="K2541" i="4"/>
  <c r="J2541" i="4"/>
  <c r="I2541" i="4"/>
  <c r="M2541" i="4" s="1" a="1"/>
  <c r="M2541" i="4" s="1"/>
  <c r="O2541" i="4" s="1"/>
  <c r="P2540" i="4"/>
  <c r="M2540" i="4"/>
  <c r="O2540" i="4" s="1"/>
  <c r="K2540" i="4"/>
  <c r="M2540" i="4" s="1" a="1"/>
  <c r="J2540" i="4"/>
  <c r="I2540" i="4"/>
  <c r="P2539" i="4"/>
  <c r="K2539" i="4"/>
  <c r="J2539" i="4"/>
  <c r="I2539" i="4"/>
  <c r="M2539" i="4" s="1" a="1"/>
  <c r="M2539" i="4" s="1"/>
  <c r="O2539" i="4" s="1"/>
  <c r="P2538" i="4"/>
  <c r="K2538" i="4"/>
  <c r="J2538" i="4"/>
  <c r="I2538" i="4"/>
  <c r="M2538" i="4" s="1" a="1"/>
  <c r="M2538" i="4" s="1"/>
  <c r="O2538" i="4" s="1"/>
  <c r="P2537" i="4"/>
  <c r="M2537" i="4" a="1"/>
  <c r="M2537" i="4" s="1"/>
  <c r="O2537" i="4" s="1"/>
  <c r="K2537" i="4"/>
  <c r="J2537" i="4"/>
  <c r="I2537" i="4"/>
  <c r="P2536" i="4"/>
  <c r="K2536" i="4"/>
  <c r="J2536" i="4"/>
  <c r="I2536" i="4"/>
  <c r="M2536" i="4" s="1" a="1"/>
  <c r="M2536" i="4" s="1"/>
  <c r="O2536" i="4" s="1"/>
  <c r="P2535" i="4"/>
  <c r="O2535" i="4"/>
  <c r="K2535" i="4"/>
  <c r="J2535" i="4"/>
  <c r="M2535" i="4" s="1" a="1"/>
  <c r="M2535" i="4" s="1"/>
  <c r="I2535" i="4"/>
  <c r="P2534" i="4"/>
  <c r="K2534" i="4"/>
  <c r="M2534" i="4" s="1" a="1"/>
  <c r="M2534" i="4" s="1"/>
  <c r="O2534" i="4" s="1"/>
  <c r="J2534" i="4"/>
  <c r="I2534" i="4"/>
  <c r="P2533" i="4"/>
  <c r="M2533" i="4" a="1"/>
  <c r="M2533" i="4" s="1"/>
  <c r="O2533" i="4" s="1"/>
  <c r="K2533" i="4"/>
  <c r="J2533" i="4"/>
  <c r="I2533" i="4"/>
  <c r="P2532" i="4"/>
  <c r="K2532" i="4"/>
  <c r="J2532" i="4"/>
  <c r="I2532" i="4"/>
  <c r="M2532" i="4" s="1" a="1"/>
  <c r="M2532" i="4" s="1"/>
  <c r="O2532" i="4" s="1"/>
  <c r="P2531" i="4"/>
  <c r="K2531" i="4"/>
  <c r="J2531" i="4"/>
  <c r="M2531" i="4" s="1" a="1"/>
  <c r="M2531" i="4" s="1"/>
  <c r="O2531" i="4" s="1"/>
  <c r="I2531" i="4"/>
  <c r="P2530" i="4"/>
  <c r="K2530" i="4"/>
  <c r="J2530" i="4"/>
  <c r="I2530" i="4"/>
  <c r="M2530" i="4" s="1" a="1"/>
  <c r="M2530" i="4" s="1"/>
  <c r="O2530" i="4" s="1"/>
  <c r="P2529" i="4"/>
  <c r="K2529" i="4"/>
  <c r="J2529" i="4"/>
  <c r="I2529" i="4"/>
  <c r="P2528" i="4"/>
  <c r="K2528" i="4"/>
  <c r="M2528" i="4" s="1" a="1"/>
  <c r="M2528" i="4" s="1"/>
  <c r="O2528" i="4" s="1"/>
  <c r="J2528" i="4"/>
  <c r="I2528" i="4"/>
  <c r="P2527" i="4"/>
  <c r="M2527" i="4" a="1"/>
  <c r="M2527" i="4" s="1"/>
  <c r="O2527" i="4" s="1"/>
  <c r="K2527" i="4"/>
  <c r="J2527" i="4"/>
  <c r="I2527" i="4"/>
  <c r="P2526" i="4"/>
  <c r="M2526" i="4"/>
  <c r="O2526" i="4" s="1"/>
  <c r="K2526" i="4"/>
  <c r="J2526" i="4"/>
  <c r="I2526" i="4"/>
  <c r="M2526" i="4" s="1" a="1"/>
  <c r="P2525" i="4"/>
  <c r="K2525" i="4"/>
  <c r="J2525" i="4"/>
  <c r="I2525" i="4"/>
  <c r="M2525" i="4" s="1" a="1"/>
  <c r="M2525" i="4" s="1"/>
  <c r="O2525" i="4" s="1"/>
  <c r="P2524" i="4"/>
  <c r="K2524" i="4"/>
  <c r="M2524" i="4" s="1" a="1"/>
  <c r="M2524" i="4" s="1"/>
  <c r="O2524" i="4" s="1"/>
  <c r="J2524" i="4"/>
  <c r="I2524" i="4"/>
  <c r="P2523" i="4"/>
  <c r="K2523" i="4"/>
  <c r="J2523" i="4"/>
  <c r="I2523" i="4"/>
  <c r="M2523" i="4" s="1" a="1"/>
  <c r="M2523" i="4" s="1"/>
  <c r="O2523" i="4" s="1"/>
  <c r="P2522" i="4"/>
  <c r="K2522" i="4"/>
  <c r="J2522" i="4"/>
  <c r="I2522" i="4"/>
  <c r="P2521" i="4"/>
  <c r="M2521" i="4" a="1"/>
  <c r="M2521" i="4" s="1"/>
  <c r="O2521" i="4" s="1"/>
  <c r="K2521" i="4"/>
  <c r="J2521" i="4"/>
  <c r="I2521" i="4"/>
  <c r="P2520" i="4"/>
  <c r="M2520" i="4"/>
  <c r="O2520" i="4" s="1"/>
  <c r="K2520" i="4"/>
  <c r="J2520" i="4"/>
  <c r="I2520" i="4"/>
  <c r="M2520" i="4" s="1" a="1"/>
  <c r="P2519" i="4"/>
  <c r="O2519" i="4"/>
  <c r="K2519" i="4"/>
  <c r="J2519" i="4"/>
  <c r="M2519" i="4" s="1" a="1"/>
  <c r="M2519" i="4" s="1"/>
  <c r="I2519" i="4"/>
  <c r="P2518" i="4"/>
  <c r="K2518" i="4"/>
  <c r="M2518" i="4" s="1" a="1"/>
  <c r="M2518" i="4" s="1"/>
  <c r="O2518" i="4" s="1"/>
  <c r="J2518" i="4"/>
  <c r="I2518" i="4"/>
  <c r="P2517" i="4"/>
  <c r="M2517" i="4" a="1"/>
  <c r="M2517" i="4" s="1"/>
  <c r="O2517" i="4" s="1"/>
  <c r="K2517" i="4"/>
  <c r="J2517" i="4"/>
  <c r="I2517" i="4"/>
  <c r="P2516" i="4"/>
  <c r="K2516" i="4"/>
  <c r="J2516" i="4"/>
  <c r="I2516" i="4"/>
  <c r="M2516" i="4" s="1" a="1"/>
  <c r="M2516" i="4" s="1"/>
  <c r="O2516" i="4" s="1"/>
  <c r="P2515" i="4"/>
  <c r="K2515" i="4"/>
  <c r="J2515" i="4"/>
  <c r="M2515" i="4" s="1" a="1"/>
  <c r="M2515" i="4" s="1"/>
  <c r="O2515" i="4" s="1"/>
  <c r="I2515" i="4"/>
  <c r="P2514" i="4"/>
  <c r="K2514" i="4"/>
  <c r="J2514" i="4"/>
  <c r="I2514" i="4"/>
  <c r="M2514" i="4" s="1" a="1"/>
  <c r="M2514" i="4" s="1"/>
  <c r="O2514" i="4" s="1"/>
  <c r="P2513" i="4"/>
  <c r="K2513" i="4"/>
  <c r="J2513" i="4"/>
  <c r="I2513" i="4"/>
  <c r="M2513" i="4" s="1" a="1"/>
  <c r="M2513" i="4" s="1"/>
  <c r="O2513" i="4" s="1"/>
  <c r="P2512" i="4"/>
  <c r="K2512" i="4"/>
  <c r="M2512" i="4" s="1" a="1"/>
  <c r="M2512" i="4" s="1"/>
  <c r="O2512" i="4" s="1"/>
  <c r="J2512" i="4"/>
  <c r="I2512" i="4"/>
  <c r="P2511" i="4"/>
  <c r="M2511" i="4" a="1"/>
  <c r="M2511" i="4" s="1"/>
  <c r="O2511" i="4" s="1"/>
  <c r="K2511" i="4"/>
  <c r="J2511" i="4"/>
  <c r="I2511" i="4"/>
  <c r="P2510" i="4"/>
  <c r="K2510" i="4"/>
  <c r="J2510" i="4"/>
  <c r="I2510" i="4"/>
  <c r="M2510" i="4" s="1" a="1"/>
  <c r="M2510" i="4" s="1"/>
  <c r="O2510" i="4" s="1"/>
  <c r="P2509" i="4"/>
  <c r="K2509" i="4"/>
  <c r="J2509" i="4"/>
  <c r="I2509" i="4"/>
  <c r="P2508" i="4"/>
  <c r="K2508" i="4"/>
  <c r="M2508" i="4" s="1" a="1"/>
  <c r="M2508" i="4" s="1"/>
  <c r="O2508" i="4" s="1"/>
  <c r="J2508" i="4"/>
  <c r="I2508" i="4"/>
  <c r="P2507" i="4"/>
  <c r="K2507" i="4"/>
  <c r="J2507" i="4"/>
  <c r="I2507" i="4"/>
  <c r="M2507" i="4" s="1" a="1"/>
  <c r="M2507" i="4" s="1"/>
  <c r="O2507" i="4" s="1"/>
  <c r="P2506" i="4"/>
  <c r="K2506" i="4"/>
  <c r="J2506" i="4"/>
  <c r="I2506" i="4"/>
  <c r="M2506" i="4" s="1" a="1"/>
  <c r="M2506" i="4" s="1"/>
  <c r="O2506" i="4" s="1"/>
  <c r="P2505" i="4"/>
  <c r="M2505" i="4" a="1"/>
  <c r="M2505" i="4" s="1"/>
  <c r="O2505" i="4" s="1"/>
  <c r="K2505" i="4"/>
  <c r="J2505" i="4"/>
  <c r="I2505" i="4"/>
  <c r="P2504" i="4"/>
  <c r="K2504" i="4"/>
  <c r="J2504" i="4"/>
  <c r="I2504" i="4"/>
  <c r="M2504" i="4" s="1" a="1"/>
  <c r="M2504" i="4" s="1"/>
  <c r="O2504" i="4" s="1"/>
  <c r="P2503" i="4"/>
  <c r="O2503" i="4"/>
  <c r="K2503" i="4"/>
  <c r="J2503" i="4"/>
  <c r="M2503" i="4" s="1" a="1"/>
  <c r="M2503" i="4" s="1"/>
  <c r="I2503" i="4"/>
  <c r="P2502" i="4"/>
  <c r="K2502" i="4"/>
  <c r="M2502" i="4" s="1" a="1"/>
  <c r="M2502" i="4" s="1"/>
  <c r="O2502" i="4" s="1"/>
  <c r="J2502" i="4"/>
  <c r="I2502" i="4"/>
  <c r="P2501" i="4"/>
  <c r="M2501" i="4" a="1"/>
  <c r="M2501" i="4" s="1"/>
  <c r="O2501" i="4" s="1"/>
  <c r="K2501" i="4"/>
  <c r="J2501" i="4"/>
  <c r="I2501" i="4"/>
  <c r="P2500" i="4"/>
  <c r="K2500" i="4"/>
  <c r="J2500" i="4"/>
  <c r="I2500" i="4"/>
  <c r="M2500" i="4" s="1" a="1"/>
  <c r="M2500" i="4" s="1"/>
  <c r="O2500" i="4" s="1"/>
  <c r="P2499" i="4"/>
  <c r="K2499" i="4"/>
  <c r="J2499" i="4"/>
  <c r="M2499" i="4" s="1" a="1"/>
  <c r="M2499" i="4" s="1"/>
  <c r="O2499" i="4" s="1"/>
  <c r="I2499" i="4"/>
  <c r="P2498" i="4"/>
  <c r="K2498" i="4"/>
  <c r="J2498" i="4"/>
  <c r="I2498" i="4"/>
  <c r="M2498" i="4" s="1" a="1"/>
  <c r="M2498" i="4" s="1"/>
  <c r="O2498" i="4" s="1"/>
  <c r="P2497" i="4"/>
  <c r="K2497" i="4"/>
  <c r="J2497" i="4"/>
  <c r="I2497" i="4"/>
  <c r="P2496" i="4"/>
  <c r="K2496" i="4"/>
  <c r="M2496" i="4" s="1" a="1"/>
  <c r="M2496" i="4" s="1"/>
  <c r="O2496" i="4" s="1"/>
  <c r="J2496" i="4"/>
  <c r="I2496" i="4"/>
  <c r="P2495" i="4"/>
  <c r="M2495" i="4" a="1"/>
  <c r="M2495" i="4" s="1"/>
  <c r="O2495" i="4" s="1"/>
  <c r="K2495" i="4"/>
  <c r="J2495" i="4"/>
  <c r="I2495" i="4"/>
  <c r="P2494" i="4"/>
  <c r="K2494" i="4"/>
  <c r="J2494" i="4"/>
  <c r="I2494" i="4"/>
  <c r="M2494" i="4" s="1" a="1"/>
  <c r="M2494" i="4" s="1"/>
  <c r="O2494" i="4" s="1"/>
  <c r="P2493" i="4"/>
  <c r="K2493" i="4"/>
  <c r="J2493" i="4"/>
  <c r="I2493" i="4"/>
  <c r="M2493" i="4" s="1" a="1"/>
  <c r="M2493" i="4" s="1"/>
  <c r="O2493" i="4" s="1"/>
  <c r="P2492" i="4"/>
  <c r="M2492" i="4"/>
  <c r="O2492" i="4" s="1"/>
  <c r="K2492" i="4"/>
  <c r="M2492" i="4" s="1" a="1"/>
  <c r="J2492" i="4"/>
  <c r="I2492" i="4"/>
  <c r="P2491" i="4"/>
  <c r="K2491" i="4"/>
  <c r="J2491" i="4"/>
  <c r="I2491" i="4"/>
  <c r="M2491" i="4" s="1" a="1"/>
  <c r="M2491" i="4" s="1"/>
  <c r="O2491" i="4" s="1"/>
  <c r="P2490" i="4"/>
  <c r="K2490" i="4"/>
  <c r="J2490" i="4"/>
  <c r="I2490" i="4"/>
  <c r="P2489" i="4"/>
  <c r="M2489" i="4" a="1"/>
  <c r="M2489" i="4" s="1"/>
  <c r="O2489" i="4" s="1"/>
  <c r="K2489" i="4"/>
  <c r="J2489" i="4"/>
  <c r="I2489" i="4"/>
  <c r="P2488" i="4"/>
  <c r="M2488" i="4"/>
  <c r="O2488" i="4" s="1"/>
  <c r="K2488" i="4"/>
  <c r="J2488" i="4"/>
  <c r="I2488" i="4"/>
  <c r="M2488" i="4" s="1" a="1"/>
  <c r="P2487" i="4"/>
  <c r="K2487" i="4"/>
  <c r="J2487" i="4"/>
  <c r="M2487" i="4" s="1" a="1"/>
  <c r="M2487" i="4" s="1"/>
  <c r="O2487" i="4" s="1"/>
  <c r="I2487" i="4"/>
  <c r="P2486" i="4"/>
  <c r="K2486" i="4"/>
  <c r="M2486" i="4" s="1" a="1"/>
  <c r="M2486" i="4" s="1"/>
  <c r="O2486" i="4" s="1"/>
  <c r="J2486" i="4"/>
  <c r="I2486" i="4"/>
  <c r="P2485" i="4"/>
  <c r="O2485" i="4"/>
  <c r="M2485" i="4" a="1"/>
  <c r="M2485" i="4" s="1"/>
  <c r="K2485" i="4"/>
  <c r="J2485" i="4"/>
  <c r="I2485" i="4"/>
  <c r="P2484" i="4"/>
  <c r="K2484" i="4"/>
  <c r="J2484" i="4"/>
  <c r="I2484" i="4"/>
  <c r="M2484" i="4" s="1" a="1"/>
  <c r="M2484" i="4" s="1"/>
  <c r="O2484" i="4" s="1"/>
  <c r="P2483" i="4"/>
  <c r="M2483" i="4" a="1"/>
  <c r="M2483" i="4" s="1"/>
  <c r="O2483" i="4" s="1"/>
  <c r="K2483" i="4"/>
  <c r="J2483" i="4"/>
  <c r="I2483" i="4"/>
  <c r="P2482" i="4"/>
  <c r="K2482" i="4"/>
  <c r="J2482" i="4"/>
  <c r="I2482" i="4"/>
  <c r="M2482" i="4" s="1" a="1"/>
  <c r="M2482" i="4" s="1"/>
  <c r="O2482" i="4" s="1"/>
  <c r="P2481" i="4"/>
  <c r="K2481" i="4"/>
  <c r="J2481" i="4"/>
  <c r="I2481" i="4"/>
  <c r="P2480" i="4"/>
  <c r="K2480" i="4"/>
  <c r="M2480" i="4" s="1" a="1"/>
  <c r="M2480" i="4" s="1"/>
  <c r="O2480" i="4" s="1"/>
  <c r="J2480" i="4"/>
  <c r="I2480" i="4"/>
  <c r="P2479" i="4"/>
  <c r="M2479" i="4" a="1"/>
  <c r="M2479" i="4" s="1"/>
  <c r="O2479" i="4" s="1"/>
  <c r="K2479" i="4"/>
  <c r="J2479" i="4"/>
  <c r="I2479" i="4"/>
  <c r="P2478" i="4"/>
  <c r="M2478" i="4"/>
  <c r="O2478" i="4" s="1"/>
  <c r="K2478" i="4"/>
  <c r="J2478" i="4"/>
  <c r="I2478" i="4"/>
  <c r="M2478" i="4" s="1" a="1"/>
  <c r="P2477" i="4"/>
  <c r="K2477" i="4"/>
  <c r="J2477" i="4"/>
  <c r="I2477" i="4"/>
  <c r="M2477" i="4" s="1" a="1"/>
  <c r="M2477" i="4" s="1"/>
  <c r="O2477" i="4" s="1"/>
  <c r="P2476" i="4"/>
  <c r="M2476" i="4"/>
  <c r="O2476" i="4" s="1"/>
  <c r="K2476" i="4"/>
  <c r="M2476" i="4" s="1" a="1"/>
  <c r="J2476" i="4"/>
  <c r="I2476" i="4"/>
  <c r="P2475" i="4"/>
  <c r="K2475" i="4"/>
  <c r="J2475" i="4"/>
  <c r="I2475" i="4"/>
  <c r="M2475" i="4" s="1" a="1"/>
  <c r="M2475" i="4" s="1"/>
  <c r="O2475" i="4" s="1"/>
  <c r="P2474" i="4"/>
  <c r="K2474" i="4"/>
  <c r="J2474" i="4"/>
  <c r="I2474" i="4"/>
  <c r="P2473" i="4"/>
  <c r="M2473" i="4" a="1"/>
  <c r="M2473" i="4" s="1"/>
  <c r="O2473" i="4" s="1"/>
  <c r="K2473" i="4"/>
  <c r="J2473" i="4"/>
  <c r="I2473" i="4"/>
  <c r="P2472" i="4"/>
  <c r="K2472" i="4"/>
  <c r="J2472" i="4"/>
  <c r="I2472" i="4"/>
  <c r="M2472" i="4" s="1" a="1"/>
  <c r="M2472" i="4" s="1"/>
  <c r="O2472" i="4" s="1"/>
  <c r="P2471" i="4"/>
  <c r="O2471" i="4"/>
  <c r="K2471" i="4"/>
  <c r="J2471" i="4"/>
  <c r="M2471" i="4" s="1" a="1"/>
  <c r="M2471" i="4" s="1"/>
  <c r="I2471" i="4"/>
  <c r="P2470" i="4"/>
  <c r="K2470" i="4"/>
  <c r="M2470" i="4" s="1" a="1"/>
  <c r="M2470" i="4" s="1"/>
  <c r="O2470" i="4" s="1"/>
  <c r="J2470" i="4"/>
  <c r="I2470" i="4"/>
  <c r="P2469" i="4"/>
  <c r="O2469" i="4"/>
  <c r="M2469" i="4" a="1"/>
  <c r="M2469" i="4" s="1"/>
  <c r="K2469" i="4"/>
  <c r="J2469" i="4"/>
  <c r="I2469" i="4"/>
  <c r="P2468" i="4"/>
  <c r="K2468" i="4"/>
  <c r="J2468" i="4"/>
  <c r="I2468" i="4"/>
  <c r="M2468" i="4" s="1" a="1"/>
  <c r="M2468" i="4" s="1"/>
  <c r="O2468" i="4" s="1"/>
  <c r="P2467" i="4"/>
  <c r="M2467" i="4" a="1"/>
  <c r="M2467" i="4" s="1"/>
  <c r="O2467" i="4" s="1"/>
  <c r="K2467" i="4"/>
  <c r="J2467" i="4"/>
  <c r="I2467" i="4"/>
  <c r="P2466" i="4"/>
  <c r="K2466" i="4"/>
  <c r="J2466" i="4"/>
  <c r="I2466" i="4"/>
  <c r="M2466" i="4" s="1" a="1"/>
  <c r="M2466" i="4" s="1"/>
  <c r="O2466" i="4" s="1"/>
  <c r="P2465" i="4"/>
  <c r="K2465" i="4"/>
  <c r="J2465" i="4"/>
  <c r="I2465" i="4"/>
  <c r="M2465" i="4" s="1" a="1"/>
  <c r="M2465" i="4" s="1"/>
  <c r="O2465" i="4" s="1"/>
  <c r="P2464" i="4"/>
  <c r="M2464" i="4" a="1"/>
  <c r="M2464" i="4" s="1"/>
  <c r="O2464" i="4" s="1"/>
  <c r="K2464" i="4"/>
  <c r="J2464" i="4"/>
  <c r="I2464" i="4"/>
  <c r="P2463" i="4"/>
  <c r="M2463" i="4" a="1"/>
  <c r="M2463" i="4" s="1"/>
  <c r="O2463" i="4" s="1"/>
  <c r="K2463" i="4"/>
  <c r="J2463" i="4"/>
  <c r="I2463" i="4"/>
  <c r="P2462" i="4"/>
  <c r="K2462" i="4"/>
  <c r="J2462" i="4"/>
  <c r="I2462" i="4"/>
  <c r="M2462" i="4" s="1" a="1"/>
  <c r="M2462" i="4" s="1"/>
  <c r="O2462" i="4" s="1"/>
  <c r="P2461" i="4"/>
  <c r="K2461" i="4"/>
  <c r="J2461" i="4"/>
  <c r="I2461" i="4"/>
  <c r="P2460" i="4"/>
  <c r="K2460" i="4"/>
  <c r="M2460" i="4" s="1" a="1"/>
  <c r="M2460" i="4" s="1"/>
  <c r="O2460" i="4" s="1"/>
  <c r="J2460" i="4"/>
  <c r="I2460" i="4"/>
  <c r="P2459" i="4"/>
  <c r="K2459" i="4"/>
  <c r="J2459" i="4"/>
  <c r="I2459" i="4"/>
  <c r="M2459" i="4" s="1" a="1"/>
  <c r="M2459" i="4" s="1"/>
  <c r="O2459" i="4" s="1"/>
  <c r="P2458" i="4"/>
  <c r="K2458" i="4"/>
  <c r="J2458" i="4"/>
  <c r="I2458" i="4"/>
  <c r="P2457" i="4"/>
  <c r="M2457" i="4" a="1"/>
  <c r="M2457" i="4" s="1"/>
  <c r="O2457" i="4" s="1"/>
  <c r="K2457" i="4"/>
  <c r="J2457" i="4"/>
  <c r="I2457" i="4"/>
  <c r="P2456" i="4"/>
  <c r="K2456" i="4"/>
  <c r="J2456" i="4"/>
  <c r="I2456" i="4"/>
  <c r="P2455" i="4"/>
  <c r="K2455" i="4"/>
  <c r="J2455" i="4"/>
  <c r="M2455" i="4" s="1" a="1"/>
  <c r="M2455" i="4" s="1"/>
  <c r="O2455" i="4" s="1"/>
  <c r="I2455" i="4"/>
  <c r="P2454" i="4"/>
  <c r="K2454" i="4"/>
  <c r="M2454" i="4" s="1" a="1"/>
  <c r="M2454" i="4" s="1"/>
  <c r="O2454" i="4" s="1"/>
  <c r="J2454" i="4"/>
  <c r="I2454" i="4"/>
  <c r="P2453" i="4"/>
  <c r="K2453" i="4"/>
  <c r="J2453" i="4"/>
  <c r="I2453" i="4"/>
  <c r="M2453" i="4" s="1" a="1"/>
  <c r="M2453" i="4" s="1"/>
  <c r="O2453" i="4" s="1"/>
  <c r="P2452" i="4"/>
  <c r="K2452" i="4"/>
  <c r="J2452" i="4"/>
  <c r="I2452" i="4"/>
  <c r="M2452" i="4" s="1" a="1"/>
  <c r="M2452" i="4" s="1"/>
  <c r="O2452" i="4" s="1"/>
  <c r="P2451" i="4"/>
  <c r="M2451" i="4" a="1"/>
  <c r="M2451" i="4" s="1"/>
  <c r="O2451" i="4" s="1"/>
  <c r="K2451" i="4"/>
  <c r="J2451" i="4"/>
  <c r="I2451" i="4"/>
  <c r="P2450" i="4"/>
  <c r="K2450" i="4"/>
  <c r="J2450" i="4"/>
  <c r="I2450" i="4"/>
  <c r="M2450" i="4" s="1" a="1"/>
  <c r="M2450" i="4" s="1"/>
  <c r="O2450" i="4" s="1"/>
  <c r="P2449" i="4"/>
  <c r="K2449" i="4"/>
  <c r="J2449" i="4"/>
  <c r="I2449" i="4"/>
  <c r="M2449" i="4" s="1" a="1"/>
  <c r="M2449" i="4" s="1"/>
  <c r="O2449" i="4" s="1"/>
  <c r="P2448" i="4"/>
  <c r="M2448" i="4" a="1"/>
  <c r="M2448" i="4" s="1"/>
  <c r="O2448" i="4" s="1"/>
  <c r="K2448" i="4"/>
  <c r="J2448" i="4"/>
  <c r="I2448" i="4"/>
  <c r="P2447" i="4"/>
  <c r="M2447" i="4" a="1"/>
  <c r="M2447" i="4" s="1"/>
  <c r="O2447" i="4" s="1"/>
  <c r="K2447" i="4"/>
  <c r="J2447" i="4"/>
  <c r="I2447" i="4"/>
  <c r="P2446" i="4"/>
  <c r="K2446" i="4"/>
  <c r="J2446" i="4"/>
  <c r="I2446" i="4"/>
  <c r="M2446" i="4" s="1" a="1"/>
  <c r="M2446" i="4" s="1"/>
  <c r="O2446" i="4" s="1"/>
  <c r="P2445" i="4"/>
  <c r="K2445" i="4"/>
  <c r="J2445" i="4"/>
  <c r="I2445" i="4"/>
  <c r="P2444" i="4"/>
  <c r="M2444" i="4" a="1"/>
  <c r="M2444" i="4" s="1"/>
  <c r="O2444" i="4" s="1"/>
  <c r="K2444" i="4"/>
  <c r="J2444" i="4"/>
  <c r="I2444" i="4"/>
  <c r="P2443" i="4"/>
  <c r="K2443" i="4"/>
  <c r="J2443" i="4"/>
  <c r="I2443" i="4"/>
  <c r="M2443" i="4" s="1" a="1"/>
  <c r="M2443" i="4" s="1"/>
  <c r="O2443" i="4" s="1"/>
  <c r="P2442" i="4"/>
  <c r="K2442" i="4"/>
  <c r="J2442" i="4"/>
  <c r="I2442" i="4"/>
  <c r="M2442" i="4" s="1" a="1"/>
  <c r="M2442" i="4" s="1"/>
  <c r="O2442" i="4" s="1"/>
  <c r="P2441" i="4"/>
  <c r="M2441" i="4" a="1"/>
  <c r="M2441" i="4" s="1"/>
  <c r="O2441" i="4" s="1"/>
  <c r="K2441" i="4"/>
  <c r="J2441" i="4"/>
  <c r="I2441" i="4"/>
  <c r="P2440" i="4"/>
  <c r="K2440" i="4"/>
  <c r="J2440" i="4"/>
  <c r="I2440" i="4"/>
  <c r="M2440" i="4" s="1" a="1"/>
  <c r="M2440" i="4" s="1"/>
  <c r="O2440" i="4" s="1"/>
  <c r="P2439" i="4"/>
  <c r="O2439" i="4"/>
  <c r="K2439" i="4"/>
  <c r="J2439" i="4"/>
  <c r="M2439" i="4" s="1" a="1"/>
  <c r="M2439" i="4" s="1"/>
  <c r="I2439" i="4"/>
  <c r="P2438" i="4"/>
  <c r="M2438" i="4" a="1"/>
  <c r="M2438" i="4" s="1"/>
  <c r="O2438" i="4" s="1"/>
  <c r="K2438" i="4"/>
  <c r="J2438" i="4"/>
  <c r="I2438" i="4"/>
  <c r="P2437" i="4"/>
  <c r="M2437" i="4"/>
  <c r="O2437" i="4" s="1"/>
  <c r="M2437" i="4" a="1"/>
  <c r="K2437" i="4"/>
  <c r="J2437" i="4"/>
  <c r="I2437" i="4"/>
  <c r="P2436" i="4"/>
  <c r="K2436" i="4"/>
  <c r="J2436" i="4"/>
  <c r="I2436" i="4"/>
  <c r="P2435" i="4"/>
  <c r="M2435" i="4"/>
  <c r="O2435" i="4" s="1"/>
  <c r="M2435" i="4" a="1"/>
  <c r="K2435" i="4"/>
  <c r="J2435" i="4"/>
  <c r="I2435" i="4"/>
  <c r="P2434" i="4"/>
  <c r="O2434" i="4"/>
  <c r="M2434" i="4"/>
  <c r="K2434" i="4"/>
  <c r="J2434" i="4"/>
  <c r="I2434" i="4"/>
  <c r="M2434" i="4" s="1" a="1"/>
  <c r="P2433" i="4"/>
  <c r="K2433" i="4"/>
  <c r="J2433" i="4"/>
  <c r="I2433" i="4"/>
  <c r="M2433" i="4" s="1" a="1"/>
  <c r="M2433" i="4" s="1"/>
  <c r="O2433" i="4" s="1"/>
  <c r="P2432" i="4"/>
  <c r="M2432" i="4" a="1"/>
  <c r="M2432" i="4" s="1"/>
  <c r="O2432" i="4" s="1"/>
  <c r="K2432" i="4"/>
  <c r="J2432" i="4"/>
  <c r="I2432" i="4"/>
  <c r="P2431" i="4"/>
  <c r="M2431" i="4"/>
  <c r="O2431" i="4" s="1"/>
  <c r="M2431" i="4" a="1"/>
  <c r="K2431" i="4"/>
  <c r="J2431" i="4"/>
  <c r="I2431" i="4"/>
  <c r="P2430" i="4"/>
  <c r="K2430" i="4"/>
  <c r="J2430" i="4"/>
  <c r="I2430" i="4"/>
  <c r="M2430" i="4" s="1" a="1"/>
  <c r="M2430" i="4" s="1"/>
  <c r="O2430" i="4" s="1"/>
  <c r="P2429" i="4"/>
  <c r="K2429" i="4"/>
  <c r="J2429" i="4"/>
  <c r="I2429" i="4"/>
  <c r="M2429" i="4" s="1" a="1"/>
  <c r="M2429" i="4" s="1"/>
  <c r="O2429" i="4" s="1"/>
  <c r="P2428" i="4"/>
  <c r="K2428" i="4"/>
  <c r="M2428" i="4" s="1" a="1"/>
  <c r="M2428" i="4" s="1"/>
  <c r="O2428" i="4" s="1"/>
  <c r="J2428" i="4"/>
  <c r="I2428" i="4"/>
  <c r="P2427" i="4"/>
  <c r="K2427" i="4"/>
  <c r="J2427" i="4"/>
  <c r="I2427" i="4"/>
  <c r="M2427" i="4" s="1" a="1"/>
  <c r="M2427" i="4" s="1"/>
  <c r="O2427" i="4" s="1"/>
  <c r="P2426" i="4"/>
  <c r="K2426" i="4"/>
  <c r="J2426" i="4"/>
  <c r="M2426" i="4" s="1" a="1"/>
  <c r="M2426" i="4" s="1"/>
  <c r="O2426" i="4" s="1"/>
  <c r="I2426" i="4"/>
  <c r="P2425" i="4"/>
  <c r="M2425" i="4" a="1"/>
  <c r="M2425" i="4" s="1"/>
  <c r="O2425" i="4" s="1"/>
  <c r="K2425" i="4"/>
  <c r="J2425" i="4"/>
  <c r="I2425" i="4"/>
  <c r="P2424" i="4"/>
  <c r="K2424" i="4"/>
  <c r="J2424" i="4"/>
  <c r="I2424" i="4"/>
  <c r="P2423" i="4"/>
  <c r="K2423" i="4"/>
  <c r="J2423" i="4"/>
  <c r="I2423" i="4"/>
  <c r="P2422" i="4"/>
  <c r="K2422" i="4"/>
  <c r="M2422" i="4" s="1" a="1"/>
  <c r="M2422" i="4" s="1"/>
  <c r="O2422" i="4" s="1"/>
  <c r="J2422" i="4"/>
  <c r="I2422" i="4"/>
  <c r="P2421" i="4"/>
  <c r="M2421" i="4" a="1"/>
  <c r="M2421" i="4" s="1"/>
  <c r="O2421" i="4" s="1"/>
  <c r="K2421" i="4"/>
  <c r="J2421" i="4"/>
  <c r="I2421" i="4"/>
  <c r="P2420" i="4"/>
  <c r="K2420" i="4"/>
  <c r="J2420" i="4"/>
  <c r="I2420" i="4"/>
  <c r="M2420" i="4" s="1" a="1"/>
  <c r="M2420" i="4" s="1"/>
  <c r="O2420" i="4" s="1"/>
  <c r="P2419" i="4"/>
  <c r="M2419" i="4" a="1"/>
  <c r="M2419" i="4" s="1"/>
  <c r="O2419" i="4" s="1"/>
  <c r="K2419" i="4"/>
  <c r="J2419" i="4"/>
  <c r="I2419" i="4"/>
  <c r="P2418" i="4"/>
  <c r="M2418" i="4"/>
  <c r="O2418" i="4" s="1"/>
  <c r="K2418" i="4"/>
  <c r="J2418" i="4"/>
  <c r="I2418" i="4"/>
  <c r="M2418" i="4" s="1" a="1"/>
  <c r="P2417" i="4"/>
  <c r="K2417" i="4"/>
  <c r="J2417" i="4"/>
  <c r="I2417" i="4"/>
  <c r="P2416" i="4"/>
  <c r="M2416" i="4" a="1"/>
  <c r="M2416" i="4" s="1"/>
  <c r="O2416" i="4" s="1"/>
  <c r="K2416" i="4"/>
  <c r="J2416" i="4"/>
  <c r="I2416" i="4"/>
  <c r="P2415" i="4"/>
  <c r="M2415" i="4" a="1"/>
  <c r="M2415" i="4" s="1"/>
  <c r="O2415" i="4" s="1"/>
  <c r="K2415" i="4"/>
  <c r="J2415" i="4"/>
  <c r="I2415" i="4"/>
  <c r="P2414" i="4"/>
  <c r="K2414" i="4"/>
  <c r="J2414" i="4"/>
  <c r="I2414" i="4"/>
  <c r="M2414" i="4" s="1" a="1"/>
  <c r="M2414" i="4" s="1"/>
  <c r="O2414" i="4" s="1"/>
  <c r="P2413" i="4"/>
  <c r="K2413" i="4"/>
  <c r="J2413" i="4"/>
  <c r="I2413" i="4"/>
  <c r="P2412" i="4"/>
  <c r="M2412" i="4" a="1"/>
  <c r="M2412" i="4" s="1"/>
  <c r="O2412" i="4" s="1"/>
  <c r="K2412" i="4"/>
  <c r="J2412" i="4"/>
  <c r="I2412" i="4"/>
  <c r="P2411" i="4"/>
  <c r="K2411" i="4"/>
  <c r="J2411" i="4"/>
  <c r="I2411" i="4"/>
  <c r="M2411" i="4" s="1" a="1"/>
  <c r="M2411" i="4" s="1"/>
  <c r="O2411" i="4" s="1"/>
  <c r="P2410" i="4"/>
  <c r="K2410" i="4"/>
  <c r="J2410" i="4"/>
  <c r="I2410" i="4"/>
  <c r="M2410" i="4" s="1" a="1"/>
  <c r="M2410" i="4" s="1"/>
  <c r="O2410" i="4" s="1"/>
  <c r="P2409" i="4"/>
  <c r="M2409" i="4" a="1"/>
  <c r="M2409" i="4" s="1"/>
  <c r="O2409" i="4" s="1"/>
  <c r="K2409" i="4"/>
  <c r="J2409" i="4"/>
  <c r="I2409" i="4"/>
  <c r="P2408" i="4"/>
  <c r="K2408" i="4"/>
  <c r="J2408" i="4"/>
  <c r="I2408" i="4"/>
  <c r="M2408" i="4" s="1" a="1"/>
  <c r="M2408" i="4" s="1"/>
  <c r="O2408" i="4" s="1"/>
  <c r="P2407" i="4"/>
  <c r="O2407" i="4"/>
  <c r="K2407" i="4"/>
  <c r="J2407" i="4"/>
  <c r="M2407" i="4" s="1" a="1"/>
  <c r="M2407" i="4" s="1"/>
  <c r="I2407" i="4"/>
  <c r="P2406" i="4"/>
  <c r="M2406" i="4" a="1"/>
  <c r="M2406" i="4" s="1"/>
  <c r="O2406" i="4" s="1"/>
  <c r="K2406" i="4"/>
  <c r="J2406" i="4"/>
  <c r="I2406" i="4"/>
  <c r="P2405" i="4"/>
  <c r="M2405" i="4"/>
  <c r="O2405" i="4" s="1"/>
  <c r="M2405" i="4" a="1"/>
  <c r="K2405" i="4"/>
  <c r="J2405" i="4"/>
  <c r="I2405" i="4"/>
  <c r="P2404" i="4"/>
  <c r="K2404" i="4"/>
  <c r="J2404" i="4"/>
  <c r="I2404" i="4"/>
  <c r="P2403" i="4"/>
  <c r="M2403" i="4"/>
  <c r="O2403" i="4" s="1"/>
  <c r="M2403" i="4" a="1"/>
  <c r="K2403" i="4"/>
  <c r="J2403" i="4"/>
  <c r="I2403" i="4"/>
  <c r="P2402" i="4"/>
  <c r="O2402" i="4"/>
  <c r="M2402" i="4"/>
  <c r="K2402" i="4"/>
  <c r="J2402" i="4"/>
  <c r="I2402" i="4"/>
  <c r="M2402" i="4" s="1" a="1"/>
  <c r="P2401" i="4"/>
  <c r="K2401" i="4"/>
  <c r="J2401" i="4"/>
  <c r="I2401" i="4"/>
  <c r="M2401" i="4" s="1" a="1"/>
  <c r="M2401" i="4" s="1"/>
  <c r="O2401" i="4" s="1"/>
  <c r="P2400" i="4"/>
  <c r="M2400" i="4" a="1"/>
  <c r="M2400" i="4" s="1"/>
  <c r="O2400" i="4" s="1"/>
  <c r="K2400" i="4"/>
  <c r="J2400" i="4"/>
  <c r="I2400" i="4"/>
  <c r="P2399" i="4"/>
  <c r="M2399" i="4"/>
  <c r="O2399" i="4" s="1"/>
  <c r="M2399" i="4" a="1"/>
  <c r="K2399" i="4"/>
  <c r="J2399" i="4"/>
  <c r="I2399" i="4"/>
  <c r="P2398" i="4"/>
  <c r="K2398" i="4"/>
  <c r="J2398" i="4"/>
  <c r="I2398" i="4"/>
  <c r="M2398" i="4" s="1" a="1"/>
  <c r="M2398" i="4" s="1"/>
  <c r="O2398" i="4" s="1"/>
  <c r="P2397" i="4"/>
  <c r="K2397" i="4"/>
  <c r="J2397" i="4"/>
  <c r="I2397" i="4"/>
  <c r="M2397" i="4" s="1" a="1"/>
  <c r="M2397" i="4" s="1"/>
  <c r="O2397" i="4" s="1"/>
  <c r="P2396" i="4"/>
  <c r="K2396" i="4"/>
  <c r="M2396" i="4" s="1" a="1"/>
  <c r="M2396" i="4" s="1"/>
  <c r="O2396" i="4" s="1"/>
  <c r="J2396" i="4"/>
  <c r="I2396" i="4"/>
  <c r="P2395" i="4"/>
  <c r="K2395" i="4"/>
  <c r="J2395" i="4"/>
  <c r="I2395" i="4"/>
  <c r="M2395" i="4" s="1" a="1"/>
  <c r="M2395" i="4" s="1"/>
  <c r="O2395" i="4" s="1"/>
  <c r="P2394" i="4"/>
  <c r="K2394" i="4"/>
  <c r="J2394" i="4"/>
  <c r="M2394" i="4" s="1" a="1"/>
  <c r="M2394" i="4" s="1"/>
  <c r="O2394" i="4" s="1"/>
  <c r="I2394" i="4"/>
  <c r="P2393" i="4"/>
  <c r="M2393" i="4" a="1"/>
  <c r="M2393" i="4" s="1"/>
  <c r="O2393" i="4" s="1"/>
  <c r="K2393" i="4"/>
  <c r="J2393" i="4"/>
  <c r="I2393" i="4"/>
  <c r="P2392" i="4"/>
  <c r="K2392" i="4"/>
  <c r="J2392" i="4"/>
  <c r="I2392" i="4"/>
  <c r="P2391" i="4"/>
  <c r="K2391" i="4"/>
  <c r="J2391" i="4"/>
  <c r="I2391" i="4"/>
  <c r="P2390" i="4"/>
  <c r="K2390" i="4"/>
  <c r="M2390" i="4" s="1" a="1"/>
  <c r="M2390" i="4" s="1"/>
  <c r="O2390" i="4" s="1"/>
  <c r="J2390" i="4"/>
  <c r="I2390" i="4"/>
  <c r="P2389" i="4"/>
  <c r="K2389" i="4"/>
  <c r="J2389" i="4"/>
  <c r="M2389" i="4" s="1" a="1"/>
  <c r="M2389" i="4" s="1"/>
  <c r="O2389" i="4" s="1"/>
  <c r="I2389" i="4"/>
  <c r="P2388" i="4"/>
  <c r="K2388" i="4"/>
  <c r="J2388" i="4"/>
  <c r="I2388" i="4"/>
  <c r="M2388" i="4" s="1" a="1"/>
  <c r="M2388" i="4" s="1"/>
  <c r="O2388" i="4" s="1"/>
  <c r="P2387" i="4"/>
  <c r="M2387" i="4" a="1"/>
  <c r="M2387" i="4" s="1"/>
  <c r="O2387" i="4" s="1"/>
  <c r="K2387" i="4"/>
  <c r="J2387" i="4"/>
  <c r="I2387" i="4"/>
  <c r="P2386" i="4"/>
  <c r="M2386" i="4"/>
  <c r="O2386" i="4" s="1"/>
  <c r="K2386" i="4"/>
  <c r="J2386" i="4"/>
  <c r="I2386" i="4"/>
  <c r="M2386" i="4" s="1" a="1"/>
  <c r="P2385" i="4"/>
  <c r="K2385" i="4"/>
  <c r="J2385" i="4"/>
  <c r="I2385" i="4"/>
  <c r="M2385" i="4" s="1" a="1"/>
  <c r="M2385" i="4" s="1"/>
  <c r="O2385" i="4" s="1"/>
  <c r="P2384" i="4"/>
  <c r="M2384" i="4" a="1"/>
  <c r="M2384" i="4" s="1"/>
  <c r="O2384" i="4" s="1"/>
  <c r="K2384" i="4"/>
  <c r="J2384" i="4"/>
  <c r="I2384" i="4"/>
  <c r="P2383" i="4"/>
  <c r="K2383" i="4"/>
  <c r="J2383" i="4"/>
  <c r="I2383" i="4"/>
  <c r="M2383" i="4" s="1" a="1"/>
  <c r="M2383" i="4" s="1"/>
  <c r="O2383" i="4" s="1"/>
  <c r="P2382" i="4"/>
  <c r="K2382" i="4"/>
  <c r="J2382" i="4"/>
  <c r="I2382" i="4"/>
  <c r="P2381" i="4"/>
  <c r="K2381" i="4"/>
  <c r="J2381" i="4"/>
  <c r="I2381" i="4"/>
  <c r="P2380" i="4"/>
  <c r="O2380" i="4"/>
  <c r="M2380" i="4"/>
  <c r="M2380" i="4" a="1"/>
  <c r="K2380" i="4"/>
  <c r="J2380" i="4"/>
  <c r="I2380" i="4"/>
  <c r="P2379" i="4"/>
  <c r="O2379" i="4"/>
  <c r="K2379" i="4"/>
  <c r="J2379" i="4"/>
  <c r="I2379" i="4"/>
  <c r="M2379" i="4" s="1" a="1"/>
  <c r="M2379" i="4" s="1"/>
  <c r="P2378" i="4"/>
  <c r="K2378" i="4"/>
  <c r="J2378" i="4"/>
  <c r="I2378" i="4"/>
  <c r="M2378" i="4" s="1" a="1"/>
  <c r="M2378" i="4" s="1"/>
  <c r="O2378" i="4" s="1"/>
  <c r="P2377" i="4"/>
  <c r="M2377" i="4" a="1"/>
  <c r="M2377" i="4" s="1"/>
  <c r="O2377" i="4" s="1"/>
  <c r="K2377" i="4"/>
  <c r="J2377" i="4"/>
  <c r="I2377" i="4"/>
  <c r="P2376" i="4"/>
  <c r="M2376" i="4" a="1"/>
  <c r="M2376" i="4" s="1"/>
  <c r="O2376" i="4" s="1"/>
  <c r="K2376" i="4"/>
  <c r="J2376" i="4"/>
  <c r="I2376" i="4"/>
  <c r="P2375" i="4"/>
  <c r="O2375" i="4"/>
  <c r="M2375" i="4" a="1"/>
  <c r="M2375" i="4" s="1"/>
  <c r="K2375" i="4"/>
  <c r="J2375" i="4"/>
  <c r="I2375" i="4"/>
  <c r="P2374" i="4"/>
  <c r="K2374" i="4"/>
  <c r="J2374" i="4"/>
  <c r="M2374" i="4" s="1" a="1"/>
  <c r="M2374" i="4" s="1"/>
  <c r="O2374" i="4" s="1"/>
  <c r="I2374" i="4"/>
  <c r="P2373" i="4"/>
  <c r="K2373" i="4"/>
  <c r="J2373" i="4"/>
  <c r="I2373" i="4"/>
  <c r="M2373" i="4" s="1" a="1"/>
  <c r="M2373" i="4" s="1"/>
  <c r="O2373" i="4" s="1"/>
  <c r="P2372" i="4"/>
  <c r="K2372" i="4"/>
  <c r="J2372" i="4"/>
  <c r="I2372" i="4"/>
  <c r="M2372" i="4" s="1" a="1"/>
  <c r="M2372" i="4" s="1"/>
  <c r="O2372" i="4" s="1"/>
  <c r="P2371" i="4"/>
  <c r="K2371" i="4"/>
  <c r="J2371" i="4"/>
  <c r="M2371" i="4" s="1" a="1"/>
  <c r="M2371" i="4" s="1"/>
  <c r="O2371" i="4" s="1"/>
  <c r="I2371" i="4"/>
  <c r="P2370" i="4"/>
  <c r="K2370" i="4"/>
  <c r="J2370" i="4"/>
  <c r="I2370" i="4"/>
  <c r="M2370" i="4" s="1" a="1"/>
  <c r="M2370" i="4" s="1"/>
  <c r="O2370" i="4" s="1"/>
  <c r="P2369" i="4"/>
  <c r="K2369" i="4"/>
  <c r="J2369" i="4"/>
  <c r="I2369" i="4"/>
  <c r="P2368" i="4"/>
  <c r="M2368" i="4" a="1"/>
  <c r="M2368" i="4" s="1"/>
  <c r="O2368" i="4" s="1"/>
  <c r="K2368" i="4"/>
  <c r="J2368" i="4"/>
  <c r="I2368" i="4"/>
  <c r="P2367" i="4"/>
  <c r="K2367" i="4"/>
  <c r="M2367" i="4" s="1" a="1"/>
  <c r="M2367" i="4" s="1"/>
  <c r="O2367" i="4" s="1"/>
  <c r="J2367" i="4"/>
  <c r="I2367" i="4"/>
  <c r="P2366" i="4"/>
  <c r="K2366" i="4"/>
  <c r="J2366" i="4"/>
  <c r="I2366" i="4"/>
  <c r="M2366" i="4" s="1" a="1"/>
  <c r="M2366" i="4" s="1"/>
  <c r="O2366" i="4" s="1"/>
  <c r="P2365" i="4"/>
  <c r="K2365" i="4"/>
  <c r="J2365" i="4"/>
  <c r="I2365" i="4"/>
  <c r="P2364" i="4"/>
  <c r="M2364" i="4" a="1"/>
  <c r="M2364" i="4" s="1"/>
  <c r="O2364" i="4" s="1"/>
  <c r="K2364" i="4"/>
  <c r="J2364" i="4"/>
  <c r="I2364" i="4"/>
  <c r="P2363" i="4"/>
  <c r="K2363" i="4"/>
  <c r="J2363" i="4"/>
  <c r="I2363" i="4"/>
  <c r="M2363" i="4" s="1" a="1"/>
  <c r="M2363" i="4" s="1"/>
  <c r="O2363" i="4" s="1"/>
  <c r="P2362" i="4"/>
  <c r="M2362" i="4" a="1"/>
  <c r="M2362" i="4" s="1"/>
  <c r="O2362" i="4" s="1"/>
  <c r="K2362" i="4"/>
  <c r="J2362" i="4"/>
  <c r="I2362" i="4"/>
  <c r="P2361" i="4"/>
  <c r="O2361" i="4"/>
  <c r="M2361" i="4"/>
  <c r="M2361" i="4" a="1"/>
  <c r="K2361" i="4"/>
  <c r="J2361" i="4"/>
  <c r="I2361" i="4"/>
  <c r="P2360" i="4"/>
  <c r="M2360" i="4" a="1"/>
  <c r="M2360" i="4" s="1"/>
  <c r="O2360" i="4" s="1"/>
  <c r="K2360" i="4"/>
  <c r="J2360" i="4"/>
  <c r="I2360" i="4"/>
  <c r="P2359" i="4"/>
  <c r="K2359" i="4"/>
  <c r="J2359" i="4"/>
  <c r="M2359" i="4" s="1" a="1"/>
  <c r="M2359" i="4" s="1"/>
  <c r="O2359" i="4" s="1"/>
  <c r="I2359" i="4"/>
  <c r="P2358" i="4"/>
  <c r="M2358" i="4" a="1"/>
  <c r="M2358" i="4" s="1"/>
  <c r="O2358" i="4" s="1"/>
  <c r="K2358" i="4"/>
  <c r="J2358" i="4"/>
  <c r="I2358" i="4"/>
  <c r="P2357" i="4"/>
  <c r="M2357" i="4" a="1"/>
  <c r="M2357" i="4" s="1"/>
  <c r="O2357" i="4" s="1"/>
  <c r="K2357" i="4"/>
  <c r="J2357" i="4"/>
  <c r="I2357" i="4"/>
  <c r="P2356" i="4"/>
  <c r="K2356" i="4"/>
  <c r="J2356" i="4"/>
  <c r="I2356" i="4"/>
  <c r="P2355" i="4"/>
  <c r="K2355" i="4"/>
  <c r="J2355" i="4"/>
  <c r="M2355" i="4" s="1" a="1"/>
  <c r="M2355" i="4" s="1"/>
  <c r="O2355" i="4" s="1"/>
  <c r="I2355" i="4"/>
  <c r="P2354" i="4"/>
  <c r="M2354" i="4"/>
  <c r="O2354" i="4" s="1"/>
  <c r="K2354" i="4"/>
  <c r="J2354" i="4"/>
  <c r="I2354" i="4"/>
  <c r="M2354" i="4" s="1" a="1"/>
  <c r="P2353" i="4"/>
  <c r="K2353" i="4"/>
  <c r="J2353" i="4"/>
  <c r="I2353" i="4"/>
  <c r="M2353" i="4" s="1" a="1"/>
  <c r="M2353" i="4" s="1"/>
  <c r="O2353" i="4" s="1"/>
  <c r="P2352" i="4"/>
  <c r="K2352" i="4"/>
  <c r="M2352" i="4" s="1" a="1"/>
  <c r="M2352" i="4" s="1"/>
  <c r="O2352" i="4" s="1"/>
  <c r="J2352" i="4"/>
  <c r="I2352" i="4"/>
  <c r="P2351" i="4"/>
  <c r="K2351" i="4"/>
  <c r="J2351" i="4"/>
  <c r="I2351" i="4"/>
  <c r="M2351" i="4" s="1" a="1"/>
  <c r="M2351" i="4" s="1"/>
  <c r="O2351" i="4" s="1"/>
  <c r="P2350" i="4"/>
  <c r="K2350" i="4"/>
  <c r="J2350" i="4"/>
  <c r="I2350" i="4"/>
  <c r="P2349" i="4"/>
  <c r="K2349" i="4"/>
  <c r="J2349" i="4"/>
  <c r="I2349" i="4"/>
  <c r="P2348" i="4"/>
  <c r="K2348" i="4"/>
  <c r="J2348" i="4"/>
  <c r="I2348" i="4"/>
  <c r="M2348" i="4" s="1" a="1"/>
  <c r="M2348" i="4" s="1"/>
  <c r="O2348" i="4" s="1"/>
  <c r="P2347" i="4"/>
  <c r="K2347" i="4"/>
  <c r="J2347" i="4"/>
  <c r="I2347" i="4"/>
  <c r="M2347" i="4" s="1" a="1"/>
  <c r="M2347" i="4" s="1"/>
  <c r="O2347" i="4" s="1"/>
  <c r="P2346" i="4"/>
  <c r="M2346" i="4" a="1"/>
  <c r="M2346" i="4" s="1"/>
  <c r="O2346" i="4" s="1"/>
  <c r="K2346" i="4"/>
  <c r="J2346" i="4"/>
  <c r="I2346" i="4"/>
  <c r="P2345" i="4"/>
  <c r="M2345" i="4" a="1"/>
  <c r="M2345" i="4" s="1"/>
  <c r="O2345" i="4" s="1"/>
  <c r="K2345" i="4"/>
  <c r="J2345" i="4"/>
  <c r="I2345" i="4"/>
  <c r="P2344" i="4"/>
  <c r="K2344" i="4"/>
  <c r="J2344" i="4"/>
  <c r="M2344" i="4" s="1" a="1"/>
  <c r="M2344" i="4" s="1"/>
  <c r="O2344" i="4" s="1"/>
  <c r="I2344" i="4"/>
  <c r="P2343" i="4"/>
  <c r="K2343" i="4"/>
  <c r="J2343" i="4"/>
  <c r="M2343" i="4" s="1" a="1"/>
  <c r="M2343" i="4" s="1"/>
  <c r="O2343" i="4" s="1"/>
  <c r="I2343" i="4"/>
  <c r="P2342" i="4"/>
  <c r="K2342" i="4"/>
  <c r="J2342" i="4"/>
  <c r="M2342" i="4" s="1" a="1"/>
  <c r="M2342" i="4" s="1"/>
  <c r="O2342" i="4" s="1"/>
  <c r="I2342" i="4"/>
  <c r="P2341" i="4"/>
  <c r="M2341" i="4" a="1"/>
  <c r="M2341" i="4" s="1"/>
  <c r="O2341" i="4" s="1"/>
  <c r="K2341" i="4"/>
  <c r="J2341" i="4"/>
  <c r="I2341" i="4"/>
  <c r="P2340" i="4"/>
  <c r="K2340" i="4"/>
  <c r="J2340" i="4"/>
  <c r="I2340" i="4"/>
  <c r="M2340" i="4" s="1" a="1"/>
  <c r="M2340" i="4" s="1"/>
  <c r="O2340" i="4" s="1"/>
  <c r="P2339" i="4"/>
  <c r="K2339" i="4"/>
  <c r="M2339" i="4" s="1" a="1"/>
  <c r="M2339" i="4" s="1"/>
  <c r="O2339" i="4" s="1"/>
  <c r="J2339" i="4"/>
  <c r="I2339" i="4"/>
  <c r="P2338" i="4"/>
  <c r="M2338" i="4"/>
  <c r="O2338" i="4" s="1"/>
  <c r="K2338" i="4"/>
  <c r="J2338" i="4"/>
  <c r="I2338" i="4"/>
  <c r="M2338" i="4" s="1" a="1"/>
  <c r="P2337" i="4"/>
  <c r="K2337" i="4"/>
  <c r="J2337" i="4"/>
  <c r="I2337" i="4"/>
  <c r="P2336" i="4"/>
  <c r="K2336" i="4"/>
  <c r="M2336" i="4" s="1" a="1"/>
  <c r="M2336" i="4" s="1"/>
  <c r="O2336" i="4" s="1"/>
  <c r="J2336" i="4"/>
  <c r="I2336" i="4"/>
  <c r="P2335" i="4"/>
  <c r="M2335" i="4" a="1"/>
  <c r="M2335" i="4" s="1"/>
  <c r="O2335" i="4" s="1"/>
  <c r="K2335" i="4"/>
  <c r="J2335" i="4"/>
  <c r="I2335" i="4"/>
  <c r="P2334" i="4"/>
  <c r="K2334" i="4"/>
  <c r="J2334" i="4"/>
  <c r="I2334" i="4"/>
  <c r="M2334" i="4" s="1" a="1"/>
  <c r="M2334" i="4" s="1"/>
  <c r="O2334" i="4" s="1"/>
  <c r="P2333" i="4"/>
  <c r="K2333" i="4"/>
  <c r="J2333" i="4"/>
  <c r="I2333" i="4"/>
  <c r="M2333" i="4" s="1" a="1"/>
  <c r="M2333" i="4" s="1"/>
  <c r="O2333" i="4" s="1"/>
  <c r="P2332" i="4"/>
  <c r="K2332" i="4"/>
  <c r="J2332" i="4"/>
  <c r="I2332" i="4"/>
  <c r="M2332" i="4" s="1" a="1"/>
  <c r="M2332" i="4" s="1"/>
  <c r="O2332" i="4" s="1"/>
  <c r="P2331" i="4"/>
  <c r="K2331" i="4"/>
  <c r="J2331" i="4"/>
  <c r="I2331" i="4"/>
  <c r="M2331" i="4" s="1" a="1"/>
  <c r="M2331" i="4" s="1"/>
  <c r="O2331" i="4" s="1"/>
  <c r="P2330" i="4"/>
  <c r="K2330" i="4"/>
  <c r="J2330" i="4"/>
  <c r="M2330" i="4" s="1" a="1"/>
  <c r="M2330" i="4" s="1"/>
  <c r="O2330" i="4" s="1"/>
  <c r="I2330" i="4"/>
  <c r="P2329" i="4"/>
  <c r="M2329" i="4"/>
  <c r="O2329" i="4" s="1"/>
  <c r="M2329" i="4" a="1"/>
  <c r="K2329" i="4"/>
  <c r="J2329" i="4"/>
  <c r="I2329" i="4"/>
  <c r="P2328" i="4"/>
  <c r="K2328" i="4"/>
  <c r="J2328" i="4"/>
  <c r="I2328" i="4"/>
  <c r="M2328" i="4" s="1" a="1"/>
  <c r="M2328" i="4" s="1"/>
  <c r="O2328" i="4" s="1"/>
  <c r="P2327" i="4"/>
  <c r="M2327" i="4" a="1"/>
  <c r="M2327" i="4" s="1"/>
  <c r="O2327" i="4" s="1"/>
  <c r="K2327" i="4"/>
  <c r="J2327" i="4"/>
  <c r="I2327" i="4"/>
  <c r="P2326" i="4"/>
  <c r="M2326" i="4" a="1"/>
  <c r="M2326" i="4" s="1"/>
  <c r="O2326" i="4" s="1"/>
  <c r="K2326" i="4"/>
  <c r="J2326" i="4"/>
  <c r="I2326" i="4"/>
  <c r="P2325" i="4"/>
  <c r="K2325" i="4"/>
  <c r="J2325" i="4"/>
  <c r="M2325" i="4" s="1" a="1"/>
  <c r="M2325" i="4" s="1"/>
  <c r="O2325" i="4" s="1"/>
  <c r="I2325" i="4"/>
  <c r="P2324" i="4"/>
  <c r="K2324" i="4"/>
  <c r="J2324" i="4"/>
  <c r="I2324" i="4"/>
  <c r="P2323" i="4"/>
  <c r="M2323" i="4"/>
  <c r="O2323" i="4" s="1"/>
  <c r="M2323" i="4" a="1"/>
  <c r="K2323" i="4"/>
  <c r="J2323" i="4"/>
  <c r="I2323" i="4"/>
  <c r="P2322" i="4"/>
  <c r="O2322" i="4"/>
  <c r="M2322" i="4"/>
  <c r="K2322" i="4"/>
  <c r="J2322" i="4"/>
  <c r="I2322" i="4"/>
  <c r="M2322" i="4" s="1" a="1"/>
  <c r="P2321" i="4"/>
  <c r="K2321" i="4"/>
  <c r="J2321" i="4"/>
  <c r="I2321" i="4"/>
  <c r="M2321" i="4" s="1" a="1"/>
  <c r="M2321" i="4" s="1"/>
  <c r="O2321" i="4" s="1"/>
  <c r="P2320" i="4"/>
  <c r="K2320" i="4"/>
  <c r="M2320" i="4" s="1" a="1"/>
  <c r="M2320" i="4" s="1"/>
  <c r="O2320" i="4" s="1"/>
  <c r="J2320" i="4"/>
  <c r="I2320" i="4"/>
  <c r="P2319" i="4"/>
  <c r="M2319" i="4" a="1"/>
  <c r="M2319" i="4" s="1"/>
  <c r="O2319" i="4" s="1"/>
  <c r="K2319" i="4"/>
  <c r="J2319" i="4"/>
  <c r="I2319" i="4"/>
  <c r="P2318" i="4"/>
  <c r="K2318" i="4"/>
  <c r="J2318" i="4"/>
  <c r="I2318" i="4"/>
  <c r="P2317" i="4"/>
  <c r="K2317" i="4"/>
  <c r="J2317" i="4"/>
  <c r="I2317" i="4"/>
  <c r="P2316" i="4"/>
  <c r="M2316" i="4"/>
  <c r="O2316" i="4" s="1"/>
  <c r="K2316" i="4"/>
  <c r="J2316" i="4"/>
  <c r="I2316" i="4"/>
  <c r="M2316" i="4" s="1" a="1"/>
  <c r="P2315" i="4"/>
  <c r="O2315" i="4"/>
  <c r="K2315" i="4"/>
  <c r="J2315" i="4"/>
  <c r="I2315" i="4"/>
  <c r="M2315" i="4" s="1" a="1"/>
  <c r="M2315" i="4" s="1"/>
  <c r="P2314" i="4"/>
  <c r="K2314" i="4"/>
  <c r="J2314" i="4"/>
  <c r="I2314" i="4"/>
  <c r="M2314" i="4" s="1" a="1"/>
  <c r="M2314" i="4" s="1"/>
  <c r="O2314" i="4" s="1"/>
  <c r="P2313" i="4"/>
  <c r="M2313" i="4"/>
  <c r="O2313" i="4" s="1"/>
  <c r="M2313" i="4" a="1"/>
  <c r="K2313" i="4"/>
  <c r="J2313" i="4"/>
  <c r="I2313" i="4"/>
  <c r="P2312" i="4"/>
  <c r="K2312" i="4"/>
  <c r="J2312" i="4"/>
  <c r="I2312" i="4"/>
  <c r="M2312" i="4" s="1" a="1"/>
  <c r="M2312" i="4" s="1"/>
  <c r="O2312" i="4" s="1"/>
  <c r="P2311" i="4"/>
  <c r="M2311" i="4" a="1"/>
  <c r="M2311" i="4" s="1"/>
  <c r="O2311" i="4" s="1"/>
  <c r="K2311" i="4"/>
  <c r="J2311" i="4"/>
  <c r="I2311" i="4"/>
  <c r="P2310" i="4"/>
  <c r="K2310" i="4"/>
  <c r="J2310" i="4"/>
  <c r="M2310" i="4" s="1" a="1"/>
  <c r="M2310" i="4" s="1"/>
  <c r="O2310" i="4" s="1"/>
  <c r="I2310" i="4"/>
  <c r="P2309" i="4"/>
  <c r="K2309" i="4"/>
  <c r="J2309" i="4"/>
  <c r="I2309" i="4"/>
  <c r="M2309" i="4" s="1" a="1"/>
  <c r="M2309" i="4" s="1"/>
  <c r="O2309" i="4" s="1"/>
  <c r="P2308" i="4"/>
  <c r="K2308" i="4"/>
  <c r="J2308" i="4"/>
  <c r="I2308" i="4"/>
  <c r="P2307" i="4"/>
  <c r="K2307" i="4"/>
  <c r="J2307" i="4"/>
  <c r="M2307" i="4" s="1" a="1"/>
  <c r="M2307" i="4" s="1"/>
  <c r="O2307" i="4" s="1"/>
  <c r="I2307" i="4"/>
  <c r="P2306" i="4"/>
  <c r="K2306" i="4"/>
  <c r="J2306" i="4"/>
  <c r="I2306" i="4"/>
  <c r="M2306" i="4" s="1" a="1"/>
  <c r="M2306" i="4" s="1"/>
  <c r="O2306" i="4" s="1"/>
  <c r="P2305" i="4"/>
  <c r="K2305" i="4"/>
  <c r="J2305" i="4"/>
  <c r="I2305" i="4"/>
  <c r="P2304" i="4"/>
  <c r="M2304" i="4"/>
  <c r="O2304" i="4" s="1"/>
  <c r="M2304" i="4" a="1"/>
  <c r="K2304" i="4"/>
  <c r="J2304" i="4"/>
  <c r="I2304" i="4"/>
  <c r="P2303" i="4"/>
  <c r="K2303" i="4"/>
  <c r="M2303" i="4" s="1" a="1"/>
  <c r="M2303" i="4" s="1"/>
  <c r="O2303" i="4" s="1"/>
  <c r="J2303" i="4"/>
  <c r="I2303" i="4"/>
  <c r="P2302" i="4"/>
  <c r="K2302" i="4"/>
  <c r="J2302" i="4"/>
  <c r="I2302" i="4"/>
  <c r="M2302" i="4" s="1" a="1"/>
  <c r="M2302" i="4" s="1"/>
  <c r="O2302" i="4" s="1"/>
  <c r="P2301" i="4"/>
  <c r="K2301" i="4"/>
  <c r="J2301" i="4"/>
  <c r="I2301" i="4"/>
  <c r="M2301" i="4" s="1" a="1"/>
  <c r="M2301" i="4" s="1"/>
  <c r="O2301" i="4" s="1"/>
  <c r="P2300" i="4"/>
  <c r="K2300" i="4"/>
  <c r="M2300" i="4" s="1" a="1"/>
  <c r="M2300" i="4" s="1"/>
  <c r="O2300" i="4" s="1"/>
  <c r="J2300" i="4"/>
  <c r="I2300" i="4"/>
  <c r="P2299" i="4"/>
  <c r="K2299" i="4"/>
  <c r="J2299" i="4"/>
  <c r="I2299" i="4"/>
  <c r="M2299" i="4" s="1" a="1"/>
  <c r="M2299" i="4" s="1"/>
  <c r="O2299" i="4" s="1"/>
  <c r="P2298" i="4"/>
  <c r="K2298" i="4"/>
  <c r="J2298" i="4"/>
  <c r="I2298" i="4"/>
  <c r="M2298" i="4" s="1" a="1"/>
  <c r="M2298" i="4" s="1"/>
  <c r="O2298" i="4" s="1"/>
  <c r="P2297" i="4"/>
  <c r="M2297" i="4"/>
  <c r="O2297" i="4" s="1"/>
  <c r="M2297" i="4" a="1"/>
  <c r="K2297" i="4"/>
  <c r="J2297" i="4"/>
  <c r="I2297" i="4"/>
  <c r="P2296" i="4"/>
  <c r="K2296" i="4"/>
  <c r="J2296" i="4"/>
  <c r="I2296" i="4"/>
  <c r="M2296" i="4" s="1" a="1"/>
  <c r="M2296" i="4" s="1"/>
  <c r="O2296" i="4" s="1"/>
  <c r="P2295" i="4"/>
  <c r="K2295" i="4"/>
  <c r="J2295" i="4"/>
  <c r="M2295" i="4" s="1" a="1"/>
  <c r="M2295" i="4" s="1"/>
  <c r="O2295" i="4" s="1"/>
  <c r="I2295" i="4"/>
  <c r="P2294" i="4"/>
  <c r="K2294" i="4"/>
  <c r="J2294" i="4"/>
  <c r="M2294" i="4" s="1" a="1"/>
  <c r="M2294" i="4" s="1"/>
  <c r="O2294" i="4" s="1"/>
  <c r="I2294" i="4"/>
  <c r="P2293" i="4"/>
  <c r="K2293" i="4"/>
  <c r="J2293" i="4"/>
  <c r="I2293" i="4"/>
  <c r="M2293" i="4" s="1" a="1"/>
  <c r="M2293" i="4" s="1"/>
  <c r="O2293" i="4" s="1"/>
  <c r="P2292" i="4"/>
  <c r="K2292" i="4"/>
  <c r="J2292" i="4"/>
  <c r="I2292" i="4"/>
  <c r="P2291" i="4"/>
  <c r="K2291" i="4"/>
  <c r="J2291" i="4"/>
  <c r="M2291" i="4" s="1" a="1"/>
  <c r="M2291" i="4" s="1"/>
  <c r="O2291" i="4" s="1"/>
  <c r="I2291" i="4"/>
  <c r="P2290" i="4"/>
  <c r="K2290" i="4"/>
  <c r="J2290" i="4"/>
  <c r="I2290" i="4"/>
  <c r="M2290" i="4" s="1" a="1"/>
  <c r="M2290" i="4" s="1"/>
  <c r="O2290" i="4" s="1"/>
  <c r="P2289" i="4"/>
  <c r="K2289" i="4"/>
  <c r="J2289" i="4"/>
  <c r="I2289" i="4"/>
  <c r="P2288" i="4"/>
  <c r="K2288" i="4"/>
  <c r="M2288" i="4" s="1" a="1"/>
  <c r="M2288" i="4" s="1"/>
  <c r="O2288" i="4" s="1"/>
  <c r="J2288" i="4"/>
  <c r="I2288" i="4"/>
  <c r="P2287" i="4"/>
  <c r="K2287" i="4"/>
  <c r="J2287" i="4"/>
  <c r="I2287" i="4"/>
  <c r="M2287" i="4" s="1" a="1"/>
  <c r="M2287" i="4" s="1"/>
  <c r="O2287" i="4" s="1"/>
  <c r="P2286" i="4"/>
  <c r="K2286" i="4"/>
  <c r="J2286" i="4"/>
  <c r="I2286" i="4"/>
  <c r="P2285" i="4"/>
  <c r="K2285" i="4"/>
  <c r="J2285" i="4"/>
  <c r="I2285" i="4"/>
  <c r="P2284" i="4"/>
  <c r="K2284" i="4"/>
  <c r="J2284" i="4"/>
  <c r="I2284" i="4"/>
  <c r="M2284" i="4" s="1" a="1"/>
  <c r="M2284" i="4" s="1"/>
  <c r="O2284" i="4" s="1"/>
  <c r="P2283" i="4"/>
  <c r="O2283" i="4"/>
  <c r="K2283" i="4"/>
  <c r="J2283" i="4"/>
  <c r="I2283" i="4"/>
  <c r="M2283" i="4" s="1" a="1"/>
  <c r="M2283" i="4" s="1"/>
  <c r="P2282" i="4"/>
  <c r="K2282" i="4"/>
  <c r="J2282" i="4"/>
  <c r="I2282" i="4"/>
  <c r="M2282" i="4" s="1" a="1"/>
  <c r="M2282" i="4" s="1"/>
  <c r="O2282" i="4" s="1"/>
  <c r="P2281" i="4"/>
  <c r="M2281" i="4" a="1"/>
  <c r="M2281" i="4" s="1"/>
  <c r="O2281" i="4" s="1"/>
  <c r="K2281" i="4"/>
  <c r="J2281" i="4"/>
  <c r="I2281" i="4"/>
  <c r="P2280" i="4"/>
  <c r="K2280" i="4"/>
  <c r="J2280" i="4"/>
  <c r="M2280" i="4" s="1" a="1"/>
  <c r="M2280" i="4" s="1"/>
  <c r="O2280" i="4" s="1"/>
  <c r="I2280" i="4"/>
  <c r="P2279" i="4"/>
  <c r="K2279" i="4"/>
  <c r="J2279" i="4"/>
  <c r="M2279" i="4" s="1" a="1"/>
  <c r="M2279" i="4" s="1"/>
  <c r="O2279" i="4" s="1"/>
  <c r="I2279" i="4"/>
  <c r="P2278" i="4"/>
  <c r="K2278" i="4"/>
  <c r="M2278" i="4" s="1" a="1"/>
  <c r="M2278" i="4" s="1"/>
  <c r="O2278" i="4" s="1"/>
  <c r="J2278" i="4"/>
  <c r="I2278" i="4"/>
  <c r="P2277" i="4"/>
  <c r="K2277" i="4"/>
  <c r="J2277" i="4"/>
  <c r="I2277" i="4"/>
  <c r="M2277" i="4" s="1" a="1"/>
  <c r="M2277" i="4" s="1"/>
  <c r="O2277" i="4" s="1"/>
  <c r="P2276" i="4"/>
  <c r="K2276" i="4"/>
  <c r="J2276" i="4"/>
  <c r="I2276" i="4"/>
  <c r="M2276" i="4" s="1" a="1"/>
  <c r="M2276" i="4" s="1"/>
  <c r="O2276" i="4" s="1"/>
  <c r="P2275" i="4"/>
  <c r="M2275" i="4" a="1"/>
  <c r="M2275" i="4" s="1"/>
  <c r="O2275" i="4" s="1"/>
  <c r="K2275" i="4"/>
  <c r="J2275" i="4"/>
  <c r="I2275" i="4"/>
  <c r="P2274" i="4"/>
  <c r="K2274" i="4"/>
  <c r="J2274" i="4"/>
  <c r="I2274" i="4"/>
  <c r="M2274" i="4" s="1" a="1"/>
  <c r="M2274" i="4" s="1"/>
  <c r="O2274" i="4" s="1"/>
  <c r="P2273" i="4"/>
  <c r="K2273" i="4"/>
  <c r="J2273" i="4"/>
  <c r="I2273" i="4"/>
  <c r="P2272" i="4"/>
  <c r="K2272" i="4"/>
  <c r="J2272" i="4"/>
  <c r="I2272" i="4"/>
  <c r="M2272" i="4" s="1" a="1"/>
  <c r="M2272" i="4" s="1"/>
  <c r="O2272" i="4" s="1"/>
  <c r="P2271" i="4"/>
  <c r="K2271" i="4"/>
  <c r="J2271" i="4"/>
  <c r="I2271" i="4"/>
  <c r="M2271" i="4" s="1" a="1"/>
  <c r="M2271" i="4" s="1"/>
  <c r="O2271" i="4" s="1"/>
  <c r="P2270" i="4"/>
  <c r="K2270" i="4"/>
  <c r="J2270" i="4"/>
  <c r="I2270" i="4"/>
  <c r="M2270" i="4" s="1" a="1"/>
  <c r="M2270" i="4" s="1"/>
  <c r="O2270" i="4" s="1"/>
  <c r="P2269" i="4"/>
  <c r="K2269" i="4"/>
  <c r="J2269" i="4"/>
  <c r="I2269" i="4"/>
  <c r="M2269" i="4" s="1" a="1"/>
  <c r="M2269" i="4" s="1"/>
  <c r="O2269" i="4" s="1"/>
  <c r="P2268" i="4"/>
  <c r="K2268" i="4"/>
  <c r="M2268" i="4" s="1" a="1"/>
  <c r="M2268" i="4" s="1"/>
  <c r="O2268" i="4" s="1"/>
  <c r="J2268" i="4"/>
  <c r="I2268" i="4"/>
  <c r="P2267" i="4"/>
  <c r="K2267" i="4"/>
  <c r="J2267" i="4"/>
  <c r="M2267" i="4" s="1" a="1"/>
  <c r="M2267" i="4" s="1"/>
  <c r="O2267" i="4" s="1"/>
  <c r="I2267" i="4"/>
  <c r="P2266" i="4"/>
  <c r="K2266" i="4"/>
  <c r="J2266" i="4"/>
  <c r="I2266" i="4"/>
  <c r="M2266" i="4" s="1" a="1"/>
  <c r="M2266" i="4" s="1"/>
  <c r="O2266" i="4" s="1"/>
  <c r="P2265" i="4"/>
  <c r="K2265" i="4"/>
  <c r="J2265" i="4"/>
  <c r="I2265" i="4"/>
  <c r="M2265" i="4" s="1" a="1"/>
  <c r="M2265" i="4" s="1"/>
  <c r="O2265" i="4" s="1"/>
  <c r="P2264" i="4"/>
  <c r="M2264" i="4" a="1"/>
  <c r="M2264" i="4" s="1"/>
  <c r="O2264" i="4" s="1"/>
  <c r="K2264" i="4"/>
  <c r="J2264" i="4"/>
  <c r="I2264" i="4"/>
  <c r="P2263" i="4"/>
  <c r="M2263" i="4" a="1"/>
  <c r="M2263" i="4" s="1"/>
  <c r="O2263" i="4" s="1"/>
  <c r="K2263" i="4"/>
  <c r="J2263" i="4"/>
  <c r="I2263" i="4"/>
  <c r="P2262" i="4"/>
  <c r="K2262" i="4"/>
  <c r="J2262" i="4"/>
  <c r="M2262" i="4" s="1" a="1"/>
  <c r="M2262" i="4" s="1"/>
  <c r="O2262" i="4" s="1"/>
  <c r="I2262" i="4"/>
  <c r="P2261" i="4"/>
  <c r="M2261" i="4" a="1"/>
  <c r="M2261" i="4" s="1"/>
  <c r="O2261" i="4" s="1"/>
  <c r="K2261" i="4"/>
  <c r="J2261" i="4"/>
  <c r="I2261" i="4"/>
  <c r="P2260" i="4"/>
  <c r="M2260" i="4" a="1"/>
  <c r="M2260" i="4" s="1"/>
  <c r="O2260" i="4" s="1"/>
  <c r="K2260" i="4"/>
  <c r="J2260" i="4"/>
  <c r="I2260" i="4"/>
  <c r="P2259" i="4"/>
  <c r="K2259" i="4"/>
  <c r="J2259" i="4"/>
  <c r="M2259" i="4" s="1" a="1"/>
  <c r="M2259" i="4" s="1"/>
  <c r="O2259" i="4" s="1"/>
  <c r="I2259" i="4"/>
  <c r="P2258" i="4"/>
  <c r="K2258" i="4"/>
  <c r="J2258" i="4"/>
  <c r="I2258" i="4"/>
  <c r="M2258" i="4" s="1" a="1"/>
  <c r="M2258" i="4" s="1"/>
  <c r="O2258" i="4" s="1"/>
  <c r="P2257" i="4"/>
  <c r="K2257" i="4"/>
  <c r="J2257" i="4"/>
  <c r="I2257" i="4"/>
  <c r="M2257" i="4" s="1" a="1"/>
  <c r="M2257" i="4" s="1"/>
  <c r="O2257" i="4" s="1"/>
  <c r="P2256" i="4"/>
  <c r="K2256" i="4"/>
  <c r="J2256" i="4"/>
  <c r="I2256" i="4"/>
  <c r="M2256" i="4" s="1" a="1"/>
  <c r="M2256" i="4" s="1"/>
  <c r="O2256" i="4" s="1"/>
  <c r="P2255" i="4"/>
  <c r="K2255" i="4"/>
  <c r="J2255" i="4"/>
  <c r="I2255" i="4"/>
  <c r="M2255" i="4" s="1" a="1"/>
  <c r="M2255" i="4" s="1"/>
  <c r="O2255" i="4" s="1"/>
  <c r="P2254" i="4"/>
  <c r="K2254" i="4"/>
  <c r="J2254" i="4"/>
  <c r="I2254" i="4"/>
  <c r="M2254" i="4" s="1" a="1"/>
  <c r="M2254" i="4" s="1"/>
  <c r="O2254" i="4" s="1"/>
  <c r="P2253" i="4"/>
  <c r="K2253" i="4"/>
  <c r="J2253" i="4"/>
  <c r="I2253" i="4"/>
  <c r="M2253" i="4" s="1" a="1"/>
  <c r="M2253" i="4" s="1"/>
  <c r="O2253" i="4" s="1"/>
  <c r="P2252" i="4"/>
  <c r="K2252" i="4"/>
  <c r="M2252" i="4" s="1" a="1"/>
  <c r="M2252" i="4" s="1"/>
  <c r="O2252" i="4" s="1"/>
  <c r="J2252" i="4"/>
  <c r="I2252" i="4"/>
  <c r="P2251" i="4"/>
  <c r="K2251" i="4"/>
  <c r="J2251" i="4"/>
  <c r="M2251" i="4" s="1" a="1"/>
  <c r="M2251" i="4" s="1"/>
  <c r="O2251" i="4" s="1"/>
  <c r="I2251" i="4"/>
  <c r="P2250" i="4"/>
  <c r="K2250" i="4"/>
  <c r="J2250" i="4"/>
  <c r="I2250" i="4"/>
  <c r="M2250" i="4" s="1" a="1"/>
  <c r="M2250" i="4" s="1"/>
  <c r="O2250" i="4" s="1"/>
  <c r="P2249" i="4"/>
  <c r="K2249" i="4"/>
  <c r="J2249" i="4"/>
  <c r="I2249" i="4"/>
  <c r="M2249" i="4" s="1" a="1"/>
  <c r="M2249" i="4" s="1"/>
  <c r="O2249" i="4" s="1"/>
  <c r="P2248" i="4"/>
  <c r="M2248" i="4" a="1"/>
  <c r="M2248" i="4" s="1"/>
  <c r="O2248" i="4" s="1"/>
  <c r="K2248" i="4"/>
  <c r="J2248" i="4"/>
  <c r="I2248" i="4"/>
  <c r="P2247" i="4"/>
  <c r="M2247" i="4" a="1"/>
  <c r="M2247" i="4" s="1"/>
  <c r="O2247" i="4" s="1"/>
  <c r="K2247" i="4"/>
  <c r="J2247" i="4"/>
  <c r="I2247" i="4"/>
  <c r="P2246" i="4"/>
  <c r="K2246" i="4"/>
  <c r="J2246" i="4"/>
  <c r="M2246" i="4" s="1" a="1"/>
  <c r="M2246" i="4" s="1"/>
  <c r="O2246" i="4" s="1"/>
  <c r="I2246" i="4"/>
  <c r="P2245" i="4"/>
  <c r="M2245" i="4" a="1"/>
  <c r="M2245" i="4" s="1"/>
  <c r="O2245" i="4" s="1"/>
  <c r="K2245" i="4"/>
  <c r="J2245" i="4"/>
  <c r="I2245" i="4"/>
  <c r="P2244" i="4"/>
  <c r="M2244" i="4" a="1"/>
  <c r="M2244" i="4" s="1"/>
  <c r="O2244" i="4" s="1"/>
  <c r="K2244" i="4"/>
  <c r="J2244" i="4"/>
  <c r="I2244" i="4"/>
  <c r="P2243" i="4"/>
  <c r="K2243" i="4"/>
  <c r="J2243" i="4"/>
  <c r="M2243" i="4" s="1" a="1"/>
  <c r="M2243" i="4" s="1"/>
  <c r="O2243" i="4" s="1"/>
  <c r="I2243" i="4"/>
  <c r="P2242" i="4"/>
  <c r="K2242" i="4"/>
  <c r="J2242" i="4"/>
  <c r="I2242" i="4"/>
  <c r="P2241" i="4"/>
  <c r="K2241" i="4"/>
  <c r="J2241" i="4"/>
  <c r="I2241" i="4"/>
  <c r="M2241" i="4" s="1" a="1"/>
  <c r="M2241" i="4" s="1"/>
  <c r="O2241" i="4" s="1"/>
  <c r="P2240" i="4"/>
  <c r="K2240" i="4"/>
  <c r="J2240" i="4"/>
  <c r="I2240" i="4"/>
  <c r="M2240" i="4" s="1" a="1"/>
  <c r="M2240" i="4" s="1"/>
  <c r="O2240" i="4" s="1"/>
  <c r="P2239" i="4"/>
  <c r="K2239" i="4"/>
  <c r="J2239" i="4"/>
  <c r="I2239" i="4"/>
  <c r="M2239" i="4" s="1" a="1"/>
  <c r="M2239" i="4" s="1"/>
  <c r="O2239" i="4" s="1"/>
  <c r="P2238" i="4"/>
  <c r="K2238" i="4"/>
  <c r="J2238" i="4"/>
  <c r="I2238" i="4"/>
  <c r="M2238" i="4" s="1" a="1"/>
  <c r="M2238" i="4" s="1"/>
  <c r="O2238" i="4" s="1"/>
  <c r="P2237" i="4"/>
  <c r="K2237" i="4"/>
  <c r="J2237" i="4"/>
  <c r="I2237" i="4"/>
  <c r="M2237" i="4" s="1" a="1"/>
  <c r="M2237" i="4" s="1"/>
  <c r="O2237" i="4" s="1"/>
  <c r="P2236" i="4"/>
  <c r="K2236" i="4"/>
  <c r="M2236" i="4" s="1" a="1"/>
  <c r="M2236" i="4" s="1"/>
  <c r="O2236" i="4" s="1"/>
  <c r="J2236" i="4"/>
  <c r="I2236" i="4"/>
  <c r="P2235" i="4"/>
  <c r="K2235" i="4"/>
  <c r="J2235" i="4"/>
  <c r="I2235" i="4"/>
  <c r="P2234" i="4"/>
  <c r="K2234" i="4"/>
  <c r="J2234" i="4"/>
  <c r="I2234" i="4"/>
  <c r="M2234" i="4" s="1" a="1"/>
  <c r="M2234" i="4" s="1"/>
  <c r="O2234" i="4" s="1"/>
  <c r="P2233" i="4"/>
  <c r="K2233" i="4"/>
  <c r="J2233" i="4"/>
  <c r="I2233" i="4"/>
  <c r="M2233" i="4" s="1" a="1"/>
  <c r="M2233" i="4" s="1"/>
  <c r="O2233" i="4" s="1"/>
  <c r="P2232" i="4"/>
  <c r="M2232" i="4" a="1"/>
  <c r="M2232" i="4" s="1"/>
  <c r="O2232" i="4" s="1"/>
  <c r="K2232" i="4"/>
  <c r="J2232" i="4"/>
  <c r="I2232" i="4"/>
  <c r="P2231" i="4"/>
  <c r="M2231" i="4" a="1"/>
  <c r="M2231" i="4" s="1"/>
  <c r="O2231" i="4" s="1"/>
  <c r="K2231" i="4"/>
  <c r="J2231" i="4"/>
  <c r="I2231" i="4"/>
  <c r="P2230" i="4"/>
  <c r="K2230" i="4"/>
  <c r="J2230" i="4"/>
  <c r="M2230" i="4" s="1" a="1"/>
  <c r="M2230" i="4" s="1"/>
  <c r="O2230" i="4" s="1"/>
  <c r="I2230" i="4"/>
  <c r="P2229" i="4"/>
  <c r="M2229" i="4" a="1"/>
  <c r="M2229" i="4" s="1"/>
  <c r="O2229" i="4" s="1"/>
  <c r="K2229" i="4"/>
  <c r="J2229" i="4"/>
  <c r="I2229" i="4"/>
  <c r="P2228" i="4"/>
  <c r="M2228" i="4" a="1"/>
  <c r="M2228" i="4" s="1"/>
  <c r="O2228" i="4" s="1"/>
  <c r="K2228" i="4"/>
  <c r="J2228" i="4"/>
  <c r="I2228" i="4"/>
  <c r="P2227" i="4"/>
  <c r="K2227" i="4"/>
  <c r="J2227" i="4"/>
  <c r="M2227" i="4" s="1" a="1"/>
  <c r="M2227" i="4" s="1"/>
  <c r="O2227" i="4" s="1"/>
  <c r="I2227" i="4"/>
  <c r="P2226" i="4"/>
  <c r="K2226" i="4"/>
  <c r="J2226" i="4"/>
  <c r="I2226" i="4"/>
  <c r="P2225" i="4"/>
  <c r="K2225" i="4"/>
  <c r="J2225" i="4"/>
  <c r="I2225" i="4"/>
  <c r="M2225" i="4" s="1" a="1"/>
  <c r="M2225" i="4" s="1"/>
  <c r="O2225" i="4" s="1"/>
  <c r="P2224" i="4"/>
  <c r="K2224" i="4"/>
  <c r="J2224" i="4"/>
  <c r="I2224" i="4"/>
  <c r="M2224" i="4" s="1" a="1"/>
  <c r="M2224" i="4" s="1"/>
  <c r="O2224" i="4" s="1"/>
  <c r="P2223" i="4"/>
  <c r="K2223" i="4"/>
  <c r="J2223" i="4"/>
  <c r="I2223" i="4"/>
  <c r="M2223" i="4" s="1" a="1"/>
  <c r="M2223" i="4" s="1"/>
  <c r="O2223" i="4" s="1"/>
  <c r="P2222" i="4"/>
  <c r="M2222" i="4"/>
  <c r="O2222" i="4" s="1"/>
  <c r="K2222" i="4"/>
  <c r="J2222" i="4"/>
  <c r="I2222" i="4"/>
  <c r="M2222" i="4" s="1" a="1"/>
  <c r="P2221" i="4"/>
  <c r="K2221" i="4"/>
  <c r="J2221" i="4"/>
  <c r="I2221" i="4"/>
  <c r="M2221" i="4" s="1" a="1"/>
  <c r="M2221" i="4" s="1"/>
  <c r="O2221" i="4" s="1"/>
  <c r="P2220" i="4"/>
  <c r="K2220" i="4"/>
  <c r="M2220" i="4" s="1" a="1"/>
  <c r="M2220" i="4" s="1"/>
  <c r="O2220" i="4" s="1"/>
  <c r="J2220" i="4"/>
  <c r="I2220" i="4"/>
  <c r="P2219" i="4"/>
  <c r="K2219" i="4"/>
  <c r="J2219" i="4"/>
  <c r="M2219" i="4" s="1" a="1"/>
  <c r="M2219" i="4" s="1"/>
  <c r="O2219" i="4" s="1"/>
  <c r="I2219" i="4"/>
  <c r="P2218" i="4"/>
  <c r="K2218" i="4"/>
  <c r="J2218" i="4"/>
  <c r="I2218" i="4"/>
  <c r="M2218" i="4" s="1" a="1"/>
  <c r="M2218" i="4" s="1"/>
  <c r="O2218" i="4" s="1"/>
  <c r="P2217" i="4"/>
  <c r="K2217" i="4"/>
  <c r="J2217" i="4"/>
  <c r="I2217" i="4"/>
  <c r="M2217" i="4" s="1" a="1"/>
  <c r="M2217" i="4" s="1"/>
  <c r="O2217" i="4" s="1"/>
  <c r="P2216" i="4"/>
  <c r="M2216" i="4" a="1"/>
  <c r="M2216" i="4" s="1"/>
  <c r="O2216" i="4" s="1"/>
  <c r="K2216" i="4"/>
  <c r="J2216" i="4"/>
  <c r="I2216" i="4"/>
  <c r="P2215" i="4"/>
  <c r="O2215" i="4"/>
  <c r="M2215" i="4" a="1"/>
  <c r="M2215" i="4" s="1"/>
  <c r="K2215" i="4"/>
  <c r="J2215" i="4"/>
  <c r="I2215" i="4"/>
  <c r="P2214" i="4"/>
  <c r="K2214" i="4"/>
  <c r="J2214" i="4"/>
  <c r="M2214" i="4" s="1" a="1"/>
  <c r="M2214" i="4" s="1"/>
  <c r="O2214" i="4" s="1"/>
  <c r="I2214" i="4"/>
  <c r="P2213" i="4"/>
  <c r="M2213" i="4" a="1"/>
  <c r="M2213" i="4" s="1"/>
  <c r="O2213" i="4" s="1"/>
  <c r="K2213" i="4"/>
  <c r="J2213" i="4"/>
  <c r="I2213" i="4"/>
  <c r="P2212" i="4"/>
  <c r="M2212" i="4" a="1"/>
  <c r="M2212" i="4" s="1"/>
  <c r="O2212" i="4" s="1"/>
  <c r="K2212" i="4"/>
  <c r="J2212" i="4"/>
  <c r="I2212" i="4"/>
  <c r="P2211" i="4"/>
  <c r="K2211" i="4"/>
  <c r="J2211" i="4"/>
  <c r="M2211" i="4" s="1" a="1"/>
  <c r="M2211" i="4" s="1"/>
  <c r="O2211" i="4" s="1"/>
  <c r="I2211" i="4"/>
  <c r="P2210" i="4"/>
  <c r="K2210" i="4"/>
  <c r="J2210" i="4"/>
  <c r="I2210" i="4"/>
  <c r="P2209" i="4"/>
  <c r="K2209" i="4"/>
  <c r="J2209" i="4"/>
  <c r="I2209" i="4"/>
  <c r="M2209" i="4" s="1" a="1"/>
  <c r="M2209" i="4" s="1"/>
  <c r="O2209" i="4" s="1"/>
  <c r="P2208" i="4"/>
  <c r="K2208" i="4"/>
  <c r="J2208" i="4"/>
  <c r="I2208" i="4"/>
  <c r="M2208" i="4" s="1" a="1"/>
  <c r="M2208" i="4" s="1"/>
  <c r="O2208" i="4" s="1"/>
  <c r="P2207" i="4"/>
  <c r="K2207" i="4"/>
  <c r="J2207" i="4"/>
  <c r="I2207" i="4"/>
  <c r="M2207" i="4" s="1" a="1"/>
  <c r="M2207" i="4" s="1"/>
  <c r="O2207" i="4" s="1"/>
  <c r="P2206" i="4"/>
  <c r="M2206" i="4"/>
  <c r="O2206" i="4" s="1"/>
  <c r="K2206" i="4"/>
  <c r="J2206" i="4"/>
  <c r="I2206" i="4"/>
  <c r="M2206" i="4" s="1" a="1"/>
  <c r="P2205" i="4"/>
  <c r="K2205" i="4"/>
  <c r="J2205" i="4"/>
  <c r="I2205" i="4"/>
  <c r="M2205" i="4" s="1" a="1"/>
  <c r="M2205" i="4" s="1"/>
  <c r="O2205" i="4" s="1"/>
  <c r="P2204" i="4"/>
  <c r="K2204" i="4"/>
  <c r="M2204" i="4" s="1" a="1"/>
  <c r="M2204" i="4" s="1"/>
  <c r="O2204" i="4" s="1"/>
  <c r="J2204" i="4"/>
  <c r="I2204" i="4"/>
  <c r="P2203" i="4"/>
  <c r="K2203" i="4"/>
  <c r="J2203" i="4"/>
  <c r="I2203" i="4"/>
  <c r="P2202" i="4"/>
  <c r="K2202" i="4"/>
  <c r="J2202" i="4"/>
  <c r="I2202" i="4"/>
  <c r="M2202" i="4" s="1" a="1"/>
  <c r="M2202" i="4" s="1"/>
  <c r="O2202" i="4" s="1"/>
  <c r="P2201" i="4"/>
  <c r="K2201" i="4"/>
  <c r="J2201" i="4"/>
  <c r="I2201" i="4"/>
  <c r="M2201" i="4" s="1" a="1"/>
  <c r="M2201" i="4" s="1"/>
  <c r="O2201" i="4" s="1"/>
  <c r="P2200" i="4"/>
  <c r="M2200" i="4" a="1"/>
  <c r="M2200" i="4" s="1"/>
  <c r="O2200" i="4" s="1"/>
  <c r="K2200" i="4"/>
  <c r="J2200" i="4"/>
  <c r="I2200" i="4"/>
  <c r="P2199" i="4"/>
  <c r="M2199" i="4" a="1"/>
  <c r="M2199" i="4" s="1"/>
  <c r="O2199" i="4" s="1"/>
  <c r="K2199" i="4"/>
  <c r="J2199" i="4"/>
  <c r="I2199" i="4"/>
  <c r="P2198" i="4"/>
  <c r="K2198" i="4"/>
  <c r="J2198" i="4"/>
  <c r="M2198" i="4" s="1" a="1"/>
  <c r="M2198" i="4" s="1"/>
  <c r="O2198" i="4" s="1"/>
  <c r="I2198" i="4"/>
  <c r="P2197" i="4"/>
  <c r="M2197" i="4" a="1"/>
  <c r="M2197" i="4" s="1"/>
  <c r="O2197" i="4" s="1"/>
  <c r="K2197" i="4"/>
  <c r="J2197" i="4"/>
  <c r="I2197" i="4"/>
  <c r="P2196" i="4"/>
  <c r="M2196" i="4" a="1"/>
  <c r="M2196" i="4" s="1"/>
  <c r="O2196" i="4" s="1"/>
  <c r="K2196" i="4"/>
  <c r="J2196" i="4"/>
  <c r="I2196" i="4"/>
  <c r="P2195" i="4"/>
  <c r="K2195" i="4"/>
  <c r="J2195" i="4"/>
  <c r="M2195" i="4" s="1" a="1"/>
  <c r="M2195" i="4" s="1"/>
  <c r="O2195" i="4" s="1"/>
  <c r="I2195" i="4"/>
  <c r="P2194" i="4"/>
  <c r="K2194" i="4"/>
  <c r="J2194" i="4"/>
  <c r="I2194" i="4"/>
  <c r="P2193" i="4"/>
  <c r="K2193" i="4"/>
  <c r="J2193" i="4"/>
  <c r="I2193" i="4"/>
  <c r="M2193" i="4" s="1" a="1"/>
  <c r="M2193" i="4" s="1"/>
  <c r="O2193" i="4" s="1"/>
  <c r="P2192" i="4"/>
  <c r="K2192" i="4"/>
  <c r="J2192" i="4"/>
  <c r="I2192" i="4"/>
  <c r="M2192" i="4" s="1" a="1"/>
  <c r="M2192" i="4" s="1"/>
  <c r="O2192" i="4" s="1"/>
  <c r="P2191" i="4"/>
  <c r="K2191" i="4"/>
  <c r="J2191" i="4"/>
  <c r="I2191" i="4"/>
  <c r="M2191" i="4" s="1" a="1"/>
  <c r="M2191" i="4" s="1"/>
  <c r="O2191" i="4" s="1"/>
  <c r="P2190" i="4"/>
  <c r="M2190" i="4"/>
  <c r="O2190" i="4" s="1"/>
  <c r="K2190" i="4"/>
  <c r="J2190" i="4"/>
  <c r="I2190" i="4"/>
  <c r="M2190" i="4" s="1" a="1"/>
  <c r="P2189" i="4"/>
  <c r="K2189" i="4"/>
  <c r="J2189" i="4"/>
  <c r="I2189" i="4"/>
  <c r="M2189" i="4" s="1" a="1"/>
  <c r="M2189" i="4" s="1"/>
  <c r="O2189" i="4" s="1"/>
  <c r="P2188" i="4"/>
  <c r="K2188" i="4"/>
  <c r="M2188" i="4" s="1" a="1"/>
  <c r="M2188" i="4" s="1"/>
  <c r="O2188" i="4" s="1"/>
  <c r="J2188" i="4"/>
  <c r="I2188" i="4"/>
  <c r="P2187" i="4"/>
  <c r="K2187" i="4"/>
  <c r="J2187" i="4"/>
  <c r="M2187" i="4" s="1" a="1"/>
  <c r="M2187" i="4" s="1"/>
  <c r="O2187" i="4" s="1"/>
  <c r="I2187" i="4"/>
  <c r="P2186" i="4"/>
  <c r="K2186" i="4"/>
  <c r="J2186" i="4"/>
  <c r="I2186" i="4"/>
  <c r="M2186" i="4" s="1" a="1"/>
  <c r="M2186" i="4" s="1"/>
  <c r="O2186" i="4" s="1"/>
  <c r="P2185" i="4"/>
  <c r="K2185" i="4"/>
  <c r="J2185" i="4"/>
  <c r="I2185" i="4"/>
  <c r="M2185" i="4" s="1" a="1"/>
  <c r="M2185" i="4" s="1"/>
  <c r="O2185" i="4" s="1"/>
  <c r="P2184" i="4"/>
  <c r="M2184" i="4" a="1"/>
  <c r="M2184" i="4" s="1"/>
  <c r="O2184" i="4" s="1"/>
  <c r="K2184" i="4"/>
  <c r="J2184" i="4"/>
  <c r="I2184" i="4"/>
  <c r="P2183" i="4"/>
  <c r="O2183" i="4"/>
  <c r="M2183" i="4" a="1"/>
  <c r="M2183" i="4" s="1"/>
  <c r="K2183" i="4"/>
  <c r="J2183" i="4"/>
  <c r="I2183" i="4"/>
  <c r="P2182" i="4"/>
  <c r="K2182" i="4"/>
  <c r="J2182" i="4"/>
  <c r="M2182" i="4" s="1" a="1"/>
  <c r="M2182" i="4" s="1"/>
  <c r="O2182" i="4" s="1"/>
  <c r="I2182" i="4"/>
  <c r="P2181" i="4"/>
  <c r="M2181" i="4" a="1"/>
  <c r="M2181" i="4" s="1"/>
  <c r="O2181" i="4" s="1"/>
  <c r="K2181" i="4"/>
  <c r="J2181" i="4"/>
  <c r="I2181" i="4"/>
  <c r="P2180" i="4"/>
  <c r="M2180" i="4" a="1"/>
  <c r="M2180" i="4" s="1"/>
  <c r="O2180" i="4" s="1"/>
  <c r="K2180" i="4"/>
  <c r="J2180" i="4"/>
  <c r="I2180" i="4"/>
  <c r="P2179" i="4"/>
  <c r="K2179" i="4"/>
  <c r="J2179" i="4"/>
  <c r="M2179" i="4" s="1" a="1"/>
  <c r="M2179" i="4" s="1"/>
  <c r="O2179" i="4" s="1"/>
  <c r="I2179" i="4"/>
  <c r="P2178" i="4"/>
  <c r="K2178" i="4"/>
  <c r="J2178" i="4"/>
  <c r="I2178" i="4"/>
  <c r="M2178" i="4" s="1" a="1"/>
  <c r="M2178" i="4" s="1"/>
  <c r="O2178" i="4" s="1"/>
  <c r="P2177" i="4"/>
  <c r="K2177" i="4"/>
  <c r="J2177" i="4"/>
  <c r="I2177" i="4"/>
  <c r="M2177" i="4" s="1" a="1"/>
  <c r="M2177" i="4" s="1"/>
  <c r="O2177" i="4" s="1"/>
  <c r="P2176" i="4"/>
  <c r="K2176" i="4"/>
  <c r="J2176" i="4"/>
  <c r="I2176" i="4"/>
  <c r="M2176" i="4" s="1" a="1"/>
  <c r="M2176" i="4" s="1"/>
  <c r="O2176" i="4" s="1"/>
  <c r="P2175" i="4"/>
  <c r="K2175" i="4"/>
  <c r="J2175" i="4"/>
  <c r="I2175" i="4"/>
  <c r="M2175" i="4" s="1" a="1"/>
  <c r="M2175" i="4" s="1"/>
  <c r="O2175" i="4" s="1"/>
  <c r="P2174" i="4"/>
  <c r="M2174" i="4"/>
  <c r="O2174" i="4" s="1"/>
  <c r="K2174" i="4"/>
  <c r="J2174" i="4"/>
  <c r="I2174" i="4"/>
  <c r="M2174" i="4" s="1" a="1"/>
  <c r="P2173" i="4"/>
  <c r="M2173" i="4"/>
  <c r="O2173" i="4" s="1"/>
  <c r="K2173" i="4"/>
  <c r="J2173" i="4"/>
  <c r="I2173" i="4"/>
  <c r="M2173" i="4" s="1" a="1"/>
  <c r="P2172" i="4"/>
  <c r="K2172" i="4"/>
  <c r="M2172" i="4" s="1" a="1"/>
  <c r="M2172" i="4" s="1"/>
  <c r="O2172" i="4" s="1"/>
  <c r="J2172" i="4"/>
  <c r="I2172" i="4"/>
  <c r="P2171" i="4"/>
  <c r="K2171" i="4"/>
  <c r="J2171" i="4"/>
  <c r="M2171" i="4" s="1" a="1"/>
  <c r="M2171" i="4" s="1"/>
  <c r="O2171" i="4" s="1"/>
  <c r="I2171" i="4"/>
  <c r="P2170" i="4"/>
  <c r="K2170" i="4"/>
  <c r="J2170" i="4"/>
  <c r="I2170" i="4"/>
  <c r="P2169" i="4"/>
  <c r="K2169" i="4"/>
  <c r="J2169" i="4"/>
  <c r="I2169" i="4"/>
  <c r="M2169" i="4" s="1" a="1"/>
  <c r="M2169" i="4" s="1"/>
  <c r="O2169" i="4" s="1"/>
  <c r="P2168" i="4"/>
  <c r="M2168" i="4" a="1"/>
  <c r="M2168" i="4" s="1"/>
  <c r="O2168" i="4" s="1"/>
  <c r="K2168" i="4"/>
  <c r="J2168" i="4"/>
  <c r="I2168" i="4"/>
  <c r="P2167" i="4"/>
  <c r="O2167" i="4"/>
  <c r="M2167" i="4" a="1"/>
  <c r="M2167" i="4" s="1"/>
  <c r="K2167" i="4"/>
  <c r="J2167" i="4"/>
  <c r="I2167" i="4"/>
  <c r="P2166" i="4"/>
  <c r="K2166" i="4"/>
  <c r="J2166" i="4"/>
  <c r="M2166" i="4" s="1" a="1"/>
  <c r="M2166" i="4" s="1"/>
  <c r="O2166" i="4" s="1"/>
  <c r="I2166" i="4"/>
  <c r="P2165" i="4"/>
  <c r="M2165" i="4" a="1"/>
  <c r="M2165" i="4" s="1"/>
  <c r="O2165" i="4" s="1"/>
  <c r="K2165" i="4"/>
  <c r="J2165" i="4"/>
  <c r="I2165" i="4"/>
  <c r="P2164" i="4"/>
  <c r="M2164" i="4" a="1"/>
  <c r="M2164" i="4" s="1"/>
  <c r="O2164" i="4" s="1"/>
  <c r="K2164" i="4"/>
  <c r="J2164" i="4"/>
  <c r="I2164" i="4"/>
  <c r="P2163" i="4"/>
  <c r="K2163" i="4"/>
  <c r="J2163" i="4"/>
  <c r="I2163" i="4"/>
  <c r="P2162" i="4"/>
  <c r="K2162" i="4"/>
  <c r="J2162" i="4"/>
  <c r="I2162" i="4"/>
  <c r="M2162" i="4" s="1" a="1"/>
  <c r="M2162" i="4" s="1"/>
  <c r="O2162" i="4" s="1"/>
  <c r="P2161" i="4"/>
  <c r="M2161" i="4"/>
  <c r="O2161" i="4" s="1"/>
  <c r="K2161" i="4"/>
  <c r="J2161" i="4"/>
  <c r="I2161" i="4"/>
  <c r="M2161" i="4" s="1" a="1"/>
  <c r="P2160" i="4"/>
  <c r="K2160" i="4"/>
  <c r="J2160" i="4"/>
  <c r="I2160" i="4"/>
  <c r="M2160" i="4" s="1" a="1"/>
  <c r="M2160" i="4" s="1"/>
  <c r="O2160" i="4" s="1"/>
  <c r="P2159" i="4"/>
  <c r="K2159" i="4"/>
  <c r="J2159" i="4"/>
  <c r="I2159" i="4"/>
  <c r="M2159" i="4" s="1" a="1"/>
  <c r="M2159" i="4" s="1"/>
  <c r="O2159" i="4" s="1"/>
  <c r="P2158" i="4"/>
  <c r="K2158" i="4"/>
  <c r="J2158" i="4"/>
  <c r="I2158" i="4"/>
  <c r="M2158" i="4" s="1" a="1"/>
  <c r="M2158" i="4" s="1"/>
  <c r="O2158" i="4" s="1"/>
  <c r="P2157" i="4"/>
  <c r="K2157" i="4"/>
  <c r="J2157" i="4"/>
  <c r="I2157" i="4"/>
  <c r="M2157" i="4" s="1" a="1"/>
  <c r="M2157" i="4" s="1"/>
  <c r="O2157" i="4" s="1"/>
  <c r="P2156" i="4"/>
  <c r="M2156" i="4" a="1"/>
  <c r="M2156" i="4" s="1"/>
  <c r="O2156" i="4" s="1"/>
  <c r="K2156" i="4"/>
  <c r="J2156" i="4"/>
  <c r="I2156" i="4"/>
  <c r="P2155" i="4"/>
  <c r="K2155" i="4"/>
  <c r="J2155" i="4"/>
  <c r="M2155" i="4" s="1" a="1"/>
  <c r="M2155" i="4" s="1"/>
  <c r="O2155" i="4" s="1"/>
  <c r="I2155" i="4"/>
  <c r="P2154" i="4"/>
  <c r="K2154" i="4"/>
  <c r="J2154" i="4"/>
  <c r="I2154" i="4"/>
  <c r="P2153" i="4"/>
  <c r="K2153" i="4"/>
  <c r="J2153" i="4"/>
  <c r="I2153" i="4"/>
  <c r="M2153" i="4" s="1" a="1"/>
  <c r="M2153" i="4" s="1"/>
  <c r="O2153" i="4" s="1"/>
  <c r="P2152" i="4"/>
  <c r="M2152" i="4" a="1"/>
  <c r="M2152" i="4" s="1"/>
  <c r="O2152" i="4" s="1"/>
  <c r="K2152" i="4"/>
  <c r="J2152" i="4"/>
  <c r="I2152" i="4"/>
  <c r="P2151" i="4"/>
  <c r="O2151" i="4"/>
  <c r="M2151" i="4" a="1"/>
  <c r="M2151" i="4" s="1"/>
  <c r="K2151" i="4"/>
  <c r="J2151" i="4"/>
  <c r="I2151" i="4"/>
  <c r="P2150" i="4"/>
  <c r="O2150" i="4"/>
  <c r="K2150" i="4"/>
  <c r="J2150" i="4"/>
  <c r="M2150" i="4" s="1" a="1"/>
  <c r="M2150" i="4" s="1"/>
  <c r="I2150" i="4"/>
  <c r="P2149" i="4"/>
  <c r="M2149" i="4"/>
  <c r="O2149" i="4" s="1"/>
  <c r="M2149" i="4" a="1"/>
  <c r="K2149" i="4"/>
  <c r="J2149" i="4"/>
  <c r="I2149" i="4"/>
  <c r="P2148" i="4"/>
  <c r="M2148" i="4" a="1"/>
  <c r="M2148" i="4" s="1"/>
  <c r="O2148" i="4" s="1"/>
  <c r="K2148" i="4"/>
  <c r="J2148" i="4"/>
  <c r="I2148" i="4"/>
  <c r="P2147" i="4"/>
  <c r="K2147" i="4"/>
  <c r="J2147" i="4"/>
  <c r="M2147" i="4" s="1" a="1"/>
  <c r="M2147" i="4" s="1"/>
  <c r="O2147" i="4" s="1"/>
  <c r="I2147" i="4"/>
  <c r="P2146" i="4"/>
  <c r="K2146" i="4"/>
  <c r="J2146" i="4"/>
  <c r="I2146" i="4"/>
  <c r="P2145" i="4"/>
  <c r="M2145" i="4"/>
  <c r="O2145" i="4" s="1"/>
  <c r="K2145" i="4"/>
  <c r="J2145" i="4"/>
  <c r="I2145" i="4"/>
  <c r="M2145" i="4" s="1" a="1"/>
  <c r="P2144" i="4"/>
  <c r="K2144" i="4"/>
  <c r="J2144" i="4"/>
  <c r="I2144" i="4"/>
  <c r="M2144" i="4" s="1" a="1"/>
  <c r="M2144" i="4" s="1"/>
  <c r="O2144" i="4" s="1"/>
  <c r="P2143" i="4"/>
  <c r="K2143" i="4"/>
  <c r="J2143" i="4"/>
  <c r="I2143" i="4"/>
  <c r="P2142" i="4"/>
  <c r="K2142" i="4"/>
  <c r="J2142" i="4"/>
  <c r="I2142" i="4"/>
  <c r="M2142" i="4" s="1" a="1"/>
  <c r="M2142" i="4" s="1"/>
  <c r="O2142" i="4" s="1"/>
  <c r="P2141" i="4"/>
  <c r="M2141" i="4"/>
  <c r="O2141" i="4" s="1"/>
  <c r="K2141" i="4"/>
  <c r="J2141" i="4"/>
  <c r="I2141" i="4"/>
  <c r="M2141" i="4" s="1" a="1"/>
  <c r="P2140" i="4"/>
  <c r="K2140" i="4"/>
  <c r="M2140" i="4" s="1" a="1"/>
  <c r="M2140" i="4" s="1"/>
  <c r="O2140" i="4" s="1"/>
  <c r="J2140" i="4"/>
  <c r="I2140" i="4"/>
  <c r="P2139" i="4"/>
  <c r="K2139" i="4"/>
  <c r="J2139" i="4"/>
  <c r="I2139" i="4"/>
  <c r="P2138" i="4"/>
  <c r="O2138" i="4"/>
  <c r="K2138" i="4"/>
  <c r="J2138" i="4"/>
  <c r="I2138" i="4"/>
  <c r="M2138" i="4" s="1" a="1"/>
  <c r="M2138" i="4" s="1"/>
  <c r="P2137" i="4"/>
  <c r="K2137" i="4"/>
  <c r="J2137" i="4"/>
  <c r="I2137" i="4"/>
  <c r="M2137" i="4" s="1" a="1"/>
  <c r="M2137" i="4" s="1"/>
  <c r="O2137" i="4" s="1"/>
  <c r="P2136" i="4"/>
  <c r="M2136" i="4" a="1"/>
  <c r="M2136" i="4" s="1"/>
  <c r="O2136" i="4" s="1"/>
  <c r="K2136" i="4"/>
  <c r="J2136" i="4"/>
  <c r="I2136" i="4"/>
  <c r="P2135" i="4"/>
  <c r="M2135" i="4" a="1"/>
  <c r="M2135" i="4" s="1"/>
  <c r="O2135" i="4" s="1"/>
  <c r="K2135" i="4"/>
  <c r="J2135" i="4"/>
  <c r="I2135" i="4"/>
  <c r="P2134" i="4"/>
  <c r="K2134" i="4"/>
  <c r="J2134" i="4"/>
  <c r="M2134" i="4" s="1" a="1"/>
  <c r="M2134" i="4" s="1"/>
  <c r="O2134" i="4" s="1"/>
  <c r="I2134" i="4"/>
  <c r="P2133" i="4"/>
  <c r="K2133" i="4"/>
  <c r="J2133" i="4"/>
  <c r="M2133" i="4" s="1" a="1"/>
  <c r="M2133" i="4" s="1"/>
  <c r="O2133" i="4" s="1"/>
  <c r="I2133" i="4"/>
  <c r="P2132" i="4"/>
  <c r="M2132" i="4" a="1"/>
  <c r="M2132" i="4" s="1"/>
  <c r="O2132" i="4" s="1"/>
  <c r="K2132" i="4"/>
  <c r="J2132" i="4"/>
  <c r="I2132" i="4"/>
  <c r="P2131" i="4"/>
  <c r="K2131" i="4"/>
  <c r="J2131" i="4"/>
  <c r="I2131" i="4"/>
  <c r="P2130" i="4"/>
  <c r="K2130" i="4"/>
  <c r="J2130" i="4"/>
  <c r="I2130" i="4"/>
  <c r="P2129" i="4"/>
  <c r="K2129" i="4"/>
  <c r="J2129" i="4"/>
  <c r="I2129" i="4"/>
  <c r="M2129" i="4" s="1" a="1"/>
  <c r="M2129" i="4" s="1"/>
  <c r="O2129" i="4" s="1"/>
  <c r="P2128" i="4"/>
  <c r="M2128" i="4"/>
  <c r="O2128" i="4" s="1"/>
  <c r="K2128" i="4"/>
  <c r="J2128" i="4"/>
  <c r="I2128" i="4"/>
  <c r="M2128" i="4" s="1" a="1"/>
  <c r="P2127" i="4"/>
  <c r="K2127" i="4"/>
  <c r="J2127" i="4"/>
  <c r="I2127" i="4"/>
  <c r="P2126" i="4"/>
  <c r="M2126" i="4"/>
  <c r="O2126" i="4" s="1"/>
  <c r="K2126" i="4"/>
  <c r="J2126" i="4"/>
  <c r="I2126" i="4"/>
  <c r="M2126" i="4" s="1" a="1"/>
  <c r="P2125" i="4"/>
  <c r="M2125" i="4"/>
  <c r="O2125" i="4" s="1"/>
  <c r="K2125" i="4"/>
  <c r="J2125" i="4"/>
  <c r="I2125" i="4"/>
  <c r="M2125" i="4" s="1" a="1"/>
  <c r="P2124" i="4"/>
  <c r="K2124" i="4"/>
  <c r="J2124" i="4"/>
  <c r="I2124" i="4"/>
  <c r="M2124" i="4" s="1" a="1"/>
  <c r="M2124" i="4" s="1"/>
  <c r="O2124" i="4" s="1"/>
  <c r="P2123" i="4"/>
  <c r="K2123" i="4"/>
  <c r="J2123" i="4"/>
  <c r="M2123" i="4" s="1" a="1"/>
  <c r="M2123" i="4" s="1"/>
  <c r="O2123" i="4" s="1"/>
  <c r="I2123" i="4"/>
  <c r="P2122" i="4"/>
  <c r="M2122" i="4" a="1"/>
  <c r="M2122" i="4" s="1"/>
  <c r="O2122" i="4" s="1"/>
  <c r="K2122" i="4"/>
  <c r="J2122" i="4"/>
  <c r="I2122" i="4"/>
  <c r="P2121" i="4"/>
  <c r="K2121" i="4"/>
  <c r="J2121" i="4"/>
  <c r="I2121" i="4"/>
  <c r="M2121" i="4" s="1" a="1"/>
  <c r="M2121" i="4" s="1"/>
  <c r="O2121" i="4" s="1"/>
  <c r="P2120" i="4"/>
  <c r="K2120" i="4"/>
  <c r="J2120" i="4"/>
  <c r="M2120" i="4" s="1" a="1"/>
  <c r="M2120" i="4" s="1"/>
  <c r="O2120" i="4" s="1"/>
  <c r="I2120" i="4"/>
  <c r="P2119" i="4"/>
  <c r="M2119" i="4" a="1"/>
  <c r="M2119" i="4" s="1"/>
  <c r="O2119" i="4" s="1"/>
  <c r="K2119" i="4"/>
  <c r="J2119" i="4"/>
  <c r="I2119" i="4"/>
  <c r="P2118" i="4"/>
  <c r="K2118" i="4"/>
  <c r="J2118" i="4"/>
  <c r="M2118" i="4" s="1" a="1"/>
  <c r="M2118" i="4" s="1"/>
  <c r="O2118" i="4" s="1"/>
  <c r="I2118" i="4"/>
  <c r="P2117" i="4"/>
  <c r="K2117" i="4"/>
  <c r="J2117" i="4"/>
  <c r="M2117" i="4" s="1" a="1"/>
  <c r="M2117" i="4" s="1"/>
  <c r="O2117" i="4" s="1"/>
  <c r="I2117" i="4"/>
  <c r="P2116" i="4"/>
  <c r="M2116" i="4" a="1"/>
  <c r="M2116" i="4" s="1"/>
  <c r="O2116" i="4" s="1"/>
  <c r="K2116" i="4"/>
  <c r="J2116" i="4"/>
  <c r="I2116" i="4"/>
  <c r="P2115" i="4"/>
  <c r="K2115" i="4"/>
  <c r="J2115" i="4"/>
  <c r="M2115" i="4" s="1" a="1"/>
  <c r="M2115" i="4" s="1"/>
  <c r="O2115" i="4" s="1"/>
  <c r="I2115" i="4"/>
  <c r="P2114" i="4"/>
  <c r="K2114" i="4"/>
  <c r="J2114" i="4"/>
  <c r="I2114" i="4"/>
  <c r="M2114" i="4" s="1" a="1"/>
  <c r="M2114" i="4" s="1"/>
  <c r="O2114" i="4" s="1"/>
  <c r="P2113" i="4"/>
  <c r="K2113" i="4"/>
  <c r="J2113" i="4"/>
  <c r="I2113" i="4"/>
  <c r="M2113" i="4" s="1" a="1"/>
  <c r="M2113" i="4" s="1"/>
  <c r="O2113" i="4" s="1"/>
  <c r="P2112" i="4"/>
  <c r="M2112" i="4"/>
  <c r="O2112" i="4" s="1"/>
  <c r="K2112" i="4"/>
  <c r="J2112" i="4"/>
  <c r="I2112" i="4"/>
  <c r="M2112" i="4" s="1" a="1"/>
  <c r="P2111" i="4"/>
  <c r="K2111" i="4"/>
  <c r="J2111" i="4"/>
  <c r="I2111" i="4"/>
  <c r="P2110" i="4"/>
  <c r="K2110" i="4"/>
  <c r="J2110" i="4"/>
  <c r="I2110" i="4"/>
  <c r="M2110" i="4" s="1" a="1"/>
  <c r="M2110" i="4" s="1"/>
  <c r="O2110" i="4" s="1"/>
  <c r="P2109" i="4"/>
  <c r="M2109" i="4"/>
  <c r="O2109" i="4" s="1"/>
  <c r="K2109" i="4"/>
  <c r="J2109" i="4"/>
  <c r="I2109" i="4"/>
  <c r="M2109" i="4" s="1" a="1"/>
  <c r="P2108" i="4"/>
  <c r="M2108" i="4" a="1"/>
  <c r="M2108" i="4" s="1"/>
  <c r="O2108" i="4" s="1"/>
  <c r="K2108" i="4"/>
  <c r="J2108" i="4"/>
  <c r="I2108" i="4"/>
  <c r="P2107" i="4"/>
  <c r="K2107" i="4"/>
  <c r="J2107" i="4"/>
  <c r="M2107" i="4" s="1" a="1"/>
  <c r="M2107" i="4" s="1"/>
  <c r="O2107" i="4" s="1"/>
  <c r="I2107" i="4"/>
  <c r="P2106" i="4"/>
  <c r="M2106" i="4" a="1"/>
  <c r="M2106" i="4" s="1"/>
  <c r="O2106" i="4" s="1"/>
  <c r="K2106" i="4"/>
  <c r="J2106" i="4"/>
  <c r="I2106" i="4"/>
  <c r="P2105" i="4"/>
  <c r="K2105" i="4"/>
  <c r="J2105" i="4"/>
  <c r="I2105" i="4"/>
  <c r="P2104" i="4"/>
  <c r="K2104" i="4"/>
  <c r="J2104" i="4"/>
  <c r="M2104" i="4" s="1" a="1"/>
  <c r="M2104" i="4" s="1"/>
  <c r="O2104" i="4" s="1"/>
  <c r="I2104" i="4"/>
  <c r="P2103" i="4"/>
  <c r="M2103" i="4" a="1"/>
  <c r="M2103" i="4" s="1"/>
  <c r="O2103" i="4" s="1"/>
  <c r="K2103" i="4"/>
  <c r="J2103" i="4"/>
  <c r="I2103" i="4"/>
  <c r="P2102" i="4"/>
  <c r="O2102" i="4"/>
  <c r="M2102" i="4"/>
  <c r="K2102" i="4"/>
  <c r="J2102" i="4"/>
  <c r="M2102" i="4" s="1" a="1"/>
  <c r="I2102" i="4"/>
  <c r="P2101" i="4"/>
  <c r="K2101" i="4"/>
  <c r="J2101" i="4"/>
  <c r="M2101" i="4" s="1" a="1"/>
  <c r="M2101" i="4" s="1"/>
  <c r="O2101" i="4" s="1"/>
  <c r="I2101" i="4"/>
  <c r="P2100" i="4"/>
  <c r="M2100" i="4" a="1"/>
  <c r="M2100" i="4" s="1"/>
  <c r="O2100" i="4" s="1"/>
  <c r="K2100" i="4"/>
  <c r="J2100" i="4"/>
  <c r="I2100" i="4"/>
  <c r="P2099" i="4"/>
  <c r="K2099" i="4"/>
  <c r="J2099" i="4"/>
  <c r="M2099" i="4" s="1" a="1"/>
  <c r="M2099" i="4" s="1"/>
  <c r="O2099" i="4" s="1"/>
  <c r="I2099" i="4"/>
  <c r="P2098" i="4"/>
  <c r="K2098" i="4"/>
  <c r="J2098" i="4"/>
  <c r="I2098" i="4"/>
  <c r="M2098" i="4" s="1" a="1"/>
  <c r="M2098" i="4" s="1"/>
  <c r="O2098" i="4" s="1"/>
  <c r="P2097" i="4"/>
  <c r="K2097" i="4"/>
  <c r="J2097" i="4"/>
  <c r="I2097" i="4"/>
  <c r="P2096" i="4"/>
  <c r="M2096" i="4"/>
  <c r="O2096" i="4" s="1"/>
  <c r="K2096" i="4"/>
  <c r="J2096" i="4"/>
  <c r="I2096" i="4"/>
  <c r="M2096" i="4" s="1" a="1"/>
  <c r="P2095" i="4"/>
  <c r="K2095" i="4"/>
  <c r="J2095" i="4"/>
  <c r="I2095" i="4"/>
  <c r="M2095" i="4" s="1" a="1"/>
  <c r="M2095" i="4" s="1"/>
  <c r="O2095" i="4" s="1"/>
  <c r="P2094" i="4"/>
  <c r="K2094" i="4"/>
  <c r="J2094" i="4"/>
  <c r="I2094" i="4"/>
  <c r="P2093" i="4"/>
  <c r="K2093" i="4"/>
  <c r="J2093" i="4"/>
  <c r="I2093" i="4"/>
  <c r="M2093" i="4" s="1" a="1"/>
  <c r="M2093" i="4" s="1"/>
  <c r="O2093" i="4" s="1"/>
  <c r="P2092" i="4"/>
  <c r="K2092" i="4"/>
  <c r="M2092" i="4" s="1" a="1"/>
  <c r="M2092" i="4" s="1"/>
  <c r="O2092" i="4" s="1"/>
  <c r="J2092" i="4"/>
  <c r="I2092" i="4"/>
  <c r="P2091" i="4"/>
  <c r="K2091" i="4"/>
  <c r="J2091" i="4"/>
  <c r="M2091" i="4" s="1" a="1"/>
  <c r="M2091" i="4" s="1"/>
  <c r="O2091" i="4" s="1"/>
  <c r="I2091" i="4"/>
  <c r="P2090" i="4"/>
  <c r="K2090" i="4"/>
  <c r="J2090" i="4"/>
  <c r="I2090" i="4"/>
  <c r="M2090" i="4" s="1" a="1"/>
  <c r="M2090" i="4" s="1"/>
  <c r="O2090" i="4" s="1"/>
  <c r="P2089" i="4"/>
  <c r="O2089" i="4"/>
  <c r="K2089" i="4"/>
  <c r="J2089" i="4"/>
  <c r="I2089" i="4"/>
  <c r="M2089" i="4" s="1" a="1"/>
  <c r="M2089" i="4" s="1"/>
  <c r="P2088" i="4"/>
  <c r="K2088" i="4"/>
  <c r="J2088" i="4"/>
  <c r="M2088" i="4" s="1" a="1"/>
  <c r="M2088" i="4" s="1"/>
  <c r="O2088" i="4" s="1"/>
  <c r="I2088" i="4"/>
  <c r="P2087" i="4"/>
  <c r="O2087" i="4"/>
  <c r="M2087" i="4" a="1"/>
  <c r="M2087" i="4" s="1"/>
  <c r="K2087" i="4"/>
  <c r="J2087" i="4"/>
  <c r="I2087" i="4"/>
  <c r="P2086" i="4"/>
  <c r="M2086" i="4"/>
  <c r="O2086" i="4" s="1"/>
  <c r="K2086" i="4"/>
  <c r="J2086" i="4"/>
  <c r="M2086" i="4" s="1" a="1"/>
  <c r="I2086" i="4"/>
  <c r="P2085" i="4"/>
  <c r="M2085" i="4" a="1"/>
  <c r="M2085" i="4" s="1"/>
  <c r="O2085" i="4" s="1"/>
  <c r="K2085" i="4"/>
  <c r="J2085" i="4"/>
  <c r="I2085" i="4"/>
  <c r="P2084" i="4"/>
  <c r="K2084" i="4"/>
  <c r="M2084" i="4" s="1" a="1"/>
  <c r="M2084" i="4" s="1"/>
  <c r="O2084" i="4" s="1"/>
  <c r="J2084" i="4"/>
  <c r="I2084" i="4"/>
  <c r="P2083" i="4"/>
  <c r="K2083" i="4"/>
  <c r="J2083" i="4"/>
  <c r="I2083" i="4"/>
  <c r="P2082" i="4"/>
  <c r="K2082" i="4"/>
  <c r="J2082" i="4"/>
  <c r="I2082" i="4"/>
  <c r="P2081" i="4"/>
  <c r="K2081" i="4"/>
  <c r="J2081" i="4"/>
  <c r="I2081" i="4"/>
  <c r="P2080" i="4"/>
  <c r="M2080" i="4"/>
  <c r="O2080" i="4" s="1"/>
  <c r="K2080" i="4"/>
  <c r="J2080" i="4"/>
  <c r="I2080" i="4"/>
  <c r="M2080" i="4" s="1" a="1"/>
  <c r="P2079" i="4"/>
  <c r="K2079" i="4"/>
  <c r="J2079" i="4"/>
  <c r="I2079" i="4"/>
  <c r="M2079" i="4" s="1" a="1"/>
  <c r="M2079" i="4" s="1"/>
  <c r="O2079" i="4" s="1"/>
  <c r="P2078" i="4"/>
  <c r="K2078" i="4"/>
  <c r="J2078" i="4"/>
  <c r="I2078" i="4"/>
  <c r="P2077" i="4"/>
  <c r="M2077" i="4"/>
  <c r="O2077" i="4" s="1"/>
  <c r="M2077" i="4" a="1"/>
  <c r="K2077" i="4"/>
  <c r="J2077" i="4"/>
  <c r="I2077" i="4"/>
  <c r="P2076" i="4"/>
  <c r="M2076" i="4" a="1"/>
  <c r="M2076" i="4" s="1"/>
  <c r="O2076" i="4" s="1"/>
  <c r="K2076" i="4"/>
  <c r="J2076" i="4"/>
  <c r="I2076" i="4"/>
  <c r="P2075" i="4"/>
  <c r="K2075" i="4"/>
  <c r="J2075" i="4"/>
  <c r="M2075" i="4" s="1" a="1"/>
  <c r="M2075" i="4" s="1"/>
  <c r="O2075" i="4" s="1"/>
  <c r="I2075" i="4"/>
  <c r="P2074" i="4"/>
  <c r="M2074" i="4" a="1"/>
  <c r="M2074" i="4" s="1"/>
  <c r="O2074" i="4" s="1"/>
  <c r="K2074" i="4"/>
  <c r="J2074" i="4"/>
  <c r="I2074" i="4"/>
  <c r="P2073" i="4"/>
  <c r="K2073" i="4"/>
  <c r="J2073" i="4"/>
  <c r="I2073" i="4"/>
  <c r="P2072" i="4"/>
  <c r="K2072" i="4"/>
  <c r="J2072" i="4"/>
  <c r="M2072" i="4" s="1" a="1"/>
  <c r="M2072" i="4" s="1"/>
  <c r="O2072" i="4" s="1"/>
  <c r="I2072" i="4"/>
  <c r="P2071" i="4"/>
  <c r="M2071" i="4" a="1"/>
  <c r="M2071" i="4" s="1"/>
  <c r="O2071" i="4" s="1"/>
  <c r="K2071" i="4"/>
  <c r="J2071" i="4"/>
  <c r="I2071" i="4"/>
  <c r="P2070" i="4"/>
  <c r="O2070" i="4"/>
  <c r="M2070" i="4"/>
  <c r="K2070" i="4"/>
  <c r="J2070" i="4"/>
  <c r="M2070" i="4" s="1" a="1"/>
  <c r="I2070" i="4"/>
  <c r="P2069" i="4"/>
  <c r="K2069" i="4"/>
  <c r="J2069" i="4"/>
  <c r="M2069" i="4" s="1" a="1"/>
  <c r="M2069" i="4" s="1"/>
  <c r="O2069" i="4" s="1"/>
  <c r="I2069" i="4"/>
  <c r="P2068" i="4"/>
  <c r="M2068" i="4" a="1"/>
  <c r="M2068" i="4" s="1"/>
  <c r="O2068" i="4" s="1"/>
  <c r="K2068" i="4"/>
  <c r="J2068" i="4"/>
  <c r="I2068" i="4"/>
  <c r="P2067" i="4"/>
  <c r="K2067" i="4"/>
  <c r="J2067" i="4"/>
  <c r="M2067" i="4" s="1" a="1"/>
  <c r="M2067" i="4" s="1"/>
  <c r="O2067" i="4" s="1"/>
  <c r="I2067" i="4"/>
  <c r="P2066" i="4"/>
  <c r="K2066" i="4"/>
  <c r="J2066" i="4"/>
  <c r="I2066" i="4"/>
  <c r="M2066" i="4" s="1" a="1"/>
  <c r="M2066" i="4" s="1"/>
  <c r="O2066" i="4" s="1"/>
  <c r="P2065" i="4"/>
  <c r="K2065" i="4"/>
  <c r="J2065" i="4"/>
  <c r="I2065" i="4"/>
  <c r="P2064" i="4"/>
  <c r="M2064" i="4"/>
  <c r="O2064" i="4" s="1"/>
  <c r="K2064" i="4"/>
  <c r="J2064" i="4"/>
  <c r="I2064" i="4"/>
  <c r="M2064" i="4" s="1" a="1"/>
  <c r="P2063" i="4"/>
  <c r="K2063" i="4"/>
  <c r="J2063" i="4"/>
  <c r="I2063" i="4"/>
  <c r="M2063" i="4" s="1" a="1"/>
  <c r="M2063" i="4" s="1"/>
  <c r="O2063" i="4" s="1"/>
  <c r="P2062" i="4"/>
  <c r="K2062" i="4"/>
  <c r="J2062" i="4"/>
  <c r="I2062" i="4"/>
  <c r="P2061" i="4"/>
  <c r="K2061" i="4"/>
  <c r="J2061" i="4"/>
  <c r="I2061" i="4"/>
  <c r="M2061" i="4" s="1" a="1"/>
  <c r="M2061" i="4" s="1"/>
  <c r="O2061" i="4" s="1"/>
  <c r="P2060" i="4"/>
  <c r="K2060" i="4"/>
  <c r="M2060" i="4" s="1" a="1"/>
  <c r="M2060" i="4" s="1"/>
  <c r="O2060" i="4" s="1"/>
  <c r="J2060" i="4"/>
  <c r="I2060" i="4"/>
  <c r="P2059" i="4"/>
  <c r="K2059" i="4"/>
  <c r="J2059" i="4"/>
  <c r="M2059" i="4" s="1" a="1"/>
  <c r="M2059" i="4" s="1"/>
  <c r="O2059" i="4" s="1"/>
  <c r="I2059" i="4"/>
  <c r="P2058" i="4"/>
  <c r="K2058" i="4"/>
  <c r="J2058" i="4"/>
  <c r="I2058" i="4"/>
  <c r="M2058" i="4" s="1" a="1"/>
  <c r="M2058" i="4" s="1"/>
  <c r="O2058" i="4" s="1"/>
  <c r="P2057" i="4"/>
  <c r="O2057" i="4"/>
  <c r="K2057" i="4"/>
  <c r="J2057" i="4"/>
  <c r="I2057" i="4"/>
  <c r="M2057" i="4" s="1" a="1"/>
  <c r="M2057" i="4" s="1"/>
  <c r="P2056" i="4"/>
  <c r="K2056" i="4"/>
  <c r="J2056" i="4"/>
  <c r="M2056" i="4" s="1" a="1"/>
  <c r="M2056" i="4" s="1"/>
  <c r="O2056" i="4" s="1"/>
  <c r="I2056" i="4"/>
  <c r="P2055" i="4"/>
  <c r="M2055" i="4" a="1"/>
  <c r="M2055" i="4" s="1"/>
  <c r="O2055" i="4" s="1"/>
  <c r="K2055" i="4"/>
  <c r="J2055" i="4"/>
  <c r="I2055" i="4"/>
  <c r="P2054" i="4"/>
  <c r="M2054" i="4"/>
  <c r="O2054" i="4" s="1"/>
  <c r="K2054" i="4"/>
  <c r="J2054" i="4"/>
  <c r="M2054" i="4" s="1" a="1"/>
  <c r="I2054" i="4"/>
  <c r="P2053" i="4"/>
  <c r="M2053" i="4" a="1"/>
  <c r="M2053" i="4" s="1"/>
  <c r="O2053" i="4" s="1"/>
  <c r="K2053" i="4"/>
  <c r="J2053" i="4"/>
  <c r="I2053" i="4"/>
  <c r="P2052" i="4"/>
  <c r="K2052" i="4"/>
  <c r="M2052" i="4" s="1" a="1"/>
  <c r="M2052" i="4" s="1"/>
  <c r="O2052" i="4" s="1"/>
  <c r="J2052" i="4"/>
  <c r="I2052" i="4"/>
  <c r="P2051" i="4"/>
  <c r="K2051" i="4"/>
  <c r="J2051" i="4"/>
  <c r="I2051" i="4"/>
  <c r="P2050" i="4"/>
  <c r="K2050" i="4"/>
  <c r="J2050" i="4"/>
  <c r="I2050" i="4"/>
  <c r="P2049" i="4"/>
  <c r="K2049" i="4"/>
  <c r="J2049" i="4"/>
  <c r="I2049" i="4"/>
  <c r="P2048" i="4"/>
  <c r="M2048" i="4"/>
  <c r="O2048" i="4" s="1"/>
  <c r="K2048" i="4"/>
  <c r="J2048" i="4"/>
  <c r="I2048" i="4"/>
  <c r="M2048" i="4" s="1" a="1"/>
  <c r="P2047" i="4"/>
  <c r="K2047" i="4"/>
  <c r="J2047" i="4"/>
  <c r="I2047" i="4"/>
  <c r="M2047" i="4" s="1" a="1"/>
  <c r="M2047" i="4" s="1"/>
  <c r="O2047" i="4" s="1"/>
  <c r="P2046" i="4"/>
  <c r="K2046" i="4"/>
  <c r="J2046" i="4"/>
  <c r="I2046" i="4"/>
  <c r="P2045" i="4"/>
  <c r="M2045" i="4"/>
  <c r="O2045" i="4" s="1"/>
  <c r="M2045" i="4" a="1"/>
  <c r="K2045" i="4"/>
  <c r="J2045" i="4"/>
  <c r="I2045" i="4"/>
  <c r="P2044" i="4"/>
  <c r="M2044" i="4" a="1"/>
  <c r="M2044" i="4" s="1"/>
  <c r="O2044" i="4" s="1"/>
  <c r="K2044" i="4"/>
  <c r="J2044" i="4"/>
  <c r="I2044" i="4"/>
  <c r="P2043" i="4"/>
  <c r="K2043" i="4"/>
  <c r="J2043" i="4"/>
  <c r="M2043" i="4" s="1" a="1"/>
  <c r="M2043" i="4" s="1"/>
  <c r="O2043" i="4" s="1"/>
  <c r="I2043" i="4"/>
  <c r="P2042" i="4"/>
  <c r="M2042" i="4" a="1"/>
  <c r="M2042" i="4" s="1"/>
  <c r="O2042" i="4" s="1"/>
  <c r="K2042" i="4"/>
  <c r="J2042" i="4"/>
  <c r="I2042" i="4"/>
  <c r="P2041" i="4"/>
  <c r="O2041" i="4"/>
  <c r="K2041" i="4"/>
  <c r="J2041" i="4"/>
  <c r="I2041" i="4"/>
  <c r="M2041" i="4" s="1" a="1"/>
  <c r="M2041" i="4" s="1"/>
  <c r="P2040" i="4"/>
  <c r="K2040" i="4"/>
  <c r="J2040" i="4"/>
  <c r="M2040" i="4" s="1" a="1"/>
  <c r="M2040" i="4" s="1"/>
  <c r="O2040" i="4" s="1"/>
  <c r="I2040" i="4"/>
  <c r="P2039" i="4"/>
  <c r="M2039" i="4" a="1"/>
  <c r="M2039" i="4" s="1"/>
  <c r="O2039" i="4" s="1"/>
  <c r="K2039" i="4"/>
  <c r="J2039" i="4"/>
  <c r="I2039" i="4"/>
  <c r="P2038" i="4"/>
  <c r="O2038" i="4"/>
  <c r="M2038" i="4"/>
  <c r="K2038" i="4"/>
  <c r="J2038" i="4"/>
  <c r="M2038" i="4" s="1" a="1"/>
  <c r="I2038" i="4"/>
  <c r="P2037" i="4"/>
  <c r="K2037" i="4"/>
  <c r="J2037" i="4"/>
  <c r="M2037" i="4" s="1" a="1"/>
  <c r="M2037" i="4" s="1"/>
  <c r="O2037" i="4" s="1"/>
  <c r="I2037" i="4"/>
  <c r="P2036" i="4"/>
  <c r="M2036" i="4" a="1"/>
  <c r="M2036" i="4" s="1"/>
  <c r="O2036" i="4" s="1"/>
  <c r="K2036" i="4"/>
  <c r="J2036" i="4"/>
  <c r="I2036" i="4"/>
  <c r="P2035" i="4"/>
  <c r="K2035" i="4"/>
  <c r="J2035" i="4"/>
  <c r="M2035" i="4" s="1" a="1"/>
  <c r="M2035" i="4" s="1"/>
  <c r="O2035" i="4" s="1"/>
  <c r="I2035" i="4"/>
  <c r="P2034" i="4"/>
  <c r="K2034" i="4"/>
  <c r="J2034" i="4"/>
  <c r="I2034" i="4"/>
  <c r="M2034" i="4" s="1" a="1"/>
  <c r="M2034" i="4" s="1"/>
  <c r="O2034" i="4" s="1"/>
  <c r="P2033" i="4"/>
  <c r="M2033" i="4"/>
  <c r="O2033" i="4" s="1"/>
  <c r="K2033" i="4"/>
  <c r="J2033" i="4"/>
  <c r="I2033" i="4"/>
  <c r="M2033" i="4" s="1" a="1"/>
  <c r="P2032" i="4"/>
  <c r="M2032" i="4"/>
  <c r="O2032" i="4" s="1"/>
  <c r="K2032" i="4"/>
  <c r="J2032" i="4"/>
  <c r="I2032" i="4"/>
  <c r="M2032" i="4" s="1" a="1"/>
  <c r="P2031" i="4"/>
  <c r="K2031" i="4"/>
  <c r="J2031" i="4"/>
  <c r="I2031" i="4"/>
  <c r="M2031" i="4" s="1" a="1"/>
  <c r="M2031" i="4" s="1"/>
  <c r="O2031" i="4" s="1"/>
  <c r="P2030" i="4"/>
  <c r="M2030" i="4"/>
  <c r="O2030" i="4" s="1"/>
  <c r="K2030" i="4"/>
  <c r="J2030" i="4"/>
  <c r="I2030" i="4"/>
  <c r="M2030" i="4" s="1" a="1"/>
  <c r="P2029" i="4"/>
  <c r="K2029" i="4"/>
  <c r="J2029" i="4"/>
  <c r="I2029" i="4"/>
  <c r="M2029" i="4" s="1" a="1"/>
  <c r="M2029" i="4" s="1"/>
  <c r="O2029" i="4" s="1"/>
  <c r="P2028" i="4"/>
  <c r="K2028" i="4"/>
  <c r="M2028" i="4" s="1" a="1"/>
  <c r="M2028" i="4" s="1"/>
  <c r="O2028" i="4" s="1"/>
  <c r="J2028" i="4"/>
  <c r="I2028" i="4"/>
  <c r="P2027" i="4"/>
  <c r="K2027" i="4"/>
  <c r="J2027" i="4"/>
  <c r="M2027" i="4" s="1" a="1"/>
  <c r="M2027" i="4" s="1"/>
  <c r="O2027" i="4" s="1"/>
  <c r="I2027" i="4"/>
  <c r="P2026" i="4"/>
  <c r="K2026" i="4"/>
  <c r="J2026" i="4"/>
  <c r="I2026" i="4"/>
  <c r="M2026" i="4" s="1" a="1"/>
  <c r="M2026" i="4" s="1"/>
  <c r="O2026" i="4" s="1"/>
  <c r="P2025" i="4"/>
  <c r="K2025" i="4"/>
  <c r="J2025" i="4"/>
  <c r="I2025" i="4"/>
  <c r="M2025" i="4" s="1" a="1"/>
  <c r="M2025" i="4" s="1"/>
  <c r="O2025" i="4" s="1"/>
  <c r="P2024" i="4"/>
  <c r="K2024" i="4"/>
  <c r="J2024" i="4"/>
  <c r="M2024" i="4" s="1" a="1"/>
  <c r="M2024" i="4" s="1"/>
  <c r="O2024" i="4" s="1"/>
  <c r="I2024" i="4"/>
  <c r="P2023" i="4"/>
  <c r="M2023" i="4" a="1"/>
  <c r="M2023" i="4" s="1"/>
  <c r="O2023" i="4" s="1"/>
  <c r="K2023" i="4"/>
  <c r="J2023" i="4"/>
  <c r="I2023" i="4"/>
  <c r="P2022" i="4"/>
  <c r="M2022" i="4"/>
  <c r="O2022" i="4" s="1"/>
  <c r="K2022" i="4"/>
  <c r="J2022" i="4"/>
  <c r="M2022" i="4" s="1" a="1"/>
  <c r="I2022" i="4"/>
  <c r="P2021" i="4"/>
  <c r="M2021" i="4" a="1"/>
  <c r="M2021" i="4" s="1"/>
  <c r="O2021" i="4" s="1"/>
  <c r="K2021" i="4"/>
  <c r="J2021" i="4"/>
  <c r="I2021" i="4"/>
  <c r="P2020" i="4"/>
  <c r="K2020" i="4"/>
  <c r="M2020" i="4" s="1" a="1"/>
  <c r="M2020" i="4" s="1"/>
  <c r="O2020" i="4" s="1"/>
  <c r="J2020" i="4"/>
  <c r="I2020" i="4"/>
  <c r="P2019" i="4"/>
  <c r="K2019" i="4"/>
  <c r="J2019" i="4"/>
  <c r="I2019" i="4"/>
  <c r="P2018" i="4"/>
  <c r="K2018" i="4"/>
  <c r="J2018" i="4"/>
  <c r="I2018" i="4"/>
  <c r="P2017" i="4"/>
  <c r="K2017" i="4"/>
  <c r="J2017" i="4"/>
  <c r="I2017" i="4"/>
  <c r="P2016" i="4"/>
  <c r="K2016" i="4"/>
  <c r="J2016" i="4"/>
  <c r="I2016" i="4"/>
  <c r="M2016" i="4" s="1" a="1"/>
  <c r="M2016" i="4" s="1"/>
  <c r="O2016" i="4" s="1"/>
  <c r="P2015" i="4"/>
  <c r="K2015" i="4"/>
  <c r="J2015" i="4"/>
  <c r="I2015" i="4"/>
  <c r="M2015" i="4" s="1" a="1"/>
  <c r="M2015" i="4" s="1"/>
  <c r="O2015" i="4" s="1"/>
  <c r="P2014" i="4"/>
  <c r="K2014" i="4"/>
  <c r="J2014" i="4"/>
  <c r="I2014" i="4"/>
  <c r="P2013" i="4"/>
  <c r="M2013" i="4"/>
  <c r="O2013" i="4" s="1"/>
  <c r="M2013" i="4" a="1"/>
  <c r="K2013" i="4"/>
  <c r="J2013" i="4"/>
  <c r="I2013" i="4"/>
  <c r="P2012" i="4"/>
  <c r="M2012" i="4" a="1"/>
  <c r="M2012" i="4" s="1"/>
  <c r="O2012" i="4" s="1"/>
  <c r="K2012" i="4"/>
  <c r="J2012" i="4"/>
  <c r="I2012" i="4"/>
  <c r="P2011" i="4"/>
  <c r="K2011" i="4"/>
  <c r="J2011" i="4"/>
  <c r="M2011" i="4" s="1" a="1"/>
  <c r="M2011" i="4" s="1"/>
  <c r="O2011" i="4" s="1"/>
  <c r="I2011" i="4"/>
  <c r="P2010" i="4"/>
  <c r="M2010" i="4" a="1"/>
  <c r="M2010" i="4" s="1"/>
  <c r="O2010" i="4" s="1"/>
  <c r="K2010" i="4"/>
  <c r="J2010" i="4"/>
  <c r="I2010" i="4"/>
  <c r="P2009" i="4"/>
  <c r="O2009" i="4"/>
  <c r="K2009" i="4"/>
  <c r="J2009" i="4"/>
  <c r="I2009" i="4"/>
  <c r="M2009" i="4" s="1" a="1"/>
  <c r="M2009" i="4" s="1"/>
  <c r="P2008" i="4"/>
  <c r="K2008" i="4"/>
  <c r="J2008" i="4"/>
  <c r="M2008" i="4" s="1" a="1"/>
  <c r="M2008" i="4" s="1"/>
  <c r="O2008" i="4" s="1"/>
  <c r="I2008" i="4"/>
  <c r="P2007" i="4"/>
  <c r="M2007" i="4" a="1"/>
  <c r="M2007" i="4" s="1"/>
  <c r="O2007" i="4" s="1"/>
  <c r="K2007" i="4"/>
  <c r="J2007" i="4"/>
  <c r="I2007" i="4"/>
  <c r="P2006" i="4"/>
  <c r="K2006" i="4"/>
  <c r="J2006" i="4"/>
  <c r="I2006" i="4"/>
  <c r="M2006" i="4" s="1" a="1"/>
  <c r="M2006" i="4" s="1"/>
  <c r="O2006" i="4" s="1"/>
  <c r="P2005" i="4"/>
  <c r="K2005" i="4"/>
  <c r="J2005" i="4"/>
  <c r="M2005" i="4" s="1" a="1"/>
  <c r="M2005" i="4" s="1"/>
  <c r="O2005" i="4" s="1"/>
  <c r="I2005" i="4"/>
  <c r="P2004" i="4"/>
  <c r="M2004" i="4" a="1"/>
  <c r="M2004" i="4" s="1"/>
  <c r="O2004" i="4" s="1"/>
  <c r="K2004" i="4"/>
  <c r="J2004" i="4"/>
  <c r="I2004" i="4"/>
  <c r="P2003" i="4"/>
  <c r="K2003" i="4"/>
  <c r="J2003" i="4"/>
  <c r="M2003" i="4" s="1" a="1"/>
  <c r="M2003" i="4" s="1"/>
  <c r="O2003" i="4" s="1"/>
  <c r="I2003" i="4"/>
  <c r="P2002" i="4"/>
  <c r="K2002" i="4"/>
  <c r="J2002" i="4"/>
  <c r="I2002" i="4"/>
  <c r="M2002" i="4" s="1" a="1"/>
  <c r="M2002" i="4" s="1"/>
  <c r="O2002" i="4" s="1"/>
  <c r="P2001" i="4"/>
  <c r="M2001" i="4"/>
  <c r="O2001" i="4" s="1"/>
  <c r="K2001" i="4"/>
  <c r="J2001" i="4"/>
  <c r="I2001" i="4"/>
  <c r="M2001" i="4" s="1" a="1"/>
  <c r="P2000" i="4"/>
  <c r="M2000" i="4"/>
  <c r="O2000" i="4" s="1"/>
  <c r="K2000" i="4"/>
  <c r="J2000" i="4"/>
  <c r="I2000" i="4"/>
  <c r="M2000" i="4" s="1" a="1"/>
  <c r="P1999" i="4"/>
  <c r="K1999" i="4"/>
  <c r="J1999" i="4"/>
  <c r="I1999" i="4"/>
  <c r="M1999" i="4" s="1" a="1"/>
  <c r="M1999" i="4" s="1"/>
  <c r="O1999" i="4" s="1"/>
  <c r="P1998" i="4"/>
  <c r="M1998" i="4"/>
  <c r="O1998" i="4" s="1"/>
  <c r="K1998" i="4"/>
  <c r="J1998" i="4"/>
  <c r="I1998" i="4"/>
  <c r="M1998" i="4" s="1" a="1"/>
  <c r="P1997" i="4"/>
  <c r="K1997" i="4"/>
  <c r="J1997" i="4"/>
  <c r="I1997" i="4"/>
  <c r="M1997" i="4" s="1" a="1"/>
  <c r="M1997" i="4" s="1"/>
  <c r="O1997" i="4" s="1"/>
  <c r="P1996" i="4"/>
  <c r="M1996" i="4" a="1"/>
  <c r="M1996" i="4" s="1"/>
  <c r="O1996" i="4" s="1"/>
  <c r="K1996" i="4"/>
  <c r="J1996" i="4"/>
  <c r="I1996" i="4"/>
  <c r="P1995" i="4"/>
  <c r="K1995" i="4"/>
  <c r="J1995" i="4"/>
  <c r="M1995" i="4" s="1" a="1"/>
  <c r="M1995" i="4" s="1"/>
  <c r="O1995" i="4" s="1"/>
  <c r="I1995" i="4"/>
  <c r="P1994" i="4"/>
  <c r="M1994" i="4" a="1"/>
  <c r="M1994" i="4" s="1"/>
  <c r="O1994" i="4" s="1"/>
  <c r="K1994" i="4"/>
  <c r="J1994" i="4"/>
  <c r="I1994" i="4"/>
  <c r="P1993" i="4"/>
  <c r="K1993" i="4"/>
  <c r="J1993" i="4"/>
  <c r="I1993" i="4"/>
  <c r="P1992" i="4"/>
  <c r="K1992" i="4"/>
  <c r="J1992" i="4"/>
  <c r="I1992" i="4"/>
  <c r="M1992" i="4" s="1" a="1"/>
  <c r="M1992" i="4" s="1"/>
  <c r="O1992" i="4" s="1"/>
  <c r="P1991" i="4"/>
  <c r="M1991" i="4" a="1"/>
  <c r="M1991" i="4" s="1"/>
  <c r="O1991" i="4" s="1"/>
  <c r="K1991" i="4"/>
  <c r="J1991" i="4"/>
  <c r="I1991" i="4"/>
  <c r="P1990" i="4"/>
  <c r="O1990" i="4"/>
  <c r="M1990" i="4"/>
  <c r="K1990" i="4"/>
  <c r="J1990" i="4"/>
  <c r="I1990" i="4"/>
  <c r="M1990" i="4" s="1" a="1"/>
  <c r="P1989" i="4"/>
  <c r="M1989" i="4"/>
  <c r="O1989" i="4" s="1"/>
  <c r="M1989" i="4" a="1"/>
  <c r="K1989" i="4"/>
  <c r="J1989" i="4"/>
  <c r="I1989" i="4"/>
  <c r="P1988" i="4"/>
  <c r="K1988" i="4"/>
  <c r="M1988" i="4" s="1" a="1"/>
  <c r="M1988" i="4" s="1"/>
  <c r="O1988" i="4" s="1"/>
  <c r="J1988" i="4"/>
  <c r="I1988" i="4"/>
  <c r="P1987" i="4"/>
  <c r="K1987" i="4"/>
  <c r="J1987" i="4"/>
  <c r="M1987" i="4" s="1" a="1"/>
  <c r="M1987" i="4" s="1"/>
  <c r="O1987" i="4" s="1"/>
  <c r="I1987" i="4"/>
  <c r="P1986" i="4"/>
  <c r="K1986" i="4"/>
  <c r="J1986" i="4"/>
  <c r="I1986" i="4"/>
  <c r="M1986" i="4" s="1" a="1"/>
  <c r="M1986" i="4" s="1"/>
  <c r="O1986" i="4" s="1"/>
  <c r="P1985" i="4"/>
  <c r="K1985" i="4"/>
  <c r="J1985" i="4"/>
  <c r="I1985" i="4"/>
  <c r="M1985" i="4" s="1" a="1"/>
  <c r="M1985" i="4" s="1"/>
  <c r="O1985" i="4" s="1"/>
  <c r="P1984" i="4"/>
  <c r="M1984" i="4"/>
  <c r="O1984" i="4" s="1"/>
  <c r="K1984" i="4"/>
  <c r="J1984" i="4"/>
  <c r="I1984" i="4"/>
  <c r="M1984" i="4" s="1" a="1"/>
  <c r="P1983" i="4"/>
  <c r="K1983" i="4"/>
  <c r="J1983" i="4"/>
  <c r="I1983" i="4"/>
  <c r="P1982" i="4"/>
  <c r="K1982" i="4"/>
  <c r="J1982" i="4"/>
  <c r="I1982" i="4"/>
  <c r="M1982" i="4" s="1" a="1"/>
  <c r="M1982" i="4" s="1"/>
  <c r="O1982" i="4" s="1"/>
  <c r="P1981" i="4"/>
  <c r="K1981" i="4"/>
  <c r="J1981" i="4"/>
  <c r="I1981" i="4"/>
  <c r="M1981" i="4" s="1" a="1"/>
  <c r="M1981" i="4" s="1"/>
  <c r="O1981" i="4" s="1"/>
  <c r="P1980" i="4"/>
  <c r="M1980" i="4" a="1"/>
  <c r="M1980" i="4" s="1"/>
  <c r="O1980" i="4" s="1"/>
  <c r="K1980" i="4"/>
  <c r="J1980" i="4"/>
  <c r="I1980" i="4"/>
  <c r="P1979" i="4"/>
  <c r="M1979" i="4" a="1"/>
  <c r="M1979" i="4" s="1"/>
  <c r="O1979" i="4" s="1"/>
  <c r="K1979" i="4"/>
  <c r="J1979" i="4"/>
  <c r="I1979" i="4"/>
  <c r="P1978" i="4"/>
  <c r="K1978" i="4"/>
  <c r="M1978" i="4" s="1" a="1"/>
  <c r="M1978" i="4" s="1"/>
  <c r="O1978" i="4" s="1"/>
  <c r="J1978" i="4"/>
  <c r="I1978" i="4"/>
  <c r="P1977" i="4"/>
  <c r="K1977" i="4"/>
  <c r="J1977" i="4"/>
  <c r="I1977" i="4"/>
  <c r="P1976" i="4"/>
  <c r="M1976" i="4" a="1"/>
  <c r="M1976" i="4" s="1"/>
  <c r="O1976" i="4" s="1"/>
  <c r="K1976" i="4"/>
  <c r="J1976" i="4"/>
  <c r="I1976" i="4"/>
  <c r="P1975" i="4"/>
  <c r="M1975" i="4" a="1"/>
  <c r="M1975" i="4" s="1"/>
  <c r="O1975" i="4" s="1"/>
  <c r="K1975" i="4"/>
  <c r="J1975" i="4"/>
  <c r="I1975" i="4"/>
  <c r="P1974" i="4"/>
  <c r="K1974" i="4"/>
  <c r="J1974" i="4"/>
  <c r="I1974" i="4"/>
  <c r="M1974" i="4" s="1" a="1"/>
  <c r="M1974" i="4" s="1"/>
  <c r="O1974" i="4" s="1"/>
  <c r="P1973" i="4"/>
  <c r="K1973" i="4"/>
  <c r="J1973" i="4"/>
  <c r="M1973" i="4" s="1" a="1"/>
  <c r="M1973" i="4" s="1"/>
  <c r="O1973" i="4" s="1"/>
  <c r="I1973" i="4"/>
  <c r="P1972" i="4"/>
  <c r="K1972" i="4"/>
  <c r="M1972" i="4" s="1" a="1"/>
  <c r="M1972" i="4" s="1"/>
  <c r="O1972" i="4" s="1"/>
  <c r="J1972" i="4"/>
  <c r="I1972" i="4"/>
  <c r="P1971" i="4"/>
  <c r="K1971" i="4"/>
  <c r="J1971" i="4"/>
  <c r="I1971" i="4"/>
  <c r="P1970" i="4"/>
  <c r="K1970" i="4"/>
  <c r="M1970" i="4" s="1" a="1"/>
  <c r="M1970" i="4" s="1"/>
  <c r="O1970" i="4" s="1"/>
  <c r="J1970" i="4"/>
  <c r="I1970" i="4"/>
  <c r="P1969" i="4"/>
  <c r="K1969" i="4"/>
  <c r="J1969" i="4"/>
  <c r="I1969" i="4"/>
  <c r="M1969" i="4" s="1" a="1"/>
  <c r="M1969" i="4" s="1"/>
  <c r="O1969" i="4" s="1"/>
  <c r="P1968" i="4"/>
  <c r="K1968" i="4"/>
  <c r="J1968" i="4"/>
  <c r="I1968" i="4"/>
  <c r="M1968" i="4" s="1" a="1"/>
  <c r="M1968" i="4" s="1"/>
  <c r="O1968" i="4" s="1"/>
  <c r="P1967" i="4"/>
  <c r="M1967" i="4" a="1"/>
  <c r="M1967" i="4" s="1"/>
  <c r="O1967" i="4" s="1"/>
  <c r="K1967" i="4"/>
  <c r="J1967" i="4"/>
  <c r="I1967" i="4"/>
  <c r="P1966" i="4"/>
  <c r="M1966" i="4" a="1"/>
  <c r="M1966" i="4" s="1"/>
  <c r="O1966" i="4" s="1"/>
  <c r="K1966" i="4"/>
  <c r="J1966" i="4"/>
  <c r="I1966" i="4"/>
  <c r="P1965" i="4"/>
  <c r="K1965" i="4"/>
  <c r="J1965" i="4"/>
  <c r="I1965" i="4"/>
  <c r="M1965" i="4" s="1" a="1"/>
  <c r="M1965" i="4" s="1"/>
  <c r="O1965" i="4" s="1"/>
  <c r="P1964" i="4"/>
  <c r="M1964" i="4" a="1"/>
  <c r="M1964" i="4" s="1"/>
  <c r="O1964" i="4" s="1"/>
  <c r="K1964" i="4"/>
  <c r="J1964" i="4"/>
  <c r="I1964" i="4"/>
  <c r="P1963" i="4"/>
  <c r="M1963" i="4" a="1"/>
  <c r="M1963" i="4" s="1"/>
  <c r="O1963" i="4" s="1"/>
  <c r="K1963" i="4"/>
  <c r="J1963" i="4"/>
  <c r="I1963" i="4"/>
  <c r="P1962" i="4"/>
  <c r="K1962" i="4"/>
  <c r="J1962" i="4"/>
  <c r="M1962" i="4" s="1" a="1"/>
  <c r="M1962" i="4" s="1"/>
  <c r="O1962" i="4" s="1"/>
  <c r="I1962" i="4"/>
  <c r="P1961" i="4"/>
  <c r="K1961" i="4"/>
  <c r="J1961" i="4"/>
  <c r="I1961" i="4"/>
  <c r="M1961" i="4" s="1" a="1"/>
  <c r="M1961" i="4" s="1"/>
  <c r="O1961" i="4" s="1"/>
  <c r="P1960" i="4"/>
  <c r="K1960" i="4"/>
  <c r="J1960" i="4"/>
  <c r="I1960" i="4"/>
  <c r="M1960" i="4" s="1" a="1"/>
  <c r="M1960" i="4" s="1"/>
  <c r="O1960" i="4" s="1"/>
  <c r="P1959" i="4"/>
  <c r="K1959" i="4"/>
  <c r="J1959" i="4"/>
  <c r="I1959" i="4"/>
  <c r="M1959" i="4" s="1" a="1"/>
  <c r="M1959" i="4" s="1"/>
  <c r="O1959" i="4" s="1"/>
  <c r="P1958" i="4"/>
  <c r="K1958" i="4"/>
  <c r="J1958" i="4"/>
  <c r="I1958" i="4"/>
  <c r="M1958" i="4" s="1" a="1"/>
  <c r="M1958" i="4" s="1"/>
  <c r="O1958" i="4" s="1"/>
  <c r="P1957" i="4"/>
  <c r="M1957" i="4"/>
  <c r="O1957" i="4" s="1"/>
  <c r="K1957" i="4"/>
  <c r="M1957" i="4" s="1" a="1"/>
  <c r="J1957" i="4"/>
  <c r="I1957" i="4"/>
  <c r="P1956" i="4"/>
  <c r="K1956" i="4"/>
  <c r="J1956" i="4"/>
  <c r="I1956" i="4"/>
  <c r="M1956" i="4" s="1" a="1"/>
  <c r="M1956" i="4" s="1"/>
  <c r="O1956" i="4" s="1"/>
  <c r="P1955" i="4"/>
  <c r="K1955" i="4"/>
  <c r="J1955" i="4"/>
  <c r="I1955" i="4"/>
  <c r="M1955" i="4" s="1" a="1"/>
  <c r="M1955" i="4" s="1"/>
  <c r="O1955" i="4" s="1"/>
  <c r="P1954" i="4"/>
  <c r="K1954" i="4"/>
  <c r="M1954" i="4" s="1" a="1"/>
  <c r="M1954" i="4" s="1"/>
  <c r="O1954" i="4" s="1"/>
  <c r="J1954" i="4"/>
  <c r="I1954" i="4"/>
  <c r="P1953" i="4"/>
  <c r="K1953" i="4"/>
  <c r="J1953" i="4"/>
  <c r="I1953" i="4"/>
  <c r="M1953" i="4" s="1" a="1"/>
  <c r="M1953" i="4" s="1"/>
  <c r="O1953" i="4" s="1"/>
  <c r="P1952" i="4"/>
  <c r="K1952" i="4"/>
  <c r="J1952" i="4"/>
  <c r="I1952" i="4"/>
  <c r="M1952" i="4" s="1" a="1"/>
  <c r="M1952" i="4" s="1"/>
  <c r="O1952" i="4" s="1"/>
  <c r="P1951" i="4"/>
  <c r="M1951" i="4" a="1"/>
  <c r="M1951" i="4" s="1"/>
  <c r="O1951" i="4" s="1"/>
  <c r="K1951" i="4"/>
  <c r="J1951" i="4"/>
  <c r="I1951" i="4"/>
  <c r="P1950" i="4"/>
  <c r="O1950" i="4"/>
  <c r="M1950" i="4" a="1"/>
  <c r="M1950" i="4" s="1"/>
  <c r="K1950" i="4"/>
  <c r="J1950" i="4"/>
  <c r="I1950" i="4"/>
  <c r="P1949" i="4"/>
  <c r="K1949" i="4"/>
  <c r="J1949" i="4"/>
  <c r="I1949" i="4"/>
  <c r="M1949" i="4" s="1" a="1"/>
  <c r="M1949" i="4" s="1"/>
  <c r="O1949" i="4" s="1"/>
  <c r="P1948" i="4"/>
  <c r="M1948" i="4" a="1"/>
  <c r="M1948" i="4" s="1"/>
  <c r="O1948" i="4" s="1"/>
  <c r="K1948" i="4"/>
  <c r="J1948" i="4"/>
  <c r="I1948" i="4"/>
  <c r="P1947" i="4"/>
  <c r="M1947" i="4" a="1"/>
  <c r="M1947" i="4" s="1"/>
  <c r="O1947" i="4" s="1"/>
  <c r="K1947" i="4"/>
  <c r="J1947" i="4"/>
  <c r="I1947" i="4"/>
  <c r="P1946" i="4"/>
  <c r="K1946" i="4"/>
  <c r="J1946" i="4"/>
  <c r="M1946" i="4" s="1" a="1"/>
  <c r="M1946" i="4" s="1"/>
  <c r="O1946" i="4" s="1"/>
  <c r="I1946" i="4"/>
  <c r="P1945" i="4"/>
  <c r="K1945" i="4"/>
  <c r="J1945" i="4"/>
  <c r="I1945" i="4"/>
  <c r="M1945" i="4" s="1" a="1"/>
  <c r="M1945" i="4" s="1"/>
  <c r="O1945" i="4" s="1"/>
  <c r="P1944" i="4"/>
  <c r="K1944" i="4"/>
  <c r="J1944" i="4"/>
  <c r="I1944" i="4"/>
  <c r="M1944" i="4" s="1" a="1"/>
  <c r="M1944" i="4" s="1"/>
  <c r="O1944" i="4" s="1"/>
  <c r="P1943" i="4"/>
  <c r="K1943" i="4"/>
  <c r="J1943" i="4"/>
  <c r="I1943" i="4"/>
  <c r="M1943" i="4" s="1" a="1"/>
  <c r="M1943" i="4" s="1"/>
  <c r="O1943" i="4" s="1"/>
  <c r="P1942" i="4"/>
  <c r="K1942" i="4"/>
  <c r="J1942" i="4"/>
  <c r="I1942" i="4"/>
  <c r="M1942" i="4" s="1" a="1"/>
  <c r="M1942" i="4" s="1"/>
  <c r="O1942" i="4" s="1"/>
  <c r="P1941" i="4"/>
  <c r="K1941" i="4"/>
  <c r="M1941" i="4" s="1" a="1"/>
  <c r="M1941" i="4" s="1"/>
  <c r="O1941" i="4" s="1"/>
  <c r="J1941" i="4"/>
  <c r="I1941" i="4"/>
  <c r="P1940" i="4"/>
  <c r="K1940" i="4"/>
  <c r="J1940" i="4"/>
  <c r="I1940" i="4"/>
  <c r="M1940" i="4" s="1" a="1"/>
  <c r="M1940" i="4" s="1"/>
  <c r="O1940" i="4" s="1"/>
  <c r="P1939" i="4"/>
  <c r="K1939" i="4"/>
  <c r="J1939" i="4"/>
  <c r="I1939" i="4"/>
  <c r="M1939" i="4" s="1" a="1"/>
  <c r="M1939" i="4" s="1"/>
  <c r="O1939" i="4" s="1"/>
  <c r="P1938" i="4"/>
  <c r="K1938" i="4"/>
  <c r="M1938" i="4" s="1" a="1"/>
  <c r="M1938" i="4" s="1"/>
  <c r="O1938" i="4" s="1"/>
  <c r="J1938" i="4"/>
  <c r="I1938" i="4"/>
  <c r="P1937" i="4"/>
  <c r="K1937" i="4"/>
  <c r="J1937" i="4"/>
  <c r="I1937" i="4"/>
  <c r="M1937" i="4" s="1" a="1"/>
  <c r="M1937" i="4" s="1"/>
  <c r="O1937" i="4" s="1"/>
  <c r="P1936" i="4"/>
  <c r="K1936" i="4"/>
  <c r="J1936" i="4"/>
  <c r="I1936" i="4"/>
  <c r="M1936" i="4" s="1" a="1"/>
  <c r="M1936" i="4" s="1"/>
  <c r="O1936" i="4" s="1"/>
  <c r="P1935" i="4"/>
  <c r="M1935" i="4" a="1"/>
  <c r="M1935" i="4" s="1"/>
  <c r="O1935" i="4" s="1"/>
  <c r="K1935" i="4"/>
  <c r="J1935" i="4"/>
  <c r="I1935" i="4"/>
  <c r="P1934" i="4"/>
  <c r="O1934" i="4"/>
  <c r="M1934" i="4" a="1"/>
  <c r="M1934" i="4" s="1"/>
  <c r="K1934" i="4"/>
  <c r="J1934" i="4"/>
  <c r="I1934" i="4"/>
  <c r="P1933" i="4"/>
  <c r="K1933" i="4"/>
  <c r="J1933" i="4"/>
  <c r="M1933" i="4" s="1" a="1"/>
  <c r="M1933" i="4" s="1"/>
  <c r="O1933" i="4" s="1"/>
  <c r="I1933" i="4"/>
  <c r="P1932" i="4"/>
  <c r="M1932" i="4" a="1"/>
  <c r="M1932" i="4" s="1"/>
  <c r="O1932" i="4" s="1"/>
  <c r="K1932" i="4"/>
  <c r="J1932" i="4"/>
  <c r="I1932" i="4"/>
  <c r="P1931" i="4"/>
  <c r="M1931" i="4" a="1"/>
  <c r="M1931" i="4" s="1"/>
  <c r="O1931" i="4" s="1"/>
  <c r="K1931" i="4"/>
  <c r="J1931" i="4"/>
  <c r="I1931" i="4"/>
  <c r="P1930" i="4"/>
  <c r="K1930" i="4"/>
  <c r="J1930" i="4"/>
  <c r="M1930" i="4" s="1" a="1"/>
  <c r="M1930" i="4" s="1"/>
  <c r="O1930" i="4" s="1"/>
  <c r="I1930" i="4"/>
  <c r="P1929" i="4"/>
  <c r="K1929" i="4"/>
  <c r="J1929" i="4"/>
  <c r="M1929" i="4" s="1" a="1"/>
  <c r="M1929" i="4" s="1"/>
  <c r="O1929" i="4" s="1"/>
  <c r="I1929" i="4"/>
  <c r="P1928" i="4"/>
  <c r="K1928" i="4"/>
  <c r="J1928" i="4"/>
  <c r="I1928" i="4"/>
  <c r="M1928" i="4" s="1" a="1"/>
  <c r="M1928" i="4" s="1"/>
  <c r="O1928" i="4" s="1"/>
  <c r="P1927" i="4"/>
  <c r="K1927" i="4"/>
  <c r="J1927" i="4"/>
  <c r="I1927" i="4"/>
  <c r="M1927" i="4" s="1" a="1"/>
  <c r="M1927" i="4" s="1"/>
  <c r="O1927" i="4" s="1"/>
  <c r="P1926" i="4"/>
  <c r="K1926" i="4"/>
  <c r="J1926" i="4"/>
  <c r="I1926" i="4"/>
  <c r="M1926" i="4" s="1" a="1"/>
  <c r="M1926" i="4" s="1"/>
  <c r="O1926" i="4" s="1"/>
  <c r="P1925" i="4"/>
  <c r="M1925" i="4"/>
  <c r="O1925" i="4" s="1"/>
  <c r="K1925" i="4"/>
  <c r="M1925" i="4" s="1" a="1"/>
  <c r="J1925" i="4"/>
  <c r="I1925" i="4"/>
  <c r="P1924" i="4"/>
  <c r="K1924" i="4"/>
  <c r="J1924" i="4"/>
  <c r="I1924" i="4"/>
  <c r="M1924" i="4" s="1" a="1"/>
  <c r="M1924" i="4" s="1"/>
  <c r="O1924" i="4" s="1"/>
  <c r="P1923" i="4"/>
  <c r="K1923" i="4"/>
  <c r="J1923" i="4"/>
  <c r="I1923" i="4"/>
  <c r="M1923" i="4" s="1" a="1"/>
  <c r="M1923" i="4" s="1"/>
  <c r="O1923" i="4" s="1"/>
  <c r="P1922" i="4"/>
  <c r="K1922" i="4"/>
  <c r="M1922" i="4" s="1" a="1"/>
  <c r="M1922" i="4" s="1"/>
  <c r="O1922" i="4" s="1"/>
  <c r="J1922" i="4"/>
  <c r="I1922" i="4"/>
  <c r="P1921" i="4"/>
  <c r="K1921" i="4"/>
  <c r="J1921" i="4"/>
  <c r="I1921" i="4"/>
  <c r="M1921" i="4" s="1" a="1"/>
  <c r="M1921" i="4" s="1"/>
  <c r="O1921" i="4" s="1"/>
  <c r="P1920" i="4"/>
  <c r="K1920" i="4"/>
  <c r="J1920" i="4"/>
  <c r="I1920" i="4"/>
  <c r="M1920" i="4" s="1" a="1"/>
  <c r="M1920" i="4" s="1"/>
  <c r="O1920" i="4" s="1"/>
  <c r="P1919" i="4"/>
  <c r="M1919" i="4" a="1"/>
  <c r="M1919" i="4" s="1"/>
  <c r="O1919" i="4" s="1"/>
  <c r="K1919" i="4"/>
  <c r="J1919" i="4"/>
  <c r="I1919" i="4"/>
  <c r="P1918" i="4"/>
  <c r="M1918" i="4" a="1"/>
  <c r="M1918" i="4" s="1"/>
  <c r="O1918" i="4" s="1"/>
  <c r="K1918" i="4"/>
  <c r="J1918" i="4"/>
  <c r="I1918" i="4"/>
  <c r="P1917" i="4"/>
  <c r="K1917" i="4"/>
  <c r="J1917" i="4"/>
  <c r="I1917" i="4"/>
  <c r="M1917" i="4" s="1" a="1"/>
  <c r="M1917" i="4" s="1"/>
  <c r="O1917" i="4" s="1"/>
  <c r="P1916" i="4"/>
  <c r="M1916" i="4" a="1"/>
  <c r="M1916" i="4" s="1"/>
  <c r="O1916" i="4" s="1"/>
  <c r="K1916" i="4"/>
  <c r="J1916" i="4"/>
  <c r="I1916" i="4"/>
  <c r="P1915" i="4"/>
  <c r="M1915" i="4" a="1"/>
  <c r="M1915" i="4" s="1"/>
  <c r="O1915" i="4" s="1"/>
  <c r="K1915" i="4"/>
  <c r="J1915" i="4"/>
  <c r="I1915" i="4"/>
  <c r="P1914" i="4"/>
  <c r="K1914" i="4"/>
  <c r="J1914" i="4"/>
  <c r="M1914" i="4" s="1" a="1"/>
  <c r="M1914" i="4" s="1"/>
  <c r="O1914" i="4" s="1"/>
  <c r="I1914" i="4"/>
  <c r="P1913" i="4"/>
  <c r="K1913" i="4"/>
  <c r="J1913" i="4"/>
  <c r="M1913" i="4" s="1" a="1"/>
  <c r="M1913" i="4" s="1"/>
  <c r="O1913" i="4" s="1"/>
  <c r="I1913" i="4"/>
  <c r="P1912" i="4"/>
  <c r="K1912" i="4"/>
  <c r="J1912" i="4"/>
  <c r="I1912" i="4"/>
  <c r="M1912" i="4" s="1" a="1"/>
  <c r="M1912" i="4" s="1"/>
  <c r="O1912" i="4" s="1"/>
  <c r="P1911" i="4"/>
  <c r="K1911" i="4"/>
  <c r="J1911" i="4"/>
  <c r="I1911" i="4"/>
  <c r="M1911" i="4" s="1" a="1"/>
  <c r="M1911" i="4" s="1"/>
  <c r="O1911" i="4" s="1"/>
  <c r="P1910" i="4"/>
  <c r="K1910" i="4"/>
  <c r="J1910" i="4"/>
  <c r="I1910" i="4"/>
  <c r="M1910" i="4" s="1" a="1"/>
  <c r="M1910" i="4" s="1"/>
  <c r="O1910" i="4" s="1"/>
  <c r="P1909" i="4"/>
  <c r="K1909" i="4"/>
  <c r="M1909" i="4" s="1" a="1"/>
  <c r="M1909" i="4" s="1"/>
  <c r="O1909" i="4" s="1"/>
  <c r="J1909" i="4"/>
  <c r="I1909" i="4"/>
  <c r="P1908" i="4"/>
  <c r="K1908" i="4"/>
  <c r="J1908" i="4"/>
  <c r="I1908" i="4"/>
  <c r="M1908" i="4" s="1" a="1"/>
  <c r="M1908" i="4" s="1"/>
  <c r="O1908" i="4" s="1"/>
  <c r="P1907" i="4"/>
  <c r="K1907" i="4"/>
  <c r="J1907" i="4"/>
  <c r="I1907" i="4"/>
  <c r="P1906" i="4"/>
  <c r="K1906" i="4"/>
  <c r="M1906" i="4" s="1" a="1"/>
  <c r="M1906" i="4" s="1"/>
  <c r="O1906" i="4" s="1"/>
  <c r="J1906" i="4"/>
  <c r="I1906" i="4"/>
  <c r="P1905" i="4"/>
  <c r="K1905" i="4"/>
  <c r="J1905" i="4"/>
  <c r="I1905" i="4"/>
  <c r="M1905" i="4" s="1" a="1"/>
  <c r="M1905" i="4" s="1"/>
  <c r="O1905" i="4" s="1"/>
  <c r="P1904" i="4"/>
  <c r="K1904" i="4"/>
  <c r="J1904" i="4"/>
  <c r="I1904" i="4"/>
  <c r="M1904" i="4" s="1" a="1"/>
  <c r="M1904" i="4" s="1"/>
  <c r="O1904" i="4" s="1"/>
  <c r="P1903" i="4"/>
  <c r="M1903" i="4" a="1"/>
  <c r="M1903" i="4" s="1"/>
  <c r="O1903" i="4" s="1"/>
  <c r="K1903" i="4"/>
  <c r="J1903" i="4"/>
  <c r="I1903" i="4"/>
  <c r="P1902" i="4"/>
  <c r="O1902" i="4"/>
  <c r="M1902" i="4" a="1"/>
  <c r="M1902" i="4" s="1"/>
  <c r="K1902" i="4"/>
  <c r="J1902" i="4"/>
  <c r="I1902" i="4"/>
  <c r="P1901" i="4"/>
  <c r="K1901" i="4"/>
  <c r="J1901" i="4"/>
  <c r="M1901" i="4" s="1" a="1"/>
  <c r="M1901" i="4" s="1"/>
  <c r="O1901" i="4" s="1"/>
  <c r="I1901" i="4"/>
  <c r="P1900" i="4"/>
  <c r="M1900" i="4" a="1"/>
  <c r="M1900" i="4" s="1"/>
  <c r="O1900" i="4" s="1"/>
  <c r="K1900" i="4"/>
  <c r="J1900" i="4"/>
  <c r="I1900" i="4"/>
  <c r="P1899" i="4"/>
  <c r="M1899" i="4" a="1"/>
  <c r="M1899" i="4" s="1"/>
  <c r="O1899" i="4" s="1"/>
  <c r="K1899" i="4"/>
  <c r="J1899" i="4"/>
  <c r="I1899" i="4"/>
  <c r="P1898" i="4"/>
  <c r="K1898" i="4"/>
  <c r="J1898" i="4"/>
  <c r="M1898" i="4" s="1" a="1"/>
  <c r="M1898" i="4" s="1"/>
  <c r="O1898" i="4" s="1"/>
  <c r="I1898" i="4"/>
  <c r="P1897" i="4"/>
  <c r="K1897" i="4"/>
  <c r="J1897" i="4"/>
  <c r="M1897" i="4" s="1" a="1"/>
  <c r="M1897" i="4" s="1"/>
  <c r="O1897" i="4" s="1"/>
  <c r="I1897" i="4"/>
  <c r="P1896" i="4"/>
  <c r="K1896" i="4"/>
  <c r="J1896" i="4"/>
  <c r="I1896" i="4"/>
  <c r="M1896" i="4" s="1" a="1"/>
  <c r="M1896" i="4" s="1"/>
  <c r="O1896" i="4" s="1"/>
  <c r="P1895" i="4"/>
  <c r="K1895" i="4"/>
  <c r="J1895" i="4"/>
  <c r="I1895" i="4"/>
  <c r="M1895" i="4" s="1" a="1"/>
  <c r="M1895" i="4" s="1"/>
  <c r="O1895" i="4" s="1"/>
  <c r="P1894" i="4"/>
  <c r="K1894" i="4"/>
  <c r="J1894" i="4"/>
  <c r="I1894" i="4"/>
  <c r="M1894" i="4" s="1" a="1"/>
  <c r="M1894" i="4" s="1"/>
  <c r="O1894" i="4" s="1"/>
  <c r="P1893" i="4"/>
  <c r="K1893" i="4"/>
  <c r="M1893" i="4" s="1" a="1"/>
  <c r="M1893" i="4" s="1"/>
  <c r="O1893" i="4" s="1"/>
  <c r="J1893" i="4"/>
  <c r="I1893" i="4"/>
  <c r="P1892" i="4"/>
  <c r="K1892" i="4"/>
  <c r="J1892" i="4"/>
  <c r="I1892" i="4"/>
  <c r="M1892" i="4" s="1" a="1"/>
  <c r="M1892" i="4" s="1"/>
  <c r="O1892" i="4" s="1"/>
  <c r="P1891" i="4"/>
  <c r="K1891" i="4"/>
  <c r="J1891" i="4"/>
  <c r="I1891" i="4"/>
  <c r="M1891" i="4" s="1" a="1"/>
  <c r="M1891" i="4" s="1"/>
  <c r="O1891" i="4" s="1"/>
  <c r="P1890" i="4"/>
  <c r="K1890" i="4"/>
  <c r="M1890" i="4" s="1" a="1"/>
  <c r="M1890" i="4" s="1"/>
  <c r="O1890" i="4" s="1"/>
  <c r="J1890" i="4"/>
  <c r="I1890" i="4"/>
  <c r="P1889" i="4"/>
  <c r="K1889" i="4"/>
  <c r="J1889" i="4"/>
  <c r="I1889" i="4"/>
  <c r="M1889" i="4" s="1" a="1"/>
  <c r="M1889" i="4" s="1"/>
  <c r="O1889" i="4" s="1"/>
  <c r="P1888" i="4"/>
  <c r="K1888" i="4"/>
  <c r="J1888" i="4"/>
  <c r="I1888" i="4"/>
  <c r="M1888" i="4" s="1" a="1"/>
  <c r="M1888" i="4" s="1"/>
  <c r="O1888" i="4" s="1"/>
  <c r="P1887" i="4"/>
  <c r="M1887" i="4" a="1"/>
  <c r="M1887" i="4" s="1"/>
  <c r="O1887" i="4" s="1"/>
  <c r="K1887" i="4"/>
  <c r="J1887" i="4"/>
  <c r="I1887" i="4"/>
  <c r="P1886" i="4"/>
  <c r="M1886" i="4" a="1"/>
  <c r="M1886" i="4" s="1"/>
  <c r="O1886" i="4" s="1"/>
  <c r="K1886" i="4"/>
  <c r="J1886" i="4"/>
  <c r="I1886" i="4"/>
  <c r="P1885" i="4"/>
  <c r="K1885" i="4"/>
  <c r="J1885" i="4"/>
  <c r="M1885" i="4" s="1" a="1"/>
  <c r="M1885" i="4" s="1"/>
  <c r="O1885" i="4" s="1"/>
  <c r="I1885" i="4"/>
  <c r="P1884" i="4"/>
  <c r="M1884" i="4" a="1"/>
  <c r="M1884" i="4" s="1"/>
  <c r="O1884" i="4" s="1"/>
  <c r="K1884" i="4"/>
  <c r="J1884" i="4"/>
  <c r="I1884" i="4"/>
  <c r="P1883" i="4"/>
  <c r="M1883" i="4" a="1"/>
  <c r="M1883" i="4" s="1"/>
  <c r="O1883" i="4" s="1"/>
  <c r="K1883" i="4"/>
  <c r="J1883" i="4"/>
  <c r="I1883" i="4"/>
  <c r="P1882" i="4"/>
  <c r="K1882" i="4"/>
  <c r="J1882" i="4"/>
  <c r="M1882" i="4" s="1" a="1"/>
  <c r="M1882" i="4" s="1"/>
  <c r="O1882" i="4" s="1"/>
  <c r="I1882" i="4"/>
  <c r="P1881" i="4"/>
  <c r="K1881" i="4"/>
  <c r="J1881" i="4"/>
  <c r="M1881" i="4" s="1" a="1"/>
  <c r="M1881" i="4" s="1"/>
  <c r="O1881" i="4" s="1"/>
  <c r="I1881" i="4"/>
  <c r="P1880" i="4"/>
  <c r="K1880" i="4"/>
  <c r="J1880" i="4"/>
  <c r="I1880" i="4"/>
  <c r="M1880" i="4" s="1" a="1"/>
  <c r="M1880" i="4" s="1"/>
  <c r="O1880" i="4" s="1"/>
  <c r="P1879" i="4"/>
  <c r="K1879" i="4"/>
  <c r="J1879" i="4"/>
  <c r="I1879" i="4"/>
  <c r="M1879" i="4" s="1" a="1"/>
  <c r="M1879" i="4" s="1"/>
  <c r="O1879" i="4" s="1"/>
  <c r="P1878" i="4"/>
  <c r="K1878" i="4"/>
  <c r="J1878" i="4"/>
  <c r="I1878" i="4"/>
  <c r="M1878" i="4" s="1" a="1"/>
  <c r="M1878" i="4" s="1"/>
  <c r="O1878" i="4" s="1"/>
  <c r="P1877" i="4"/>
  <c r="M1877" i="4"/>
  <c r="O1877" i="4" s="1"/>
  <c r="K1877" i="4"/>
  <c r="J1877" i="4"/>
  <c r="I1877" i="4"/>
  <c r="M1877" i="4" s="1" a="1"/>
  <c r="P1876" i="4"/>
  <c r="K1876" i="4"/>
  <c r="J1876" i="4"/>
  <c r="I1876" i="4"/>
  <c r="M1876" i="4" s="1" a="1"/>
  <c r="M1876" i="4" s="1"/>
  <c r="O1876" i="4" s="1"/>
  <c r="P1875" i="4"/>
  <c r="K1875" i="4"/>
  <c r="J1875" i="4"/>
  <c r="I1875" i="4"/>
  <c r="M1875" i="4" s="1" a="1"/>
  <c r="M1875" i="4" s="1"/>
  <c r="O1875" i="4" s="1"/>
  <c r="P1874" i="4"/>
  <c r="K1874" i="4"/>
  <c r="M1874" i="4" s="1" a="1"/>
  <c r="M1874" i="4" s="1"/>
  <c r="O1874" i="4" s="1"/>
  <c r="J1874" i="4"/>
  <c r="I1874" i="4"/>
  <c r="P1873" i="4"/>
  <c r="K1873" i="4"/>
  <c r="J1873" i="4"/>
  <c r="I1873" i="4"/>
  <c r="M1873" i="4" s="1" a="1"/>
  <c r="M1873" i="4" s="1"/>
  <c r="O1873" i="4" s="1"/>
  <c r="P1872" i="4"/>
  <c r="K1872" i="4"/>
  <c r="J1872" i="4"/>
  <c r="I1872" i="4"/>
  <c r="M1872" i="4" s="1" a="1"/>
  <c r="M1872" i="4" s="1"/>
  <c r="O1872" i="4" s="1"/>
  <c r="P1871" i="4"/>
  <c r="M1871" i="4" a="1"/>
  <c r="M1871" i="4" s="1"/>
  <c r="O1871" i="4" s="1"/>
  <c r="K1871" i="4"/>
  <c r="J1871" i="4"/>
  <c r="I1871" i="4"/>
  <c r="P1870" i="4"/>
  <c r="O1870" i="4"/>
  <c r="M1870" i="4" a="1"/>
  <c r="M1870" i="4" s="1"/>
  <c r="K1870" i="4"/>
  <c r="J1870" i="4"/>
  <c r="I1870" i="4"/>
  <c r="P1869" i="4"/>
  <c r="K1869" i="4"/>
  <c r="J1869" i="4"/>
  <c r="M1869" i="4" s="1" a="1"/>
  <c r="M1869" i="4" s="1"/>
  <c r="O1869" i="4" s="1"/>
  <c r="I1869" i="4"/>
  <c r="P1868" i="4"/>
  <c r="M1868" i="4" a="1"/>
  <c r="M1868" i="4" s="1"/>
  <c r="O1868" i="4" s="1"/>
  <c r="K1868" i="4"/>
  <c r="J1868" i="4"/>
  <c r="I1868" i="4"/>
  <c r="P1867" i="4"/>
  <c r="M1867" i="4" a="1"/>
  <c r="M1867" i="4" s="1"/>
  <c r="O1867" i="4" s="1"/>
  <c r="K1867" i="4"/>
  <c r="J1867" i="4"/>
  <c r="I1867" i="4"/>
  <c r="P1866" i="4"/>
  <c r="K1866" i="4"/>
  <c r="J1866" i="4"/>
  <c r="M1866" i="4" s="1" a="1"/>
  <c r="M1866" i="4" s="1"/>
  <c r="O1866" i="4" s="1"/>
  <c r="I1866" i="4"/>
  <c r="P1865" i="4"/>
  <c r="K1865" i="4"/>
  <c r="J1865" i="4"/>
  <c r="I1865" i="4"/>
  <c r="M1865" i="4" s="1" a="1"/>
  <c r="M1865" i="4" s="1"/>
  <c r="O1865" i="4" s="1"/>
  <c r="P1864" i="4"/>
  <c r="K1864" i="4"/>
  <c r="J1864" i="4"/>
  <c r="I1864" i="4"/>
  <c r="M1864" i="4" s="1" a="1"/>
  <c r="M1864" i="4" s="1"/>
  <c r="O1864" i="4" s="1"/>
  <c r="P1863" i="4"/>
  <c r="K1863" i="4"/>
  <c r="J1863" i="4"/>
  <c r="I1863" i="4"/>
  <c r="M1863" i="4" s="1" a="1"/>
  <c r="M1863" i="4" s="1"/>
  <c r="O1863" i="4" s="1"/>
  <c r="P1862" i="4"/>
  <c r="K1862" i="4"/>
  <c r="J1862" i="4"/>
  <c r="I1862" i="4"/>
  <c r="M1862" i="4" s="1" a="1"/>
  <c r="M1862" i="4" s="1"/>
  <c r="O1862" i="4" s="1"/>
  <c r="P1861" i="4"/>
  <c r="K1861" i="4"/>
  <c r="J1861" i="4"/>
  <c r="I1861" i="4"/>
  <c r="M1861" i="4" s="1" a="1"/>
  <c r="M1861" i="4" s="1"/>
  <c r="O1861" i="4" s="1"/>
  <c r="P1860" i="4"/>
  <c r="K1860" i="4"/>
  <c r="J1860" i="4"/>
  <c r="I1860" i="4"/>
  <c r="M1860" i="4" s="1" a="1"/>
  <c r="M1860" i="4" s="1"/>
  <c r="O1860" i="4" s="1"/>
  <c r="P1859" i="4"/>
  <c r="K1859" i="4"/>
  <c r="J1859" i="4"/>
  <c r="I1859" i="4"/>
  <c r="M1859" i="4" s="1" a="1"/>
  <c r="M1859" i="4" s="1"/>
  <c r="O1859" i="4" s="1"/>
  <c r="P1858" i="4"/>
  <c r="K1858" i="4"/>
  <c r="M1858" i="4" s="1" a="1"/>
  <c r="M1858" i="4" s="1"/>
  <c r="O1858" i="4" s="1"/>
  <c r="J1858" i="4"/>
  <c r="I1858" i="4"/>
  <c r="P1857" i="4"/>
  <c r="K1857" i="4"/>
  <c r="J1857" i="4"/>
  <c r="I1857" i="4"/>
  <c r="M1857" i="4" s="1" a="1"/>
  <c r="M1857" i="4" s="1"/>
  <c r="O1857" i="4" s="1"/>
  <c r="P1856" i="4"/>
  <c r="K1856" i="4"/>
  <c r="J1856" i="4"/>
  <c r="I1856" i="4"/>
  <c r="M1856" i="4" s="1" a="1"/>
  <c r="M1856" i="4" s="1"/>
  <c r="O1856" i="4" s="1"/>
  <c r="P1855" i="4"/>
  <c r="M1855" i="4" a="1"/>
  <c r="M1855" i="4" s="1"/>
  <c r="O1855" i="4" s="1"/>
  <c r="K1855" i="4"/>
  <c r="J1855" i="4"/>
  <c r="I1855" i="4"/>
  <c r="P1854" i="4"/>
  <c r="M1854" i="4" a="1"/>
  <c r="M1854" i="4" s="1"/>
  <c r="O1854" i="4" s="1"/>
  <c r="K1854" i="4"/>
  <c r="J1854" i="4"/>
  <c r="I1854" i="4"/>
  <c r="P1853" i="4"/>
  <c r="K1853" i="4"/>
  <c r="J1853" i="4"/>
  <c r="M1853" i="4" s="1" a="1"/>
  <c r="M1853" i="4" s="1"/>
  <c r="O1853" i="4" s="1"/>
  <c r="I1853" i="4"/>
  <c r="P1852" i="4"/>
  <c r="M1852" i="4" a="1"/>
  <c r="M1852" i="4" s="1"/>
  <c r="O1852" i="4" s="1"/>
  <c r="K1852" i="4"/>
  <c r="J1852" i="4"/>
  <c r="I1852" i="4"/>
  <c r="P1851" i="4"/>
  <c r="M1851" i="4" a="1"/>
  <c r="M1851" i="4" s="1"/>
  <c r="O1851" i="4" s="1"/>
  <c r="K1851" i="4"/>
  <c r="J1851" i="4"/>
  <c r="I1851" i="4"/>
  <c r="P1850" i="4"/>
  <c r="K1850" i="4"/>
  <c r="J1850" i="4"/>
  <c r="M1850" i="4" s="1" a="1"/>
  <c r="M1850" i="4" s="1"/>
  <c r="O1850" i="4" s="1"/>
  <c r="I1850" i="4"/>
  <c r="P1849" i="4"/>
  <c r="K1849" i="4"/>
  <c r="J1849" i="4"/>
  <c r="I1849" i="4"/>
  <c r="M1849" i="4" s="1" a="1"/>
  <c r="M1849" i="4" s="1"/>
  <c r="O1849" i="4" s="1"/>
  <c r="P1848" i="4"/>
  <c r="K1848" i="4"/>
  <c r="J1848" i="4"/>
  <c r="I1848" i="4"/>
  <c r="M1848" i="4" s="1" a="1"/>
  <c r="M1848" i="4" s="1"/>
  <c r="O1848" i="4" s="1"/>
  <c r="P1847" i="4"/>
  <c r="K1847" i="4"/>
  <c r="J1847" i="4"/>
  <c r="I1847" i="4"/>
  <c r="M1847" i="4" s="1" a="1"/>
  <c r="M1847" i="4" s="1"/>
  <c r="O1847" i="4" s="1"/>
  <c r="P1846" i="4"/>
  <c r="K1846" i="4"/>
  <c r="J1846" i="4"/>
  <c r="I1846" i="4"/>
  <c r="M1846" i="4" s="1" a="1"/>
  <c r="M1846" i="4" s="1"/>
  <c r="O1846" i="4" s="1"/>
  <c r="P1845" i="4"/>
  <c r="K1845" i="4"/>
  <c r="J1845" i="4"/>
  <c r="I1845" i="4"/>
  <c r="M1845" i="4" s="1" a="1"/>
  <c r="M1845" i="4" s="1"/>
  <c r="O1845" i="4" s="1"/>
  <c r="P1844" i="4"/>
  <c r="K1844" i="4"/>
  <c r="J1844" i="4"/>
  <c r="I1844" i="4"/>
  <c r="M1844" i="4" s="1" a="1"/>
  <c r="M1844" i="4" s="1"/>
  <c r="O1844" i="4" s="1"/>
  <c r="P1843" i="4"/>
  <c r="K1843" i="4"/>
  <c r="J1843" i="4"/>
  <c r="I1843" i="4"/>
  <c r="P1842" i="4"/>
  <c r="K1842" i="4"/>
  <c r="M1842" i="4" s="1" a="1"/>
  <c r="M1842" i="4" s="1"/>
  <c r="O1842" i="4" s="1"/>
  <c r="J1842" i="4"/>
  <c r="I1842" i="4"/>
  <c r="P1841" i="4"/>
  <c r="K1841" i="4"/>
  <c r="J1841" i="4"/>
  <c r="I1841" i="4"/>
  <c r="M1841" i="4" s="1" a="1"/>
  <c r="M1841" i="4" s="1"/>
  <c r="O1841" i="4" s="1"/>
  <c r="P1840" i="4"/>
  <c r="K1840" i="4"/>
  <c r="J1840" i="4"/>
  <c r="I1840" i="4"/>
  <c r="M1840" i="4" s="1" a="1"/>
  <c r="M1840" i="4" s="1"/>
  <c r="O1840" i="4" s="1"/>
  <c r="P1839" i="4"/>
  <c r="M1839" i="4" a="1"/>
  <c r="M1839" i="4" s="1"/>
  <c r="O1839" i="4" s="1"/>
  <c r="K1839" i="4"/>
  <c r="J1839" i="4"/>
  <c r="I1839" i="4"/>
  <c r="P1838" i="4"/>
  <c r="M1838" i="4" a="1"/>
  <c r="M1838" i="4" s="1"/>
  <c r="O1838" i="4" s="1"/>
  <c r="K1838" i="4"/>
  <c r="J1838" i="4"/>
  <c r="I1838" i="4"/>
  <c r="P1837" i="4"/>
  <c r="K1837" i="4"/>
  <c r="J1837" i="4"/>
  <c r="M1837" i="4" s="1" a="1"/>
  <c r="M1837" i="4" s="1"/>
  <c r="O1837" i="4" s="1"/>
  <c r="I1837" i="4"/>
  <c r="P1836" i="4"/>
  <c r="M1836" i="4" a="1"/>
  <c r="M1836" i="4" s="1"/>
  <c r="O1836" i="4" s="1"/>
  <c r="K1836" i="4"/>
  <c r="J1836" i="4"/>
  <c r="I1836" i="4"/>
  <c r="P1835" i="4"/>
  <c r="M1835" i="4" a="1"/>
  <c r="M1835" i="4" s="1"/>
  <c r="O1835" i="4" s="1"/>
  <c r="K1835" i="4"/>
  <c r="J1835" i="4"/>
  <c r="I1835" i="4"/>
  <c r="P1834" i="4"/>
  <c r="K1834" i="4"/>
  <c r="J1834" i="4"/>
  <c r="M1834" i="4" s="1" a="1"/>
  <c r="M1834" i="4" s="1"/>
  <c r="O1834" i="4" s="1"/>
  <c r="I1834" i="4"/>
  <c r="P1833" i="4"/>
  <c r="K1833" i="4"/>
  <c r="J1833" i="4"/>
  <c r="I1833" i="4"/>
  <c r="M1833" i="4" s="1" a="1"/>
  <c r="M1833" i="4" s="1"/>
  <c r="O1833" i="4" s="1"/>
  <c r="P1832" i="4"/>
  <c r="K1832" i="4"/>
  <c r="J1832" i="4"/>
  <c r="I1832" i="4"/>
  <c r="M1832" i="4" s="1" a="1"/>
  <c r="M1832" i="4" s="1"/>
  <c r="O1832" i="4" s="1"/>
  <c r="P1831" i="4"/>
  <c r="K1831" i="4"/>
  <c r="J1831" i="4"/>
  <c r="I1831" i="4"/>
  <c r="M1831" i="4" s="1" a="1"/>
  <c r="M1831" i="4" s="1"/>
  <c r="O1831" i="4" s="1"/>
  <c r="P1830" i="4"/>
  <c r="K1830" i="4"/>
  <c r="J1830" i="4"/>
  <c r="I1830" i="4"/>
  <c r="M1830" i="4" s="1" a="1"/>
  <c r="M1830" i="4" s="1"/>
  <c r="O1830" i="4" s="1"/>
  <c r="P1829" i="4"/>
  <c r="K1829" i="4"/>
  <c r="J1829" i="4"/>
  <c r="I1829" i="4"/>
  <c r="M1829" i="4" s="1" a="1"/>
  <c r="M1829" i="4" s="1"/>
  <c r="O1829" i="4" s="1"/>
  <c r="P1828" i="4"/>
  <c r="K1828" i="4"/>
  <c r="J1828" i="4"/>
  <c r="I1828" i="4"/>
  <c r="M1828" i="4" s="1" a="1"/>
  <c r="M1828" i="4" s="1"/>
  <c r="O1828" i="4" s="1"/>
  <c r="P1827" i="4"/>
  <c r="K1827" i="4"/>
  <c r="J1827" i="4"/>
  <c r="I1827" i="4"/>
  <c r="P1826" i="4"/>
  <c r="K1826" i="4"/>
  <c r="J1826" i="4"/>
  <c r="M1826" i="4" s="1" a="1"/>
  <c r="M1826" i="4" s="1"/>
  <c r="O1826" i="4" s="1"/>
  <c r="I1826" i="4"/>
  <c r="P1825" i="4"/>
  <c r="K1825" i="4"/>
  <c r="J1825" i="4"/>
  <c r="I1825" i="4"/>
  <c r="M1825" i="4" s="1" a="1"/>
  <c r="M1825" i="4" s="1"/>
  <c r="O1825" i="4" s="1"/>
  <c r="P1824" i="4"/>
  <c r="K1824" i="4"/>
  <c r="J1824" i="4"/>
  <c r="I1824" i="4"/>
  <c r="M1824" i="4" s="1" a="1"/>
  <c r="M1824" i="4" s="1"/>
  <c r="O1824" i="4" s="1"/>
  <c r="P1823" i="4"/>
  <c r="M1823" i="4" a="1"/>
  <c r="M1823" i="4" s="1"/>
  <c r="O1823" i="4" s="1"/>
  <c r="K1823" i="4"/>
  <c r="J1823" i="4"/>
  <c r="I1823" i="4"/>
  <c r="P1822" i="4"/>
  <c r="O1822" i="4"/>
  <c r="M1822" i="4" a="1"/>
  <c r="M1822" i="4" s="1"/>
  <c r="K1822" i="4"/>
  <c r="J1822" i="4"/>
  <c r="I1822" i="4"/>
  <c r="P1821" i="4"/>
  <c r="K1821" i="4"/>
  <c r="J1821" i="4"/>
  <c r="I1821" i="4"/>
  <c r="M1821" i="4" s="1" a="1"/>
  <c r="M1821" i="4" s="1"/>
  <c r="O1821" i="4" s="1"/>
  <c r="P1820" i="4"/>
  <c r="M1820" i="4" a="1"/>
  <c r="M1820" i="4" s="1"/>
  <c r="O1820" i="4" s="1"/>
  <c r="K1820" i="4"/>
  <c r="J1820" i="4"/>
  <c r="I1820" i="4"/>
  <c r="P1819" i="4"/>
  <c r="M1819" i="4" a="1"/>
  <c r="M1819" i="4" s="1"/>
  <c r="O1819" i="4" s="1"/>
  <c r="K1819" i="4"/>
  <c r="J1819" i="4"/>
  <c r="I1819" i="4"/>
  <c r="P1818" i="4"/>
  <c r="K1818" i="4"/>
  <c r="J1818" i="4"/>
  <c r="I1818" i="4"/>
  <c r="P1817" i="4"/>
  <c r="K1817" i="4"/>
  <c r="J1817" i="4"/>
  <c r="I1817" i="4"/>
  <c r="M1817" i="4" s="1" a="1"/>
  <c r="M1817" i="4" s="1"/>
  <c r="O1817" i="4" s="1"/>
  <c r="P1816" i="4"/>
  <c r="K1816" i="4"/>
  <c r="J1816" i="4"/>
  <c r="I1816" i="4"/>
  <c r="M1816" i="4" s="1" a="1"/>
  <c r="M1816" i="4" s="1"/>
  <c r="O1816" i="4" s="1"/>
  <c r="P1815" i="4"/>
  <c r="K1815" i="4"/>
  <c r="J1815" i="4"/>
  <c r="I1815" i="4"/>
  <c r="M1815" i="4" s="1" a="1"/>
  <c r="M1815" i="4" s="1"/>
  <c r="O1815" i="4" s="1"/>
  <c r="P1814" i="4"/>
  <c r="K1814" i="4"/>
  <c r="J1814" i="4"/>
  <c r="I1814" i="4"/>
  <c r="M1814" i="4" s="1" a="1"/>
  <c r="M1814" i="4" s="1"/>
  <c r="O1814" i="4" s="1"/>
  <c r="P1813" i="4"/>
  <c r="K1813" i="4"/>
  <c r="J1813" i="4"/>
  <c r="I1813" i="4"/>
  <c r="M1813" i="4" s="1" a="1"/>
  <c r="M1813" i="4" s="1"/>
  <c r="O1813" i="4" s="1"/>
  <c r="P1812" i="4"/>
  <c r="K1812" i="4"/>
  <c r="J1812" i="4"/>
  <c r="I1812" i="4"/>
  <c r="M1812" i="4" s="1" a="1"/>
  <c r="M1812" i="4" s="1"/>
  <c r="O1812" i="4" s="1"/>
  <c r="P1811" i="4"/>
  <c r="K1811" i="4"/>
  <c r="J1811" i="4"/>
  <c r="I1811" i="4"/>
  <c r="P1810" i="4"/>
  <c r="K1810" i="4"/>
  <c r="J1810" i="4"/>
  <c r="M1810" i="4" s="1" a="1"/>
  <c r="M1810" i="4" s="1"/>
  <c r="O1810" i="4" s="1"/>
  <c r="I1810" i="4"/>
  <c r="P1809" i="4"/>
  <c r="K1809" i="4"/>
  <c r="J1809" i="4"/>
  <c r="I1809" i="4"/>
  <c r="M1809" i="4" s="1" a="1"/>
  <c r="M1809" i="4" s="1"/>
  <c r="O1809" i="4" s="1"/>
  <c r="P1808" i="4"/>
  <c r="K1808" i="4"/>
  <c r="J1808" i="4"/>
  <c r="I1808" i="4"/>
  <c r="M1808" i="4" s="1" a="1"/>
  <c r="M1808" i="4" s="1"/>
  <c r="O1808" i="4" s="1"/>
  <c r="P1807" i="4"/>
  <c r="M1807" i="4" a="1"/>
  <c r="M1807" i="4" s="1"/>
  <c r="O1807" i="4" s="1"/>
  <c r="K1807" i="4"/>
  <c r="J1807" i="4"/>
  <c r="I1807" i="4"/>
  <c r="P1806" i="4"/>
  <c r="O1806" i="4"/>
  <c r="M1806" i="4" a="1"/>
  <c r="M1806" i="4" s="1"/>
  <c r="K1806" i="4"/>
  <c r="J1806" i="4"/>
  <c r="I1806" i="4"/>
  <c r="P1805" i="4"/>
  <c r="K1805" i="4"/>
  <c r="J1805" i="4"/>
  <c r="I1805" i="4"/>
  <c r="M1805" i="4" s="1" a="1"/>
  <c r="M1805" i="4" s="1"/>
  <c r="O1805" i="4" s="1"/>
  <c r="P1804" i="4"/>
  <c r="M1804" i="4" a="1"/>
  <c r="M1804" i="4" s="1"/>
  <c r="O1804" i="4" s="1"/>
  <c r="K1804" i="4"/>
  <c r="J1804" i="4"/>
  <c r="I1804" i="4"/>
  <c r="P1803" i="4"/>
  <c r="M1803" i="4" a="1"/>
  <c r="M1803" i="4" s="1"/>
  <c r="O1803" i="4" s="1"/>
  <c r="K1803" i="4"/>
  <c r="J1803" i="4"/>
  <c r="I1803" i="4"/>
  <c r="P1802" i="4"/>
  <c r="K1802" i="4"/>
  <c r="J1802" i="4"/>
  <c r="M1802" i="4" s="1" a="1"/>
  <c r="M1802" i="4" s="1"/>
  <c r="O1802" i="4" s="1"/>
  <c r="I1802" i="4"/>
  <c r="P1801" i="4"/>
  <c r="K1801" i="4"/>
  <c r="J1801" i="4"/>
  <c r="I1801" i="4"/>
  <c r="M1801" i="4" s="1" a="1"/>
  <c r="M1801" i="4" s="1"/>
  <c r="O1801" i="4" s="1"/>
  <c r="P1800" i="4"/>
  <c r="K1800" i="4"/>
  <c r="J1800" i="4"/>
  <c r="I1800" i="4"/>
  <c r="M1800" i="4" s="1" a="1"/>
  <c r="M1800" i="4" s="1"/>
  <c r="O1800" i="4" s="1"/>
  <c r="P1799" i="4"/>
  <c r="K1799" i="4"/>
  <c r="J1799" i="4"/>
  <c r="I1799" i="4"/>
  <c r="M1799" i="4" s="1" a="1"/>
  <c r="M1799" i="4" s="1"/>
  <c r="O1799" i="4" s="1"/>
  <c r="P1798" i="4"/>
  <c r="K1798" i="4"/>
  <c r="J1798" i="4"/>
  <c r="I1798" i="4"/>
  <c r="M1798" i="4" s="1" a="1"/>
  <c r="M1798" i="4" s="1"/>
  <c r="O1798" i="4" s="1"/>
  <c r="P1797" i="4"/>
  <c r="M1797" i="4"/>
  <c r="O1797" i="4" s="1"/>
  <c r="K1797" i="4"/>
  <c r="J1797" i="4"/>
  <c r="I1797" i="4"/>
  <c r="M1797" i="4" s="1" a="1"/>
  <c r="P1796" i="4"/>
  <c r="K1796" i="4"/>
  <c r="J1796" i="4"/>
  <c r="I1796" i="4"/>
  <c r="M1796" i="4" s="1" a="1"/>
  <c r="M1796" i="4" s="1"/>
  <c r="O1796" i="4" s="1"/>
  <c r="P1795" i="4"/>
  <c r="K1795" i="4"/>
  <c r="J1795" i="4"/>
  <c r="I1795" i="4"/>
  <c r="M1795" i="4" s="1" a="1"/>
  <c r="M1795" i="4" s="1"/>
  <c r="O1795" i="4" s="1"/>
  <c r="P1794" i="4"/>
  <c r="K1794" i="4"/>
  <c r="J1794" i="4"/>
  <c r="M1794" i="4" s="1" a="1"/>
  <c r="M1794" i="4" s="1"/>
  <c r="O1794" i="4" s="1"/>
  <c r="I1794" i="4"/>
  <c r="P1793" i="4"/>
  <c r="K1793" i="4"/>
  <c r="J1793" i="4"/>
  <c r="I1793" i="4"/>
  <c r="M1793" i="4" s="1" a="1"/>
  <c r="M1793" i="4" s="1"/>
  <c r="O1793" i="4" s="1"/>
  <c r="P1792" i="4"/>
  <c r="K1792" i="4"/>
  <c r="J1792" i="4"/>
  <c r="I1792" i="4"/>
  <c r="M1792" i="4" s="1" a="1"/>
  <c r="M1792" i="4" s="1"/>
  <c r="O1792" i="4" s="1"/>
  <c r="P1791" i="4"/>
  <c r="M1791" i="4" a="1"/>
  <c r="M1791" i="4" s="1"/>
  <c r="O1791" i="4" s="1"/>
  <c r="K1791" i="4"/>
  <c r="J1791" i="4"/>
  <c r="I1791" i="4"/>
  <c r="P1790" i="4"/>
  <c r="M1790" i="4" a="1"/>
  <c r="M1790" i="4" s="1"/>
  <c r="O1790" i="4" s="1"/>
  <c r="K1790" i="4"/>
  <c r="J1790" i="4"/>
  <c r="I1790" i="4"/>
  <c r="P1789" i="4"/>
  <c r="K1789" i="4"/>
  <c r="J1789" i="4"/>
  <c r="I1789" i="4"/>
  <c r="M1789" i="4" s="1" a="1"/>
  <c r="M1789" i="4" s="1"/>
  <c r="O1789" i="4" s="1"/>
  <c r="P1788" i="4"/>
  <c r="M1788" i="4" a="1"/>
  <c r="M1788" i="4" s="1"/>
  <c r="O1788" i="4" s="1"/>
  <c r="K1788" i="4"/>
  <c r="J1788" i="4"/>
  <c r="I1788" i="4"/>
  <c r="P1787" i="4"/>
  <c r="M1787" i="4" a="1"/>
  <c r="M1787" i="4" s="1"/>
  <c r="O1787" i="4" s="1"/>
  <c r="K1787" i="4"/>
  <c r="J1787" i="4"/>
  <c r="I1787" i="4"/>
  <c r="P1786" i="4"/>
  <c r="K1786" i="4"/>
  <c r="J1786" i="4"/>
  <c r="I1786" i="4"/>
  <c r="P1785" i="4"/>
  <c r="K1785" i="4"/>
  <c r="J1785" i="4"/>
  <c r="I1785" i="4"/>
  <c r="M1785" i="4" s="1" a="1"/>
  <c r="M1785" i="4" s="1"/>
  <c r="O1785" i="4" s="1"/>
  <c r="P1784" i="4"/>
  <c r="K1784" i="4"/>
  <c r="J1784" i="4"/>
  <c r="I1784" i="4"/>
  <c r="M1784" i="4" s="1" a="1"/>
  <c r="M1784" i="4" s="1"/>
  <c r="O1784" i="4" s="1"/>
  <c r="P1783" i="4"/>
  <c r="K1783" i="4"/>
  <c r="J1783" i="4"/>
  <c r="I1783" i="4"/>
  <c r="M1783" i="4" s="1" a="1"/>
  <c r="M1783" i="4" s="1"/>
  <c r="O1783" i="4" s="1"/>
  <c r="P1782" i="4"/>
  <c r="K1782" i="4"/>
  <c r="J1782" i="4"/>
  <c r="I1782" i="4"/>
  <c r="M1782" i="4" s="1" a="1"/>
  <c r="M1782" i="4" s="1"/>
  <c r="O1782" i="4" s="1"/>
  <c r="P1781" i="4"/>
  <c r="M1781" i="4"/>
  <c r="O1781" i="4" s="1"/>
  <c r="K1781" i="4"/>
  <c r="J1781" i="4"/>
  <c r="I1781" i="4"/>
  <c r="M1781" i="4" s="1" a="1"/>
  <c r="P1780" i="4"/>
  <c r="K1780" i="4"/>
  <c r="J1780" i="4"/>
  <c r="I1780" i="4"/>
  <c r="M1780" i="4" s="1" a="1"/>
  <c r="M1780" i="4" s="1"/>
  <c r="O1780" i="4" s="1"/>
  <c r="P1779" i="4"/>
  <c r="K1779" i="4"/>
  <c r="J1779" i="4"/>
  <c r="I1779" i="4"/>
  <c r="P1778" i="4"/>
  <c r="K1778" i="4"/>
  <c r="J1778" i="4"/>
  <c r="M1778" i="4" s="1" a="1"/>
  <c r="M1778" i="4" s="1"/>
  <c r="O1778" i="4" s="1"/>
  <c r="I1778" i="4"/>
  <c r="P1777" i="4"/>
  <c r="K1777" i="4"/>
  <c r="J1777" i="4"/>
  <c r="I1777" i="4"/>
  <c r="M1777" i="4" s="1" a="1"/>
  <c r="M1777" i="4" s="1"/>
  <c r="O1777" i="4" s="1"/>
  <c r="P1776" i="4"/>
  <c r="K1776" i="4"/>
  <c r="J1776" i="4"/>
  <c r="I1776" i="4"/>
  <c r="M1776" i="4" s="1" a="1"/>
  <c r="M1776" i="4" s="1"/>
  <c r="O1776" i="4" s="1"/>
  <c r="P1775" i="4"/>
  <c r="M1775" i="4" a="1"/>
  <c r="M1775" i="4" s="1"/>
  <c r="O1775" i="4" s="1"/>
  <c r="K1775" i="4"/>
  <c r="J1775" i="4"/>
  <c r="I1775" i="4"/>
  <c r="P1774" i="4"/>
  <c r="M1774" i="4" a="1"/>
  <c r="M1774" i="4" s="1"/>
  <c r="O1774" i="4" s="1"/>
  <c r="K1774" i="4"/>
  <c r="J1774" i="4"/>
  <c r="I1774" i="4"/>
  <c r="P1773" i="4"/>
  <c r="K1773" i="4"/>
  <c r="J1773" i="4"/>
  <c r="I1773" i="4"/>
  <c r="M1773" i="4" s="1" a="1"/>
  <c r="M1773" i="4" s="1"/>
  <c r="O1773" i="4" s="1"/>
  <c r="P1772" i="4"/>
  <c r="M1772" i="4" a="1"/>
  <c r="M1772" i="4" s="1"/>
  <c r="O1772" i="4" s="1"/>
  <c r="K1772" i="4"/>
  <c r="J1772" i="4"/>
  <c r="I1772" i="4"/>
  <c r="P1771" i="4"/>
  <c r="M1771" i="4" a="1"/>
  <c r="M1771" i="4" s="1"/>
  <c r="O1771" i="4" s="1"/>
  <c r="K1771" i="4"/>
  <c r="J1771" i="4"/>
  <c r="I1771" i="4"/>
  <c r="P1770" i="4"/>
  <c r="K1770" i="4"/>
  <c r="J1770" i="4"/>
  <c r="I1770" i="4"/>
  <c r="P1769" i="4"/>
  <c r="K1769" i="4"/>
  <c r="J1769" i="4"/>
  <c r="I1769" i="4"/>
  <c r="M1769" i="4" s="1" a="1"/>
  <c r="M1769" i="4" s="1"/>
  <c r="O1769" i="4" s="1"/>
  <c r="P1768" i="4"/>
  <c r="K1768" i="4"/>
  <c r="J1768" i="4"/>
  <c r="I1768" i="4"/>
  <c r="M1768" i="4" s="1" a="1"/>
  <c r="M1768" i="4" s="1"/>
  <c r="O1768" i="4" s="1"/>
  <c r="P1767" i="4"/>
  <c r="K1767" i="4"/>
  <c r="J1767" i="4"/>
  <c r="I1767" i="4"/>
  <c r="M1767" i="4" s="1" a="1"/>
  <c r="M1767" i="4" s="1"/>
  <c r="O1767" i="4" s="1"/>
  <c r="P1766" i="4"/>
  <c r="K1766" i="4"/>
  <c r="J1766" i="4"/>
  <c r="I1766" i="4"/>
  <c r="M1766" i="4" s="1" a="1"/>
  <c r="M1766" i="4" s="1"/>
  <c r="O1766" i="4" s="1"/>
  <c r="P1765" i="4"/>
  <c r="K1765" i="4"/>
  <c r="J1765" i="4"/>
  <c r="I1765" i="4"/>
  <c r="M1765" i="4" s="1" a="1"/>
  <c r="M1765" i="4" s="1"/>
  <c r="O1765" i="4" s="1"/>
  <c r="P1764" i="4"/>
  <c r="K1764" i="4"/>
  <c r="J1764" i="4"/>
  <c r="I1764" i="4"/>
  <c r="M1764" i="4" s="1" a="1"/>
  <c r="M1764" i="4" s="1"/>
  <c r="O1764" i="4" s="1"/>
  <c r="P1763" i="4"/>
  <c r="K1763" i="4"/>
  <c r="J1763" i="4"/>
  <c r="I1763" i="4"/>
  <c r="M1763" i="4" s="1" a="1"/>
  <c r="M1763" i="4" s="1"/>
  <c r="O1763" i="4" s="1"/>
  <c r="P1762" i="4"/>
  <c r="K1762" i="4"/>
  <c r="J1762" i="4"/>
  <c r="M1762" i="4" s="1" a="1"/>
  <c r="M1762" i="4" s="1"/>
  <c r="O1762" i="4" s="1"/>
  <c r="I1762" i="4"/>
  <c r="P1761" i="4"/>
  <c r="K1761" i="4"/>
  <c r="J1761" i="4"/>
  <c r="I1761" i="4"/>
  <c r="M1761" i="4" s="1" a="1"/>
  <c r="M1761" i="4" s="1"/>
  <c r="O1761" i="4" s="1"/>
  <c r="P1760" i="4"/>
  <c r="K1760" i="4"/>
  <c r="J1760" i="4"/>
  <c r="I1760" i="4"/>
  <c r="M1760" i="4" s="1" a="1"/>
  <c r="M1760" i="4" s="1"/>
  <c r="O1760" i="4" s="1"/>
  <c r="P1759" i="4"/>
  <c r="M1759" i="4" a="1"/>
  <c r="M1759" i="4" s="1"/>
  <c r="O1759" i="4" s="1"/>
  <c r="K1759" i="4"/>
  <c r="J1759" i="4"/>
  <c r="I1759" i="4"/>
  <c r="P1758" i="4"/>
  <c r="M1758" i="4" a="1"/>
  <c r="M1758" i="4" s="1"/>
  <c r="O1758" i="4" s="1"/>
  <c r="K1758" i="4"/>
  <c r="J1758" i="4"/>
  <c r="I1758" i="4"/>
  <c r="P1757" i="4"/>
  <c r="K1757" i="4"/>
  <c r="J1757" i="4"/>
  <c r="M1757" i="4" s="1" a="1"/>
  <c r="M1757" i="4" s="1"/>
  <c r="O1757" i="4" s="1"/>
  <c r="I1757" i="4"/>
  <c r="P1756" i="4"/>
  <c r="M1756" i="4" a="1"/>
  <c r="M1756" i="4" s="1"/>
  <c r="O1756" i="4" s="1"/>
  <c r="K1756" i="4"/>
  <c r="J1756" i="4"/>
  <c r="I1756" i="4"/>
  <c r="P1755" i="4"/>
  <c r="M1755" i="4" a="1"/>
  <c r="M1755" i="4" s="1"/>
  <c r="O1755" i="4" s="1"/>
  <c r="K1755" i="4"/>
  <c r="J1755" i="4"/>
  <c r="I1755" i="4"/>
  <c r="P1754" i="4"/>
  <c r="K1754" i="4"/>
  <c r="J1754" i="4"/>
  <c r="I1754" i="4"/>
  <c r="M1754" i="4" s="1" a="1"/>
  <c r="M1754" i="4" s="1"/>
  <c r="O1754" i="4" s="1"/>
  <c r="P1753" i="4"/>
  <c r="K1753" i="4"/>
  <c r="J1753" i="4"/>
  <c r="I1753" i="4"/>
  <c r="M1753" i="4" s="1" a="1"/>
  <c r="M1753" i="4" s="1"/>
  <c r="O1753" i="4" s="1"/>
  <c r="P1752" i="4"/>
  <c r="K1752" i="4"/>
  <c r="J1752" i="4"/>
  <c r="I1752" i="4"/>
  <c r="M1752" i="4" s="1" a="1"/>
  <c r="M1752" i="4" s="1"/>
  <c r="O1752" i="4" s="1"/>
  <c r="P1751" i="4"/>
  <c r="K1751" i="4"/>
  <c r="J1751" i="4"/>
  <c r="I1751" i="4"/>
  <c r="M1751" i="4" s="1" a="1"/>
  <c r="M1751" i="4" s="1"/>
  <c r="O1751" i="4" s="1"/>
  <c r="P1750" i="4"/>
  <c r="K1750" i="4"/>
  <c r="J1750" i="4"/>
  <c r="I1750" i="4"/>
  <c r="M1750" i="4" s="1" a="1"/>
  <c r="M1750" i="4" s="1"/>
  <c r="O1750" i="4" s="1"/>
  <c r="P1749" i="4"/>
  <c r="M1749" i="4"/>
  <c r="O1749" i="4" s="1"/>
  <c r="K1749" i="4"/>
  <c r="J1749" i="4"/>
  <c r="I1749" i="4"/>
  <c r="M1749" i="4" s="1" a="1"/>
  <c r="P1748" i="4"/>
  <c r="K1748" i="4"/>
  <c r="J1748" i="4"/>
  <c r="I1748" i="4"/>
  <c r="M1748" i="4" s="1" a="1"/>
  <c r="M1748" i="4" s="1"/>
  <c r="O1748" i="4" s="1"/>
  <c r="P1747" i="4"/>
  <c r="K1747" i="4"/>
  <c r="J1747" i="4"/>
  <c r="I1747" i="4"/>
  <c r="M1747" i="4" s="1" a="1"/>
  <c r="M1747" i="4" s="1"/>
  <c r="O1747" i="4" s="1"/>
  <c r="P1746" i="4"/>
  <c r="K1746" i="4"/>
  <c r="J1746" i="4"/>
  <c r="M1746" i="4" s="1" a="1"/>
  <c r="M1746" i="4" s="1"/>
  <c r="O1746" i="4" s="1"/>
  <c r="I1746" i="4"/>
  <c r="P1745" i="4"/>
  <c r="K1745" i="4"/>
  <c r="J1745" i="4"/>
  <c r="I1745" i="4"/>
  <c r="M1745" i="4" s="1" a="1"/>
  <c r="M1745" i="4" s="1"/>
  <c r="O1745" i="4" s="1"/>
  <c r="P1744" i="4"/>
  <c r="K1744" i="4"/>
  <c r="J1744" i="4"/>
  <c r="I1744" i="4"/>
  <c r="M1744" i="4" s="1" a="1"/>
  <c r="M1744" i="4" s="1"/>
  <c r="O1744" i="4" s="1"/>
  <c r="P1743" i="4"/>
  <c r="M1743" i="4" a="1"/>
  <c r="M1743" i="4" s="1"/>
  <c r="O1743" i="4" s="1"/>
  <c r="K1743" i="4"/>
  <c r="J1743" i="4"/>
  <c r="I1743" i="4"/>
  <c r="P1742" i="4"/>
  <c r="O1742" i="4"/>
  <c r="M1742" i="4" a="1"/>
  <c r="M1742" i="4" s="1"/>
  <c r="K1742" i="4"/>
  <c r="J1742" i="4"/>
  <c r="I1742" i="4"/>
  <c r="P1741" i="4"/>
  <c r="K1741" i="4"/>
  <c r="J1741" i="4"/>
  <c r="M1741" i="4" s="1" a="1"/>
  <c r="M1741" i="4" s="1"/>
  <c r="O1741" i="4" s="1"/>
  <c r="I1741" i="4"/>
  <c r="P1740" i="4"/>
  <c r="M1740" i="4" a="1"/>
  <c r="M1740" i="4" s="1"/>
  <c r="O1740" i="4" s="1"/>
  <c r="K1740" i="4"/>
  <c r="J1740" i="4"/>
  <c r="I1740" i="4"/>
  <c r="P1739" i="4"/>
  <c r="M1739" i="4" a="1"/>
  <c r="M1739" i="4" s="1"/>
  <c r="O1739" i="4" s="1"/>
  <c r="K1739" i="4"/>
  <c r="J1739" i="4"/>
  <c r="I1739" i="4"/>
  <c r="P1738" i="4"/>
  <c r="K1738" i="4"/>
  <c r="J1738" i="4"/>
  <c r="I1738" i="4"/>
  <c r="M1738" i="4" s="1" a="1"/>
  <c r="M1738" i="4" s="1"/>
  <c r="O1738" i="4" s="1"/>
  <c r="P1737" i="4"/>
  <c r="K1737" i="4"/>
  <c r="J1737" i="4"/>
  <c r="I1737" i="4"/>
  <c r="M1737" i="4" s="1" a="1"/>
  <c r="M1737" i="4" s="1"/>
  <c r="O1737" i="4" s="1"/>
  <c r="P1736" i="4"/>
  <c r="K1736" i="4"/>
  <c r="J1736" i="4"/>
  <c r="I1736" i="4"/>
  <c r="M1736" i="4" s="1" a="1"/>
  <c r="M1736" i="4" s="1"/>
  <c r="O1736" i="4" s="1"/>
  <c r="P1735" i="4"/>
  <c r="K1735" i="4"/>
  <c r="J1735" i="4"/>
  <c r="I1735" i="4"/>
  <c r="M1735" i="4" s="1" a="1"/>
  <c r="M1735" i="4" s="1"/>
  <c r="O1735" i="4" s="1"/>
  <c r="P1734" i="4"/>
  <c r="K1734" i="4"/>
  <c r="J1734" i="4"/>
  <c r="I1734" i="4"/>
  <c r="M1734" i="4" s="1" a="1"/>
  <c r="M1734" i="4" s="1"/>
  <c r="O1734" i="4" s="1"/>
  <c r="P1733" i="4"/>
  <c r="K1733" i="4"/>
  <c r="J1733" i="4"/>
  <c r="I1733" i="4"/>
  <c r="M1733" i="4" s="1" a="1"/>
  <c r="M1733" i="4" s="1"/>
  <c r="O1733" i="4" s="1"/>
  <c r="P1732" i="4"/>
  <c r="K1732" i="4"/>
  <c r="J1732" i="4"/>
  <c r="I1732" i="4"/>
  <c r="M1732" i="4" s="1" a="1"/>
  <c r="M1732" i="4" s="1"/>
  <c r="O1732" i="4" s="1"/>
  <c r="P1731" i="4"/>
  <c r="K1731" i="4"/>
  <c r="J1731" i="4"/>
  <c r="I1731" i="4"/>
  <c r="M1731" i="4" s="1" a="1"/>
  <c r="M1731" i="4" s="1"/>
  <c r="O1731" i="4" s="1"/>
  <c r="P1730" i="4"/>
  <c r="K1730" i="4"/>
  <c r="J1730" i="4"/>
  <c r="M1730" i="4" s="1" a="1"/>
  <c r="M1730" i="4" s="1"/>
  <c r="O1730" i="4" s="1"/>
  <c r="I1730" i="4"/>
  <c r="P1729" i="4"/>
  <c r="K1729" i="4"/>
  <c r="J1729" i="4"/>
  <c r="I1729" i="4"/>
  <c r="M1729" i="4" s="1" a="1"/>
  <c r="M1729" i="4" s="1"/>
  <c r="O1729" i="4" s="1"/>
  <c r="P1728" i="4"/>
  <c r="K1728" i="4"/>
  <c r="J1728" i="4"/>
  <c r="I1728" i="4"/>
  <c r="M1728" i="4" s="1" a="1"/>
  <c r="M1728" i="4" s="1"/>
  <c r="O1728" i="4" s="1"/>
  <c r="P1727" i="4"/>
  <c r="M1727" i="4" a="1"/>
  <c r="M1727" i="4" s="1"/>
  <c r="O1727" i="4" s="1"/>
  <c r="K1727" i="4"/>
  <c r="J1727" i="4"/>
  <c r="I1727" i="4"/>
  <c r="P1726" i="4"/>
  <c r="O1726" i="4"/>
  <c r="M1726" i="4" a="1"/>
  <c r="M1726" i="4" s="1"/>
  <c r="K1726" i="4"/>
  <c r="J1726" i="4"/>
  <c r="I1726" i="4"/>
  <c r="P1725" i="4"/>
  <c r="K1725" i="4"/>
  <c r="J1725" i="4"/>
  <c r="M1725" i="4" s="1" a="1"/>
  <c r="M1725" i="4" s="1"/>
  <c r="O1725" i="4" s="1"/>
  <c r="I1725" i="4"/>
  <c r="P1724" i="4"/>
  <c r="K1724" i="4"/>
  <c r="J1724" i="4"/>
  <c r="M1724" i="4" s="1" a="1"/>
  <c r="M1724" i="4" s="1"/>
  <c r="O1724" i="4" s="1"/>
  <c r="I1724" i="4"/>
  <c r="P1723" i="4"/>
  <c r="M1723" i="4" a="1"/>
  <c r="M1723" i="4" s="1"/>
  <c r="O1723" i="4" s="1"/>
  <c r="K1723" i="4"/>
  <c r="J1723" i="4"/>
  <c r="I1723" i="4"/>
  <c r="P1722" i="4"/>
  <c r="K1722" i="4"/>
  <c r="J1722" i="4"/>
  <c r="I1722" i="4"/>
  <c r="M1722" i="4" s="1" a="1"/>
  <c r="M1722" i="4" s="1"/>
  <c r="O1722" i="4" s="1"/>
  <c r="P1721" i="4"/>
  <c r="K1721" i="4"/>
  <c r="J1721" i="4"/>
  <c r="I1721" i="4"/>
  <c r="M1721" i="4" s="1" a="1"/>
  <c r="M1721" i="4" s="1"/>
  <c r="O1721" i="4" s="1"/>
  <c r="P1720" i="4"/>
  <c r="K1720" i="4"/>
  <c r="J1720" i="4"/>
  <c r="I1720" i="4"/>
  <c r="M1720" i="4" s="1" a="1"/>
  <c r="M1720" i="4" s="1"/>
  <c r="O1720" i="4" s="1"/>
  <c r="P1719" i="4"/>
  <c r="M1719" i="4"/>
  <c r="O1719" i="4" s="1"/>
  <c r="K1719" i="4"/>
  <c r="J1719" i="4"/>
  <c r="I1719" i="4"/>
  <c r="M1719" i="4" s="1" a="1"/>
  <c r="P1718" i="4"/>
  <c r="K1718" i="4"/>
  <c r="J1718" i="4"/>
  <c r="I1718" i="4"/>
  <c r="M1718" i="4" s="1" a="1"/>
  <c r="M1718" i="4" s="1"/>
  <c r="O1718" i="4" s="1"/>
  <c r="P1717" i="4"/>
  <c r="M1717" i="4"/>
  <c r="O1717" i="4" s="1"/>
  <c r="K1717" i="4"/>
  <c r="J1717" i="4"/>
  <c r="I1717" i="4"/>
  <c r="M1717" i="4" s="1" a="1"/>
  <c r="P1716" i="4"/>
  <c r="K1716" i="4"/>
  <c r="J1716" i="4"/>
  <c r="I1716" i="4"/>
  <c r="M1716" i="4" s="1" a="1"/>
  <c r="M1716" i="4" s="1"/>
  <c r="O1716" i="4" s="1"/>
  <c r="P1715" i="4"/>
  <c r="K1715" i="4"/>
  <c r="J1715" i="4"/>
  <c r="I1715" i="4"/>
  <c r="M1715" i="4" s="1" a="1"/>
  <c r="M1715" i="4" s="1"/>
  <c r="O1715" i="4" s="1"/>
  <c r="P1714" i="4"/>
  <c r="K1714" i="4"/>
  <c r="J1714" i="4"/>
  <c r="M1714" i="4" s="1" a="1"/>
  <c r="M1714" i="4" s="1"/>
  <c r="O1714" i="4" s="1"/>
  <c r="I1714" i="4"/>
  <c r="P1713" i="4"/>
  <c r="K1713" i="4"/>
  <c r="J1713" i="4"/>
  <c r="I1713" i="4"/>
  <c r="M1713" i="4" s="1" a="1"/>
  <c r="M1713" i="4" s="1"/>
  <c r="O1713" i="4" s="1"/>
  <c r="P1712" i="4"/>
  <c r="K1712" i="4"/>
  <c r="J1712" i="4"/>
  <c r="I1712" i="4"/>
  <c r="M1712" i="4" s="1" a="1"/>
  <c r="M1712" i="4" s="1"/>
  <c r="O1712" i="4" s="1"/>
  <c r="P1711" i="4"/>
  <c r="M1711" i="4" a="1"/>
  <c r="M1711" i="4" s="1"/>
  <c r="O1711" i="4" s="1"/>
  <c r="K1711" i="4"/>
  <c r="J1711" i="4"/>
  <c r="I1711" i="4"/>
  <c r="P1710" i="4"/>
  <c r="M1710" i="4" a="1"/>
  <c r="M1710" i="4" s="1"/>
  <c r="O1710" i="4" s="1"/>
  <c r="K1710" i="4"/>
  <c r="J1710" i="4"/>
  <c r="I1710" i="4"/>
  <c r="P1709" i="4"/>
  <c r="K1709" i="4"/>
  <c r="J1709" i="4"/>
  <c r="M1709" i="4" s="1" a="1"/>
  <c r="M1709" i="4" s="1"/>
  <c r="O1709" i="4" s="1"/>
  <c r="I1709" i="4"/>
  <c r="P1708" i="4"/>
  <c r="K1708" i="4"/>
  <c r="J1708" i="4"/>
  <c r="M1708" i="4" s="1" a="1"/>
  <c r="M1708" i="4" s="1"/>
  <c r="O1708" i="4" s="1"/>
  <c r="I1708" i="4"/>
  <c r="P1707" i="4"/>
  <c r="M1707" i="4" a="1"/>
  <c r="M1707" i="4" s="1"/>
  <c r="O1707" i="4" s="1"/>
  <c r="K1707" i="4"/>
  <c r="J1707" i="4"/>
  <c r="I1707" i="4"/>
  <c r="P1706" i="4"/>
  <c r="K1706" i="4"/>
  <c r="J1706" i="4"/>
  <c r="I1706" i="4"/>
  <c r="M1706" i="4" s="1" a="1"/>
  <c r="M1706" i="4" s="1"/>
  <c r="O1706" i="4" s="1"/>
  <c r="P1705" i="4"/>
  <c r="K1705" i="4"/>
  <c r="J1705" i="4"/>
  <c r="I1705" i="4"/>
  <c r="M1705" i="4" s="1" a="1"/>
  <c r="M1705" i="4" s="1"/>
  <c r="O1705" i="4" s="1"/>
  <c r="P1704" i="4"/>
  <c r="M1704" i="4"/>
  <c r="O1704" i="4" s="1"/>
  <c r="K1704" i="4"/>
  <c r="J1704" i="4"/>
  <c r="I1704" i="4"/>
  <c r="M1704" i="4" s="1" a="1"/>
  <c r="P1703" i="4"/>
  <c r="M1703" i="4"/>
  <c r="O1703" i="4" s="1"/>
  <c r="K1703" i="4"/>
  <c r="J1703" i="4"/>
  <c r="I1703" i="4"/>
  <c r="M1703" i="4" s="1" a="1"/>
  <c r="P1702" i="4"/>
  <c r="K1702" i="4"/>
  <c r="J1702" i="4"/>
  <c r="I1702" i="4"/>
  <c r="M1702" i="4" s="1" a="1"/>
  <c r="M1702" i="4" s="1"/>
  <c r="O1702" i="4" s="1"/>
  <c r="P1701" i="4"/>
  <c r="K1701" i="4"/>
  <c r="J1701" i="4"/>
  <c r="I1701" i="4"/>
  <c r="P1700" i="4"/>
  <c r="K1700" i="4"/>
  <c r="J1700" i="4"/>
  <c r="I1700" i="4"/>
  <c r="M1700" i="4" s="1" a="1"/>
  <c r="M1700" i="4" s="1"/>
  <c r="O1700" i="4" s="1"/>
  <c r="P1699" i="4"/>
  <c r="K1699" i="4"/>
  <c r="J1699" i="4"/>
  <c r="I1699" i="4"/>
  <c r="P1698" i="4"/>
  <c r="K1698" i="4"/>
  <c r="J1698" i="4"/>
  <c r="M1698" i="4" s="1" a="1"/>
  <c r="M1698" i="4" s="1"/>
  <c r="O1698" i="4" s="1"/>
  <c r="I1698" i="4"/>
  <c r="P1697" i="4"/>
  <c r="K1697" i="4"/>
  <c r="J1697" i="4"/>
  <c r="I1697" i="4"/>
  <c r="M1697" i="4" s="1" a="1"/>
  <c r="M1697" i="4" s="1"/>
  <c r="O1697" i="4" s="1"/>
  <c r="P1696" i="4"/>
  <c r="K1696" i="4"/>
  <c r="J1696" i="4"/>
  <c r="I1696" i="4"/>
  <c r="M1696" i="4" s="1" a="1"/>
  <c r="M1696" i="4" s="1"/>
  <c r="O1696" i="4" s="1"/>
  <c r="P1695" i="4"/>
  <c r="M1695" i="4" a="1"/>
  <c r="M1695" i="4" s="1"/>
  <c r="O1695" i="4" s="1"/>
  <c r="K1695" i="4"/>
  <c r="J1695" i="4"/>
  <c r="I1695" i="4"/>
  <c r="P1694" i="4"/>
  <c r="O1694" i="4"/>
  <c r="M1694" i="4" a="1"/>
  <c r="M1694" i="4" s="1"/>
  <c r="K1694" i="4"/>
  <c r="J1694" i="4"/>
  <c r="I1694" i="4"/>
  <c r="P1693" i="4"/>
  <c r="O1693" i="4"/>
  <c r="K1693" i="4"/>
  <c r="J1693" i="4"/>
  <c r="M1693" i="4" s="1" a="1"/>
  <c r="M1693" i="4" s="1"/>
  <c r="I1693" i="4"/>
  <c r="P1692" i="4"/>
  <c r="K1692" i="4"/>
  <c r="J1692" i="4"/>
  <c r="M1692" i="4" s="1" a="1"/>
  <c r="M1692" i="4" s="1"/>
  <c r="O1692" i="4" s="1"/>
  <c r="I1692" i="4"/>
  <c r="P1691" i="4"/>
  <c r="M1691" i="4" a="1"/>
  <c r="M1691" i="4" s="1"/>
  <c r="O1691" i="4" s="1"/>
  <c r="K1691" i="4"/>
  <c r="J1691" i="4"/>
  <c r="I1691" i="4"/>
  <c r="P1690" i="4"/>
  <c r="K1690" i="4"/>
  <c r="J1690" i="4"/>
  <c r="I1690" i="4"/>
  <c r="M1690" i="4" s="1" a="1"/>
  <c r="M1690" i="4" s="1"/>
  <c r="O1690" i="4" s="1"/>
  <c r="P1689" i="4"/>
  <c r="K1689" i="4"/>
  <c r="J1689" i="4"/>
  <c r="I1689" i="4"/>
  <c r="P1688" i="4"/>
  <c r="M1688" i="4"/>
  <c r="O1688" i="4" s="1"/>
  <c r="K1688" i="4"/>
  <c r="J1688" i="4"/>
  <c r="I1688" i="4"/>
  <c r="M1688" i="4" s="1" a="1"/>
  <c r="P1687" i="4"/>
  <c r="M1687" i="4"/>
  <c r="O1687" i="4" s="1"/>
  <c r="K1687" i="4"/>
  <c r="J1687" i="4"/>
  <c r="I1687" i="4"/>
  <c r="M1687" i="4" s="1" a="1"/>
  <c r="P1686" i="4"/>
  <c r="K1686" i="4"/>
  <c r="J1686" i="4"/>
  <c r="I1686" i="4"/>
  <c r="P1685" i="4"/>
  <c r="K1685" i="4"/>
  <c r="J1685" i="4"/>
  <c r="I1685" i="4"/>
  <c r="M1685" i="4" s="1" a="1"/>
  <c r="M1685" i="4" s="1"/>
  <c r="O1685" i="4" s="1"/>
  <c r="P1684" i="4"/>
  <c r="M1684" i="4"/>
  <c r="O1684" i="4" s="1"/>
  <c r="K1684" i="4"/>
  <c r="J1684" i="4"/>
  <c r="I1684" i="4"/>
  <c r="M1684" i="4" s="1" a="1"/>
  <c r="P1683" i="4"/>
  <c r="K1683" i="4"/>
  <c r="J1683" i="4"/>
  <c r="I1683" i="4"/>
  <c r="M1683" i="4" s="1" a="1"/>
  <c r="M1683" i="4" s="1"/>
  <c r="O1683" i="4" s="1"/>
  <c r="P1682" i="4"/>
  <c r="K1682" i="4"/>
  <c r="J1682" i="4"/>
  <c r="I1682" i="4"/>
  <c r="P1681" i="4"/>
  <c r="O1681" i="4"/>
  <c r="K1681" i="4"/>
  <c r="J1681" i="4"/>
  <c r="I1681" i="4"/>
  <c r="M1681" i="4" s="1" a="1"/>
  <c r="M1681" i="4" s="1"/>
  <c r="P1680" i="4"/>
  <c r="O1680" i="4"/>
  <c r="K1680" i="4"/>
  <c r="J1680" i="4"/>
  <c r="I1680" i="4"/>
  <c r="M1680" i="4" s="1" a="1"/>
  <c r="M1680" i="4" s="1"/>
  <c r="P1679" i="4"/>
  <c r="M1679" i="4" a="1"/>
  <c r="M1679" i="4" s="1"/>
  <c r="O1679" i="4" s="1"/>
  <c r="K1679" i="4"/>
  <c r="J1679" i="4"/>
  <c r="I1679" i="4"/>
  <c r="P1678" i="4"/>
  <c r="M1678" i="4" a="1"/>
  <c r="M1678" i="4" s="1"/>
  <c r="O1678" i="4" s="1"/>
  <c r="K1678" i="4"/>
  <c r="J1678" i="4"/>
  <c r="I1678" i="4"/>
  <c r="P1677" i="4"/>
  <c r="K1677" i="4"/>
  <c r="J1677" i="4"/>
  <c r="M1677" i="4" s="1" a="1"/>
  <c r="M1677" i="4" s="1"/>
  <c r="O1677" i="4" s="1"/>
  <c r="I1677" i="4"/>
  <c r="P1676" i="4"/>
  <c r="M1676" i="4" a="1"/>
  <c r="M1676" i="4" s="1"/>
  <c r="O1676" i="4" s="1"/>
  <c r="K1676" i="4"/>
  <c r="J1676" i="4"/>
  <c r="I1676" i="4"/>
  <c r="P1675" i="4"/>
  <c r="M1675" i="4" a="1"/>
  <c r="M1675" i="4" s="1"/>
  <c r="O1675" i="4" s="1"/>
  <c r="K1675" i="4"/>
  <c r="J1675" i="4"/>
  <c r="I1675" i="4"/>
  <c r="P1674" i="4"/>
  <c r="K1674" i="4"/>
  <c r="J1674" i="4"/>
  <c r="I1674" i="4"/>
  <c r="P1673" i="4"/>
  <c r="K1673" i="4"/>
  <c r="J1673" i="4"/>
  <c r="I1673" i="4"/>
  <c r="M1673" i="4" s="1" a="1"/>
  <c r="M1673" i="4" s="1"/>
  <c r="O1673" i="4" s="1"/>
  <c r="P1672" i="4"/>
  <c r="M1672" i="4"/>
  <c r="O1672" i="4" s="1"/>
  <c r="K1672" i="4"/>
  <c r="J1672" i="4"/>
  <c r="I1672" i="4"/>
  <c r="M1672" i="4" s="1" a="1"/>
  <c r="P1671" i="4"/>
  <c r="M1671" i="4"/>
  <c r="O1671" i="4" s="1"/>
  <c r="K1671" i="4"/>
  <c r="J1671" i="4"/>
  <c r="I1671" i="4"/>
  <c r="M1671" i="4" s="1" a="1"/>
  <c r="P1670" i="4"/>
  <c r="K1670" i="4"/>
  <c r="J1670" i="4"/>
  <c r="I1670" i="4"/>
  <c r="M1670" i="4" s="1" a="1"/>
  <c r="M1670" i="4" s="1"/>
  <c r="O1670" i="4" s="1"/>
  <c r="P1669" i="4"/>
  <c r="M1669" i="4"/>
  <c r="O1669" i="4" s="1"/>
  <c r="K1669" i="4"/>
  <c r="J1669" i="4"/>
  <c r="I1669" i="4"/>
  <c r="M1669" i="4" s="1" a="1"/>
  <c r="P1668" i="4"/>
  <c r="K1668" i="4"/>
  <c r="J1668" i="4"/>
  <c r="I1668" i="4"/>
  <c r="M1668" i="4" s="1" a="1"/>
  <c r="M1668" i="4" s="1"/>
  <c r="O1668" i="4" s="1"/>
  <c r="P1667" i="4"/>
  <c r="K1667" i="4"/>
  <c r="J1667" i="4"/>
  <c r="I1667" i="4"/>
  <c r="P1666" i="4"/>
  <c r="K1666" i="4"/>
  <c r="J1666" i="4"/>
  <c r="M1666" i="4" s="1" a="1"/>
  <c r="M1666" i="4" s="1"/>
  <c r="O1666" i="4" s="1"/>
  <c r="I1666" i="4"/>
  <c r="P1665" i="4"/>
  <c r="O1665" i="4"/>
  <c r="K1665" i="4"/>
  <c r="J1665" i="4"/>
  <c r="I1665" i="4"/>
  <c r="M1665" i="4" s="1" a="1"/>
  <c r="M1665" i="4" s="1"/>
  <c r="P1664" i="4"/>
  <c r="O1664" i="4"/>
  <c r="K1664" i="4"/>
  <c r="J1664" i="4"/>
  <c r="I1664" i="4"/>
  <c r="M1664" i="4" s="1" a="1"/>
  <c r="M1664" i="4" s="1"/>
  <c r="P1663" i="4"/>
  <c r="M1663" i="4" a="1"/>
  <c r="M1663" i="4" s="1"/>
  <c r="O1663" i="4" s="1"/>
  <c r="K1663" i="4"/>
  <c r="J1663" i="4"/>
  <c r="I1663" i="4"/>
  <c r="P1662" i="4"/>
  <c r="M1662" i="4" a="1"/>
  <c r="M1662" i="4" s="1"/>
  <c r="O1662" i="4" s="1"/>
  <c r="K1662" i="4"/>
  <c r="J1662" i="4"/>
  <c r="I1662" i="4"/>
  <c r="P1661" i="4"/>
  <c r="O1661" i="4"/>
  <c r="K1661" i="4"/>
  <c r="J1661" i="4"/>
  <c r="M1661" i="4" s="1" a="1"/>
  <c r="M1661" i="4" s="1"/>
  <c r="I1661" i="4"/>
  <c r="P1660" i="4"/>
  <c r="K1660" i="4"/>
  <c r="J1660" i="4"/>
  <c r="M1660" i="4" s="1" a="1"/>
  <c r="M1660" i="4" s="1"/>
  <c r="O1660" i="4" s="1"/>
  <c r="I1660" i="4"/>
  <c r="P1659" i="4"/>
  <c r="M1659" i="4" a="1"/>
  <c r="M1659" i="4" s="1"/>
  <c r="O1659" i="4" s="1"/>
  <c r="K1659" i="4"/>
  <c r="J1659" i="4"/>
  <c r="I1659" i="4"/>
  <c r="P1658" i="4"/>
  <c r="K1658" i="4"/>
  <c r="J1658" i="4"/>
  <c r="I1658" i="4"/>
  <c r="P1657" i="4"/>
  <c r="K1657" i="4"/>
  <c r="J1657" i="4"/>
  <c r="I1657" i="4"/>
  <c r="P1656" i="4"/>
  <c r="M1656" i="4"/>
  <c r="O1656" i="4" s="1"/>
  <c r="K1656" i="4"/>
  <c r="J1656" i="4"/>
  <c r="I1656" i="4"/>
  <c r="M1656" i="4" s="1" a="1"/>
  <c r="P1655" i="4"/>
  <c r="K1655" i="4"/>
  <c r="J1655" i="4"/>
  <c r="I1655" i="4"/>
  <c r="M1655" i="4" s="1" a="1"/>
  <c r="M1655" i="4" s="1"/>
  <c r="O1655" i="4" s="1"/>
  <c r="P1654" i="4"/>
  <c r="K1654" i="4"/>
  <c r="J1654" i="4"/>
  <c r="I1654" i="4"/>
  <c r="P1653" i="4"/>
  <c r="K1653" i="4"/>
  <c r="J1653" i="4"/>
  <c r="I1653" i="4"/>
  <c r="P1652" i="4"/>
  <c r="M1652" i="4"/>
  <c r="O1652" i="4" s="1"/>
  <c r="K1652" i="4"/>
  <c r="J1652" i="4"/>
  <c r="I1652" i="4"/>
  <c r="M1652" i="4" s="1" a="1"/>
  <c r="P1651" i="4"/>
  <c r="K1651" i="4"/>
  <c r="J1651" i="4"/>
  <c r="I1651" i="4"/>
  <c r="P1650" i="4"/>
  <c r="K1650" i="4"/>
  <c r="J1650" i="4"/>
  <c r="M1650" i="4" s="1" a="1"/>
  <c r="M1650" i="4" s="1"/>
  <c r="O1650" i="4" s="1"/>
  <c r="I1650" i="4"/>
  <c r="P1649" i="4"/>
  <c r="O1649" i="4"/>
  <c r="K1649" i="4"/>
  <c r="J1649" i="4"/>
  <c r="I1649" i="4"/>
  <c r="M1649" i="4" s="1" a="1"/>
  <c r="M1649" i="4" s="1"/>
  <c r="P1648" i="4"/>
  <c r="K1648" i="4"/>
  <c r="J1648" i="4"/>
  <c r="I1648" i="4"/>
  <c r="M1648" i="4" s="1" a="1"/>
  <c r="M1648" i="4" s="1"/>
  <c r="O1648" i="4" s="1"/>
  <c r="P1647" i="4"/>
  <c r="M1647" i="4" a="1"/>
  <c r="M1647" i="4" s="1"/>
  <c r="O1647" i="4" s="1"/>
  <c r="K1647" i="4"/>
  <c r="J1647" i="4"/>
  <c r="I1647" i="4"/>
  <c r="P1646" i="4"/>
  <c r="O1646" i="4"/>
  <c r="M1646" i="4" a="1"/>
  <c r="M1646" i="4" s="1"/>
  <c r="K1646" i="4"/>
  <c r="J1646" i="4"/>
  <c r="I1646" i="4"/>
  <c r="P1645" i="4"/>
  <c r="K1645" i="4"/>
  <c r="J1645" i="4"/>
  <c r="I1645" i="4"/>
  <c r="M1645" i="4" s="1" a="1"/>
  <c r="M1645" i="4" s="1"/>
  <c r="O1645" i="4" s="1"/>
  <c r="P1644" i="4"/>
  <c r="M1644" i="4" a="1"/>
  <c r="M1644" i="4" s="1"/>
  <c r="O1644" i="4" s="1"/>
  <c r="K1644" i="4"/>
  <c r="J1644" i="4"/>
  <c r="I1644" i="4"/>
  <c r="P1643" i="4"/>
  <c r="M1643" i="4" a="1"/>
  <c r="M1643" i="4" s="1"/>
  <c r="O1643" i="4" s="1"/>
  <c r="K1643" i="4"/>
  <c r="J1643" i="4"/>
  <c r="I1643" i="4"/>
  <c r="P1642" i="4"/>
  <c r="K1642" i="4"/>
  <c r="J1642" i="4"/>
  <c r="I1642" i="4"/>
  <c r="P1641" i="4"/>
  <c r="K1641" i="4"/>
  <c r="J1641" i="4"/>
  <c r="I1641" i="4"/>
  <c r="P1640" i="4"/>
  <c r="K1640" i="4"/>
  <c r="J1640" i="4"/>
  <c r="I1640" i="4"/>
  <c r="M1640" i="4" s="1" a="1"/>
  <c r="M1640" i="4" s="1"/>
  <c r="O1640" i="4" s="1"/>
  <c r="P1639" i="4"/>
  <c r="K1639" i="4"/>
  <c r="J1639" i="4"/>
  <c r="I1639" i="4"/>
  <c r="M1639" i="4" s="1" a="1"/>
  <c r="M1639" i="4" s="1"/>
  <c r="O1639" i="4" s="1"/>
  <c r="P1638" i="4"/>
  <c r="K1638" i="4"/>
  <c r="J1638" i="4"/>
  <c r="I1638" i="4"/>
  <c r="M1638" i="4" s="1" a="1"/>
  <c r="M1638" i="4" s="1"/>
  <c r="O1638" i="4" s="1"/>
  <c r="P1637" i="4"/>
  <c r="K1637" i="4"/>
  <c r="J1637" i="4"/>
  <c r="I1637" i="4"/>
  <c r="M1637" i="4" s="1" a="1"/>
  <c r="M1637" i="4" s="1"/>
  <c r="O1637" i="4" s="1"/>
  <c r="P1636" i="4"/>
  <c r="K1636" i="4"/>
  <c r="J1636" i="4"/>
  <c r="I1636" i="4"/>
  <c r="M1636" i="4" s="1" a="1"/>
  <c r="M1636" i="4" s="1"/>
  <c r="O1636" i="4" s="1"/>
  <c r="P1635" i="4"/>
  <c r="K1635" i="4"/>
  <c r="J1635" i="4"/>
  <c r="I1635" i="4"/>
  <c r="P1634" i="4"/>
  <c r="K1634" i="4"/>
  <c r="J1634" i="4"/>
  <c r="M1634" i="4" s="1" a="1"/>
  <c r="M1634" i="4" s="1"/>
  <c r="O1634" i="4" s="1"/>
  <c r="I1634" i="4"/>
  <c r="P1633" i="4"/>
  <c r="K1633" i="4"/>
  <c r="J1633" i="4"/>
  <c r="I1633" i="4"/>
  <c r="M1633" i="4" s="1" a="1"/>
  <c r="M1633" i="4" s="1"/>
  <c r="O1633" i="4" s="1"/>
  <c r="P1632" i="4"/>
  <c r="K1632" i="4"/>
  <c r="J1632" i="4"/>
  <c r="I1632" i="4"/>
  <c r="M1632" i="4" s="1" a="1"/>
  <c r="M1632" i="4" s="1"/>
  <c r="O1632" i="4" s="1"/>
  <c r="P1631" i="4"/>
  <c r="M1631" i="4" a="1"/>
  <c r="M1631" i="4" s="1"/>
  <c r="O1631" i="4" s="1"/>
  <c r="K1631" i="4"/>
  <c r="J1631" i="4"/>
  <c r="I1631" i="4"/>
  <c r="P1630" i="4"/>
  <c r="O1630" i="4"/>
  <c r="M1630" i="4" a="1"/>
  <c r="M1630" i="4" s="1"/>
  <c r="K1630" i="4"/>
  <c r="J1630" i="4"/>
  <c r="I1630" i="4"/>
  <c r="P1629" i="4"/>
  <c r="O1629" i="4"/>
  <c r="K1629" i="4"/>
  <c r="J1629" i="4"/>
  <c r="M1629" i="4" s="1" a="1"/>
  <c r="M1629" i="4" s="1"/>
  <c r="I1629" i="4"/>
  <c r="P1628" i="4"/>
  <c r="K1628" i="4"/>
  <c r="J1628" i="4"/>
  <c r="M1628" i="4" s="1" a="1"/>
  <c r="M1628" i="4" s="1"/>
  <c r="O1628" i="4" s="1"/>
  <c r="I1628" i="4"/>
  <c r="P1627" i="4"/>
  <c r="M1627" i="4" a="1"/>
  <c r="M1627" i="4" s="1"/>
  <c r="O1627" i="4" s="1"/>
  <c r="K1627" i="4"/>
  <c r="J1627" i="4"/>
  <c r="I1627" i="4"/>
  <c r="P1626" i="4"/>
  <c r="K1626" i="4"/>
  <c r="J1626" i="4"/>
  <c r="I1626" i="4"/>
  <c r="M1626" i="4" s="1" a="1"/>
  <c r="M1626" i="4" s="1"/>
  <c r="O1626" i="4" s="1"/>
  <c r="P1625" i="4"/>
  <c r="K1625" i="4"/>
  <c r="J1625" i="4"/>
  <c r="I1625" i="4"/>
  <c r="P1624" i="4"/>
  <c r="M1624" i="4"/>
  <c r="O1624" i="4" s="1"/>
  <c r="K1624" i="4"/>
  <c r="J1624" i="4"/>
  <c r="I1624" i="4"/>
  <c r="M1624" i="4" s="1" a="1"/>
  <c r="P1623" i="4"/>
  <c r="M1623" i="4"/>
  <c r="O1623" i="4" s="1"/>
  <c r="K1623" i="4"/>
  <c r="J1623" i="4"/>
  <c r="I1623" i="4"/>
  <c r="M1623" i="4" s="1" a="1"/>
  <c r="P1622" i="4"/>
  <c r="K1622" i="4"/>
  <c r="J1622" i="4"/>
  <c r="I1622" i="4"/>
  <c r="P1621" i="4"/>
  <c r="K1621" i="4"/>
  <c r="J1621" i="4"/>
  <c r="I1621" i="4"/>
  <c r="M1621" i="4" s="1" a="1"/>
  <c r="M1621" i="4" s="1"/>
  <c r="O1621" i="4" s="1"/>
  <c r="P1620" i="4"/>
  <c r="M1620" i="4"/>
  <c r="O1620" i="4" s="1"/>
  <c r="K1620" i="4"/>
  <c r="J1620" i="4"/>
  <c r="I1620" i="4"/>
  <c r="M1620" i="4" s="1" a="1"/>
  <c r="P1619" i="4"/>
  <c r="K1619" i="4"/>
  <c r="M1619" i="4" s="1" a="1"/>
  <c r="M1619" i="4" s="1"/>
  <c r="O1619" i="4" s="1"/>
  <c r="J1619" i="4"/>
  <c r="I1619" i="4"/>
  <c r="P1618" i="4"/>
  <c r="K1618" i="4"/>
  <c r="J1618" i="4"/>
  <c r="I1618" i="4"/>
  <c r="P1617" i="4"/>
  <c r="K1617" i="4"/>
  <c r="J1617" i="4"/>
  <c r="I1617" i="4"/>
  <c r="P1616" i="4"/>
  <c r="K1616" i="4"/>
  <c r="J1616" i="4"/>
  <c r="I1616" i="4"/>
  <c r="M1616" i="4" s="1" a="1"/>
  <c r="M1616" i="4" s="1"/>
  <c r="O1616" i="4" s="1"/>
  <c r="P1615" i="4"/>
  <c r="M1615" i="4" a="1"/>
  <c r="M1615" i="4" s="1"/>
  <c r="O1615" i="4" s="1"/>
  <c r="K1615" i="4"/>
  <c r="J1615" i="4"/>
  <c r="I1615" i="4"/>
  <c r="P1614" i="4"/>
  <c r="M1614" i="4" a="1"/>
  <c r="M1614" i="4" s="1"/>
  <c r="O1614" i="4" s="1"/>
  <c r="K1614" i="4"/>
  <c r="J1614" i="4"/>
  <c r="I1614" i="4"/>
  <c r="P1613" i="4"/>
  <c r="K1613" i="4"/>
  <c r="J1613" i="4"/>
  <c r="I1613" i="4"/>
  <c r="M1613" i="4" s="1" a="1"/>
  <c r="M1613" i="4" s="1"/>
  <c r="O1613" i="4" s="1"/>
  <c r="P1612" i="4"/>
  <c r="M1612" i="4" a="1"/>
  <c r="M1612" i="4" s="1"/>
  <c r="O1612" i="4" s="1"/>
  <c r="K1612" i="4"/>
  <c r="J1612" i="4"/>
  <c r="I1612" i="4"/>
  <c r="P1611" i="4"/>
  <c r="M1611" i="4" a="1"/>
  <c r="M1611" i="4" s="1"/>
  <c r="O1611" i="4" s="1"/>
  <c r="K1611" i="4"/>
  <c r="J1611" i="4"/>
  <c r="I1611" i="4"/>
  <c r="P1610" i="4"/>
  <c r="K1610" i="4"/>
  <c r="J1610" i="4"/>
  <c r="I1610" i="4"/>
  <c r="P1609" i="4"/>
  <c r="K1609" i="4"/>
  <c r="J1609" i="4"/>
  <c r="I1609" i="4"/>
  <c r="M1609" i="4" s="1" a="1"/>
  <c r="M1609" i="4" s="1"/>
  <c r="O1609" i="4" s="1"/>
  <c r="P1608" i="4"/>
  <c r="K1608" i="4"/>
  <c r="J1608" i="4"/>
  <c r="I1608" i="4"/>
  <c r="M1608" i="4" s="1" a="1"/>
  <c r="M1608" i="4" s="1"/>
  <c r="O1608" i="4" s="1"/>
  <c r="P1607" i="4"/>
  <c r="M1607" i="4"/>
  <c r="O1607" i="4" s="1"/>
  <c r="K1607" i="4"/>
  <c r="J1607" i="4"/>
  <c r="I1607" i="4"/>
  <c r="M1607" i="4" s="1" a="1"/>
  <c r="P1606" i="4"/>
  <c r="K1606" i="4"/>
  <c r="J1606" i="4"/>
  <c r="I1606" i="4"/>
  <c r="M1606" i="4" s="1" a="1"/>
  <c r="M1606" i="4" s="1"/>
  <c r="O1606" i="4" s="1"/>
  <c r="P1605" i="4"/>
  <c r="K1605" i="4"/>
  <c r="J1605" i="4"/>
  <c r="I1605" i="4"/>
  <c r="M1605" i="4" s="1" a="1"/>
  <c r="M1605" i="4" s="1"/>
  <c r="O1605" i="4" s="1"/>
  <c r="P1604" i="4"/>
  <c r="K1604" i="4"/>
  <c r="J1604" i="4"/>
  <c r="I1604" i="4"/>
  <c r="M1604" i="4" s="1" a="1"/>
  <c r="M1604" i="4" s="1"/>
  <c r="O1604" i="4" s="1"/>
  <c r="P1603" i="4"/>
  <c r="K1603" i="4"/>
  <c r="J1603" i="4"/>
  <c r="I1603" i="4"/>
  <c r="M1603" i="4" s="1" a="1"/>
  <c r="M1603" i="4" s="1"/>
  <c r="O1603" i="4" s="1"/>
  <c r="P1602" i="4"/>
  <c r="K1602" i="4"/>
  <c r="J1602" i="4"/>
  <c r="I1602" i="4"/>
  <c r="P1601" i="4"/>
  <c r="K1601" i="4"/>
  <c r="J1601" i="4"/>
  <c r="I1601" i="4"/>
  <c r="P1600" i="4"/>
  <c r="O1600" i="4"/>
  <c r="K1600" i="4"/>
  <c r="J1600" i="4"/>
  <c r="I1600" i="4"/>
  <c r="M1600" i="4" s="1" a="1"/>
  <c r="M1600" i="4" s="1"/>
  <c r="P1599" i="4"/>
  <c r="M1599" i="4" a="1"/>
  <c r="M1599" i="4" s="1"/>
  <c r="O1599" i="4" s="1"/>
  <c r="K1599" i="4"/>
  <c r="J1599" i="4"/>
  <c r="I1599" i="4"/>
  <c r="P1598" i="4"/>
  <c r="M1598" i="4" a="1"/>
  <c r="M1598" i="4" s="1"/>
  <c r="O1598" i="4" s="1"/>
  <c r="K1598" i="4"/>
  <c r="J1598" i="4"/>
  <c r="I1598" i="4"/>
  <c r="P1597" i="4"/>
  <c r="K1597" i="4"/>
  <c r="J1597" i="4"/>
  <c r="I1597" i="4"/>
  <c r="M1597" i="4" s="1" a="1"/>
  <c r="M1597" i="4" s="1"/>
  <c r="O1597" i="4" s="1"/>
  <c r="P1596" i="4"/>
  <c r="M1596" i="4" a="1"/>
  <c r="M1596" i="4" s="1"/>
  <c r="O1596" i="4" s="1"/>
  <c r="K1596" i="4"/>
  <c r="J1596" i="4"/>
  <c r="I1596" i="4"/>
  <c r="P1595" i="4"/>
  <c r="M1595" i="4"/>
  <c r="O1595" i="4" s="1"/>
  <c r="M1595" i="4" a="1"/>
  <c r="K1595" i="4"/>
  <c r="J1595" i="4"/>
  <c r="I1595" i="4"/>
  <c r="P1594" i="4"/>
  <c r="M1594" i="4"/>
  <c r="O1594" i="4" s="1"/>
  <c r="K1594" i="4"/>
  <c r="J1594" i="4"/>
  <c r="M1594" i="4" s="1" a="1"/>
  <c r="I1594" i="4"/>
  <c r="P1593" i="4"/>
  <c r="K1593" i="4"/>
  <c r="J1593" i="4"/>
  <c r="I1593" i="4"/>
  <c r="P1592" i="4"/>
  <c r="K1592" i="4"/>
  <c r="J1592" i="4"/>
  <c r="I1592" i="4"/>
  <c r="P1591" i="4"/>
  <c r="M1591" i="4"/>
  <c r="O1591" i="4" s="1"/>
  <c r="K1591" i="4"/>
  <c r="J1591" i="4"/>
  <c r="I1591" i="4"/>
  <c r="M1591" i="4" s="1" a="1"/>
  <c r="P1590" i="4"/>
  <c r="O1590" i="4"/>
  <c r="K1590" i="4"/>
  <c r="J1590" i="4"/>
  <c r="I1590" i="4"/>
  <c r="M1590" i="4" s="1" a="1"/>
  <c r="M1590" i="4" s="1"/>
  <c r="P1589" i="4"/>
  <c r="K1589" i="4"/>
  <c r="J1589" i="4"/>
  <c r="I1589" i="4"/>
  <c r="P1588" i="4"/>
  <c r="K1588" i="4"/>
  <c r="J1588" i="4"/>
  <c r="I1588" i="4"/>
  <c r="M1588" i="4" s="1" a="1"/>
  <c r="M1588" i="4" s="1"/>
  <c r="O1588" i="4" s="1"/>
  <c r="P1587" i="4"/>
  <c r="K1587" i="4"/>
  <c r="J1587" i="4"/>
  <c r="I1587" i="4"/>
  <c r="M1587" i="4" s="1" a="1"/>
  <c r="M1587" i="4" s="1"/>
  <c r="O1587" i="4" s="1"/>
  <c r="P1586" i="4"/>
  <c r="M1586" i="4" a="1"/>
  <c r="M1586" i="4" s="1"/>
  <c r="O1586" i="4" s="1"/>
  <c r="K1586" i="4"/>
  <c r="J1586" i="4"/>
  <c r="I1586" i="4"/>
  <c r="P1585" i="4"/>
  <c r="K1585" i="4"/>
  <c r="J1585" i="4"/>
  <c r="M1585" i="4" s="1" a="1"/>
  <c r="M1585" i="4" s="1"/>
  <c r="O1585" i="4" s="1"/>
  <c r="I1585" i="4"/>
  <c r="P1584" i="4"/>
  <c r="K1584" i="4"/>
  <c r="J1584" i="4"/>
  <c r="I1584" i="4"/>
  <c r="M1584" i="4" s="1" a="1"/>
  <c r="M1584" i="4" s="1"/>
  <c r="O1584" i="4" s="1"/>
  <c r="P1583" i="4"/>
  <c r="M1583" i="4" a="1"/>
  <c r="M1583" i="4" s="1"/>
  <c r="O1583" i="4" s="1"/>
  <c r="K1583" i="4"/>
  <c r="J1583" i="4"/>
  <c r="I1583" i="4"/>
  <c r="P1582" i="4"/>
  <c r="O1582" i="4"/>
  <c r="M1582" i="4" a="1"/>
  <c r="M1582" i="4" s="1"/>
  <c r="K1582" i="4"/>
  <c r="J1582" i="4"/>
  <c r="I1582" i="4"/>
  <c r="P1581" i="4"/>
  <c r="K1581" i="4"/>
  <c r="J1581" i="4"/>
  <c r="M1581" i="4" s="1" a="1"/>
  <c r="M1581" i="4" s="1"/>
  <c r="O1581" i="4" s="1"/>
  <c r="I1581" i="4"/>
  <c r="P1580" i="4"/>
  <c r="M1580" i="4"/>
  <c r="O1580" i="4" s="1"/>
  <c r="M1580" i="4" a="1"/>
  <c r="K1580" i="4"/>
  <c r="J1580" i="4"/>
  <c r="I1580" i="4"/>
  <c r="P1579" i="4"/>
  <c r="M1579" i="4" a="1"/>
  <c r="M1579" i="4" s="1"/>
  <c r="O1579" i="4" s="1"/>
  <c r="K1579" i="4"/>
  <c r="J1579" i="4"/>
  <c r="I1579" i="4"/>
  <c r="P1578" i="4"/>
  <c r="K1578" i="4"/>
  <c r="J1578" i="4"/>
  <c r="I1578" i="4"/>
  <c r="P1577" i="4"/>
  <c r="K1577" i="4"/>
  <c r="J1577" i="4"/>
  <c r="I1577" i="4"/>
  <c r="P1576" i="4"/>
  <c r="K1576" i="4"/>
  <c r="J1576" i="4"/>
  <c r="I1576" i="4"/>
  <c r="P1575" i="4"/>
  <c r="K1575" i="4"/>
  <c r="J1575" i="4"/>
  <c r="I1575" i="4"/>
  <c r="M1575" i="4" s="1" a="1"/>
  <c r="M1575" i="4" s="1"/>
  <c r="O1575" i="4" s="1"/>
  <c r="P1574" i="4"/>
  <c r="K1574" i="4"/>
  <c r="J1574" i="4"/>
  <c r="I1574" i="4"/>
  <c r="M1574" i="4" s="1" a="1"/>
  <c r="M1574" i="4" s="1"/>
  <c r="O1574" i="4" s="1"/>
  <c r="P1573" i="4"/>
  <c r="K1573" i="4"/>
  <c r="J1573" i="4"/>
  <c r="I1573" i="4"/>
  <c r="P1572" i="4"/>
  <c r="K1572" i="4"/>
  <c r="J1572" i="4"/>
  <c r="I1572" i="4"/>
  <c r="M1572" i="4" s="1" a="1"/>
  <c r="M1572" i="4" s="1"/>
  <c r="O1572" i="4" s="1"/>
  <c r="P1571" i="4"/>
  <c r="M1571" i="4" a="1"/>
  <c r="M1571" i="4" s="1"/>
  <c r="O1571" i="4" s="1"/>
  <c r="K1571" i="4"/>
  <c r="J1571" i="4"/>
  <c r="I1571" i="4"/>
  <c r="P1570" i="4"/>
  <c r="M1570" i="4" a="1"/>
  <c r="M1570" i="4" s="1"/>
  <c r="O1570" i="4" s="1"/>
  <c r="K1570" i="4"/>
  <c r="J1570" i="4"/>
  <c r="I1570" i="4"/>
  <c r="P1569" i="4"/>
  <c r="M1569" i="4" a="1"/>
  <c r="M1569" i="4" s="1"/>
  <c r="O1569" i="4" s="1"/>
  <c r="K1569" i="4"/>
  <c r="J1569" i="4"/>
  <c r="I1569" i="4"/>
  <c r="P1568" i="4"/>
  <c r="K1568" i="4"/>
  <c r="J1568" i="4"/>
  <c r="I1568" i="4"/>
  <c r="P1567" i="4"/>
  <c r="M1567" i="4" a="1"/>
  <c r="M1567" i="4" s="1"/>
  <c r="O1567" i="4" s="1"/>
  <c r="K1567" i="4"/>
  <c r="J1567" i="4"/>
  <c r="I1567" i="4"/>
  <c r="P1566" i="4"/>
  <c r="M1566" i="4" a="1"/>
  <c r="M1566" i="4" s="1"/>
  <c r="O1566" i="4" s="1"/>
  <c r="K1566" i="4"/>
  <c r="J1566" i="4"/>
  <c r="I1566" i="4"/>
  <c r="P1565" i="4"/>
  <c r="K1565" i="4"/>
  <c r="J1565" i="4"/>
  <c r="M1565" i="4" s="1" a="1"/>
  <c r="M1565" i="4" s="1"/>
  <c r="O1565" i="4" s="1"/>
  <c r="I1565" i="4"/>
  <c r="P1564" i="4"/>
  <c r="M1564" i="4" a="1"/>
  <c r="M1564" i="4" s="1"/>
  <c r="O1564" i="4" s="1"/>
  <c r="K1564" i="4"/>
  <c r="J1564" i="4"/>
  <c r="I1564" i="4"/>
  <c r="P1563" i="4"/>
  <c r="M1563" i="4"/>
  <c r="O1563" i="4" s="1"/>
  <c r="M1563" i="4" a="1"/>
  <c r="K1563" i="4"/>
  <c r="J1563" i="4"/>
  <c r="I1563" i="4"/>
  <c r="P1562" i="4"/>
  <c r="K1562" i="4"/>
  <c r="J1562" i="4"/>
  <c r="I1562" i="4"/>
  <c r="M1562" i="4" s="1" a="1"/>
  <c r="M1562" i="4" s="1"/>
  <c r="O1562" i="4" s="1"/>
  <c r="P1561" i="4"/>
  <c r="K1561" i="4"/>
  <c r="J1561" i="4"/>
  <c r="I1561" i="4"/>
  <c r="P1560" i="4"/>
  <c r="K1560" i="4"/>
  <c r="J1560" i="4"/>
  <c r="I1560" i="4"/>
  <c r="P1559" i="4"/>
  <c r="M1559" i="4"/>
  <c r="O1559" i="4" s="1"/>
  <c r="K1559" i="4"/>
  <c r="J1559" i="4"/>
  <c r="I1559" i="4"/>
  <c r="M1559" i="4" s="1" a="1"/>
  <c r="P1558" i="4"/>
  <c r="O1558" i="4"/>
  <c r="K1558" i="4"/>
  <c r="J1558" i="4"/>
  <c r="I1558" i="4"/>
  <c r="M1558" i="4" s="1" a="1"/>
  <c r="M1558" i="4" s="1"/>
  <c r="P1557" i="4"/>
  <c r="K1557" i="4"/>
  <c r="J1557" i="4"/>
  <c r="I1557" i="4"/>
  <c r="P1556" i="4"/>
  <c r="K1556" i="4"/>
  <c r="J1556" i="4"/>
  <c r="I1556" i="4"/>
  <c r="M1556" i="4" s="1" a="1"/>
  <c r="M1556" i="4" s="1"/>
  <c r="O1556" i="4" s="1"/>
  <c r="P1555" i="4"/>
  <c r="K1555" i="4"/>
  <c r="J1555" i="4"/>
  <c r="I1555" i="4"/>
  <c r="M1555" i="4" s="1" a="1"/>
  <c r="M1555" i="4" s="1"/>
  <c r="O1555" i="4" s="1"/>
  <c r="P1554" i="4"/>
  <c r="M1554" i="4" a="1"/>
  <c r="M1554" i="4" s="1"/>
  <c r="O1554" i="4" s="1"/>
  <c r="K1554" i="4"/>
  <c r="J1554" i="4"/>
  <c r="I1554" i="4"/>
  <c r="P1553" i="4"/>
  <c r="K1553" i="4"/>
  <c r="J1553" i="4"/>
  <c r="M1553" i="4" s="1" a="1"/>
  <c r="M1553" i="4" s="1"/>
  <c r="O1553" i="4" s="1"/>
  <c r="I1553" i="4"/>
  <c r="P1552" i="4"/>
  <c r="K1552" i="4"/>
  <c r="J1552" i="4"/>
  <c r="I1552" i="4"/>
  <c r="M1552" i="4" s="1" a="1"/>
  <c r="M1552" i="4" s="1"/>
  <c r="O1552" i="4" s="1"/>
  <c r="P1551" i="4"/>
  <c r="M1551" i="4" a="1"/>
  <c r="M1551" i="4" s="1"/>
  <c r="O1551" i="4" s="1"/>
  <c r="K1551" i="4"/>
  <c r="J1551" i="4"/>
  <c r="I1551" i="4"/>
  <c r="P1550" i="4"/>
  <c r="O1550" i="4"/>
  <c r="M1550" i="4" a="1"/>
  <c r="M1550" i="4" s="1"/>
  <c r="K1550" i="4"/>
  <c r="J1550" i="4"/>
  <c r="I1550" i="4"/>
  <c r="P1549" i="4"/>
  <c r="K1549" i="4"/>
  <c r="J1549" i="4"/>
  <c r="I1549" i="4"/>
  <c r="M1549" i="4" s="1" a="1"/>
  <c r="M1549" i="4" s="1"/>
  <c r="O1549" i="4" s="1"/>
  <c r="P1548" i="4"/>
  <c r="M1548" i="4"/>
  <c r="O1548" i="4" s="1"/>
  <c r="M1548" i="4" a="1"/>
  <c r="K1548" i="4"/>
  <c r="J1548" i="4"/>
  <c r="I1548" i="4"/>
  <c r="P1547" i="4"/>
  <c r="M1547" i="4" a="1"/>
  <c r="M1547" i="4" s="1"/>
  <c r="O1547" i="4" s="1"/>
  <c r="K1547" i="4"/>
  <c r="J1547" i="4"/>
  <c r="I1547" i="4"/>
  <c r="P1546" i="4"/>
  <c r="K1546" i="4"/>
  <c r="J1546" i="4"/>
  <c r="I1546" i="4"/>
  <c r="P1545" i="4"/>
  <c r="K1545" i="4"/>
  <c r="J1545" i="4"/>
  <c r="I1545" i="4"/>
  <c r="P1544" i="4"/>
  <c r="K1544" i="4"/>
  <c r="J1544" i="4"/>
  <c r="I1544" i="4"/>
  <c r="P1543" i="4"/>
  <c r="K1543" i="4"/>
  <c r="J1543" i="4"/>
  <c r="I1543" i="4"/>
  <c r="M1543" i="4" s="1" a="1"/>
  <c r="M1543" i="4" s="1"/>
  <c r="O1543" i="4" s="1"/>
  <c r="P1542" i="4"/>
  <c r="K1542" i="4"/>
  <c r="J1542" i="4"/>
  <c r="I1542" i="4"/>
  <c r="M1542" i="4" s="1" a="1"/>
  <c r="M1542" i="4" s="1"/>
  <c r="O1542" i="4" s="1"/>
  <c r="P1541" i="4"/>
  <c r="K1541" i="4"/>
  <c r="J1541" i="4"/>
  <c r="I1541" i="4"/>
  <c r="P1540" i="4"/>
  <c r="K1540" i="4"/>
  <c r="J1540" i="4"/>
  <c r="I1540" i="4"/>
  <c r="M1540" i="4" s="1" a="1"/>
  <c r="M1540" i="4" s="1"/>
  <c r="O1540" i="4" s="1"/>
  <c r="P1539" i="4"/>
  <c r="M1539" i="4" a="1"/>
  <c r="M1539" i="4" s="1"/>
  <c r="O1539" i="4" s="1"/>
  <c r="K1539" i="4"/>
  <c r="J1539" i="4"/>
  <c r="I1539" i="4"/>
  <c r="P1538" i="4"/>
  <c r="M1538" i="4" a="1"/>
  <c r="M1538" i="4" s="1"/>
  <c r="O1538" i="4" s="1"/>
  <c r="K1538" i="4"/>
  <c r="J1538" i="4"/>
  <c r="I1538" i="4"/>
  <c r="P1537" i="4"/>
  <c r="M1537" i="4" a="1"/>
  <c r="M1537" i="4" s="1"/>
  <c r="O1537" i="4" s="1"/>
  <c r="K1537" i="4"/>
  <c r="J1537" i="4"/>
  <c r="I1537" i="4"/>
  <c r="P1536" i="4"/>
  <c r="K1536" i="4"/>
  <c r="J1536" i="4"/>
  <c r="I1536" i="4"/>
  <c r="P1535" i="4"/>
  <c r="M1535" i="4" a="1"/>
  <c r="M1535" i="4" s="1"/>
  <c r="O1535" i="4" s="1"/>
  <c r="K1535" i="4"/>
  <c r="J1535" i="4"/>
  <c r="I1535" i="4"/>
  <c r="P1534" i="4"/>
  <c r="M1534" i="4" a="1"/>
  <c r="M1534" i="4" s="1"/>
  <c r="O1534" i="4" s="1"/>
  <c r="K1534" i="4"/>
  <c r="J1534" i="4"/>
  <c r="I1534" i="4"/>
  <c r="P1533" i="4"/>
  <c r="K1533" i="4"/>
  <c r="J1533" i="4"/>
  <c r="I1533" i="4"/>
  <c r="M1533" i="4" s="1" a="1"/>
  <c r="M1533" i="4" s="1"/>
  <c r="O1533" i="4" s="1"/>
  <c r="P1532" i="4"/>
  <c r="M1532" i="4" a="1"/>
  <c r="M1532" i="4" s="1"/>
  <c r="O1532" i="4" s="1"/>
  <c r="K1532" i="4"/>
  <c r="J1532" i="4"/>
  <c r="I1532" i="4"/>
  <c r="P1531" i="4"/>
  <c r="M1531" i="4"/>
  <c r="O1531" i="4" s="1"/>
  <c r="M1531" i="4" a="1"/>
  <c r="K1531" i="4"/>
  <c r="J1531" i="4"/>
  <c r="I1531" i="4"/>
  <c r="P1530" i="4"/>
  <c r="K1530" i="4"/>
  <c r="J1530" i="4"/>
  <c r="I1530" i="4"/>
  <c r="M1530" i="4" s="1" a="1"/>
  <c r="M1530" i="4" s="1"/>
  <c r="O1530" i="4" s="1"/>
  <c r="P1529" i="4"/>
  <c r="K1529" i="4"/>
  <c r="J1529" i="4"/>
  <c r="I1529" i="4"/>
  <c r="P1528" i="4"/>
  <c r="K1528" i="4"/>
  <c r="J1528" i="4"/>
  <c r="I1528" i="4"/>
  <c r="P1527" i="4"/>
  <c r="M1527" i="4"/>
  <c r="O1527" i="4" s="1"/>
  <c r="K1527" i="4"/>
  <c r="J1527" i="4"/>
  <c r="I1527" i="4"/>
  <c r="M1527" i="4" s="1" a="1"/>
  <c r="P1526" i="4"/>
  <c r="O1526" i="4"/>
  <c r="K1526" i="4"/>
  <c r="J1526" i="4"/>
  <c r="I1526" i="4"/>
  <c r="M1526" i="4" s="1" a="1"/>
  <c r="M1526" i="4" s="1"/>
  <c r="P1525" i="4"/>
  <c r="K1525" i="4"/>
  <c r="J1525" i="4"/>
  <c r="I1525" i="4"/>
  <c r="P1524" i="4"/>
  <c r="K1524" i="4"/>
  <c r="J1524" i="4"/>
  <c r="I1524" i="4"/>
  <c r="M1524" i="4" s="1" a="1"/>
  <c r="M1524" i="4" s="1"/>
  <c r="O1524" i="4" s="1"/>
  <c r="P1523" i="4"/>
  <c r="K1523" i="4"/>
  <c r="J1523" i="4"/>
  <c r="I1523" i="4"/>
  <c r="M1523" i="4" s="1" a="1"/>
  <c r="M1523" i="4" s="1"/>
  <c r="O1523" i="4" s="1"/>
  <c r="P1522" i="4"/>
  <c r="M1522" i="4" a="1"/>
  <c r="M1522" i="4" s="1"/>
  <c r="O1522" i="4" s="1"/>
  <c r="K1522" i="4"/>
  <c r="J1522" i="4"/>
  <c r="I1522" i="4"/>
  <c r="P1521" i="4"/>
  <c r="K1521" i="4"/>
  <c r="J1521" i="4"/>
  <c r="M1521" i="4" s="1" a="1"/>
  <c r="M1521" i="4" s="1"/>
  <c r="O1521" i="4" s="1"/>
  <c r="I1521" i="4"/>
  <c r="P1520" i="4"/>
  <c r="K1520" i="4"/>
  <c r="J1520" i="4"/>
  <c r="I1520" i="4"/>
  <c r="M1520" i="4" s="1" a="1"/>
  <c r="M1520" i="4" s="1"/>
  <c r="O1520" i="4" s="1"/>
  <c r="P1519" i="4"/>
  <c r="M1519" i="4" a="1"/>
  <c r="M1519" i="4" s="1"/>
  <c r="O1519" i="4" s="1"/>
  <c r="K1519" i="4"/>
  <c r="J1519" i="4"/>
  <c r="I1519" i="4"/>
  <c r="P1518" i="4"/>
  <c r="O1518" i="4"/>
  <c r="M1518" i="4" a="1"/>
  <c r="M1518" i="4" s="1"/>
  <c r="K1518" i="4"/>
  <c r="J1518" i="4"/>
  <c r="I1518" i="4"/>
  <c r="P1517" i="4"/>
  <c r="K1517" i="4"/>
  <c r="J1517" i="4"/>
  <c r="M1517" i="4" s="1" a="1"/>
  <c r="M1517" i="4" s="1"/>
  <c r="O1517" i="4" s="1"/>
  <c r="I1517" i="4"/>
  <c r="P1516" i="4"/>
  <c r="M1516" i="4"/>
  <c r="O1516" i="4" s="1"/>
  <c r="M1516" i="4" a="1"/>
  <c r="K1516" i="4"/>
  <c r="J1516" i="4"/>
  <c r="I1516" i="4"/>
  <c r="P1515" i="4"/>
  <c r="M1515" i="4" a="1"/>
  <c r="M1515" i="4" s="1"/>
  <c r="O1515" i="4" s="1"/>
  <c r="K1515" i="4"/>
  <c r="J1515" i="4"/>
  <c r="I1515" i="4"/>
  <c r="P1514" i="4"/>
  <c r="K1514" i="4"/>
  <c r="J1514" i="4"/>
  <c r="I1514" i="4"/>
  <c r="P1513" i="4"/>
  <c r="K1513" i="4"/>
  <c r="J1513" i="4"/>
  <c r="I1513" i="4"/>
  <c r="P1512" i="4"/>
  <c r="K1512" i="4"/>
  <c r="J1512" i="4"/>
  <c r="I1512" i="4"/>
  <c r="P1511" i="4"/>
  <c r="K1511" i="4"/>
  <c r="J1511" i="4"/>
  <c r="I1511" i="4"/>
  <c r="M1511" i="4" s="1" a="1"/>
  <c r="M1511" i="4" s="1"/>
  <c r="O1511" i="4" s="1"/>
  <c r="P1510" i="4"/>
  <c r="O1510" i="4"/>
  <c r="K1510" i="4"/>
  <c r="J1510" i="4"/>
  <c r="I1510" i="4"/>
  <c r="M1510" i="4" s="1" a="1"/>
  <c r="M1510" i="4" s="1"/>
  <c r="P1509" i="4"/>
  <c r="K1509" i="4"/>
  <c r="J1509" i="4"/>
  <c r="I1509" i="4"/>
  <c r="P1508" i="4"/>
  <c r="K1508" i="4"/>
  <c r="J1508" i="4"/>
  <c r="I1508" i="4"/>
  <c r="M1508" i="4" s="1" a="1"/>
  <c r="M1508" i="4" s="1"/>
  <c r="O1508" i="4" s="1"/>
  <c r="P1507" i="4"/>
  <c r="M1507" i="4" a="1"/>
  <c r="M1507" i="4" s="1"/>
  <c r="O1507" i="4" s="1"/>
  <c r="K1507" i="4"/>
  <c r="J1507" i="4"/>
  <c r="I1507" i="4"/>
  <c r="P1506" i="4"/>
  <c r="M1506" i="4" a="1"/>
  <c r="M1506" i="4" s="1"/>
  <c r="O1506" i="4" s="1"/>
  <c r="K1506" i="4"/>
  <c r="J1506" i="4"/>
  <c r="I1506" i="4"/>
  <c r="P1505" i="4"/>
  <c r="M1505" i="4" a="1"/>
  <c r="M1505" i="4" s="1"/>
  <c r="O1505" i="4" s="1"/>
  <c r="K1505" i="4"/>
  <c r="J1505" i="4"/>
  <c r="I1505" i="4"/>
  <c r="P1504" i="4"/>
  <c r="K1504" i="4"/>
  <c r="J1504" i="4"/>
  <c r="I1504" i="4"/>
  <c r="P1503" i="4"/>
  <c r="M1503" i="4" a="1"/>
  <c r="M1503" i="4" s="1"/>
  <c r="O1503" i="4" s="1"/>
  <c r="K1503" i="4"/>
  <c r="J1503" i="4"/>
  <c r="I1503" i="4"/>
  <c r="P1502" i="4"/>
  <c r="M1502" i="4" a="1"/>
  <c r="M1502" i="4" s="1"/>
  <c r="O1502" i="4" s="1"/>
  <c r="K1502" i="4"/>
  <c r="J1502" i="4"/>
  <c r="I1502" i="4"/>
  <c r="P1501" i="4"/>
  <c r="K1501" i="4"/>
  <c r="J1501" i="4"/>
  <c r="M1501" i="4" s="1" a="1"/>
  <c r="M1501" i="4" s="1"/>
  <c r="O1501" i="4" s="1"/>
  <c r="I1501" i="4"/>
  <c r="P1500" i="4"/>
  <c r="M1500" i="4" a="1"/>
  <c r="M1500" i="4" s="1"/>
  <c r="O1500" i="4" s="1"/>
  <c r="K1500" i="4"/>
  <c r="J1500" i="4"/>
  <c r="I1500" i="4"/>
  <c r="P1499" i="4"/>
  <c r="M1499" i="4"/>
  <c r="O1499" i="4" s="1"/>
  <c r="M1499" i="4" a="1"/>
  <c r="K1499" i="4"/>
  <c r="J1499" i="4"/>
  <c r="I1499" i="4"/>
  <c r="P1498" i="4"/>
  <c r="K1498" i="4"/>
  <c r="J1498" i="4"/>
  <c r="I1498" i="4"/>
  <c r="M1498" i="4" s="1" a="1"/>
  <c r="M1498" i="4" s="1"/>
  <c r="O1498" i="4" s="1"/>
  <c r="P1497" i="4"/>
  <c r="K1497" i="4"/>
  <c r="J1497" i="4"/>
  <c r="I1497" i="4"/>
  <c r="P1496" i="4"/>
  <c r="K1496" i="4"/>
  <c r="J1496" i="4"/>
  <c r="I1496" i="4"/>
  <c r="P1495" i="4"/>
  <c r="M1495" i="4"/>
  <c r="O1495" i="4" s="1"/>
  <c r="K1495" i="4"/>
  <c r="J1495" i="4"/>
  <c r="I1495" i="4"/>
  <c r="M1495" i="4" s="1" a="1"/>
  <c r="P1494" i="4"/>
  <c r="O1494" i="4"/>
  <c r="K1494" i="4"/>
  <c r="J1494" i="4"/>
  <c r="I1494" i="4"/>
  <c r="M1494" i="4" s="1" a="1"/>
  <c r="M1494" i="4" s="1"/>
  <c r="P1493" i="4"/>
  <c r="K1493" i="4"/>
  <c r="J1493" i="4"/>
  <c r="I1493" i="4"/>
  <c r="P1492" i="4"/>
  <c r="K1492" i="4"/>
  <c r="J1492" i="4"/>
  <c r="I1492" i="4"/>
  <c r="M1492" i="4" s="1" a="1"/>
  <c r="M1492" i="4" s="1"/>
  <c r="O1492" i="4" s="1"/>
  <c r="P1491" i="4"/>
  <c r="K1491" i="4"/>
  <c r="J1491" i="4"/>
  <c r="I1491" i="4"/>
  <c r="M1491" i="4" s="1" a="1"/>
  <c r="M1491" i="4" s="1"/>
  <c r="O1491" i="4" s="1"/>
  <c r="P1490" i="4"/>
  <c r="M1490" i="4" a="1"/>
  <c r="M1490" i="4" s="1"/>
  <c r="O1490" i="4" s="1"/>
  <c r="K1490" i="4"/>
  <c r="J1490" i="4"/>
  <c r="I1490" i="4"/>
  <c r="P1489" i="4"/>
  <c r="K1489" i="4"/>
  <c r="J1489" i="4"/>
  <c r="M1489" i="4" s="1" a="1"/>
  <c r="M1489" i="4" s="1"/>
  <c r="O1489" i="4" s="1"/>
  <c r="I1489" i="4"/>
  <c r="P1488" i="4"/>
  <c r="K1488" i="4"/>
  <c r="J1488" i="4"/>
  <c r="I1488" i="4"/>
  <c r="M1488" i="4" s="1" a="1"/>
  <c r="M1488" i="4" s="1"/>
  <c r="O1488" i="4" s="1"/>
  <c r="P1487" i="4"/>
  <c r="M1487" i="4" a="1"/>
  <c r="M1487" i="4" s="1"/>
  <c r="O1487" i="4" s="1"/>
  <c r="K1487" i="4"/>
  <c r="J1487" i="4"/>
  <c r="I1487" i="4"/>
  <c r="P1486" i="4"/>
  <c r="O1486" i="4"/>
  <c r="M1486" i="4" a="1"/>
  <c r="M1486" i="4" s="1"/>
  <c r="K1486" i="4"/>
  <c r="J1486" i="4"/>
  <c r="I1486" i="4"/>
  <c r="P1485" i="4"/>
  <c r="K1485" i="4"/>
  <c r="J1485" i="4"/>
  <c r="I1485" i="4"/>
  <c r="P1484" i="4"/>
  <c r="M1484" i="4"/>
  <c r="O1484" i="4" s="1"/>
  <c r="M1484" i="4" a="1"/>
  <c r="K1484" i="4"/>
  <c r="J1484" i="4"/>
  <c r="I1484" i="4"/>
  <c r="P1483" i="4"/>
  <c r="K1483" i="4"/>
  <c r="M1483" i="4" s="1" a="1"/>
  <c r="M1483" i="4" s="1"/>
  <c r="O1483" i="4" s="1"/>
  <c r="J1483" i="4"/>
  <c r="I1483" i="4"/>
  <c r="P1482" i="4"/>
  <c r="K1482" i="4"/>
  <c r="J1482" i="4"/>
  <c r="I1482" i="4"/>
  <c r="P1481" i="4"/>
  <c r="K1481" i="4"/>
  <c r="J1481" i="4"/>
  <c r="M1481" i="4" s="1" a="1"/>
  <c r="M1481" i="4" s="1"/>
  <c r="O1481" i="4" s="1"/>
  <c r="I1481" i="4"/>
  <c r="P1480" i="4"/>
  <c r="M1480" i="4"/>
  <c r="O1480" i="4" s="1"/>
  <c r="K1480" i="4"/>
  <c r="J1480" i="4"/>
  <c r="I1480" i="4"/>
  <c r="M1480" i="4" s="1" a="1"/>
  <c r="P1479" i="4"/>
  <c r="K1479" i="4"/>
  <c r="J1479" i="4"/>
  <c r="I1479" i="4"/>
  <c r="P1478" i="4"/>
  <c r="K1478" i="4"/>
  <c r="J1478" i="4"/>
  <c r="I1478" i="4"/>
  <c r="M1478" i="4" s="1" a="1"/>
  <c r="M1478" i="4" s="1"/>
  <c r="O1478" i="4" s="1"/>
  <c r="P1477" i="4"/>
  <c r="M1477" i="4"/>
  <c r="O1477" i="4" s="1"/>
  <c r="K1477" i="4"/>
  <c r="J1477" i="4"/>
  <c r="I1477" i="4"/>
  <c r="M1477" i="4" s="1" a="1"/>
  <c r="P1476" i="4"/>
  <c r="M1476" i="4"/>
  <c r="O1476" i="4" s="1"/>
  <c r="M1476" i="4" a="1"/>
  <c r="K1476" i="4"/>
  <c r="J1476" i="4"/>
  <c r="I1476" i="4"/>
  <c r="P1475" i="4"/>
  <c r="K1475" i="4"/>
  <c r="J1475" i="4"/>
  <c r="I1475" i="4"/>
  <c r="M1475" i="4" s="1" a="1"/>
  <c r="M1475" i="4" s="1"/>
  <c r="O1475" i="4" s="1"/>
  <c r="P1474" i="4"/>
  <c r="M1474" i="4"/>
  <c r="O1474" i="4" s="1"/>
  <c r="M1474" i="4" a="1"/>
  <c r="K1474" i="4"/>
  <c r="J1474" i="4"/>
  <c r="I1474" i="4"/>
  <c r="P1473" i="4"/>
  <c r="K1473" i="4"/>
  <c r="J1473" i="4"/>
  <c r="M1473" i="4" s="1" a="1"/>
  <c r="M1473" i="4" s="1"/>
  <c r="O1473" i="4" s="1"/>
  <c r="I1473" i="4"/>
  <c r="P1472" i="4"/>
  <c r="K1472" i="4"/>
  <c r="J1472" i="4"/>
  <c r="I1472" i="4"/>
  <c r="P1471" i="4"/>
  <c r="M1471" i="4" a="1"/>
  <c r="M1471" i="4" s="1"/>
  <c r="O1471" i="4" s="1"/>
  <c r="K1471" i="4"/>
  <c r="J1471" i="4"/>
  <c r="I1471" i="4"/>
  <c r="P1470" i="4"/>
  <c r="O1470" i="4"/>
  <c r="M1470" i="4" a="1"/>
  <c r="M1470" i="4" s="1"/>
  <c r="K1470" i="4"/>
  <c r="J1470" i="4"/>
  <c r="I1470" i="4"/>
  <c r="P1469" i="4"/>
  <c r="K1469" i="4"/>
  <c r="J1469" i="4"/>
  <c r="I1469" i="4"/>
  <c r="M1469" i="4" s="1" a="1"/>
  <c r="M1469" i="4" s="1"/>
  <c r="O1469" i="4" s="1"/>
  <c r="P1468" i="4"/>
  <c r="K1468" i="4"/>
  <c r="J1468" i="4"/>
  <c r="M1468" i="4" s="1" a="1"/>
  <c r="M1468" i="4" s="1"/>
  <c r="O1468" i="4" s="1"/>
  <c r="I1468" i="4"/>
  <c r="P1467" i="4"/>
  <c r="K1467" i="4"/>
  <c r="M1467" i="4" s="1" a="1"/>
  <c r="M1467" i="4" s="1"/>
  <c r="O1467" i="4" s="1"/>
  <c r="J1467" i="4"/>
  <c r="I1467" i="4"/>
  <c r="P1466" i="4"/>
  <c r="K1466" i="4"/>
  <c r="J1466" i="4"/>
  <c r="I1466" i="4"/>
  <c r="P1465" i="4"/>
  <c r="M1465" i="4" a="1"/>
  <c r="M1465" i="4" s="1"/>
  <c r="O1465" i="4" s="1"/>
  <c r="K1465" i="4"/>
  <c r="J1465" i="4"/>
  <c r="I1465" i="4"/>
  <c r="P1464" i="4"/>
  <c r="M1464" i="4"/>
  <c r="O1464" i="4" s="1"/>
  <c r="K1464" i="4"/>
  <c r="J1464" i="4"/>
  <c r="I1464" i="4"/>
  <c r="M1464" i="4" s="1" a="1"/>
  <c r="P1463" i="4"/>
  <c r="K1463" i="4"/>
  <c r="J1463" i="4"/>
  <c r="I1463" i="4"/>
  <c r="P1462" i="4"/>
  <c r="K1462" i="4"/>
  <c r="J1462" i="4"/>
  <c r="I1462" i="4"/>
  <c r="P1461" i="4"/>
  <c r="M1461" i="4"/>
  <c r="O1461" i="4" s="1"/>
  <c r="K1461" i="4"/>
  <c r="J1461" i="4"/>
  <c r="I1461" i="4"/>
  <c r="M1461" i="4" s="1" a="1"/>
  <c r="P1460" i="4"/>
  <c r="M1460" i="4" a="1"/>
  <c r="M1460" i="4" s="1"/>
  <c r="O1460" i="4" s="1"/>
  <c r="K1460" i="4"/>
  <c r="J1460" i="4"/>
  <c r="I1460" i="4"/>
  <c r="P1459" i="4"/>
  <c r="M1459" i="4" a="1"/>
  <c r="M1459" i="4" s="1"/>
  <c r="O1459" i="4" s="1"/>
  <c r="K1459" i="4"/>
  <c r="J1459" i="4"/>
  <c r="I1459" i="4"/>
  <c r="P1458" i="4"/>
  <c r="K1458" i="4"/>
  <c r="J1458" i="4"/>
  <c r="M1458" i="4" s="1" a="1"/>
  <c r="M1458" i="4" s="1"/>
  <c r="O1458" i="4" s="1"/>
  <c r="I1458" i="4"/>
  <c r="P1457" i="4"/>
  <c r="K1457" i="4"/>
  <c r="J1457" i="4"/>
  <c r="I1457" i="4"/>
  <c r="M1457" i="4" s="1" a="1"/>
  <c r="M1457" i="4" s="1"/>
  <c r="O1457" i="4" s="1"/>
  <c r="P1456" i="4"/>
  <c r="K1456" i="4"/>
  <c r="J1456" i="4"/>
  <c r="I1456" i="4"/>
  <c r="P1455" i="4"/>
  <c r="K1455" i="4"/>
  <c r="J1455" i="4"/>
  <c r="M1455" i="4" s="1" a="1"/>
  <c r="M1455" i="4" s="1"/>
  <c r="O1455" i="4" s="1"/>
  <c r="I1455" i="4"/>
  <c r="P1454" i="4"/>
  <c r="K1454" i="4"/>
  <c r="J1454" i="4"/>
  <c r="I1454" i="4"/>
  <c r="M1454" i="4" s="1" a="1"/>
  <c r="M1454" i="4" s="1"/>
  <c r="O1454" i="4" s="1"/>
  <c r="P1453" i="4"/>
  <c r="K1453" i="4"/>
  <c r="J1453" i="4"/>
  <c r="I1453" i="4"/>
  <c r="M1453" i="4" s="1" a="1"/>
  <c r="M1453" i="4" s="1"/>
  <c r="O1453" i="4" s="1"/>
  <c r="P1452" i="4"/>
  <c r="M1452" i="4" a="1"/>
  <c r="M1452" i="4" s="1"/>
  <c r="O1452" i="4" s="1"/>
  <c r="K1452" i="4"/>
  <c r="J1452" i="4"/>
  <c r="I1452" i="4"/>
  <c r="P1451" i="4"/>
  <c r="M1451" i="4"/>
  <c r="O1451" i="4" s="1"/>
  <c r="M1451" i="4" a="1"/>
  <c r="K1451" i="4"/>
  <c r="J1451" i="4"/>
  <c r="I1451" i="4"/>
  <c r="P1450" i="4"/>
  <c r="K1450" i="4"/>
  <c r="J1450" i="4"/>
  <c r="I1450" i="4"/>
  <c r="P1449" i="4"/>
  <c r="K1449" i="4"/>
  <c r="J1449" i="4"/>
  <c r="M1449" i="4" s="1" a="1"/>
  <c r="M1449" i="4" s="1"/>
  <c r="O1449" i="4" s="1"/>
  <c r="I1449" i="4"/>
  <c r="P1448" i="4"/>
  <c r="K1448" i="4"/>
  <c r="J1448" i="4"/>
  <c r="I1448" i="4"/>
  <c r="P1447" i="4"/>
  <c r="K1447" i="4"/>
  <c r="J1447" i="4"/>
  <c r="I1447" i="4"/>
  <c r="P1446" i="4"/>
  <c r="O1446" i="4"/>
  <c r="K1446" i="4"/>
  <c r="J1446" i="4"/>
  <c r="I1446" i="4"/>
  <c r="M1446" i="4" s="1" a="1"/>
  <c r="M1446" i="4" s="1"/>
  <c r="P1445" i="4"/>
  <c r="K1445" i="4"/>
  <c r="J1445" i="4"/>
  <c r="I1445" i="4"/>
  <c r="P1444" i="4"/>
  <c r="K1444" i="4"/>
  <c r="J1444" i="4"/>
  <c r="I1444" i="4"/>
  <c r="M1444" i="4" s="1" a="1"/>
  <c r="M1444" i="4" s="1"/>
  <c r="O1444" i="4" s="1"/>
  <c r="P1443" i="4"/>
  <c r="K1443" i="4"/>
  <c r="J1443" i="4"/>
  <c r="I1443" i="4"/>
  <c r="M1443" i="4" s="1" a="1"/>
  <c r="M1443" i="4" s="1"/>
  <c r="O1443" i="4" s="1"/>
  <c r="P1442" i="4"/>
  <c r="K1442" i="4"/>
  <c r="J1442" i="4"/>
  <c r="M1442" i="4" s="1" a="1"/>
  <c r="M1442" i="4" s="1"/>
  <c r="O1442" i="4" s="1"/>
  <c r="I1442" i="4"/>
  <c r="P1441" i="4"/>
  <c r="K1441" i="4"/>
  <c r="J1441" i="4"/>
  <c r="I1441" i="4"/>
  <c r="M1441" i="4" s="1" a="1"/>
  <c r="M1441" i="4" s="1"/>
  <c r="O1441" i="4" s="1"/>
  <c r="P1440" i="4"/>
  <c r="K1440" i="4"/>
  <c r="J1440" i="4"/>
  <c r="I1440" i="4"/>
  <c r="P1439" i="4"/>
  <c r="K1439" i="4"/>
  <c r="J1439" i="4"/>
  <c r="M1439" i="4" s="1" a="1"/>
  <c r="M1439" i="4" s="1"/>
  <c r="O1439" i="4" s="1"/>
  <c r="I1439" i="4"/>
  <c r="P1438" i="4"/>
  <c r="K1438" i="4"/>
  <c r="J1438" i="4"/>
  <c r="I1438" i="4"/>
  <c r="M1438" i="4" s="1" a="1"/>
  <c r="M1438" i="4" s="1"/>
  <c r="O1438" i="4" s="1"/>
  <c r="P1437" i="4"/>
  <c r="K1437" i="4"/>
  <c r="J1437" i="4"/>
  <c r="I1437" i="4"/>
  <c r="P1436" i="4"/>
  <c r="K1436" i="4"/>
  <c r="J1436" i="4"/>
  <c r="M1436" i="4" s="1" a="1"/>
  <c r="M1436" i="4" s="1"/>
  <c r="O1436" i="4" s="1"/>
  <c r="I1436" i="4"/>
  <c r="P1435" i="4"/>
  <c r="M1435" i="4" a="1"/>
  <c r="M1435" i="4" s="1"/>
  <c r="O1435" i="4" s="1"/>
  <c r="K1435" i="4"/>
  <c r="J1435" i="4"/>
  <c r="I1435" i="4"/>
  <c r="P1434" i="4"/>
  <c r="K1434" i="4"/>
  <c r="J1434" i="4"/>
  <c r="I1434" i="4"/>
  <c r="P1433" i="4"/>
  <c r="K1433" i="4"/>
  <c r="J1433" i="4"/>
  <c r="I1433" i="4"/>
  <c r="M1433" i="4" s="1" a="1"/>
  <c r="M1433" i="4" s="1"/>
  <c r="O1433" i="4" s="1"/>
  <c r="P1432" i="4"/>
  <c r="K1432" i="4"/>
  <c r="J1432" i="4"/>
  <c r="I1432" i="4"/>
  <c r="P1431" i="4"/>
  <c r="K1431" i="4"/>
  <c r="J1431" i="4"/>
  <c r="I1431" i="4"/>
  <c r="P1430" i="4"/>
  <c r="O1430" i="4"/>
  <c r="K1430" i="4"/>
  <c r="J1430" i="4"/>
  <c r="I1430" i="4"/>
  <c r="M1430" i="4" s="1" a="1"/>
  <c r="M1430" i="4" s="1"/>
  <c r="P1429" i="4"/>
  <c r="K1429" i="4"/>
  <c r="J1429" i="4"/>
  <c r="I1429" i="4"/>
  <c r="P1428" i="4"/>
  <c r="O1428" i="4"/>
  <c r="M1428" i="4"/>
  <c r="M1428" i="4" a="1"/>
  <c r="K1428" i="4"/>
  <c r="J1428" i="4"/>
  <c r="I1428" i="4"/>
  <c r="P1427" i="4"/>
  <c r="K1427" i="4"/>
  <c r="M1427" i="4" s="1" a="1"/>
  <c r="M1427" i="4" s="1"/>
  <c r="O1427" i="4" s="1"/>
  <c r="J1427" i="4"/>
  <c r="I1427" i="4"/>
  <c r="P1426" i="4"/>
  <c r="K1426" i="4"/>
  <c r="J1426" i="4"/>
  <c r="M1426" i="4" s="1" a="1"/>
  <c r="M1426" i="4" s="1"/>
  <c r="O1426" i="4" s="1"/>
  <c r="I1426" i="4"/>
  <c r="P1425" i="4"/>
  <c r="K1425" i="4"/>
  <c r="J1425" i="4"/>
  <c r="I1425" i="4"/>
  <c r="M1425" i="4" s="1" a="1"/>
  <c r="M1425" i="4" s="1"/>
  <c r="O1425" i="4" s="1"/>
  <c r="P1424" i="4"/>
  <c r="K1424" i="4"/>
  <c r="J1424" i="4"/>
  <c r="I1424" i="4"/>
  <c r="P1423" i="4"/>
  <c r="K1423" i="4"/>
  <c r="J1423" i="4"/>
  <c r="M1423" i="4" s="1" a="1"/>
  <c r="M1423" i="4" s="1"/>
  <c r="O1423" i="4" s="1"/>
  <c r="I1423" i="4"/>
  <c r="P1422" i="4"/>
  <c r="K1422" i="4"/>
  <c r="J1422" i="4"/>
  <c r="I1422" i="4"/>
  <c r="M1422" i="4" s="1" a="1"/>
  <c r="M1422" i="4" s="1"/>
  <c r="O1422" i="4" s="1"/>
  <c r="P1421" i="4"/>
  <c r="M1421" i="4"/>
  <c r="O1421" i="4" s="1"/>
  <c r="K1421" i="4"/>
  <c r="J1421" i="4"/>
  <c r="M1421" i="4" s="1" a="1"/>
  <c r="I1421" i="4"/>
  <c r="P1420" i="4"/>
  <c r="M1420" i="4" a="1"/>
  <c r="M1420" i="4" s="1"/>
  <c r="O1420" i="4" s="1"/>
  <c r="K1420" i="4"/>
  <c r="J1420" i="4"/>
  <c r="I1420" i="4"/>
  <c r="P1419" i="4"/>
  <c r="M1419" i="4" a="1"/>
  <c r="M1419" i="4" s="1"/>
  <c r="O1419" i="4" s="1"/>
  <c r="K1419" i="4"/>
  <c r="J1419" i="4"/>
  <c r="I1419" i="4"/>
  <c r="P1418" i="4"/>
  <c r="K1418" i="4"/>
  <c r="J1418" i="4"/>
  <c r="I1418" i="4"/>
  <c r="P1417" i="4"/>
  <c r="K1417" i="4"/>
  <c r="M1417" i="4" s="1" a="1"/>
  <c r="M1417" i="4" s="1"/>
  <c r="O1417" i="4" s="1"/>
  <c r="J1417" i="4"/>
  <c r="I1417" i="4"/>
  <c r="P1416" i="4"/>
  <c r="K1416" i="4"/>
  <c r="J1416" i="4"/>
  <c r="I1416" i="4"/>
  <c r="P1415" i="4"/>
  <c r="K1415" i="4"/>
  <c r="J1415" i="4"/>
  <c r="I1415" i="4"/>
  <c r="P1414" i="4"/>
  <c r="K1414" i="4"/>
  <c r="J1414" i="4"/>
  <c r="I1414" i="4"/>
  <c r="P1413" i="4"/>
  <c r="K1413" i="4"/>
  <c r="J1413" i="4"/>
  <c r="I1413" i="4"/>
  <c r="P1412" i="4"/>
  <c r="K1412" i="4"/>
  <c r="J1412" i="4"/>
  <c r="I1412" i="4"/>
  <c r="M1412" i="4" s="1" a="1"/>
  <c r="M1412" i="4" s="1"/>
  <c r="O1412" i="4" s="1"/>
  <c r="P1411" i="4"/>
  <c r="O1411" i="4"/>
  <c r="M1411" i="4" a="1"/>
  <c r="M1411" i="4" s="1"/>
  <c r="K1411" i="4"/>
  <c r="J1411" i="4"/>
  <c r="I1411" i="4"/>
  <c r="P1410" i="4"/>
  <c r="K1410" i="4"/>
  <c r="M1410" i="4" s="1" a="1"/>
  <c r="M1410" i="4" s="1"/>
  <c r="O1410" i="4" s="1"/>
  <c r="J1410" i="4"/>
  <c r="I1410" i="4"/>
  <c r="P1409" i="4"/>
  <c r="K1409" i="4"/>
  <c r="J1409" i="4"/>
  <c r="I1409" i="4"/>
  <c r="M1409" i="4" s="1" a="1"/>
  <c r="M1409" i="4" s="1"/>
  <c r="O1409" i="4" s="1"/>
  <c r="P1408" i="4"/>
  <c r="K1408" i="4"/>
  <c r="J1408" i="4"/>
  <c r="I1408" i="4"/>
  <c r="M1408" i="4" s="1" a="1"/>
  <c r="M1408" i="4" s="1"/>
  <c r="O1408" i="4" s="1"/>
  <c r="P1407" i="4"/>
  <c r="M1407" i="4" a="1"/>
  <c r="M1407" i="4" s="1"/>
  <c r="O1407" i="4" s="1"/>
  <c r="K1407" i="4"/>
  <c r="J1407" i="4"/>
  <c r="I1407" i="4"/>
  <c r="P1406" i="4"/>
  <c r="K1406" i="4"/>
  <c r="J1406" i="4"/>
  <c r="I1406" i="4"/>
  <c r="M1406" i="4" s="1" a="1"/>
  <c r="M1406" i="4" s="1"/>
  <c r="O1406" i="4" s="1"/>
  <c r="P1405" i="4"/>
  <c r="K1405" i="4"/>
  <c r="J1405" i="4"/>
  <c r="I1405" i="4"/>
  <c r="P1404" i="4"/>
  <c r="K1404" i="4"/>
  <c r="J1404" i="4"/>
  <c r="M1404" i="4" s="1" a="1"/>
  <c r="M1404" i="4" s="1"/>
  <c r="O1404" i="4" s="1"/>
  <c r="I1404" i="4"/>
  <c r="P1403" i="4"/>
  <c r="M1403" i="4" a="1"/>
  <c r="M1403" i="4" s="1"/>
  <c r="O1403" i="4" s="1"/>
  <c r="K1403" i="4"/>
  <c r="J1403" i="4"/>
  <c r="I1403" i="4"/>
  <c r="P1402" i="4"/>
  <c r="M1402" i="4"/>
  <c r="O1402" i="4" s="1"/>
  <c r="K1402" i="4"/>
  <c r="J1402" i="4"/>
  <c r="M1402" i="4" s="1" a="1"/>
  <c r="I1402" i="4"/>
  <c r="P1401" i="4"/>
  <c r="M1401" i="4" a="1"/>
  <c r="M1401" i="4" s="1"/>
  <c r="O1401" i="4" s="1"/>
  <c r="K1401" i="4"/>
  <c r="J1401" i="4"/>
  <c r="I1401" i="4"/>
  <c r="P1400" i="4"/>
  <c r="K1400" i="4"/>
  <c r="J1400" i="4"/>
  <c r="I1400" i="4"/>
  <c r="P1399" i="4"/>
  <c r="K1399" i="4"/>
  <c r="J1399" i="4"/>
  <c r="I1399" i="4"/>
  <c r="M1399" i="4" s="1" a="1"/>
  <c r="M1399" i="4" s="1"/>
  <c r="O1399" i="4" s="1"/>
  <c r="P1398" i="4"/>
  <c r="K1398" i="4"/>
  <c r="J1398" i="4"/>
  <c r="I1398" i="4"/>
  <c r="P1397" i="4"/>
  <c r="K1397" i="4"/>
  <c r="J1397" i="4"/>
  <c r="I1397" i="4"/>
  <c r="P1396" i="4"/>
  <c r="M1396" i="4"/>
  <c r="O1396" i="4" s="1"/>
  <c r="M1396" i="4" a="1"/>
  <c r="K1396" i="4"/>
  <c r="J1396" i="4"/>
  <c r="I1396" i="4"/>
  <c r="P1395" i="4"/>
  <c r="K1395" i="4"/>
  <c r="J1395" i="4"/>
  <c r="I1395" i="4"/>
  <c r="M1395" i="4" s="1" a="1"/>
  <c r="M1395" i="4" s="1"/>
  <c r="O1395" i="4" s="1"/>
  <c r="P1394" i="4"/>
  <c r="K1394" i="4"/>
  <c r="M1394" i="4" s="1" a="1"/>
  <c r="M1394" i="4" s="1"/>
  <c r="O1394" i="4" s="1"/>
  <c r="J1394" i="4"/>
  <c r="I1394" i="4"/>
  <c r="P1393" i="4"/>
  <c r="M1393" i="4" a="1"/>
  <c r="M1393" i="4" s="1"/>
  <c r="O1393" i="4" s="1"/>
  <c r="K1393" i="4"/>
  <c r="J1393" i="4"/>
  <c r="I1393" i="4"/>
  <c r="P1392" i="4"/>
  <c r="K1392" i="4"/>
  <c r="J1392" i="4"/>
  <c r="I1392" i="4"/>
  <c r="P1391" i="4"/>
  <c r="M1391" i="4" a="1"/>
  <c r="M1391" i="4" s="1"/>
  <c r="O1391" i="4" s="1"/>
  <c r="K1391" i="4"/>
  <c r="J1391" i="4"/>
  <c r="I1391" i="4"/>
  <c r="P1390" i="4"/>
  <c r="M1390" i="4" a="1"/>
  <c r="M1390" i="4" s="1"/>
  <c r="O1390" i="4" s="1"/>
  <c r="K1390" i="4"/>
  <c r="J1390" i="4"/>
  <c r="I1390" i="4"/>
  <c r="P1389" i="4"/>
  <c r="K1389" i="4"/>
  <c r="J1389" i="4"/>
  <c r="I1389" i="4"/>
  <c r="P1388" i="4"/>
  <c r="K1388" i="4"/>
  <c r="J1388" i="4"/>
  <c r="M1388" i="4" s="1" a="1"/>
  <c r="M1388" i="4" s="1"/>
  <c r="O1388" i="4" s="1"/>
  <c r="I1388" i="4"/>
  <c r="P1387" i="4"/>
  <c r="M1387" i="4"/>
  <c r="O1387" i="4" s="1"/>
  <c r="M1387" i="4" a="1"/>
  <c r="K1387" i="4"/>
  <c r="J1387" i="4"/>
  <c r="I1387" i="4"/>
  <c r="P1386" i="4"/>
  <c r="M1386" i="4"/>
  <c r="O1386" i="4" s="1"/>
  <c r="K1386" i="4"/>
  <c r="J1386" i="4"/>
  <c r="I1386" i="4"/>
  <c r="M1386" i="4" s="1" a="1"/>
  <c r="P1385" i="4"/>
  <c r="K1385" i="4"/>
  <c r="J1385" i="4"/>
  <c r="I1385" i="4"/>
  <c r="M1385" i="4" s="1" a="1"/>
  <c r="M1385" i="4" s="1"/>
  <c r="O1385" i="4" s="1"/>
  <c r="P1384" i="4"/>
  <c r="K1384" i="4"/>
  <c r="J1384" i="4"/>
  <c r="I1384" i="4"/>
  <c r="P1383" i="4"/>
  <c r="K1383" i="4"/>
  <c r="J1383" i="4"/>
  <c r="I1383" i="4"/>
  <c r="P1382" i="4"/>
  <c r="K1382" i="4"/>
  <c r="J1382" i="4"/>
  <c r="I1382" i="4"/>
  <c r="P1381" i="4"/>
  <c r="K1381" i="4"/>
  <c r="J1381" i="4"/>
  <c r="I1381" i="4"/>
  <c r="P1380" i="4"/>
  <c r="M1380" i="4"/>
  <c r="O1380" i="4" s="1"/>
  <c r="M1380" i="4" a="1"/>
  <c r="K1380" i="4"/>
  <c r="J1380" i="4"/>
  <c r="I1380" i="4"/>
  <c r="P1379" i="4"/>
  <c r="K1379" i="4"/>
  <c r="J1379" i="4"/>
  <c r="I1379" i="4"/>
  <c r="M1379" i="4" s="1" a="1"/>
  <c r="M1379" i="4" s="1"/>
  <c r="O1379" i="4" s="1"/>
  <c r="P1378" i="4"/>
  <c r="K1378" i="4"/>
  <c r="J1378" i="4"/>
  <c r="M1378" i="4" s="1" a="1"/>
  <c r="M1378" i="4" s="1"/>
  <c r="O1378" i="4" s="1"/>
  <c r="I1378" i="4"/>
  <c r="P1377" i="4"/>
  <c r="K1377" i="4"/>
  <c r="J1377" i="4"/>
  <c r="M1377" i="4" s="1" a="1"/>
  <c r="M1377" i="4" s="1"/>
  <c r="O1377" i="4" s="1"/>
  <c r="I1377" i="4"/>
  <c r="P1376" i="4"/>
  <c r="K1376" i="4"/>
  <c r="J1376" i="4"/>
  <c r="I1376" i="4"/>
  <c r="P1375" i="4"/>
  <c r="K1375" i="4"/>
  <c r="J1375" i="4"/>
  <c r="M1375" i="4" s="1" a="1"/>
  <c r="M1375" i="4" s="1"/>
  <c r="O1375" i="4" s="1"/>
  <c r="I1375" i="4"/>
  <c r="P1374" i="4"/>
  <c r="M1374" i="4" a="1"/>
  <c r="M1374" i="4" s="1"/>
  <c r="O1374" i="4" s="1"/>
  <c r="K1374" i="4"/>
  <c r="J1374" i="4"/>
  <c r="I1374" i="4"/>
  <c r="P1373" i="4"/>
  <c r="K1373" i="4"/>
  <c r="J1373" i="4"/>
  <c r="I1373" i="4"/>
  <c r="P1372" i="4"/>
  <c r="M1372" i="4"/>
  <c r="O1372" i="4" s="1"/>
  <c r="M1372" i="4" a="1"/>
  <c r="K1372" i="4"/>
  <c r="J1372" i="4"/>
  <c r="I1372" i="4"/>
  <c r="P1371" i="4"/>
  <c r="K1371" i="4"/>
  <c r="M1371" i="4" s="1" a="1"/>
  <c r="M1371" i="4" s="1"/>
  <c r="O1371" i="4" s="1"/>
  <c r="J1371" i="4"/>
  <c r="I1371" i="4"/>
  <c r="P1370" i="4"/>
  <c r="K1370" i="4"/>
  <c r="J1370" i="4"/>
  <c r="I1370" i="4"/>
  <c r="M1370" i="4" s="1" a="1"/>
  <c r="M1370" i="4" s="1"/>
  <c r="O1370" i="4" s="1"/>
  <c r="P1369" i="4"/>
  <c r="M1369" i="4" a="1"/>
  <c r="M1369" i="4" s="1"/>
  <c r="O1369" i="4" s="1"/>
  <c r="K1369" i="4"/>
  <c r="J1369" i="4"/>
  <c r="I1369" i="4"/>
  <c r="P1368" i="4"/>
  <c r="K1368" i="4"/>
  <c r="J1368" i="4"/>
  <c r="I1368" i="4"/>
  <c r="M1368" i="4" s="1" a="1"/>
  <c r="M1368" i="4" s="1"/>
  <c r="O1368" i="4" s="1"/>
  <c r="P1367" i="4"/>
  <c r="K1367" i="4"/>
  <c r="J1367" i="4"/>
  <c r="I1367" i="4"/>
  <c r="P1366" i="4"/>
  <c r="K1366" i="4"/>
  <c r="J1366" i="4"/>
  <c r="I1366" i="4"/>
  <c r="P1365" i="4"/>
  <c r="K1365" i="4"/>
  <c r="J1365" i="4"/>
  <c r="I1365" i="4"/>
  <c r="M1365" i="4" s="1" a="1"/>
  <c r="M1365" i="4" s="1"/>
  <c r="O1365" i="4" s="1"/>
  <c r="P1364" i="4"/>
  <c r="K1364" i="4"/>
  <c r="J1364" i="4"/>
  <c r="I1364" i="4"/>
  <c r="M1364" i="4" s="1" a="1"/>
  <c r="M1364" i="4" s="1"/>
  <c r="O1364" i="4" s="1"/>
  <c r="P1363" i="4"/>
  <c r="K1363" i="4"/>
  <c r="J1363" i="4"/>
  <c r="I1363" i="4"/>
  <c r="M1363" i="4" s="1" a="1"/>
  <c r="M1363" i="4" s="1"/>
  <c r="O1363" i="4" s="1"/>
  <c r="CN18" i="8"/>
  <c r="CM18" i="8"/>
  <c r="CL18" i="8"/>
  <c r="CK18" i="8"/>
  <c r="CJ18" i="8"/>
  <c r="CI18" i="8"/>
  <c r="CH18" i="8"/>
  <c r="CG18" i="8"/>
  <c r="CF18" i="8"/>
  <c r="CE18" i="8"/>
  <c r="CD18" i="8"/>
  <c r="CC18" i="8"/>
  <c r="CB18" i="8"/>
  <c r="CA18" i="8"/>
  <c r="BZ18" i="8"/>
  <c r="BY18" i="8"/>
  <c r="BX18" i="8"/>
  <c r="BW18" i="8"/>
  <c r="BV18" i="8"/>
  <c r="BU18" i="8"/>
  <c r="BT18" i="8"/>
  <c r="BS18" i="8"/>
  <c r="BR18" i="8"/>
  <c r="BQ18" i="8"/>
  <c r="BP18" i="8"/>
  <c r="BO18" i="8"/>
  <c r="BN18" i="8"/>
  <c r="BM18" i="8"/>
  <c r="BL18" i="8"/>
  <c r="BK18" i="8"/>
  <c r="BJ18" i="8"/>
  <c r="BI18" i="8"/>
  <c r="BH18" i="8"/>
  <c r="BG18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C1" i="8"/>
  <c r="D1" i="8" s="1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E1" i="9"/>
  <c r="F1" i="9" s="1"/>
  <c r="G1" i="9" s="1"/>
  <c r="H1" i="9" s="1"/>
  <c r="I1" i="9" s="1"/>
  <c r="J1" i="9" s="1"/>
  <c r="K1" i="9" s="1"/>
  <c r="L1" i="9" s="1"/>
  <c r="M1" i="9" s="1"/>
  <c r="N1" i="9" s="1"/>
  <c r="O1" i="9" s="1"/>
  <c r="P1" i="9" s="1"/>
  <c r="Q1" i="9" s="1"/>
  <c r="R1" i="9" s="1"/>
  <c r="S1" i="9" s="1"/>
  <c r="T1" i="9" s="1"/>
  <c r="U1" i="9" s="1"/>
  <c r="V1" i="9" s="1"/>
  <c r="W1" i="9" s="1"/>
  <c r="X1" i="9" s="1"/>
  <c r="Y1" i="9" s="1"/>
  <c r="Z1" i="9" s="1"/>
  <c r="AA1" i="9" s="1"/>
  <c r="AB1" i="9" s="1"/>
  <c r="AC1" i="9" s="1"/>
  <c r="AD1" i="9" s="1"/>
  <c r="AE1" i="9" s="1"/>
  <c r="AF1" i="9" s="1"/>
  <c r="AG1" i="9" s="1"/>
  <c r="AH1" i="9" s="1"/>
  <c r="AI1" i="9" s="1"/>
  <c r="AJ1" i="9" s="1"/>
  <c r="AK1" i="9" s="1"/>
  <c r="AL1" i="9" s="1"/>
  <c r="AM1" i="9" s="1"/>
  <c r="AN1" i="9" s="1"/>
  <c r="AO1" i="9" s="1"/>
  <c r="AP1" i="9" s="1"/>
  <c r="AQ1" i="9" s="1"/>
  <c r="AR1" i="9" s="1"/>
  <c r="AS1" i="9" s="1"/>
  <c r="AT1" i="9" s="1"/>
  <c r="AU1" i="9" s="1"/>
  <c r="AV1" i="9" s="1"/>
  <c r="AW1" i="9" s="1"/>
  <c r="AX1" i="9" s="1"/>
  <c r="AY1" i="9" s="1"/>
  <c r="AZ1" i="9" s="1"/>
  <c r="BA1" i="9" s="1"/>
  <c r="BB1" i="9" s="1"/>
  <c r="BC1" i="9" s="1"/>
  <c r="BD1" i="9" s="1"/>
  <c r="BE1" i="9" s="1"/>
  <c r="BF1" i="9" s="1"/>
  <c r="BG1" i="9" s="1"/>
  <c r="BH1" i="9" s="1"/>
  <c r="BI1" i="9" s="1"/>
  <c r="BJ1" i="9" s="1"/>
  <c r="BK1" i="9" s="1"/>
  <c r="BL1" i="9" s="1"/>
  <c r="BM1" i="9" s="1"/>
  <c r="BN1" i="9" s="1"/>
  <c r="BO1" i="9" s="1"/>
  <c r="BP1" i="9" s="1"/>
  <c r="BQ1" i="9" s="1"/>
  <c r="BR1" i="9" s="1"/>
  <c r="BS1" i="9" s="1"/>
  <c r="BT1" i="9" s="1"/>
  <c r="BU1" i="9" s="1"/>
  <c r="BV1" i="9" s="1"/>
  <c r="BW1" i="9" s="1"/>
  <c r="BX1" i="9" s="1"/>
  <c r="BY1" i="9" s="1"/>
  <c r="BZ1" i="9" s="1"/>
  <c r="CA1" i="9" s="1"/>
  <c r="CB1" i="9" s="1"/>
  <c r="CC1" i="9" s="1"/>
  <c r="CD1" i="9" s="1"/>
  <c r="CE1" i="9" s="1"/>
  <c r="CF1" i="9" s="1"/>
  <c r="CG1" i="9" s="1"/>
  <c r="CH1" i="9" s="1"/>
  <c r="CI1" i="9" s="1"/>
  <c r="CJ1" i="9" s="1"/>
  <c r="CK1" i="9" s="1"/>
  <c r="CL1" i="9" s="1"/>
  <c r="CM1" i="9" s="1"/>
  <c r="CN1" i="9" s="1"/>
  <c r="CO1" i="9" s="1"/>
  <c r="D1" i="9"/>
  <c r="C3" i="7"/>
  <c r="P1362" i="4"/>
  <c r="P1361" i="4"/>
  <c r="P1360" i="4"/>
  <c r="P1359" i="4"/>
  <c r="P1358" i="4"/>
  <c r="P1357" i="4"/>
  <c r="P1356" i="4"/>
  <c r="P1355" i="4"/>
  <c r="P1354" i="4"/>
  <c r="P1353" i="4"/>
  <c r="P1352" i="4"/>
  <c r="P1351" i="4"/>
  <c r="P1350" i="4"/>
  <c r="P1349" i="4"/>
  <c r="P1348" i="4"/>
  <c r="P1347" i="4"/>
  <c r="P1346" i="4"/>
  <c r="P1345" i="4"/>
  <c r="P1344" i="4"/>
  <c r="P1343" i="4"/>
  <c r="P1342" i="4"/>
  <c r="P1341" i="4"/>
  <c r="P1340" i="4"/>
  <c r="P1339" i="4"/>
  <c r="P1338" i="4"/>
  <c r="P1337" i="4"/>
  <c r="P1336" i="4"/>
  <c r="P1335" i="4"/>
  <c r="P1334" i="4"/>
  <c r="P1333" i="4"/>
  <c r="P1332" i="4"/>
  <c r="P1331" i="4"/>
  <c r="P1330" i="4"/>
  <c r="P1329" i="4"/>
  <c r="P1328" i="4"/>
  <c r="P1327" i="4"/>
  <c r="P1326" i="4"/>
  <c r="P1325" i="4"/>
  <c r="P1324" i="4"/>
  <c r="P1323" i="4"/>
  <c r="P1322" i="4"/>
  <c r="P1321" i="4"/>
  <c r="P1320" i="4"/>
  <c r="P1319" i="4"/>
  <c r="P1318" i="4"/>
  <c r="P1317" i="4"/>
  <c r="P1316" i="4"/>
  <c r="P1315" i="4"/>
  <c r="P1314" i="4"/>
  <c r="P1313" i="4"/>
  <c r="P1312" i="4"/>
  <c r="P1311" i="4"/>
  <c r="P1310" i="4"/>
  <c r="P1309" i="4"/>
  <c r="P1308" i="4"/>
  <c r="P1307" i="4"/>
  <c r="P1306" i="4"/>
  <c r="P1305" i="4"/>
  <c r="P1304" i="4"/>
  <c r="P1303" i="4"/>
  <c r="P1302" i="4"/>
  <c r="P1301" i="4"/>
  <c r="P1300" i="4"/>
  <c r="P1299" i="4"/>
  <c r="P1298" i="4"/>
  <c r="P1297" i="4"/>
  <c r="P1296" i="4"/>
  <c r="P1295" i="4"/>
  <c r="P1294" i="4"/>
  <c r="P1293" i="4"/>
  <c r="P1292" i="4"/>
  <c r="P1291" i="4"/>
  <c r="P1290" i="4"/>
  <c r="P1289" i="4"/>
  <c r="P1288" i="4"/>
  <c r="P1287" i="4"/>
  <c r="P1286" i="4"/>
  <c r="P1285" i="4"/>
  <c r="P1284" i="4"/>
  <c r="P1283" i="4"/>
  <c r="P1282" i="4"/>
  <c r="P1281" i="4"/>
  <c r="P1280" i="4"/>
  <c r="P1279" i="4"/>
  <c r="P1278" i="4"/>
  <c r="P1277" i="4"/>
  <c r="P1276" i="4"/>
  <c r="P1275" i="4"/>
  <c r="P1274" i="4"/>
  <c r="P1273" i="4"/>
  <c r="P1272" i="4"/>
  <c r="P1271" i="4"/>
  <c r="P1270" i="4"/>
  <c r="P1269" i="4"/>
  <c r="P1268" i="4"/>
  <c r="P1267" i="4"/>
  <c r="P1266" i="4"/>
  <c r="P1265" i="4"/>
  <c r="P1264" i="4"/>
  <c r="P1263" i="4"/>
  <c r="P1262" i="4"/>
  <c r="P1261" i="4"/>
  <c r="P1260" i="4"/>
  <c r="P1259" i="4"/>
  <c r="P1258" i="4"/>
  <c r="P1257" i="4"/>
  <c r="P1256" i="4"/>
  <c r="P1255" i="4"/>
  <c r="P1254" i="4"/>
  <c r="P1253" i="4"/>
  <c r="P1252" i="4"/>
  <c r="P1251" i="4"/>
  <c r="P1250" i="4"/>
  <c r="P1249" i="4"/>
  <c r="P1248" i="4"/>
  <c r="P1247" i="4"/>
  <c r="P1246" i="4"/>
  <c r="P1245" i="4"/>
  <c r="P1244" i="4"/>
  <c r="P1243" i="4"/>
  <c r="P1242" i="4"/>
  <c r="P1241" i="4"/>
  <c r="P1240" i="4"/>
  <c r="P1239" i="4"/>
  <c r="P1238" i="4"/>
  <c r="P1237" i="4"/>
  <c r="P1236" i="4"/>
  <c r="P1235" i="4"/>
  <c r="P1234" i="4"/>
  <c r="P1233" i="4"/>
  <c r="P1232" i="4"/>
  <c r="P1231" i="4"/>
  <c r="P1230" i="4"/>
  <c r="P1229" i="4"/>
  <c r="P1228" i="4"/>
  <c r="P1227" i="4"/>
  <c r="P1226" i="4"/>
  <c r="P1225" i="4"/>
  <c r="P1224" i="4"/>
  <c r="P1223" i="4"/>
  <c r="P1222" i="4"/>
  <c r="P1221" i="4"/>
  <c r="P1220" i="4"/>
  <c r="P1219" i="4"/>
  <c r="P1218" i="4"/>
  <c r="P1217" i="4"/>
  <c r="P1216" i="4"/>
  <c r="P1215" i="4"/>
  <c r="P1214" i="4"/>
  <c r="P1213" i="4"/>
  <c r="P1212" i="4"/>
  <c r="P1211" i="4"/>
  <c r="P1210" i="4"/>
  <c r="P1209" i="4"/>
  <c r="P1208" i="4"/>
  <c r="P1207" i="4"/>
  <c r="P1206" i="4"/>
  <c r="P1205" i="4"/>
  <c r="P1204" i="4"/>
  <c r="P1203" i="4"/>
  <c r="P1202" i="4"/>
  <c r="P1201" i="4"/>
  <c r="P1200" i="4"/>
  <c r="P1199" i="4"/>
  <c r="P1198" i="4"/>
  <c r="P1197" i="4"/>
  <c r="P1196" i="4"/>
  <c r="P1195" i="4"/>
  <c r="P1194" i="4"/>
  <c r="P1193" i="4"/>
  <c r="P1192" i="4"/>
  <c r="P1191" i="4"/>
  <c r="P1190" i="4"/>
  <c r="P1189" i="4"/>
  <c r="P1188" i="4"/>
  <c r="P1187" i="4"/>
  <c r="P1186" i="4"/>
  <c r="P1185" i="4"/>
  <c r="P1184" i="4"/>
  <c r="P1183" i="4"/>
  <c r="P1182" i="4"/>
  <c r="P1181" i="4"/>
  <c r="P1180" i="4"/>
  <c r="P1179" i="4"/>
  <c r="P1178" i="4"/>
  <c r="P1177" i="4"/>
  <c r="P1176" i="4"/>
  <c r="P1175" i="4"/>
  <c r="P1174" i="4"/>
  <c r="P1173" i="4"/>
  <c r="P1172" i="4"/>
  <c r="P1171" i="4"/>
  <c r="P1170" i="4"/>
  <c r="P1169" i="4"/>
  <c r="P1168" i="4"/>
  <c r="P1167" i="4"/>
  <c r="P1166" i="4"/>
  <c r="P1165" i="4"/>
  <c r="P1164" i="4"/>
  <c r="P1163" i="4"/>
  <c r="P1162" i="4"/>
  <c r="P1161" i="4"/>
  <c r="P1160" i="4"/>
  <c r="P1159" i="4"/>
  <c r="P1158" i="4"/>
  <c r="P1157" i="4"/>
  <c r="P1156" i="4"/>
  <c r="P1155" i="4"/>
  <c r="P1154" i="4"/>
  <c r="P1153" i="4"/>
  <c r="P1152" i="4"/>
  <c r="P1151" i="4"/>
  <c r="P1150" i="4"/>
  <c r="P1149" i="4"/>
  <c r="P1148" i="4"/>
  <c r="P1147" i="4"/>
  <c r="P1146" i="4"/>
  <c r="P1145" i="4"/>
  <c r="P1144" i="4"/>
  <c r="P1143" i="4"/>
  <c r="P1142" i="4"/>
  <c r="P1141" i="4"/>
  <c r="P1140" i="4"/>
  <c r="P1139" i="4"/>
  <c r="P1138" i="4"/>
  <c r="P1137" i="4"/>
  <c r="P1136" i="4"/>
  <c r="P1135" i="4"/>
  <c r="P1134" i="4"/>
  <c r="P1133" i="4"/>
  <c r="P1132" i="4"/>
  <c r="P1131" i="4"/>
  <c r="P1130" i="4"/>
  <c r="P1129" i="4"/>
  <c r="P1128" i="4"/>
  <c r="P1127" i="4"/>
  <c r="P1126" i="4"/>
  <c r="P1125" i="4"/>
  <c r="P1124" i="4"/>
  <c r="P1123" i="4"/>
  <c r="P1122" i="4"/>
  <c r="P1121" i="4"/>
  <c r="P1120" i="4"/>
  <c r="P1119" i="4"/>
  <c r="P1118" i="4"/>
  <c r="P1117" i="4"/>
  <c r="P1116" i="4"/>
  <c r="P1115" i="4"/>
  <c r="P1114" i="4"/>
  <c r="P1113" i="4"/>
  <c r="P1112" i="4"/>
  <c r="P1111" i="4"/>
  <c r="P1110" i="4"/>
  <c r="P1109" i="4"/>
  <c r="P1108" i="4"/>
  <c r="P1107" i="4"/>
  <c r="P1106" i="4"/>
  <c r="P1105" i="4"/>
  <c r="P1104" i="4"/>
  <c r="P1103" i="4"/>
  <c r="P1102" i="4"/>
  <c r="P1101" i="4"/>
  <c r="P1100" i="4"/>
  <c r="P1099" i="4"/>
  <c r="P1098" i="4"/>
  <c r="P1097" i="4"/>
  <c r="P1096" i="4"/>
  <c r="P1095" i="4"/>
  <c r="P1094" i="4"/>
  <c r="P1093" i="4"/>
  <c r="P1092" i="4"/>
  <c r="P1091" i="4"/>
  <c r="P1090" i="4"/>
  <c r="P1089" i="4"/>
  <c r="P1088" i="4"/>
  <c r="P1087" i="4"/>
  <c r="P1086" i="4"/>
  <c r="P1085" i="4"/>
  <c r="P1084" i="4"/>
  <c r="P1083" i="4"/>
  <c r="P1082" i="4"/>
  <c r="P1081" i="4"/>
  <c r="P1080" i="4"/>
  <c r="P1079" i="4"/>
  <c r="P1078" i="4"/>
  <c r="P1077" i="4"/>
  <c r="P1076" i="4"/>
  <c r="P1075" i="4"/>
  <c r="P1074" i="4"/>
  <c r="P1073" i="4"/>
  <c r="P1072" i="4"/>
  <c r="P1071" i="4"/>
  <c r="P1070" i="4"/>
  <c r="P1069" i="4"/>
  <c r="P1068" i="4"/>
  <c r="P1067" i="4"/>
  <c r="P1066" i="4"/>
  <c r="P1065" i="4"/>
  <c r="P1064" i="4"/>
  <c r="P1063" i="4"/>
  <c r="P1062" i="4"/>
  <c r="P1061" i="4"/>
  <c r="P1060" i="4"/>
  <c r="P1059" i="4"/>
  <c r="P1058" i="4"/>
  <c r="P1057" i="4"/>
  <c r="P1056" i="4"/>
  <c r="P1055" i="4"/>
  <c r="P1054" i="4"/>
  <c r="P1053" i="4"/>
  <c r="P1052" i="4"/>
  <c r="P1051" i="4"/>
  <c r="P1050" i="4"/>
  <c r="P1049" i="4"/>
  <c r="P1048" i="4"/>
  <c r="P1047" i="4"/>
  <c r="P1046" i="4"/>
  <c r="P1045" i="4"/>
  <c r="P1044" i="4"/>
  <c r="P1043" i="4"/>
  <c r="P1042" i="4"/>
  <c r="P1041" i="4"/>
  <c r="P1040" i="4"/>
  <c r="P1039" i="4"/>
  <c r="P1038" i="4"/>
  <c r="P1037" i="4"/>
  <c r="P1036" i="4"/>
  <c r="P1035" i="4"/>
  <c r="P1034" i="4"/>
  <c r="P1033" i="4"/>
  <c r="P1032" i="4"/>
  <c r="P1031" i="4"/>
  <c r="P1030" i="4"/>
  <c r="P1029" i="4"/>
  <c r="P1028" i="4"/>
  <c r="P1027" i="4"/>
  <c r="P1026" i="4"/>
  <c r="P1025" i="4"/>
  <c r="P1024" i="4"/>
  <c r="P1023" i="4"/>
  <c r="P1022" i="4"/>
  <c r="P1021" i="4"/>
  <c r="P1020" i="4"/>
  <c r="P1019" i="4"/>
  <c r="P1018" i="4"/>
  <c r="P1017" i="4"/>
  <c r="P1016" i="4"/>
  <c r="P1015" i="4"/>
  <c r="P1014" i="4"/>
  <c r="P1013" i="4"/>
  <c r="P1012" i="4"/>
  <c r="P1011" i="4"/>
  <c r="P1010" i="4"/>
  <c r="P1009" i="4"/>
  <c r="P1008" i="4"/>
  <c r="P1007" i="4"/>
  <c r="P1006" i="4"/>
  <c r="P1005" i="4"/>
  <c r="P1004" i="4"/>
  <c r="P1003" i="4"/>
  <c r="P1002" i="4"/>
  <c r="P1001" i="4"/>
  <c r="P1000" i="4"/>
  <c r="P999" i="4"/>
  <c r="P998" i="4"/>
  <c r="P997" i="4"/>
  <c r="P996" i="4"/>
  <c r="P995" i="4"/>
  <c r="P994" i="4"/>
  <c r="P993" i="4"/>
  <c r="P992" i="4"/>
  <c r="P991" i="4"/>
  <c r="P990" i="4"/>
  <c r="P989" i="4"/>
  <c r="P988" i="4"/>
  <c r="P987" i="4"/>
  <c r="P986" i="4"/>
  <c r="P985" i="4"/>
  <c r="P984" i="4"/>
  <c r="P983" i="4"/>
  <c r="P982" i="4"/>
  <c r="P981" i="4"/>
  <c r="P980" i="4"/>
  <c r="P979" i="4"/>
  <c r="P978" i="4"/>
  <c r="P977" i="4"/>
  <c r="P976" i="4"/>
  <c r="P975" i="4"/>
  <c r="P974" i="4"/>
  <c r="P973" i="4"/>
  <c r="P972" i="4"/>
  <c r="P971" i="4"/>
  <c r="P970" i="4"/>
  <c r="P969" i="4"/>
  <c r="P968" i="4"/>
  <c r="P967" i="4"/>
  <c r="P966" i="4"/>
  <c r="P965" i="4"/>
  <c r="P964" i="4"/>
  <c r="P963" i="4"/>
  <c r="P962" i="4"/>
  <c r="P961" i="4"/>
  <c r="P960" i="4"/>
  <c r="P959" i="4"/>
  <c r="P958" i="4"/>
  <c r="P957" i="4"/>
  <c r="P956" i="4"/>
  <c r="P955" i="4"/>
  <c r="P954" i="4"/>
  <c r="P953" i="4"/>
  <c r="P952" i="4"/>
  <c r="P951" i="4"/>
  <c r="P950" i="4"/>
  <c r="P949" i="4"/>
  <c r="P948" i="4"/>
  <c r="P947" i="4"/>
  <c r="P946" i="4"/>
  <c r="P945" i="4"/>
  <c r="P944" i="4"/>
  <c r="P943" i="4"/>
  <c r="P942" i="4"/>
  <c r="P941" i="4"/>
  <c r="P940" i="4"/>
  <c r="P939" i="4"/>
  <c r="P938" i="4"/>
  <c r="P937" i="4"/>
  <c r="P936" i="4"/>
  <c r="P935" i="4"/>
  <c r="P934" i="4"/>
  <c r="P933" i="4"/>
  <c r="P932" i="4"/>
  <c r="P931" i="4"/>
  <c r="P930" i="4"/>
  <c r="P929" i="4"/>
  <c r="P928" i="4"/>
  <c r="P927" i="4"/>
  <c r="P926" i="4"/>
  <c r="P925" i="4"/>
  <c r="P924" i="4"/>
  <c r="P923" i="4"/>
  <c r="P922" i="4"/>
  <c r="P921" i="4"/>
  <c r="P920" i="4"/>
  <c r="P919" i="4"/>
  <c r="P918" i="4"/>
  <c r="P917" i="4"/>
  <c r="P916" i="4"/>
  <c r="P915" i="4"/>
  <c r="P914" i="4"/>
  <c r="P913" i="4"/>
  <c r="P912" i="4"/>
  <c r="P911" i="4"/>
  <c r="P910" i="4"/>
  <c r="P909" i="4"/>
  <c r="P908" i="4"/>
  <c r="P907" i="4"/>
  <c r="P906" i="4"/>
  <c r="P905" i="4"/>
  <c r="P904" i="4"/>
  <c r="P903" i="4"/>
  <c r="P902" i="4"/>
  <c r="P901" i="4"/>
  <c r="P900" i="4"/>
  <c r="P899" i="4"/>
  <c r="P898" i="4"/>
  <c r="P897" i="4"/>
  <c r="P896" i="4"/>
  <c r="P895" i="4"/>
  <c r="P894" i="4"/>
  <c r="P893" i="4"/>
  <c r="P892" i="4"/>
  <c r="P891" i="4"/>
  <c r="P890" i="4"/>
  <c r="P889" i="4"/>
  <c r="P888" i="4"/>
  <c r="P887" i="4"/>
  <c r="P886" i="4"/>
  <c r="P885" i="4"/>
  <c r="P884" i="4"/>
  <c r="P883" i="4"/>
  <c r="P882" i="4"/>
  <c r="P881" i="4"/>
  <c r="P880" i="4"/>
  <c r="P879" i="4"/>
  <c r="P878" i="4"/>
  <c r="P877" i="4"/>
  <c r="P876" i="4"/>
  <c r="P875" i="4"/>
  <c r="P874" i="4"/>
  <c r="P873" i="4"/>
  <c r="P872" i="4"/>
  <c r="P871" i="4"/>
  <c r="P870" i="4"/>
  <c r="P869" i="4"/>
  <c r="P868" i="4"/>
  <c r="P867" i="4"/>
  <c r="P866" i="4"/>
  <c r="P865" i="4"/>
  <c r="P864" i="4"/>
  <c r="P863" i="4"/>
  <c r="P862" i="4"/>
  <c r="P861" i="4"/>
  <c r="P860" i="4"/>
  <c r="P859" i="4"/>
  <c r="P858" i="4"/>
  <c r="P857" i="4"/>
  <c r="P856" i="4"/>
  <c r="P855" i="4"/>
  <c r="P854" i="4"/>
  <c r="P853" i="4"/>
  <c r="P852" i="4"/>
  <c r="P851" i="4"/>
  <c r="P850" i="4"/>
  <c r="P849" i="4"/>
  <c r="P848" i="4"/>
  <c r="P847" i="4"/>
  <c r="P846" i="4"/>
  <c r="P845" i="4"/>
  <c r="P844" i="4"/>
  <c r="P843" i="4"/>
  <c r="P842" i="4"/>
  <c r="P841" i="4"/>
  <c r="P840" i="4"/>
  <c r="P839" i="4"/>
  <c r="P838" i="4"/>
  <c r="P837" i="4"/>
  <c r="P836" i="4"/>
  <c r="P835" i="4"/>
  <c r="P834" i="4"/>
  <c r="P833" i="4"/>
  <c r="P832" i="4"/>
  <c r="P831" i="4"/>
  <c r="P830" i="4"/>
  <c r="P829" i="4"/>
  <c r="P828" i="4"/>
  <c r="P827" i="4"/>
  <c r="P826" i="4"/>
  <c r="P825" i="4"/>
  <c r="P824" i="4"/>
  <c r="P823" i="4"/>
  <c r="P822" i="4"/>
  <c r="P821" i="4"/>
  <c r="P820" i="4"/>
  <c r="P819" i="4"/>
  <c r="P818" i="4"/>
  <c r="P817" i="4"/>
  <c r="P816" i="4"/>
  <c r="P815" i="4"/>
  <c r="P814" i="4"/>
  <c r="P813" i="4"/>
  <c r="P812" i="4"/>
  <c r="P811" i="4"/>
  <c r="P810" i="4"/>
  <c r="P809" i="4"/>
  <c r="P808" i="4"/>
  <c r="P807" i="4"/>
  <c r="P806" i="4"/>
  <c r="P805" i="4"/>
  <c r="P804" i="4"/>
  <c r="P803" i="4"/>
  <c r="P802" i="4"/>
  <c r="P801" i="4"/>
  <c r="P800" i="4"/>
  <c r="P799" i="4"/>
  <c r="P798" i="4"/>
  <c r="P797" i="4"/>
  <c r="P796" i="4"/>
  <c r="P795" i="4"/>
  <c r="P794" i="4"/>
  <c r="P793" i="4"/>
  <c r="P792" i="4"/>
  <c r="P791" i="4"/>
  <c r="P790" i="4"/>
  <c r="P789" i="4"/>
  <c r="P788" i="4"/>
  <c r="P787" i="4"/>
  <c r="P786" i="4"/>
  <c r="P785" i="4"/>
  <c r="P784" i="4"/>
  <c r="P783" i="4"/>
  <c r="P782" i="4"/>
  <c r="P781" i="4"/>
  <c r="P780" i="4"/>
  <c r="P779" i="4"/>
  <c r="P778" i="4"/>
  <c r="P777" i="4"/>
  <c r="P776" i="4"/>
  <c r="P775" i="4"/>
  <c r="P774" i="4"/>
  <c r="P773" i="4"/>
  <c r="P772" i="4"/>
  <c r="P771" i="4"/>
  <c r="P770" i="4"/>
  <c r="P769" i="4"/>
  <c r="P768" i="4"/>
  <c r="P767" i="4"/>
  <c r="P766" i="4"/>
  <c r="P765" i="4"/>
  <c r="P764" i="4"/>
  <c r="P763" i="4"/>
  <c r="P762" i="4"/>
  <c r="P761" i="4"/>
  <c r="P760" i="4"/>
  <c r="P759" i="4"/>
  <c r="P758" i="4"/>
  <c r="P757" i="4"/>
  <c r="P756" i="4"/>
  <c r="P755" i="4"/>
  <c r="P754" i="4"/>
  <c r="P753" i="4"/>
  <c r="P752" i="4"/>
  <c r="P751" i="4"/>
  <c r="P750" i="4"/>
  <c r="P749" i="4"/>
  <c r="P748" i="4"/>
  <c r="P747" i="4"/>
  <c r="P746" i="4"/>
  <c r="P745" i="4"/>
  <c r="P744" i="4"/>
  <c r="P743" i="4"/>
  <c r="P742" i="4"/>
  <c r="P741" i="4"/>
  <c r="P740" i="4"/>
  <c r="P739" i="4"/>
  <c r="P738" i="4"/>
  <c r="P737" i="4"/>
  <c r="P736" i="4"/>
  <c r="P735" i="4"/>
  <c r="P734" i="4"/>
  <c r="P733" i="4"/>
  <c r="P732" i="4"/>
  <c r="P731" i="4"/>
  <c r="P730" i="4"/>
  <c r="P729" i="4"/>
  <c r="P728" i="4"/>
  <c r="P727" i="4"/>
  <c r="P726" i="4"/>
  <c r="P725" i="4"/>
  <c r="P724" i="4"/>
  <c r="P723" i="4"/>
  <c r="P722" i="4"/>
  <c r="P721" i="4"/>
  <c r="P720" i="4"/>
  <c r="P719" i="4"/>
  <c r="P718" i="4"/>
  <c r="P717" i="4"/>
  <c r="P716" i="4"/>
  <c r="P715" i="4"/>
  <c r="P714" i="4"/>
  <c r="P713" i="4"/>
  <c r="P712" i="4"/>
  <c r="P711" i="4"/>
  <c r="P710" i="4"/>
  <c r="P709" i="4"/>
  <c r="P708" i="4"/>
  <c r="P707" i="4"/>
  <c r="P706" i="4"/>
  <c r="P705" i="4"/>
  <c r="P704" i="4"/>
  <c r="P703" i="4"/>
  <c r="P702" i="4"/>
  <c r="P701" i="4"/>
  <c r="P700" i="4"/>
  <c r="P699" i="4"/>
  <c r="P698" i="4"/>
  <c r="P697" i="4"/>
  <c r="P696" i="4"/>
  <c r="P695" i="4"/>
  <c r="P694" i="4"/>
  <c r="P693" i="4"/>
  <c r="P692" i="4"/>
  <c r="P691" i="4"/>
  <c r="P690" i="4"/>
  <c r="P689" i="4"/>
  <c r="P688" i="4"/>
  <c r="P687" i="4"/>
  <c r="P686" i="4"/>
  <c r="P685" i="4"/>
  <c r="P684" i="4"/>
  <c r="P683" i="4"/>
  <c r="P682" i="4"/>
  <c r="P681" i="4"/>
  <c r="P680" i="4"/>
  <c r="P679" i="4"/>
  <c r="P678" i="4"/>
  <c r="P677" i="4"/>
  <c r="P676" i="4"/>
  <c r="P675" i="4"/>
  <c r="P674" i="4"/>
  <c r="P673" i="4"/>
  <c r="P672" i="4"/>
  <c r="P671" i="4"/>
  <c r="P670" i="4"/>
  <c r="P669" i="4"/>
  <c r="P668" i="4"/>
  <c r="P667" i="4"/>
  <c r="P666" i="4"/>
  <c r="P665" i="4"/>
  <c r="P664" i="4"/>
  <c r="P663" i="4"/>
  <c r="P662" i="4"/>
  <c r="P661" i="4"/>
  <c r="P660" i="4"/>
  <c r="P659" i="4"/>
  <c r="P658" i="4"/>
  <c r="P657" i="4"/>
  <c r="P656" i="4"/>
  <c r="P655" i="4"/>
  <c r="P654" i="4"/>
  <c r="P653" i="4"/>
  <c r="P652" i="4"/>
  <c r="P651" i="4"/>
  <c r="P650" i="4"/>
  <c r="P649" i="4"/>
  <c r="P648" i="4"/>
  <c r="P647" i="4"/>
  <c r="P646" i="4"/>
  <c r="P645" i="4"/>
  <c r="P644" i="4"/>
  <c r="P643" i="4"/>
  <c r="P642" i="4"/>
  <c r="P641" i="4"/>
  <c r="P640" i="4"/>
  <c r="P639" i="4"/>
  <c r="P638" i="4"/>
  <c r="P637" i="4"/>
  <c r="P636" i="4"/>
  <c r="P635" i="4"/>
  <c r="P634" i="4"/>
  <c r="P633" i="4"/>
  <c r="P632" i="4"/>
  <c r="P631" i="4"/>
  <c r="P630" i="4"/>
  <c r="P629" i="4"/>
  <c r="P628" i="4"/>
  <c r="P627" i="4"/>
  <c r="P626" i="4"/>
  <c r="P625" i="4"/>
  <c r="P624" i="4"/>
  <c r="P623" i="4"/>
  <c r="P622" i="4"/>
  <c r="P621" i="4"/>
  <c r="P620" i="4"/>
  <c r="P619" i="4"/>
  <c r="P618" i="4"/>
  <c r="P617" i="4"/>
  <c r="P616" i="4"/>
  <c r="P615" i="4"/>
  <c r="P614" i="4"/>
  <c r="P613" i="4"/>
  <c r="P612" i="4"/>
  <c r="P611" i="4"/>
  <c r="P610" i="4"/>
  <c r="P609" i="4"/>
  <c r="P608" i="4"/>
  <c r="P607" i="4"/>
  <c r="P606" i="4"/>
  <c r="P605" i="4"/>
  <c r="P604" i="4"/>
  <c r="P603" i="4"/>
  <c r="P602" i="4"/>
  <c r="P601" i="4"/>
  <c r="P600" i="4"/>
  <c r="P599" i="4"/>
  <c r="P598" i="4"/>
  <c r="P597" i="4"/>
  <c r="P596" i="4"/>
  <c r="P595" i="4"/>
  <c r="P594" i="4"/>
  <c r="P593" i="4"/>
  <c r="P592" i="4"/>
  <c r="P591" i="4"/>
  <c r="P590" i="4"/>
  <c r="P589" i="4"/>
  <c r="P588" i="4"/>
  <c r="P587" i="4"/>
  <c r="P586" i="4"/>
  <c r="P585" i="4"/>
  <c r="P584" i="4"/>
  <c r="P583" i="4"/>
  <c r="P582" i="4"/>
  <c r="P581" i="4"/>
  <c r="P580" i="4"/>
  <c r="P579" i="4"/>
  <c r="P578" i="4"/>
  <c r="P577" i="4"/>
  <c r="P576" i="4"/>
  <c r="P575" i="4"/>
  <c r="P574" i="4"/>
  <c r="P573" i="4"/>
  <c r="P572" i="4"/>
  <c r="P571" i="4"/>
  <c r="P570" i="4"/>
  <c r="P569" i="4"/>
  <c r="P568" i="4"/>
  <c r="P567" i="4"/>
  <c r="P566" i="4"/>
  <c r="P565" i="4"/>
  <c r="P564" i="4"/>
  <c r="P563" i="4"/>
  <c r="P562" i="4"/>
  <c r="P561" i="4"/>
  <c r="P560" i="4"/>
  <c r="P559" i="4"/>
  <c r="P558" i="4"/>
  <c r="P557" i="4"/>
  <c r="P556" i="4"/>
  <c r="P555" i="4"/>
  <c r="P554" i="4"/>
  <c r="P553" i="4"/>
  <c r="P552" i="4"/>
  <c r="P551" i="4"/>
  <c r="P550" i="4"/>
  <c r="P549" i="4"/>
  <c r="P548" i="4"/>
  <c r="P547" i="4"/>
  <c r="P546" i="4"/>
  <c r="P545" i="4"/>
  <c r="P544" i="4"/>
  <c r="P543" i="4"/>
  <c r="P542" i="4"/>
  <c r="P541" i="4"/>
  <c r="P540" i="4"/>
  <c r="P539" i="4"/>
  <c r="P538" i="4"/>
  <c r="P537" i="4"/>
  <c r="P536" i="4"/>
  <c r="P535" i="4"/>
  <c r="P534" i="4"/>
  <c r="P533" i="4"/>
  <c r="P532" i="4"/>
  <c r="P531" i="4"/>
  <c r="P530" i="4"/>
  <c r="P529" i="4"/>
  <c r="P528" i="4"/>
  <c r="P527" i="4"/>
  <c r="P526" i="4"/>
  <c r="P525" i="4"/>
  <c r="P524" i="4"/>
  <c r="P523" i="4"/>
  <c r="P522" i="4"/>
  <c r="P521" i="4"/>
  <c r="P520" i="4"/>
  <c r="P519" i="4"/>
  <c r="P518" i="4"/>
  <c r="P517" i="4"/>
  <c r="P516" i="4"/>
  <c r="P515" i="4"/>
  <c r="P514" i="4"/>
  <c r="P513" i="4"/>
  <c r="P512" i="4"/>
  <c r="P511" i="4"/>
  <c r="P510" i="4"/>
  <c r="P509" i="4"/>
  <c r="P508" i="4"/>
  <c r="P507" i="4"/>
  <c r="P506" i="4"/>
  <c r="P505" i="4"/>
  <c r="P504" i="4"/>
  <c r="P503" i="4"/>
  <c r="P502" i="4"/>
  <c r="P501" i="4"/>
  <c r="P500" i="4"/>
  <c r="P499" i="4"/>
  <c r="P498" i="4"/>
  <c r="P497" i="4"/>
  <c r="P496" i="4"/>
  <c r="P495" i="4"/>
  <c r="P494" i="4"/>
  <c r="P493" i="4"/>
  <c r="P492" i="4"/>
  <c r="P491" i="4"/>
  <c r="P490" i="4"/>
  <c r="P489" i="4"/>
  <c r="P488" i="4"/>
  <c r="P487" i="4"/>
  <c r="P486" i="4"/>
  <c r="P485" i="4"/>
  <c r="P484" i="4"/>
  <c r="P483" i="4"/>
  <c r="P482" i="4"/>
  <c r="P481" i="4"/>
  <c r="P480" i="4"/>
  <c r="P479" i="4"/>
  <c r="P478" i="4"/>
  <c r="P477" i="4"/>
  <c r="P476" i="4"/>
  <c r="P475" i="4"/>
  <c r="P474" i="4"/>
  <c r="P473" i="4"/>
  <c r="P472" i="4"/>
  <c r="P471" i="4"/>
  <c r="P470" i="4"/>
  <c r="P469" i="4"/>
  <c r="P468" i="4"/>
  <c r="P467" i="4"/>
  <c r="P466" i="4"/>
  <c r="P465" i="4"/>
  <c r="P464" i="4"/>
  <c r="P463" i="4"/>
  <c r="P462" i="4"/>
  <c r="P461" i="4"/>
  <c r="P460" i="4"/>
  <c r="P459" i="4"/>
  <c r="P458" i="4"/>
  <c r="P457" i="4"/>
  <c r="P456" i="4"/>
  <c r="P455" i="4"/>
  <c r="P454" i="4"/>
  <c r="P453" i="4"/>
  <c r="P452" i="4"/>
  <c r="P451" i="4"/>
  <c r="P450" i="4"/>
  <c r="P449" i="4"/>
  <c r="P448" i="4"/>
  <c r="P447" i="4"/>
  <c r="P446" i="4"/>
  <c r="P445" i="4"/>
  <c r="P444" i="4"/>
  <c r="P443" i="4"/>
  <c r="P442" i="4"/>
  <c r="P441" i="4"/>
  <c r="P440" i="4"/>
  <c r="P439" i="4"/>
  <c r="P438" i="4"/>
  <c r="P437" i="4"/>
  <c r="P436" i="4"/>
  <c r="P435" i="4"/>
  <c r="P434" i="4"/>
  <c r="P433" i="4"/>
  <c r="P432" i="4"/>
  <c r="P431" i="4"/>
  <c r="P430" i="4"/>
  <c r="P429" i="4"/>
  <c r="P428" i="4"/>
  <c r="P427" i="4"/>
  <c r="P426" i="4"/>
  <c r="P425" i="4"/>
  <c r="P424" i="4"/>
  <c r="P423" i="4"/>
  <c r="P422" i="4"/>
  <c r="P421" i="4"/>
  <c r="P420" i="4"/>
  <c r="P419" i="4"/>
  <c r="P418" i="4"/>
  <c r="P417" i="4"/>
  <c r="P416" i="4"/>
  <c r="P415" i="4"/>
  <c r="P414" i="4"/>
  <c r="P413" i="4"/>
  <c r="P412" i="4"/>
  <c r="P411" i="4"/>
  <c r="P410" i="4"/>
  <c r="P409" i="4"/>
  <c r="P408" i="4"/>
  <c r="P407" i="4"/>
  <c r="P406" i="4"/>
  <c r="P405" i="4"/>
  <c r="P404" i="4"/>
  <c r="P403" i="4"/>
  <c r="P402" i="4"/>
  <c r="P401" i="4"/>
  <c r="P400" i="4"/>
  <c r="P399" i="4"/>
  <c r="P398" i="4"/>
  <c r="P397" i="4"/>
  <c r="P396" i="4"/>
  <c r="P395" i="4"/>
  <c r="P394" i="4"/>
  <c r="P393" i="4"/>
  <c r="P392" i="4"/>
  <c r="P391" i="4"/>
  <c r="P390" i="4"/>
  <c r="P389" i="4"/>
  <c r="P388" i="4"/>
  <c r="P387" i="4"/>
  <c r="P386" i="4"/>
  <c r="P385" i="4"/>
  <c r="P384" i="4"/>
  <c r="P383" i="4"/>
  <c r="P382" i="4"/>
  <c r="P381" i="4"/>
  <c r="P380" i="4"/>
  <c r="P379" i="4"/>
  <c r="P378" i="4"/>
  <c r="P377" i="4"/>
  <c r="P376" i="4"/>
  <c r="P375" i="4"/>
  <c r="P374" i="4"/>
  <c r="P373" i="4"/>
  <c r="P372" i="4"/>
  <c r="P371" i="4"/>
  <c r="P370" i="4"/>
  <c r="P369" i="4"/>
  <c r="P368" i="4"/>
  <c r="P367" i="4"/>
  <c r="P366" i="4"/>
  <c r="P365" i="4"/>
  <c r="P364" i="4"/>
  <c r="P363" i="4"/>
  <c r="P362" i="4"/>
  <c r="P361" i="4"/>
  <c r="P360" i="4"/>
  <c r="P359" i="4"/>
  <c r="P358" i="4"/>
  <c r="P357" i="4"/>
  <c r="P356" i="4"/>
  <c r="P355" i="4"/>
  <c r="P354" i="4"/>
  <c r="P353" i="4"/>
  <c r="P352" i="4"/>
  <c r="P351" i="4"/>
  <c r="P350" i="4"/>
  <c r="P349" i="4"/>
  <c r="P348" i="4"/>
  <c r="P347" i="4"/>
  <c r="P346" i="4"/>
  <c r="P345" i="4"/>
  <c r="P344" i="4"/>
  <c r="P343" i="4"/>
  <c r="P342" i="4"/>
  <c r="P341" i="4"/>
  <c r="P340" i="4"/>
  <c r="P339" i="4"/>
  <c r="P338" i="4"/>
  <c r="P337" i="4"/>
  <c r="P336" i="4"/>
  <c r="P335" i="4"/>
  <c r="P334" i="4"/>
  <c r="P333" i="4"/>
  <c r="P332" i="4"/>
  <c r="P331" i="4"/>
  <c r="P330" i="4"/>
  <c r="P329" i="4"/>
  <c r="P328" i="4"/>
  <c r="P327" i="4"/>
  <c r="P326" i="4"/>
  <c r="P325" i="4"/>
  <c r="P324" i="4"/>
  <c r="P323" i="4"/>
  <c r="P322" i="4"/>
  <c r="P321" i="4"/>
  <c r="P320" i="4"/>
  <c r="P319" i="4"/>
  <c r="P318" i="4"/>
  <c r="P317" i="4"/>
  <c r="P316" i="4"/>
  <c r="P315" i="4"/>
  <c r="P314" i="4"/>
  <c r="P313" i="4"/>
  <c r="P312" i="4"/>
  <c r="P311" i="4"/>
  <c r="P310" i="4"/>
  <c r="P309" i="4"/>
  <c r="P308" i="4"/>
  <c r="P307" i="4"/>
  <c r="P306" i="4"/>
  <c r="P305" i="4"/>
  <c r="P304" i="4"/>
  <c r="P303" i="4"/>
  <c r="P302" i="4"/>
  <c r="P301" i="4"/>
  <c r="P300" i="4"/>
  <c r="P299" i="4"/>
  <c r="P298" i="4"/>
  <c r="P297" i="4"/>
  <c r="P296" i="4"/>
  <c r="P295" i="4"/>
  <c r="P294" i="4"/>
  <c r="P293" i="4"/>
  <c r="P292" i="4"/>
  <c r="P291" i="4"/>
  <c r="P290" i="4"/>
  <c r="P289" i="4"/>
  <c r="P288" i="4"/>
  <c r="P287" i="4"/>
  <c r="P286" i="4"/>
  <c r="P285" i="4"/>
  <c r="P284" i="4"/>
  <c r="P283" i="4"/>
  <c r="P282" i="4"/>
  <c r="P281" i="4"/>
  <c r="P280" i="4"/>
  <c r="P279" i="4"/>
  <c r="P278" i="4"/>
  <c r="P277" i="4"/>
  <c r="P276" i="4"/>
  <c r="P275" i="4"/>
  <c r="P274" i="4"/>
  <c r="P273" i="4"/>
  <c r="P272" i="4"/>
  <c r="P271" i="4"/>
  <c r="P270" i="4"/>
  <c r="P269" i="4"/>
  <c r="P268" i="4"/>
  <c r="P267" i="4"/>
  <c r="P266" i="4"/>
  <c r="P265" i="4"/>
  <c r="P264" i="4"/>
  <c r="P263" i="4"/>
  <c r="P262" i="4"/>
  <c r="P261" i="4"/>
  <c r="P260" i="4"/>
  <c r="P259" i="4"/>
  <c r="P258" i="4"/>
  <c r="P257" i="4"/>
  <c r="P256" i="4"/>
  <c r="P255" i="4"/>
  <c r="P254" i="4"/>
  <c r="P253" i="4"/>
  <c r="P252" i="4"/>
  <c r="P251" i="4"/>
  <c r="P250" i="4"/>
  <c r="P249" i="4"/>
  <c r="P248" i="4"/>
  <c r="P247" i="4"/>
  <c r="P246" i="4"/>
  <c r="P245" i="4"/>
  <c r="P244" i="4"/>
  <c r="P243" i="4"/>
  <c r="P242" i="4"/>
  <c r="P241" i="4"/>
  <c r="P240" i="4"/>
  <c r="P239" i="4"/>
  <c r="P238" i="4"/>
  <c r="P237" i="4"/>
  <c r="P236" i="4"/>
  <c r="P235" i="4"/>
  <c r="P234" i="4"/>
  <c r="P233" i="4"/>
  <c r="P232" i="4"/>
  <c r="P231" i="4"/>
  <c r="P230" i="4"/>
  <c r="P229" i="4"/>
  <c r="P228" i="4"/>
  <c r="P227" i="4"/>
  <c r="P226" i="4"/>
  <c r="P225" i="4"/>
  <c r="P224" i="4"/>
  <c r="P223" i="4"/>
  <c r="P222" i="4"/>
  <c r="P221" i="4"/>
  <c r="P220" i="4"/>
  <c r="P219" i="4"/>
  <c r="P218" i="4"/>
  <c r="P217" i="4"/>
  <c r="P216" i="4"/>
  <c r="P215" i="4"/>
  <c r="P214" i="4"/>
  <c r="P213" i="4"/>
  <c r="P212" i="4"/>
  <c r="P211" i="4"/>
  <c r="P210" i="4"/>
  <c r="P209" i="4"/>
  <c r="P208" i="4"/>
  <c r="P207" i="4"/>
  <c r="P206" i="4"/>
  <c r="P205" i="4"/>
  <c r="P204" i="4"/>
  <c r="P203" i="4"/>
  <c r="P202" i="4"/>
  <c r="P201" i="4"/>
  <c r="P200" i="4"/>
  <c r="P199" i="4"/>
  <c r="P198" i="4"/>
  <c r="P197" i="4"/>
  <c r="P196" i="4"/>
  <c r="P195" i="4"/>
  <c r="P194" i="4"/>
  <c r="P193" i="4"/>
  <c r="P192" i="4"/>
  <c r="P191" i="4"/>
  <c r="P190" i="4"/>
  <c r="P189" i="4"/>
  <c r="P188" i="4"/>
  <c r="P187" i="4"/>
  <c r="P186" i="4"/>
  <c r="P185" i="4"/>
  <c r="P184" i="4"/>
  <c r="P183" i="4"/>
  <c r="P182" i="4"/>
  <c r="P181" i="4"/>
  <c r="P180" i="4"/>
  <c r="P179" i="4"/>
  <c r="P178" i="4"/>
  <c r="P177" i="4"/>
  <c r="P176" i="4"/>
  <c r="P175" i="4"/>
  <c r="P174" i="4"/>
  <c r="P173" i="4"/>
  <c r="P172" i="4"/>
  <c r="P171" i="4"/>
  <c r="P170" i="4"/>
  <c r="P169" i="4"/>
  <c r="P168" i="4"/>
  <c r="P167" i="4"/>
  <c r="P166" i="4"/>
  <c r="P165" i="4"/>
  <c r="P164" i="4"/>
  <c r="P163" i="4"/>
  <c r="P162" i="4"/>
  <c r="P161" i="4"/>
  <c r="P160" i="4"/>
  <c r="P159" i="4"/>
  <c r="P158" i="4"/>
  <c r="P157" i="4"/>
  <c r="P156" i="4"/>
  <c r="P155" i="4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P5" i="4"/>
  <c r="P4" i="4"/>
  <c r="P3" i="4"/>
  <c r="D3" i="6"/>
  <c r="E3" i="6" s="1"/>
  <c r="F3" i="6" s="1"/>
  <c r="G3" i="6" s="1"/>
  <c r="H3" i="6" s="1"/>
  <c r="I3" i="6" s="1"/>
  <c r="J3" i="6" s="1"/>
  <c r="K3" i="6" s="1"/>
  <c r="L3" i="6" s="1"/>
  <c r="M3" i="6" s="1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E3" i="6" s="1"/>
  <c r="AF3" i="6" s="1"/>
  <c r="AG3" i="6" s="1"/>
  <c r="AH3" i="6" s="1"/>
  <c r="AI3" i="6" s="1"/>
  <c r="AJ3" i="6" s="1"/>
  <c r="AK3" i="6" s="1"/>
  <c r="AL3" i="6" s="1"/>
  <c r="AM3" i="6" s="1"/>
  <c r="AN3" i="6" s="1"/>
  <c r="AO3" i="6" s="1"/>
  <c r="AP3" i="6" s="1"/>
  <c r="AQ3" i="6" s="1"/>
  <c r="AR3" i="6" s="1"/>
  <c r="AS3" i="6" s="1"/>
  <c r="AT3" i="6" s="1"/>
  <c r="AU3" i="6" s="1"/>
  <c r="AV3" i="6" s="1"/>
  <c r="AW3" i="6" s="1"/>
  <c r="AX3" i="6" s="1"/>
  <c r="AY3" i="6" s="1"/>
  <c r="AZ3" i="6" s="1"/>
  <c r="BA3" i="6" s="1"/>
  <c r="BB3" i="6" s="1"/>
  <c r="BC3" i="6" s="1"/>
  <c r="BD3" i="6" s="1"/>
  <c r="BE3" i="6" s="1"/>
  <c r="BF3" i="6" s="1"/>
  <c r="BG3" i="6" s="1"/>
  <c r="BH3" i="6" s="1"/>
  <c r="BI3" i="6" s="1"/>
  <c r="BJ3" i="6" s="1"/>
  <c r="BK3" i="6" s="1"/>
  <c r="BL3" i="6" s="1"/>
  <c r="BM3" i="6" s="1"/>
  <c r="BN3" i="6" s="1"/>
  <c r="BO3" i="6" s="1"/>
  <c r="BP3" i="6" s="1"/>
  <c r="BQ3" i="6" s="1"/>
  <c r="BR3" i="6" s="1"/>
  <c r="BS3" i="6" s="1"/>
  <c r="BT3" i="6" s="1"/>
  <c r="BU3" i="6" s="1"/>
  <c r="BV3" i="6" s="1"/>
  <c r="BW3" i="6" s="1"/>
  <c r="BX3" i="6" s="1"/>
  <c r="BY3" i="6" s="1"/>
  <c r="BZ3" i="6" s="1"/>
  <c r="CA3" i="6" s="1"/>
  <c r="CB3" i="6" s="1"/>
  <c r="CC3" i="6" s="1"/>
  <c r="CD3" i="6" s="1"/>
  <c r="CE3" i="6" s="1"/>
  <c r="CF3" i="6" s="1"/>
  <c r="CG3" i="6" s="1"/>
  <c r="CH3" i="6" s="1"/>
  <c r="CI3" i="6" s="1"/>
  <c r="CJ3" i="6" s="1"/>
  <c r="CK3" i="6" s="1"/>
  <c r="CL3" i="6" s="1"/>
  <c r="CM3" i="6" s="1"/>
  <c r="CN3" i="6" s="1"/>
  <c r="C3" i="6"/>
  <c r="M436" i="4" a="1"/>
  <c r="M436" i="4" s="1"/>
  <c r="O436" i="4" s="1"/>
  <c r="M481" i="4" a="1"/>
  <c r="M481" i="4" s="1"/>
  <c r="O481" i="4" s="1"/>
  <c r="M497" i="4" a="1"/>
  <c r="M497" i="4" s="1"/>
  <c r="O497" i="4" s="1"/>
  <c r="M513" i="4" a="1"/>
  <c r="M513" i="4" s="1"/>
  <c r="O513" i="4" s="1"/>
  <c r="M529" i="4" a="1"/>
  <c r="M529" i="4" s="1"/>
  <c r="O529" i="4" s="1"/>
  <c r="M545" i="4" a="1"/>
  <c r="M545" i="4" s="1"/>
  <c r="O545" i="4" s="1"/>
  <c r="M561" i="4" a="1"/>
  <c r="M561" i="4" s="1"/>
  <c r="O561" i="4" s="1"/>
  <c r="M577" i="4" a="1"/>
  <c r="M577" i="4" s="1"/>
  <c r="O577" i="4" s="1"/>
  <c r="M609" i="4" a="1"/>
  <c r="M609" i="4" s="1"/>
  <c r="O609" i="4" s="1"/>
  <c r="M625" i="4" a="1"/>
  <c r="M625" i="4" s="1"/>
  <c r="O625" i="4" s="1"/>
  <c r="M641" i="4" a="1"/>
  <c r="M641" i="4" s="1"/>
  <c r="O641" i="4" s="1"/>
  <c r="M657" i="4" a="1"/>
  <c r="M657" i="4" s="1"/>
  <c r="O657" i="4" s="1"/>
  <c r="M748" i="4" a="1"/>
  <c r="M748" i="4" s="1"/>
  <c r="O748" i="4" s="1"/>
  <c r="M824" i="4" a="1"/>
  <c r="M824" i="4" s="1"/>
  <c r="O824" i="4" s="1"/>
  <c r="M837" i="4" a="1"/>
  <c r="M837" i="4" s="1"/>
  <c r="O837" i="4" s="1"/>
  <c r="M840" i="4" a="1"/>
  <c r="M840" i="4" s="1"/>
  <c r="O840" i="4" s="1"/>
  <c r="M872" i="4" a="1"/>
  <c r="M872" i="4" s="1"/>
  <c r="O872" i="4" s="1"/>
  <c r="M888" i="4" a="1"/>
  <c r="M888" i="4" s="1"/>
  <c r="O888" i="4" s="1"/>
  <c r="M901" i="4" a="1"/>
  <c r="M901" i="4" s="1"/>
  <c r="O901" i="4" s="1"/>
  <c r="M904" i="4" a="1"/>
  <c r="M904" i="4" s="1"/>
  <c r="O904" i="4" s="1"/>
  <c r="M918" i="4" a="1"/>
  <c r="M918" i="4" s="1"/>
  <c r="O918" i="4" s="1"/>
  <c r="M920" i="4" a="1"/>
  <c r="M920" i="4" s="1"/>
  <c r="O920" i="4" s="1"/>
  <c r="M936" i="4" a="1"/>
  <c r="M936" i="4" s="1"/>
  <c r="O936" i="4" s="1"/>
  <c r="M952" i="4" a="1"/>
  <c r="M952" i="4" s="1"/>
  <c r="O952" i="4" s="1"/>
  <c r="M968" i="4" a="1"/>
  <c r="M968" i="4" s="1"/>
  <c r="O968" i="4" s="1"/>
  <c r="M984" i="4" a="1"/>
  <c r="M984" i="4" s="1"/>
  <c r="O984" i="4" s="1"/>
  <c r="M998" i="4" a="1"/>
  <c r="M998" i="4" s="1"/>
  <c r="O998" i="4" s="1"/>
  <c r="M1000" i="4" a="1"/>
  <c r="M1000" i="4" s="1"/>
  <c r="O1000" i="4" s="1"/>
  <c r="M1016" i="4" a="1"/>
  <c r="M1016" i="4" s="1"/>
  <c r="O1016" i="4" s="1"/>
  <c r="M1032" i="4" a="1"/>
  <c r="M1032" i="4" s="1"/>
  <c r="O1032" i="4" s="1"/>
  <c r="M1034" i="4" a="1"/>
  <c r="M1034" i="4" s="1"/>
  <c r="O1034" i="4" s="1"/>
  <c r="M1048" i="4" a="1"/>
  <c r="M1048" i="4" s="1"/>
  <c r="O1048" i="4" s="1"/>
  <c r="M1062" i="4" a="1"/>
  <c r="M1062" i="4" s="1"/>
  <c r="O1062" i="4" s="1"/>
  <c r="M1064" i="4" a="1"/>
  <c r="M1064" i="4" s="1"/>
  <c r="O1064" i="4" s="1"/>
  <c r="M1080" i="4" a="1"/>
  <c r="M1080" i="4" s="1"/>
  <c r="O1080" i="4" s="1"/>
  <c r="M1096" i="4" a="1"/>
  <c r="M1096" i="4" s="1"/>
  <c r="O1096" i="4" s="1"/>
  <c r="M1112" i="4" a="1"/>
  <c r="M1112" i="4" s="1"/>
  <c r="O1112" i="4" s="1"/>
  <c r="M1126" i="4" a="1"/>
  <c r="M1126" i="4" s="1"/>
  <c r="O1126" i="4" s="1"/>
  <c r="M1128" i="4" a="1"/>
  <c r="M1128" i="4" s="1"/>
  <c r="O1128" i="4" s="1"/>
  <c r="M1144" i="4" a="1"/>
  <c r="M1144" i="4" s="1"/>
  <c r="O1144" i="4" s="1"/>
  <c r="M1160" i="4" a="1"/>
  <c r="M1160" i="4" s="1"/>
  <c r="O1160" i="4" s="1"/>
  <c r="M1162" i="4" a="1"/>
  <c r="M1162" i="4" s="1"/>
  <c r="O1162" i="4" s="1"/>
  <c r="M1176" i="4" a="1"/>
  <c r="M1176" i="4" s="1"/>
  <c r="O1176" i="4" s="1"/>
  <c r="M1178" i="4" a="1"/>
  <c r="M1178" i="4" s="1"/>
  <c r="O1178" i="4" s="1"/>
  <c r="M1190" i="4" a="1"/>
  <c r="M1190" i="4" s="1"/>
  <c r="O1190" i="4" s="1"/>
  <c r="M1192" i="4" a="1"/>
  <c r="M1192" i="4" s="1"/>
  <c r="O1192" i="4" s="1"/>
  <c r="M1208" i="4" a="1"/>
  <c r="M1208" i="4" s="1"/>
  <c r="O1208" i="4" s="1"/>
  <c r="M1224" i="4" a="1"/>
  <c r="M1224" i="4" s="1"/>
  <c r="O1224" i="4" s="1"/>
  <c r="M1240" i="4" a="1"/>
  <c r="M1240" i="4" s="1"/>
  <c r="O1240" i="4" s="1"/>
  <c r="M1251" i="4" a="1"/>
  <c r="M1251" i="4" s="1"/>
  <c r="O1251" i="4" s="1"/>
  <c r="M1265" i="4" a="1"/>
  <c r="M1265" i="4" s="1"/>
  <c r="O1265" i="4" s="1"/>
  <c r="M1276" i="4" a="1"/>
  <c r="M1276" i="4" s="1"/>
  <c r="O1276" i="4" s="1"/>
  <c r="M1278" i="4" a="1"/>
  <c r="M1278" i="4" s="1"/>
  <c r="O1278" i="4" s="1"/>
  <c r="M1279" i="4" a="1"/>
  <c r="M1279" i="4" s="1"/>
  <c r="O1279" i="4" s="1"/>
  <c r="M1287" i="4" a="1"/>
  <c r="M1287" i="4"/>
  <c r="O1287" i="4" s="1"/>
  <c r="M1289" i="4" a="1"/>
  <c r="M1289" i="4" s="1"/>
  <c r="O1289" i="4" s="1"/>
  <c r="M1299" i="4" a="1"/>
  <c r="M1299" i="4"/>
  <c r="O1299" i="4" s="1"/>
  <c r="M1303" i="4" a="1"/>
  <c r="M1303" i="4" s="1"/>
  <c r="O1303" i="4" s="1"/>
  <c r="M1313" i="4" a="1"/>
  <c r="M1313" i="4" s="1"/>
  <c r="O1313" i="4" s="1"/>
  <c r="M1314" i="4" a="1"/>
  <c r="M1314" i="4" s="1"/>
  <c r="O1314" i="4" s="1"/>
  <c r="M1326" i="4" a="1"/>
  <c r="M1326" i="4" s="1"/>
  <c r="O1326" i="4" s="1"/>
  <c r="M1329" i="4" a="1"/>
  <c r="M1329" i="4" s="1"/>
  <c r="O1329" i="4" s="1"/>
  <c r="M1331" i="4" a="1"/>
  <c r="M1331" i="4" s="1"/>
  <c r="O1331" i="4" s="1"/>
  <c r="M1341" i="4" a="1"/>
  <c r="M1341" i="4" s="1"/>
  <c r="O1341" i="4" s="1"/>
  <c r="M1342" i="4" a="1"/>
  <c r="M1342" i="4" s="1"/>
  <c r="O1342" i="4" s="1"/>
  <c r="M1345" i="4" a="1"/>
  <c r="M1345" i="4" s="1"/>
  <c r="O1345" i="4" s="1"/>
  <c r="M1356" i="4" a="1"/>
  <c r="M1356" i="4" s="1"/>
  <c r="O1356" i="4" s="1"/>
  <c r="M1357" i="4" a="1"/>
  <c r="M1357" i="4" s="1"/>
  <c r="O1357" i="4" s="1"/>
  <c r="K1362" i="4"/>
  <c r="J1362" i="4"/>
  <c r="I1362" i="4"/>
  <c r="M1362" i="4" s="1" a="1"/>
  <c r="M1362" i="4" s="1"/>
  <c r="O1362" i="4" s="1"/>
  <c r="K1361" i="4"/>
  <c r="J1361" i="4"/>
  <c r="I1361" i="4"/>
  <c r="M1361" i="4" s="1" a="1"/>
  <c r="M1361" i="4" s="1"/>
  <c r="O1361" i="4" s="1"/>
  <c r="K1360" i="4"/>
  <c r="J1360" i="4"/>
  <c r="I1360" i="4"/>
  <c r="M1360" i="4" s="1" a="1"/>
  <c r="M1360" i="4" s="1"/>
  <c r="O1360" i="4" s="1"/>
  <c r="K1359" i="4"/>
  <c r="J1359" i="4"/>
  <c r="I1359" i="4"/>
  <c r="K1358" i="4"/>
  <c r="J1358" i="4"/>
  <c r="I1358" i="4"/>
  <c r="M1358" i="4" s="1" a="1"/>
  <c r="M1358" i="4" s="1"/>
  <c r="O1358" i="4" s="1"/>
  <c r="K1357" i="4"/>
  <c r="J1357" i="4"/>
  <c r="I1357" i="4"/>
  <c r="K1356" i="4"/>
  <c r="J1356" i="4"/>
  <c r="I1356" i="4"/>
  <c r="K1355" i="4"/>
  <c r="J1355" i="4"/>
  <c r="I1355" i="4"/>
  <c r="M1355" i="4" s="1" a="1"/>
  <c r="M1355" i="4" s="1"/>
  <c r="O1355" i="4" s="1"/>
  <c r="K1354" i="4"/>
  <c r="J1354" i="4"/>
  <c r="I1354" i="4"/>
  <c r="K1353" i="4"/>
  <c r="J1353" i="4"/>
  <c r="I1353" i="4"/>
  <c r="K1352" i="4"/>
  <c r="J1352" i="4"/>
  <c r="I1352" i="4"/>
  <c r="M1352" i="4" s="1" a="1"/>
  <c r="M1352" i="4" s="1"/>
  <c r="O1352" i="4" s="1"/>
  <c r="K1351" i="4"/>
  <c r="J1351" i="4"/>
  <c r="I1351" i="4"/>
  <c r="M1351" i="4" s="1" a="1"/>
  <c r="M1351" i="4" s="1"/>
  <c r="O1351" i="4" s="1"/>
  <c r="K1350" i="4"/>
  <c r="J1350" i="4"/>
  <c r="I1350" i="4"/>
  <c r="M1350" i="4" s="1" a="1"/>
  <c r="M1350" i="4" s="1"/>
  <c r="O1350" i="4" s="1"/>
  <c r="K1349" i="4"/>
  <c r="J1349" i="4"/>
  <c r="I1349" i="4"/>
  <c r="M1349" i="4" s="1" a="1"/>
  <c r="M1349" i="4" s="1"/>
  <c r="O1349" i="4" s="1"/>
  <c r="K1348" i="4"/>
  <c r="J1348" i="4"/>
  <c r="I1348" i="4"/>
  <c r="K1347" i="4"/>
  <c r="J1347" i="4"/>
  <c r="I1347" i="4"/>
  <c r="M1347" i="4" s="1" a="1"/>
  <c r="M1347" i="4" s="1"/>
  <c r="O1347" i="4" s="1"/>
  <c r="K1346" i="4"/>
  <c r="J1346" i="4"/>
  <c r="I1346" i="4"/>
  <c r="M1346" i="4" s="1" a="1"/>
  <c r="M1346" i="4" s="1"/>
  <c r="O1346" i="4" s="1"/>
  <c r="K1345" i="4"/>
  <c r="J1345" i="4"/>
  <c r="I1345" i="4"/>
  <c r="K1344" i="4"/>
  <c r="J1344" i="4"/>
  <c r="I1344" i="4"/>
  <c r="M1344" i="4" s="1" a="1"/>
  <c r="M1344" i="4" s="1"/>
  <c r="O1344" i="4" s="1"/>
  <c r="K1343" i="4"/>
  <c r="J1343" i="4"/>
  <c r="I1343" i="4"/>
  <c r="K1342" i="4"/>
  <c r="J1342" i="4"/>
  <c r="I1342" i="4"/>
  <c r="K1341" i="4"/>
  <c r="J1341" i="4"/>
  <c r="I1341" i="4"/>
  <c r="K1340" i="4"/>
  <c r="J1340" i="4"/>
  <c r="I1340" i="4"/>
  <c r="M1340" i="4" s="1" a="1"/>
  <c r="M1340" i="4" s="1"/>
  <c r="O1340" i="4" s="1"/>
  <c r="K1339" i="4"/>
  <c r="J1339" i="4"/>
  <c r="I1339" i="4"/>
  <c r="K1338" i="4"/>
  <c r="J1338" i="4"/>
  <c r="I1338" i="4"/>
  <c r="K1337" i="4"/>
  <c r="J1337" i="4"/>
  <c r="I1337" i="4"/>
  <c r="K1336" i="4"/>
  <c r="J1336" i="4"/>
  <c r="I1336" i="4"/>
  <c r="M1336" i="4" s="1" a="1"/>
  <c r="M1336" i="4" s="1"/>
  <c r="O1336" i="4" s="1"/>
  <c r="K1335" i="4"/>
  <c r="J1335" i="4"/>
  <c r="I1335" i="4"/>
  <c r="M1335" i="4" s="1" a="1"/>
  <c r="M1335" i="4" s="1"/>
  <c r="O1335" i="4" s="1"/>
  <c r="K1334" i="4"/>
  <c r="J1334" i="4"/>
  <c r="I1334" i="4"/>
  <c r="M1334" i="4" s="1" a="1"/>
  <c r="M1334" i="4" s="1"/>
  <c r="O1334" i="4" s="1"/>
  <c r="K1333" i="4"/>
  <c r="J1333" i="4"/>
  <c r="I1333" i="4"/>
  <c r="M1333" i="4" s="1" a="1"/>
  <c r="M1333" i="4" s="1"/>
  <c r="O1333" i="4" s="1"/>
  <c r="K1332" i="4"/>
  <c r="J1332" i="4"/>
  <c r="I1332" i="4"/>
  <c r="K1331" i="4"/>
  <c r="J1331" i="4"/>
  <c r="I1331" i="4"/>
  <c r="K1330" i="4"/>
  <c r="J1330" i="4"/>
  <c r="I1330" i="4"/>
  <c r="M1330" i="4" s="1" a="1"/>
  <c r="M1330" i="4" s="1"/>
  <c r="O1330" i="4" s="1"/>
  <c r="K1329" i="4"/>
  <c r="J1329" i="4"/>
  <c r="I1329" i="4"/>
  <c r="K1328" i="4"/>
  <c r="J1328" i="4"/>
  <c r="I1328" i="4"/>
  <c r="M1328" i="4" s="1" a="1"/>
  <c r="M1328" i="4" s="1"/>
  <c r="O1328" i="4" s="1"/>
  <c r="K1327" i="4"/>
  <c r="J1327" i="4"/>
  <c r="I1327" i="4"/>
  <c r="K1326" i="4"/>
  <c r="J1326" i="4"/>
  <c r="I1326" i="4"/>
  <c r="K1325" i="4"/>
  <c r="J1325" i="4"/>
  <c r="I1325" i="4"/>
  <c r="M1325" i="4" s="1" a="1"/>
  <c r="M1325" i="4" s="1"/>
  <c r="O1325" i="4" s="1"/>
  <c r="K1324" i="4"/>
  <c r="J1324" i="4"/>
  <c r="I1324" i="4"/>
  <c r="M1324" i="4" s="1" a="1"/>
  <c r="M1324" i="4" s="1"/>
  <c r="O1324" i="4" s="1"/>
  <c r="K1323" i="4"/>
  <c r="J1323" i="4"/>
  <c r="I1323" i="4"/>
  <c r="K1322" i="4"/>
  <c r="J1322" i="4"/>
  <c r="I1322" i="4"/>
  <c r="K1321" i="4"/>
  <c r="J1321" i="4"/>
  <c r="I1321" i="4"/>
  <c r="K1320" i="4"/>
  <c r="J1320" i="4"/>
  <c r="I1320" i="4"/>
  <c r="M1320" i="4" s="1" a="1"/>
  <c r="M1320" i="4" s="1"/>
  <c r="O1320" i="4" s="1"/>
  <c r="K1319" i="4"/>
  <c r="J1319" i="4"/>
  <c r="I1319" i="4"/>
  <c r="M1319" i="4" s="1" a="1"/>
  <c r="M1319" i="4" s="1"/>
  <c r="O1319" i="4" s="1"/>
  <c r="K1318" i="4"/>
  <c r="J1318" i="4"/>
  <c r="I1318" i="4"/>
  <c r="M1318" i="4" s="1" a="1"/>
  <c r="M1318" i="4" s="1"/>
  <c r="O1318" i="4" s="1"/>
  <c r="K1317" i="4"/>
  <c r="J1317" i="4"/>
  <c r="I1317" i="4"/>
  <c r="M1317" i="4" s="1" a="1"/>
  <c r="M1317" i="4" s="1"/>
  <c r="O1317" i="4" s="1"/>
  <c r="K1316" i="4"/>
  <c r="J1316" i="4"/>
  <c r="M1316" i="4" s="1" a="1"/>
  <c r="M1316" i="4" s="1"/>
  <c r="O1316" i="4" s="1"/>
  <c r="I1316" i="4"/>
  <c r="K1315" i="4"/>
  <c r="J1315" i="4"/>
  <c r="I1315" i="4"/>
  <c r="M1315" i="4" s="1" a="1"/>
  <c r="M1315" i="4" s="1"/>
  <c r="O1315" i="4" s="1"/>
  <c r="K1314" i="4"/>
  <c r="J1314" i="4"/>
  <c r="I1314" i="4"/>
  <c r="K1313" i="4"/>
  <c r="J1313" i="4"/>
  <c r="I1313" i="4"/>
  <c r="K1312" i="4"/>
  <c r="J1312" i="4"/>
  <c r="M1312" i="4" s="1" a="1"/>
  <c r="M1312" i="4" s="1"/>
  <c r="O1312" i="4" s="1"/>
  <c r="I1312" i="4"/>
  <c r="K1311" i="4"/>
  <c r="J1311" i="4"/>
  <c r="I1311" i="4"/>
  <c r="K1310" i="4"/>
  <c r="J1310" i="4"/>
  <c r="I1310" i="4"/>
  <c r="M1310" i="4" s="1" a="1"/>
  <c r="M1310" i="4" s="1"/>
  <c r="O1310" i="4" s="1"/>
  <c r="K1309" i="4"/>
  <c r="J1309" i="4"/>
  <c r="I1309" i="4"/>
  <c r="M1309" i="4" s="1" a="1"/>
  <c r="M1309" i="4" s="1"/>
  <c r="O1309" i="4" s="1"/>
  <c r="K1308" i="4"/>
  <c r="J1308" i="4"/>
  <c r="I1308" i="4"/>
  <c r="M1308" i="4" s="1" a="1"/>
  <c r="M1308" i="4" s="1"/>
  <c r="O1308" i="4" s="1"/>
  <c r="K1307" i="4"/>
  <c r="J1307" i="4"/>
  <c r="I1307" i="4"/>
  <c r="K1306" i="4"/>
  <c r="J1306" i="4"/>
  <c r="I1306" i="4"/>
  <c r="K1305" i="4"/>
  <c r="J1305" i="4"/>
  <c r="I1305" i="4"/>
  <c r="K1304" i="4"/>
  <c r="J1304" i="4"/>
  <c r="I1304" i="4"/>
  <c r="M1304" i="4" s="1" a="1"/>
  <c r="M1304" i="4" s="1"/>
  <c r="O1304" i="4" s="1"/>
  <c r="K1303" i="4"/>
  <c r="J1303" i="4"/>
  <c r="I1303" i="4"/>
  <c r="K1302" i="4"/>
  <c r="J1302" i="4"/>
  <c r="I1302" i="4"/>
  <c r="M1302" i="4" s="1" a="1"/>
  <c r="M1302" i="4" s="1"/>
  <c r="O1302" i="4" s="1"/>
  <c r="K1301" i="4"/>
  <c r="J1301" i="4"/>
  <c r="I1301" i="4"/>
  <c r="M1301" i="4" s="1" a="1"/>
  <c r="M1301" i="4" s="1"/>
  <c r="O1301" i="4" s="1"/>
  <c r="K1300" i="4"/>
  <c r="J1300" i="4"/>
  <c r="M1300" i="4" s="1" a="1"/>
  <c r="M1300" i="4" s="1"/>
  <c r="O1300" i="4" s="1"/>
  <c r="I1300" i="4"/>
  <c r="K1299" i="4"/>
  <c r="J1299" i="4"/>
  <c r="I1299" i="4"/>
  <c r="K1298" i="4"/>
  <c r="J1298" i="4"/>
  <c r="I1298" i="4"/>
  <c r="M1298" i="4" s="1" a="1"/>
  <c r="M1298" i="4" s="1"/>
  <c r="O1298" i="4" s="1"/>
  <c r="K1297" i="4"/>
  <c r="J1297" i="4"/>
  <c r="I1297" i="4"/>
  <c r="M1297" i="4" s="1" a="1"/>
  <c r="M1297" i="4" s="1"/>
  <c r="O1297" i="4" s="1"/>
  <c r="K1296" i="4"/>
  <c r="J1296" i="4"/>
  <c r="I1296" i="4"/>
  <c r="M1296" i="4" s="1" a="1"/>
  <c r="M1296" i="4" s="1"/>
  <c r="O1296" i="4" s="1"/>
  <c r="K1295" i="4"/>
  <c r="J1295" i="4"/>
  <c r="I1295" i="4"/>
  <c r="M1295" i="4" s="1" a="1"/>
  <c r="M1295" i="4" s="1"/>
  <c r="O1295" i="4" s="1"/>
  <c r="K1294" i="4"/>
  <c r="J1294" i="4"/>
  <c r="I1294" i="4"/>
  <c r="M1294" i="4" s="1" a="1"/>
  <c r="M1294" i="4" s="1"/>
  <c r="O1294" i="4" s="1"/>
  <c r="K1293" i="4"/>
  <c r="J1293" i="4"/>
  <c r="I1293" i="4"/>
  <c r="M1293" i="4" s="1" a="1"/>
  <c r="M1293" i="4" s="1"/>
  <c r="O1293" i="4" s="1"/>
  <c r="K1292" i="4"/>
  <c r="J1292" i="4"/>
  <c r="I1292" i="4"/>
  <c r="M1292" i="4" s="1" a="1"/>
  <c r="M1292" i="4" s="1"/>
  <c r="O1292" i="4" s="1"/>
  <c r="K1291" i="4"/>
  <c r="J1291" i="4"/>
  <c r="I1291" i="4"/>
  <c r="K1290" i="4"/>
  <c r="J1290" i="4"/>
  <c r="I1290" i="4"/>
  <c r="K1289" i="4"/>
  <c r="J1289" i="4"/>
  <c r="I1289" i="4"/>
  <c r="K1288" i="4"/>
  <c r="J1288" i="4"/>
  <c r="I1288" i="4"/>
  <c r="M1288" i="4" s="1" a="1"/>
  <c r="M1288" i="4" s="1"/>
  <c r="O1288" i="4" s="1"/>
  <c r="K1287" i="4"/>
  <c r="J1287" i="4"/>
  <c r="I1287" i="4"/>
  <c r="K1286" i="4"/>
  <c r="J1286" i="4"/>
  <c r="I1286" i="4"/>
  <c r="M1286" i="4" s="1" a="1"/>
  <c r="M1286" i="4" s="1"/>
  <c r="O1286" i="4" s="1"/>
  <c r="K1285" i="4"/>
  <c r="J1285" i="4"/>
  <c r="I1285" i="4"/>
  <c r="M1285" i="4" s="1" a="1"/>
  <c r="M1285" i="4" s="1"/>
  <c r="O1285" i="4" s="1"/>
  <c r="K1284" i="4"/>
  <c r="J1284" i="4"/>
  <c r="I1284" i="4"/>
  <c r="K1283" i="4"/>
  <c r="J1283" i="4"/>
  <c r="I1283" i="4"/>
  <c r="M1283" i="4" s="1" a="1"/>
  <c r="M1283" i="4" s="1"/>
  <c r="O1283" i="4" s="1"/>
  <c r="K1282" i="4"/>
  <c r="J1282" i="4"/>
  <c r="I1282" i="4"/>
  <c r="M1282" i="4" s="1" a="1"/>
  <c r="M1282" i="4" s="1"/>
  <c r="O1282" i="4" s="1"/>
  <c r="K1281" i="4"/>
  <c r="J1281" i="4"/>
  <c r="I1281" i="4"/>
  <c r="M1281" i="4" s="1" a="1"/>
  <c r="M1281" i="4" s="1"/>
  <c r="O1281" i="4" s="1"/>
  <c r="K1280" i="4"/>
  <c r="J1280" i="4"/>
  <c r="I1280" i="4"/>
  <c r="M1280" i="4" s="1" a="1"/>
  <c r="M1280" i="4" s="1"/>
  <c r="O1280" i="4" s="1"/>
  <c r="K1279" i="4"/>
  <c r="J1279" i="4"/>
  <c r="I1279" i="4"/>
  <c r="K1278" i="4"/>
  <c r="J1278" i="4"/>
  <c r="I1278" i="4"/>
  <c r="K1277" i="4"/>
  <c r="J1277" i="4"/>
  <c r="I1277" i="4"/>
  <c r="M1277" i="4" s="1" a="1"/>
  <c r="M1277" i="4" s="1"/>
  <c r="O1277" i="4" s="1"/>
  <c r="K1276" i="4"/>
  <c r="J1276" i="4"/>
  <c r="I1276" i="4"/>
  <c r="K1275" i="4"/>
  <c r="J1275" i="4"/>
  <c r="I1275" i="4"/>
  <c r="M1275" i="4" s="1" a="1"/>
  <c r="M1275" i="4" s="1"/>
  <c r="O1275" i="4" s="1"/>
  <c r="K1274" i="4"/>
  <c r="J1274" i="4"/>
  <c r="I1274" i="4"/>
  <c r="K1273" i="4"/>
  <c r="J1273" i="4"/>
  <c r="I1273" i="4"/>
  <c r="K1272" i="4"/>
  <c r="J1272" i="4"/>
  <c r="I1272" i="4"/>
  <c r="M1272" i="4" s="1" a="1"/>
  <c r="M1272" i="4" s="1"/>
  <c r="O1272" i="4" s="1"/>
  <c r="K1271" i="4"/>
  <c r="J1271" i="4"/>
  <c r="I1271" i="4"/>
  <c r="M1271" i="4" s="1" a="1"/>
  <c r="M1271" i="4" s="1"/>
  <c r="O1271" i="4" s="1"/>
  <c r="K1270" i="4"/>
  <c r="J1270" i="4"/>
  <c r="I1270" i="4"/>
  <c r="M1270" i="4" s="1" a="1"/>
  <c r="M1270" i="4" s="1"/>
  <c r="O1270" i="4" s="1"/>
  <c r="K1269" i="4"/>
  <c r="J1269" i="4"/>
  <c r="I1269" i="4"/>
  <c r="M1269" i="4" s="1" a="1"/>
  <c r="M1269" i="4" s="1"/>
  <c r="O1269" i="4" s="1"/>
  <c r="K1268" i="4"/>
  <c r="J1268" i="4"/>
  <c r="I1268" i="4"/>
  <c r="K1267" i="4"/>
  <c r="J1267" i="4"/>
  <c r="I1267" i="4"/>
  <c r="M1267" i="4" s="1" a="1"/>
  <c r="M1267" i="4" s="1"/>
  <c r="O1267" i="4" s="1"/>
  <c r="K1266" i="4"/>
  <c r="J1266" i="4"/>
  <c r="I1266" i="4"/>
  <c r="M1266" i="4" s="1" a="1"/>
  <c r="M1266" i="4" s="1"/>
  <c r="O1266" i="4" s="1"/>
  <c r="K1265" i="4"/>
  <c r="J1265" i="4"/>
  <c r="I1265" i="4"/>
  <c r="K1264" i="4"/>
  <c r="J1264" i="4"/>
  <c r="I1264" i="4"/>
  <c r="M1264" i="4" s="1" a="1"/>
  <c r="M1264" i="4" s="1"/>
  <c r="O1264" i="4" s="1"/>
  <c r="K1263" i="4"/>
  <c r="J1263" i="4"/>
  <c r="I1263" i="4"/>
  <c r="K1262" i="4"/>
  <c r="J1262" i="4"/>
  <c r="I1262" i="4"/>
  <c r="M1262" i="4" s="1" a="1"/>
  <c r="M1262" i="4" s="1"/>
  <c r="O1262" i="4" s="1"/>
  <c r="K1261" i="4"/>
  <c r="J1261" i="4"/>
  <c r="I1261" i="4"/>
  <c r="M1261" i="4" s="1" a="1"/>
  <c r="M1261" i="4" s="1"/>
  <c r="O1261" i="4" s="1"/>
  <c r="K1260" i="4"/>
  <c r="J1260" i="4"/>
  <c r="I1260" i="4"/>
  <c r="M1260" i="4" s="1" a="1"/>
  <c r="M1260" i="4" s="1"/>
  <c r="O1260" i="4" s="1"/>
  <c r="K1259" i="4"/>
  <c r="J1259" i="4"/>
  <c r="I1259" i="4"/>
  <c r="K1258" i="4"/>
  <c r="J1258" i="4"/>
  <c r="I1258" i="4"/>
  <c r="K1257" i="4"/>
  <c r="J1257" i="4"/>
  <c r="I1257" i="4"/>
  <c r="K1256" i="4"/>
  <c r="J1256" i="4"/>
  <c r="I1256" i="4"/>
  <c r="M1256" i="4" s="1" a="1"/>
  <c r="M1256" i="4" s="1"/>
  <c r="O1256" i="4" s="1"/>
  <c r="K1255" i="4"/>
  <c r="J1255" i="4"/>
  <c r="I1255" i="4"/>
  <c r="M1255" i="4" s="1" a="1"/>
  <c r="M1255" i="4" s="1"/>
  <c r="O1255" i="4" s="1"/>
  <c r="K1254" i="4"/>
  <c r="J1254" i="4"/>
  <c r="I1254" i="4"/>
  <c r="M1254" i="4" s="1" a="1"/>
  <c r="M1254" i="4" s="1"/>
  <c r="O1254" i="4" s="1"/>
  <c r="K1253" i="4"/>
  <c r="J1253" i="4"/>
  <c r="I1253" i="4"/>
  <c r="M1253" i="4" s="1" a="1"/>
  <c r="M1253" i="4" s="1"/>
  <c r="O1253" i="4" s="1"/>
  <c r="K1252" i="4"/>
  <c r="J1252" i="4"/>
  <c r="M1252" i="4" s="1" a="1"/>
  <c r="M1252" i="4" s="1"/>
  <c r="O1252" i="4" s="1"/>
  <c r="I1252" i="4"/>
  <c r="K1251" i="4"/>
  <c r="J1251" i="4"/>
  <c r="I1251" i="4"/>
  <c r="K1250" i="4"/>
  <c r="J1250" i="4"/>
  <c r="I1250" i="4"/>
  <c r="M1250" i="4" s="1" a="1"/>
  <c r="M1250" i="4" s="1"/>
  <c r="O1250" i="4" s="1"/>
  <c r="K1249" i="4"/>
  <c r="J1249" i="4"/>
  <c r="I1249" i="4"/>
  <c r="M1249" i="4" s="1" a="1"/>
  <c r="M1249" i="4" s="1"/>
  <c r="O1249" i="4" s="1"/>
  <c r="K1248" i="4"/>
  <c r="J1248" i="4"/>
  <c r="I1248" i="4"/>
  <c r="M1248" i="4" s="1" a="1"/>
  <c r="M1248" i="4" s="1"/>
  <c r="O1248" i="4" s="1"/>
  <c r="K1247" i="4"/>
  <c r="J1247" i="4"/>
  <c r="I1247" i="4"/>
  <c r="M1247" i="4" s="1" a="1"/>
  <c r="M1247" i="4" s="1"/>
  <c r="O1247" i="4" s="1"/>
  <c r="K1246" i="4"/>
  <c r="J1246" i="4"/>
  <c r="I1246" i="4"/>
  <c r="M1246" i="4" s="1" a="1"/>
  <c r="M1246" i="4" s="1"/>
  <c r="O1246" i="4" s="1"/>
  <c r="K1245" i="4"/>
  <c r="J1245" i="4"/>
  <c r="I1245" i="4"/>
  <c r="M1245" i="4" s="1" a="1"/>
  <c r="M1245" i="4" s="1"/>
  <c r="O1245" i="4" s="1"/>
  <c r="K1244" i="4"/>
  <c r="J1244" i="4"/>
  <c r="I1244" i="4"/>
  <c r="M1244" i="4" s="1" a="1"/>
  <c r="M1244" i="4" s="1"/>
  <c r="O1244" i="4" s="1"/>
  <c r="K1243" i="4"/>
  <c r="J1243" i="4"/>
  <c r="I1243" i="4"/>
  <c r="K1242" i="4"/>
  <c r="J1242" i="4"/>
  <c r="M1242" i="4" s="1" a="1"/>
  <c r="M1242" i="4" s="1"/>
  <c r="O1242" i="4" s="1"/>
  <c r="I1242" i="4"/>
  <c r="K1241" i="4"/>
  <c r="J1241" i="4"/>
  <c r="I1241" i="4"/>
  <c r="K1240" i="4"/>
  <c r="J1240" i="4"/>
  <c r="I1240" i="4"/>
  <c r="K1239" i="4"/>
  <c r="J1239" i="4"/>
  <c r="I1239" i="4"/>
  <c r="M1239" i="4" s="1" a="1"/>
  <c r="M1239" i="4" s="1"/>
  <c r="O1239" i="4" s="1"/>
  <c r="K1238" i="4"/>
  <c r="J1238" i="4"/>
  <c r="I1238" i="4"/>
  <c r="M1238" i="4" s="1" a="1"/>
  <c r="M1238" i="4" s="1"/>
  <c r="O1238" i="4" s="1"/>
  <c r="K1237" i="4"/>
  <c r="J1237" i="4"/>
  <c r="I1237" i="4"/>
  <c r="M1237" i="4" s="1" a="1"/>
  <c r="M1237" i="4" s="1"/>
  <c r="O1237" i="4" s="1"/>
  <c r="K1236" i="4"/>
  <c r="J1236" i="4"/>
  <c r="I1236" i="4"/>
  <c r="K1235" i="4"/>
  <c r="J1235" i="4"/>
  <c r="I1235" i="4"/>
  <c r="M1235" i="4" s="1" a="1"/>
  <c r="M1235" i="4" s="1"/>
  <c r="O1235" i="4" s="1"/>
  <c r="K1234" i="4"/>
  <c r="J1234" i="4"/>
  <c r="I1234" i="4"/>
  <c r="M1234" i="4" s="1" a="1"/>
  <c r="M1234" i="4" s="1"/>
  <c r="O1234" i="4" s="1"/>
  <c r="K1233" i="4"/>
  <c r="J1233" i="4"/>
  <c r="I1233" i="4"/>
  <c r="M1233" i="4" s="1" a="1"/>
  <c r="M1233" i="4" s="1"/>
  <c r="O1233" i="4" s="1"/>
  <c r="K1232" i="4"/>
  <c r="J1232" i="4"/>
  <c r="I1232" i="4"/>
  <c r="M1232" i="4" s="1" a="1"/>
  <c r="M1232" i="4" s="1"/>
  <c r="O1232" i="4" s="1"/>
  <c r="K1231" i="4"/>
  <c r="J1231" i="4"/>
  <c r="I1231" i="4"/>
  <c r="M1231" i="4" s="1" a="1"/>
  <c r="M1231" i="4" s="1"/>
  <c r="O1231" i="4" s="1"/>
  <c r="K1230" i="4"/>
  <c r="J1230" i="4"/>
  <c r="I1230" i="4"/>
  <c r="M1230" i="4" s="1" a="1"/>
  <c r="M1230" i="4" s="1"/>
  <c r="O1230" i="4" s="1"/>
  <c r="K1229" i="4"/>
  <c r="J1229" i="4"/>
  <c r="I1229" i="4"/>
  <c r="M1229" i="4" s="1" a="1"/>
  <c r="M1229" i="4" s="1"/>
  <c r="O1229" i="4" s="1"/>
  <c r="K1228" i="4"/>
  <c r="J1228" i="4"/>
  <c r="I1228" i="4"/>
  <c r="M1228" i="4" s="1" a="1"/>
  <c r="M1228" i="4" s="1"/>
  <c r="O1228" i="4" s="1"/>
  <c r="K1227" i="4"/>
  <c r="J1227" i="4"/>
  <c r="I1227" i="4"/>
  <c r="K1226" i="4"/>
  <c r="J1226" i="4"/>
  <c r="M1226" i="4" s="1" a="1"/>
  <c r="M1226" i="4" s="1"/>
  <c r="O1226" i="4" s="1"/>
  <c r="I1226" i="4"/>
  <c r="K1225" i="4"/>
  <c r="J1225" i="4"/>
  <c r="I1225" i="4"/>
  <c r="K1224" i="4"/>
  <c r="J1224" i="4"/>
  <c r="I1224" i="4"/>
  <c r="K1223" i="4"/>
  <c r="J1223" i="4"/>
  <c r="I1223" i="4"/>
  <c r="M1223" i="4" s="1" a="1"/>
  <c r="M1223" i="4" s="1"/>
  <c r="O1223" i="4" s="1"/>
  <c r="K1222" i="4"/>
  <c r="J1222" i="4"/>
  <c r="I1222" i="4"/>
  <c r="M1222" i="4" s="1" a="1"/>
  <c r="M1222" i="4" s="1"/>
  <c r="O1222" i="4" s="1"/>
  <c r="K1221" i="4"/>
  <c r="J1221" i="4"/>
  <c r="I1221" i="4"/>
  <c r="M1221" i="4" s="1" a="1"/>
  <c r="M1221" i="4" s="1"/>
  <c r="O1221" i="4" s="1"/>
  <c r="K1220" i="4"/>
  <c r="J1220" i="4"/>
  <c r="I1220" i="4"/>
  <c r="K1219" i="4"/>
  <c r="J1219" i="4"/>
  <c r="I1219" i="4"/>
  <c r="M1219" i="4" s="1" a="1"/>
  <c r="M1219" i="4" s="1"/>
  <c r="O1219" i="4" s="1"/>
  <c r="K1218" i="4"/>
  <c r="J1218" i="4"/>
  <c r="I1218" i="4"/>
  <c r="M1218" i="4" s="1" a="1"/>
  <c r="M1218" i="4" s="1"/>
  <c r="O1218" i="4" s="1"/>
  <c r="K1217" i="4"/>
  <c r="J1217" i="4"/>
  <c r="I1217" i="4"/>
  <c r="M1217" i="4" s="1" a="1"/>
  <c r="M1217" i="4" s="1"/>
  <c r="O1217" i="4" s="1"/>
  <c r="K1216" i="4"/>
  <c r="J1216" i="4"/>
  <c r="I1216" i="4"/>
  <c r="M1216" i="4" s="1" a="1"/>
  <c r="M1216" i="4" s="1"/>
  <c r="O1216" i="4" s="1"/>
  <c r="K1215" i="4"/>
  <c r="J1215" i="4"/>
  <c r="I1215" i="4"/>
  <c r="M1215" i="4" s="1" a="1"/>
  <c r="M1215" i="4" s="1"/>
  <c r="O1215" i="4" s="1"/>
  <c r="K1214" i="4"/>
  <c r="J1214" i="4"/>
  <c r="I1214" i="4"/>
  <c r="M1214" i="4" s="1" a="1"/>
  <c r="M1214" i="4" s="1"/>
  <c r="O1214" i="4" s="1"/>
  <c r="K1213" i="4"/>
  <c r="J1213" i="4"/>
  <c r="I1213" i="4"/>
  <c r="M1213" i="4" s="1" a="1"/>
  <c r="M1213" i="4" s="1"/>
  <c r="O1213" i="4" s="1"/>
  <c r="K1212" i="4"/>
  <c r="J1212" i="4"/>
  <c r="I1212" i="4"/>
  <c r="M1212" i="4" s="1" a="1"/>
  <c r="M1212" i="4" s="1"/>
  <c r="O1212" i="4" s="1"/>
  <c r="K1211" i="4"/>
  <c r="J1211" i="4"/>
  <c r="I1211" i="4"/>
  <c r="K1210" i="4"/>
  <c r="J1210" i="4"/>
  <c r="M1210" i="4" s="1" a="1"/>
  <c r="M1210" i="4" s="1"/>
  <c r="O1210" i="4" s="1"/>
  <c r="I1210" i="4"/>
  <c r="K1209" i="4"/>
  <c r="J1209" i="4"/>
  <c r="I1209" i="4"/>
  <c r="K1208" i="4"/>
  <c r="J1208" i="4"/>
  <c r="I1208" i="4"/>
  <c r="K1207" i="4"/>
  <c r="J1207" i="4"/>
  <c r="I1207" i="4"/>
  <c r="M1207" i="4" s="1" a="1"/>
  <c r="M1207" i="4" s="1"/>
  <c r="O1207" i="4" s="1"/>
  <c r="K1206" i="4"/>
  <c r="J1206" i="4"/>
  <c r="I1206" i="4"/>
  <c r="M1206" i="4" s="1" a="1"/>
  <c r="M1206" i="4" s="1"/>
  <c r="O1206" i="4" s="1"/>
  <c r="K1205" i="4"/>
  <c r="J1205" i="4"/>
  <c r="I1205" i="4"/>
  <c r="M1205" i="4" s="1" a="1"/>
  <c r="M1205" i="4" s="1"/>
  <c r="O1205" i="4" s="1"/>
  <c r="K1204" i="4"/>
  <c r="J1204" i="4"/>
  <c r="I1204" i="4"/>
  <c r="K1203" i="4"/>
  <c r="J1203" i="4"/>
  <c r="I1203" i="4"/>
  <c r="M1203" i="4" s="1" a="1"/>
  <c r="M1203" i="4" s="1"/>
  <c r="O1203" i="4" s="1"/>
  <c r="K1202" i="4"/>
  <c r="J1202" i="4"/>
  <c r="I1202" i="4"/>
  <c r="M1202" i="4" s="1" a="1"/>
  <c r="M1202" i="4" s="1"/>
  <c r="O1202" i="4" s="1"/>
  <c r="K1201" i="4"/>
  <c r="J1201" i="4"/>
  <c r="I1201" i="4"/>
  <c r="M1201" i="4" s="1" a="1"/>
  <c r="M1201" i="4" s="1"/>
  <c r="O1201" i="4" s="1"/>
  <c r="K1200" i="4"/>
  <c r="J1200" i="4"/>
  <c r="I1200" i="4"/>
  <c r="M1200" i="4" s="1" a="1"/>
  <c r="M1200" i="4" s="1"/>
  <c r="O1200" i="4" s="1"/>
  <c r="K1199" i="4"/>
  <c r="J1199" i="4"/>
  <c r="I1199" i="4"/>
  <c r="M1199" i="4" s="1" a="1"/>
  <c r="M1199" i="4" s="1"/>
  <c r="O1199" i="4" s="1"/>
  <c r="K1198" i="4"/>
  <c r="J1198" i="4"/>
  <c r="I1198" i="4"/>
  <c r="M1198" i="4" s="1" a="1"/>
  <c r="M1198" i="4" s="1"/>
  <c r="O1198" i="4" s="1"/>
  <c r="K1197" i="4"/>
  <c r="J1197" i="4"/>
  <c r="I1197" i="4"/>
  <c r="M1197" i="4" s="1" a="1"/>
  <c r="M1197" i="4" s="1"/>
  <c r="O1197" i="4" s="1"/>
  <c r="K1196" i="4"/>
  <c r="J1196" i="4"/>
  <c r="I1196" i="4"/>
  <c r="M1196" i="4" s="1" a="1"/>
  <c r="M1196" i="4" s="1"/>
  <c r="O1196" i="4" s="1"/>
  <c r="K1195" i="4"/>
  <c r="J1195" i="4"/>
  <c r="I1195" i="4"/>
  <c r="K1194" i="4"/>
  <c r="J1194" i="4"/>
  <c r="M1194" i="4" s="1" a="1"/>
  <c r="M1194" i="4" s="1"/>
  <c r="O1194" i="4" s="1"/>
  <c r="I1194" i="4"/>
  <c r="K1193" i="4"/>
  <c r="J1193" i="4"/>
  <c r="I1193" i="4"/>
  <c r="K1192" i="4"/>
  <c r="J1192" i="4"/>
  <c r="I1192" i="4"/>
  <c r="K1191" i="4"/>
  <c r="J1191" i="4"/>
  <c r="I1191" i="4"/>
  <c r="M1191" i="4" s="1" a="1"/>
  <c r="M1191" i="4" s="1"/>
  <c r="O1191" i="4" s="1"/>
  <c r="K1190" i="4"/>
  <c r="J1190" i="4"/>
  <c r="I1190" i="4"/>
  <c r="K1189" i="4"/>
  <c r="J1189" i="4"/>
  <c r="I1189" i="4"/>
  <c r="M1189" i="4" s="1" a="1"/>
  <c r="M1189" i="4" s="1"/>
  <c r="O1189" i="4" s="1"/>
  <c r="K1188" i="4"/>
  <c r="J1188" i="4"/>
  <c r="I1188" i="4"/>
  <c r="K1187" i="4"/>
  <c r="J1187" i="4"/>
  <c r="I1187" i="4"/>
  <c r="M1187" i="4" s="1" a="1"/>
  <c r="M1187" i="4" s="1"/>
  <c r="O1187" i="4" s="1"/>
  <c r="K1186" i="4"/>
  <c r="J1186" i="4"/>
  <c r="I1186" i="4"/>
  <c r="M1186" i="4" s="1" a="1"/>
  <c r="M1186" i="4" s="1"/>
  <c r="O1186" i="4" s="1"/>
  <c r="K1185" i="4"/>
  <c r="J1185" i="4"/>
  <c r="I1185" i="4"/>
  <c r="M1185" i="4" s="1" a="1"/>
  <c r="M1185" i="4" s="1"/>
  <c r="O1185" i="4" s="1"/>
  <c r="K1184" i="4"/>
  <c r="J1184" i="4"/>
  <c r="I1184" i="4"/>
  <c r="M1184" i="4" s="1" a="1"/>
  <c r="M1184" i="4" s="1"/>
  <c r="O1184" i="4" s="1"/>
  <c r="K1183" i="4"/>
  <c r="J1183" i="4"/>
  <c r="I1183" i="4"/>
  <c r="K1182" i="4"/>
  <c r="J1182" i="4"/>
  <c r="I1182" i="4"/>
  <c r="M1182" i="4" s="1" a="1"/>
  <c r="M1182" i="4" s="1"/>
  <c r="O1182" i="4" s="1"/>
  <c r="K1181" i="4"/>
  <c r="J1181" i="4"/>
  <c r="I1181" i="4"/>
  <c r="M1181" i="4" s="1" a="1"/>
  <c r="M1181" i="4" s="1"/>
  <c r="O1181" i="4" s="1"/>
  <c r="K1180" i="4"/>
  <c r="J1180" i="4"/>
  <c r="I1180" i="4"/>
  <c r="M1180" i="4" s="1" a="1"/>
  <c r="M1180" i="4" s="1"/>
  <c r="O1180" i="4" s="1"/>
  <c r="K1179" i="4"/>
  <c r="J1179" i="4"/>
  <c r="I1179" i="4"/>
  <c r="K1178" i="4"/>
  <c r="J1178" i="4"/>
  <c r="I1178" i="4"/>
  <c r="K1177" i="4"/>
  <c r="J1177" i="4"/>
  <c r="I1177" i="4"/>
  <c r="K1176" i="4"/>
  <c r="J1176" i="4"/>
  <c r="I1176" i="4"/>
  <c r="K1175" i="4"/>
  <c r="J1175" i="4"/>
  <c r="I1175" i="4"/>
  <c r="M1175" i="4" s="1" a="1"/>
  <c r="M1175" i="4" s="1"/>
  <c r="O1175" i="4" s="1"/>
  <c r="K1174" i="4"/>
  <c r="J1174" i="4"/>
  <c r="I1174" i="4"/>
  <c r="M1174" i="4" s="1" a="1"/>
  <c r="M1174" i="4" s="1"/>
  <c r="O1174" i="4" s="1"/>
  <c r="K1173" i="4"/>
  <c r="J1173" i="4"/>
  <c r="I1173" i="4"/>
  <c r="M1173" i="4" s="1" a="1"/>
  <c r="M1173" i="4" s="1"/>
  <c r="O1173" i="4" s="1"/>
  <c r="K1172" i="4"/>
  <c r="J1172" i="4"/>
  <c r="I1172" i="4"/>
  <c r="K1171" i="4"/>
  <c r="J1171" i="4"/>
  <c r="I1171" i="4"/>
  <c r="M1171" i="4" s="1" a="1"/>
  <c r="M1171" i="4" s="1"/>
  <c r="O1171" i="4" s="1"/>
  <c r="K1170" i="4"/>
  <c r="J1170" i="4"/>
  <c r="I1170" i="4"/>
  <c r="M1170" i="4" s="1" a="1"/>
  <c r="M1170" i="4" s="1"/>
  <c r="O1170" i="4" s="1"/>
  <c r="K1169" i="4"/>
  <c r="J1169" i="4"/>
  <c r="I1169" i="4"/>
  <c r="M1169" i="4" s="1" a="1"/>
  <c r="M1169" i="4" s="1"/>
  <c r="O1169" i="4" s="1"/>
  <c r="K1168" i="4"/>
  <c r="J1168" i="4"/>
  <c r="I1168" i="4"/>
  <c r="M1168" i="4" s="1" a="1"/>
  <c r="M1168" i="4" s="1"/>
  <c r="O1168" i="4" s="1"/>
  <c r="K1167" i="4"/>
  <c r="J1167" i="4"/>
  <c r="I1167" i="4"/>
  <c r="K1166" i="4"/>
  <c r="J1166" i="4"/>
  <c r="I1166" i="4"/>
  <c r="M1166" i="4" s="1" a="1"/>
  <c r="M1166" i="4" s="1"/>
  <c r="O1166" i="4" s="1"/>
  <c r="K1165" i="4"/>
  <c r="J1165" i="4"/>
  <c r="I1165" i="4"/>
  <c r="M1165" i="4" s="1" a="1"/>
  <c r="M1165" i="4" s="1"/>
  <c r="O1165" i="4" s="1"/>
  <c r="K1164" i="4"/>
  <c r="J1164" i="4"/>
  <c r="I1164" i="4"/>
  <c r="M1164" i="4" s="1" a="1"/>
  <c r="M1164" i="4" s="1"/>
  <c r="O1164" i="4" s="1"/>
  <c r="K1163" i="4"/>
  <c r="J1163" i="4"/>
  <c r="I1163" i="4"/>
  <c r="K1162" i="4"/>
  <c r="J1162" i="4"/>
  <c r="I1162" i="4"/>
  <c r="K1161" i="4"/>
  <c r="J1161" i="4"/>
  <c r="I1161" i="4"/>
  <c r="K1160" i="4"/>
  <c r="J1160" i="4"/>
  <c r="I1160" i="4"/>
  <c r="K1159" i="4"/>
  <c r="J1159" i="4"/>
  <c r="I1159" i="4"/>
  <c r="M1159" i="4" s="1" a="1"/>
  <c r="M1159" i="4" s="1"/>
  <c r="O1159" i="4" s="1"/>
  <c r="K1158" i="4"/>
  <c r="J1158" i="4"/>
  <c r="I1158" i="4"/>
  <c r="M1158" i="4" s="1" a="1"/>
  <c r="M1158" i="4" s="1"/>
  <c r="O1158" i="4" s="1"/>
  <c r="K1157" i="4"/>
  <c r="J1157" i="4"/>
  <c r="I1157" i="4"/>
  <c r="M1157" i="4" s="1" a="1"/>
  <c r="M1157" i="4" s="1"/>
  <c r="O1157" i="4" s="1"/>
  <c r="K1156" i="4"/>
  <c r="J1156" i="4"/>
  <c r="I1156" i="4"/>
  <c r="K1155" i="4"/>
  <c r="J1155" i="4"/>
  <c r="I1155" i="4"/>
  <c r="M1155" i="4" s="1" a="1"/>
  <c r="M1155" i="4" s="1"/>
  <c r="O1155" i="4" s="1"/>
  <c r="K1154" i="4"/>
  <c r="J1154" i="4"/>
  <c r="I1154" i="4"/>
  <c r="M1154" i="4" s="1" a="1"/>
  <c r="M1154" i="4" s="1"/>
  <c r="O1154" i="4" s="1"/>
  <c r="K1153" i="4"/>
  <c r="J1153" i="4"/>
  <c r="I1153" i="4"/>
  <c r="M1153" i="4" s="1" a="1"/>
  <c r="M1153" i="4" s="1"/>
  <c r="O1153" i="4" s="1"/>
  <c r="K1152" i="4"/>
  <c r="J1152" i="4"/>
  <c r="I1152" i="4"/>
  <c r="M1152" i="4" s="1" a="1"/>
  <c r="M1152" i="4" s="1"/>
  <c r="O1152" i="4" s="1"/>
  <c r="K1151" i="4"/>
  <c r="J1151" i="4"/>
  <c r="I1151" i="4"/>
  <c r="K1150" i="4"/>
  <c r="J1150" i="4"/>
  <c r="I1150" i="4"/>
  <c r="M1150" i="4" s="1" a="1"/>
  <c r="M1150" i="4" s="1"/>
  <c r="O1150" i="4" s="1"/>
  <c r="K1149" i="4"/>
  <c r="J1149" i="4"/>
  <c r="I1149" i="4"/>
  <c r="M1149" i="4" s="1" a="1"/>
  <c r="M1149" i="4" s="1"/>
  <c r="O1149" i="4" s="1"/>
  <c r="K1148" i="4"/>
  <c r="J1148" i="4"/>
  <c r="I1148" i="4"/>
  <c r="M1148" i="4" s="1" a="1"/>
  <c r="M1148" i="4" s="1"/>
  <c r="O1148" i="4" s="1"/>
  <c r="K1147" i="4"/>
  <c r="J1147" i="4"/>
  <c r="I1147" i="4"/>
  <c r="K1146" i="4"/>
  <c r="J1146" i="4"/>
  <c r="M1146" i="4" s="1" a="1"/>
  <c r="M1146" i="4" s="1"/>
  <c r="O1146" i="4" s="1"/>
  <c r="I1146" i="4"/>
  <c r="K1145" i="4"/>
  <c r="J1145" i="4"/>
  <c r="I1145" i="4"/>
  <c r="K1144" i="4"/>
  <c r="J1144" i="4"/>
  <c r="I1144" i="4"/>
  <c r="K1143" i="4"/>
  <c r="J1143" i="4"/>
  <c r="I1143" i="4"/>
  <c r="M1143" i="4" s="1" a="1"/>
  <c r="M1143" i="4" s="1"/>
  <c r="O1143" i="4" s="1"/>
  <c r="K1142" i="4"/>
  <c r="J1142" i="4"/>
  <c r="I1142" i="4"/>
  <c r="M1142" i="4" s="1" a="1"/>
  <c r="M1142" i="4" s="1"/>
  <c r="O1142" i="4" s="1"/>
  <c r="K1141" i="4"/>
  <c r="J1141" i="4"/>
  <c r="I1141" i="4"/>
  <c r="M1141" i="4" s="1" a="1"/>
  <c r="M1141" i="4" s="1"/>
  <c r="O1141" i="4" s="1"/>
  <c r="K1140" i="4"/>
  <c r="J1140" i="4"/>
  <c r="I1140" i="4"/>
  <c r="K1139" i="4"/>
  <c r="J1139" i="4"/>
  <c r="I1139" i="4"/>
  <c r="M1139" i="4" s="1" a="1"/>
  <c r="M1139" i="4" s="1"/>
  <c r="O1139" i="4" s="1"/>
  <c r="K1138" i="4"/>
  <c r="J1138" i="4"/>
  <c r="I1138" i="4"/>
  <c r="M1138" i="4" s="1" a="1"/>
  <c r="M1138" i="4" s="1"/>
  <c r="O1138" i="4" s="1"/>
  <c r="K1137" i="4"/>
  <c r="J1137" i="4"/>
  <c r="I1137" i="4"/>
  <c r="M1137" i="4" s="1" a="1"/>
  <c r="M1137" i="4" s="1"/>
  <c r="O1137" i="4" s="1"/>
  <c r="K1136" i="4"/>
  <c r="J1136" i="4"/>
  <c r="I1136" i="4"/>
  <c r="M1136" i="4" s="1" a="1"/>
  <c r="M1136" i="4" s="1"/>
  <c r="O1136" i="4" s="1"/>
  <c r="K1135" i="4"/>
  <c r="J1135" i="4"/>
  <c r="I1135" i="4"/>
  <c r="K1134" i="4"/>
  <c r="J1134" i="4"/>
  <c r="I1134" i="4"/>
  <c r="M1134" i="4" s="1" a="1"/>
  <c r="M1134" i="4" s="1"/>
  <c r="O1134" i="4" s="1"/>
  <c r="K1133" i="4"/>
  <c r="J1133" i="4"/>
  <c r="I1133" i="4"/>
  <c r="M1133" i="4" s="1" a="1"/>
  <c r="M1133" i="4" s="1"/>
  <c r="O1133" i="4" s="1"/>
  <c r="K1132" i="4"/>
  <c r="J1132" i="4"/>
  <c r="I1132" i="4"/>
  <c r="M1132" i="4" s="1" a="1"/>
  <c r="M1132" i="4" s="1"/>
  <c r="O1132" i="4" s="1"/>
  <c r="K1131" i="4"/>
  <c r="J1131" i="4"/>
  <c r="I1131" i="4"/>
  <c r="K1130" i="4"/>
  <c r="J1130" i="4"/>
  <c r="M1130" i="4" s="1" a="1"/>
  <c r="M1130" i="4" s="1"/>
  <c r="O1130" i="4" s="1"/>
  <c r="I1130" i="4"/>
  <c r="K1129" i="4"/>
  <c r="J1129" i="4"/>
  <c r="I1129" i="4"/>
  <c r="K1128" i="4"/>
  <c r="J1128" i="4"/>
  <c r="I1128" i="4"/>
  <c r="K1127" i="4"/>
  <c r="J1127" i="4"/>
  <c r="I1127" i="4"/>
  <c r="M1127" i="4" s="1" a="1"/>
  <c r="M1127" i="4" s="1"/>
  <c r="O1127" i="4" s="1"/>
  <c r="K1126" i="4"/>
  <c r="J1126" i="4"/>
  <c r="I1126" i="4"/>
  <c r="K1125" i="4"/>
  <c r="J1125" i="4"/>
  <c r="I1125" i="4"/>
  <c r="M1125" i="4" s="1" a="1"/>
  <c r="M1125" i="4" s="1"/>
  <c r="O1125" i="4" s="1"/>
  <c r="K1124" i="4"/>
  <c r="J1124" i="4"/>
  <c r="I1124" i="4"/>
  <c r="K1123" i="4"/>
  <c r="J1123" i="4"/>
  <c r="I1123" i="4"/>
  <c r="M1123" i="4" s="1" a="1"/>
  <c r="M1123" i="4" s="1"/>
  <c r="O1123" i="4" s="1"/>
  <c r="K1122" i="4"/>
  <c r="J1122" i="4"/>
  <c r="I1122" i="4"/>
  <c r="M1122" i="4" s="1" a="1"/>
  <c r="M1122" i="4" s="1"/>
  <c r="O1122" i="4" s="1"/>
  <c r="K1121" i="4"/>
  <c r="J1121" i="4"/>
  <c r="I1121" i="4"/>
  <c r="M1121" i="4" s="1" a="1"/>
  <c r="M1121" i="4" s="1"/>
  <c r="O1121" i="4" s="1"/>
  <c r="K1120" i="4"/>
  <c r="J1120" i="4"/>
  <c r="I1120" i="4"/>
  <c r="M1120" i="4" s="1" a="1"/>
  <c r="M1120" i="4" s="1"/>
  <c r="O1120" i="4" s="1"/>
  <c r="K1119" i="4"/>
  <c r="J1119" i="4"/>
  <c r="I1119" i="4"/>
  <c r="K1118" i="4"/>
  <c r="J1118" i="4"/>
  <c r="I1118" i="4"/>
  <c r="M1118" i="4" s="1" a="1"/>
  <c r="M1118" i="4" s="1"/>
  <c r="O1118" i="4" s="1"/>
  <c r="K1117" i="4"/>
  <c r="J1117" i="4"/>
  <c r="I1117" i="4"/>
  <c r="M1117" i="4" s="1" a="1"/>
  <c r="M1117" i="4" s="1"/>
  <c r="O1117" i="4" s="1"/>
  <c r="K1116" i="4"/>
  <c r="J1116" i="4"/>
  <c r="I1116" i="4"/>
  <c r="M1116" i="4" s="1" a="1"/>
  <c r="M1116" i="4" s="1"/>
  <c r="O1116" i="4" s="1"/>
  <c r="K1115" i="4"/>
  <c r="J1115" i="4"/>
  <c r="I1115" i="4"/>
  <c r="K1114" i="4"/>
  <c r="J1114" i="4"/>
  <c r="M1114" i="4" s="1" a="1"/>
  <c r="M1114" i="4" s="1"/>
  <c r="O1114" i="4" s="1"/>
  <c r="I1114" i="4"/>
  <c r="K1113" i="4"/>
  <c r="J1113" i="4"/>
  <c r="I1113" i="4"/>
  <c r="K1112" i="4"/>
  <c r="J1112" i="4"/>
  <c r="I1112" i="4"/>
  <c r="K1111" i="4"/>
  <c r="J1111" i="4"/>
  <c r="I1111" i="4"/>
  <c r="M1111" i="4" s="1" a="1"/>
  <c r="M1111" i="4" s="1"/>
  <c r="O1111" i="4" s="1"/>
  <c r="K1110" i="4"/>
  <c r="J1110" i="4"/>
  <c r="I1110" i="4"/>
  <c r="M1110" i="4" s="1" a="1"/>
  <c r="M1110" i="4" s="1"/>
  <c r="O1110" i="4" s="1"/>
  <c r="K1109" i="4"/>
  <c r="J1109" i="4"/>
  <c r="I1109" i="4"/>
  <c r="M1109" i="4" s="1" a="1"/>
  <c r="M1109" i="4" s="1"/>
  <c r="O1109" i="4" s="1"/>
  <c r="K1108" i="4"/>
  <c r="J1108" i="4"/>
  <c r="I1108" i="4"/>
  <c r="K1107" i="4"/>
  <c r="J1107" i="4"/>
  <c r="I1107" i="4"/>
  <c r="M1107" i="4" s="1" a="1"/>
  <c r="M1107" i="4" s="1"/>
  <c r="O1107" i="4" s="1"/>
  <c r="K1106" i="4"/>
  <c r="J1106" i="4"/>
  <c r="I1106" i="4"/>
  <c r="M1106" i="4" s="1" a="1"/>
  <c r="M1106" i="4" s="1"/>
  <c r="O1106" i="4" s="1"/>
  <c r="K1105" i="4"/>
  <c r="J1105" i="4"/>
  <c r="I1105" i="4"/>
  <c r="M1105" i="4" s="1" a="1"/>
  <c r="M1105" i="4" s="1"/>
  <c r="O1105" i="4" s="1"/>
  <c r="K1104" i="4"/>
  <c r="J1104" i="4"/>
  <c r="I1104" i="4"/>
  <c r="M1104" i="4" s="1" a="1"/>
  <c r="M1104" i="4" s="1"/>
  <c r="O1104" i="4" s="1"/>
  <c r="K1103" i="4"/>
  <c r="J1103" i="4"/>
  <c r="I1103" i="4"/>
  <c r="K1102" i="4"/>
  <c r="J1102" i="4"/>
  <c r="I1102" i="4"/>
  <c r="M1102" i="4" s="1" a="1"/>
  <c r="M1102" i="4" s="1"/>
  <c r="O1102" i="4" s="1"/>
  <c r="K1101" i="4"/>
  <c r="J1101" i="4"/>
  <c r="I1101" i="4"/>
  <c r="M1101" i="4" s="1" a="1"/>
  <c r="M1101" i="4" s="1"/>
  <c r="O1101" i="4" s="1"/>
  <c r="K1100" i="4"/>
  <c r="J1100" i="4"/>
  <c r="I1100" i="4"/>
  <c r="M1100" i="4" s="1" a="1"/>
  <c r="M1100" i="4" s="1"/>
  <c r="O1100" i="4" s="1"/>
  <c r="K1099" i="4"/>
  <c r="J1099" i="4"/>
  <c r="I1099" i="4"/>
  <c r="K1098" i="4"/>
  <c r="J1098" i="4"/>
  <c r="M1098" i="4" s="1" a="1"/>
  <c r="M1098" i="4" s="1"/>
  <c r="O1098" i="4" s="1"/>
  <c r="I1098" i="4"/>
  <c r="K1097" i="4"/>
  <c r="J1097" i="4"/>
  <c r="I1097" i="4"/>
  <c r="K1096" i="4"/>
  <c r="J1096" i="4"/>
  <c r="I1096" i="4"/>
  <c r="K1095" i="4"/>
  <c r="J1095" i="4"/>
  <c r="I1095" i="4"/>
  <c r="M1095" i="4" s="1" a="1"/>
  <c r="M1095" i="4" s="1"/>
  <c r="O1095" i="4" s="1"/>
  <c r="K1094" i="4"/>
  <c r="J1094" i="4"/>
  <c r="I1094" i="4"/>
  <c r="M1094" i="4" s="1" a="1"/>
  <c r="M1094" i="4" s="1"/>
  <c r="O1094" i="4" s="1"/>
  <c r="K1093" i="4"/>
  <c r="J1093" i="4"/>
  <c r="I1093" i="4"/>
  <c r="M1093" i="4" s="1" a="1"/>
  <c r="M1093" i="4" s="1"/>
  <c r="O1093" i="4" s="1"/>
  <c r="K1092" i="4"/>
  <c r="J1092" i="4"/>
  <c r="I1092" i="4"/>
  <c r="K1091" i="4"/>
  <c r="J1091" i="4"/>
  <c r="I1091" i="4"/>
  <c r="M1091" i="4" s="1" a="1"/>
  <c r="M1091" i="4" s="1"/>
  <c r="O1091" i="4" s="1"/>
  <c r="K1090" i="4"/>
  <c r="J1090" i="4"/>
  <c r="I1090" i="4"/>
  <c r="M1090" i="4" s="1" a="1"/>
  <c r="M1090" i="4" s="1"/>
  <c r="O1090" i="4" s="1"/>
  <c r="K1089" i="4"/>
  <c r="J1089" i="4"/>
  <c r="I1089" i="4"/>
  <c r="M1089" i="4" s="1" a="1"/>
  <c r="M1089" i="4" s="1"/>
  <c r="O1089" i="4" s="1"/>
  <c r="K1088" i="4"/>
  <c r="J1088" i="4"/>
  <c r="I1088" i="4"/>
  <c r="M1088" i="4" s="1" a="1"/>
  <c r="M1088" i="4" s="1"/>
  <c r="O1088" i="4" s="1"/>
  <c r="K1087" i="4"/>
  <c r="J1087" i="4"/>
  <c r="I1087" i="4"/>
  <c r="K1086" i="4"/>
  <c r="J1086" i="4"/>
  <c r="I1086" i="4"/>
  <c r="M1086" i="4" s="1" a="1"/>
  <c r="M1086" i="4" s="1"/>
  <c r="O1086" i="4" s="1"/>
  <c r="K1085" i="4"/>
  <c r="J1085" i="4"/>
  <c r="I1085" i="4"/>
  <c r="M1085" i="4" s="1" a="1"/>
  <c r="M1085" i="4" s="1"/>
  <c r="O1085" i="4" s="1"/>
  <c r="K1084" i="4"/>
  <c r="J1084" i="4"/>
  <c r="I1084" i="4"/>
  <c r="M1084" i="4" s="1" a="1"/>
  <c r="M1084" i="4" s="1"/>
  <c r="O1084" i="4" s="1"/>
  <c r="K1083" i="4"/>
  <c r="J1083" i="4"/>
  <c r="I1083" i="4"/>
  <c r="K1082" i="4"/>
  <c r="J1082" i="4"/>
  <c r="M1082" i="4" s="1" a="1"/>
  <c r="M1082" i="4" s="1"/>
  <c r="O1082" i="4" s="1"/>
  <c r="I1082" i="4"/>
  <c r="K1081" i="4"/>
  <c r="J1081" i="4"/>
  <c r="I1081" i="4"/>
  <c r="K1080" i="4"/>
  <c r="J1080" i="4"/>
  <c r="I1080" i="4"/>
  <c r="K1079" i="4"/>
  <c r="J1079" i="4"/>
  <c r="I1079" i="4"/>
  <c r="M1079" i="4" s="1" a="1"/>
  <c r="M1079" i="4" s="1"/>
  <c r="O1079" i="4" s="1"/>
  <c r="K1078" i="4"/>
  <c r="J1078" i="4"/>
  <c r="I1078" i="4"/>
  <c r="M1078" i="4" s="1" a="1"/>
  <c r="M1078" i="4" s="1"/>
  <c r="O1078" i="4" s="1"/>
  <c r="K1077" i="4"/>
  <c r="J1077" i="4"/>
  <c r="I1077" i="4"/>
  <c r="M1077" i="4" s="1" a="1"/>
  <c r="M1077" i="4" s="1"/>
  <c r="O1077" i="4" s="1"/>
  <c r="K1076" i="4"/>
  <c r="J1076" i="4"/>
  <c r="I1076" i="4"/>
  <c r="K1075" i="4"/>
  <c r="J1075" i="4"/>
  <c r="I1075" i="4"/>
  <c r="M1075" i="4" s="1" a="1"/>
  <c r="M1075" i="4" s="1"/>
  <c r="O1075" i="4" s="1"/>
  <c r="K1074" i="4"/>
  <c r="J1074" i="4"/>
  <c r="I1074" i="4"/>
  <c r="M1074" i="4" s="1" a="1"/>
  <c r="M1074" i="4" s="1"/>
  <c r="O1074" i="4" s="1"/>
  <c r="K1073" i="4"/>
  <c r="J1073" i="4"/>
  <c r="I1073" i="4"/>
  <c r="M1073" i="4" s="1" a="1"/>
  <c r="M1073" i="4" s="1"/>
  <c r="O1073" i="4" s="1"/>
  <c r="K1072" i="4"/>
  <c r="J1072" i="4"/>
  <c r="I1072" i="4"/>
  <c r="M1072" i="4" s="1" a="1"/>
  <c r="M1072" i="4" s="1"/>
  <c r="O1072" i="4" s="1"/>
  <c r="K1071" i="4"/>
  <c r="J1071" i="4"/>
  <c r="I1071" i="4"/>
  <c r="K1070" i="4"/>
  <c r="J1070" i="4"/>
  <c r="I1070" i="4"/>
  <c r="M1070" i="4" s="1" a="1"/>
  <c r="M1070" i="4" s="1"/>
  <c r="O1070" i="4" s="1"/>
  <c r="K1069" i="4"/>
  <c r="J1069" i="4"/>
  <c r="I1069" i="4"/>
  <c r="M1069" i="4" s="1" a="1"/>
  <c r="M1069" i="4" s="1"/>
  <c r="O1069" i="4" s="1"/>
  <c r="K1068" i="4"/>
  <c r="J1068" i="4"/>
  <c r="I1068" i="4"/>
  <c r="M1068" i="4" s="1" a="1"/>
  <c r="M1068" i="4" s="1"/>
  <c r="O1068" i="4" s="1"/>
  <c r="K1067" i="4"/>
  <c r="J1067" i="4"/>
  <c r="I1067" i="4"/>
  <c r="K1066" i="4"/>
  <c r="J1066" i="4"/>
  <c r="M1066" i="4" s="1" a="1"/>
  <c r="M1066" i="4" s="1"/>
  <c r="O1066" i="4" s="1"/>
  <c r="I1066" i="4"/>
  <c r="K1065" i="4"/>
  <c r="J1065" i="4"/>
  <c r="I1065" i="4"/>
  <c r="K1064" i="4"/>
  <c r="J1064" i="4"/>
  <c r="I1064" i="4"/>
  <c r="K1063" i="4"/>
  <c r="J1063" i="4"/>
  <c r="I1063" i="4"/>
  <c r="M1063" i="4" s="1" a="1"/>
  <c r="M1063" i="4" s="1"/>
  <c r="O1063" i="4" s="1"/>
  <c r="K1062" i="4"/>
  <c r="J1062" i="4"/>
  <c r="I1062" i="4"/>
  <c r="K1061" i="4"/>
  <c r="J1061" i="4"/>
  <c r="I1061" i="4"/>
  <c r="M1061" i="4" s="1" a="1"/>
  <c r="M1061" i="4" s="1"/>
  <c r="O1061" i="4" s="1"/>
  <c r="K1060" i="4"/>
  <c r="J1060" i="4"/>
  <c r="I1060" i="4"/>
  <c r="K1059" i="4"/>
  <c r="J1059" i="4"/>
  <c r="I1059" i="4"/>
  <c r="M1059" i="4" s="1" a="1"/>
  <c r="M1059" i="4" s="1"/>
  <c r="O1059" i="4" s="1"/>
  <c r="K1058" i="4"/>
  <c r="J1058" i="4"/>
  <c r="I1058" i="4"/>
  <c r="M1058" i="4" s="1" a="1"/>
  <c r="M1058" i="4" s="1"/>
  <c r="O1058" i="4" s="1"/>
  <c r="K1057" i="4"/>
  <c r="J1057" i="4"/>
  <c r="I1057" i="4"/>
  <c r="M1057" i="4" s="1" a="1"/>
  <c r="M1057" i="4" s="1"/>
  <c r="O1057" i="4" s="1"/>
  <c r="K1056" i="4"/>
  <c r="J1056" i="4"/>
  <c r="I1056" i="4"/>
  <c r="M1056" i="4" s="1" a="1"/>
  <c r="M1056" i="4" s="1"/>
  <c r="O1056" i="4" s="1"/>
  <c r="K1055" i="4"/>
  <c r="J1055" i="4"/>
  <c r="I1055" i="4"/>
  <c r="K1054" i="4"/>
  <c r="J1054" i="4"/>
  <c r="I1054" i="4"/>
  <c r="M1054" i="4" s="1" a="1"/>
  <c r="M1054" i="4" s="1"/>
  <c r="O1054" i="4" s="1"/>
  <c r="K1053" i="4"/>
  <c r="J1053" i="4"/>
  <c r="I1053" i="4"/>
  <c r="M1053" i="4" s="1" a="1"/>
  <c r="M1053" i="4" s="1"/>
  <c r="O1053" i="4" s="1"/>
  <c r="K1052" i="4"/>
  <c r="J1052" i="4"/>
  <c r="I1052" i="4"/>
  <c r="M1052" i="4" s="1" a="1"/>
  <c r="M1052" i="4" s="1"/>
  <c r="O1052" i="4" s="1"/>
  <c r="K1051" i="4"/>
  <c r="J1051" i="4"/>
  <c r="I1051" i="4"/>
  <c r="K1050" i="4"/>
  <c r="J1050" i="4"/>
  <c r="M1050" i="4" s="1" a="1"/>
  <c r="M1050" i="4" s="1"/>
  <c r="O1050" i="4" s="1"/>
  <c r="I1050" i="4"/>
  <c r="K1049" i="4"/>
  <c r="J1049" i="4"/>
  <c r="I1049" i="4"/>
  <c r="K1048" i="4"/>
  <c r="J1048" i="4"/>
  <c r="I1048" i="4"/>
  <c r="K1047" i="4"/>
  <c r="J1047" i="4"/>
  <c r="I1047" i="4"/>
  <c r="M1047" i="4" s="1" a="1"/>
  <c r="M1047" i="4" s="1"/>
  <c r="O1047" i="4" s="1"/>
  <c r="K1046" i="4"/>
  <c r="J1046" i="4"/>
  <c r="I1046" i="4"/>
  <c r="M1046" i="4" s="1" a="1"/>
  <c r="M1046" i="4" s="1"/>
  <c r="O1046" i="4" s="1"/>
  <c r="K1045" i="4"/>
  <c r="J1045" i="4"/>
  <c r="I1045" i="4"/>
  <c r="M1045" i="4" s="1" a="1"/>
  <c r="M1045" i="4" s="1"/>
  <c r="O1045" i="4" s="1"/>
  <c r="K1044" i="4"/>
  <c r="J1044" i="4"/>
  <c r="I1044" i="4"/>
  <c r="K1043" i="4"/>
  <c r="J1043" i="4"/>
  <c r="I1043" i="4"/>
  <c r="M1043" i="4" s="1" a="1"/>
  <c r="M1043" i="4" s="1"/>
  <c r="O1043" i="4" s="1"/>
  <c r="K1042" i="4"/>
  <c r="J1042" i="4"/>
  <c r="I1042" i="4"/>
  <c r="M1042" i="4" s="1" a="1"/>
  <c r="M1042" i="4" s="1"/>
  <c r="O1042" i="4" s="1"/>
  <c r="K1041" i="4"/>
  <c r="J1041" i="4"/>
  <c r="I1041" i="4"/>
  <c r="M1041" i="4" s="1" a="1"/>
  <c r="M1041" i="4" s="1"/>
  <c r="O1041" i="4" s="1"/>
  <c r="K1040" i="4"/>
  <c r="J1040" i="4"/>
  <c r="I1040" i="4"/>
  <c r="M1040" i="4" s="1" a="1"/>
  <c r="M1040" i="4" s="1"/>
  <c r="O1040" i="4" s="1"/>
  <c r="K1039" i="4"/>
  <c r="J1039" i="4"/>
  <c r="I1039" i="4"/>
  <c r="K1038" i="4"/>
  <c r="J1038" i="4"/>
  <c r="I1038" i="4"/>
  <c r="M1038" i="4" s="1" a="1"/>
  <c r="M1038" i="4" s="1"/>
  <c r="O1038" i="4" s="1"/>
  <c r="K1037" i="4"/>
  <c r="J1037" i="4"/>
  <c r="I1037" i="4"/>
  <c r="M1037" i="4" s="1" a="1"/>
  <c r="M1037" i="4" s="1"/>
  <c r="O1037" i="4" s="1"/>
  <c r="K1036" i="4"/>
  <c r="J1036" i="4"/>
  <c r="I1036" i="4"/>
  <c r="M1036" i="4" s="1" a="1"/>
  <c r="M1036" i="4" s="1"/>
  <c r="O1036" i="4" s="1"/>
  <c r="K1035" i="4"/>
  <c r="J1035" i="4"/>
  <c r="I1035" i="4"/>
  <c r="K1034" i="4"/>
  <c r="J1034" i="4"/>
  <c r="I1034" i="4"/>
  <c r="K1033" i="4"/>
  <c r="J1033" i="4"/>
  <c r="I1033" i="4"/>
  <c r="K1032" i="4"/>
  <c r="J1032" i="4"/>
  <c r="I1032" i="4"/>
  <c r="K1031" i="4"/>
  <c r="J1031" i="4"/>
  <c r="I1031" i="4"/>
  <c r="M1031" i="4" s="1" a="1"/>
  <c r="M1031" i="4" s="1"/>
  <c r="O1031" i="4" s="1"/>
  <c r="K1030" i="4"/>
  <c r="J1030" i="4"/>
  <c r="I1030" i="4"/>
  <c r="M1030" i="4" s="1" a="1"/>
  <c r="M1030" i="4" s="1"/>
  <c r="O1030" i="4" s="1"/>
  <c r="K1029" i="4"/>
  <c r="J1029" i="4"/>
  <c r="I1029" i="4"/>
  <c r="M1029" i="4" s="1" a="1"/>
  <c r="M1029" i="4" s="1"/>
  <c r="O1029" i="4" s="1"/>
  <c r="K1028" i="4"/>
  <c r="J1028" i="4"/>
  <c r="I1028" i="4"/>
  <c r="K1027" i="4"/>
  <c r="J1027" i="4"/>
  <c r="I1027" i="4"/>
  <c r="M1027" i="4" s="1" a="1"/>
  <c r="M1027" i="4" s="1"/>
  <c r="O1027" i="4" s="1"/>
  <c r="K1026" i="4"/>
  <c r="J1026" i="4"/>
  <c r="I1026" i="4"/>
  <c r="M1026" i="4" s="1" a="1"/>
  <c r="M1026" i="4" s="1"/>
  <c r="O1026" i="4" s="1"/>
  <c r="K1025" i="4"/>
  <c r="J1025" i="4"/>
  <c r="I1025" i="4"/>
  <c r="M1025" i="4" s="1" a="1"/>
  <c r="M1025" i="4" s="1"/>
  <c r="O1025" i="4" s="1"/>
  <c r="K1024" i="4"/>
  <c r="J1024" i="4"/>
  <c r="I1024" i="4"/>
  <c r="M1024" i="4" s="1" a="1"/>
  <c r="M1024" i="4" s="1"/>
  <c r="O1024" i="4" s="1"/>
  <c r="K1023" i="4"/>
  <c r="J1023" i="4"/>
  <c r="I1023" i="4"/>
  <c r="K1022" i="4"/>
  <c r="J1022" i="4"/>
  <c r="I1022" i="4"/>
  <c r="M1022" i="4" s="1" a="1"/>
  <c r="M1022" i="4" s="1"/>
  <c r="O1022" i="4" s="1"/>
  <c r="K1021" i="4"/>
  <c r="J1021" i="4"/>
  <c r="I1021" i="4"/>
  <c r="M1021" i="4" s="1" a="1"/>
  <c r="M1021" i="4" s="1"/>
  <c r="O1021" i="4" s="1"/>
  <c r="K1020" i="4"/>
  <c r="J1020" i="4"/>
  <c r="I1020" i="4"/>
  <c r="M1020" i="4" s="1" a="1"/>
  <c r="M1020" i="4" s="1"/>
  <c r="O1020" i="4" s="1"/>
  <c r="K1019" i="4"/>
  <c r="J1019" i="4"/>
  <c r="I1019" i="4"/>
  <c r="M1019" i="4" s="1" a="1"/>
  <c r="M1019" i="4" s="1"/>
  <c r="O1019" i="4" s="1"/>
  <c r="K1018" i="4"/>
  <c r="J1018" i="4"/>
  <c r="M1018" i="4" s="1" a="1"/>
  <c r="M1018" i="4" s="1"/>
  <c r="O1018" i="4" s="1"/>
  <c r="I1018" i="4"/>
  <c r="K1017" i="4"/>
  <c r="J1017" i="4"/>
  <c r="I1017" i="4"/>
  <c r="K1016" i="4"/>
  <c r="J1016" i="4"/>
  <c r="I1016" i="4"/>
  <c r="K1015" i="4"/>
  <c r="J1015" i="4"/>
  <c r="I1015" i="4"/>
  <c r="M1015" i="4" s="1" a="1"/>
  <c r="M1015" i="4" s="1"/>
  <c r="O1015" i="4" s="1"/>
  <c r="K1014" i="4"/>
  <c r="J1014" i="4"/>
  <c r="I1014" i="4"/>
  <c r="M1014" i="4" s="1" a="1"/>
  <c r="M1014" i="4" s="1"/>
  <c r="O1014" i="4" s="1"/>
  <c r="K1013" i="4"/>
  <c r="J1013" i="4"/>
  <c r="I1013" i="4"/>
  <c r="M1013" i="4" s="1" a="1"/>
  <c r="M1013" i="4" s="1"/>
  <c r="O1013" i="4" s="1"/>
  <c r="K1012" i="4"/>
  <c r="J1012" i="4"/>
  <c r="I1012" i="4"/>
  <c r="K1011" i="4"/>
  <c r="J1011" i="4"/>
  <c r="I1011" i="4"/>
  <c r="M1011" i="4" s="1" a="1"/>
  <c r="M1011" i="4" s="1"/>
  <c r="O1011" i="4" s="1"/>
  <c r="K1010" i="4"/>
  <c r="J1010" i="4"/>
  <c r="I1010" i="4"/>
  <c r="M1010" i="4" s="1" a="1"/>
  <c r="M1010" i="4" s="1"/>
  <c r="O1010" i="4" s="1"/>
  <c r="K1009" i="4"/>
  <c r="J1009" i="4"/>
  <c r="I1009" i="4"/>
  <c r="M1009" i="4" s="1" a="1"/>
  <c r="M1009" i="4" s="1"/>
  <c r="O1009" i="4" s="1"/>
  <c r="K1008" i="4"/>
  <c r="J1008" i="4"/>
  <c r="I1008" i="4"/>
  <c r="M1008" i="4" s="1" a="1"/>
  <c r="M1008" i="4" s="1"/>
  <c r="O1008" i="4" s="1"/>
  <c r="K1007" i="4"/>
  <c r="J1007" i="4"/>
  <c r="I1007" i="4"/>
  <c r="K1006" i="4"/>
  <c r="J1006" i="4"/>
  <c r="I1006" i="4"/>
  <c r="M1006" i="4" s="1" a="1"/>
  <c r="M1006" i="4" s="1"/>
  <c r="O1006" i="4" s="1"/>
  <c r="K1005" i="4"/>
  <c r="J1005" i="4"/>
  <c r="I1005" i="4"/>
  <c r="M1005" i="4" s="1" a="1"/>
  <c r="M1005" i="4" s="1"/>
  <c r="O1005" i="4" s="1"/>
  <c r="K1004" i="4"/>
  <c r="J1004" i="4"/>
  <c r="I1004" i="4"/>
  <c r="M1004" i="4" s="1" a="1"/>
  <c r="M1004" i="4" s="1"/>
  <c r="O1004" i="4" s="1"/>
  <c r="K1003" i="4"/>
  <c r="J1003" i="4"/>
  <c r="I1003" i="4"/>
  <c r="M1003" i="4" s="1" a="1"/>
  <c r="M1003" i="4" s="1"/>
  <c r="O1003" i="4" s="1"/>
  <c r="K1002" i="4"/>
  <c r="J1002" i="4"/>
  <c r="M1002" i="4" s="1" a="1"/>
  <c r="M1002" i="4" s="1"/>
  <c r="O1002" i="4" s="1"/>
  <c r="I1002" i="4"/>
  <c r="K1001" i="4"/>
  <c r="J1001" i="4"/>
  <c r="I1001" i="4"/>
  <c r="K1000" i="4"/>
  <c r="J1000" i="4"/>
  <c r="I1000" i="4"/>
  <c r="K999" i="4"/>
  <c r="J999" i="4"/>
  <c r="I999" i="4"/>
  <c r="M999" i="4" s="1" a="1"/>
  <c r="M999" i="4" s="1"/>
  <c r="O999" i="4" s="1"/>
  <c r="K998" i="4"/>
  <c r="J998" i="4"/>
  <c r="I998" i="4"/>
  <c r="K997" i="4"/>
  <c r="J997" i="4"/>
  <c r="I997" i="4"/>
  <c r="M997" i="4" s="1" a="1"/>
  <c r="M997" i="4" s="1"/>
  <c r="O997" i="4" s="1"/>
  <c r="K996" i="4"/>
  <c r="J996" i="4"/>
  <c r="I996" i="4"/>
  <c r="K995" i="4"/>
  <c r="J995" i="4"/>
  <c r="I995" i="4"/>
  <c r="M995" i="4" s="1" a="1"/>
  <c r="M995" i="4" s="1"/>
  <c r="O995" i="4" s="1"/>
  <c r="K994" i="4"/>
  <c r="J994" i="4"/>
  <c r="I994" i="4"/>
  <c r="M994" i="4" s="1" a="1"/>
  <c r="M994" i="4" s="1"/>
  <c r="O994" i="4" s="1"/>
  <c r="K993" i="4"/>
  <c r="J993" i="4"/>
  <c r="I993" i="4"/>
  <c r="M993" i="4" s="1" a="1"/>
  <c r="M993" i="4" s="1"/>
  <c r="O993" i="4" s="1"/>
  <c r="K992" i="4"/>
  <c r="J992" i="4"/>
  <c r="I992" i="4"/>
  <c r="M992" i="4" s="1" a="1"/>
  <c r="M992" i="4" s="1"/>
  <c r="O992" i="4" s="1"/>
  <c r="K991" i="4"/>
  <c r="J991" i="4"/>
  <c r="I991" i="4"/>
  <c r="K990" i="4"/>
  <c r="J990" i="4"/>
  <c r="I990" i="4"/>
  <c r="M990" i="4" s="1" a="1"/>
  <c r="M990" i="4" s="1"/>
  <c r="O990" i="4" s="1"/>
  <c r="K989" i="4"/>
  <c r="J989" i="4"/>
  <c r="I989" i="4"/>
  <c r="M989" i="4" s="1" a="1"/>
  <c r="M989" i="4" s="1"/>
  <c r="O989" i="4" s="1"/>
  <c r="K988" i="4"/>
  <c r="J988" i="4"/>
  <c r="I988" i="4"/>
  <c r="M988" i="4" s="1" a="1"/>
  <c r="M988" i="4" s="1"/>
  <c r="O988" i="4" s="1"/>
  <c r="K987" i="4"/>
  <c r="J987" i="4"/>
  <c r="I987" i="4"/>
  <c r="M987" i="4" s="1" a="1"/>
  <c r="M987" i="4" s="1"/>
  <c r="O987" i="4" s="1"/>
  <c r="K986" i="4"/>
  <c r="J986" i="4"/>
  <c r="M986" i="4" s="1" a="1"/>
  <c r="M986" i="4" s="1"/>
  <c r="O986" i="4" s="1"/>
  <c r="I986" i="4"/>
  <c r="K985" i="4"/>
  <c r="J985" i="4"/>
  <c r="I985" i="4"/>
  <c r="K984" i="4"/>
  <c r="J984" i="4"/>
  <c r="I984" i="4"/>
  <c r="K983" i="4"/>
  <c r="J983" i="4"/>
  <c r="I983" i="4"/>
  <c r="M983" i="4" s="1" a="1"/>
  <c r="M983" i="4" s="1"/>
  <c r="O983" i="4" s="1"/>
  <c r="K982" i="4"/>
  <c r="J982" i="4"/>
  <c r="I982" i="4"/>
  <c r="M982" i="4" s="1" a="1"/>
  <c r="M982" i="4" s="1"/>
  <c r="O982" i="4" s="1"/>
  <c r="K981" i="4"/>
  <c r="J981" i="4"/>
  <c r="I981" i="4"/>
  <c r="M981" i="4" s="1" a="1"/>
  <c r="M981" i="4" s="1"/>
  <c r="O981" i="4" s="1"/>
  <c r="K980" i="4"/>
  <c r="J980" i="4"/>
  <c r="I980" i="4"/>
  <c r="K979" i="4"/>
  <c r="J979" i="4"/>
  <c r="I979" i="4"/>
  <c r="M979" i="4" s="1" a="1"/>
  <c r="M979" i="4" s="1"/>
  <c r="O979" i="4" s="1"/>
  <c r="K978" i="4"/>
  <c r="J978" i="4"/>
  <c r="I978" i="4"/>
  <c r="M978" i="4" s="1" a="1"/>
  <c r="M978" i="4" s="1"/>
  <c r="O978" i="4" s="1"/>
  <c r="K977" i="4"/>
  <c r="J977" i="4"/>
  <c r="I977" i="4"/>
  <c r="M977" i="4" s="1" a="1"/>
  <c r="M977" i="4" s="1"/>
  <c r="O977" i="4" s="1"/>
  <c r="K976" i="4"/>
  <c r="J976" i="4"/>
  <c r="I976" i="4"/>
  <c r="M976" i="4" s="1" a="1"/>
  <c r="M976" i="4" s="1"/>
  <c r="O976" i="4" s="1"/>
  <c r="K975" i="4"/>
  <c r="J975" i="4"/>
  <c r="I975" i="4"/>
  <c r="K974" i="4"/>
  <c r="J974" i="4"/>
  <c r="I974" i="4"/>
  <c r="M974" i="4" s="1" a="1"/>
  <c r="M974" i="4" s="1"/>
  <c r="O974" i="4" s="1"/>
  <c r="K973" i="4"/>
  <c r="J973" i="4"/>
  <c r="I973" i="4"/>
  <c r="M973" i="4" s="1" a="1"/>
  <c r="M973" i="4" s="1"/>
  <c r="O973" i="4" s="1"/>
  <c r="K972" i="4"/>
  <c r="J972" i="4"/>
  <c r="I972" i="4"/>
  <c r="M972" i="4" s="1" a="1"/>
  <c r="M972" i="4" s="1"/>
  <c r="O972" i="4" s="1"/>
  <c r="K971" i="4"/>
  <c r="J971" i="4"/>
  <c r="I971" i="4"/>
  <c r="M971" i="4" s="1" a="1"/>
  <c r="M971" i="4" s="1"/>
  <c r="O971" i="4" s="1"/>
  <c r="K970" i="4"/>
  <c r="J970" i="4"/>
  <c r="M970" i="4" s="1" a="1"/>
  <c r="M970" i="4" s="1"/>
  <c r="O970" i="4" s="1"/>
  <c r="I970" i="4"/>
  <c r="K969" i="4"/>
  <c r="J969" i="4"/>
  <c r="I969" i="4"/>
  <c r="K968" i="4"/>
  <c r="J968" i="4"/>
  <c r="I968" i="4"/>
  <c r="K967" i="4"/>
  <c r="J967" i="4"/>
  <c r="I967" i="4"/>
  <c r="M967" i="4" s="1" a="1"/>
  <c r="M967" i="4" s="1"/>
  <c r="O967" i="4" s="1"/>
  <c r="K966" i="4"/>
  <c r="J966" i="4"/>
  <c r="I966" i="4"/>
  <c r="M966" i="4" s="1" a="1"/>
  <c r="M966" i="4" s="1"/>
  <c r="O966" i="4" s="1"/>
  <c r="K965" i="4"/>
  <c r="J965" i="4"/>
  <c r="I965" i="4"/>
  <c r="M965" i="4" s="1" a="1"/>
  <c r="M965" i="4" s="1"/>
  <c r="O965" i="4" s="1"/>
  <c r="K964" i="4"/>
  <c r="J964" i="4"/>
  <c r="I964" i="4"/>
  <c r="K963" i="4"/>
  <c r="J963" i="4"/>
  <c r="I963" i="4"/>
  <c r="M963" i="4" s="1" a="1"/>
  <c r="M963" i="4" s="1"/>
  <c r="O963" i="4" s="1"/>
  <c r="K962" i="4"/>
  <c r="J962" i="4"/>
  <c r="I962" i="4"/>
  <c r="M962" i="4" s="1" a="1"/>
  <c r="M962" i="4" s="1"/>
  <c r="O962" i="4" s="1"/>
  <c r="K961" i="4"/>
  <c r="J961" i="4"/>
  <c r="I961" i="4"/>
  <c r="M961" i="4" s="1" a="1"/>
  <c r="M961" i="4" s="1"/>
  <c r="O961" i="4" s="1"/>
  <c r="K960" i="4"/>
  <c r="J960" i="4"/>
  <c r="I960" i="4"/>
  <c r="M960" i="4" s="1" a="1"/>
  <c r="M960" i="4" s="1"/>
  <c r="O960" i="4" s="1"/>
  <c r="K959" i="4"/>
  <c r="J959" i="4"/>
  <c r="I959" i="4"/>
  <c r="K958" i="4"/>
  <c r="J958" i="4"/>
  <c r="I958" i="4"/>
  <c r="M958" i="4" s="1" a="1"/>
  <c r="M958" i="4" s="1"/>
  <c r="O958" i="4" s="1"/>
  <c r="K957" i="4"/>
  <c r="J957" i="4"/>
  <c r="I957" i="4"/>
  <c r="M957" i="4" s="1" a="1"/>
  <c r="M957" i="4" s="1"/>
  <c r="O957" i="4" s="1"/>
  <c r="K956" i="4"/>
  <c r="J956" i="4"/>
  <c r="I956" i="4"/>
  <c r="M956" i="4" s="1" a="1"/>
  <c r="M956" i="4" s="1"/>
  <c r="O956" i="4" s="1"/>
  <c r="K955" i="4"/>
  <c r="J955" i="4"/>
  <c r="I955" i="4"/>
  <c r="M955" i="4" s="1" a="1"/>
  <c r="M955" i="4" s="1"/>
  <c r="O955" i="4" s="1"/>
  <c r="K954" i="4"/>
  <c r="J954" i="4"/>
  <c r="M954" i="4" s="1" a="1"/>
  <c r="M954" i="4" s="1"/>
  <c r="O954" i="4" s="1"/>
  <c r="I954" i="4"/>
  <c r="K953" i="4"/>
  <c r="J953" i="4"/>
  <c r="I953" i="4"/>
  <c r="K952" i="4"/>
  <c r="J952" i="4"/>
  <c r="I952" i="4"/>
  <c r="K951" i="4"/>
  <c r="J951" i="4"/>
  <c r="I951" i="4"/>
  <c r="M951" i="4" s="1" a="1"/>
  <c r="M951" i="4" s="1"/>
  <c r="O951" i="4" s="1"/>
  <c r="K950" i="4"/>
  <c r="J950" i="4"/>
  <c r="I950" i="4"/>
  <c r="M950" i="4" s="1" a="1"/>
  <c r="M950" i="4" s="1"/>
  <c r="O950" i="4" s="1"/>
  <c r="K949" i="4"/>
  <c r="J949" i="4"/>
  <c r="I949" i="4"/>
  <c r="M949" i="4" s="1" a="1"/>
  <c r="M949" i="4" s="1"/>
  <c r="O949" i="4" s="1"/>
  <c r="K948" i="4"/>
  <c r="J948" i="4"/>
  <c r="I948" i="4"/>
  <c r="K947" i="4"/>
  <c r="J947" i="4"/>
  <c r="I947" i="4"/>
  <c r="M947" i="4" s="1" a="1"/>
  <c r="M947" i="4" s="1"/>
  <c r="O947" i="4" s="1"/>
  <c r="K946" i="4"/>
  <c r="J946" i="4"/>
  <c r="I946" i="4"/>
  <c r="M946" i="4" s="1" a="1"/>
  <c r="M946" i="4" s="1"/>
  <c r="O946" i="4" s="1"/>
  <c r="K945" i="4"/>
  <c r="J945" i="4"/>
  <c r="I945" i="4"/>
  <c r="M945" i="4" s="1" a="1"/>
  <c r="M945" i="4" s="1"/>
  <c r="O945" i="4" s="1"/>
  <c r="K944" i="4"/>
  <c r="J944" i="4"/>
  <c r="I944" i="4"/>
  <c r="M944" i="4" s="1" a="1"/>
  <c r="M944" i="4" s="1"/>
  <c r="O944" i="4" s="1"/>
  <c r="K943" i="4"/>
  <c r="J943" i="4"/>
  <c r="I943" i="4"/>
  <c r="K942" i="4"/>
  <c r="J942" i="4"/>
  <c r="I942" i="4"/>
  <c r="M942" i="4" s="1" a="1"/>
  <c r="M942" i="4" s="1"/>
  <c r="O942" i="4" s="1"/>
  <c r="K941" i="4"/>
  <c r="J941" i="4"/>
  <c r="I941" i="4"/>
  <c r="M941" i="4" s="1" a="1"/>
  <c r="M941" i="4" s="1"/>
  <c r="O941" i="4" s="1"/>
  <c r="K940" i="4"/>
  <c r="J940" i="4"/>
  <c r="I940" i="4"/>
  <c r="M940" i="4" s="1" a="1"/>
  <c r="M940" i="4" s="1"/>
  <c r="O940" i="4" s="1"/>
  <c r="K939" i="4"/>
  <c r="J939" i="4"/>
  <c r="I939" i="4"/>
  <c r="M939" i="4" s="1" a="1"/>
  <c r="M939" i="4" s="1"/>
  <c r="O939" i="4" s="1"/>
  <c r="K938" i="4"/>
  <c r="J938" i="4"/>
  <c r="I938" i="4"/>
  <c r="K937" i="4"/>
  <c r="J937" i="4"/>
  <c r="I937" i="4"/>
  <c r="K936" i="4"/>
  <c r="J936" i="4"/>
  <c r="I936" i="4"/>
  <c r="K935" i="4"/>
  <c r="J935" i="4"/>
  <c r="I935" i="4"/>
  <c r="M935" i="4" s="1" a="1"/>
  <c r="M935" i="4" s="1"/>
  <c r="O935" i="4" s="1"/>
  <c r="K934" i="4"/>
  <c r="J934" i="4"/>
  <c r="I934" i="4"/>
  <c r="M934" i="4" s="1" a="1"/>
  <c r="M934" i="4" s="1"/>
  <c r="O934" i="4" s="1"/>
  <c r="K933" i="4"/>
  <c r="J933" i="4"/>
  <c r="I933" i="4"/>
  <c r="M933" i="4" s="1" a="1"/>
  <c r="M933" i="4" s="1"/>
  <c r="O933" i="4" s="1"/>
  <c r="K932" i="4"/>
  <c r="J932" i="4"/>
  <c r="I932" i="4"/>
  <c r="K931" i="4"/>
  <c r="J931" i="4"/>
  <c r="I931" i="4"/>
  <c r="M931" i="4" s="1" a="1"/>
  <c r="M931" i="4" s="1"/>
  <c r="O931" i="4" s="1"/>
  <c r="K930" i="4"/>
  <c r="J930" i="4"/>
  <c r="I930" i="4"/>
  <c r="M930" i="4" s="1" a="1"/>
  <c r="M930" i="4" s="1"/>
  <c r="O930" i="4" s="1"/>
  <c r="K929" i="4"/>
  <c r="J929" i="4"/>
  <c r="I929" i="4"/>
  <c r="M929" i="4" s="1" a="1"/>
  <c r="M929" i="4" s="1"/>
  <c r="O929" i="4" s="1"/>
  <c r="K928" i="4"/>
  <c r="J928" i="4"/>
  <c r="I928" i="4"/>
  <c r="M928" i="4" s="1" a="1"/>
  <c r="M928" i="4" s="1"/>
  <c r="O928" i="4" s="1"/>
  <c r="K927" i="4"/>
  <c r="J927" i="4"/>
  <c r="I927" i="4"/>
  <c r="K926" i="4"/>
  <c r="J926" i="4"/>
  <c r="I926" i="4"/>
  <c r="M926" i="4" s="1" a="1"/>
  <c r="M926" i="4" s="1"/>
  <c r="O926" i="4" s="1"/>
  <c r="K925" i="4"/>
  <c r="J925" i="4"/>
  <c r="I925" i="4"/>
  <c r="M925" i="4" s="1" a="1"/>
  <c r="M925" i="4" s="1"/>
  <c r="O925" i="4" s="1"/>
  <c r="K924" i="4"/>
  <c r="J924" i="4"/>
  <c r="I924" i="4"/>
  <c r="M924" i="4" s="1" a="1"/>
  <c r="M924" i="4" s="1"/>
  <c r="O924" i="4" s="1"/>
  <c r="K923" i="4"/>
  <c r="J923" i="4"/>
  <c r="I923" i="4"/>
  <c r="M923" i="4" s="1" a="1"/>
  <c r="M923" i="4" s="1"/>
  <c r="O923" i="4" s="1"/>
  <c r="K922" i="4"/>
  <c r="J922" i="4"/>
  <c r="I922" i="4"/>
  <c r="K921" i="4"/>
  <c r="J921" i="4"/>
  <c r="I921" i="4"/>
  <c r="K920" i="4"/>
  <c r="J920" i="4"/>
  <c r="I920" i="4"/>
  <c r="K919" i="4"/>
  <c r="J919" i="4"/>
  <c r="I919" i="4"/>
  <c r="M919" i="4" s="1" a="1"/>
  <c r="M919" i="4" s="1"/>
  <c r="O919" i="4" s="1"/>
  <c r="K918" i="4"/>
  <c r="J918" i="4"/>
  <c r="I918" i="4"/>
  <c r="K917" i="4"/>
  <c r="J917" i="4"/>
  <c r="I917" i="4"/>
  <c r="M917" i="4" s="1" a="1"/>
  <c r="M917" i="4" s="1"/>
  <c r="O917" i="4" s="1"/>
  <c r="K916" i="4"/>
  <c r="J916" i="4"/>
  <c r="I916" i="4"/>
  <c r="K915" i="4"/>
  <c r="J915" i="4"/>
  <c r="I915" i="4"/>
  <c r="M915" i="4" s="1" a="1"/>
  <c r="M915" i="4" s="1"/>
  <c r="O915" i="4" s="1"/>
  <c r="K914" i="4"/>
  <c r="J914" i="4"/>
  <c r="I914" i="4"/>
  <c r="M914" i="4" s="1" a="1"/>
  <c r="M914" i="4" s="1"/>
  <c r="O914" i="4" s="1"/>
  <c r="K913" i="4"/>
  <c r="J913" i="4"/>
  <c r="I913" i="4"/>
  <c r="M913" i="4" s="1" a="1"/>
  <c r="M913" i="4" s="1"/>
  <c r="O913" i="4" s="1"/>
  <c r="K912" i="4"/>
  <c r="J912" i="4"/>
  <c r="I912" i="4"/>
  <c r="M912" i="4" s="1" a="1"/>
  <c r="M912" i="4" s="1"/>
  <c r="O912" i="4" s="1"/>
  <c r="K911" i="4"/>
  <c r="J911" i="4"/>
  <c r="I911" i="4"/>
  <c r="K910" i="4"/>
  <c r="J910" i="4"/>
  <c r="I910" i="4"/>
  <c r="M910" i="4" s="1" a="1"/>
  <c r="M910" i="4" s="1"/>
  <c r="O910" i="4" s="1"/>
  <c r="K909" i="4"/>
  <c r="J909" i="4"/>
  <c r="I909" i="4"/>
  <c r="M909" i="4" s="1" a="1"/>
  <c r="M909" i="4" s="1"/>
  <c r="O909" i="4" s="1"/>
  <c r="K908" i="4"/>
  <c r="J908" i="4"/>
  <c r="I908" i="4"/>
  <c r="M908" i="4" s="1" a="1"/>
  <c r="M908" i="4" s="1"/>
  <c r="O908" i="4" s="1"/>
  <c r="K907" i="4"/>
  <c r="J907" i="4"/>
  <c r="I907" i="4"/>
  <c r="M907" i="4" s="1" a="1"/>
  <c r="M907" i="4" s="1"/>
  <c r="O907" i="4" s="1"/>
  <c r="K906" i="4"/>
  <c r="J906" i="4"/>
  <c r="I906" i="4"/>
  <c r="K905" i="4"/>
  <c r="J905" i="4"/>
  <c r="I905" i="4"/>
  <c r="K904" i="4"/>
  <c r="J904" i="4"/>
  <c r="I904" i="4"/>
  <c r="K903" i="4"/>
  <c r="J903" i="4"/>
  <c r="I903" i="4"/>
  <c r="K902" i="4"/>
  <c r="J902" i="4"/>
  <c r="I902" i="4"/>
  <c r="M902" i="4" s="1" a="1"/>
  <c r="M902" i="4" s="1"/>
  <c r="O902" i="4" s="1"/>
  <c r="K901" i="4"/>
  <c r="J901" i="4"/>
  <c r="I901" i="4"/>
  <c r="K900" i="4"/>
  <c r="J900" i="4"/>
  <c r="I900" i="4"/>
  <c r="K899" i="4"/>
  <c r="J899" i="4"/>
  <c r="I899" i="4"/>
  <c r="M899" i="4" s="1" a="1"/>
  <c r="M899" i="4" s="1"/>
  <c r="O899" i="4" s="1"/>
  <c r="K898" i="4"/>
  <c r="J898" i="4"/>
  <c r="I898" i="4"/>
  <c r="K897" i="4"/>
  <c r="J897" i="4"/>
  <c r="I897" i="4"/>
  <c r="M897" i="4" s="1" a="1"/>
  <c r="M897" i="4" s="1"/>
  <c r="O897" i="4" s="1"/>
  <c r="K896" i="4"/>
  <c r="J896" i="4"/>
  <c r="I896" i="4"/>
  <c r="M896" i="4" s="1" a="1"/>
  <c r="M896" i="4" s="1"/>
  <c r="O896" i="4" s="1"/>
  <c r="K895" i="4"/>
  <c r="J895" i="4"/>
  <c r="I895" i="4"/>
  <c r="K894" i="4"/>
  <c r="J894" i="4"/>
  <c r="I894" i="4"/>
  <c r="M894" i="4" s="1" a="1"/>
  <c r="M894" i="4" s="1"/>
  <c r="O894" i="4" s="1"/>
  <c r="K893" i="4"/>
  <c r="J893" i="4"/>
  <c r="I893" i="4"/>
  <c r="M893" i="4" s="1" a="1"/>
  <c r="M893" i="4" s="1"/>
  <c r="O893" i="4" s="1"/>
  <c r="K892" i="4"/>
  <c r="J892" i="4"/>
  <c r="I892" i="4"/>
  <c r="M892" i="4" s="1" a="1"/>
  <c r="M892" i="4" s="1"/>
  <c r="O892" i="4" s="1"/>
  <c r="K891" i="4"/>
  <c r="J891" i="4"/>
  <c r="I891" i="4"/>
  <c r="M891" i="4" s="1" a="1"/>
  <c r="M891" i="4" s="1"/>
  <c r="O891" i="4" s="1"/>
  <c r="K890" i="4"/>
  <c r="J890" i="4"/>
  <c r="I890" i="4"/>
  <c r="K889" i="4"/>
  <c r="J889" i="4"/>
  <c r="I889" i="4"/>
  <c r="K888" i="4"/>
  <c r="J888" i="4"/>
  <c r="I888" i="4"/>
  <c r="K887" i="4"/>
  <c r="J887" i="4"/>
  <c r="I887" i="4"/>
  <c r="K886" i="4"/>
  <c r="J886" i="4"/>
  <c r="I886" i="4"/>
  <c r="M886" i="4" s="1" a="1"/>
  <c r="M886" i="4" s="1"/>
  <c r="O886" i="4" s="1"/>
  <c r="K885" i="4"/>
  <c r="J885" i="4"/>
  <c r="I885" i="4"/>
  <c r="M885" i="4" s="1" a="1"/>
  <c r="M885" i="4" s="1"/>
  <c r="O885" i="4" s="1"/>
  <c r="K884" i="4"/>
  <c r="J884" i="4"/>
  <c r="I884" i="4"/>
  <c r="K883" i="4"/>
  <c r="J883" i="4"/>
  <c r="I883" i="4"/>
  <c r="M883" i="4" s="1" a="1"/>
  <c r="M883" i="4" s="1"/>
  <c r="O883" i="4" s="1"/>
  <c r="K882" i="4"/>
  <c r="J882" i="4"/>
  <c r="I882" i="4"/>
  <c r="K881" i="4"/>
  <c r="J881" i="4"/>
  <c r="I881" i="4"/>
  <c r="M881" i="4" s="1" a="1"/>
  <c r="M881" i="4" s="1"/>
  <c r="O881" i="4" s="1"/>
  <c r="K880" i="4"/>
  <c r="J880" i="4"/>
  <c r="I880" i="4"/>
  <c r="M880" i="4" s="1" a="1"/>
  <c r="M880" i="4" s="1"/>
  <c r="O880" i="4" s="1"/>
  <c r="K879" i="4"/>
  <c r="J879" i="4"/>
  <c r="I879" i="4"/>
  <c r="K878" i="4"/>
  <c r="J878" i="4"/>
  <c r="I878" i="4"/>
  <c r="M878" i="4" s="1" a="1"/>
  <c r="M878" i="4" s="1"/>
  <c r="O878" i="4" s="1"/>
  <c r="K877" i="4"/>
  <c r="J877" i="4"/>
  <c r="I877" i="4"/>
  <c r="M877" i="4" s="1" a="1"/>
  <c r="M877" i="4" s="1"/>
  <c r="O877" i="4" s="1"/>
  <c r="K876" i="4"/>
  <c r="J876" i="4"/>
  <c r="I876" i="4"/>
  <c r="M876" i="4" s="1" a="1"/>
  <c r="M876" i="4" s="1"/>
  <c r="O876" i="4" s="1"/>
  <c r="K875" i="4"/>
  <c r="J875" i="4"/>
  <c r="I875" i="4"/>
  <c r="M875" i="4" s="1" a="1"/>
  <c r="M875" i="4" s="1"/>
  <c r="O875" i="4" s="1"/>
  <c r="K874" i="4"/>
  <c r="J874" i="4"/>
  <c r="I874" i="4"/>
  <c r="K873" i="4"/>
  <c r="J873" i="4"/>
  <c r="I873" i="4"/>
  <c r="K872" i="4"/>
  <c r="J872" i="4"/>
  <c r="I872" i="4"/>
  <c r="K871" i="4"/>
  <c r="J871" i="4"/>
  <c r="I871" i="4"/>
  <c r="K870" i="4"/>
  <c r="J870" i="4"/>
  <c r="I870" i="4"/>
  <c r="M870" i="4" s="1" a="1"/>
  <c r="M870" i="4" s="1"/>
  <c r="O870" i="4" s="1"/>
  <c r="K869" i="4"/>
  <c r="J869" i="4"/>
  <c r="I869" i="4"/>
  <c r="M869" i="4" s="1" a="1"/>
  <c r="M869" i="4" s="1"/>
  <c r="O869" i="4" s="1"/>
  <c r="K868" i="4"/>
  <c r="J868" i="4"/>
  <c r="I868" i="4"/>
  <c r="K867" i="4"/>
  <c r="J867" i="4"/>
  <c r="I867" i="4"/>
  <c r="M867" i="4" s="1" a="1"/>
  <c r="M867" i="4" s="1"/>
  <c r="O867" i="4" s="1"/>
  <c r="K866" i="4"/>
  <c r="J866" i="4"/>
  <c r="I866" i="4"/>
  <c r="K865" i="4"/>
  <c r="J865" i="4"/>
  <c r="I865" i="4"/>
  <c r="M865" i="4" s="1" a="1"/>
  <c r="M865" i="4" s="1"/>
  <c r="O865" i="4" s="1"/>
  <c r="K864" i="4"/>
  <c r="J864" i="4"/>
  <c r="I864" i="4"/>
  <c r="M864" i="4" s="1" a="1"/>
  <c r="M864" i="4" s="1"/>
  <c r="O864" i="4" s="1"/>
  <c r="K863" i="4"/>
  <c r="J863" i="4"/>
  <c r="I863" i="4"/>
  <c r="K862" i="4"/>
  <c r="J862" i="4"/>
  <c r="I862" i="4"/>
  <c r="M862" i="4" s="1" a="1"/>
  <c r="M862" i="4" s="1"/>
  <c r="O862" i="4" s="1"/>
  <c r="K861" i="4"/>
  <c r="J861" i="4"/>
  <c r="I861" i="4"/>
  <c r="M861" i="4" s="1" a="1"/>
  <c r="M861" i="4" s="1"/>
  <c r="O861" i="4" s="1"/>
  <c r="K860" i="4"/>
  <c r="J860" i="4"/>
  <c r="I860" i="4"/>
  <c r="M860" i="4" s="1" a="1"/>
  <c r="M860" i="4" s="1"/>
  <c r="O860" i="4" s="1"/>
  <c r="K859" i="4"/>
  <c r="J859" i="4"/>
  <c r="I859" i="4"/>
  <c r="M859" i="4" s="1" a="1"/>
  <c r="M859" i="4" s="1"/>
  <c r="O859" i="4" s="1"/>
  <c r="K858" i="4"/>
  <c r="J858" i="4"/>
  <c r="I858" i="4"/>
  <c r="K857" i="4"/>
  <c r="J857" i="4"/>
  <c r="I857" i="4"/>
  <c r="K856" i="4"/>
  <c r="J856" i="4"/>
  <c r="I856" i="4"/>
  <c r="M856" i="4" s="1" a="1"/>
  <c r="M856" i="4" s="1"/>
  <c r="O856" i="4" s="1"/>
  <c r="K855" i="4"/>
  <c r="J855" i="4"/>
  <c r="I855" i="4"/>
  <c r="K854" i="4"/>
  <c r="J854" i="4"/>
  <c r="I854" i="4"/>
  <c r="M854" i="4" s="1" a="1"/>
  <c r="M854" i="4" s="1"/>
  <c r="O854" i="4" s="1"/>
  <c r="K853" i="4"/>
  <c r="J853" i="4"/>
  <c r="I853" i="4"/>
  <c r="M853" i="4" s="1" a="1"/>
  <c r="M853" i="4" s="1"/>
  <c r="O853" i="4" s="1"/>
  <c r="K852" i="4"/>
  <c r="J852" i="4"/>
  <c r="I852" i="4"/>
  <c r="K851" i="4"/>
  <c r="J851" i="4"/>
  <c r="I851" i="4"/>
  <c r="M851" i="4" s="1" a="1"/>
  <c r="M851" i="4" s="1"/>
  <c r="O851" i="4" s="1"/>
  <c r="K850" i="4"/>
  <c r="J850" i="4"/>
  <c r="I850" i="4"/>
  <c r="K849" i="4"/>
  <c r="J849" i="4"/>
  <c r="I849" i="4"/>
  <c r="M849" i="4" s="1" a="1"/>
  <c r="M849" i="4" s="1"/>
  <c r="O849" i="4" s="1"/>
  <c r="K848" i="4"/>
  <c r="J848" i="4"/>
  <c r="I848" i="4"/>
  <c r="M848" i="4" s="1" a="1"/>
  <c r="M848" i="4" s="1"/>
  <c r="O848" i="4" s="1"/>
  <c r="K847" i="4"/>
  <c r="J847" i="4"/>
  <c r="I847" i="4"/>
  <c r="K846" i="4"/>
  <c r="J846" i="4"/>
  <c r="I846" i="4"/>
  <c r="M846" i="4" s="1" a="1"/>
  <c r="M846" i="4" s="1"/>
  <c r="O846" i="4" s="1"/>
  <c r="K845" i="4"/>
  <c r="J845" i="4"/>
  <c r="I845" i="4"/>
  <c r="M845" i="4" s="1" a="1"/>
  <c r="M845" i="4" s="1"/>
  <c r="O845" i="4" s="1"/>
  <c r="K844" i="4"/>
  <c r="J844" i="4"/>
  <c r="I844" i="4"/>
  <c r="M844" i="4" s="1" a="1"/>
  <c r="M844" i="4" s="1"/>
  <c r="O844" i="4" s="1"/>
  <c r="K843" i="4"/>
  <c r="J843" i="4"/>
  <c r="I843" i="4"/>
  <c r="M843" i="4" s="1" a="1"/>
  <c r="M843" i="4" s="1"/>
  <c r="O843" i="4" s="1"/>
  <c r="K842" i="4"/>
  <c r="J842" i="4"/>
  <c r="I842" i="4"/>
  <c r="K841" i="4"/>
  <c r="J841" i="4"/>
  <c r="I841" i="4"/>
  <c r="K840" i="4"/>
  <c r="J840" i="4"/>
  <c r="I840" i="4"/>
  <c r="K839" i="4"/>
  <c r="J839" i="4"/>
  <c r="I839" i="4"/>
  <c r="K838" i="4"/>
  <c r="J838" i="4"/>
  <c r="I838" i="4"/>
  <c r="M838" i="4" s="1" a="1"/>
  <c r="M838" i="4" s="1"/>
  <c r="O838" i="4" s="1"/>
  <c r="K837" i="4"/>
  <c r="J837" i="4"/>
  <c r="I837" i="4"/>
  <c r="K836" i="4"/>
  <c r="J836" i="4"/>
  <c r="I836" i="4"/>
  <c r="K835" i="4"/>
  <c r="J835" i="4"/>
  <c r="I835" i="4"/>
  <c r="M835" i="4" s="1" a="1"/>
  <c r="M835" i="4" s="1"/>
  <c r="O835" i="4" s="1"/>
  <c r="K834" i="4"/>
  <c r="J834" i="4"/>
  <c r="I834" i="4"/>
  <c r="K833" i="4"/>
  <c r="J833" i="4"/>
  <c r="I833" i="4"/>
  <c r="M833" i="4" s="1" a="1"/>
  <c r="M833" i="4" s="1"/>
  <c r="O833" i="4" s="1"/>
  <c r="K832" i="4"/>
  <c r="J832" i="4"/>
  <c r="I832" i="4"/>
  <c r="M832" i="4" s="1" a="1"/>
  <c r="M832" i="4" s="1"/>
  <c r="O832" i="4" s="1"/>
  <c r="K831" i="4"/>
  <c r="J831" i="4"/>
  <c r="I831" i="4"/>
  <c r="K830" i="4"/>
  <c r="J830" i="4"/>
  <c r="I830" i="4"/>
  <c r="M830" i="4" s="1" a="1"/>
  <c r="M830" i="4" s="1"/>
  <c r="O830" i="4" s="1"/>
  <c r="K829" i="4"/>
  <c r="J829" i="4"/>
  <c r="I829" i="4"/>
  <c r="M829" i="4" s="1" a="1"/>
  <c r="M829" i="4" s="1"/>
  <c r="O829" i="4" s="1"/>
  <c r="K828" i="4"/>
  <c r="J828" i="4"/>
  <c r="I828" i="4"/>
  <c r="M828" i="4" s="1" a="1"/>
  <c r="M828" i="4" s="1"/>
  <c r="O828" i="4" s="1"/>
  <c r="K827" i="4"/>
  <c r="J827" i="4"/>
  <c r="I827" i="4"/>
  <c r="M827" i="4" s="1" a="1"/>
  <c r="M827" i="4" s="1"/>
  <c r="O827" i="4" s="1"/>
  <c r="K826" i="4"/>
  <c r="J826" i="4"/>
  <c r="I826" i="4"/>
  <c r="K825" i="4"/>
  <c r="J825" i="4"/>
  <c r="I825" i="4"/>
  <c r="K824" i="4"/>
  <c r="J824" i="4"/>
  <c r="I824" i="4"/>
  <c r="K823" i="4"/>
  <c r="J823" i="4"/>
  <c r="I823" i="4"/>
  <c r="K822" i="4"/>
  <c r="J822" i="4"/>
  <c r="I822" i="4"/>
  <c r="M822" i="4" s="1" a="1"/>
  <c r="M822" i="4" s="1"/>
  <c r="O822" i="4" s="1"/>
  <c r="K821" i="4"/>
  <c r="J821" i="4"/>
  <c r="I821" i="4"/>
  <c r="M821" i="4" s="1" a="1"/>
  <c r="M821" i="4" s="1"/>
  <c r="O821" i="4" s="1"/>
  <c r="K820" i="4"/>
  <c r="J820" i="4"/>
  <c r="I820" i="4"/>
  <c r="K819" i="4"/>
  <c r="J819" i="4"/>
  <c r="I819" i="4"/>
  <c r="K818" i="4"/>
  <c r="J818" i="4"/>
  <c r="I818" i="4"/>
  <c r="K817" i="4"/>
  <c r="J817" i="4"/>
  <c r="I817" i="4"/>
  <c r="M817" i="4" s="1" a="1"/>
  <c r="M817" i="4" s="1"/>
  <c r="O817" i="4" s="1"/>
  <c r="K816" i="4"/>
  <c r="J816" i="4"/>
  <c r="I816" i="4"/>
  <c r="M816" i="4" s="1" a="1"/>
  <c r="M816" i="4" s="1"/>
  <c r="O816" i="4" s="1"/>
  <c r="K815" i="4"/>
  <c r="J815" i="4"/>
  <c r="I815" i="4"/>
  <c r="K814" i="4"/>
  <c r="J814" i="4"/>
  <c r="I814" i="4"/>
  <c r="M814" i="4" s="1" a="1"/>
  <c r="M814" i="4" s="1"/>
  <c r="O814" i="4" s="1"/>
  <c r="K813" i="4"/>
  <c r="J813" i="4"/>
  <c r="I813" i="4"/>
  <c r="M813" i="4" s="1" a="1"/>
  <c r="M813" i="4" s="1"/>
  <c r="O813" i="4" s="1"/>
  <c r="K812" i="4"/>
  <c r="J812" i="4"/>
  <c r="I812" i="4"/>
  <c r="M812" i="4" s="1" a="1"/>
  <c r="M812" i="4" s="1"/>
  <c r="O812" i="4" s="1"/>
  <c r="K811" i="4"/>
  <c r="J811" i="4"/>
  <c r="I811" i="4"/>
  <c r="M811" i="4" s="1" a="1"/>
  <c r="M811" i="4" s="1"/>
  <c r="O811" i="4" s="1"/>
  <c r="K810" i="4"/>
  <c r="J810" i="4"/>
  <c r="I810" i="4"/>
  <c r="K809" i="4"/>
  <c r="J809" i="4"/>
  <c r="I809" i="4"/>
  <c r="K808" i="4"/>
  <c r="M808" i="4" s="1" a="1"/>
  <c r="M808" i="4" s="1"/>
  <c r="O808" i="4" s="1"/>
  <c r="J808" i="4"/>
  <c r="I808" i="4"/>
  <c r="K807" i="4"/>
  <c r="J807" i="4"/>
  <c r="I807" i="4"/>
  <c r="K806" i="4"/>
  <c r="J806" i="4"/>
  <c r="I806" i="4"/>
  <c r="M806" i="4" s="1" a="1"/>
  <c r="M806" i="4" s="1"/>
  <c r="O806" i="4" s="1"/>
  <c r="K805" i="4"/>
  <c r="J805" i="4"/>
  <c r="I805" i="4"/>
  <c r="M805" i="4" s="1" a="1"/>
  <c r="M805" i="4" s="1"/>
  <c r="O805" i="4" s="1"/>
  <c r="K804" i="4"/>
  <c r="J804" i="4"/>
  <c r="I804" i="4"/>
  <c r="K803" i="4"/>
  <c r="J803" i="4"/>
  <c r="I803" i="4"/>
  <c r="K802" i="4"/>
  <c r="J802" i="4"/>
  <c r="I802" i="4"/>
  <c r="K801" i="4"/>
  <c r="J801" i="4"/>
  <c r="I801" i="4"/>
  <c r="M801" i="4" s="1" a="1"/>
  <c r="M801" i="4" s="1"/>
  <c r="O801" i="4" s="1"/>
  <c r="K800" i="4"/>
  <c r="J800" i="4"/>
  <c r="I800" i="4"/>
  <c r="M800" i="4" s="1" a="1"/>
  <c r="M800" i="4" s="1"/>
  <c r="O800" i="4" s="1"/>
  <c r="K799" i="4"/>
  <c r="J799" i="4"/>
  <c r="I799" i="4"/>
  <c r="K798" i="4"/>
  <c r="J798" i="4"/>
  <c r="I798" i="4"/>
  <c r="M798" i="4" s="1" a="1"/>
  <c r="M798" i="4" s="1"/>
  <c r="O798" i="4" s="1"/>
  <c r="K797" i="4"/>
  <c r="J797" i="4"/>
  <c r="I797" i="4"/>
  <c r="M797" i="4" s="1" a="1"/>
  <c r="M797" i="4" s="1"/>
  <c r="O797" i="4" s="1"/>
  <c r="K796" i="4"/>
  <c r="J796" i="4"/>
  <c r="I796" i="4"/>
  <c r="M796" i="4" s="1" a="1"/>
  <c r="M796" i="4" s="1"/>
  <c r="O796" i="4" s="1"/>
  <c r="K795" i="4"/>
  <c r="J795" i="4"/>
  <c r="I795" i="4"/>
  <c r="M795" i="4" s="1" a="1"/>
  <c r="M795" i="4" s="1"/>
  <c r="O795" i="4" s="1"/>
  <c r="K794" i="4"/>
  <c r="J794" i="4"/>
  <c r="I794" i="4"/>
  <c r="K793" i="4"/>
  <c r="J793" i="4"/>
  <c r="I793" i="4"/>
  <c r="K792" i="4"/>
  <c r="J792" i="4"/>
  <c r="I792" i="4"/>
  <c r="M792" i="4" s="1" a="1"/>
  <c r="M792" i="4" s="1"/>
  <c r="O792" i="4" s="1"/>
  <c r="K791" i="4"/>
  <c r="J791" i="4"/>
  <c r="I791" i="4"/>
  <c r="K790" i="4"/>
  <c r="J790" i="4"/>
  <c r="I790" i="4"/>
  <c r="M790" i="4" s="1" a="1"/>
  <c r="M790" i="4" s="1"/>
  <c r="O790" i="4" s="1"/>
  <c r="K789" i="4"/>
  <c r="J789" i="4"/>
  <c r="I789" i="4"/>
  <c r="M789" i="4" s="1" a="1"/>
  <c r="M789" i="4" s="1"/>
  <c r="O789" i="4" s="1"/>
  <c r="K788" i="4"/>
  <c r="J788" i="4"/>
  <c r="I788" i="4"/>
  <c r="K787" i="4"/>
  <c r="J787" i="4"/>
  <c r="I787" i="4"/>
  <c r="K786" i="4"/>
  <c r="J786" i="4"/>
  <c r="I786" i="4"/>
  <c r="K785" i="4"/>
  <c r="J785" i="4"/>
  <c r="I785" i="4"/>
  <c r="M785" i="4" s="1" a="1"/>
  <c r="M785" i="4" s="1"/>
  <c r="O785" i="4" s="1"/>
  <c r="K784" i="4"/>
  <c r="J784" i="4"/>
  <c r="I784" i="4"/>
  <c r="M784" i="4" s="1" a="1"/>
  <c r="M784" i="4" s="1"/>
  <c r="O784" i="4" s="1"/>
  <c r="K783" i="4"/>
  <c r="J783" i="4"/>
  <c r="I783" i="4"/>
  <c r="K782" i="4"/>
  <c r="J782" i="4"/>
  <c r="I782" i="4"/>
  <c r="M782" i="4" s="1" a="1"/>
  <c r="M782" i="4" s="1"/>
  <c r="O782" i="4" s="1"/>
  <c r="K781" i="4"/>
  <c r="J781" i="4"/>
  <c r="I781" i="4"/>
  <c r="M781" i="4" s="1" a="1"/>
  <c r="M781" i="4" s="1"/>
  <c r="O781" i="4" s="1"/>
  <c r="K780" i="4"/>
  <c r="J780" i="4"/>
  <c r="I780" i="4"/>
  <c r="M780" i="4" s="1" a="1"/>
  <c r="M780" i="4" s="1"/>
  <c r="O780" i="4" s="1"/>
  <c r="K779" i="4"/>
  <c r="J779" i="4"/>
  <c r="I779" i="4"/>
  <c r="K778" i="4"/>
  <c r="J778" i="4"/>
  <c r="I778" i="4"/>
  <c r="K777" i="4"/>
  <c r="J777" i="4"/>
  <c r="I777" i="4"/>
  <c r="K776" i="4"/>
  <c r="J776" i="4"/>
  <c r="I776" i="4"/>
  <c r="M776" i="4" s="1" a="1"/>
  <c r="M776" i="4" s="1"/>
  <c r="O776" i="4" s="1"/>
  <c r="K775" i="4"/>
  <c r="J775" i="4"/>
  <c r="I775" i="4"/>
  <c r="K774" i="4"/>
  <c r="J774" i="4"/>
  <c r="I774" i="4"/>
  <c r="M774" i="4" s="1" a="1"/>
  <c r="M774" i="4" s="1"/>
  <c r="O774" i="4" s="1"/>
  <c r="K773" i="4"/>
  <c r="J773" i="4"/>
  <c r="I773" i="4"/>
  <c r="M773" i="4" s="1" a="1"/>
  <c r="M773" i="4" s="1"/>
  <c r="O773" i="4" s="1"/>
  <c r="K772" i="4"/>
  <c r="J772" i="4"/>
  <c r="I772" i="4"/>
  <c r="K771" i="4"/>
  <c r="J771" i="4"/>
  <c r="I771" i="4"/>
  <c r="K770" i="4"/>
  <c r="J770" i="4"/>
  <c r="I770" i="4"/>
  <c r="K769" i="4"/>
  <c r="J769" i="4"/>
  <c r="I769" i="4"/>
  <c r="M769" i="4" s="1" a="1"/>
  <c r="M769" i="4" s="1"/>
  <c r="O769" i="4" s="1"/>
  <c r="K768" i="4"/>
  <c r="J768" i="4"/>
  <c r="I768" i="4"/>
  <c r="M768" i="4" s="1" a="1"/>
  <c r="M768" i="4" s="1"/>
  <c r="O768" i="4" s="1"/>
  <c r="K767" i="4"/>
  <c r="J767" i="4"/>
  <c r="I767" i="4"/>
  <c r="K766" i="4"/>
  <c r="J766" i="4"/>
  <c r="I766" i="4"/>
  <c r="M766" i="4" s="1" a="1"/>
  <c r="M766" i="4" s="1"/>
  <c r="O766" i="4" s="1"/>
  <c r="K765" i="4"/>
  <c r="J765" i="4"/>
  <c r="I765" i="4"/>
  <c r="M765" i="4" s="1" a="1"/>
  <c r="M765" i="4" s="1"/>
  <c r="O765" i="4" s="1"/>
  <c r="K764" i="4"/>
  <c r="J764" i="4"/>
  <c r="I764" i="4"/>
  <c r="M764" i="4" s="1" a="1"/>
  <c r="M764" i="4" s="1"/>
  <c r="O764" i="4" s="1"/>
  <c r="K763" i="4"/>
  <c r="J763" i="4"/>
  <c r="I763" i="4"/>
  <c r="K762" i="4"/>
  <c r="J762" i="4"/>
  <c r="M762" i="4" s="1" a="1"/>
  <c r="M762" i="4" s="1"/>
  <c r="O762" i="4" s="1"/>
  <c r="I762" i="4"/>
  <c r="K761" i="4"/>
  <c r="M761" i="4" s="1" a="1"/>
  <c r="M761" i="4" s="1"/>
  <c r="O761" i="4" s="1"/>
  <c r="J761" i="4"/>
  <c r="I761" i="4"/>
  <c r="K760" i="4"/>
  <c r="J760" i="4"/>
  <c r="I760" i="4"/>
  <c r="K759" i="4"/>
  <c r="J759" i="4"/>
  <c r="I759" i="4"/>
  <c r="K758" i="4"/>
  <c r="J758" i="4"/>
  <c r="I758" i="4"/>
  <c r="M758" i="4" s="1" a="1"/>
  <c r="M758" i="4" s="1"/>
  <c r="O758" i="4" s="1"/>
  <c r="K757" i="4"/>
  <c r="J757" i="4"/>
  <c r="I757" i="4"/>
  <c r="M757" i="4" s="1" a="1"/>
  <c r="M757" i="4" s="1"/>
  <c r="O757" i="4" s="1"/>
  <c r="K756" i="4"/>
  <c r="J756" i="4"/>
  <c r="I756" i="4"/>
  <c r="K755" i="4"/>
  <c r="J755" i="4"/>
  <c r="I755" i="4"/>
  <c r="K754" i="4"/>
  <c r="J754" i="4"/>
  <c r="I754" i="4"/>
  <c r="K753" i="4"/>
  <c r="J753" i="4"/>
  <c r="I753" i="4"/>
  <c r="M753" i="4" s="1" a="1"/>
  <c r="M753" i="4" s="1"/>
  <c r="O753" i="4" s="1"/>
  <c r="K752" i="4"/>
  <c r="J752" i="4"/>
  <c r="I752" i="4"/>
  <c r="M752" i="4" s="1" a="1"/>
  <c r="M752" i="4" s="1"/>
  <c r="O752" i="4" s="1"/>
  <c r="K751" i="4"/>
  <c r="J751" i="4"/>
  <c r="I751" i="4"/>
  <c r="K750" i="4"/>
  <c r="J750" i="4"/>
  <c r="I750" i="4"/>
  <c r="M750" i="4" s="1" a="1"/>
  <c r="M750" i="4" s="1"/>
  <c r="O750" i="4" s="1"/>
  <c r="K749" i="4"/>
  <c r="J749" i="4"/>
  <c r="I749" i="4"/>
  <c r="M749" i="4" s="1" a="1"/>
  <c r="M749" i="4" s="1"/>
  <c r="O749" i="4" s="1"/>
  <c r="K748" i="4"/>
  <c r="J748" i="4"/>
  <c r="I748" i="4"/>
  <c r="K747" i="4"/>
  <c r="J747" i="4"/>
  <c r="I747" i="4"/>
  <c r="K746" i="4"/>
  <c r="J746" i="4"/>
  <c r="I746" i="4"/>
  <c r="K745" i="4"/>
  <c r="J745" i="4"/>
  <c r="I745" i="4"/>
  <c r="K744" i="4"/>
  <c r="J744" i="4"/>
  <c r="I744" i="4"/>
  <c r="K743" i="4"/>
  <c r="J743" i="4"/>
  <c r="I743" i="4"/>
  <c r="K742" i="4"/>
  <c r="J742" i="4"/>
  <c r="I742" i="4"/>
  <c r="M742" i="4" s="1" a="1"/>
  <c r="M742" i="4" s="1"/>
  <c r="O742" i="4" s="1"/>
  <c r="K741" i="4"/>
  <c r="J741" i="4"/>
  <c r="I741" i="4"/>
  <c r="M741" i="4" s="1" a="1"/>
  <c r="M741" i="4" s="1"/>
  <c r="O741" i="4" s="1"/>
  <c r="K740" i="4"/>
  <c r="J740" i="4"/>
  <c r="I740" i="4"/>
  <c r="K739" i="4"/>
  <c r="J739" i="4"/>
  <c r="I739" i="4"/>
  <c r="K738" i="4"/>
  <c r="J738" i="4"/>
  <c r="M738" i="4" s="1" a="1"/>
  <c r="M738" i="4" s="1"/>
  <c r="O738" i="4" s="1"/>
  <c r="I738" i="4"/>
  <c r="K737" i="4"/>
  <c r="J737" i="4"/>
  <c r="I737" i="4"/>
  <c r="M737" i="4" s="1" a="1"/>
  <c r="M737" i="4" s="1"/>
  <c r="O737" i="4" s="1"/>
  <c r="K736" i="4"/>
  <c r="J736" i="4"/>
  <c r="M736" i="4" s="1" a="1"/>
  <c r="M736" i="4" s="1"/>
  <c r="O736" i="4" s="1"/>
  <c r="I736" i="4"/>
  <c r="K735" i="4"/>
  <c r="J735" i="4"/>
  <c r="I735" i="4"/>
  <c r="K734" i="4"/>
  <c r="J734" i="4"/>
  <c r="I734" i="4"/>
  <c r="M734" i="4" s="1" a="1"/>
  <c r="M734" i="4" s="1"/>
  <c r="O734" i="4" s="1"/>
  <c r="K733" i="4"/>
  <c r="J733" i="4"/>
  <c r="I733" i="4"/>
  <c r="M733" i="4" s="1" a="1"/>
  <c r="M733" i="4" s="1"/>
  <c r="O733" i="4" s="1"/>
  <c r="K732" i="4"/>
  <c r="J732" i="4"/>
  <c r="I732" i="4"/>
  <c r="M732" i="4" s="1" a="1"/>
  <c r="M732" i="4" s="1"/>
  <c r="O732" i="4" s="1"/>
  <c r="K731" i="4"/>
  <c r="J731" i="4"/>
  <c r="I731" i="4"/>
  <c r="K730" i="4"/>
  <c r="J730" i="4"/>
  <c r="I730" i="4"/>
  <c r="K729" i="4"/>
  <c r="J729" i="4"/>
  <c r="I729" i="4"/>
  <c r="K728" i="4"/>
  <c r="J728" i="4"/>
  <c r="I728" i="4"/>
  <c r="K727" i="4"/>
  <c r="J727" i="4"/>
  <c r="I727" i="4"/>
  <c r="K726" i="4"/>
  <c r="J726" i="4"/>
  <c r="I726" i="4"/>
  <c r="M726" i="4" s="1" a="1"/>
  <c r="M726" i="4" s="1"/>
  <c r="O726" i="4" s="1"/>
  <c r="K725" i="4"/>
  <c r="J725" i="4"/>
  <c r="I725" i="4"/>
  <c r="M725" i="4" s="1" a="1"/>
  <c r="M725" i="4" s="1"/>
  <c r="O725" i="4" s="1"/>
  <c r="K724" i="4"/>
  <c r="J724" i="4"/>
  <c r="I724" i="4"/>
  <c r="K723" i="4"/>
  <c r="J723" i="4"/>
  <c r="M723" i="4" s="1" a="1"/>
  <c r="M723" i="4" s="1"/>
  <c r="O723" i="4" s="1"/>
  <c r="I723" i="4"/>
  <c r="K722" i="4"/>
  <c r="J722" i="4"/>
  <c r="I722" i="4"/>
  <c r="K721" i="4"/>
  <c r="J721" i="4"/>
  <c r="I721" i="4"/>
  <c r="M721" i="4" s="1" a="1"/>
  <c r="M721" i="4" s="1"/>
  <c r="O721" i="4" s="1"/>
  <c r="K720" i="4"/>
  <c r="J720" i="4"/>
  <c r="I720" i="4"/>
  <c r="M720" i="4" s="1" a="1"/>
  <c r="M720" i="4" s="1"/>
  <c r="O720" i="4" s="1"/>
  <c r="K719" i="4"/>
  <c r="J719" i="4"/>
  <c r="I719" i="4"/>
  <c r="K718" i="4"/>
  <c r="J718" i="4"/>
  <c r="I718" i="4"/>
  <c r="M718" i="4" s="1" a="1"/>
  <c r="M718" i="4" s="1"/>
  <c r="O718" i="4" s="1"/>
  <c r="K717" i="4"/>
  <c r="J717" i="4"/>
  <c r="I717" i="4"/>
  <c r="M717" i="4" s="1" a="1"/>
  <c r="M717" i="4" s="1"/>
  <c r="O717" i="4" s="1"/>
  <c r="K716" i="4"/>
  <c r="J716" i="4"/>
  <c r="I716" i="4"/>
  <c r="M716" i="4" s="1" a="1"/>
  <c r="M716" i="4" s="1"/>
  <c r="O716" i="4" s="1"/>
  <c r="K715" i="4"/>
  <c r="J715" i="4"/>
  <c r="I715" i="4"/>
  <c r="K714" i="4"/>
  <c r="J714" i="4"/>
  <c r="I714" i="4"/>
  <c r="K713" i="4"/>
  <c r="J713" i="4"/>
  <c r="I713" i="4"/>
  <c r="K712" i="4"/>
  <c r="J712" i="4"/>
  <c r="I712" i="4"/>
  <c r="M712" i="4" s="1" a="1"/>
  <c r="M712" i="4" s="1"/>
  <c r="O712" i="4" s="1"/>
  <c r="K711" i="4"/>
  <c r="J711" i="4"/>
  <c r="I711" i="4"/>
  <c r="K710" i="4"/>
  <c r="J710" i="4"/>
  <c r="I710" i="4"/>
  <c r="M710" i="4" s="1" a="1"/>
  <c r="M710" i="4" s="1"/>
  <c r="O710" i="4" s="1"/>
  <c r="K709" i="4"/>
  <c r="J709" i="4"/>
  <c r="I709" i="4"/>
  <c r="M709" i="4" s="1" a="1"/>
  <c r="M709" i="4" s="1"/>
  <c r="O709" i="4" s="1"/>
  <c r="K708" i="4"/>
  <c r="J708" i="4"/>
  <c r="I708" i="4"/>
  <c r="K707" i="4"/>
  <c r="J707" i="4"/>
  <c r="I707" i="4"/>
  <c r="K706" i="4"/>
  <c r="J706" i="4"/>
  <c r="I706" i="4"/>
  <c r="K705" i="4"/>
  <c r="J705" i="4"/>
  <c r="I705" i="4"/>
  <c r="M705" i="4" s="1" a="1"/>
  <c r="M705" i="4" s="1"/>
  <c r="O705" i="4" s="1"/>
  <c r="K704" i="4"/>
  <c r="J704" i="4"/>
  <c r="I704" i="4"/>
  <c r="M704" i="4" s="1" a="1"/>
  <c r="M704" i="4" s="1"/>
  <c r="O704" i="4" s="1"/>
  <c r="K703" i="4"/>
  <c r="J703" i="4"/>
  <c r="I703" i="4"/>
  <c r="K702" i="4"/>
  <c r="J702" i="4"/>
  <c r="I702" i="4"/>
  <c r="M702" i="4" s="1" a="1"/>
  <c r="M702" i="4" s="1"/>
  <c r="O702" i="4" s="1"/>
  <c r="K701" i="4"/>
  <c r="J701" i="4"/>
  <c r="I701" i="4"/>
  <c r="M701" i="4" s="1" a="1"/>
  <c r="M701" i="4" s="1"/>
  <c r="O701" i="4" s="1"/>
  <c r="K700" i="4"/>
  <c r="J700" i="4"/>
  <c r="I700" i="4"/>
  <c r="M700" i="4" s="1" a="1"/>
  <c r="M700" i="4" s="1"/>
  <c r="O700" i="4" s="1"/>
  <c r="K699" i="4"/>
  <c r="J699" i="4"/>
  <c r="I699" i="4"/>
  <c r="K698" i="4"/>
  <c r="J698" i="4"/>
  <c r="M698" i="4" s="1" a="1"/>
  <c r="M698" i="4" s="1"/>
  <c r="O698" i="4" s="1"/>
  <c r="I698" i="4"/>
  <c r="K697" i="4"/>
  <c r="M697" i="4" s="1" a="1"/>
  <c r="M697" i="4" s="1"/>
  <c r="O697" i="4" s="1"/>
  <c r="J697" i="4"/>
  <c r="I697" i="4"/>
  <c r="K696" i="4"/>
  <c r="J696" i="4"/>
  <c r="I696" i="4"/>
  <c r="K695" i="4"/>
  <c r="J695" i="4"/>
  <c r="I695" i="4"/>
  <c r="K694" i="4"/>
  <c r="J694" i="4"/>
  <c r="I694" i="4"/>
  <c r="M694" i="4" s="1" a="1"/>
  <c r="M694" i="4" s="1"/>
  <c r="O694" i="4" s="1"/>
  <c r="K693" i="4"/>
  <c r="J693" i="4"/>
  <c r="I693" i="4"/>
  <c r="M693" i="4" s="1" a="1"/>
  <c r="M693" i="4" s="1"/>
  <c r="O693" i="4" s="1"/>
  <c r="K692" i="4"/>
  <c r="J692" i="4"/>
  <c r="I692" i="4"/>
  <c r="K691" i="4"/>
  <c r="J691" i="4"/>
  <c r="I691" i="4"/>
  <c r="K690" i="4"/>
  <c r="J690" i="4"/>
  <c r="I690" i="4"/>
  <c r="K689" i="4"/>
  <c r="J689" i="4"/>
  <c r="I689" i="4"/>
  <c r="M689" i="4" s="1" a="1"/>
  <c r="M689" i="4" s="1"/>
  <c r="O689" i="4" s="1"/>
  <c r="K688" i="4"/>
  <c r="J688" i="4"/>
  <c r="I688" i="4"/>
  <c r="M688" i="4" s="1" a="1"/>
  <c r="M688" i="4" s="1"/>
  <c r="O688" i="4" s="1"/>
  <c r="K687" i="4"/>
  <c r="J687" i="4"/>
  <c r="I687" i="4"/>
  <c r="K686" i="4"/>
  <c r="J686" i="4"/>
  <c r="I686" i="4"/>
  <c r="M686" i="4" s="1" a="1"/>
  <c r="M686" i="4" s="1"/>
  <c r="O686" i="4" s="1"/>
  <c r="K685" i="4"/>
  <c r="J685" i="4"/>
  <c r="I685" i="4"/>
  <c r="M685" i="4" s="1" a="1"/>
  <c r="M685" i="4" s="1"/>
  <c r="O685" i="4" s="1"/>
  <c r="K684" i="4"/>
  <c r="J684" i="4"/>
  <c r="I684" i="4"/>
  <c r="M684" i="4" s="1" a="1"/>
  <c r="M684" i="4" s="1"/>
  <c r="O684" i="4" s="1"/>
  <c r="K683" i="4"/>
  <c r="J683" i="4"/>
  <c r="I683" i="4"/>
  <c r="K682" i="4"/>
  <c r="J682" i="4"/>
  <c r="I682" i="4"/>
  <c r="K681" i="4"/>
  <c r="J681" i="4"/>
  <c r="I681" i="4"/>
  <c r="K680" i="4"/>
  <c r="J680" i="4"/>
  <c r="I680" i="4"/>
  <c r="K679" i="4"/>
  <c r="J679" i="4"/>
  <c r="I679" i="4"/>
  <c r="K678" i="4"/>
  <c r="J678" i="4"/>
  <c r="I678" i="4"/>
  <c r="M678" i="4" s="1" a="1"/>
  <c r="M678" i="4" s="1"/>
  <c r="O678" i="4" s="1"/>
  <c r="K677" i="4"/>
  <c r="J677" i="4"/>
  <c r="I677" i="4"/>
  <c r="M677" i="4" s="1" a="1"/>
  <c r="M677" i="4" s="1"/>
  <c r="O677" i="4" s="1"/>
  <c r="K676" i="4"/>
  <c r="J676" i="4"/>
  <c r="I676" i="4"/>
  <c r="K675" i="4"/>
  <c r="J675" i="4"/>
  <c r="I675" i="4"/>
  <c r="K674" i="4"/>
  <c r="J674" i="4"/>
  <c r="I674" i="4"/>
  <c r="K673" i="4"/>
  <c r="J673" i="4"/>
  <c r="I673" i="4"/>
  <c r="M673" i="4" s="1" a="1"/>
  <c r="M673" i="4" s="1"/>
  <c r="O673" i="4" s="1"/>
  <c r="K672" i="4"/>
  <c r="J672" i="4"/>
  <c r="I672" i="4"/>
  <c r="K671" i="4"/>
  <c r="J671" i="4"/>
  <c r="I671" i="4"/>
  <c r="K670" i="4"/>
  <c r="J670" i="4"/>
  <c r="I670" i="4"/>
  <c r="M670" i="4" s="1" a="1"/>
  <c r="M670" i="4" s="1"/>
  <c r="O670" i="4" s="1"/>
  <c r="K669" i="4"/>
  <c r="J669" i="4"/>
  <c r="I669" i="4"/>
  <c r="M669" i="4" s="1" a="1"/>
  <c r="M669" i="4" s="1"/>
  <c r="O669" i="4" s="1"/>
  <c r="K668" i="4"/>
  <c r="J668" i="4"/>
  <c r="I668" i="4"/>
  <c r="M668" i="4" s="1" a="1"/>
  <c r="M668" i="4" s="1"/>
  <c r="O668" i="4" s="1"/>
  <c r="K667" i="4"/>
  <c r="J667" i="4"/>
  <c r="I667" i="4"/>
  <c r="K666" i="4"/>
  <c r="J666" i="4"/>
  <c r="I666" i="4"/>
  <c r="K665" i="4"/>
  <c r="J665" i="4"/>
  <c r="I665" i="4"/>
  <c r="K664" i="4"/>
  <c r="J664" i="4"/>
  <c r="I664" i="4"/>
  <c r="K663" i="4"/>
  <c r="J663" i="4"/>
  <c r="I663" i="4"/>
  <c r="K662" i="4"/>
  <c r="J662" i="4"/>
  <c r="I662" i="4"/>
  <c r="M662" i="4" s="1" a="1"/>
  <c r="M662" i="4" s="1"/>
  <c r="O662" i="4" s="1"/>
  <c r="K661" i="4"/>
  <c r="J661" i="4"/>
  <c r="I661" i="4"/>
  <c r="M661" i="4" s="1" a="1"/>
  <c r="M661" i="4" s="1"/>
  <c r="O661" i="4" s="1"/>
  <c r="K660" i="4"/>
  <c r="J660" i="4"/>
  <c r="I660" i="4"/>
  <c r="K659" i="4"/>
  <c r="J659" i="4"/>
  <c r="I659" i="4"/>
  <c r="K658" i="4"/>
  <c r="J658" i="4"/>
  <c r="I658" i="4"/>
  <c r="K657" i="4"/>
  <c r="J657" i="4"/>
  <c r="I657" i="4"/>
  <c r="K656" i="4"/>
  <c r="J656" i="4"/>
  <c r="I656" i="4"/>
  <c r="M656" i="4" s="1" a="1"/>
  <c r="M656" i="4" s="1"/>
  <c r="O656" i="4" s="1"/>
  <c r="K655" i="4"/>
  <c r="J655" i="4"/>
  <c r="I655" i="4"/>
  <c r="K654" i="4"/>
  <c r="J654" i="4"/>
  <c r="I654" i="4"/>
  <c r="M654" i="4" s="1" a="1"/>
  <c r="M654" i="4" s="1"/>
  <c r="O654" i="4" s="1"/>
  <c r="K653" i="4"/>
  <c r="J653" i="4"/>
  <c r="I653" i="4"/>
  <c r="M653" i="4" s="1" a="1"/>
  <c r="M653" i="4" s="1"/>
  <c r="O653" i="4" s="1"/>
  <c r="K652" i="4"/>
  <c r="J652" i="4"/>
  <c r="I652" i="4"/>
  <c r="M652" i="4" s="1" a="1"/>
  <c r="M652" i="4" s="1"/>
  <c r="O652" i="4" s="1"/>
  <c r="K651" i="4"/>
  <c r="J651" i="4"/>
  <c r="I651" i="4"/>
  <c r="K650" i="4"/>
  <c r="J650" i="4"/>
  <c r="I650" i="4"/>
  <c r="K649" i="4"/>
  <c r="J649" i="4"/>
  <c r="I649" i="4"/>
  <c r="K648" i="4"/>
  <c r="J648" i="4"/>
  <c r="I648" i="4"/>
  <c r="K647" i="4"/>
  <c r="J647" i="4"/>
  <c r="I647" i="4"/>
  <c r="K646" i="4"/>
  <c r="J646" i="4"/>
  <c r="I646" i="4"/>
  <c r="M646" i="4" s="1" a="1"/>
  <c r="M646" i="4" s="1"/>
  <c r="O646" i="4" s="1"/>
  <c r="K645" i="4"/>
  <c r="J645" i="4"/>
  <c r="I645" i="4"/>
  <c r="M645" i="4" s="1" a="1"/>
  <c r="M645" i="4" s="1"/>
  <c r="O645" i="4" s="1"/>
  <c r="K644" i="4"/>
  <c r="J644" i="4"/>
  <c r="I644" i="4"/>
  <c r="K643" i="4"/>
  <c r="J643" i="4"/>
  <c r="I643" i="4"/>
  <c r="K642" i="4"/>
  <c r="J642" i="4"/>
  <c r="I642" i="4"/>
  <c r="M642" i="4" s="1" a="1"/>
  <c r="M642" i="4" s="1"/>
  <c r="O642" i="4" s="1"/>
  <c r="K641" i="4"/>
  <c r="J641" i="4"/>
  <c r="I641" i="4"/>
  <c r="K640" i="4"/>
  <c r="J640" i="4"/>
  <c r="I640" i="4"/>
  <c r="M640" i="4" s="1" a="1"/>
  <c r="M640" i="4" s="1"/>
  <c r="O640" i="4" s="1"/>
  <c r="K639" i="4"/>
  <c r="J639" i="4"/>
  <c r="I639" i="4"/>
  <c r="K638" i="4"/>
  <c r="J638" i="4"/>
  <c r="I638" i="4"/>
  <c r="M638" i="4" s="1" a="1"/>
  <c r="M638" i="4" s="1"/>
  <c r="O638" i="4" s="1"/>
  <c r="K637" i="4"/>
  <c r="J637" i="4"/>
  <c r="I637" i="4"/>
  <c r="M637" i="4" s="1" a="1"/>
  <c r="M637" i="4" s="1"/>
  <c r="O637" i="4" s="1"/>
  <c r="K636" i="4"/>
  <c r="J636" i="4"/>
  <c r="I636" i="4"/>
  <c r="M636" i="4" s="1" a="1"/>
  <c r="M636" i="4" s="1"/>
  <c r="O636" i="4" s="1"/>
  <c r="K635" i="4"/>
  <c r="J635" i="4"/>
  <c r="I635" i="4"/>
  <c r="K634" i="4"/>
  <c r="J634" i="4"/>
  <c r="I634" i="4"/>
  <c r="K633" i="4"/>
  <c r="J633" i="4"/>
  <c r="I633" i="4"/>
  <c r="K632" i="4"/>
  <c r="J632" i="4"/>
  <c r="I632" i="4"/>
  <c r="K631" i="4"/>
  <c r="J631" i="4"/>
  <c r="I631" i="4"/>
  <c r="K630" i="4"/>
  <c r="J630" i="4"/>
  <c r="I630" i="4"/>
  <c r="M630" i="4" s="1" a="1"/>
  <c r="M630" i="4" s="1"/>
  <c r="O630" i="4" s="1"/>
  <c r="K629" i="4"/>
  <c r="J629" i="4"/>
  <c r="I629" i="4"/>
  <c r="M629" i="4" s="1" a="1"/>
  <c r="M629" i="4" s="1"/>
  <c r="O629" i="4" s="1"/>
  <c r="K628" i="4"/>
  <c r="J628" i="4"/>
  <c r="I628" i="4"/>
  <c r="K627" i="4"/>
  <c r="J627" i="4"/>
  <c r="I627" i="4"/>
  <c r="K626" i="4"/>
  <c r="J626" i="4"/>
  <c r="I626" i="4"/>
  <c r="M626" i="4" s="1" a="1"/>
  <c r="M626" i="4" s="1"/>
  <c r="O626" i="4" s="1"/>
  <c r="K625" i="4"/>
  <c r="J625" i="4"/>
  <c r="I625" i="4"/>
  <c r="K624" i="4"/>
  <c r="J624" i="4"/>
  <c r="I624" i="4"/>
  <c r="M624" i="4" s="1" a="1"/>
  <c r="M624" i="4" s="1"/>
  <c r="O624" i="4" s="1"/>
  <c r="K623" i="4"/>
  <c r="J623" i="4"/>
  <c r="I623" i="4"/>
  <c r="K622" i="4"/>
  <c r="J622" i="4"/>
  <c r="I622" i="4"/>
  <c r="M622" i="4" s="1" a="1"/>
  <c r="M622" i="4" s="1"/>
  <c r="O622" i="4" s="1"/>
  <c r="K621" i="4"/>
  <c r="J621" i="4"/>
  <c r="I621" i="4"/>
  <c r="M621" i="4" s="1" a="1"/>
  <c r="M621" i="4" s="1"/>
  <c r="O621" i="4" s="1"/>
  <c r="K620" i="4"/>
  <c r="J620" i="4"/>
  <c r="I620" i="4"/>
  <c r="M620" i="4" s="1" a="1"/>
  <c r="M620" i="4" s="1"/>
  <c r="O620" i="4" s="1"/>
  <c r="K619" i="4"/>
  <c r="J619" i="4"/>
  <c r="I619" i="4"/>
  <c r="K618" i="4"/>
  <c r="J618" i="4"/>
  <c r="I618" i="4"/>
  <c r="K617" i="4"/>
  <c r="J617" i="4"/>
  <c r="I617" i="4"/>
  <c r="K616" i="4"/>
  <c r="J616" i="4"/>
  <c r="I616" i="4"/>
  <c r="K615" i="4"/>
  <c r="J615" i="4"/>
  <c r="I615" i="4"/>
  <c r="K614" i="4"/>
  <c r="J614" i="4"/>
  <c r="I614" i="4"/>
  <c r="M614" i="4" s="1" a="1"/>
  <c r="M614" i="4" s="1"/>
  <c r="O614" i="4" s="1"/>
  <c r="K613" i="4"/>
  <c r="J613" i="4"/>
  <c r="I613" i="4"/>
  <c r="M613" i="4" s="1" a="1"/>
  <c r="M613" i="4" s="1"/>
  <c r="O613" i="4" s="1"/>
  <c r="K612" i="4"/>
  <c r="J612" i="4"/>
  <c r="I612" i="4"/>
  <c r="K611" i="4"/>
  <c r="J611" i="4"/>
  <c r="I611" i="4"/>
  <c r="K610" i="4"/>
  <c r="J610" i="4"/>
  <c r="I610" i="4"/>
  <c r="M610" i="4" s="1" a="1"/>
  <c r="M610" i="4" s="1"/>
  <c r="O610" i="4" s="1"/>
  <c r="K609" i="4"/>
  <c r="J609" i="4"/>
  <c r="I609" i="4"/>
  <c r="K608" i="4"/>
  <c r="J608" i="4"/>
  <c r="I608" i="4"/>
  <c r="M608" i="4" s="1" a="1"/>
  <c r="M608" i="4" s="1"/>
  <c r="O608" i="4" s="1"/>
  <c r="K607" i="4"/>
  <c r="J607" i="4"/>
  <c r="I607" i="4"/>
  <c r="K606" i="4"/>
  <c r="J606" i="4"/>
  <c r="I606" i="4"/>
  <c r="M606" i="4" s="1" a="1"/>
  <c r="M606" i="4" s="1"/>
  <c r="O606" i="4" s="1"/>
  <c r="K605" i="4"/>
  <c r="J605" i="4"/>
  <c r="I605" i="4"/>
  <c r="M605" i="4" s="1" a="1"/>
  <c r="M605" i="4" s="1"/>
  <c r="O605" i="4" s="1"/>
  <c r="K604" i="4"/>
  <c r="J604" i="4"/>
  <c r="I604" i="4"/>
  <c r="M604" i="4" s="1" a="1"/>
  <c r="M604" i="4" s="1"/>
  <c r="O604" i="4" s="1"/>
  <c r="K603" i="4"/>
  <c r="J603" i="4"/>
  <c r="I603" i="4"/>
  <c r="K602" i="4"/>
  <c r="J602" i="4"/>
  <c r="I602" i="4"/>
  <c r="K601" i="4"/>
  <c r="J601" i="4"/>
  <c r="I601" i="4"/>
  <c r="K600" i="4"/>
  <c r="J600" i="4"/>
  <c r="I600" i="4"/>
  <c r="K599" i="4"/>
  <c r="J599" i="4"/>
  <c r="I599" i="4"/>
  <c r="K598" i="4"/>
  <c r="J598" i="4"/>
  <c r="I598" i="4"/>
  <c r="M598" i="4" s="1" a="1"/>
  <c r="M598" i="4" s="1"/>
  <c r="O598" i="4" s="1"/>
  <c r="K597" i="4"/>
  <c r="J597" i="4"/>
  <c r="I597" i="4"/>
  <c r="M597" i="4" s="1" a="1"/>
  <c r="M597" i="4" s="1"/>
  <c r="O597" i="4" s="1"/>
  <c r="K596" i="4"/>
  <c r="J596" i="4"/>
  <c r="I596" i="4"/>
  <c r="K595" i="4"/>
  <c r="J595" i="4"/>
  <c r="I595" i="4"/>
  <c r="K594" i="4"/>
  <c r="J594" i="4"/>
  <c r="M594" i="4" s="1" a="1"/>
  <c r="M594" i="4" s="1"/>
  <c r="O594" i="4" s="1"/>
  <c r="I594" i="4"/>
  <c r="K593" i="4"/>
  <c r="J593" i="4"/>
  <c r="I593" i="4"/>
  <c r="M593" i="4" s="1" a="1"/>
  <c r="M593" i="4" s="1"/>
  <c r="O593" i="4" s="1"/>
  <c r="K592" i="4"/>
  <c r="J592" i="4"/>
  <c r="I592" i="4"/>
  <c r="K591" i="4"/>
  <c r="J591" i="4"/>
  <c r="I591" i="4"/>
  <c r="K590" i="4"/>
  <c r="J590" i="4"/>
  <c r="I590" i="4"/>
  <c r="M590" i="4" s="1" a="1"/>
  <c r="M590" i="4" s="1"/>
  <c r="O590" i="4" s="1"/>
  <c r="K589" i="4"/>
  <c r="J589" i="4"/>
  <c r="I589" i="4"/>
  <c r="M589" i="4" s="1" a="1"/>
  <c r="M589" i="4" s="1"/>
  <c r="O589" i="4" s="1"/>
  <c r="K588" i="4"/>
  <c r="J588" i="4"/>
  <c r="I588" i="4"/>
  <c r="M588" i="4" s="1" a="1"/>
  <c r="M588" i="4" s="1"/>
  <c r="O588" i="4" s="1"/>
  <c r="K587" i="4"/>
  <c r="J587" i="4"/>
  <c r="I587" i="4"/>
  <c r="K586" i="4"/>
  <c r="J586" i="4"/>
  <c r="I586" i="4"/>
  <c r="K585" i="4"/>
  <c r="J585" i="4"/>
  <c r="I585" i="4"/>
  <c r="K584" i="4"/>
  <c r="J584" i="4"/>
  <c r="I584" i="4"/>
  <c r="K583" i="4"/>
  <c r="J583" i="4"/>
  <c r="I583" i="4"/>
  <c r="K582" i="4"/>
  <c r="J582" i="4"/>
  <c r="I582" i="4"/>
  <c r="M582" i="4" s="1" a="1"/>
  <c r="M582" i="4" s="1"/>
  <c r="O582" i="4" s="1"/>
  <c r="K581" i="4"/>
  <c r="J581" i="4"/>
  <c r="I581" i="4"/>
  <c r="M581" i="4" s="1" a="1"/>
  <c r="M581" i="4" s="1"/>
  <c r="O581" i="4" s="1"/>
  <c r="K580" i="4"/>
  <c r="J580" i="4"/>
  <c r="I580" i="4"/>
  <c r="K579" i="4"/>
  <c r="J579" i="4"/>
  <c r="M579" i="4" s="1" a="1"/>
  <c r="M579" i="4" s="1"/>
  <c r="O579" i="4" s="1"/>
  <c r="I579" i="4"/>
  <c r="K578" i="4"/>
  <c r="J578" i="4"/>
  <c r="I578" i="4"/>
  <c r="M578" i="4" s="1" a="1"/>
  <c r="M578" i="4" s="1"/>
  <c r="O578" i="4" s="1"/>
  <c r="K577" i="4"/>
  <c r="J577" i="4"/>
  <c r="I577" i="4"/>
  <c r="K576" i="4"/>
  <c r="J576" i="4"/>
  <c r="I576" i="4"/>
  <c r="K575" i="4"/>
  <c r="J575" i="4"/>
  <c r="I575" i="4"/>
  <c r="K574" i="4"/>
  <c r="J574" i="4"/>
  <c r="I574" i="4"/>
  <c r="M574" i="4" s="1" a="1"/>
  <c r="M574" i="4" s="1"/>
  <c r="O574" i="4" s="1"/>
  <c r="K573" i="4"/>
  <c r="J573" i="4"/>
  <c r="I573" i="4"/>
  <c r="M573" i="4" s="1" a="1"/>
  <c r="M573" i="4" s="1"/>
  <c r="O573" i="4" s="1"/>
  <c r="K572" i="4"/>
  <c r="J572" i="4"/>
  <c r="I572" i="4"/>
  <c r="M572" i="4" s="1" a="1"/>
  <c r="M572" i="4" s="1"/>
  <c r="O572" i="4" s="1"/>
  <c r="K571" i="4"/>
  <c r="J571" i="4"/>
  <c r="I571" i="4"/>
  <c r="K570" i="4"/>
  <c r="J570" i="4"/>
  <c r="I570" i="4"/>
  <c r="K569" i="4"/>
  <c r="J569" i="4"/>
  <c r="I569" i="4"/>
  <c r="K568" i="4"/>
  <c r="J568" i="4"/>
  <c r="I568" i="4"/>
  <c r="K567" i="4"/>
  <c r="J567" i="4"/>
  <c r="I567" i="4"/>
  <c r="K566" i="4"/>
  <c r="J566" i="4"/>
  <c r="I566" i="4"/>
  <c r="M566" i="4" s="1" a="1"/>
  <c r="M566" i="4" s="1"/>
  <c r="O566" i="4" s="1"/>
  <c r="K565" i="4"/>
  <c r="J565" i="4"/>
  <c r="I565" i="4"/>
  <c r="M565" i="4" s="1" a="1"/>
  <c r="M565" i="4" s="1"/>
  <c r="O565" i="4" s="1"/>
  <c r="K564" i="4"/>
  <c r="J564" i="4"/>
  <c r="I564" i="4"/>
  <c r="K563" i="4"/>
  <c r="J563" i="4"/>
  <c r="M563" i="4" s="1" a="1"/>
  <c r="M563" i="4" s="1"/>
  <c r="O563" i="4" s="1"/>
  <c r="I563" i="4"/>
  <c r="K562" i="4"/>
  <c r="J562" i="4"/>
  <c r="I562" i="4"/>
  <c r="M562" i="4" s="1" a="1"/>
  <c r="M562" i="4" s="1"/>
  <c r="O562" i="4" s="1"/>
  <c r="K561" i="4"/>
  <c r="J561" i="4"/>
  <c r="I561" i="4"/>
  <c r="K560" i="4"/>
  <c r="J560" i="4"/>
  <c r="I560" i="4"/>
  <c r="K559" i="4"/>
  <c r="J559" i="4"/>
  <c r="I559" i="4"/>
  <c r="K558" i="4"/>
  <c r="J558" i="4"/>
  <c r="I558" i="4"/>
  <c r="M558" i="4" s="1" a="1"/>
  <c r="M558" i="4" s="1"/>
  <c r="O558" i="4" s="1"/>
  <c r="K557" i="4"/>
  <c r="J557" i="4"/>
  <c r="I557" i="4"/>
  <c r="M557" i="4" s="1" a="1"/>
  <c r="M557" i="4" s="1"/>
  <c r="O557" i="4" s="1"/>
  <c r="K556" i="4"/>
  <c r="J556" i="4"/>
  <c r="I556" i="4"/>
  <c r="M556" i="4" s="1" a="1"/>
  <c r="M556" i="4" s="1"/>
  <c r="O556" i="4" s="1"/>
  <c r="K555" i="4"/>
  <c r="J555" i="4"/>
  <c r="I555" i="4"/>
  <c r="K554" i="4"/>
  <c r="J554" i="4"/>
  <c r="I554" i="4"/>
  <c r="K553" i="4"/>
  <c r="J553" i="4"/>
  <c r="I553" i="4"/>
  <c r="K552" i="4"/>
  <c r="J552" i="4"/>
  <c r="I552" i="4"/>
  <c r="K551" i="4"/>
  <c r="J551" i="4"/>
  <c r="I551" i="4"/>
  <c r="K550" i="4"/>
  <c r="J550" i="4"/>
  <c r="I550" i="4"/>
  <c r="M550" i="4" s="1" a="1"/>
  <c r="M550" i="4" s="1"/>
  <c r="O550" i="4" s="1"/>
  <c r="K549" i="4"/>
  <c r="J549" i="4"/>
  <c r="I549" i="4"/>
  <c r="M549" i="4" s="1" a="1"/>
  <c r="M549" i="4" s="1"/>
  <c r="O549" i="4" s="1"/>
  <c r="K548" i="4"/>
  <c r="J548" i="4"/>
  <c r="I548" i="4"/>
  <c r="K547" i="4"/>
  <c r="J547" i="4"/>
  <c r="M547" i="4" s="1" a="1"/>
  <c r="M547" i="4" s="1"/>
  <c r="O547" i="4" s="1"/>
  <c r="I547" i="4"/>
  <c r="K546" i="4"/>
  <c r="J546" i="4"/>
  <c r="I546" i="4"/>
  <c r="M546" i="4" s="1" a="1"/>
  <c r="M546" i="4" s="1"/>
  <c r="O546" i="4" s="1"/>
  <c r="K545" i="4"/>
  <c r="J545" i="4"/>
  <c r="I545" i="4"/>
  <c r="K544" i="4"/>
  <c r="J544" i="4"/>
  <c r="I544" i="4"/>
  <c r="K543" i="4"/>
  <c r="J543" i="4"/>
  <c r="I543" i="4"/>
  <c r="K542" i="4"/>
  <c r="J542" i="4"/>
  <c r="I542" i="4"/>
  <c r="M542" i="4" s="1" a="1"/>
  <c r="M542" i="4" s="1"/>
  <c r="O542" i="4" s="1"/>
  <c r="K541" i="4"/>
  <c r="J541" i="4"/>
  <c r="I541" i="4"/>
  <c r="M541" i="4" s="1" a="1"/>
  <c r="M541" i="4" s="1"/>
  <c r="O541" i="4" s="1"/>
  <c r="K540" i="4"/>
  <c r="J540" i="4"/>
  <c r="I540" i="4"/>
  <c r="M540" i="4" s="1" a="1"/>
  <c r="M540" i="4" s="1"/>
  <c r="O540" i="4" s="1"/>
  <c r="K539" i="4"/>
  <c r="J539" i="4"/>
  <c r="I539" i="4"/>
  <c r="K538" i="4"/>
  <c r="J538" i="4"/>
  <c r="I538" i="4"/>
  <c r="K537" i="4"/>
  <c r="J537" i="4"/>
  <c r="I537" i="4"/>
  <c r="K536" i="4"/>
  <c r="J536" i="4"/>
  <c r="I536" i="4"/>
  <c r="K535" i="4"/>
  <c r="J535" i="4"/>
  <c r="I535" i="4"/>
  <c r="K534" i="4"/>
  <c r="J534" i="4"/>
  <c r="I534" i="4"/>
  <c r="M534" i="4" s="1" a="1"/>
  <c r="M534" i="4" s="1"/>
  <c r="O534" i="4" s="1"/>
  <c r="K533" i="4"/>
  <c r="J533" i="4"/>
  <c r="I533" i="4"/>
  <c r="M533" i="4" s="1" a="1"/>
  <c r="M533" i="4" s="1"/>
  <c r="O533" i="4" s="1"/>
  <c r="K532" i="4"/>
  <c r="J532" i="4"/>
  <c r="M532" i="4" s="1" a="1"/>
  <c r="M532" i="4" s="1"/>
  <c r="O532" i="4" s="1"/>
  <c r="I532" i="4"/>
  <c r="K531" i="4"/>
  <c r="J531" i="4"/>
  <c r="I531" i="4"/>
  <c r="K530" i="4"/>
  <c r="J530" i="4"/>
  <c r="M530" i="4" s="1" a="1"/>
  <c r="M530" i="4" s="1"/>
  <c r="O530" i="4" s="1"/>
  <c r="I530" i="4"/>
  <c r="K529" i="4"/>
  <c r="J529" i="4"/>
  <c r="I529" i="4"/>
  <c r="K528" i="4"/>
  <c r="J528" i="4"/>
  <c r="I528" i="4"/>
  <c r="K527" i="4"/>
  <c r="J527" i="4"/>
  <c r="I527" i="4"/>
  <c r="K526" i="4"/>
  <c r="J526" i="4"/>
  <c r="I526" i="4"/>
  <c r="M526" i="4" s="1" a="1"/>
  <c r="M526" i="4" s="1"/>
  <c r="O526" i="4" s="1"/>
  <c r="K525" i="4"/>
  <c r="J525" i="4"/>
  <c r="I525" i="4"/>
  <c r="M525" i="4" s="1" a="1"/>
  <c r="M525" i="4" s="1"/>
  <c r="O525" i="4" s="1"/>
  <c r="K524" i="4"/>
  <c r="J524" i="4"/>
  <c r="I524" i="4"/>
  <c r="M524" i="4" s="1" a="1"/>
  <c r="M524" i="4" s="1"/>
  <c r="O524" i="4" s="1"/>
  <c r="K523" i="4"/>
  <c r="J523" i="4"/>
  <c r="I523" i="4"/>
  <c r="K522" i="4"/>
  <c r="J522" i="4"/>
  <c r="I522" i="4"/>
  <c r="K521" i="4"/>
  <c r="J521" i="4"/>
  <c r="I521" i="4"/>
  <c r="K520" i="4"/>
  <c r="J520" i="4"/>
  <c r="I520" i="4"/>
  <c r="K519" i="4"/>
  <c r="J519" i="4"/>
  <c r="I519" i="4"/>
  <c r="K518" i="4"/>
  <c r="J518" i="4"/>
  <c r="I518" i="4"/>
  <c r="M518" i="4" s="1" a="1"/>
  <c r="M518" i="4" s="1"/>
  <c r="O518" i="4" s="1"/>
  <c r="K517" i="4"/>
  <c r="J517" i="4"/>
  <c r="I517" i="4"/>
  <c r="M517" i="4" s="1" a="1"/>
  <c r="M517" i="4" s="1"/>
  <c r="O517" i="4" s="1"/>
  <c r="K516" i="4"/>
  <c r="J516" i="4"/>
  <c r="M516" i="4" s="1" a="1"/>
  <c r="M516" i="4" s="1"/>
  <c r="O516" i="4" s="1"/>
  <c r="I516" i="4"/>
  <c r="K515" i="4"/>
  <c r="J515" i="4"/>
  <c r="I515" i="4"/>
  <c r="K514" i="4"/>
  <c r="J514" i="4"/>
  <c r="M514" i="4" s="1" a="1"/>
  <c r="M514" i="4" s="1"/>
  <c r="O514" i="4" s="1"/>
  <c r="I514" i="4"/>
  <c r="K513" i="4"/>
  <c r="J513" i="4"/>
  <c r="I513" i="4"/>
  <c r="K512" i="4"/>
  <c r="J512" i="4"/>
  <c r="I512" i="4"/>
  <c r="K511" i="4"/>
  <c r="J511" i="4"/>
  <c r="I511" i="4"/>
  <c r="K510" i="4"/>
  <c r="J510" i="4"/>
  <c r="I510" i="4"/>
  <c r="M510" i="4" s="1" a="1"/>
  <c r="M510" i="4" s="1"/>
  <c r="O510" i="4" s="1"/>
  <c r="K509" i="4"/>
  <c r="J509" i="4"/>
  <c r="I509" i="4"/>
  <c r="M509" i="4" s="1" a="1"/>
  <c r="M509" i="4" s="1"/>
  <c r="O509" i="4" s="1"/>
  <c r="K508" i="4"/>
  <c r="J508" i="4"/>
  <c r="I508" i="4"/>
  <c r="M508" i="4" s="1" a="1"/>
  <c r="M508" i="4" s="1"/>
  <c r="O508" i="4" s="1"/>
  <c r="K507" i="4"/>
  <c r="J507" i="4"/>
  <c r="I507" i="4"/>
  <c r="K506" i="4"/>
  <c r="J506" i="4"/>
  <c r="I506" i="4"/>
  <c r="K505" i="4"/>
  <c r="J505" i="4"/>
  <c r="I505" i="4"/>
  <c r="K504" i="4"/>
  <c r="J504" i="4"/>
  <c r="I504" i="4"/>
  <c r="K503" i="4"/>
  <c r="J503" i="4"/>
  <c r="I503" i="4"/>
  <c r="K502" i="4"/>
  <c r="J502" i="4"/>
  <c r="I502" i="4"/>
  <c r="M502" i="4" s="1" a="1"/>
  <c r="M502" i="4" s="1"/>
  <c r="O502" i="4" s="1"/>
  <c r="K501" i="4"/>
  <c r="J501" i="4"/>
  <c r="I501" i="4"/>
  <c r="M501" i="4" s="1" a="1"/>
  <c r="M501" i="4" s="1"/>
  <c r="O501" i="4" s="1"/>
  <c r="K500" i="4"/>
  <c r="J500" i="4"/>
  <c r="M500" i="4" s="1" a="1"/>
  <c r="M500" i="4" s="1"/>
  <c r="O500" i="4" s="1"/>
  <c r="I500" i="4"/>
  <c r="K499" i="4"/>
  <c r="J499" i="4"/>
  <c r="I499" i="4"/>
  <c r="K498" i="4"/>
  <c r="J498" i="4"/>
  <c r="M498" i="4" s="1" a="1"/>
  <c r="M498" i="4" s="1"/>
  <c r="O498" i="4" s="1"/>
  <c r="I498" i="4"/>
  <c r="K497" i="4"/>
  <c r="J497" i="4"/>
  <c r="I497" i="4"/>
  <c r="K496" i="4"/>
  <c r="J496" i="4"/>
  <c r="I496" i="4"/>
  <c r="K495" i="4"/>
  <c r="J495" i="4"/>
  <c r="I495" i="4"/>
  <c r="K494" i="4"/>
  <c r="J494" i="4"/>
  <c r="I494" i="4"/>
  <c r="M494" i="4" s="1" a="1"/>
  <c r="M494" i="4" s="1"/>
  <c r="O494" i="4" s="1"/>
  <c r="K493" i="4"/>
  <c r="J493" i="4"/>
  <c r="I493" i="4"/>
  <c r="M493" i="4" s="1" a="1"/>
  <c r="M493" i="4" s="1"/>
  <c r="O493" i="4" s="1"/>
  <c r="K492" i="4"/>
  <c r="J492" i="4"/>
  <c r="I492" i="4"/>
  <c r="M492" i="4" s="1" a="1"/>
  <c r="M492" i="4" s="1"/>
  <c r="O492" i="4" s="1"/>
  <c r="K491" i="4"/>
  <c r="J491" i="4"/>
  <c r="I491" i="4"/>
  <c r="K490" i="4"/>
  <c r="J490" i="4"/>
  <c r="I490" i="4"/>
  <c r="K489" i="4"/>
  <c r="J489" i="4"/>
  <c r="I489" i="4"/>
  <c r="K488" i="4"/>
  <c r="J488" i="4"/>
  <c r="I488" i="4"/>
  <c r="K487" i="4"/>
  <c r="J487" i="4"/>
  <c r="I487" i="4"/>
  <c r="K486" i="4"/>
  <c r="J486" i="4"/>
  <c r="I486" i="4"/>
  <c r="M486" i="4" s="1" a="1"/>
  <c r="M486" i="4" s="1"/>
  <c r="O486" i="4" s="1"/>
  <c r="K485" i="4"/>
  <c r="J485" i="4"/>
  <c r="I485" i="4"/>
  <c r="M485" i="4" s="1" a="1"/>
  <c r="M485" i="4" s="1"/>
  <c r="O485" i="4" s="1"/>
  <c r="K484" i="4"/>
  <c r="J484" i="4"/>
  <c r="M484" i="4" s="1" a="1"/>
  <c r="M484" i="4" s="1"/>
  <c r="O484" i="4" s="1"/>
  <c r="I484" i="4"/>
  <c r="K483" i="4"/>
  <c r="J483" i="4"/>
  <c r="I483" i="4"/>
  <c r="K482" i="4"/>
  <c r="J482" i="4"/>
  <c r="M482" i="4" s="1" a="1"/>
  <c r="M482" i="4" s="1"/>
  <c r="O482" i="4" s="1"/>
  <c r="I482" i="4"/>
  <c r="K481" i="4"/>
  <c r="J481" i="4"/>
  <c r="I481" i="4"/>
  <c r="K480" i="4"/>
  <c r="J480" i="4"/>
  <c r="I480" i="4"/>
  <c r="K479" i="4"/>
  <c r="J479" i="4"/>
  <c r="I479" i="4"/>
  <c r="K478" i="4"/>
  <c r="J478" i="4"/>
  <c r="I478" i="4"/>
  <c r="M478" i="4" s="1" a="1"/>
  <c r="M478" i="4" s="1"/>
  <c r="O478" i="4" s="1"/>
  <c r="K477" i="4"/>
  <c r="J477" i="4"/>
  <c r="I477" i="4"/>
  <c r="M477" i="4" s="1" a="1"/>
  <c r="M477" i="4" s="1"/>
  <c r="O477" i="4" s="1"/>
  <c r="K476" i="4"/>
  <c r="J476" i="4"/>
  <c r="I476" i="4"/>
  <c r="K475" i="4"/>
  <c r="J475" i="4"/>
  <c r="I475" i="4"/>
  <c r="K474" i="4"/>
  <c r="J474" i="4"/>
  <c r="I474" i="4"/>
  <c r="K473" i="4"/>
  <c r="J473" i="4"/>
  <c r="I473" i="4"/>
  <c r="K472" i="4"/>
  <c r="J472" i="4"/>
  <c r="I472" i="4"/>
  <c r="K471" i="4"/>
  <c r="J471" i="4"/>
  <c r="I471" i="4"/>
  <c r="K470" i="4"/>
  <c r="J470" i="4"/>
  <c r="I470" i="4"/>
  <c r="M470" i="4" s="1" a="1"/>
  <c r="M470" i="4" s="1"/>
  <c r="O470" i="4" s="1"/>
  <c r="K469" i="4"/>
  <c r="J469" i="4"/>
  <c r="I469" i="4"/>
  <c r="M469" i="4" s="1" a="1"/>
  <c r="M469" i="4" s="1"/>
  <c r="O469" i="4" s="1"/>
  <c r="K468" i="4"/>
  <c r="J468" i="4"/>
  <c r="I468" i="4"/>
  <c r="K467" i="4"/>
  <c r="J467" i="4"/>
  <c r="I467" i="4"/>
  <c r="K466" i="4"/>
  <c r="J466" i="4"/>
  <c r="I466" i="4"/>
  <c r="M466" i="4" s="1" a="1"/>
  <c r="M466" i="4" s="1"/>
  <c r="O466" i="4" s="1"/>
  <c r="K465" i="4"/>
  <c r="J465" i="4"/>
  <c r="I465" i="4"/>
  <c r="M465" i="4" s="1" a="1"/>
  <c r="M465" i="4" s="1"/>
  <c r="O465" i="4" s="1"/>
  <c r="K464" i="4"/>
  <c r="J464" i="4"/>
  <c r="I464" i="4"/>
  <c r="K463" i="4"/>
  <c r="J463" i="4"/>
  <c r="I463" i="4"/>
  <c r="K462" i="4"/>
  <c r="J462" i="4"/>
  <c r="I462" i="4"/>
  <c r="M462" i="4" s="1" a="1"/>
  <c r="M462" i="4" s="1"/>
  <c r="O462" i="4" s="1"/>
  <c r="K461" i="4"/>
  <c r="J461" i="4"/>
  <c r="I461" i="4"/>
  <c r="M461" i="4" s="1" a="1"/>
  <c r="M461" i="4" s="1"/>
  <c r="O461" i="4" s="1"/>
  <c r="K460" i="4"/>
  <c r="J460" i="4"/>
  <c r="I460" i="4"/>
  <c r="K459" i="4"/>
  <c r="J459" i="4"/>
  <c r="I459" i="4"/>
  <c r="K458" i="4"/>
  <c r="J458" i="4"/>
  <c r="M458" i="4" s="1" a="1"/>
  <c r="M458" i="4" s="1"/>
  <c r="O458" i="4" s="1"/>
  <c r="I458" i="4"/>
  <c r="K457" i="4"/>
  <c r="J457" i="4"/>
  <c r="I457" i="4"/>
  <c r="K456" i="4"/>
  <c r="J456" i="4"/>
  <c r="I456" i="4"/>
  <c r="K455" i="4"/>
  <c r="J455" i="4"/>
  <c r="I455" i="4"/>
  <c r="K454" i="4"/>
  <c r="J454" i="4"/>
  <c r="I454" i="4"/>
  <c r="M454" i="4" s="1" a="1"/>
  <c r="M454" i="4" s="1"/>
  <c r="O454" i="4" s="1"/>
  <c r="K453" i="4"/>
  <c r="J453" i="4"/>
  <c r="I453" i="4"/>
  <c r="M453" i="4" s="1" a="1"/>
  <c r="M453" i="4" s="1"/>
  <c r="O453" i="4" s="1"/>
  <c r="K452" i="4"/>
  <c r="J452" i="4"/>
  <c r="I452" i="4"/>
  <c r="K451" i="4"/>
  <c r="J451" i="4"/>
  <c r="I451" i="4"/>
  <c r="K450" i="4"/>
  <c r="J450" i="4"/>
  <c r="I450" i="4"/>
  <c r="M450" i="4" s="1" a="1"/>
  <c r="M450" i="4" s="1"/>
  <c r="O450" i="4" s="1"/>
  <c r="K449" i="4"/>
  <c r="J449" i="4"/>
  <c r="I449" i="4"/>
  <c r="M449" i="4" s="1" a="1"/>
  <c r="M449" i="4" s="1"/>
  <c r="O449" i="4" s="1"/>
  <c r="K448" i="4"/>
  <c r="J448" i="4"/>
  <c r="I448" i="4"/>
  <c r="K447" i="4"/>
  <c r="J447" i="4"/>
  <c r="I447" i="4"/>
  <c r="K446" i="4"/>
  <c r="J446" i="4"/>
  <c r="I446" i="4"/>
  <c r="M446" i="4" s="1" a="1"/>
  <c r="M446" i="4" s="1"/>
  <c r="O446" i="4" s="1"/>
  <c r="K445" i="4"/>
  <c r="J445" i="4"/>
  <c r="I445" i="4"/>
  <c r="M445" i="4" s="1" a="1"/>
  <c r="M445" i="4" s="1"/>
  <c r="O445" i="4" s="1"/>
  <c r="K444" i="4"/>
  <c r="J444" i="4"/>
  <c r="I444" i="4"/>
  <c r="M444" i="4" s="1" a="1"/>
  <c r="M444" i="4" s="1"/>
  <c r="O444" i="4" s="1"/>
  <c r="K443" i="4"/>
  <c r="J443" i="4"/>
  <c r="I443" i="4"/>
  <c r="K442" i="4"/>
  <c r="J442" i="4"/>
  <c r="I442" i="4"/>
  <c r="K441" i="4"/>
  <c r="M441" i="4" s="1" a="1"/>
  <c r="M441" i="4" s="1"/>
  <c r="O441" i="4" s="1"/>
  <c r="J441" i="4"/>
  <c r="I441" i="4"/>
  <c r="K440" i="4"/>
  <c r="J440" i="4"/>
  <c r="I440" i="4"/>
  <c r="K439" i="4"/>
  <c r="J439" i="4"/>
  <c r="I439" i="4"/>
  <c r="K438" i="4"/>
  <c r="J438" i="4"/>
  <c r="I438" i="4"/>
  <c r="M438" i="4" s="1" a="1"/>
  <c r="M438" i="4" s="1"/>
  <c r="O438" i="4" s="1"/>
  <c r="K437" i="4"/>
  <c r="J437" i="4"/>
  <c r="I437" i="4"/>
  <c r="M437" i="4" s="1" a="1"/>
  <c r="M437" i="4" s="1"/>
  <c r="O437" i="4" s="1"/>
  <c r="K436" i="4"/>
  <c r="J436" i="4"/>
  <c r="I436" i="4"/>
  <c r="K435" i="4"/>
  <c r="J435" i="4"/>
  <c r="I435" i="4"/>
  <c r="K434" i="4"/>
  <c r="J434" i="4"/>
  <c r="I434" i="4"/>
  <c r="M434" i="4" s="1" a="1"/>
  <c r="M434" i="4" s="1"/>
  <c r="O434" i="4" s="1"/>
  <c r="K433" i="4"/>
  <c r="J433" i="4"/>
  <c r="I433" i="4"/>
  <c r="M433" i="4" s="1" a="1"/>
  <c r="M433" i="4" s="1"/>
  <c r="O433" i="4" s="1"/>
  <c r="K432" i="4"/>
  <c r="J432" i="4"/>
  <c r="I432" i="4"/>
  <c r="K431" i="4"/>
  <c r="J431" i="4"/>
  <c r="I431" i="4"/>
  <c r="K430" i="4"/>
  <c r="J430" i="4"/>
  <c r="I430" i="4"/>
  <c r="M430" i="4" s="1" a="1"/>
  <c r="M430" i="4" s="1"/>
  <c r="O430" i="4" s="1"/>
  <c r="K429" i="4"/>
  <c r="J429" i="4"/>
  <c r="I429" i="4"/>
  <c r="M429" i="4" s="1" a="1"/>
  <c r="M429" i="4" s="1"/>
  <c r="O429" i="4" s="1"/>
  <c r="K428" i="4"/>
  <c r="J428" i="4"/>
  <c r="I428" i="4"/>
  <c r="M428" i="4" s="1" a="1"/>
  <c r="M428" i="4" s="1"/>
  <c r="O428" i="4" s="1"/>
  <c r="K427" i="4"/>
  <c r="J427" i="4"/>
  <c r="I427" i="4"/>
  <c r="K426" i="4"/>
  <c r="J426" i="4"/>
  <c r="I426" i="4"/>
  <c r="K425" i="4"/>
  <c r="J425" i="4"/>
  <c r="I425" i="4"/>
  <c r="K424" i="4"/>
  <c r="J424" i="4"/>
  <c r="I424" i="4"/>
  <c r="K423" i="4"/>
  <c r="J423" i="4"/>
  <c r="I423" i="4"/>
  <c r="K422" i="4"/>
  <c r="J422" i="4"/>
  <c r="I422" i="4"/>
  <c r="M422" i="4" s="1" a="1"/>
  <c r="M422" i="4" s="1"/>
  <c r="O422" i="4" s="1"/>
  <c r="K421" i="4"/>
  <c r="J421" i="4"/>
  <c r="I421" i="4"/>
  <c r="M421" i="4" s="1" a="1"/>
  <c r="M421" i="4" s="1"/>
  <c r="O421" i="4" s="1"/>
  <c r="K420" i="4"/>
  <c r="J420" i="4"/>
  <c r="I420" i="4"/>
  <c r="K419" i="4"/>
  <c r="J419" i="4"/>
  <c r="I419" i="4"/>
  <c r="K418" i="4"/>
  <c r="J418" i="4"/>
  <c r="I418" i="4"/>
  <c r="M418" i="4" s="1" a="1"/>
  <c r="M418" i="4" s="1"/>
  <c r="O418" i="4" s="1"/>
  <c r="K417" i="4"/>
  <c r="J417" i="4"/>
  <c r="I417" i="4"/>
  <c r="M417" i="4" s="1" a="1"/>
  <c r="M417" i="4" s="1"/>
  <c r="O417" i="4" s="1"/>
  <c r="K416" i="4"/>
  <c r="J416" i="4"/>
  <c r="I416" i="4"/>
  <c r="K415" i="4"/>
  <c r="J415" i="4"/>
  <c r="I415" i="4"/>
  <c r="K414" i="4"/>
  <c r="J414" i="4"/>
  <c r="I414" i="4"/>
  <c r="M414" i="4" s="1" a="1"/>
  <c r="M414" i="4" s="1"/>
  <c r="O414" i="4" s="1"/>
  <c r="K413" i="4"/>
  <c r="J413" i="4"/>
  <c r="I413" i="4"/>
  <c r="M413" i="4" s="1" a="1"/>
  <c r="M413" i="4" s="1"/>
  <c r="O413" i="4" s="1"/>
  <c r="K412" i="4"/>
  <c r="J412" i="4"/>
  <c r="I412" i="4"/>
  <c r="K411" i="4"/>
  <c r="J411" i="4"/>
  <c r="I411" i="4"/>
  <c r="K410" i="4"/>
  <c r="J410" i="4"/>
  <c r="I410" i="4"/>
  <c r="K409" i="4"/>
  <c r="J409" i="4"/>
  <c r="I409" i="4"/>
  <c r="K408" i="4"/>
  <c r="J408" i="4"/>
  <c r="I408" i="4"/>
  <c r="M408" i="4" s="1" a="1"/>
  <c r="M408" i="4" s="1"/>
  <c r="O408" i="4" s="1"/>
  <c r="K407" i="4"/>
  <c r="J407" i="4"/>
  <c r="I407" i="4"/>
  <c r="K406" i="4"/>
  <c r="J406" i="4"/>
  <c r="I406" i="4"/>
  <c r="M406" i="4" s="1" a="1"/>
  <c r="M406" i="4" s="1"/>
  <c r="O406" i="4" s="1"/>
  <c r="K405" i="4"/>
  <c r="J405" i="4"/>
  <c r="I405" i="4"/>
  <c r="M405" i="4" s="1" a="1"/>
  <c r="M405" i="4" s="1"/>
  <c r="O405" i="4" s="1"/>
  <c r="K404" i="4"/>
  <c r="J404" i="4"/>
  <c r="I404" i="4"/>
  <c r="K403" i="4"/>
  <c r="J403" i="4"/>
  <c r="I403" i="4"/>
  <c r="K402" i="4"/>
  <c r="J402" i="4"/>
  <c r="I402" i="4"/>
  <c r="M402" i="4" s="1" a="1"/>
  <c r="M402" i="4" s="1"/>
  <c r="O402" i="4" s="1"/>
  <c r="K401" i="4"/>
  <c r="J401" i="4"/>
  <c r="I401" i="4"/>
  <c r="K400" i="4"/>
  <c r="J400" i="4"/>
  <c r="I400" i="4"/>
  <c r="K399" i="4"/>
  <c r="J399" i="4"/>
  <c r="I399" i="4"/>
  <c r="K398" i="4"/>
  <c r="J398" i="4"/>
  <c r="I398" i="4"/>
  <c r="M398" i="4" s="1" a="1"/>
  <c r="M398" i="4" s="1"/>
  <c r="O398" i="4" s="1"/>
  <c r="K397" i="4"/>
  <c r="J397" i="4"/>
  <c r="I397" i="4"/>
  <c r="M397" i="4" s="1" a="1"/>
  <c r="M397" i="4" s="1"/>
  <c r="O397" i="4" s="1"/>
  <c r="K396" i="4"/>
  <c r="J396" i="4"/>
  <c r="I396" i="4"/>
  <c r="K395" i="4"/>
  <c r="J395" i="4"/>
  <c r="I395" i="4"/>
  <c r="K394" i="4"/>
  <c r="J394" i="4"/>
  <c r="I394" i="4"/>
  <c r="K393" i="4"/>
  <c r="J393" i="4"/>
  <c r="I393" i="4"/>
  <c r="K392" i="4"/>
  <c r="J392" i="4"/>
  <c r="I392" i="4"/>
  <c r="M392" i="4" s="1" a="1"/>
  <c r="M392" i="4" s="1"/>
  <c r="O392" i="4" s="1"/>
  <c r="K391" i="4"/>
  <c r="J391" i="4"/>
  <c r="I391" i="4"/>
  <c r="K390" i="4"/>
  <c r="J390" i="4"/>
  <c r="I390" i="4"/>
  <c r="M390" i="4" s="1" a="1"/>
  <c r="M390" i="4" s="1"/>
  <c r="O390" i="4" s="1"/>
  <c r="K389" i="4"/>
  <c r="J389" i="4"/>
  <c r="I389" i="4"/>
  <c r="M389" i="4" s="1" a="1"/>
  <c r="M389" i="4" s="1"/>
  <c r="O389" i="4" s="1"/>
  <c r="K388" i="4"/>
  <c r="J388" i="4"/>
  <c r="I388" i="4"/>
  <c r="K387" i="4"/>
  <c r="J387" i="4"/>
  <c r="M387" i="4" s="1" a="1"/>
  <c r="M387" i="4" s="1"/>
  <c r="O387" i="4" s="1"/>
  <c r="I387" i="4"/>
  <c r="K386" i="4"/>
  <c r="J386" i="4"/>
  <c r="I386" i="4"/>
  <c r="M386" i="4" s="1" a="1"/>
  <c r="M386" i="4" s="1"/>
  <c r="O386" i="4" s="1"/>
  <c r="K385" i="4"/>
  <c r="J385" i="4"/>
  <c r="I385" i="4"/>
  <c r="K384" i="4"/>
  <c r="J384" i="4"/>
  <c r="I384" i="4"/>
  <c r="K383" i="4"/>
  <c r="J383" i="4"/>
  <c r="I383" i="4"/>
  <c r="K382" i="4"/>
  <c r="J382" i="4"/>
  <c r="I382" i="4"/>
  <c r="M382" i="4" s="1" a="1"/>
  <c r="M382" i="4" s="1"/>
  <c r="O382" i="4" s="1"/>
  <c r="K381" i="4"/>
  <c r="J381" i="4"/>
  <c r="I381" i="4"/>
  <c r="M381" i="4" s="1" a="1"/>
  <c r="M381" i="4" s="1"/>
  <c r="O381" i="4" s="1"/>
  <c r="K380" i="4"/>
  <c r="J380" i="4"/>
  <c r="I380" i="4"/>
  <c r="K379" i="4"/>
  <c r="J379" i="4"/>
  <c r="I379" i="4"/>
  <c r="K378" i="4"/>
  <c r="J378" i="4"/>
  <c r="I378" i="4"/>
  <c r="K377" i="4"/>
  <c r="J377" i="4"/>
  <c r="I377" i="4"/>
  <c r="K376" i="4"/>
  <c r="J376" i="4"/>
  <c r="I376" i="4"/>
  <c r="M376" i="4" s="1" a="1"/>
  <c r="M376" i="4" s="1"/>
  <c r="O376" i="4" s="1"/>
  <c r="K375" i="4"/>
  <c r="J375" i="4"/>
  <c r="I375" i="4"/>
  <c r="K374" i="4"/>
  <c r="J374" i="4"/>
  <c r="I374" i="4"/>
  <c r="M374" i="4" s="1" a="1"/>
  <c r="M374" i="4" s="1"/>
  <c r="O374" i="4" s="1"/>
  <c r="K373" i="4"/>
  <c r="J373" i="4"/>
  <c r="I373" i="4"/>
  <c r="M373" i="4" s="1" a="1"/>
  <c r="M373" i="4" s="1"/>
  <c r="O373" i="4" s="1"/>
  <c r="K372" i="4"/>
  <c r="J372" i="4"/>
  <c r="I372" i="4"/>
  <c r="K371" i="4"/>
  <c r="J371" i="4"/>
  <c r="I371" i="4"/>
  <c r="K370" i="4"/>
  <c r="J370" i="4"/>
  <c r="I370" i="4"/>
  <c r="K369" i="4"/>
  <c r="J369" i="4"/>
  <c r="I369" i="4"/>
  <c r="K368" i="4"/>
  <c r="J368" i="4"/>
  <c r="I368" i="4"/>
  <c r="K367" i="4"/>
  <c r="J367" i="4"/>
  <c r="I367" i="4"/>
  <c r="K366" i="4"/>
  <c r="J366" i="4"/>
  <c r="I366" i="4"/>
  <c r="M366" i="4" s="1" a="1"/>
  <c r="M366" i="4" s="1"/>
  <c r="O366" i="4" s="1"/>
  <c r="K365" i="4"/>
  <c r="J365" i="4"/>
  <c r="I365" i="4"/>
  <c r="M365" i="4" s="1" a="1"/>
  <c r="M365" i="4" s="1"/>
  <c r="O365" i="4" s="1"/>
  <c r="K364" i="4"/>
  <c r="J364" i="4"/>
  <c r="I364" i="4"/>
  <c r="K363" i="4"/>
  <c r="J363" i="4"/>
  <c r="I363" i="4"/>
  <c r="K362" i="4"/>
  <c r="J362" i="4"/>
  <c r="I362" i="4"/>
  <c r="K361" i="4"/>
  <c r="J361" i="4"/>
  <c r="I361" i="4"/>
  <c r="K360" i="4"/>
  <c r="J360" i="4"/>
  <c r="I360" i="4"/>
  <c r="M360" i="4" s="1" a="1"/>
  <c r="M360" i="4" s="1"/>
  <c r="O360" i="4" s="1"/>
  <c r="K359" i="4"/>
  <c r="J359" i="4"/>
  <c r="I359" i="4"/>
  <c r="K358" i="4"/>
  <c r="J358" i="4"/>
  <c r="I358" i="4"/>
  <c r="M358" i="4" s="1" a="1"/>
  <c r="M358" i="4" s="1"/>
  <c r="O358" i="4" s="1"/>
  <c r="K357" i="4"/>
  <c r="J357" i="4"/>
  <c r="I357" i="4"/>
  <c r="M357" i="4" s="1" a="1"/>
  <c r="M357" i="4" s="1"/>
  <c r="O357" i="4" s="1"/>
  <c r="K356" i="4"/>
  <c r="J356" i="4"/>
  <c r="I356" i="4"/>
  <c r="K355" i="4"/>
  <c r="J355" i="4"/>
  <c r="I355" i="4"/>
  <c r="K354" i="4"/>
  <c r="J354" i="4"/>
  <c r="I354" i="4"/>
  <c r="M354" i="4" s="1" a="1"/>
  <c r="M354" i="4" s="1"/>
  <c r="O354" i="4" s="1"/>
  <c r="K353" i="4"/>
  <c r="J353" i="4"/>
  <c r="I353" i="4"/>
  <c r="K352" i="4"/>
  <c r="J352" i="4"/>
  <c r="I352" i="4"/>
  <c r="K351" i="4"/>
  <c r="J351" i="4"/>
  <c r="I351" i="4"/>
  <c r="K350" i="4"/>
  <c r="J350" i="4"/>
  <c r="I350" i="4"/>
  <c r="M350" i="4" s="1" a="1"/>
  <c r="M350" i="4" s="1"/>
  <c r="O350" i="4" s="1"/>
  <c r="K349" i="4"/>
  <c r="J349" i="4"/>
  <c r="I349" i="4"/>
  <c r="M349" i="4" s="1" a="1"/>
  <c r="M349" i="4" s="1"/>
  <c r="O349" i="4" s="1"/>
  <c r="K348" i="4"/>
  <c r="J348" i="4"/>
  <c r="I348" i="4"/>
  <c r="K347" i="4"/>
  <c r="J347" i="4"/>
  <c r="I347" i="4"/>
  <c r="K346" i="4"/>
  <c r="J346" i="4"/>
  <c r="I346" i="4"/>
  <c r="K345" i="4"/>
  <c r="J345" i="4"/>
  <c r="I345" i="4"/>
  <c r="K344" i="4"/>
  <c r="J344" i="4"/>
  <c r="I344" i="4"/>
  <c r="M344" i="4" s="1" a="1"/>
  <c r="M344" i="4" s="1"/>
  <c r="O344" i="4" s="1"/>
  <c r="K343" i="4"/>
  <c r="J343" i="4"/>
  <c r="I343" i="4"/>
  <c r="K342" i="4"/>
  <c r="J342" i="4"/>
  <c r="I342" i="4"/>
  <c r="M342" i="4" s="1" a="1"/>
  <c r="M342" i="4" s="1"/>
  <c r="O342" i="4" s="1"/>
  <c r="K341" i="4"/>
  <c r="J341" i="4"/>
  <c r="I341" i="4"/>
  <c r="M341" i="4" s="1" a="1"/>
  <c r="M341" i="4" s="1"/>
  <c r="O341" i="4" s="1"/>
  <c r="K340" i="4"/>
  <c r="J340" i="4"/>
  <c r="I340" i="4"/>
  <c r="K339" i="4"/>
  <c r="J339" i="4"/>
  <c r="I339" i="4"/>
  <c r="K338" i="4"/>
  <c r="J338" i="4"/>
  <c r="I338" i="4"/>
  <c r="M338" i="4" s="1" a="1"/>
  <c r="M338" i="4" s="1"/>
  <c r="O338" i="4" s="1"/>
  <c r="K337" i="4"/>
  <c r="J337" i="4"/>
  <c r="I337" i="4"/>
  <c r="K336" i="4"/>
  <c r="J336" i="4"/>
  <c r="I336" i="4"/>
  <c r="K335" i="4"/>
  <c r="J335" i="4"/>
  <c r="I335" i="4"/>
  <c r="K334" i="4"/>
  <c r="J334" i="4"/>
  <c r="I334" i="4"/>
  <c r="M334" i="4" s="1" a="1"/>
  <c r="M334" i="4" s="1"/>
  <c r="O334" i="4" s="1"/>
  <c r="K333" i="4"/>
  <c r="J333" i="4"/>
  <c r="I333" i="4"/>
  <c r="M333" i="4" s="1" a="1"/>
  <c r="M333" i="4" s="1"/>
  <c r="O333" i="4" s="1"/>
  <c r="K332" i="4"/>
  <c r="J332" i="4"/>
  <c r="I332" i="4"/>
  <c r="K331" i="4"/>
  <c r="J331" i="4"/>
  <c r="I331" i="4"/>
  <c r="K330" i="4"/>
  <c r="J330" i="4"/>
  <c r="I330" i="4"/>
  <c r="K329" i="4"/>
  <c r="J329" i="4"/>
  <c r="I329" i="4"/>
  <c r="K328" i="4"/>
  <c r="J328" i="4"/>
  <c r="I328" i="4"/>
  <c r="M328" i="4" s="1" a="1"/>
  <c r="M328" i="4" s="1"/>
  <c r="O328" i="4" s="1"/>
  <c r="K327" i="4"/>
  <c r="J327" i="4"/>
  <c r="I327" i="4"/>
  <c r="K326" i="4"/>
  <c r="J326" i="4"/>
  <c r="I326" i="4"/>
  <c r="M326" i="4" s="1" a="1"/>
  <c r="M326" i="4" s="1"/>
  <c r="O326" i="4" s="1"/>
  <c r="K325" i="4"/>
  <c r="J325" i="4"/>
  <c r="I325" i="4"/>
  <c r="M325" i="4" s="1" a="1"/>
  <c r="M325" i="4" s="1"/>
  <c r="O325" i="4" s="1"/>
  <c r="K324" i="4"/>
  <c r="J324" i="4"/>
  <c r="M324" i="4" s="1" a="1"/>
  <c r="M324" i="4" s="1"/>
  <c r="O324" i="4" s="1"/>
  <c r="I324" i="4"/>
  <c r="K323" i="4"/>
  <c r="J323" i="4"/>
  <c r="I323" i="4"/>
  <c r="K322" i="4"/>
  <c r="J322" i="4"/>
  <c r="I322" i="4"/>
  <c r="M322" i="4" s="1" a="1"/>
  <c r="M322" i="4" s="1"/>
  <c r="O322" i="4" s="1"/>
  <c r="K321" i="4"/>
  <c r="J321" i="4"/>
  <c r="I321" i="4"/>
  <c r="K320" i="4"/>
  <c r="J320" i="4"/>
  <c r="I320" i="4"/>
  <c r="K319" i="4"/>
  <c r="J319" i="4"/>
  <c r="I319" i="4"/>
  <c r="K318" i="4"/>
  <c r="J318" i="4"/>
  <c r="I318" i="4"/>
  <c r="M318" i="4" s="1" a="1"/>
  <c r="M318" i="4" s="1"/>
  <c r="O318" i="4" s="1"/>
  <c r="K317" i="4"/>
  <c r="J317" i="4"/>
  <c r="I317" i="4"/>
  <c r="M317" i="4" s="1" a="1"/>
  <c r="M317" i="4" s="1"/>
  <c r="O317" i="4" s="1"/>
  <c r="K316" i="4"/>
  <c r="J316" i="4"/>
  <c r="I316" i="4"/>
  <c r="K315" i="4"/>
  <c r="J315" i="4"/>
  <c r="I315" i="4"/>
  <c r="K314" i="4"/>
  <c r="J314" i="4"/>
  <c r="I314" i="4"/>
  <c r="K313" i="4"/>
  <c r="J313" i="4"/>
  <c r="I313" i="4"/>
  <c r="K312" i="4"/>
  <c r="J312" i="4"/>
  <c r="I312" i="4"/>
  <c r="M312" i="4" s="1" a="1"/>
  <c r="M312" i="4" s="1"/>
  <c r="O312" i="4" s="1"/>
  <c r="K311" i="4"/>
  <c r="J311" i="4"/>
  <c r="I311" i="4"/>
  <c r="K310" i="4"/>
  <c r="J310" i="4"/>
  <c r="I310" i="4"/>
  <c r="M310" i="4" s="1" a="1"/>
  <c r="M310" i="4" s="1"/>
  <c r="O310" i="4" s="1"/>
  <c r="K309" i="4"/>
  <c r="J309" i="4"/>
  <c r="I309" i="4"/>
  <c r="M309" i="4" s="1" a="1"/>
  <c r="M309" i="4" s="1"/>
  <c r="O309" i="4" s="1"/>
  <c r="K308" i="4"/>
  <c r="J308" i="4"/>
  <c r="I308" i="4"/>
  <c r="K307" i="4"/>
  <c r="J307" i="4"/>
  <c r="I307" i="4"/>
  <c r="K306" i="4"/>
  <c r="J306" i="4"/>
  <c r="I306" i="4"/>
  <c r="M306" i="4" s="1" a="1"/>
  <c r="M306" i="4" s="1"/>
  <c r="O306" i="4" s="1"/>
  <c r="K305" i="4"/>
  <c r="J305" i="4"/>
  <c r="I305" i="4"/>
  <c r="K304" i="4"/>
  <c r="J304" i="4"/>
  <c r="I304" i="4"/>
  <c r="K303" i="4"/>
  <c r="J303" i="4"/>
  <c r="I303" i="4"/>
  <c r="K302" i="4"/>
  <c r="J302" i="4"/>
  <c r="I302" i="4"/>
  <c r="M302" i="4" s="1" a="1"/>
  <c r="M302" i="4" s="1"/>
  <c r="O302" i="4" s="1"/>
  <c r="K301" i="4"/>
  <c r="J301" i="4"/>
  <c r="I301" i="4"/>
  <c r="M301" i="4" s="1" a="1"/>
  <c r="M301" i="4" s="1"/>
  <c r="O301" i="4" s="1"/>
  <c r="K300" i="4"/>
  <c r="J300" i="4"/>
  <c r="I300" i="4"/>
  <c r="K299" i="4"/>
  <c r="J299" i="4"/>
  <c r="I299" i="4"/>
  <c r="K298" i="4"/>
  <c r="J298" i="4"/>
  <c r="I298" i="4"/>
  <c r="K297" i="4"/>
  <c r="J297" i="4"/>
  <c r="I297" i="4"/>
  <c r="K296" i="4"/>
  <c r="J296" i="4"/>
  <c r="I296" i="4"/>
  <c r="M296" i="4" s="1" a="1"/>
  <c r="M296" i="4" s="1"/>
  <c r="O296" i="4" s="1"/>
  <c r="K295" i="4"/>
  <c r="J295" i="4"/>
  <c r="I295" i="4"/>
  <c r="K294" i="4"/>
  <c r="J294" i="4"/>
  <c r="I294" i="4"/>
  <c r="M294" i="4" s="1" a="1"/>
  <c r="M294" i="4" s="1"/>
  <c r="O294" i="4" s="1"/>
  <c r="K293" i="4"/>
  <c r="J293" i="4"/>
  <c r="I293" i="4"/>
  <c r="M293" i="4" s="1" a="1"/>
  <c r="M293" i="4" s="1"/>
  <c r="O293" i="4" s="1"/>
  <c r="K292" i="4"/>
  <c r="J292" i="4"/>
  <c r="I292" i="4"/>
  <c r="K291" i="4"/>
  <c r="J291" i="4"/>
  <c r="I291" i="4"/>
  <c r="K290" i="4"/>
  <c r="J290" i="4"/>
  <c r="I290" i="4"/>
  <c r="M290" i="4" s="1" a="1"/>
  <c r="M290" i="4" s="1"/>
  <c r="O290" i="4" s="1"/>
  <c r="K289" i="4"/>
  <c r="J289" i="4"/>
  <c r="I289" i="4"/>
  <c r="K288" i="4"/>
  <c r="J288" i="4"/>
  <c r="I288" i="4"/>
  <c r="K287" i="4"/>
  <c r="J287" i="4"/>
  <c r="I287" i="4"/>
  <c r="K286" i="4"/>
  <c r="J286" i="4"/>
  <c r="I286" i="4"/>
  <c r="M286" i="4" s="1" a="1"/>
  <c r="M286" i="4" s="1"/>
  <c r="O286" i="4" s="1"/>
  <c r="K285" i="4"/>
  <c r="J285" i="4"/>
  <c r="I285" i="4"/>
  <c r="M285" i="4" s="1" a="1"/>
  <c r="M285" i="4" s="1"/>
  <c r="O285" i="4" s="1"/>
  <c r="K284" i="4"/>
  <c r="J284" i="4"/>
  <c r="I284" i="4"/>
  <c r="K283" i="4"/>
  <c r="J283" i="4"/>
  <c r="I283" i="4"/>
  <c r="K282" i="4"/>
  <c r="J282" i="4"/>
  <c r="I282" i="4"/>
  <c r="K281" i="4"/>
  <c r="J281" i="4"/>
  <c r="I281" i="4"/>
  <c r="K280" i="4"/>
  <c r="J280" i="4"/>
  <c r="I280" i="4"/>
  <c r="M280" i="4" s="1" a="1"/>
  <c r="M280" i="4" s="1"/>
  <c r="O280" i="4" s="1"/>
  <c r="K279" i="4"/>
  <c r="J279" i="4"/>
  <c r="I279" i="4"/>
  <c r="K278" i="4"/>
  <c r="J278" i="4"/>
  <c r="I278" i="4"/>
  <c r="M278" i="4" s="1" a="1"/>
  <c r="M278" i="4" s="1"/>
  <c r="O278" i="4" s="1"/>
  <c r="K277" i="4"/>
  <c r="J277" i="4"/>
  <c r="I277" i="4"/>
  <c r="M277" i="4" s="1" a="1"/>
  <c r="M277" i="4" s="1"/>
  <c r="O277" i="4" s="1"/>
  <c r="K276" i="4"/>
  <c r="J276" i="4"/>
  <c r="I276" i="4"/>
  <c r="K275" i="4"/>
  <c r="J275" i="4"/>
  <c r="I275" i="4"/>
  <c r="K274" i="4"/>
  <c r="J274" i="4"/>
  <c r="I274" i="4"/>
  <c r="M274" i="4" s="1" a="1"/>
  <c r="M274" i="4" s="1"/>
  <c r="O274" i="4" s="1"/>
  <c r="K273" i="4"/>
  <c r="J273" i="4"/>
  <c r="I273" i="4"/>
  <c r="K272" i="4"/>
  <c r="J272" i="4"/>
  <c r="I272" i="4"/>
  <c r="K271" i="4"/>
  <c r="J271" i="4"/>
  <c r="I271" i="4"/>
  <c r="K270" i="4"/>
  <c r="J270" i="4"/>
  <c r="I270" i="4"/>
  <c r="M270" i="4" s="1" a="1"/>
  <c r="M270" i="4" s="1"/>
  <c r="O270" i="4" s="1"/>
  <c r="K269" i="4"/>
  <c r="J269" i="4"/>
  <c r="I269" i="4"/>
  <c r="M269" i="4" s="1" a="1"/>
  <c r="M269" i="4" s="1"/>
  <c r="O269" i="4" s="1"/>
  <c r="K268" i="4"/>
  <c r="J268" i="4"/>
  <c r="I268" i="4"/>
  <c r="K267" i="4"/>
  <c r="J267" i="4"/>
  <c r="I267" i="4"/>
  <c r="K266" i="4"/>
  <c r="J266" i="4"/>
  <c r="I266" i="4"/>
  <c r="K265" i="4"/>
  <c r="J265" i="4"/>
  <c r="I265" i="4"/>
  <c r="K264" i="4"/>
  <c r="J264" i="4"/>
  <c r="I264" i="4"/>
  <c r="M264" i="4" s="1" a="1"/>
  <c r="M264" i="4" s="1"/>
  <c r="O264" i="4" s="1"/>
  <c r="K263" i="4"/>
  <c r="J263" i="4"/>
  <c r="I263" i="4"/>
  <c r="K262" i="4"/>
  <c r="J262" i="4"/>
  <c r="I262" i="4"/>
  <c r="M262" i="4" s="1" a="1"/>
  <c r="M262" i="4" s="1"/>
  <c r="O262" i="4" s="1"/>
  <c r="K261" i="4"/>
  <c r="J261" i="4"/>
  <c r="I261" i="4"/>
  <c r="M261" i="4" s="1" a="1"/>
  <c r="M261" i="4" s="1"/>
  <c r="O261" i="4" s="1"/>
  <c r="K260" i="4"/>
  <c r="J260" i="4"/>
  <c r="I260" i="4"/>
  <c r="K259" i="4"/>
  <c r="J259" i="4"/>
  <c r="I259" i="4"/>
  <c r="K258" i="4"/>
  <c r="J258" i="4"/>
  <c r="I258" i="4"/>
  <c r="M258" i="4" s="1" a="1"/>
  <c r="M258" i="4" s="1"/>
  <c r="O258" i="4" s="1"/>
  <c r="K257" i="4"/>
  <c r="J257" i="4"/>
  <c r="I257" i="4"/>
  <c r="K256" i="4"/>
  <c r="J256" i="4"/>
  <c r="I256" i="4"/>
  <c r="K255" i="4"/>
  <c r="J255" i="4"/>
  <c r="I255" i="4"/>
  <c r="K254" i="4"/>
  <c r="J254" i="4"/>
  <c r="I254" i="4"/>
  <c r="M254" i="4" s="1" a="1"/>
  <c r="M254" i="4" s="1"/>
  <c r="O254" i="4" s="1"/>
  <c r="K253" i="4"/>
  <c r="J253" i="4"/>
  <c r="I253" i="4"/>
  <c r="M253" i="4" s="1" a="1"/>
  <c r="M253" i="4" s="1"/>
  <c r="O253" i="4" s="1"/>
  <c r="K252" i="4"/>
  <c r="J252" i="4"/>
  <c r="I252" i="4"/>
  <c r="K251" i="4"/>
  <c r="J251" i="4"/>
  <c r="I251" i="4"/>
  <c r="K250" i="4"/>
  <c r="J250" i="4"/>
  <c r="I250" i="4"/>
  <c r="K249" i="4"/>
  <c r="J249" i="4"/>
  <c r="I249" i="4"/>
  <c r="K248" i="4"/>
  <c r="J248" i="4"/>
  <c r="I248" i="4"/>
  <c r="M248" i="4" s="1" a="1"/>
  <c r="M248" i="4" s="1"/>
  <c r="O248" i="4" s="1"/>
  <c r="K247" i="4"/>
  <c r="J247" i="4"/>
  <c r="I247" i="4"/>
  <c r="K246" i="4"/>
  <c r="J246" i="4"/>
  <c r="I246" i="4"/>
  <c r="M246" i="4" s="1" a="1"/>
  <c r="M246" i="4" s="1"/>
  <c r="O246" i="4" s="1"/>
  <c r="K245" i="4"/>
  <c r="J245" i="4"/>
  <c r="I245" i="4"/>
  <c r="M245" i="4" s="1" a="1"/>
  <c r="M245" i="4" s="1"/>
  <c r="O245" i="4" s="1"/>
  <c r="K244" i="4"/>
  <c r="J244" i="4"/>
  <c r="I244" i="4"/>
  <c r="K243" i="4"/>
  <c r="J243" i="4"/>
  <c r="I243" i="4"/>
  <c r="K242" i="4"/>
  <c r="J242" i="4"/>
  <c r="I242" i="4"/>
  <c r="M242" i="4" s="1" a="1"/>
  <c r="M242" i="4" s="1"/>
  <c r="O242" i="4" s="1"/>
  <c r="K241" i="4"/>
  <c r="J241" i="4"/>
  <c r="I241" i="4"/>
  <c r="K240" i="4"/>
  <c r="J240" i="4"/>
  <c r="I240" i="4"/>
  <c r="K239" i="4"/>
  <c r="J239" i="4"/>
  <c r="I239" i="4"/>
  <c r="K238" i="4"/>
  <c r="J238" i="4"/>
  <c r="I238" i="4"/>
  <c r="M238" i="4" s="1" a="1"/>
  <c r="M238" i="4" s="1"/>
  <c r="O238" i="4" s="1"/>
  <c r="K237" i="4"/>
  <c r="J237" i="4"/>
  <c r="I237" i="4"/>
  <c r="M237" i="4" s="1" a="1"/>
  <c r="M237" i="4" s="1"/>
  <c r="O237" i="4" s="1"/>
  <c r="K236" i="4"/>
  <c r="J236" i="4"/>
  <c r="I236" i="4"/>
  <c r="K235" i="4"/>
  <c r="J235" i="4"/>
  <c r="I235" i="4"/>
  <c r="K234" i="4"/>
  <c r="J234" i="4"/>
  <c r="I234" i="4"/>
  <c r="K233" i="4"/>
  <c r="J233" i="4"/>
  <c r="I233" i="4"/>
  <c r="K232" i="4"/>
  <c r="J232" i="4"/>
  <c r="I232" i="4"/>
  <c r="M232" i="4" s="1" a="1"/>
  <c r="M232" i="4" s="1"/>
  <c r="O232" i="4" s="1"/>
  <c r="K231" i="4"/>
  <c r="J231" i="4"/>
  <c r="I231" i="4"/>
  <c r="K230" i="4"/>
  <c r="J230" i="4"/>
  <c r="I230" i="4"/>
  <c r="M230" i="4" s="1" a="1"/>
  <c r="M230" i="4" s="1"/>
  <c r="O230" i="4" s="1"/>
  <c r="K229" i="4"/>
  <c r="J229" i="4"/>
  <c r="I229" i="4"/>
  <c r="M229" i="4" s="1" a="1"/>
  <c r="M229" i="4" s="1"/>
  <c r="O229" i="4" s="1"/>
  <c r="K228" i="4"/>
  <c r="J228" i="4"/>
  <c r="I228" i="4"/>
  <c r="K227" i="4"/>
  <c r="J227" i="4"/>
  <c r="I227" i="4"/>
  <c r="K226" i="4"/>
  <c r="J226" i="4"/>
  <c r="I226" i="4"/>
  <c r="M226" i="4" s="1" a="1"/>
  <c r="M226" i="4" s="1"/>
  <c r="O226" i="4" s="1"/>
  <c r="K225" i="4"/>
  <c r="J225" i="4"/>
  <c r="I225" i="4"/>
  <c r="K224" i="4"/>
  <c r="J224" i="4"/>
  <c r="I224" i="4"/>
  <c r="K223" i="4"/>
  <c r="J223" i="4"/>
  <c r="I223" i="4"/>
  <c r="K222" i="4"/>
  <c r="J222" i="4"/>
  <c r="I222" i="4"/>
  <c r="M222" i="4" s="1" a="1"/>
  <c r="M222" i="4" s="1"/>
  <c r="O222" i="4" s="1"/>
  <c r="K221" i="4"/>
  <c r="J221" i="4"/>
  <c r="I221" i="4"/>
  <c r="M221" i="4" s="1" a="1"/>
  <c r="M221" i="4" s="1"/>
  <c r="O221" i="4" s="1"/>
  <c r="K220" i="4"/>
  <c r="J220" i="4"/>
  <c r="I220" i="4"/>
  <c r="K219" i="4"/>
  <c r="J219" i="4"/>
  <c r="I219" i="4"/>
  <c r="K218" i="4"/>
  <c r="J218" i="4"/>
  <c r="I218" i="4"/>
  <c r="K217" i="4"/>
  <c r="J217" i="4"/>
  <c r="I217" i="4"/>
  <c r="K216" i="4"/>
  <c r="J216" i="4"/>
  <c r="I216" i="4"/>
  <c r="M216" i="4" s="1" a="1"/>
  <c r="M216" i="4" s="1"/>
  <c r="O216" i="4" s="1"/>
  <c r="K215" i="4"/>
  <c r="J215" i="4"/>
  <c r="I215" i="4"/>
  <c r="K214" i="4"/>
  <c r="J214" i="4"/>
  <c r="I214" i="4"/>
  <c r="M214" i="4" s="1" a="1"/>
  <c r="M214" i="4" s="1"/>
  <c r="O214" i="4" s="1"/>
  <c r="K213" i="4"/>
  <c r="J213" i="4"/>
  <c r="I213" i="4"/>
  <c r="M213" i="4" s="1" a="1"/>
  <c r="M213" i="4" s="1"/>
  <c r="O213" i="4" s="1"/>
  <c r="K212" i="4"/>
  <c r="J212" i="4"/>
  <c r="I212" i="4"/>
  <c r="K211" i="4"/>
  <c r="J211" i="4"/>
  <c r="I211" i="4"/>
  <c r="K210" i="4"/>
  <c r="J210" i="4"/>
  <c r="I210" i="4"/>
  <c r="M210" i="4" s="1" a="1"/>
  <c r="M210" i="4" s="1"/>
  <c r="O210" i="4" s="1"/>
  <c r="K209" i="4"/>
  <c r="J209" i="4"/>
  <c r="I209" i="4"/>
  <c r="K208" i="4"/>
  <c r="J208" i="4"/>
  <c r="I208" i="4"/>
  <c r="K207" i="4"/>
  <c r="J207" i="4"/>
  <c r="I207" i="4"/>
  <c r="K206" i="4"/>
  <c r="J206" i="4"/>
  <c r="I206" i="4"/>
  <c r="M206" i="4" s="1" a="1"/>
  <c r="M206" i="4" s="1"/>
  <c r="O206" i="4" s="1"/>
  <c r="K205" i="4"/>
  <c r="J205" i="4"/>
  <c r="I205" i="4"/>
  <c r="M205" i="4" s="1" a="1"/>
  <c r="M205" i="4" s="1"/>
  <c r="O205" i="4" s="1"/>
  <c r="K204" i="4"/>
  <c r="J204" i="4"/>
  <c r="I204" i="4"/>
  <c r="K203" i="4"/>
  <c r="J203" i="4"/>
  <c r="I203" i="4"/>
  <c r="K202" i="4"/>
  <c r="J202" i="4"/>
  <c r="I202" i="4"/>
  <c r="K201" i="4"/>
  <c r="J201" i="4"/>
  <c r="I201" i="4"/>
  <c r="K200" i="4"/>
  <c r="J200" i="4"/>
  <c r="I200" i="4"/>
  <c r="M200" i="4" s="1" a="1"/>
  <c r="M200" i="4" s="1"/>
  <c r="O200" i="4" s="1"/>
  <c r="K199" i="4"/>
  <c r="J199" i="4"/>
  <c r="I199" i="4"/>
  <c r="K198" i="4"/>
  <c r="J198" i="4"/>
  <c r="I198" i="4"/>
  <c r="M198" i="4" s="1" a="1"/>
  <c r="M198" i="4" s="1"/>
  <c r="O198" i="4" s="1"/>
  <c r="K197" i="4"/>
  <c r="J197" i="4"/>
  <c r="I197" i="4"/>
  <c r="M197" i="4" s="1" a="1"/>
  <c r="M197" i="4" s="1"/>
  <c r="O197" i="4" s="1"/>
  <c r="K196" i="4"/>
  <c r="J196" i="4"/>
  <c r="I196" i="4"/>
  <c r="K195" i="4"/>
  <c r="J195" i="4"/>
  <c r="I195" i="4"/>
  <c r="K194" i="4"/>
  <c r="J194" i="4"/>
  <c r="I194" i="4"/>
  <c r="M194" i="4" s="1" a="1"/>
  <c r="M194" i="4" s="1"/>
  <c r="O194" i="4" s="1"/>
  <c r="K193" i="4"/>
  <c r="J193" i="4"/>
  <c r="I193" i="4"/>
  <c r="K192" i="4"/>
  <c r="J192" i="4"/>
  <c r="I192" i="4"/>
  <c r="K191" i="4"/>
  <c r="J191" i="4"/>
  <c r="I191" i="4"/>
  <c r="K190" i="4"/>
  <c r="J190" i="4"/>
  <c r="I190" i="4"/>
  <c r="M190" i="4" s="1" a="1"/>
  <c r="M190" i="4" s="1"/>
  <c r="O190" i="4" s="1"/>
  <c r="K189" i="4"/>
  <c r="J189" i="4"/>
  <c r="I189" i="4"/>
  <c r="M189" i="4" s="1" a="1"/>
  <c r="M189" i="4" s="1"/>
  <c r="O189" i="4" s="1"/>
  <c r="K188" i="4"/>
  <c r="J188" i="4"/>
  <c r="I188" i="4"/>
  <c r="K187" i="4"/>
  <c r="J187" i="4"/>
  <c r="I187" i="4"/>
  <c r="K186" i="4"/>
  <c r="J186" i="4"/>
  <c r="I186" i="4"/>
  <c r="K185" i="4"/>
  <c r="J185" i="4"/>
  <c r="I185" i="4"/>
  <c r="K184" i="4"/>
  <c r="J184" i="4"/>
  <c r="I184" i="4"/>
  <c r="M184" i="4" s="1" a="1"/>
  <c r="M184" i="4" s="1"/>
  <c r="O184" i="4" s="1"/>
  <c r="K183" i="4"/>
  <c r="J183" i="4"/>
  <c r="I183" i="4"/>
  <c r="K182" i="4"/>
  <c r="J182" i="4"/>
  <c r="I182" i="4"/>
  <c r="M182" i="4" s="1" a="1"/>
  <c r="M182" i="4" s="1"/>
  <c r="O182" i="4" s="1"/>
  <c r="K181" i="4"/>
  <c r="J181" i="4"/>
  <c r="I181" i="4"/>
  <c r="M181" i="4" s="1" a="1"/>
  <c r="M181" i="4" s="1"/>
  <c r="O181" i="4" s="1"/>
  <c r="K180" i="4"/>
  <c r="J180" i="4"/>
  <c r="I180" i="4"/>
  <c r="K179" i="4"/>
  <c r="J179" i="4"/>
  <c r="I179" i="4"/>
  <c r="K178" i="4"/>
  <c r="J178" i="4"/>
  <c r="I178" i="4"/>
  <c r="M178" i="4" s="1" a="1"/>
  <c r="M178" i="4" s="1"/>
  <c r="O178" i="4" s="1"/>
  <c r="K177" i="4"/>
  <c r="J177" i="4"/>
  <c r="I177" i="4"/>
  <c r="K176" i="4"/>
  <c r="J176" i="4"/>
  <c r="I176" i="4"/>
  <c r="K175" i="4"/>
  <c r="J175" i="4"/>
  <c r="I175" i="4"/>
  <c r="K174" i="4"/>
  <c r="J174" i="4"/>
  <c r="I174" i="4"/>
  <c r="M174" i="4" s="1" a="1"/>
  <c r="M174" i="4" s="1"/>
  <c r="O174" i="4" s="1"/>
  <c r="K173" i="4"/>
  <c r="J173" i="4"/>
  <c r="I173" i="4"/>
  <c r="M173" i="4" s="1" a="1"/>
  <c r="M173" i="4" s="1"/>
  <c r="O173" i="4" s="1"/>
  <c r="K172" i="4"/>
  <c r="J172" i="4"/>
  <c r="I172" i="4"/>
  <c r="K171" i="4"/>
  <c r="J171" i="4"/>
  <c r="I171" i="4"/>
  <c r="K170" i="4"/>
  <c r="J170" i="4"/>
  <c r="I170" i="4"/>
  <c r="K169" i="4"/>
  <c r="J169" i="4"/>
  <c r="I169" i="4"/>
  <c r="K168" i="4"/>
  <c r="J168" i="4"/>
  <c r="I168" i="4"/>
  <c r="M168" i="4" s="1" a="1"/>
  <c r="M168" i="4" s="1"/>
  <c r="O168" i="4" s="1"/>
  <c r="K167" i="4"/>
  <c r="J167" i="4"/>
  <c r="I167" i="4"/>
  <c r="K166" i="4"/>
  <c r="J166" i="4"/>
  <c r="I166" i="4"/>
  <c r="M166" i="4" s="1" a="1"/>
  <c r="M166" i="4" s="1"/>
  <c r="O166" i="4" s="1"/>
  <c r="K165" i="4"/>
  <c r="J165" i="4"/>
  <c r="I165" i="4"/>
  <c r="M165" i="4" s="1" a="1"/>
  <c r="M165" i="4" s="1"/>
  <c r="O165" i="4" s="1"/>
  <c r="K164" i="4"/>
  <c r="J164" i="4"/>
  <c r="I164" i="4"/>
  <c r="K163" i="4"/>
  <c r="J163" i="4"/>
  <c r="I163" i="4"/>
  <c r="K162" i="4"/>
  <c r="J162" i="4"/>
  <c r="I162" i="4"/>
  <c r="M162" i="4" s="1" a="1"/>
  <c r="M162" i="4" s="1"/>
  <c r="O162" i="4" s="1"/>
  <c r="K161" i="4"/>
  <c r="J161" i="4"/>
  <c r="I161" i="4"/>
  <c r="K160" i="4"/>
  <c r="J160" i="4"/>
  <c r="I160" i="4"/>
  <c r="K159" i="4"/>
  <c r="J159" i="4"/>
  <c r="I159" i="4"/>
  <c r="K158" i="4"/>
  <c r="J158" i="4"/>
  <c r="I158" i="4"/>
  <c r="M158" i="4" s="1" a="1"/>
  <c r="M158" i="4" s="1"/>
  <c r="O158" i="4" s="1"/>
  <c r="K157" i="4"/>
  <c r="J157" i="4"/>
  <c r="I157" i="4"/>
  <c r="M157" i="4" s="1" a="1"/>
  <c r="M157" i="4" s="1"/>
  <c r="O157" i="4" s="1"/>
  <c r="K156" i="4"/>
  <c r="J156" i="4"/>
  <c r="I156" i="4"/>
  <c r="K155" i="4"/>
  <c r="J155" i="4"/>
  <c r="I155" i="4"/>
  <c r="K154" i="4"/>
  <c r="J154" i="4"/>
  <c r="I154" i="4"/>
  <c r="K153" i="4"/>
  <c r="J153" i="4"/>
  <c r="I153" i="4"/>
  <c r="K152" i="4"/>
  <c r="J152" i="4"/>
  <c r="I152" i="4"/>
  <c r="M152" i="4" s="1" a="1"/>
  <c r="M152" i="4" s="1"/>
  <c r="O152" i="4" s="1"/>
  <c r="K151" i="4"/>
  <c r="J151" i="4"/>
  <c r="I151" i="4"/>
  <c r="K150" i="4"/>
  <c r="J150" i="4"/>
  <c r="I150" i="4"/>
  <c r="M150" i="4" s="1" a="1"/>
  <c r="M150" i="4" s="1"/>
  <c r="O150" i="4" s="1"/>
  <c r="K149" i="4"/>
  <c r="J149" i="4"/>
  <c r="I149" i="4"/>
  <c r="M149" i="4" s="1" a="1"/>
  <c r="M149" i="4" s="1"/>
  <c r="O149" i="4" s="1"/>
  <c r="K148" i="4"/>
  <c r="J148" i="4"/>
  <c r="I148" i="4"/>
  <c r="K147" i="4"/>
  <c r="J147" i="4"/>
  <c r="I147" i="4"/>
  <c r="K146" i="4"/>
  <c r="J146" i="4"/>
  <c r="I146" i="4"/>
  <c r="M146" i="4" s="1" a="1"/>
  <c r="M146" i="4" s="1"/>
  <c r="O146" i="4" s="1"/>
  <c r="K145" i="4"/>
  <c r="J145" i="4"/>
  <c r="I145" i="4"/>
  <c r="K144" i="4"/>
  <c r="J144" i="4"/>
  <c r="I144" i="4"/>
  <c r="K143" i="4"/>
  <c r="J143" i="4"/>
  <c r="I143" i="4"/>
  <c r="K142" i="4"/>
  <c r="J142" i="4"/>
  <c r="I142" i="4"/>
  <c r="M142" i="4" s="1" a="1"/>
  <c r="M142" i="4" s="1"/>
  <c r="O142" i="4" s="1"/>
  <c r="K141" i="4"/>
  <c r="J141" i="4"/>
  <c r="I141" i="4"/>
  <c r="M141" i="4" s="1" a="1"/>
  <c r="M141" i="4" s="1"/>
  <c r="O141" i="4" s="1"/>
  <c r="K140" i="4"/>
  <c r="J140" i="4"/>
  <c r="I140" i="4"/>
  <c r="K139" i="4"/>
  <c r="J139" i="4"/>
  <c r="I139" i="4"/>
  <c r="K138" i="4"/>
  <c r="J138" i="4"/>
  <c r="I138" i="4"/>
  <c r="K137" i="4"/>
  <c r="J137" i="4"/>
  <c r="I137" i="4"/>
  <c r="K136" i="4"/>
  <c r="J136" i="4"/>
  <c r="I136" i="4"/>
  <c r="M136" i="4" s="1" a="1"/>
  <c r="M136" i="4" s="1"/>
  <c r="O136" i="4" s="1"/>
  <c r="K135" i="4"/>
  <c r="J135" i="4"/>
  <c r="I135" i="4"/>
  <c r="K134" i="4"/>
  <c r="J134" i="4"/>
  <c r="I134" i="4"/>
  <c r="M134" i="4" s="1" a="1"/>
  <c r="M134" i="4" s="1"/>
  <c r="O134" i="4" s="1"/>
  <c r="K133" i="4"/>
  <c r="J133" i="4"/>
  <c r="I133" i="4"/>
  <c r="M133" i="4" s="1" a="1"/>
  <c r="M133" i="4" s="1"/>
  <c r="O133" i="4" s="1"/>
  <c r="K132" i="4"/>
  <c r="J132" i="4"/>
  <c r="I132" i="4"/>
  <c r="K131" i="4"/>
  <c r="J131" i="4"/>
  <c r="I131" i="4"/>
  <c r="K130" i="4"/>
  <c r="J130" i="4"/>
  <c r="I130" i="4"/>
  <c r="M130" i="4" s="1" a="1"/>
  <c r="M130" i="4" s="1"/>
  <c r="O130" i="4" s="1"/>
  <c r="K129" i="4"/>
  <c r="J129" i="4"/>
  <c r="I129" i="4"/>
  <c r="K128" i="4"/>
  <c r="J128" i="4"/>
  <c r="I128" i="4"/>
  <c r="K127" i="4"/>
  <c r="J127" i="4"/>
  <c r="I127" i="4"/>
  <c r="K126" i="4"/>
  <c r="J126" i="4"/>
  <c r="I126" i="4"/>
  <c r="M126" i="4" s="1" a="1"/>
  <c r="M126" i="4" s="1"/>
  <c r="O126" i="4" s="1"/>
  <c r="K125" i="4"/>
  <c r="J125" i="4"/>
  <c r="I125" i="4"/>
  <c r="M125" i="4" s="1" a="1"/>
  <c r="M125" i="4" s="1"/>
  <c r="O125" i="4" s="1"/>
  <c r="K124" i="4"/>
  <c r="J124" i="4"/>
  <c r="I124" i="4"/>
  <c r="K123" i="4"/>
  <c r="J123" i="4"/>
  <c r="I123" i="4"/>
  <c r="K122" i="4"/>
  <c r="J122" i="4"/>
  <c r="I122" i="4"/>
  <c r="K121" i="4"/>
  <c r="J121" i="4"/>
  <c r="I121" i="4"/>
  <c r="K120" i="4"/>
  <c r="J120" i="4"/>
  <c r="I120" i="4"/>
  <c r="M120" i="4" s="1" a="1"/>
  <c r="M120" i="4" s="1"/>
  <c r="O120" i="4" s="1"/>
  <c r="K119" i="4"/>
  <c r="J119" i="4"/>
  <c r="I119" i="4"/>
  <c r="K118" i="4"/>
  <c r="J118" i="4"/>
  <c r="I118" i="4"/>
  <c r="M118" i="4" s="1" a="1"/>
  <c r="M118" i="4" s="1"/>
  <c r="O118" i="4" s="1"/>
  <c r="K117" i="4"/>
  <c r="J117" i="4"/>
  <c r="I117" i="4"/>
  <c r="M117" i="4" s="1" a="1"/>
  <c r="M117" i="4" s="1"/>
  <c r="O117" i="4" s="1"/>
  <c r="K116" i="4"/>
  <c r="J116" i="4"/>
  <c r="I116" i="4"/>
  <c r="K115" i="4"/>
  <c r="J115" i="4"/>
  <c r="I115" i="4"/>
  <c r="K114" i="4"/>
  <c r="J114" i="4"/>
  <c r="I114" i="4"/>
  <c r="M114" i="4" s="1" a="1"/>
  <c r="M114" i="4" s="1"/>
  <c r="O114" i="4" s="1"/>
  <c r="K113" i="4"/>
  <c r="J113" i="4"/>
  <c r="I113" i="4"/>
  <c r="K112" i="4"/>
  <c r="J112" i="4"/>
  <c r="I112" i="4"/>
  <c r="K111" i="4"/>
  <c r="J111" i="4"/>
  <c r="I111" i="4"/>
  <c r="K110" i="4"/>
  <c r="J110" i="4"/>
  <c r="I110" i="4"/>
  <c r="M110" i="4" s="1" a="1"/>
  <c r="M110" i="4" s="1"/>
  <c r="O110" i="4" s="1"/>
  <c r="K109" i="4"/>
  <c r="J109" i="4"/>
  <c r="I109" i="4"/>
  <c r="M109" i="4" s="1" a="1"/>
  <c r="M109" i="4" s="1"/>
  <c r="O109" i="4" s="1"/>
  <c r="K108" i="4"/>
  <c r="J108" i="4"/>
  <c r="I108" i="4"/>
  <c r="K107" i="4"/>
  <c r="J107" i="4"/>
  <c r="I107" i="4"/>
  <c r="K106" i="4"/>
  <c r="J106" i="4"/>
  <c r="I106" i="4"/>
  <c r="K105" i="4"/>
  <c r="J105" i="4"/>
  <c r="I105" i="4"/>
  <c r="K104" i="4"/>
  <c r="J104" i="4"/>
  <c r="I104" i="4"/>
  <c r="M104" i="4" s="1" a="1"/>
  <c r="M104" i="4" s="1"/>
  <c r="O104" i="4" s="1"/>
  <c r="K103" i="4"/>
  <c r="J103" i="4"/>
  <c r="I103" i="4"/>
  <c r="K102" i="4"/>
  <c r="J102" i="4"/>
  <c r="I102" i="4"/>
  <c r="M102" i="4" s="1" a="1"/>
  <c r="M102" i="4" s="1"/>
  <c r="O102" i="4" s="1"/>
  <c r="K101" i="4"/>
  <c r="J101" i="4"/>
  <c r="I101" i="4"/>
  <c r="M101" i="4" s="1" a="1"/>
  <c r="M101" i="4" s="1"/>
  <c r="O101" i="4" s="1"/>
  <c r="K100" i="4"/>
  <c r="J100" i="4"/>
  <c r="I100" i="4"/>
  <c r="K99" i="4"/>
  <c r="J99" i="4"/>
  <c r="I99" i="4"/>
  <c r="K98" i="4"/>
  <c r="J98" i="4"/>
  <c r="I98" i="4"/>
  <c r="M98" i="4" s="1" a="1"/>
  <c r="M98" i="4" s="1"/>
  <c r="O98" i="4" s="1"/>
  <c r="K97" i="4"/>
  <c r="J97" i="4"/>
  <c r="I97" i="4"/>
  <c r="K96" i="4"/>
  <c r="J96" i="4"/>
  <c r="I96" i="4"/>
  <c r="K95" i="4"/>
  <c r="J95" i="4"/>
  <c r="I95" i="4"/>
  <c r="K94" i="4"/>
  <c r="J94" i="4"/>
  <c r="I94" i="4"/>
  <c r="M94" i="4" s="1" a="1"/>
  <c r="M94" i="4" s="1"/>
  <c r="O94" i="4" s="1"/>
  <c r="K93" i="4"/>
  <c r="J93" i="4"/>
  <c r="I93" i="4"/>
  <c r="M93" i="4" s="1" a="1"/>
  <c r="M93" i="4" s="1"/>
  <c r="O93" i="4" s="1"/>
  <c r="K92" i="4"/>
  <c r="J92" i="4"/>
  <c r="I92" i="4"/>
  <c r="K91" i="4"/>
  <c r="J91" i="4"/>
  <c r="I91" i="4"/>
  <c r="K90" i="4"/>
  <c r="J90" i="4"/>
  <c r="I90" i="4"/>
  <c r="K89" i="4"/>
  <c r="J89" i="4"/>
  <c r="I89" i="4"/>
  <c r="K88" i="4"/>
  <c r="J88" i="4"/>
  <c r="I88" i="4"/>
  <c r="M88" i="4" s="1" a="1"/>
  <c r="M88" i="4" s="1"/>
  <c r="O88" i="4" s="1"/>
  <c r="K87" i="4"/>
  <c r="J87" i="4"/>
  <c r="I87" i="4"/>
  <c r="K86" i="4"/>
  <c r="J86" i="4"/>
  <c r="I86" i="4"/>
  <c r="M86" i="4" s="1" a="1"/>
  <c r="M86" i="4" s="1"/>
  <c r="O86" i="4" s="1"/>
  <c r="K85" i="4"/>
  <c r="J85" i="4"/>
  <c r="I85" i="4"/>
  <c r="M85" i="4" s="1" a="1"/>
  <c r="M85" i="4" s="1"/>
  <c r="O85" i="4" s="1"/>
  <c r="K84" i="4"/>
  <c r="J84" i="4"/>
  <c r="I84" i="4"/>
  <c r="K83" i="4"/>
  <c r="J83" i="4"/>
  <c r="I83" i="4"/>
  <c r="K82" i="4"/>
  <c r="J82" i="4"/>
  <c r="I82" i="4"/>
  <c r="M82" i="4" s="1" a="1"/>
  <c r="M82" i="4" s="1"/>
  <c r="O82" i="4" s="1"/>
  <c r="K81" i="4"/>
  <c r="J81" i="4"/>
  <c r="I81" i="4"/>
  <c r="K80" i="4"/>
  <c r="J80" i="4"/>
  <c r="I80" i="4"/>
  <c r="K79" i="4"/>
  <c r="J79" i="4"/>
  <c r="I79" i="4"/>
  <c r="K78" i="4"/>
  <c r="J78" i="4"/>
  <c r="I78" i="4"/>
  <c r="M78" i="4" s="1" a="1"/>
  <c r="M78" i="4" s="1"/>
  <c r="O78" i="4" s="1"/>
  <c r="K77" i="4"/>
  <c r="J77" i="4"/>
  <c r="I77" i="4"/>
  <c r="M77" i="4" s="1" a="1"/>
  <c r="M77" i="4" s="1"/>
  <c r="O77" i="4" s="1"/>
  <c r="K76" i="4"/>
  <c r="J76" i="4"/>
  <c r="I76" i="4"/>
  <c r="K75" i="4"/>
  <c r="J75" i="4"/>
  <c r="I75" i="4"/>
  <c r="K74" i="4"/>
  <c r="J74" i="4"/>
  <c r="I74" i="4"/>
  <c r="K73" i="4"/>
  <c r="J73" i="4"/>
  <c r="I73" i="4"/>
  <c r="K72" i="4"/>
  <c r="J72" i="4"/>
  <c r="I72" i="4"/>
  <c r="M72" i="4" s="1" a="1"/>
  <c r="M72" i="4" s="1"/>
  <c r="O72" i="4" s="1"/>
  <c r="K71" i="4"/>
  <c r="J71" i="4"/>
  <c r="I71" i="4"/>
  <c r="K70" i="4"/>
  <c r="J70" i="4"/>
  <c r="I70" i="4"/>
  <c r="M70" i="4" s="1" a="1"/>
  <c r="M70" i="4" s="1"/>
  <c r="O70" i="4" s="1"/>
  <c r="K69" i="4"/>
  <c r="J69" i="4"/>
  <c r="I69" i="4"/>
  <c r="M69" i="4" s="1" a="1"/>
  <c r="M69" i="4" s="1"/>
  <c r="O69" i="4" s="1"/>
  <c r="K68" i="4"/>
  <c r="J68" i="4"/>
  <c r="I68" i="4"/>
  <c r="K67" i="4"/>
  <c r="J67" i="4"/>
  <c r="I67" i="4"/>
  <c r="K66" i="4"/>
  <c r="J66" i="4"/>
  <c r="I66" i="4"/>
  <c r="M66" i="4" s="1" a="1"/>
  <c r="M66" i="4" s="1"/>
  <c r="O66" i="4" s="1"/>
  <c r="K65" i="4"/>
  <c r="J65" i="4"/>
  <c r="I65" i="4"/>
  <c r="K64" i="4"/>
  <c r="J64" i="4"/>
  <c r="I64" i="4"/>
  <c r="K63" i="4"/>
  <c r="J63" i="4"/>
  <c r="I63" i="4"/>
  <c r="K62" i="4"/>
  <c r="J62" i="4"/>
  <c r="I62" i="4"/>
  <c r="M62" i="4" s="1" a="1"/>
  <c r="M62" i="4" s="1"/>
  <c r="O62" i="4" s="1"/>
  <c r="K61" i="4"/>
  <c r="J61" i="4"/>
  <c r="I61" i="4"/>
  <c r="M61" i="4" s="1" a="1"/>
  <c r="M61" i="4" s="1"/>
  <c r="O61" i="4" s="1"/>
  <c r="K60" i="4"/>
  <c r="J60" i="4"/>
  <c r="I60" i="4"/>
  <c r="K59" i="4"/>
  <c r="J59" i="4"/>
  <c r="I59" i="4"/>
  <c r="K58" i="4"/>
  <c r="J58" i="4"/>
  <c r="I58" i="4"/>
  <c r="K57" i="4"/>
  <c r="J57" i="4"/>
  <c r="I57" i="4"/>
  <c r="K56" i="4"/>
  <c r="J56" i="4"/>
  <c r="I56" i="4"/>
  <c r="M56" i="4" s="1" a="1"/>
  <c r="M56" i="4" s="1"/>
  <c r="O56" i="4" s="1"/>
  <c r="K55" i="4"/>
  <c r="J55" i="4"/>
  <c r="I55" i="4"/>
  <c r="K54" i="4"/>
  <c r="J54" i="4"/>
  <c r="I54" i="4"/>
  <c r="M54" i="4" s="1" a="1"/>
  <c r="M54" i="4" s="1"/>
  <c r="O54" i="4" s="1"/>
  <c r="K53" i="4"/>
  <c r="J53" i="4"/>
  <c r="I53" i="4"/>
  <c r="M53" i="4" s="1" a="1"/>
  <c r="M53" i="4" s="1"/>
  <c r="O53" i="4" s="1"/>
  <c r="K52" i="4"/>
  <c r="J52" i="4"/>
  <c r="I52" i="4"/>
  <c r="K51" i="4"/>
  <c r="J51" i="4"/>
  <c r="I51" i="4"/>
  <c r="K50" i="4"/>
  <c r="J50" i="4"/>
  <c r="I50" i="4"/>
  <c r="M50" i="4" s="1" a="1"/>
  <c r="M50" i="4" s="1"/>
  <c r="O50" i="4" s="1"/>
  <c r="K49" i="4"/>
  <c r="J49" i="4"/>
  <c r="I49" i="4"/>
  <c r="K48" i="4"/>
  <c r="J48" i="4"/>
  <c r="I48" i="4"/>
  <c r="K47" i="4"/>
  <c r="J47" i="4"/>
  <c r="I47" i="4"/>
  <c r="K46" i="4"/>
  <c r="J46" i="4"/>
  <c r="I46" i="4"/>
  <c r="M46" i="4" s="1" a="1"/>
  <c r="M46" i="4" s="1"/>
  <c r="O46" i="4" s="1"/>
  <c r="K45" i="4"/>
  <c r="J45" i="4"/>
  <c r="I45" i="4"/>
  <c r="M45" i="4" s="1" a="1"/>
  <c r="M45" i="4" s="1"/>
  <c r="O45" i="4" s="1"/>
  <c r="K44" i="4"/>
  <c r="J44" i="4"/>
  <c r="I44" i="4"/>
  <c r="K43" i="4"/>
  <c r="J43" i="4"/>
  <c r="I43" i="4"/>
  <c r="K42" i="4"/>
  <c r="J42" i="4"/>
  <c r="I42" i="4"/>
  <c r="K41" i="4"/>
  <c r="J41" i="4"/>
  <c r="I41" i="4"/>
  <c r="K40" i="4"/>
  <c r="J40" i="4"/>
  <c r="I40" i="4"/>
  <c r="M40" i="4" s="1" a="1"/>
  <c r="M40" i="4" s="1"/>
  <c r="O40" i="4" s="1"/>
  <c r="K39" i="4"/>
  <c r="J39" i="4"/>
  <c r="I39" i="4"/>
  <c r="K38" i="4"/>
  <c r="J38" i="4"/>
  <c r="I38" i="4"/>
  <c r="M38" i="4" s="1" a="1"/>
  <c r="M38" i="4" s="1"/>
  <c r="O38" i="4" s="1"/>
  <c r="K37" i="4"/>
  <c r="J37" i="4"/>
  <c r="I37" i="4"/>
  <c r="M37" i="4" s="1" a="1"/>
  <c r="M37" i="4" s="1"/>
  <c r="O37" i="4" s="1"/>
  <c r="K36" i="4"/>
  <c r="J36" i="4"/>
  <c r="I36" i="4"/>
  <c r="K35" i="4"/>
  <c r="J35" i="4"/>
  <c r="I35" i="4"/>
  <c r="K34" i="4"/>
  <c r="J34" i="4"/>
  <c r="I34" i="4"/>
  <c r="M34" i="4" s="1" a="1"/>
  <c r="M34" i="4" s="1"/>
  <c r="O34" i="4" s="1"/>
  <c r="K33" i="4"/>
  <c r="J33" i="4"/>
  <c r="I33" i="4"/>
  <c r="K32" i="4"/>
  <c r="J32" i="4"/>
  <c r="I32" i="4"/>
  <c r="K31" i="4"/>
  <c r="J31" i="4"/>
  <c r="I31" i="4"/>
  <c r="K30" i="4"/>
  <c r="J30" i="4"/>
  <c r="I30" i="4"/>
  <c r="M30" i="4" s="1" a="1"/>
  <c r="M30" i="4" s="1"/>
  <c r="O30" i="4" s="1"/>
  <c r="K29" i="4"/>
  <c r="J29" i="4"/>
  <c r="I29" i="4"/>
  <c r="M29" i="4" s="1" a="1"/>
  <c r="M29" i="4" s="1"/>
  <c r="O29" i="4" s="1"/>
  <c r="K28" i="4"/>
  <c r="J28" i="4"/>
  <c r="I28" i="4"/>
  <c r="K27" i="4"/>
  <c r="J27" i="4"/>
  <c r="I27" i="4"/>
  <c r="K26" i="4"/>
  <c r="J26" i="4"/>
  <c r="I26" i="4"/>
  <c r="K25" i="4"/>
  <c r="J25" i="4"/>
  <c r="I25" i="4"/>
  <c r="K24" i="4"/>
  <c r="J24" i="4"/>
  <c r="I24" i="4"/>
  <c r="M24" i="4" s="1" a="1"/>
  <c r="M24" i="4" s="1"/>
  <c r="O24" i="4" s="1"/>
  <c r="K23" i="4"/>
  <c r="J23" i="4"/>
  <c r="I23" i="4"/>
  <c r="K22" i="4"/>
  <c r="J22" i="4"/>
  <c r="I22" i="4"/>
  <c r="M22" i="4" s="1" a="1"/>
  <c r="M22" i="4" s="1"/>
  <c r="O22" i="4" s="1"/>
  <c r="K21" i="4"/>
  <c r="J21" i="4"/>
  <c r="I21" i="4"/>
  <c r="M21" i="4" s="1" a="1"/>
  <c r="M21" i="4" s="1"/>
  <c r="O21" i="4" s="1"/>
  <c r="K20" i="4"/>
  <c r="J20" i="4"/>
  <c r="I20" i="4"/>
  <c r="K19" i="4"/>
  <c r="J19" i="4"/>
  <c r="I19" i="4"/>
  <c r="K18" i="4"/>
  <c r="J18" i="4"/>
  <c r="I18" i="4"/>
  <c r="M18" i="4" s="1" a="1"/>
  <c r="M18" i="4" s="1"/>
  <c r="O18" i="4" s="1"/>
  <c r="K17" i="4"/>
  <c r="J17" i="4"/>
  <c r="I17" i="4"/>
  <c r="K16" i="4"/>
  <c r="J16" i="4"/>
  <c r="I16" i="4"/>
  <c r="K15" i="4"/>
  <c r="J15" i="4"/>
  <c r="I15" i="4"/>
  <c r="K14" i="4"/>
  <c r="J14" i="4"/>
  <c r="I14" i="4"/>
  <c r="M14" i="4" s="1" a="1"/>
  <c r="M14" i="4" s="1"/>
  <c r="O14" i="4" s="1"/>
  <c r="K13" i="4"/>
  <c r="J13" i="4"/>
  <c r="I13" i="4"/>
  <c r="M13" i="4" s="1" a="1"/>
  <c r="M13" i="4" s="1"/>
  <c r="O13" i="4" s="1"/>
  <c r="K12" i="4"/>
  <c r="J12" i="4"/>
  <c r="I12" i="4"/>
  <c r="K11" i="4"/>
  <c r="J11" i="4"/>
  <c r="I11" i="4"/>
  <c r="K10" i="4"/>
  <c r="J10" i="4"/>
  <c r="I10" i="4"/>
  <c r="K9" i="4"/>
  <c r="M9" i="4" s="1" a="1"/>
  <c r="M9" i="4" s="1"/>
  <c r="O9" i="4" s="1"/>
  <c r="J9" i="4"/>
  <c r="I9" i="4"/>
  <c r="K8" i="4"/>
  <c r="J8" i="4"/>
  <c r="I8" i="4"/>
  <c r="M8" i="4" s="1" a="1"/>
  <c r="M8" i="4" s="1"/>
  <c r="O8" i="4" s="1"/>
  <c r="K7" i="4"/>
  <c r="J7" i="4"/>
  <c r="I7" i="4"/>
  <c r="K6" i="4"/>
  <c r="J6" i="4"/>
  <c r="I6" i="4"/>
  <c r="M6" i="4" s="1" a="1"/>
  <c r="M6" i="4" s="1"/>
  <c r="O6" i="4" s="1"/>
  <c r="K5" i="4"/>
  <c r="J5" i="4"/>
  <c r="I5" i="4"/>
  <c r="M5" i="4" s="1" a="1"/>
  <c r="M5" i="4" s="1"/>
  <c r="O5" i="4" s="1"/>
  <c r="K4" i="4"/>
  <c r="J4" i="4"/>
  <c r="I4" i="4"/>
  <c r="K3" i="4"/>
  <c r="J3" i="4"/>
  <c r="I3" i="4"/>
  <c r="CK10" i="3"/>
  <c r="CH10" i="3"/>
  <c r="CE11" i="3"/>
  <c r="CB10" i="3"/>
  <c r="BR10" i="3"/>
  <c r="BO11" i="3"/>
  <c r="BL11" i="3"/>
  <c r="BG11" i="3"/>
  <c r="BF11" i="3"/>
  <c r="BB10" i="3"/>
  <c r="AY11" i="3"/>
  <c r="AV10" i="3"/>
  <c r="AU11" i="3"/>
  <c r="AP11" i="3"/>
  <c r="AO11" i="3"/>
  <c r="AL10" i="3"/>
  <c r="AI11" i="3"/>
  <c r="AF10" i="3"/>
  <c r="Z11" i="3"/>
  <c r="Y11" i="3"/>
  <c r="X11" i="3"/>
  <c r="V10" i="3"/>
  <c r="S11" i="3"/>
  <c r="P10" i="3"/>
  <c r="H11" i="3"/>
  <c r="G11" i="3"/>
  <c r="F10" i="3"/>
  <c r="C11" i="3"/>
  <c r="CO11" i="3"/>
  <c r="CN11" i="3"/>
  <c r="CM11" i="3"/>
  <c r="CL11" i="3"/>
  <c r="CK11" i="3"/>
  <c r="CJ11" i="3"/>
  <c r="CI11" i="3"/>
  <c r="CH11" i="3"/>
  <c r="CG11" i="3"/>
  <c r="CF11" i="3"/>
  <c r="CD11" i="3"/>
  <c r="CC11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N11" i="3"/>
  <c r="BM11" i="3"/>
  <c r="BK11" i="3"/>
  <c r="BJ11" i="3"/>
  <c r="BI11" i="3"/>
  <c r="BH11" i="3"/>
  <c r="BE11" i="3"/>
  <c r="BD11" i="3"/>
  <c r="BC11" i="3"/>
  <c r="BA11" i="3"/>
  <c r="AZ11" i="3"/>
  <c r="AX11" i="3"/>
  <c r="AW11" i="3"/>
  <c r="AV11" i="3"/>
  <c r="AT11" i="3"/>
  <c r="AS11" i="3"/>
  <c r="AR11" i="3"/>
  <c r="AQ11" i="3"/>
  <c r="AN11" i="3"/>
  <c r="AM11" i="3"/>
  <c r="AK11" i="3"/>
  <c r="AJ11" i="3"/>
  <c r="AH11" i="3"/>
  <c r="AG11" i="3"/>
  <c r="AF11" i="3"/>
  <c r="AE11" i="3"/>
  <c r="AD11" i="3"/>
  <c r="AC11" i="3"/>
  <c r="AB11" i="3"/>
  <c r="AA11" i="3"/>
  <c r="W11" i="3"/>
  <c r="U11" i="3"/>
  <c r="T11" i="3"/>
  <c r="R11" i="3"/>
  <c r="Q11" i="3"/>
  <c r="P11" i="3"/>
  <c r="O11" i="3"/>
  <c r="N11" i="3"/>
  <c r="M11" i="3"/>
  <c r="L11" i="3"/>
  <c r="K11" i="3"/>
  <c r="J11" i="3"/>
  <c r="I11" i="3"/>
  <c r="E11" i="3"/>
  <c r="D11" i="3"/>
  <c r="CO10" i="3"/>
  <c r="CN10" i="3"/>
  <c r="CM10" i="3"/>
  <c r="CL10" i="3"/>
  <c r="CJ10" i="3"/>
  <c r="CI10" i="3"/>
  <c r="CG10" i="3"/>
  <c r="CF10" i="3"/>
  <c r="CE10" i="3"/>
  <c r="CD10" i="3"/>
  <c r="CC10" i="3"/>
  <c r="CA10" i="3"/>
  <c r="BZ10" i="3"/>
  <c r="BY10" i="3"/>
  <c r="BX10" i="3"/>
  <c r="BW10" i="3"/>
  <c r="BV10" i="3"/>
  <c r="BU10" i="3"/>
  <c r="BT10" i="3"/>
  <c r="BS10" i="3"/>
  <c r="BQ10" i="3"/>
  <c r="BP10" i="3"/>
  <c r="BO10" i="3"/>
  <c r="BN10" i="3"/>
  <c r="BM10" i="3"/>
  <c r="BK10" i="3"/>
  <c r="BJ10" i="3"/>
  <c r="BI10" i="3"/>
  <c r="BH10" i="3"/>
  <c r="BG10" i="3"/>
  <c r="BF10" i="3"/>
  <c r="BE10" i="3"/>
  <c r="BD10" i="3"/>
  <c r="BC10" i="3"/>
  <c r="BA10" i="3"/>
  <c r="AZ10" i="3"/>
  <c r="AY10" i="3"/>
  <c r="AX10" i="3"/>
  <c r="AW10" i="3"/>
  <c r="AU10" i="3"/>
  <c r="AT10" i="3"/>
  <c r="AS10" i="3"/>
  <c r="AR10" i="3"/>
  <c r="AQ10" i="3"/>
  <c r="AP10" i="3"/>
  <c r="AO10" i="3"/>
  <c r="AN10" i="3"/>
  <c r="AM10" i="3"/>
  <c r="AK10" i="3"/>
  <c r="AJ10" i="3"/>
  <c r="AI10" i="3"/>
  <c r="AH10" i="3"/>
  <c r="AG10" i="3"/>
  <c r="AE10" i="3"/>
  <c r="AD10" i="3"/>
  <c r="AC10" i="3"/>
  <c r="AB10" i="3"/>
  <c r="AA10" i="3"/>
  <c r="Z10" i="3"/>
  <c r="Y10" i="3"/>
  <c r="X10" i="3"/>
  <c r="W10" i="3"/>
  <c r="U10" i="3"/>
  <c r="T10" i="3"/>
  <c r="S10" i="3"/>
  <c r="R10" i="3"/>
  <c r="Q10" i="3"/>
  <c r="O10" i="3"/>
  <c r="N10" i="3"/>
  <c r="M10" i="3"/>
  <c r="L10" i="3"/>
  <c r="K10" i="3"/>
  <c r="J10" i="3"/>
  <c r="I10" i="3"/>
  <c r="H10" i="3"/>
  <c r="G10" i="3"/>
  <c r="E10" i="3"/>
  <c r="D10" i="3"/>
  <c r="C10" i="3"/>
  <c r="CO9" i="3"/>
  <c r="CN9" i="3"/>
  <c r="CM9" i="3"/>
  <c r="CL9" i="3"/>
  <c r="CK9" i="3"/>
  <c r="CJ9" i="3"/>
  <c r="CI9" i="3"/>
  <c r="CH9" i="3"/>
  <c r="CG9" i="3"/>
  <c r="CF9" i="3"/>
  <c r="CE9" i="3"/>
  <c r="CD9" i="3"/>
  <c r="CC9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CN3" i="10" l="1"/>
  <c r="AR3" i="10"/>
  <c r="AS3" i="10"/>
  <c r="N6" i="10"/>
  <c r="N2" i="10" s="1"/>
  <c r="BD3" i="10"/>
  <c r="CL3" i="10"/>
  <c r="AJ2" i="10"/>
  <c r="AK2" i="10"/>
  <c r="BG2" i="10"/>
  <c r="BO2" i="10"/>
  <c r="BP2" i="10"/>
  <c r="BQ2" i="10"/>
  <c r="CL2" i="10"/>
  <c r="AD2" i="14"/>
  <c r="AD4" i="14"/>
  <c r="AF9" i="14"/>
  <c r="AE6" i="14"/>
  <c r="AE3" i="14" s="1"/>
  <c r="B2" i="12"/>
  <c r="R2" i="12"/>
  <c r="AH2" i="12"/>
  <c r="AX2" i="12"/>
  <c r="BN2" i="12"/>
  <c r="CD2" i="12"/>
  <c r="P4" i="12"/>
  <c r="AF4" i="12"/>
  <c r="AV4" i="12"/>
  <c r="BL4" i="12"/>
  <c r="CB4" i="12"/>
  <c r="B4" i="12"/>
  <c r="R4" i="12"/>
  <c r="AH4" i="12"/>
  <c r="AX4" i="12"/>
  <c r="BN4" i="12"/>
  <c r="CD4" i="12"/>
  <c r="P3" i="12"/>
  <c r="AF3" i="12"/>
  <c r="AV3" i="12"/>
  <c r="BL3" i="12"/>
  <c r="CB3" i="12"/>
  <c r="D4" i="11"/>
  <c r="BK3" i="11"/>
  <c r="BK2" i="11"/>
  <c r="AC3" i="11"/>
  <c r="AC4" i="11"/>
  <c r="BY4" i="11"/>
  <c r="AS2" i="11"/>
  <c r="CF4" i="11"/>
  <c r="CA2" i="11"/>
  <c r="AS3" i="11"/>
  <c r="AZ3" i="11"/>
  <c r="H3" i="11"/>
  <c r="E3" i="11"/>
  <c r="BJ2" i="11"/>
  <c r="CB2" i="11"/>
  <c r="AT3" i="11"/>
  <c r="AT2" i="11"/>
  <c r="BL2" i="11"/>
  <c r="AU3" i="11"/>
  <c r="BZ4" i="11"/>
  <c r="AU2" i="11"/>
  <c r="AV3" i="11"/>
  <c r="E4" i="11"/>
  <c r="AW4" i="11"/>
  <c r="CC4" i="11"/>
  <c r="AD2" i="11"/>
  <c r="AV2" i="11"/>
  <c r="AW3" i="11"/>
  <c r="AY4" i="11"/>
  <c r="CE4" i="11"/>
  <c r="AE2" i="11"/>
  <c r="G2" i="11"/>
  <c r="AF2" i="11"/>
  <c r="AD3" i="11"/>
  <c r="BL3" i="11"/>
  <c r="AE3" i="11"/>
  <c r="AF3" i="11"/>
  <c r="CA3" i="11"/>
  <c r="G3" i="11"/>
  <c r="CB3" i="11"/>
  <c r="O6" i="11"/>
  <c r="B4" i="11"/>
  <c r="AH4" i="11"/>
  <c r="AX4" i="11"/>
  <c r="BN4" i="11"/>
  <c r="CD4" i="11"/>
  <c r="F4" i="11"/>
  <c r="AL4" i="11"/>
  <c r="BB4" i="11"/>
  <c r="BR4" i="11"/>
  <c r="CH4" i="11"/>
  <c r="B3" i="11"/>
  <c r="AH3" i="11"/>
  <c r="AX3" i="11"/>
  <c r="BN3" i="11"/>
  <c r="CD3" i="11"/>
  <c r="I4" i="11"/>
  <c r="Y4" i="11"/>
  <c r="AO4" i="11"/>
  <c r="BE4" i="11"/>
  <c r="BU4" i="11"/>
  <c r="CK4" i="11"/>
  <c r="N6" i="11"/>
  <c r="J4" i="11"/>
  <c r="Z4" i="11"/>
  <c r="AP4" i="11"/>
  <c r="BF4" i="11"/>
  <c r="BV4" i="11"/>
  <c r="CL4" i="11"/>
  <c r="F3" i="11"/>
  <c r="AL3" i="11"/>
  <c r="BB3" i="11"/>
  <c r="BR3" i="11"/>
  <c r="CH3" i="11"/>
  <c r="I20" i="8"/>
  <c r="J18" i="8"/>
  <c r="CM3" i="10"/>
  <c r="AM2" i="10"/>
  <c r="J3" i="10"/>
  <c r="BE3" i="10"/>
  <c r="B4" i="10"/>
  <c r="AN2" i="10"/>
  <c r="BR2" i="10"/>
  <c r="L3" i="10"/>
  <c r="BF3" i="10"/>
  <c r="M4" i="10"/>
  <c r="AL2" i="10"/>
  <c r="AO2" i="10"/>
  <c r="BS2" i="10"/>
  <c r="BG3" i="10"/>
  <c r="N4" i="10"/>
  <c r="AP2" i="10"/>
  <c r="BT2" i="10"/>
  <c r="X3" i="10"/>
  <c r="BH3" i="10"/>
  <c r="AC4" i="10"/>
  <c r="C2" i="10"/>
  <c r="AQ2" i="10"/>
  <c r="BU2" i="10"/>
  <c r="Y3" i="10"/>
  <c r="BI3" i="10"/>
  <c r="AG4" i="10"/>
  <c r="D2" i="10"/>
  <c r="AY2" i="10"/>
  <c r="BV2" i="10"/>
  <c r="Z3" i="10"/>
  <c r="BT3" i="10"/>
  <c r="AS4" i="10"/>
  <c r="E2" i="10"/>
  <c r="AZ2" i="10"/>
  <c r="CE2" i="10"/>
  <c r="AA3" i="10"/>
  <c r="BU3" i="10"/>
  <c r="AW4" i="10"/>
  <c r="W2" i="10"/>
  <c r="BA2" i="10"/>
  <c r="CF2" i="10"/>
  <c r="AB3" i="10"/>
  <c r="BV3" i="10"/>
  <c r="BI4" i="10"/>
  <c r="X2" i="10"/>
  <c r="BB2" i="10"/>
  <c r="CG2" i="10"/>
  <c r="AC3" i="10"/>
  <c r="BW3" i="10"/>
  <c r="BM4" i="10"/>
  <c r="Y2" i="10"/>
  <c r="BC2" i="10"/>
  <c r="CH2" i="10"/>
  <c r="AN3" i="10"/>
  <c r="BX3" i="10"/>
  <c r="BY4" i="10"/>
  <c r="Z2" i="10"/>
  <c r="BD2" i="10"/>
  <c r="CI2" i="10"/>
  <c r="AO3" i="10"/>
  <c r="BY3" i="10"/>
  <c r="CC4" i="10"/>
  <c r="AA2" i="10"/>
  <c r="BE2" i="10"/>
  <c r="CJ2" i="10"/>
  <c r="AP3" i="10"/>
  <c r="CJ3" i="10"/>
  <c r="AI2" i="10"/>
  <c r="BF2" i="10"/>
  <c r="CK2" i="10"/>
  <c r="AQ3" i="10"/>
  <c r="CK3" i="10"/>
  <c r="AT4" i="10"/>
  <c r="AE4" i="10"/>
  <c r="AU4" i="10"/>
  <c r="BK4" i="10"/>
  <c r="CA4" i="10"/>
  <c r="F2" i="10"/>
  <c r="K3" i="10"/>
  <c r="AF4" i="10"/>
  <c r="AV4" i="10"/>
  <c r="BL4" i="10"/>
  <c r="CB4" i="10"/>
  <c r="H2" i="10"/>
  <c r="AH4" i="10"/>
  <c r="AX4" i="10"/>
  <c r="BN4" i="10"/>
  <c r="CD4" i="10"/>
  <c r="BJ4" i="10"/>
  <c r="I2" i="10"/>
  <c r="N3" i="10"/>
  <c r="AD3" i="10"/>
  <c r="AT3" i="10"/>
  <c r="BJ3" i="10"/>
  <c r="BZ3" i="10"/>
  <c r="C4" i="10"/>
  <c r="AI4" i="10"/>
  <c r="AY4" i="10"/>
  <c r="BO4" i="10"/>
  <c r="CE4" i="10"/>
  <c r="J2" i="10"/>
  <c r="AE3" i="10"/>
  <c r="AU3" i="10"/>
  <c r="BK3" i="10"/>
  <c r="CA3" i="10"/>
  <c r="D4" i="10"/>
  <c r="AJ4" i="10"/>
  <c r="AZ4" i="10"/>
  <c r="BP4" i="10"/>
  <c r="CF4" i="10"/>
  <c r="K2" i="10"/>
  <c r="BW2" i="10"/>
  <c r="CM2" i="10"/>
  <c r="AF3" i="10"/>
  <c r="AV3" i="10"/>
  <c r="BL3" i="10"/>
  <c r="CB3" i="10"/>
  <c r="E4" i="10"/>
  <c r="AK4" i="10"/>
  <c r="BA4" i="10"/>
  <c r="BQ4" i="10"/>
  <c r="CG4" i="10"/>
  <c r="L2" i="10"/>
  <c r="AB2" i="10"/>
  <c r="AR2" i="10"/>
  <c r="BH2" i="10"/>
  <c r="BX2" i="10"/>
  <c r="CN2" i="10"/>
  <c r="AG3" i="10"/>
  <c r="AW3" i="10"/>
  <c r="BM3" i="10"/>
  <c r="CC3" i="10"/>
  <c r="F4" i="10"/>
  <c r="AL4" i="10"/>
  <c r="BB4" i="10"/>
  <c r="BR4" i="10"/>
  <c r="CH4" i="10"/>
  <c r="B3" i="10"/>
  <c r="AH3" i="10"/>
  <c r="AX3" i="10"/>
  <c r="BN3" i="10"/>
  <c r="CD3" i="10"/>
  <c r="G4" i="10"/>
  <c r="W4" i="10"/>
  <c r="AM4" i="10"/>
  <c r="BC4" i="10"/>
  <c r="BS4" i="10"/>
  <c r="CI4" i="10"/>
  <c r="AD2" i="10"/>
  <c r="BZ2" i="10"/>
  <c r="G2" i="10"/>
  <c r="P10" i="10"/>
  <c r="O6" i="10"/>
  <c r="M1424" i="4" a="1"/>
  <c r="M1424" i="4" s="1"/>
  <c r="O1424" i="4" s="1"/>
  <c r="M1622" i="4" a="1"/>
  <c r="M1622" i="4" s="1"/>
  <c r="O1622" i="4" s="1"/>
  <c r="M1686" i="4" a="1"/>
  <c r="M1686" i="4" s="1"/>
  <c r="O1686" i="4" s="1"/>
  <c r="M1472" i="4" a="1"/>
  <c r="M1472" i="4" s="1"/>
  <c r="O1472" i="4" s="1"/>
  <c r="M1509" i="4" a="1"/>
  <c r="M1509" i="4" s="1"/>
  <c r="O1509" i="4" s="1"/>
  <c r="M1512" i="4" a="1"/>
  <c r="M1512" i="4" s="1"/>
  <c r="O1512" i="4" s="1"/>
  <c r="M1541" i="4" a="1"/>
  <c r="M1541" i="4" s="1"/>
  <c r="O1541" i="4" s="1"/>
  <c r="M1544" i="4" a="1"/>
  <c r="M1544" i="4" s="1"/>
  <c r="O1544" i="4" s="1"/>
  <c r="M1573" i="4" a="1"/>
  <c r="M1573" i="4" s="1"/>
  <c r="O1573" i="4" s="1"/>
  <c r="M1576" i="4" a="1"/>
  <c r="M1576" i="4" s="1"/>
  <c r="O1576" i="4" s="1"/>
  <c r="M1779" i="4" a="1"/>
  <c r="M1779" i="4" s="1"/>
  <c r="O1779" i="4" s="1"/>
  <c r="M1907" i="4" a="1"/>
  <c r="M1907" i="4" s="1"/>
  <c r="O1907" i="4" s="1"/>
  <c r="M1382" i="4" a="1"/>
  <c r="M1382" i="4" s="1"/>
  <c r="O1382" i="4" s="1"/>
  <c r="M1413" i="4" a="1"/>
  <c r="M1413" i="4" s="1"/>
  <c r="O1413" i="4" s="1"/>
  <c r="M1416" i="4" a="1"/>
  <c r="M1416" i="4" s="1"/>
  <c r="O1416" i="4" s="1"/>
  <c r="M1450" i="4" a="1"/>
  <c r="M1450" i="4" s="1"/>
  <c r="O1450" i="4" s="1"/>
  <c r="M1653" i="4" a="1"/>
  <c r="M1653" i="4" s="1"/>
  <c r="O1653" i="4" s="1"/>
  <c r="M1827" i="4" a="1"/>
  <c r="M1827" i="4" s="1"/>
  <c r="O1827" i="4" s="1"/>
  <c r="M1405" i="4" a="1"/>
  <c r="M1405" i="4" s="1"/>
  <c r="O1405" i="4" s="1"/>
  <c r="M1447" i="4" a="1"/>
  <c r="M1447" i="4" s="1"/>
  <c r="O1447" i="4" s="1"/>
  <c r="M1504" i="4" a="1"/>
  <c r="M1504" i="4" s="1"/>
  <c r="O1504" i="4" s="1"/>
  <c r="M1536" i="4" a="1"/>
  <c r="M1536" i="4" s="1"/>
  <c r="O1536" i="4" s="1"/>
  <c r="M1568" i="4" a="1"/>
  <c r="M1568" i="4" s="1"/>
  <c r="O1568" i="4" s="1"/>
  <c r="M1610" i="4" a="1"/>
  <c r="M1610" i="4" s="1"/>
  <c r="O1610" i="4" s="1"/>
  <c r="M1456" i="4" a="1"/>
  <c r="M1456" i="4" s="1"/>
  <c r="O1456" i="4" s="1"/>
  <c r="M1513" i="4" a="1"/>
  <c r="M1513" i="4" s="1"/>
  <c r="O1513" i="4" s="1"/>
  <c r="M1545" i="4" a="1"/>
  <c r="M1545" i="4" s="1"/>
  <c r="O1545" i="4" s="1"/>
  <c r="M1577" i="4" a="1"/>
  <c r="M1577" i="4" s="1"/>
  <c r="O1577" i="4" s="1"/>
  <c r="M1657" i="4" a="1"/>
  <c r="M1657" i="4" s="1"/>
  <c r="O1657" i="4" s="1"/>
  <c r="M1667" i="4" a="1"/>
  <c r="M1667" i="4" s="1"/>
  <c r="O1667" i="4" s="1"/>
  <c r="M1674" i="4" a="1"/>
  <c r="M1674" i="4" s="1"/>
  <c r="O1674" i="4" s="1"/>
  <c r="M1701" i="4" a="1"/>
  <c r="M1701" i="4" s="1"/>
  <c r="O1701" i="4" s="1"/>
  <c r="M1366" i="4" a="1"/>
  <c r="M1366" i="4" s="1"/>
  <c r="O1366" i="4" s="1"/>
  <c r="M1383" i="4" a="1"/>
  <c r="M1383" i="4" s="1"/>
  <c r="O1383" i="4" s="1"/>
  <c r="M1397" i="4" a="1"/>
  <c r="M1397" i="4" s="1"/>
  <c r="O1397" i="4" s="1"/>
  <c r="M1400" i="4" a="1"/>
  <c r="M1400" i="4" s="1"/>
  <c r="O1400" i="4" s="1"/>
  <c r="M1434" i="4" a="1"/>
  <c r="M1434" i="4" s="1"/>
  <c r="O1434" i="4" s="1"/>
  <c r="M1617" i="4" a="1"/>
  <c r="M1617" i="4" s="1"/>
  <c r="O1617" i="4" s="1"/>
  <c r="M1654" i="4" a="1"/>
  <c r="M1654" i="4" s="1"/>
  <c r="O1654" i="4" s="1"/>
  <c r="M1770" i="4" a="1"/>
  <c r="M1770" i="4" s="1"/>
  <c r="O1770" i="4" s="1"/>
  <c r="M1389" i="4" a="1"/>
  <c r="M1389" i="4" s="1"/>
  <c r="O1389" i="4" s="1"/>
  <c r="M1414" i="4" a="1"/>
  <c r="M1414" i="4" s="1"/>
  <c r="O1414" i="4" s="1"/>
  <c r="M1431" i="4" a="1"/>
  <c r="M1431" i="4" s="1"/>
  <c r="O1431" i="4" s="1"/>
  <c r="M1445" i="4" a="1"/>
  <c r="M1445" i="4" s="1"/>
  <c r="O1445" i="4" s="1"/>
  <c r="M1448" i="4" a="1"/>
  <c r="M1448" i="4" s="1"/>
  <c r="O1448" i="4" s="1"/>
  <c r="M1482" i="4" a="1"/>
  <c r="M1482" i="4" s="1"/>
  <c r="O1482" i="4" s="1"/>
  <c r="M1493" i="4" a="1"/>
  <c r="M1493" i="4" s="1"/>
  <c r="O1493" i="4" s="1"/>
  <c r="M1496" i="4" a="1"/>
  <c r="M1496" i="4" s="1"/>
  <c r="O1496" i="4" s="1"/>
  <c r="M1525" i="4" a="1"/>
  <c r="M1525" i="4" s="1"/>
  <c r="O1525" i="4" s="1"/>
  <c r="M1528" i="4" a="1"/>
  <c r="M1528" i="4" s="1"/>
  <c r="O1528" i="4" s="1"/>
  <c r="M1557" i="4" a="1"/>
  <c r="M1557" i="4" s="1"/>
  <c r="O1557" i="4" s="1"/>
  <c r="M1560" i="4" a="1"/>
  <c r="M1560" i="4" s="1"/>
  <c r="O1560" i="4" s="1"/>
  <c r="M1589" i="4" a="1"/>
  <c r="M1589" i="4" s="1"/>
  <c r="O1589" i="4" s="1"/>
  <c r="M1592" i="4" a="1"/>
  <c r="M1592" i="4" s="1"/>
  <c r="O1592" i="4" s="1"/>
  <c r="M1601" i="4" a="1"/>
  <c r="M1601" i="4" s="1"/>
  <c r="O1601" i="4" s="1"/>
  <c r="M1843" i="4" a="1"/>
  <c r="M1843" i="4" s="1"/>
  <c r="O1843" i="4" s="1"/>
  <c r="M1971" i="4" a="1"/>
  <c r="M1971" i="4" s="1"/>
  <c r="O1971" i="4" s="1"/>
  <c r="M1392" i="4" a="1"/>
  <c r="M1392" i="4" s="1"/>
  <c r="O1392" i="4" s="1"/>
  <c r="M1437" i="4" a="1"/>
  <c r="M1437" i="4" s="1"/>
  <c r="O1437" i="4" s="1"/>
  <c r="M1462" i="4" a="1"/>
  <c r="M1462" i="4" s="1"/>
  <c r="O1462" i="4" s="1"/>
  <c r="M1479" i="4" a="1"/>
  <c r="M1479" i="4" s="1"/>
  <c r="O1479" i="4" s="1"/>
  <c r="M1514" i="4" a="1"/>
  <c r="M1514" i="4" s="1"/>
  <c r="O1514" i="4" s="1"/>
  <c r="M1546" i="4" a="1"/>
  <c r="M1546" i="4" s="1"/>
  <c r="O1546" i="4" s="1"/>
  <c r="M1578" i="4" a="1"/>
  <c r="M1578" i="4" s="1"/>
  <c r="O1578" i="4" s="1"/>
  <c r="M1641" i="4" a="1"/>
  <c r="M1641" i="4" s="1"/>
  <c r="O1641" i="4" s="1"/>
  <c r="M1651" i="4" a="1"/>
  <c r="M1651" i="4" s="1"/>
  <c r="O1651" i="4" s="1"/>
  <c r="M1658" i="4" a="1"/>
  <c r="M1658" i="4" s="1"/>
  <c r="O1658" i="4" s="1"/>
  <c r="M1818" i="4" a="1"/>
  <c r="M1818" i="4" s="1"/>
  <c r="O1818" i="4" s="1"/>
  <c r="M1440" i="4" a="1"/>
  <c r="M1440" i="4" s="1"/>
  <c r="O1440" i="4" s="1"/>
  <c r="M1485" i="4" a="1"/>
  <c r="M1485" i="4" s="1"/>
  <c r="O1485" i="4" s="1"/>
  <c r="M1367" i="4" a="1"/>
  <c r="M1367" i="4" s="1"/>
  <c r="O1367" i="4" s="1"/>
  <c r="M1381" i="4" a="1"/>
  <c r="M1381" i="4" s="1"/>
  <c r="O1381" i="4" s="1"/>
  <c r="M1384" i="4" a="1"/>
  <c r="M1384" i="4" s="1"/>
  <c r="O1384" i="4" s="1"/>
  <c r="M1811" i="4" a="1"/>
  <c r="M1811" i="4" s="1"/>
  <c r="O1811" i="4" s="1"/>
  <c r="M1373" i="4" a="1"/>
  <c r="M1373" i="4" s="1"/>
  <c r="O1373" i="4" s="1"/>
  <c r="M1398" i="4" a="1"/>
  <c r="M1398" i="4" s="1"/>
  <c r="O1398" i="4" s="1"/>
  <c r="M1415" i="4" a="1"/>
  <c r="M1415" i="4" s="1"/>
  <c r="O1415" i="4" s="1"/>
  <c r="M1418" i="4" a="1"/>
  <c r="M1418" i="4" s="1"/>
  <c r="O1418" i="4" s="1"/>
  <c r="M1429" i="4" a="1"/>
  <c r="M1429" i="4" s="1"/>
  <c r="O1429" i="4" s="1"/>
  <c r="M1432" i="4" a="1"/>
  <c r="M1432" i="4" s="1"/>
  <c r="O1432" i="4" s="1"/>
  <c r="M1466" i="4" a="1"/>
  <c r="M1466" i="4" s="1"/>
  <c r="O1466" i="4" s="1"/>
  <c r="M1497" i="4" a="1"/>
  <c r="M1497" i="4" s="1"/>
  <c r="O1497" i="4" s="1"/>
  <c r="M1529" i="4" a="1"/>
  <c r="M1529" i="4" s="1"/>
  <c r="O1529" i="4" s="1"/>
  <c r="M1561" i="4" a="1"/>
  <c r="M1561" i="4" s="1"/>
  <c r="O1561" i="4" s="1"/>
  <c r="M1593" i="4" a="1"/>
  <c r="M1593" i="4" s="1"/>
  <c r="O1593" i="4" s="1"/>
  <c r="M1618" i="4" a="1"/>
  <c r="M1618" i="4" s="1"/>
  <c r="O1618" i="4" s="1"/>
  <c r="M1625" i="4" a="1"/>
  <c r="M1625" i="4" s="1"/>
  <c r="O1625" i="4" s="1"/>
  <c r="M1635" i="4" a="1"/>
  <c r="M1635" i="4" s="1"/>
  <c r="O1635" i="4" s="1"/>
  <c r="M1642" i="4" a="1"/>
  <c r="M1642" i="4" s="1"/>
  <c r="O1642" i="4" s="1"/>
  <c r="M1689" i="4" a="1"/>
  <c r="M1689" i="4" s="1"/>
  <c r="O1689" i="4" s="1"/>
  <c r="M1699" i="4" a="1"/>
  <c r="M1699" i="4" s="1"/>
  <c r="O1699" i="4" s="1"/>
  <c r="M1786" i="4" a="1"/>
  <c r="M1786" i="4" s="1"/>
  <c r="O1786" i="4" s="1"/>
  <c r="M1376" i="4" a="1"/>
  <c r="M1376" i="4" s="1"/>
  <c r="O1376" i="4" s="1"/>
  <c r="M1463" i="4" a="1"/>
  <c r="M1463" i="4" s="1"/>
  <c r="O1463" i="4" s="1"/>
  <c r="M1602" i="4" a="1"/>
  <c r="M1602" i="4" s="1"/>
  <c r="O1602" i="4" s="1"/>
  <c r="M1682" i="4" a="1"/>
  <c r="M1682" i="4" s="1"/>
  <c r="O1682" i="4" s="1"/>
  <c r="M2210" i="4" a="1"/>
  <c r="M2210" i="4" s="1"/>
  <c r="O2210" i="4" s="1"/>
  <c r="M2242" i="4" a="1"/>
  <c r="M2242" i="4" s="1"/>
  <c r="O2242" i="4" s="1"/>
  <c r="M1977" i="4" a="1"/>
  <c r="M1977" i="4" s="1"/>
  <c r="O1977" i="4" s="1"/>
  <c r="M2203" i="4" a="1"/>
  <c r="M2203" i="4" s="1"/>
  <c r="O2203" i="4" s="1"/>
  <c r="M2235" i="4" a="1"/>
  <c r="M2235" i="4" s="1"/>
  <c r="O2235" i="4" s="1"/>
  <c r="M2014" i="4" a="1"/>
  <c r="M2014" i="4" s="1"/>
  <c r="O2014" i="4" s="1"/>
  <c r="M2017" i="4" a="1"/>
  <c r="M2017" i="4" s="1"/>
  <c r="O2017" i="4" s="1"/>
  <c r="M2046" i="4" a="1"/>
  <c r="M2046" i="4" s="1"/>
  <c r="O2046" i="4" s="1"/>
  <c r="M2049" i="4" a="1"/>
  <c r="M2049" i="4" s="1"/>
  <c r="O2049" i="4" s="1"/>
  <c r="M2078" i="4" a="1"/>
  <c r="M2078" i="4" s="1"/>
  <c r="O2078" i="4" s="1"/>
  <c r="M2081" i="4" a="1"/>
  <c r="M2081" i="4" s="1"/>
  <c r="O2081" i="4" s="1"/>
  <c r="M2139" i="4" a="1"/>
  <c r="M2139" i="4" s="1"/>
  <c r="O2139" i="4" s="1"/>
  <c r="M2146" i="4" a="1"/>
  <c r="M2146" i="4" s="1"/>
  <c r="O2146" i="4" s="1"/>
  <c r="M1983" i="4" a="1"/>
  <c r="M1983" i="4" s="1"/>
  <c r="O1983" i="4" s="1"/>
  <c r="M2073" i="4" a="1"/>
  <c r="M2073" i="4" s="1"/>
  <c r="O2073" i="4" s="1"/>
  <c r="M2105" i="4" a="1"/>
  <c r="M2105" i="4" s="1"/>
  <c r="O2105" i="4" s="1"/>
  <c r="M2130" i="4" a="1"/>
  <c r="M2130" i="4" s="1"/>
  <c r="O2130" i="4" s="1"/>
  <c r="M2163" i="4" a="1"/>
  <c r="M2163" i="4" s="1"/>
  <c r="O2163" i="4" s="1"/>
  <c r="M2111" i="4" a="1"/>
  <c r="M2111" i="4" s="1"/>
  <c r="O2111" i="4" s="1"/>
  <c r="M2143" i="4" a="1"/>
  <c r="M2143" i="4" s="1"/>
  <c r="O2143" i="4" s="1"/>
  <c r="M2194" i="4" a="1"/>
  <c r="M2194" i="4" s="1"/>
  <c r="O2194" i="4" s="1"/>
  <c r="M2226" i="4" a="1"/>
  <c r="M2226" i="4" s="1"/>
  <c r="O2226" i="4" s="1"/>
  <c r="M2018" i="4" a="1"/>
  <c r="M2018" i="4" s="1"/>
  <c r="O2018" i="4" s="1"/>
  <c r="M2050" i="4" a="1"/>
  <c r="M2050" i="4" s="1"/>
  <c r="O2050" i="4" s="1"/>
  <c r="M2082" i="4" a="1"/>
  <c r="M2082" i="4" s="1"/>
  <c r="O2082" i="4" s="1"/>
  <c r="M2127" i="4" a="1"/>
  <c r="M2127" i="4" s="1"/>
  <c r="O2127" i="4" s="1"/>
  <c r="M2170" i="4" a="1"/>
  <c r="M2170" i="4" s="1"/>
  <c r="O2170" i="4" s="1"/>
  <c r="M2062" i="4" a="1"/>
  <c r="M2062" i="4" s="1"/>
  <c r="O2062" i="4" s="1"/>
  <c r="M2065" i="4" a="1"/>
  <c r="M2065" i="4" s="1"/>
  <c r="O2065" i="4" s="1"/>
  <c r="M2094" i="4" a="1"/>
  <c r="M2094" i="4" s="1"/>
  <c r="O2094" i="4" s="1"/>
  <c r="M2097" i="4" a="1"/>
  <c r="M2097" i="4" s="1"/>
  <c r="O2097" i="4" s="1"/>
  <c r="M2131" i="4" a="1"/>
  <c r="M2131" i="4" s="1"/>
  <c r="O2131" i="4" s="1"/>
  <c r="M2154" i="4" a="1"/>
  <c r="M2154" i="4" s="1"/>
  <c r="O2154" i="4" s="1"/>
  <c r="M1993" i="4" a="1"/>
  <c r="M1993" i="4" s="1"/>
  <c r="O1993" i="4" s="1"/>
  <c r="M2019" i="4" a="1"/>
  <c r="M2019" i="4" s="1"/>
  <c r="O2019" i="4" s="1"/>
  <c r="M2051" i="4" a="1"/>
  <c r="M2051" i="4" s="1"/>
  <c r="O2051" i="4" s="1"/>
  <c r="M2083" i="4" a="1"/>
  <c r="M2083" i="4" s="1"/>
  <c r="O2083" i="4" s="1"/>
  <c r="M2273" i="4" a="1"/>
  <c r="M2273" i="4" s="1"/>
  <c r="O2273" i="4" s="1"/>
  <c r="M2292" i="4" a="1"/>
  <c r="M2292" i="4" s="1"/>
  <c r="O2292" i="4" s="1"/>
  <c r="M2349" i="4" a="1"/>
  <c r="M2349" i="4" s="1"/>
  <c r="O2349" i="4" s="1"/>
  <c r="M2382" i="4" a="1"/>
  <c r="M2382" i="4" s="1"/>
  <c r="O2382" i="4" s="1"/>
  <c r="M2458" i="4" a="1"/>
  <c r="M2458" i="4" s="1"/>
  <c r="O2458" i="4" s="1"/>
  <c r="M2509" i="4" a="1"/>
  <c r="M2509" i="4" s="1"/>
  <c r="O2509" i="4" s="1"/>
  <c r="M2417" i="4" a="1"/>
  <c r="M2417" i="4" s="1"/>
  <c r="O2417" i="4" s="1"/>
  <c r="M2317" i="4" a="1"/>
  <c r="M2317" i="4" s="1"/>
  <c r="O2317" i="4" s="1"/>
  <c r="M2350" i="4" a="1"/>
  <c r="M2350" i="4" s="1"/>
  <c r="O2350" i="4" s="1"/>
  <c r="M2369" i="4" a="1"/>
  <c r="M2369" i="4" s="1"/>
  <c r="O2369" i="4" s="1"/>
  <c r="M2391" i="4" a="1"/>
  <c r="M2391" i="4" s="1"/>
  <c r="O2391" i="4" s="1"/>
  <c r="M2423" i="4" a="1"/>
  <c r="M2423" i="4" s="1"/>
  <c r="O2423" i="4" s="1"/>
  <c r="M2456" i="4" a="1"/>
  <c r="M2456" i="4" s="1"/>
  <c r="O2456" i="4" s="1"/>
  <c r="M2545" i="4" a="1"/>
  <c r="M2545" i="4" s="1"/>
  <c r="O2545" i="4" s="1"/>
  <c r="M2577" i="4" a="1"/>
  <c r="M2577" i="4" s="1"/>
  <c r="O2577" i="4" s="1"/>
  <c r="M2285" i="4" a="1"/>
  <c r="M2285" i="4" s="1"/>
  <c r="O2285" i="4" s="1"/>
  <c r="M2318" i="4" a="1"/>
  <c r="M2318" i="4" s="1"/>
  <c r="O2318" i="4" s="1"/>
  <c r="M2337" i="4" a="1"/>
  <c r="M2337" i="4" s="1"/>
  <c r="O2337" i="4" s="1"/>
  <c r="M2356" i="4" a="1"/>
  <c r="M2356" i="4" s="1"/>
  <c r="O2356" i="4" s="1"/>
  <c r="M2497" i="4" a="1"/>
  <c r="M2497" i="4" s="1"/>
  <c r="O2497" i="4" s="1"/>
  <c r="M2392" i="4" a="1"/>
  <c r="M2392" i="4" s="1"/>
  <c r="O2392" i="4" s="1"/>
  <c r="M2424" i="4" a="1"/>
  <c r="M2424" i="4" s="1"/>
  <c r="O2424" i="4" s="1"/>
  <c r="M2490" i="4" a="1"/>
  <c r="M2490" i="4" s="1"/>
  <c r="O2490" i="4" s="1"/>
  <c r="M2286" i="4" a="1"/>
  <c r="M2286" i="4" s="1"/>
  <c r="O2286" i="4" s="1"/>
  <c r="M2305" i="4" a="1"/>
  <c r="M2305" i="4" s="1"/>
  <c r="O2305" i="4" s="1"/>
  <c r="M2324" i="4" a="1"/>
  <c r="M2324" i="4" s="1"/>
  <c r="O2324" i="4" s="1"/>
  <c r="M2381" i="4" a="1"/>
  <c r="M2381" i="4" s="1"/>
  <c r="O2381" i="4" s="1"/>
  <c r="M2404" i="4" a="1"/>
  <c r="M2404" i="4" s="1"/>
  <c r="O2404" i="4" s="1"/>
  <c r="M2436" i="4" a="1"/>
  <c r="M2436" i="4" s="1"/>
  <c r="O2436" i="4" s="1"/>
  <c r="M2529" i="4" a="1"/>
  <c r="M2529" i="4" s="1"/>
  <c r="O2529" i="4" s="1"/>
  <c r="M2522" i="4" a="1"/>
  <c r="M2522" i="4" s="1"/>
  <c r="O2522" i="4" s="1"/>
  <c r="M2607" i="4" a="1"/>
  <c r="M2607" i="4" s="1"/>
  <c r="O2607" i="4" s="1"/>
  <c r="M2289" i="4" a="1"/>
  <c r="M2289" i="4" s="1"/>
  <c r="O2289" i="4" s="1"/>
  <c r="M2308" i="4" a="1"/>
  <c r="M2308" i="4" s="1"/>
  <c r="O2308" i="4" s="1"/>
  <c r="M2365" i="4" a="1"/>
  <c r="M2365" i="4" s="1"/>
  <c r="O2365" i="4" s="1"/>
  <c r="M2413" i="4" a="1"/>
  <c r="M2413" i="4" s="1"/>
  <c r="O2413" i="4" s="1"/>
  <c r="M2445" i="4" a="1"/>
  <c r="M2445" i="4" s="1"/>
  <c r="O2445" i="4" s="1"/>
  <c r="M2461" i="4" a="1"/>
  <c r="M2461" i="4" s="1"/>
  <c r="O2461" i="4" s="1"/>
  <c r="M2474" i="4" a="1"/>
  <c r="M2474" i="4" s="1"/>
  <c r="O2474" i="4" s="1"/>
  <c r="M2481" i="4" a="1"/>
  <c r="M2481" i="4" s="1"/>
  <c r="O2481" i="4" s="1"/>
  <c r="M2554" i="4" a="1"/>
  <c r="M2554" i="4" s="1"/>
  <c r="O2554" i="4" s="1"/>
  <c r="M2863" i="4" a="1"/>
  <c r="M2863" i="4" s="1"/>
  <c r="O2863" i="4" s="1"/>
  <c r="M2633" i="4" a="1"/>
  <c r="M2633" i="4" s="1"/>
  <c r="O2633" i="4" s="1"/>
  <c r="M2684" i="4" a="1"/>
  <c r="M2684" i="4" s="1"/>
  <c r="O2684" i="4" s="1"/>
  <c r="M2871" i="4" a="1"/>
  <c r="M2871" i="4" s="1"/>
  <c r="O2871" i="4" s="1"/>
  <c r="M2895" i="4" a="1"/>
  <c r="M2895" i="4" s="1"/>
  <c r="O2895" i="4" s="1"/>
  <c r="M2947" i="4" a="1"/>
  <c r="M2947" i="4" s="1"/>
  <c r="O2947" i="4" s="1"/>
  <c r="M2735" i="4" a="1"/>
  <c r="M2735" i="4" s="1"/>
  <c r="O2735" i="4" s="1"/>
  <c r="M2799" i="4" a="1"/>
  <c r="M2799" i="4" s="1"/>
  <c r="O2799" i="4" s="1"/>
  <c r="M2649" i="4" a="1"/>
  <c r="M2649" i="4" s="1"/>
  <c r="O2649" i="4" s="1"/>
  <c r="M2697" i="4" a="1"/>
  <c r="M2697" i="4" s="1"/>
  <c r="O2697" i="4" s="1"/>
  <c r="M2783" i="4" a="1"/>
  <c r="M2783" i="4" s="1"/>
  <c r="O2783" i="4" s="1"/>
  <c r="M2593" i="4" a="1"/>
  <c r="M2593" i="4" s="1"/>
  <c r="O2593" i="4" s="1"/>
  <c r="M2611" i="4" a="1"/>
  <c r="M2611" i="4" s="1"/>
  <c r="O2611" i="4" s="1"/>
  <c r="M2657" i="4" a="1"/>
  <c r="M2657" i="4" s="1"/>
  <c r="O2657" i="4" s="1"/>
  <c r="M2855" i="4" a="1"/>
  <c r="M2855" i="4" s="1"/>
  <c r="O2855" i="4" s="1"/>
  <c r="M2879" i="4" a="1"/>
  <c r="M2879" i="4" s="1"/>
  <c r="O2879" i="4" s="1"/>
  <c r="M2596" i="4" a="1"/>
  <c r="M2596" i="4" s="1"/>
  <c r="O2596" i="4" s="1"/>
  <c r="M2660" i="4" a="1"/>
  <c r="M2660" i="4" s="1"/>
  <c r="O2660" i="4" s="1"/>
  <c r="M2665" i="4" a="1"/>
  <c r="M2665" i="4" s="1"/>
  <c r="O2665" i="4" s="1"/>
  <c r="M2671" i="4" a="1"/>
  <c r="M2671" i="4" s="1"/>
  <c r="O2671" i="4" s="1"/>
  <c r="M2713" i="4" a="1"/>
  <c r="M2713" i="4" s="1"/>
  <c r="O2713" i="4" s="1"/>
  <c r="M2777" i="4" a="1"/>
  <c r="M2777" i="4" s="1"/>
  <c r="O2777" i="4" s="1"/>
  <c r="M2668" i="4" a="1"/>
  <c r="M2668" i="4" s="1"/>
  <c r="O2668" i="4" s="1"/>
  <c r="M2609" i="4" a="1"/>
  <c r="M2609" i="4" s="1"/>
  <c r="O2609" i="4" s="1"/>
  <c r="M2627" i="4" a="1"/>
  <c r="M2627" i="4" s="1"/>
  <c r="O2627" i="4" s="1"/>
  <c r="M2701" i="4" a="1"/>
  <c r="M2701" i="4" s="1"/>
  <c r="O2701" i="4" s="1"/>
  <c r="M2737" i="4" a="1"/>
  <c r="M2737" i="4" s="1"/>
  <c r="O2737" i="4" s="1"/>
  <c r="M2887" i="4" a="1"/>
  <c r="M2887" i="4" s="1"/>
  <c r="O2887" i="4" s="1"/>
  <c r="M2612" i="4" a="1"/>
  <c r="M2612" i="4" s="1"/>
  <c r="O2612" i="4" s="1"/>
  <c r="M2689" i="4" a="1"/>
  <c r="M2689" i="4" s="1"/>
  <c r="O2689" i="4" s="1"/>
  <c r="M2761" i="4" a="1"/>
  <c r="M2761" i="4" s="1"/>
  <c r="O2761" i="4" s="1"/>
  <c r="M2957" i="4" a="1"/>
  <c r="M2957" i="4" s="1"/>
  <c r="O2957" i="4" s="1"/>
  <c r="M2916" i="4" a="1"/>
  <c r="M2916" i="4" s="1"/>
  <c r="O2916" i="4" s="1"/>
  <c r="M2951" i="4" a="1"/>
  <c r="M2951" i="4" s="1"/>
  <c r="O2951" i="4" s="1"/>
  <c r="M2961" i="4" a="1"/>
  <c r="M2961" i="4" s="1"/>
  <c r="O2961" i="4" s="1"/>
  <c r="M3085" i="4" a="1"/>
  <c r="M3085" i="4" s="1"/>
  <c r="O3085" i="4" s="1"/>
  <c r="M2919" i="4" a="1"/>
  <c r="M2919" i="4" s="1"/>
  <c r="O2919" i="4" s="1"/>
  <c r="M2964" i="4" a="1"/>
  <c r="M2964" i="4" s="1"/>
  <c r="O2964" i="4" s="1"/>
  <c r="M2967" i="4" a="1"/>
  <c r="M2967" i="4" s="1"/>
  <c r="O2967" i="4" s="1"/>
  <c r="M3021" i="4" a="1"/>
  <c r="M3021" i="4" s="1"/>
  <c r="O3021" i="4" s="1"/>
  <c r="M2949" i="4" a="1"/>
  <c r="M2949" i="4" s="1"/>
  <c r="O2949" i="4" s="1"/>
  <c r="M2973" i="4" a="1"/>
  <c r="M2973" i="4" s="1"/>
  <c r="O2973" i="4" s="1"/>
  <c r="M3008" i="4" a="1"/>
  <c r="M3008" i="4" s="1"/>
  <c r="O3008" i="4" s="1"/>
  <c r="M3015" i="4" a="1"/>
  <c r="M3015" i="4" s="1"/>
  <c r="O3015" i="4" s="1"/>
  <c r="M3076" i="4" a="1"/>
  <c r="M3076" i="4" s="1"/>
  <c r="O3076" i="4" s="1"/>
  <c r="M2932" i="4" a="1"/>
  <c r="M2932" i="4" s="1"/>
  <c r="O2932" i="4" s="1"/>
  <c r="M2989" i="4" a="1"/>
  <c r="M2989" i="4" s="1"/>
  <c r="O2989" i="4" s="1"/>
  <c r="M2977" i="4" a="1"/>
  <c r="M2977" i="4" s="1"/>
  <c r="O2977" i="4" s="1"/>
  <c r="M2980" i="4" a="1"/>
  <c r="M2980" i="4" s="1"/>
  <c r="O2980" i="4" s="1"/>
  <c r="M2999" i="4" a="1"/>
  <c r="M2999" i="4" s="1"/>
  <c r="O2999" i="4" s="1"/>
  <c r="M3002" i="4" a="1"/>
  <c r="M3002" i="4" s="1"/>
  <c r="O3002" i="4" s="1"/>
  <c r="M2993" i="4" a="1"/>
  <c r="M2993" i="4" s="1"/>
  <c r="O2993" i="4" s="1"/>
  <c r="M2933" i="4" a="1"/>
  <c r="M2933" i="4" s="1"/>
  <c r="O2933" i="4" s="1"/>
  <c r="M3040" i="4" a="1"/>
  <c r="M3040" i="4" s="1"/>
  <c r="O3040" i="4" s="1"/>
  <c r="M2948" i="4" a="1"/>
  <c r="M2948" i="4" s="1"/>
  <c r="O2948" i="4" s="1"/>
  <c r="M3245" i="4" a="1"/>
  <c r="M3245" i="4" s="1"/>
  <c r="O3245" i="4" s="1"/>
  <c r="M3306" i="4" a="1"/>
  <c r="M3306" i="4" s="1"/>
  <c r="O3306" i="4" s="1"/>
  <c r="M3338" i="4" a="1"/>
  <c r="M3338" i="4" s="1"/>
  <c r="O3338" i="4" s="1"/>
  <c r="M3277" i="4" a="1"/>
  <c r="M3277" i="4" s="1"/>
  <c r="O3277" i="4" s="1"/>
  <c r="M3325" i="4" a="1"/>
  <c r="M3325" i="4" s="1"/>
  <c r="O3325" i="4" s="1"/>
  <c r="M3396" i="4" a="1"/>
  <c r="M3396" i="4" s="1"/>
  <c r="O3396" i="4" s="1"/>
  <c r="M3413" i="4" a="1"/>
  <c r="M3413" i="4" s="1"/>
  <c r="O3413" i="4" s="1"/>
  <c r="M3526" i="4" a="1"/>
  <c r="M3526" i="4" s="1"/>
  <c r="O3526" i="4" s="1"/>
  <c r="M3312" i="4" a="1"/>
  <c r="M3312" i="4" s="1"/>
  <c r="O3312" i="4" s="1"/>
  <c r="M3376" i="4" a="1"/>
  <c r="M3376" i="4" s="1"/>
  <c r="O3376" i="4" s="1"/>
  <c r="M3383" i="4" a="1"/>
  <c r="M3383" i="4" s="1"/>
  <c r="O3383" i="4" s="1"/>
  <c r="M3424" i="4" a="1"/>
  <c r="M3424" i="4" s="1"/>
  <c r="O3424" i="4" s="1"/>
  <c r="M3508" i="4" a="1"/>
  <c r="M3508" i="4" s="1"/>
  <c r="O3508" i="4" s="1"/>
  <c r="M3328" i="4" a="1"/>
  <c r="M3328" i="4" s="1"/>
  <c r="O3328" i="4" s="1"/>
  <c r="M3232" i="4" a="1"/>
  <c r="M3232" i="4" s="1"/>
  <c r="O3232" i="4" s="1"/>
  <c r="M3367" i="4" a="1"/>
  <c r="M3367" i="4" s="1"/>
  <c r="O3367" i="4" s="1"/>
  <c r="M3261" i="4" a="1"/>
  <c r="M3261" i="4" s="1"/>
  <c r="O3261" i="4" s="1"/>
  <c r="M3300" i="4" a="1"/>
  <c r="M3300" i="4" s="1"/>
  <c r="O3300" i="4" s="1"/>
  <c r="M3364" i="4" a="1"/>
  <c r="M3364" i="4" s="1"/>
  <c r="O3364" i="4" s="1"/>
  <c r="M3572" i="4" a="1"/>
  <c r="M3572" i="4" s="1"/>
  <c r="O3572" i="4" s="1"/>
  <c r="M3264" i="4" a="1"/>
  <c r="M3264" i="4" s="1"/>
  <c r="O3264" i="4" s="1"/>
  <c r="M3293" i="4" a="1"/>
  <c r="M3293" i="4" s="1"/>
  <c r="O3293" i="4" s="1"/>
  <c r="M3332" i="4" a="1"/>
  <c r="M3332" i="4" s="1"/>
  <c r="O3332" i="4" s="1"/>
  <c r="M3536" i="4" a="1"/>
  <c r="M3536" i="4" s="1"/>
  <c r="O3536" i="4" s="1"/>
  <c r="M3534" i="4" a="1"/>
  <c r="M3534" i="4" s="1"/>
  <c r="O3534" i="4" s="1"/>
  <c r="M3539" i="4" a="1"/>
  <c r="M3539" i="4" s="1"/>
  <c r="O3539" i="4" s="1"/>
  <c r="M3605" i="4" a="1"/>
  <c r="M3605" i="4" s="1"/>
  <c r="O3605" i="4" s="1"/>
  <c r="M3739" i="4" a="1"/>
  <c r="M3739" i="4" s="1"/>
  <c r="O3739" i="4" s="1"/>
  <c r="M3537" i="4" a="1"/>
  <c r="M3537" i="4" s="1"/>
  <c r="O3537" i="4" s="1"/>
  <c r="M3611" i="4" a="1"/>
  <c r="M3611" i="4" s="1"/>
  <c r="O3611" i="4" s="1"/>
  <c r="M3550" i="4" a="1"/>
  <c r="M3550" i="4" s="1"/>
  <c r="O3550" i="4" s="1"/>
  <c r="M3619" i="4" a="1"/>
  <c r="M3619" i="4" s="1"/>
  <c r="O3619" i="4" s="1"/>
  <c r="M3710" i="4" a="1"/>
  <c r="M3710" i="4" s="1"/>
  <c r="O3710" i="4" s="1"/>
  <c r="M3764" i="4" a="1"/>
  <c r="M3764" i="4" s="1"/>
  <c r="O3764" i="4" s="1"/>
  <c r="M3812" i="4" a="1"/>
  <c r="M3812" i="4" s="1"/>
  <c r="O3812" i="4" s="1"/>
  <c r="M3499" i="4" a="1"/>
  <c r="M3499" i="4" s="1"/>
  <c r="O3499" i="4" s="1"/>
  <c r="M3563" i="4" a="1"/>
  <c r="M3563" i="4" s="1"/>
  <c r="O3563" i="4" s="1"/>
  <c r="M3637" i="4" a="1"/>
  <c r="M3637" i="4" s="1"/>
  <c r="O3637" i="4" s="1"/>
  <c r="M3643" i="4" a="1"/>
  <c r="M3643" i="4" s="1"/>
  <c r="O3643" i="4" s="1"/>
  <c r="M3707" i="4" a="1"/>
  <c r="M3707" i="4" s="1"/>
  <c r="O3707" i="4" s="1"/>
  <c r="M3717" i="4" a="1"/>
  <c r="M3717" i="4" s="1"/>
  <c r="O3717" i="4" s="1"/>
  <c r="M3502" i="4" a="1"/>
  <c r="M3502" i="4" s="1"/>
  <c r="O3502" i="4" s="1"/>
  <c r="M3507" i="4" a="1"/>
  <c r="M3507" i="4" s="1"/>
  <c r="O3507" i="4" s="1"/>
  <c r="M3566" i="4" a="1"/>
  <c r="M3566" i="4" s="1"/>
  <c r="O3566" i="4" s="1"/>
  <c r="M3571" i="4" a="1"/>
  <c r="M3571" i="4" s="1"/>
  <c r="O3571" i="4" s="1"/>
  <c r="M3587" i="4" a="1"/>
  <c r="M3587" i="4" s="1"/>
  <c r="O3587" i="4" s="1"/>
  <c r="M3634" i="4" a="1"/>
  <c r="M3634" i="4" s="1"/>
  <c r="O3634" i="4" s="1"/>
  <c r="M3653" i="4" a="1"/>
  <c r="M3653" i="4" s="1"/>
  <c r="O3653" i="4" s="1"/>
  <c r="M3659" i="4" a="1"/>
  <c r="M3659" i="4" s="1"/>
  <c r="O3659" i="4" s="1"/>
  <c r="M3675" i="4" a="1"/>
  <c r="M3675" i="4" s="1"/>
  <c r="O3675" i="4" s="1"/>
  <c r="M3685" i="4" a="1"/>
  <c r="M3685" i="4" s="1"/>
  <c r="O3685" i="4" s="1"/>
  <c r="M3787" i="4" a="1"/>
  <c r="M3787" i="4" s="1"/>
  <c r="O3787" i="4" s="1"/>
  <c r="M3582" i="4" a="1"/>
  <c r="M3582" i="4" s="1"/>
  <c r="O3582" i="4" s="1"/>
  <c r="M3669" i="4" a="1"/>
  <c r="M3669" i="4" s="1"/>
  <c r="O3669" i="4" s="1"/>
  <c r="M3714" i="4" a="1"/>
  <c r="M3714" i="4" s="1"/>
  <c r="O3714" i="4" s="1"/>
  <c r="M3515" i="4" a="1"/>
  <c r="M3515" i="4" s="1"/>
  <c r="O3515" i="4" s="1"/>
  <c r="M3682" i="4" a="1"/>
  <c r="M3682" i="4" s="1"/>
  <c r="O3682" i="4" s="1"/>
  <c r="M3748" i="4" a="1"/>
  <c r="M3748" i="4" s="1"/>
  <c r="O3748" i="4" s="1"/>
  <c r="M3803" i="4" a="1"/>
  <c r="M3803" i="4" s="1"/>
  <c r="O3803" i="4" s="1"/>
  <c r="M3531" i="4" a="1"/>
  <c r="M3531" i="4" s="1"/>
  <c r="O3531" i="4" s="1"/>
  <c r="M3621" i="4" a="1"/>
  <c r="M3621" i="4" s="1"/>
  <c r="O3621" i="4" s="1"/>
  <c r="M3862" i="4" a="1"/>
  <c r="M3862" i="4" s="1"/>
  <c r="O3862" i="4" s="1"/>
  <c r="M3877" i="4" a="1"/>
  <c r="M3877" i="4" s="1"/>
  <c r="O3877" i="4" s="1"/>
  <c r="M3925" i="4" a="1"/>
  <c r="M3925" i="4" s="1"/>
  <c r="O3925" i="4" s="1"/>
  <c r="M3965" i="4" a="1"/>
  <c r="M3965" i="4" s="1"/>
  <c r="O3965" i="4" s="1"/>
  <c r="M4147" i="4" a="1"/>
  <c r="M4147" i="4" s="1"/>
  <c r="O4147" i="4" s="1"/>
  <c r="M3829" i="4" a="1"/>
  <c r="M3829" i="4" s="1"/>
  <c r="O3829" i="4" s="1"/>
  <c r="M3893" i="4" a="1"/>
  <c r="M3893" i="4" s="1"/>
  <c r="O3893" i="4" s="1"/>
  <c r="M3907" i="4" a="1"/>
  <c r="M3907" i="4" s="1"/>
  <c r="O3907" i="4" s="1"/>
  <c r="M3949" i="4" a="1"/>
  <c r="M3949" i="4" s="1"/>
  <c r="O3949" i="4" s="1"/>
  <c r="M4083" i="4" a="1"/>
  <c r="M4083" i="4" s="1"/>
  <c r="O4083" i="4" s="1"/>
  <c r="M3875" i="4" a="1"/>
  <c r="M3875" i="4" s="1"/>
  <c r="O3875" i="4" s="1"/>
  <c r="M3939" i="4" a="1"/>
  <c r="M3939" i="4" s="1"/>
  <c r="O3939" i="4" s="1"/>
  <c r="M3987" i="4" a="1"/>
  <c r="M3987" i="4" s="1"/>
  <c r="O3987" i="4" s="1"/>
  <c r="M4051" i="4" a="1"/>
  <c r="M4051" i="4" s="1"/>
  <c r="O4051" i="4" s="1"/>
  <c r="M3860" i="4" a="1"/>
  <c r="M3860" i="4" s="1"/>
  <c r="O3860" i="4" s="1"/>
  <c r="M3827" i="4" a="1"/>
  <c r="M3827" i="4" s="1"/>
  <c r="O3827" i="4" s="1"/>
  <c r="M3891" i="4" a="1"/>
  <c r="M3891" i="4" s="1"/>
  <c r="O3891" i="4" s="1"/>
  <c r="M3984" i="4" a="1"/>
  <c r="M3984" i="4" s="1"/>
  <c r="O3984" i="4" s="1"/>
  <c r="M4131" i="4" a="1"/>
  <c r="M4131" i="4" s="1"/>
  <c r="O4131" i="4" s="1"/>
  <c r="M3861" i="4" a="1"/>
  <c r="M3861" i="4" s="1"/>
  <c r="O3861" i="4" s="1"/>
  <c r="M3909" i="4" a="1"/>
  <c r="M3909" i="4" s="1"/>
  <c r="O3909" i="4" s="1"/>
  <c r="M3968" i="4" a="1"/>
  <c r="M3968" i="4" s="1"/>
  <c r="O3968" i="4" s="1"/>
  <c r="M3828" i="4" a="1"/>
  <c r="M3828" i="4" s="1"/>
  <c r="O3828" i="4" s="1"/>
  <c r="M3874" i="4" a="1"/>
  <c r="M3874" i="4" s="1"/>
  <c r="O3874" i="4" s="1"/>
  <c r="M3892" i="4" a="1"/>
  <c r="M3892" i="4" s="1"/>
  <c r="O3892" i="4" s="1"/>
  <c r="M3958" i="4" a="1"/>
  <c r="M3958" i="4" s="1"/>
  <c r="O3958" i="4" s="1"/>
  <c r="M4003" i="4" a="1"/>
  <c r="M4003" i="4" s="1"/>
  <c r="O4003" i="4" s="1"/>
  <c r="M4035" i="4" a="1"/>
  <c r="M4035" i="4" s="1"/>
  <c r="O4035" i="4" s="1"/>
  <c r="M4200" i="4" a="1"/>
  <c r="M4200" i="4" s="1"/>
  <c r="O4200" i="4" s="1"/>
  <c r="M4203" i="4" a="1"/>
  <c r="M4203" i="4" s="1"/>
  <c r="O4203" i="4" s="1"/>
  <c r="M4290" i="4" a="1"/>
  <c r="M4290" i="4" s="1"/>
  <c r="O4290" i="4" s="1"/>
  <c r="M4432" i="4" a="1"/>
  <c r="M4432" i="4" s="1"/>
  <c r="O4432" i="4" s="1"/>
  <c r="M4274" i="4" a="1"/>
  <c r="M4274" i="4" s="1"/>
  <c r="O4274" i="4" s="1"/>
  <c r="M4282" i="4" a="1"/>
  <c r="M4282" i="4" s="1"/>
  <c r="O4282" i="4" s="1"/>
  <c r="M4336" i="4" a="1"/>
  <c r="M4336" i="4" s="1"/>
  <c r="O4336" i="4" s="1"/>
  <c r="M4340" i="4" a="1"/>
  <c r="M4340" i="4" s="1"/>
  <c r="O4340" i="4" s="1"/>
  <c r="M4400" i="4" a="1"/>
  <c r="M4400" i="4" s="1"/>
  <c r="O4400" i="4" s="1"/>
  <c r="M4225" i="4" a="1"/>
  <c r="M4225" i="4" s="1"/>
  <c r="O4225" i="4" s="1"/>
  <c r="M4512" i="4" a="1"/>
  <c r="M4512" i="4" s="1"/>
  <c r="O4512" i="4" s="1"/>
  <c r="M4480" i="4" a="1"/>
  <c r="M4480" i="4" s="1"/>
  <c r="O4480" i="4" s="1"/>
  <c r="M4272" i="4" a="1"/>
  <c r="M4272" i="4" s="1"/>
  <c r="O4272" i="4" s="1"/>
  <c r="M4307" i="4" a="1"/>
  <c r="M4307" i="4" s="1"/>
  <c r="O4307" i="4" s="1"/>
  <c r="M4320" i="4" a="1"/>
  <c r="M4320" i="4" s="1"/>
  <c r="O4320" i="4" s="1"/>
  <c r="M4448" i="4" a="1"/>
  <c r="M4448" i="4" s="1"/>
  <c r="O4448" i="4" s="1"/>
  <c r="M4234" i="4" a="1"/>
  <c r="M4234" i="4" s="1"/>
  <c r="O4234" i="4" s="1"/>
  <c r="M4267" i="4" a="1"/>
  <c r="M4267" i="4" s="1"/>
  <c r="O4267" i="4" s="1"/>
  <c r="M4301" i="4" a="1"/>
  <c r="M4301" i="4" s="1"/>
  <c r="O4301" i="4" s="1"/>
  <c r="M4314" i="4" a="1"/>
  <c r="M4314" i="4" s="1"/>
  <c r="O4314" i="4" s="1"/>
  <c r="M4355" i="4" a="1"/>
  <c r="M4355" i="4" s="1"/>
  <c r="O4355" i="4" s="1"/>
  <c r="M4416" i="4" a="1"/>
  <c r="M4416" i="4" s="1"/>
  <c r="O4416" i="4" s="1"/>
  <c r="M4240" i="4" a="1"/>
  <c r="M4240" i="4" s="1"/>
  <c r="O4240" i="4" s="1"/>
  <c r="M4289" i="4" a="1"/>
  <c r="M4289" i="4" s="1"/>
  <c r="O4289" i="4" s="1"/>
  <c r="M4384" i="4" a="1"/>
  <c r="M4384" i="4" s="1"/>
  <c r="O4384" i="4" s="1"/>
  <c r="M4496" i="4" a="1"/>
  <c r="M4496" i="4" s="1"/>
  <c r="O4496" i="4" s="1"/>
  <c r="M4224" i="4" a="1"/>
  <c r="M4224" i="4" s="1"/>
  <c r="O4224" i="4" s="1"/>
  <c r="M4219" i="4" a="1"/>
  <c r="M4219" i="4" s="1"/>
  <c r="O4219" i="4" s="1"/>
  <c r="M4346" i="4" a="1"/>
  <c r="M4346" i="4" s="1"/>
  <c r="O4346" i="4" s="1"/>
  <c r="M4464" i="4" a="1"/>
  <c r="M4464" i="4" s="1"/>
  <c r="O4464" i="4" s="1"/>
  <c r="M4549" i="4" a="1"/>
  <c r="M4549" i="4" s="1"/>
  <c r="O4549" i="4" s="1"/>
  <c r="M4572" i="4" a="1"/>
  <c r="M4572" i="4" s="1"/>
  <c r="O4572" i="4" s="1"/>
  <c r="M4588" i="4" a="1"/>
  <c r="M4588" i="4" s="1"/>
  <c r="O4588" i="4" s="1"/>
  <c r="M4591" i="4" a="1"/>
  <c r="M4591" i="4" s="1"/>
  <c r="O4591" i="4" s="1"/>
  <c r="M4656" i="4" a="1"/>
  <c r="M4656" i="4" s="1"/>
  <c r="O4656" i="4" s="1"/>
  <c r="M4632" i="4" a="1"/>
  <c r="M4632" i="4" s="1"/>
  <c r="O4632" i="4" s="1"/>
  <c r="M4552" i="4" a="1"/>
  <c r="M4552" i="4" s="1"/>
  <c r="O4552" i="4" s="1"/>
  <c r="M4613" i="4" a="1"/>
  <c r="M4613" i="4" s="1"/>
  <c r="O4613" i="4" s="1"/>
  <c r="M4616" i="4" a="1"/>
  <c r="M4616" i="4" s="1"/>
  <c r="O4616" i="4" s="1"/>
  <c r="M4663" i="4" a="1"/>
  <c r="M4663" i="4" s="1"/>
  <c r="O4663" i="4" s="1"/>
  <c r="M4568" i="4" a="1"/>
  <c r="M4568" i="4" s="1"/>
  <c r="O4568" i="4" s="1"/>
  <c r="M4581" i="4" a="1"/>
  <c r="M4581" i="4" s="1"/>
  <c r="O4581" i="4" s="1"/>
  <c r="M4584" i="4" a="1"/>
  <c r="M4584" i="4" s="1"/>
  <c r="O4584" i="4" s="1"/>
  <c r="M4736" i="4" a="1"/>
  <c r="M4736" i="4" s="1"/>
  <c r="O4736" i="4" s="1"/>
  <c r="M4648" i="4" a="1"/>
  <c r="M4648" i="4" s="1"/>
  <c r="O4648" i="4" s="1"/>
  <c r="M4688" i="4" a="1"/>
  <c r="M4688" i="4" s="1"/>
  <c r="O4688" i="4" s="1"/>
  <c r="M4672" i="4" a="1"/>
  <c r="M4672" i="4" s="1"/>
  <c r="O4672" i="4" s="1"/>
  <c r="M4720" i="4" a="1"/>
  <c r="M4720" i="4" s="1"/>
  <c r="O4720" i="4" s="1"/>
  <c r="M4559" i="4" a="1"/>
  <c r="M4559" i="4" s="1"/>
  <c r="O4559" i="4" s="1"/>
  <c r="M4604" i="4" a="1"/>
  <c r="M4604" i="4" s="1"/>
  <c r="O4604" i="4" s="1"/>
  <c r="M4607" i="4" a="1"/>
  <c r="M4607" i="4" s="1"/>
  <c r="O4607" i="4" s="1"/>
  <c r="M4727" i="4" a="1"/>
  <c r="M4727" i="4" s="1"/>
  <c r="O4727" i="4" s="1"/>
  <c r="M4807" i="4" a="1"/>
  <c r="M4807" i="4" s="1"/>
  <c r="O4807" i="4" s="1"/>
  <c r="M4898" i="4" a="1"/>
  <c r="M4898" i="4" s="1"/>
  <c r="O4898" i="4" s="1"/>
  <c r="M4939" i="4" a="1"/>
  <c r="M4939" i="4" s="1"/>
  <c r="O4939" i="4" s="1"/>
  <c r="M4945" i="4" a="1"/>
  <c r="M4945" i="4" s="1"/>
  <c r="O4945" i="4" s="1"/>
  <c r="M4855" i="4" a="1"/>
  <c r="M4855" i="4" s="1"/>
  <c r="O4855" i="4" s="1"/>
  <c r="M4865" i="4" a="1"/>
  <c r="M4865" i="4" s="1"/>
  <c r="O4865" i="4" s="1"/>
  <c r="M4883" i="4" a="1"/>
  <c r="M4883" i="4" s="1"/>
  <c r="O4883" i="4" s="1"/>
  <c r="M4919" i="4" a="1"/>
  <c r="M4919" i="4" s="1"/>
  <c r="O4919" i="4" s="1"/>
  <c r="M4996" i="4" a="1"/>
  <c r="M4996" i="4" s="1"/>
  <c r="O4996" i="4" s="1"/>
  <c r="M4835" i="4" a="1"/>
  <c r="M4835" i="4" s="1"/>
  <c r="O4835" i="4" s="1"/>
  <c r="M4979" i="4" a="1"/>
  <c r="M4979" i="4" s="1"/>
  <c r="O4979" i="4" s="1"/>
  <c r="M4899" i="4" a="1"/>
  <c r="M4899" i="4" s="1"/>
  <c r="O4899" i="4" s="1"/>
  <c r="M4818" i="4" a="1"/>
  <c r="M4818" i="4" s="1"/>
  <c r="O4818" i="4" s="1"/>
  <c r="M4866" i="4" a="1"/>
  <c r="M4866" i="4" s="1"/>
  <c r="O4866" i="4" s="1"/>
  <c r="M4980" i="4" a="1"/>
  <c r="M4980" i="4" s="1"/>
  <c r="O4980" i="4" s="1"/>
  <c r="M5011" i="4" a="1"/>
  <c r="M5011" i="4" s="1"/>
  <c r="O5011" i="4" s="1"/>
  <c r="M4923" i="4" a="1"/>
  <c r="M4923" i="4" s="1"/>
  <c r="O4923" i="4" s="1"/>
  <c r="M4926" i="4" a="1"/>
  <c r="M4926" i="4" s="1"/>
  <c r="O4926" i="4" s="1"/>
  <c r="M4935" i="4" a="1"/>
  <c r="M4935" i="4" s="1"/>
  <c r="O4935" i="4" s="1"/>
  <c r="M4819" i="4" a="1"/>
  <c r="M4819" i="4" s="1"/>
  <c r="O4819" i="4" s="1"/>
  <c r="M4839" i="4" a="1"/>
  <c r="M4839" i="4" s="1"/>
  <c r="O4839" i="4" s="1"/>
  <c r="M4849" i="4" a="1"/>
  <c r="M4849" i="4" s="1"/>
  <c r="O4849" i="4" s="1"/>
  <c r="M4867" i="4" a="1"/>
  <c r="M4867" i="4" s="1"/>
  <c r="O4867" i="4" s="1"/>
  <c r="M4903" i="4" a="1"/>
  <c r="M4903" i="4" s="1"/>
  <c r="O4903" i="4" s="1"/>
  <c r="M4913" i="4" a="1"/>
  <c r="M4913" i="4" s="1"/>
  <c r="O4913" i="4" s="1"/>
  <c r="M4951" i="4" a="1"/>
  <c r="M4951" i="4" s="1"/>
  <c r="O4951" i="4" s="1"/>
  <c r="M4957" i="4" a="1"/>
  <c r="M4957" i="4" s="1"/>
  <c r="O4957" i="4" s="1"/>
  <c r="M4964" i="4" a="1"/>
  <c r="M4964" i="4" s="1"/>
  <c r="O4964" i="4" s="1"/>
  <c r="M5005" i="4" a="1"/>
  <c r="M5005" i="4" s="1"/>
  <c r="O5005" i="4" s="1"/>
  <c r="M3" i="4" a="1"/>
  <c r="M3" i="4" s="1"/>
  <c r="O3" i="4" s="1"/>
  <c r="M19" i="4" a="1"/>
  <c r="M19" i="4" s="1"/>
  <c r="O19" i="4" s="1"/>
  <c r="M35" i="4" a="1"/>
  <c r="M35" i="4" s="1"/>
  <c r="O35" i="4" s="1"/>
  <c r="M51" i="4" a="1"/>
  <c r="M51" i="4" s="1"/>
  <c r="O51" i="4" s="1"/>
  <c r="M67" i="4" a="1"/>
  <c r="M67" i="4" s="1"/>
  <c r="O67" i="4" s="1"/>
  <c r="M83" i="4" a="1"/>
  <c r="M83" i="4" s="1"/>
  <c r="O83" i="4" s="1"/>
  <c r="M99" i="4" a="1"/>
  <c r="M99" i="4" s="1"/>
  <c r="O99" i="4" s="1"/>
  <c r="M115" i="4" a="1"/>
  <c r="M115" i="4" s="1"/>
  <c r="O115" i="4" s="1"/>
  <c r="M131" i="4" a="1"/>
  <c r="M131" i="4" s="1"/>
  <c r="O131" i="4" s="1"/>
  <c r="M147" i="4" a="1"/>
  <c r="M147" i="4" s="1"/>
  <c r="O147" i="4" s="1"/>
  <c r="M163" i="4" a="1"/>
  <c r="M163" i="4" s="1"/>
  <c r="O163" i="4" s="1"/>
  <c r="M179" i="4" a="1"/>
  <c r="M179" i="4" s="1"/>
  <c r="O179" i="4" s="1"/>
  <c r="M195" i="4" a="1"/>
  <c r="M195" i="4" s="1"/>
  <c r="O195" i="4" s="1"/>
  <c r="M211" i="4" a="1"/>
  <c r="M211" i="4" s="1"/>
  <c r="O211" i="4" s="1"/>
  <c r="M227" i="4" a="1"/>
  <c r="M227" i="4" s="1"/>
  <c r="O227" i="4" s="1"/>
  <c r="M243" i="4" a="1"/>
  <c r="M243" i="4" s="1"/>
  <c r="O243" i="4" s="1"/>
  <c r="M259" i="4" a="1"/>
  <c r="M259" i="4" s="1"/>
  <c r="O259" i="4" s="1"/>
  <c r="M275" i="4" a="1"/>
  <c r="M275" i="4" s="1"/>
  <c r="O275" i="4" s="1"/>
  <c r="M291" i="4" a="1"/>
  <c r="M291" i="4" s="1"/>
  <c r="O291" i="4" s="1"/>
  <c r="M307" i="4" a="1"/>
  <c r="M307" i="4" s="1"/>
  <c r="O307" i="4" s="1"/>
  <c r="M323" i="4" a="1"/>
  <c r="M323" i="4" s="1"/>
  <c r="O323" i="4" s="1"/>
  <c r="M339" i="4" a="1"/>
  <c r="M339" i="4" s="1"/>
  <c r="O339" i="4" s="1"/>
  <c r="M355" i="4" a="1"/>
  <c r="M355" i="4" s="1"/>
  <c r="O355" i="4" s="1"/>
  <c r="M371" i="4" a="1"/>
  <c r="M371" i="4" s="1"/>
  <c r="O371" i="4" s="1"/>
  <c r="M403" i="4" a="1"/>
  <c r="M403" i="4" s="1"/>
  <c r="O403" i="4" s="1"/>
  <c r="M419" i="4" a="1"/>
  <c r="M419" i="4" s="1"/>
  <c r="O419" i="4" s="1"/>
  <c r="M435" i="4" a="1"/>
  <c r="M435" i="4" s="1"/>
  <c r="O435" i="4" s="1"/>
  <c r="M89" i="4" a="1"/>
  <c r="M89" i="4" s="1"/>
  <c r="O89" i="4" s="1"/>
  <c r="M233" i="4" a="1"/>
  <c r="M233" i="4" s="1"/>
  <c r="O233" i="4" s="1"/>
  <c r="M15" i="4" a="1"/>
  <c r="M15" i="4" s="1"/>
  <c r="O15" i="4" s="1"/>
  <c r="M31" i="4" a="1"/>
  <c r="M31" i="4" s="1"/>
  <c r="O31" i="4" s="1"/>
  <c r="M47" i="4" a="1"/>
  <c r="M47" i="4" s="1"/>
  <c r="O47" i="4" s="1"/>
  <c r="M63" i="4" a="1"/>
  <c r="M63" i="4" s="1"/>
  <c r="O63" i="4" s="1"/>
  <c r="M79" i="4" a="1"/>
  <c r="M79" i="4" s="1"/>
  <c r="O79" i="4" s="1"/>
  <c r="M95" i="4" a="1"/>
  <c r="M95" i="4" s="1"/>
  <c r="O95" i="4" s="1"/>
  <c r="M111" i="4" a="1"/>
  <c r="M111" i="4" s="1"/>
  <c r="O111" i="4" s="1"/>
  <c r="M127" i="4" a="1"/>
  <c r="M127" i="4" s="1"/>
  <c r="O127" i="4" s="1"/>
  <c r="M143" i="4" a="1"/>
  <c r="M143" i="4" s="1"/>
  <c r="O143" i="4" s="1"/>
  <c r="M159" i="4" a="1"/>
  <c r="M159" i="4" s="1"/>
  <c r="O159" i="4" s="1"/>
  <c r="M175" i="4" a="1"/>
  <c r="M175" i="4" s="1"/>
  <c r="O175" i="4" s="1"/>
  <c r="M191" i="4" a="1"/>
  <c r="M191" i="4" s="1"/>
  <c r="O191" i="4" s="1"/>
  <c r="M207" i="4" a="1"/>
  <c r="M207" i="4" s="1"/>
  <c r="O207" i="4" s="1"/>
  <c r="M223" i="4" a="1"/>
  <c r="M223" i="4" s="1"/>
  <c r="O223" i="4" s="1"/>
  <c r="M239" i="4" a="1"/>
  <c r="M239" i="4" s="1"/>
  <c r="O239" i="4" s="1"/>
  <c r="M255" i="4" a="1"/>
  <c r="M255" i="4" s="1"/>
  <c r="O255" i="4" s="1"/>
  <c r="M271" i="4" a="1"/>
  <c r="M271" i="4" s="1"/>
  <c r="O271" i="4" s="1"/>
  <c r="M287" i="4" a="1"/>
  <c r="M287" i="4" s="1"/>
  <c r="O287" i="4" s="1"/>
  <c r="M303" i="4" a="1"/>
  <c r="M303" i="4" s="1"/>
  <c r="O303" i="4" s="1"/>
  <c r="M319" i="4" a="1"/>
  <c r="M319" i="4" s="1"/>
  <c r="O319" i="4" s="1"/>
  <c r="M335" i="4" a="1"/>
  <c r="M335" i="4" s="1"/>
  <c r="O335" i="4" s="1"/>
  <c r="M351" i="4" a="1"/>
  <c r="M351" i="4" s="1"/>
  <c r="O351" i="4" s="1"/>
  <c r="M367" i="4" a="1"/>
  <c r="M367" i="4" s="1"/>
  <c r="O367" i="4" s="1"/>
  <c r="M383" i="4" a="1"/>
  <c r="M383" i="4" s="1"/>
  <c r="O383" i="4" s="1"/>
  <c r="M399" i="4" a="1"/>
  <c r="M399" i="4" s="1"/>
  <c r="O399" i="4" s="1"/>
  <c r="M415" i="4" a="1"/>
  <c r="M415" i="4" s="1"/>
  <c r="O415" i="4" s="1"/>
  <c r="M431" i="4" a="1"/>
  <c r="M431" i="4" s="1"/>
  <c r="O431" i="4" s="1"/>
  <c r="M447" i="4" a="1"/>
  <c r="M447" i="4" s="1"/>
  <c r="O447" i="4" s="1"/>
  <c r="M463" i="4" a="1"/>
  <c r="M463" i="4" s="1"/>
  <c r="O463" i="4" s="1"/>
  <c r="M479" i="4" a="1"/>
  <c r="M479" i="4" s="1"/>
  <c r="O479" i="4" s="1"/>
  <c r="M495" i="4" a="1"/>
  <c r="M495" i="4" s="1"/>
  <c r="O495" i="4" s="1"/>
  <c r="M511" i="4" a="1"/>
  <c r="M511" i="4" s="1"/>
  <c r="O511" i="4" s="1"/>
  <c r="M527" i="4" a="1"/>
  <c r="M527" i="4" s="1"/>
  <c r="O527" i="4" s="1"/>
  <c r="M543" i="4" a="1"/>
  <c r="M543" i="4" s="1"/>
  <c r="O543" i="4" s="1"/>
  <c r="M559" i="4" a="1"/>
  <c r="M559" i="4" s="1"/>
  <c r="O559" i="4" s="1"/>
  <c r="M575" i="4" a="1"/>
  <c r="M575" i="4" s="1"/>
  <c r="O575" i="4" s="1"/>
  <c r="M591" i="4" a="1"/>
  <c r="M591" i="4" s="1"/>
  <c r="O591" i="4" s="1"/>
  <c r="M607" i="4" a="1"/>
  <c r="M607" i="4" s="1"/>
  <c r="O607" i="4" s="1"/>
  <c r="M623" i="4" a="1"/>
  <c r="M623" i="4" s="1"/>
  <c r="O623" i="4" s="1"/>
  <c r="M639" i="4" a="1"/>
  <c r="M639" i="4" s="1"/>
  <c r="O639" i="4" s="1"/>
  <c r="M655" i="4" a="1"/>
  <c r="M655" i="4" s="1"/>
  <c r="O655" i="4" s="1"/>
  <c r="M671" i="4" a="1"/>
  <c r="M671" i="4" s="1"/>
  <c r="O671" i="4" s="1"/>
  <c r="M687" i="4" a="1"/>
  <c r="M687" i="4" s="1"/>
  <c r="O687" i="4" s="1"/>
  <c r="M703" i="4" a="1"/>
  <c r="M703" i="4" s="1"/>
  <c r="O703" i="4" s="1"/>
  <c r="M719" i="4" a="1"/>
  <c r="M719" i="4" s="1"/>
  <c r="O719" i="4" s="1"/>
  <c r="M735" i="4" a="1"/>
  <c r="M735" i="4" s="1"/>
  <c r="O735" i="4" s="1"/>
  <c r="M751" i="4" a="1"/>
  <c r="M751" i="4" s="1"/>
  <c r="O751" i="4" s="1"/>
  <c r="M767" i="4" a="1"/>
  <c r="M767" i="4" s="1"/>
  <c r="O767" i="4" s="1"/>
  <c r="M783" i="4" a="1"/>
  <c r="M783" i="4" s="1"/>
  <c r="O783" i="4" s="1"/>
  <c r="M799" i="4" a="1"/>
  <c r="M799" i="4" s="1"/>
  <c r="O799" i="4" s="1"/>
  <c r="M815" i="4" a="1"/>
  <c r="M815" i="4" s="1"/>
  <c r="O815" i="4" s="1"/>
  <c r="M831" i="4" a="1"/>
  <c r="M831" i="4" s="1"/>
  <c r="O831" i="4" s="1"/>
  <c r="M847" i="4" a="1"/>
  <c r="M847" i="4" s="1"/>
  <c r="O847" i="4" s="1"/>
  <c r="M863" i="4" a="1"/>
  <c r="M863" i="4" s="1"/>
  <c r="O863" i="4" s="1"/>
  <c r="M879" i="4" a="1"/>
  <c r="M879" i="4" s="1"/>
  <c r="O879" i="4" s="1"/>
  <c r="M895" i="4" a="1"/>
  <c r="M895" i="4" s="1"/>
  <c r="O895" i="4" s="1"/>
  <c r="M911" i="4" a="1"/>
  <c r="M911" i="4" s="1"/>
  <c r="O911" i="4" s="1"/>
  <c r="M927" i="4" a="1"/>
  <c r="M927" i="4" s="1"/>
  <c r="O927" i="4" s="1"/>
  <c r="M943" i="4" a="1"/>
  <c r="M943" i="4" s="1"/>
  <c r="O943" i="4" s="1"/>
  <c r="M959" i="4" a="1"/>
  <c r="M959" i="4" s="1"/>
  <c r="O959" i="4" s="1"/>
  <c r="M975" i="4" a="1"/>
  <c r="M975" i="4" s="1"/>
  <c r="O975" i="4" s="1"/>
  <c r="M991" i="4" a="1"/>
  <c r="M991" i="4" s="1"/>
  <c r="O991" i="4" s="1"/>
  <c r="M1007" i="4" a="1"/>
  <c r="M1007" i="4" s="1"/>
  <c r="O1007" i="4" s="1"/>
  <c r="M1023" i="4" a="1"/>
  <c r="M1023" i="4" s="1"/>
  <c r="O1023" i="4" s="1"/>
  <c r="M1039" i="4" a="1"/>
  <c r="M1039" i="4" s="1"/>
  <c r="O1039" i="4" s="1"/>
  <c r="M1055" i="4" a="1"/>
  <c r="M1055" i="4" s="1"/>
  <c r="O1055" i="4" s="1"/>
  <c r="M1071" i="4" a="1"/>
  <c r="M1071" i="4" s="1"/>
  <c r="O1071" i="4" s="1"/>
  <c r="M1087" i="4" a="1"/>
  <c r="M1087" i="4" s="1"/>
  <c r="O1087" i="4" s="1"/>
  <c r="M1103" i="4" a="1"/>
  <c r="M1103" i="4" s="1"/>
  <c r="O1103" i="4" s="1"/>
  <c r="M1119" i="4" a="1"/>
  <c r="M1119" i="4" s="1"/>
  <c r="O1119" i="4" s="1"/>
  <c r="M1135" i="4" a="1"/>
  <c r="M1135" i="4" s="1"/>
  <c r="O1135" i="4" s="1"/>
  <c r="M1151" i="4" a="1"/>
  <c r="M1151" i="4" s="1"/>
  <c r="O1151" i="4" s="1"/>
  <c r="M1167" i="4" a="1"/>
  <c r="M1167" i="4" s="1"/>
  <c r="O1167" i="4" s="1"/>
  <c r="M1183" i="4" a="1"/>
  <c r="M1183" i="4" s="1"/>
  <c r="O1183" i="4" s="1"/>
  <c r="M1263" i="4" a="1"/>
  <c r="M1263" i="4" s="1"/>
  <c r="O1263" i="4" s="1"/>
  <c r="M1311" i="4" a="1"/>
  <c r="M1311" i="4" s="1"/>
  <c r="O1311" i="4" s="1"/>
  <c r="M1327" i="4" a="1"/>
  <c r="M1327" i="4" s="1"/>
  <c r="O1327" i="4" s="1"/>
  <c r="M1343" i="4" a="1"/>
  <c r="M1343" i="4" s="1"/>
  <c r="O1343" i="4" s="1"/>
  <c r="M1359" i="4" a="1"/>
  <c r="M1359" i="4" s="1"/>
  <c r="O1359" i="4" s="1"/>
  <c r="M10" i="4" a="1"/>
  <c r="M10" i="4" s="1"/>
  <c r="O10" i="4" s="1"/>
  <c r="M26" i="4" a="1"/>
  <c r="M26" i="4" s="1"/>
  <c r="O26" i="4" s="1"/>
  <c r="M42" i="4" a="1"/>
  <c r="M42" i="4" s="1"/>
  <c r="O42" i="4" s="1"/>
  <c r="M58" i="4" a="1"/>
  <c r="M58" i="4" s="1"/>
  <c r="O58" i="4" s="1"/>
  <c r="M74" i="4" a="1"/>
  <c r="M74" i="4" s="1"/>
  <c r="O74" i="4" s="1"/>
  <c r="M90" i="4" a="1"/>
  <c r="M90" i="4" s="1"/>
  <c r="O90" i="4" s="1"/>
  <c r="M106" i="4" a="1"/>
  <c r="M106" i="4" s="1"/>
  <c r="O106" i="4" s="1"/>
  <c r="M122" i="4" a="1"/>
  <c r="M122" i="4" s="1"/>
  <c r="O122" i="4" s="1"/>
  <c r="M138" i="4" a="1"/>
  <c r="M138" i="4" s="1"/>
  <c r="O138" i="4" s="1"/>
  <c r="M154" i="4" a="1"/>
  <c r="M154" i="4" s="1"/>
  <c r="O154" i="4" s="1"/>
  <c r="M170" i="4" a="1"/>
  <c r="M170" i="4" s="1"/>
  <c r="O170" i="4" s="1"/>
  <c r="M186" i="4" a="1"/>
  <c r="M186" i="4" s="1"/>
  <c r="O186" i="4" s="1"/>
  <c r="M202" i="4" a="1"/>
  <c r="M202" i="4" s="1"/>
  <c r="O202" i="4" s="1"/>
  <c r="M218" i="4" a="1"/>
  <c r="M218" i="4" s="1"/>
  <c r="O218" i="4" s="1"/>
  <c r="M16" i="4" a="1"/>
  <c r="M16" i="4" s="1"/>
  <c r="O16" i="4" s="1"/>
  <c r="M32" i="4" a="1"/>
  <c r="M32" i="4" s="1"/>
  <c r="O32" i="4" s="1"/>
  <c r="M48" i="4" a="1"/>
  <c r="M48" i="4" s="1"/>
  <c r="O48" i="4" s="1"/>
  <c r="M64" i="4" a="1"/>
  <c r="M64" i="4" s="1"/>
  <c r="O64" i="4" s="1"/>
  <c r="M80" i="4" a="1"/>
  <c r="M80" i="4" s="1"/>
  <c r="O80" i="4" s="1"/>
  <c r="M96" i="4" a="1"/>
  <c r="M96" i="4" s="1"/>
  <c r="O96" i="4" s="1"/>
  <c r="M112" i="4" a="1"/>
  <c r="M112" i="4" s="1"/>
  <c r="O112" i="4" s="1"/>
  <c r="M128" i="4" a="1"/>
  <c r="M128" i="4" s="1"/>
  <c r="O128" i="4" s="1"/>
  <c r="M144" i="4" a="1"/>
  <c r="M144" i="4" s="1"/>
  <c r="O144" i="4" s="1"/>
  <c r="M160" i="4" a="1"/>
  <c r="M160" i="4" s="1"/>
  <c r="O160" i="4" s="1"/>
  <c r="M176" i="4" a="1"/>
  <c r="M176" i="4" s="1"/>
  <c r="O176" i="4" s="1"/>
  <c r="M192" i="4" a="1"/>
  <c r="M192" i="4" s="1"/>
  <c r="O192" i="4" s="1"/>
  <c r="M208" i="4" a="1"/>
  <c r="M208" i="4" s="1"/>
  <c r="O208" i="4" s="1"/>
  <c r="M224" i="4" a="1"/>
  <c r="M224" i="4" s="1"/>
  <c r="O224" i="4" s="1"/>
  <c r="M240" i="4" a="1"/>
  <c r="M240" i="4" s="1"/>
  <c r="O240" i="4" s="1"/>
  <c r="M256" i="4" a="1"/>
  <c r="M256" i="4" s="1"/>
  <c r="O256" i="4" s="1"/>
  <c r="M272" i="4" a="1"/>
  <c r="M272" i="4" s="1"/>
  <c r="O272" i="4" s="1"/>
  <c r="M288" i="4" a="1"/>
  <c r="M288" i="4" s="1"/>
  <c r="O288" i="4" s="1"/>
  <c r="M304" i="4" a="1"/>
  <c r="M304" i="4" s="1"/>
  <c r="O304" i="4" s="1"/>
  <c r="M320" i="4" a="1"/>
  <c r="M320" i="4" s="1"/>
  <c r="O320" i="4" s="1"/>
  <c r="M336" i="4" a="1"/>
  <c r="M336" i="4" s="1"/>
  <c r="O336" i="4" s="1"/>
  <c r="M352" i="4" a="1"/>
  <c r="M352" i="4" s="1"/>
  <c r="O352" i="4" s="1"/>
  <c r="M368" i="4" a="1"/>
  <c r="M368" i="4" s="1"/>
  <c r="O368" i="4" s="1"/>
  <c r="M384" i="4" a="1"/>
  <c r="M384" i="4" s="1"/>
  <c r="O384" i="4" s="1"/>
  <c r="M400" i="4" a="1"/>
  <c r="M400" i="4" s="1"/>
  <c r="O400" i="4" s="1"/>
  <c r="M416" i="4" a="1"/>
  <c r="M416" i="4" s="1"/>
  <c r="O416" i="4" s="1"/>
  <c r="M432" i="4" a="1"/>
  <c r="M432" i="4" s="1"/>
  <c r="O432" i="4" s="1"/>
  <c r="M448" i="4" a="1"/>
  <c r="M448" i="4" s="1"/>
  <c r="O448" i="4" s="1"/>
  <c r="M464" i="4" a="1"/>
  <c r="M464" i="4" s="1"/>
  <c r="O464" i="4" s="1"/>
  <c r="M480" i="4" a="1"/>
  <c r="M480" i="4" s="1"/>
  <c r="O480" i="4" s="1"/>
  <c r="M496" i="4" a="1"/>
  <c r="M496" i="4" s="1"/>
  <c r="O496" i="4" s="1"/>
  <c r="M512" i="4" a="1"/>
  <c r="M512" i="4" s="1"/>
  <c r="O512" i="4" s="1"/>
  <c r="M528" i="4" a="1"/>
  <c r="M528" i="4" s="1"/>
  <c r="O528" i="4" s="1"/>
  <c r="M11" i="4" a="1"/>
  <c r="M11" i="4" s="1"/>
  <c r="O11" i="4" s="1"/>
  <c r="M27" i="4" a="1"/>
  <c r="M27" i="4" s="1"/>
  <c r="O27" i="4" s="1"/>
  <c r="M43" i="4" a="1"/>
  <c r="M43" i="4" s="1"/>
  <c r="O43" i="4" s="1"/>
  <c r="C4" i="7" s="1"/>
  <c r="M59" i="4" a="1"/>
  <c r="M59" i="4" s="1"/>
  <c r="O59" i="4" s="1"/>
  <c r="M75" i="4" a="1"/>
  <c r="M75" i="4" s="1"/>
  <c r="O75" i="4" s="1"/>
  <c r="M91" i="4" a="1"/>
  <c r="M91" i="4" s="1"/>
  <c r="O91" i="4" s="1"/>
  <c r="M107" i="4" a="1"/>
  <c r="M107" i="4" s="1"/>
  <c r="O107" i="4" s="1"/>
  <c r="M123" i="4" a="1"/>
  <c r="M123" i="4" s="1"/>
  <c r="O123" i="4" s="1"/>
  <c r="M139" i="4" a="1"/>
  <c r="M139" i="4" s="1"/>
  <c r="O139" i="4" s="1"/>
  <c r="M155" i="4" a="1"/>
  <c r="M155" i="4" s="1"/>
  <c r="O155" i="4" s="1"/>
  <c r="M171" i="4" a="1"/>
  <c r="M171" i="4" s="1"/>
  <c r="O171" i="4" s="1"/>
  <c r="M187" i="4" a="1"/>
  <c r="M187" i="4" s="1"/>
  <c r="O187" i="4" s="1"/>
  <c r="M203" i="4" a="1"/>
  <c r="M203" i="4" s="1"/>
  <c r="O203" i="4" s="1"/>
  <c r="M219" i="4" a="1"/>
  <c r="M219" i="4" s="1"/>
  <c r="O219" i="4" s="1"/>
  <c r="M235" i="4" a="1"/>
  <c r="M235" i="4" s="1"/>
  <c r="O235" i="4" s="1"/>
  <c r="M251" i="4" a="1"/>
  <c r="M251" i="4" s="1"/>
  <c r="O251" i="4" s="1"/>
  <c r="M267" i="4" a="1"/>
  <c r="M267" i="4" s="1"/>
  <c r="O267" i="4" s="1"/>
  <c r="M283" i="4" a="1"/>
  <c r="M283" i="4" s="1"/>
  <c r="O283" i="4" s="1"/>
  <c r="M299" i="4" a="1"/>
  <c r="M299" i="4" s="1"/>
  <c r="O299" i="4" s="1"/>
  <c r="M315" i="4" a="1"/>
  <c r="M315" i="4" s="1"/>
  <c r="O315" i="4" s="1"/>
  <c r="M331" i="4" a="1"/>
  <c r="M331" i="4" s="1"/>
  <c r="O331" i="4" s="1"/>
  <c r="M347" i="4" a="1"/>
  <c r="M347" i="4" s="1"/>
  <c r="O347" i="4" s="1"/>
  <c r="M363" i="4" a="1"/>
  <c r="M363" i="4" s="1"/>
  <c r="O363" i="4" s="1"/>
  <c r="M379" i="4" a="1"/>
  <c r="M379" i="4" s="1"/>
  <c r="O379" i="4" s="1"/>
  <c r="M395" i="4" a="1"/>
  <c r="M395" i="4" s="1"/>
  <c r="O395" i="4" s="1"/>
  <c r="M411" i="4" a="1"/>
  <c r="M411" i="4" s="1"/>
  <c r="O411" i="4" s="1"/>
  <c r="M427" i="4" a="1"/>
  <c r="M427" i="4" s="1"/>
  <c r="O427" i="4" s="1"/>
  <c r="M443" i="4" a="1"/>
  <c r="M443" i="4" s="1"/>
  <c r="O443" i="4" s="1"/>
  <c r="M459" i="4" a="1"/>
  <c r="M459" i="4" s="1"/>
  <c r="O459" i="4" s="1"/>
  <c r="M475" i="4" a="1"/>
  <c r="M475" i="4" s="1"/>
  <c r="O475" i="4" s="1"/>
  <c r="M491" i="4" a="1"/>
  <c r="M491" i="4" s="1"/>
  <c r="O491" i="4" s="1"/>
  <c r="M507" i="4" a="1"/>
  <c r="M507" i="4" s="1"/>
  <c r="O507" i="4" s="1"/>
  <c r="M523" i="4" a="1"/>
  <c r="M523" i="4" s="1"/>
  <c r="O523" i="4" s="1"/>
  <c r="M539" i="4" a="1"/>
  <c r="M539" i="4" s="1"/>
  <c r="O539" i="4" s="1"/>
  <c r="M544" i="4" a="1"/>
  <c r="M544" i="4" s="1"/>
  <c r="O544" i="4" s="1"/>
  <c r="M555" i="4" a="1"/>
  <c r="M555" i="4" s="1"/>
  <c r="O555" i="4" s="1"/>
  <c r="M560" i="4" a="1"/>
  <c r="M560" i="4" s="1"/>
  <c r="O560" i="4" s="1"/>
  <c r="M571" i="4" a="1"/>
  <c r="M571" i="4" s="1"/>
  <c r="O571" i="4" s="1"/>
  <c r="M576" i="4" a="1"/>
  <c r="M576" i="4" s="1"/>
  <c r="O576" i="4" s="1"/>
  <c r="M587" i="4" a="1"/>
  <c r="M587" i="4" s="1"/>
  <c r="O587" i="4" s="1"/>
  <c r="M592" i="4" a="1"/>
  <c r="M592" i="4" s="1"/>
  <c r="O592" i="4" s="1"/>
  <c r="M603" i="4" a="1"/>
  <c r="M603" i="4" s="1"/>
  <c r="O603" i="4" s="1"/>
  <c r="M619" i="4" a="1"/>
  <c r="M619" i="4" s="1"/>
  <c r="O619" i="4" s="1"/>
  <c r="M635" i="4" a="1"/>
  <c r="M635" i="4" s="1"/>
  <c r="O635" i="4" s="1"/>
  <c r="M651" i="4" a="1"/>
  <c r="M651" i="4" s="1"/>
  <c r="O651" i="4" s="1"/>
  <c r="M667" i="4" a="1"/>
  <c r="M667" i="4" s="1"/>
  <c r="O667" i="4" s="1"/>
  <c r="M672" i="4" a="1"/>
  <c r="M672" i="4" s="1"/>
  <c r="O672" i="4" s="1"/>
  <c r="M683" i="4" a="1"/>
  <c r="M683" i="4" s="1"/>
  <c r="O683" i="4" s="1"/>
  <c r="M699" i="4" a="1"/>
  <c r="M699" i="4" s="1"/>
  <c r="O699" i="4" s="1"/>
  <c r="M715" i="4" a="1"/>
  <c r="M715" i="4" s="1"/>
  <c r="O715" i="4" s="1"/>
  <c r="M731" i="4" a="1"/>
  <c r="M731" i="4" s="1"/>
  <c r="O731" i="4" s="1"/>
  <c r="M747" i="4" a="1"/>
  <c r="M747" i="4" s="1"/>
  <c r="O747" i="4" s="1"/>
  <c r="M763" i="4" a="1"/>
  <c r="M763" i="4" s="1"/>
  <c r="O763" i="4" s="1"/>
  <c r="M779" i="4" a="1"/>
  <c r="M779" i="4" s="1"/>
  <c r="O779" i="4" s="1"/>
  <c r="M17" i="4" a="1"/>
  <c r="M17" i="4" s="1"/>
  <c r="O17" i="4" s="1"/>
  <c r="M33" i="4" a="1"/>
  <c r="M33" i="4" s="1"/>
  <c r="O33" i="4" s="1"/>
  <c r="M49" i="4" a="1"/>
  <c r="M49" i="4" s="1"/>
  <c r="O49" i="4" s="1"/>
  <c r="M65" i="4" a="1"/>
  <c r="M65" i="4" s="1"/>
  <c r="O65" i="4" s="1"/>
  <c r="M81" i="4" a="1"/>
  <c r="M81" i="4" s="1"/>
  <c r="O81" i="4" s="1"/>
  <c r="M97" i="4" a="1"/>
  <c r="M97" i="4" s="1"/>
  <c r="O97" i="4" s="1"/>
  <c r="M113" i="4" a="1"/>
  <c r="M113" i="4" s="1"/>
  <c r="O113" i="4" s="1"/>
  <c r="M129" i="4" a="1"/>
  <c r="M129" i="4" s="1"/>
  <c r="O129" i="4" s="1"/>
  <c r="M145" i="4" a="1"/>
  <c r="M145" i="4" s="1"/>
  <c r="O145" i="4" s="1"/>
  <c r="M161" i="4" a="1"/>
  <c r="M161" i="4" s="1"/>
  <c r="O161" i="4" s="1"/>
  <c r="M177" i="4" a="1"/>
  <c r="M177" i="4" s="1"/>
  <c r="O177" i="4" s="1"/>
  <c r="M193" i="4" a="1"/>
  <c r="M193" i="4" s="1"/>
  <c r="O193" i="4" s="1"/>
  <c r="M209" i="4" a="1"/>
  <c r="M209" i="4" s="1"/>
  <c r="O209" i="4" s="1"/>
  <c r="M225" i="4" a="1"/>
  <c r="M225" i="4" s="1"/>
  <c r="O225" i="4" s="1"/>
  <c r="M241" i="4" a="1"/>
  <c r="M241" i="4" s="1"/>
  <c r="O241" i="4" s="1"/>
  <c r="M257" i="4" a="1"/>
  <c r="M257" i="4" s="1"/>
  <c r="O257" i="4" s="1"/>
  <c r="M12" i="4" a="1"/>
  <c r="M12" i="4" s="1"/>
  <c r="O12" i="4" s="1"/>
  <c r="M28" i="4" a="1"/>
  <c r="M28" i="4" s="1"/>
  <c r="O28" i="4" s="1"/>
  <c r="M44" i="4" a="1"/>
  <c r="M44" i="4" s="1"/>
  <c r="O44" i="4" s="1"/>
  <c r="M60" i="4" a="1"/>
  <c r="M60" i="4" s="1"/>
  <c r="O60" i="4" s="1"/>
  <c r="M76" i="4" a="1"/>
  <c r="M76" i="4" s="1"/>
  <c r="O76" i="4" s="1"/>
  <c r="M92" i="4" a="1"/>
  <c r="M92" i="4" s="1"/>
  <c r="O92" i="4" s="1"/>
  <c r="M108" i="4" a="1"/>
  <c r="M108" i="4" s="1"/>
  <c r="O108" i="4" s="1"/>
  <c r="M124" i="4" a="1"/>
  <c r="M124" i="4" s="1"/>
  <c r="O124" i="4" s="1"/>
  <c r="M140" i="4" a="1"/>
  <c r="M140" i="4" s="1"/>
  <c r="O140" i="4" s="1"/>
  <c r="M156" i="4" a="1"/>
  <c r="M156" i="4" s="1"/>
  <c r="O156" i="4" s="1"/>
  <c r="M172" i="4" a="1"/>
  <c r="M172" i="4" s="1"/>
  <c r="O172" i="4" s="1"/>
  <c r="M188" i="4" a="1"/>
  <c r="M188" i="4" s="1"/>
  <c r="O188" i="4" s="1"/>
  <c r="M204" i="4" a="1"/>
  <c r="M204" i="4" s="1"/>
  <c r="O204" i="4" s="1"/>
  <c r="M220" i="4" a="1"/>
  <c r="M220" i="4" s="1"/>
  <c r="O220" i="4" s="1"/>
  <c r="M236" i="4" a="1"/>
  <c r="M236" i="4" s="1"/>
  <c r="O236" i="4" s="1"/>
  <c r="M252" i="4" a="1"/>
  <c r="M252" i="4" s="1"/>
  <c r="O252" i="4" s="1"/>
  <c r="M268" i="4" a="1"/>
  <c r="M268" i="4" s="1"/>
  <c r="O268" i="4" s="1"/>
  <c r="M284" i="4" a="1"/>
  <c r="M284" i="4" s="1"/>
  <c r="O284" i="4" s="1"/>
  <c r="M300" i="4" a="1"/>
  <c r="M300" i="4" s="1"/>
  <c r="O300" i="4" s="1"/>
  <c r="M316" i="4" a="1"/>
  <c r="M316" i="4" s="1"/>
  <c r="O316" i="4" s="1"/>
  <c r="M7" i="4" a="1"/>
  <c r="M7" i="4" s="1"/>
  <c r="O7" i="4" s="1"/>
  <c r="M23" i="4" a="1"/>
  <c r="M23" i="4" s="1"/>
  <c r="O23" i="4" s="1"/>
  <c r="M39" i="4" a="1"/>
  <c r="M39" i="4" s="1"/>
  <c r="O39" i="4" s="1"/>
  <c r="M55" i="4" a="1"/>
  <c r="M55" i="4" s="1"/>
  <c r="O55" i="4" s="1"/>
  <c r="M71" i="4" a="1"/>
  <c r="M71" i="4" s="1"/>
  <c r="O71" i="4" s="1"/>
  <c r="M87" i="4" a="1"/>
  <c r="M87" i="4" s="1"/>
  <c r="O87" i="4" s="1"/>
  <c r="M103" i="4" a="1"/>
  <c r="M103" i="4" s="1"/>
  <c r="O103" i="4" s="1"/>
  <c r="M119" i="4" a="1"/>
  <c r="M119" i="4" s="1"/>
  <c r="O119" i="4" s="1"/>
  <c r="M135" i="4" a="1"/>
  <c r="M135" i="4" s="1"/>
  <c r="O135" i="4" s="1"/>
  <c r="M151" i="4" a="1"/>
  <c r="M151" i="4" s="1"/>
  <c r="O151" i="4" s="1"/>
  <c r="M167" i="4" a="1"/>
  <c r="M167" i="4" s="1"/>
  <c r="O167" i="4" s="1"/>
  <c r="M183" i="4" a="1"/>
  <c r="M183" i="4" s="1"/>
  <c r="O183" i="4" s="1"/>
  <c r="M199" i="4" a="1"/>
  <c r="M199" i="4" s="1"/>
  <c r="O199" i="4" s="1"/>
  <c r="M215" i="4" a="1"/>
  <c r="M215" i="4" s="1"/>
  <c r="O215" i="4" s="1"/>
  <c r="M231" i="4" a="1"/>
  <c r="M231" i="4" s="1"/>
  <c r="O231" i="4" s="1"/>
  <c r="M247" i="4" a="1"/>
  <c r="M247" i="4" s="1"/>
  <c r="O247" i="4" s="1"/>
  <c r="M263" i="4" a="1"/>
  <c r="M263" i="4" s="1"/>
  <c r="O263" i="4" s="1"/>
  <c r="M279" i="4" a="1"/>
  <c r="M279" i="4" s="1"/>
  <c r="O279" i="4" s="1"/>
  <c r="M295" i="4" a="1"/>
  <c r="M295" i="4" s="1"/>
  <c r="O295" i="4" s="1"/>
  <c r="M311" i="4" a="1"/>
  <c r="M311" i="4" s="1"/>
  <c r="O311" i="4" s="1"/>
  <c r="M327" i="4" a="1"/>
  <c r="M327" i="4" s="1"/>
  <c r="O327" i="4" s="1"/>
  <c r="M343" i="4" a="1"/>
  <c r="M343" i="4" s="1"/>
  <c r="O343" i="4" s="1"/>
  <c r="M359" i="4" a="1"/>
  <c r="M359" i="4" s="1"/>
  <c r="O359" i="4" s="1"/>
  <c r="M375" i="4" a="1"/>
  <c r="M375" i="4" s="1"/>
  <c r="O375" i="4" s="1"/>
  <c r="M391" i="4" a="1"/>
  <c r="M391" i="4" s="1"/>
  <c r="O391" i="4" s="1"/>
  <c r="M423" i="4" a="1"/>
  <c r="M423" i="4" s="1"/>
  <c r="O423" i="4" s="1"/>
  <c r="M439" i="4" a="1"/>
  <c r="M439" i="4" s="1"/>
  <c r="O439" i="4" s="1"/>
  <c r="M487" i="4" a="1"/>
  <c r="M487" i="4" s="1"/>
  <c r="O487" i="4" s="1"/>
  <c r="M503" i="4" a="1"/>
  <c r="M503" i="4" s="1"/>
  <c r="O503" i="4" s="1"/>
  <c r="M519" i="4" a="1"/>
  <c r="M519" i="4" s="1"/>
  <c r="O519" i="4" s="1"/>
  <c r="M535" i="4" a="1"/>
  <c r="M535" i="4" s="1"/>
  <c r="O535" i="4" s="1"/>
  <c r="M551" i="4" a="1"/>
  <c r="M551" i="4" s="1"/>
  <c r="O551" i="4" s="1"/>
  <c r="M567" i="4" a="1"/>
  <c r="M567" i="4" s="1"/>
  <c r="O567" i="4" s="1"/>
  <c r="M583" i="4" a="1"/>
  <c r="M583" i="4" s="1"/>
  <c r="O583" i="4" s="1"/>
  <c r="M599" i="4" a="1"/>
  <c r="M599" i="4" s="1"/>
  <c r="O599" i="4" s="1"/>
  <c r="M615" i="4" a="1"/>
  <c r="M615" i="4" s="1"/>
  <c r="O615" i="4" s="1"/>
  <c r="M631" i="4" a="1"/>
  <c r="M631" i="4" s="1"/>
  <c r="O631" i="4" s="1"/>
  <c r="M647" i="4" a="1"/>
  <c r="M647" i="4" s="1"/>
  <c r="O647" i="4" s="1"/>
  <c r="M663" i="4" a="1"/>
  <c r="M663" i="4" s="1"/>
  <c r="O663" i="4" s="1"/>
  <c r="M679" i="4" a="1"/>
  <c r="M679" i="4" s="1"/>
  <c r="O679" i="4" s="1"/>
  <c r="M695" i="4" a="1"/>
  <c r="M695" i="4" s="1"/>
  <c r="O695" i="4" s="1"/>
  <c r="M711" i="4" a="1"/>
  <c r="M711" i="4" s="1"/>
  <c r="O711" i="4" s="1"/>
  <c r="M727" i="4" a="1"/>
  <c r="M727" i="4" s="1"/>
  <c r="O727" i="4" s="1"/>
  <c r="M743" i="4" a="1"/>
  <c r="M743" i="4" s="1"/>
  <c r="O743" i="4" s="1"/>
  <c r="M759" i="4" a="1"/>
  <c r="M759" i="4" s="1"/>
  <c r="O759" i="4" s="1"/>
  <c r="M775" i="4" a="1"/>
  <c r="M775" i="4" s="1"/>
  <c r="O775" i="4" s="1"/>
  <c r="M791" i="4" a="1"/>
  <c r="M791" i="4" s="1"/>
  <c r="O791" i="4" s="1"/>
  <c r="M807" i="4" a="1"/>
  <c r="M807" i="4" s="1"/>
  <c r="O807" i="4" s="1"/>
  <c r="M823" i="4" a="1"/>
  <c r="M823" i="4" s="1"/>
  <c r="O823" i="4" s="1"/>
  <c r="M839" i="4" a="1"/>
  <c r="M839" i="4" s="1"/>
  <c r="O839" i="4" s="1"/>
  <c r="M855" i="4" a="1"/>
  <c r="M855" i="4" s="1"/>
  <c r="O855" i="4" s="1"/>
  <c r="M871" i="4" a="1"/>
  <c r="M871" i="4" s="1"/>
  <c r="O871" i="4" s="1"/>
  <c r="M887" i="4" a="1"/>
  <c r="M887" i="4" s="1"/>
  <c r="O887" i="4" s="1"/>
  <c r="M903" i="4" a="1"/>
  <c r="M903" i="4" s="1"/>
  <c r="O903" i="4" s="1"/>
  <c r="M234" i="4" a="1"/>
  <c r="M234" i="4" s="1"/>
  <c r="O234" i="4" s="1"/>
  <c r="M250" i="4" a="1"/>
  <c r="M250" i="4" s="1"/>
  <c r="O250" i="4" s="1"/>
  <c r="M266" i="4" a="1"/>
  <c r="M266" i="4" s="1"/>
  <c r="O266" i="4" s="1"/>
  <c r="M282" i="4" a="1"/>
  <c r="M282" i="4" s="1"/>
  <c r="O282" i="4" s="1"/>
  <c r="M298" i="4" a="1"/>
  <c r="M298" i="4" s="1"/>
  <c r="O298" i="4" s="1"/>
  <c r="M314" i="4" a="1"/>
  <c r="M314" i="4" s="1"/>
  <c r="O314" i="4" s="1"/>
  <c r="M330" i="4" a="1"/>
  <c r="M330" i="4" s="1"/>
  <c r="O330" i="4" s="1"/>
  <c r="M346" i="4" a="1"/>
  <c r="M346" i="4" s="1"/>
  <c r="O346" i="4" s="1"/>
  <c r="M362" i="4" a="1"/>
  <c r="M362" i="4" s="1"/>
  <c r="O362" i="4" s="1"/>
  <c r="M378" i="4" a="1"/>
  <c r="M378" i="4" s="1"/>
  <c r="O378" i="4" s="1"/>
  <c r="M394" i="4" a="1"/>
  <c r="M394" i="4" s="1"/>
  <c r="O394" i="4" s="1"/>
  <c r="M426" i="4" a="1"/>
  <c r="M426" i="4" s="1"/>
  <c r="O426" i="4" s="1"/>
  <c r="M442" i="4" a="1"/>
  <c r="M442" i="4" s="1"/>
  <c r="O442" i="4" s="1"/>
  <c r="M474" i="4" a="1"/>
  <c r="M474" i="4" s="1"/>
  <c r="O474" i="4" s="1"/>
  <c r="M490" i="4" a="1"/>
  <c r="M490" i="4" s="1"/>
  <c r="O490" i="4" s="1"/>
  <c r="M506" i="4" a="1"/>
  <c r="M506" i="4" s="1"/>
  <c r="O506" i="4" s="1"/>
  <c r="M522" i="4" a="1"/>
  <c r="M522" i="4" s="1"/>
  <c r="O522" i="4" s="1"/>
  <c r="M538" i="4" a="1"/>
  <c r="M538" i="4" s="1"/>
  <c r="O538" i="4" s="1"/>
  <c r="M554" i="4" a="1"/>
  <c r="M554" i="4" s="1"/>
  <c r="O554" i="4" s="1"/>
  <c r="M570" i="4" a="1"/>
  <c r="M570" i="4" s="1"/>
  <c r="O570" i="4" s="1"/>
  <c r="M586" i="4" a="1"/>
  <c r="M586" i="4" s="1"/>
  <c r="O586" i="4" s="1"/>
  <c r="M602" i="4" a="1"/>
  <c r="M602" i="4" s="1"/>
  <c r="O602" i="4" s="1"/>
  <c r="M618" i="4" a="1"/>
  <c r="M618" i="4" s="1"/>
  <c r="O618" i="4" s="1"/>
  <c r="M634" i="4" a="1"/>
  <c r="M634" i="4" s="1"/>
  <c r="O634" i="4" s="1"/>
  <c r="M650" i="4" a="1"/>
  <c r="M650" i="4" s="1"/>
  <c r="O650" i="4" s="1"/>
  <c r="M666" i="4" a="1"/>
  <c r="M666" i="4" s="1"/>
  <c r="O666" i="4" s="1"/>
  <c r="M682" i="4" a="1"/>
  <c r="M682" i="4" s="1"/>
  <c r="O682" i="4" s="1"/>
  <c r="M714" i="4" a="1"/>
  <c r="M714" i="4" s="1"/>
  <c r="O714" i="4" s="1"/>
  <c r="M730" i="4" a="1"/>
  <c r="M730" i="4" s="1"/>
  <c r="O730" i="4" s="1"/>
  <c r="M746" i="4" a="1"/>
  <c r="M746" i="4" s="1"/>
  <c r="O746" i="4" s="1"/>
  <c r="M778" i="4" a="1"/>
  <c r="M778" i="4" s="1"/>
  <c r="O778" i="4" s="1"/>
  <c r="M794" i="4" a="1"/>
  <c r="M794" i="4" s="1"/>
  <c r="O794" i="4" s="1"/>
  <c r="M810" i="4" a="1"/>
  <c r="M810" i="4" s="1"/>
  <c r="O810" i="4" s="1"/>
  <c r="M826" i="4" a="1"/>
  <c r="M826" i="4" s="1"/>
  <c r="O826" i="4" s="1"/>
  <c r="M842" i="4" a="1"/>
  <c r="M842" i="4" s="1"/>
  <c r="O842" i="4" s="1"/>
  <c r="M858" i="4" a="1"/>
  <c r="M858" i="4" s="1"/>
  <c r="O858" i="4" s="1"/>
  <c r="M874" i="4" a="1"/>
  <c r="M874" i="4" s="1"/>
  <c r="O874" i="4" s="1"/>
  <c r="M890" i="4" a="1"/>
  <c r="M890" i="4" s="1"/>
  <c r="O890" i="4" s="1"/>
  <c r="M906" i="4" a="1"/>
  <c r="M906" i="4" s="1"/>
  <c r="O906" i="4" s="1"/>
  <c r="M922" i="4" a="1"/>
  <c r="M922" i="4" s="1"/>
  <c r="O922" i="4" s="1"/>
  <c r="M938" i="4" a="1"/>
  <c r="M938" i="4" s="1"/>
  <c r="O938" i="4" s="1"/>
  <c r="M1258" i="4" a="1"/>
  <c r="M1258" i="4" s="1"/>
  <c r="O1258" i="4" s="1"/>
  <c r="M1274" i="4" a="1"/>
  <c r="M1274" i="4" s="1"/>
  <c r="O1274" i="4" s="1"/>
  <c r="M1290" i="4" a="1"/>
  <c r="M1290" i="4" s="1"/>
  <c r="O1290" i="4" s="1"/>
  <c r="M1306" i="4" a="1"/>
  <c r="M1306" i="4" s="1"/>
  <c r="O1306" i="4" s="1"/>
  <c r="M1322" i="4" a="1"/>
  <c r="M1322" i="4" s="1"/>
  <c r="O1322" i="4" s="1"/>
  <c r="M1338" i="4" a="1"/>
  <c r="M1338" i="4" s="1"/>
  <c r="O1338" i="4" s="1"/>
  <c r="M1354" i="4" a="1"/>
  <c r="M1354" i="4" s="1"/>
  <c r="O1354" i="4" s="1"/>
  <c r="M1035" i="4" a="1"/>
  <c r="M1035" i="4" s="1"/>
  <c r="O1035" i="4" s="1"/>
  <c r="M1051" i="4" a="1"/>
  <c r="M1051" i="4" s="1"/>
  <c r="O1051" i="4" s="1"/>
  <c r="M1067" i="4" a="1"/>
  <c r="M1067" i="4" s="1"/>
  <c r="O1067" i="4" s="1"/>
  <c r="M1083" i="4" a="1"/>
  <c r="M1083" i="4" s="1"/>
  <c r="O1083" i="4" s="1"/>
  <c r="M1099" i="4" a="1"/>
  <c r="M1099" i="4" s="1"/>
  <c r="O1099" i="4" s="1"/>
  <c r="M1115" i="4" a="1"/>
  <c r="M1115" i="4" s="1"/>
  <c r="O1115" i="4" s="1"/>
  <c r="M1131" i="4" a="1"/>
  <c r="M1131" i="4" s="1"/>
  <c r="O1131" i="4" s="1"/>
  <c r="M1147" i="4" a="1"/>
  <c r="M1147" i="4" s="1"/>
  <c r="O1147" i="4" s="1"/>
  <c r="M1163" i="4" a="1"/>
  <c r="M1163" i="4" s="1"/>
  <c r="O1163" i="4" s="1"/>
  <c r="M1179" i="4" a="1"/>
  <c r="M1179" i="4" s="1"/>
  <c r="O1179" i="4" s="1"/>
  <c r="M1195" i="4" a="1"/>
  <c r="M1195" i="4" s="1"/>
  <c r="O1195" i="4" s="1"/>
  <c r="M1211" i="4" a="1"/>
  <c r="M1211" i="4" s="1"/>
  <c r="O1211" i="4" s="1"/>
  <c r="M1227" i="4" a="1"/>
  <c r="M1227" i="4" s="1"/>
  <c r="O1227" i="4" s="1"/>
  <c r="M1243" i="4" a="1"/>
  <c r="M1243" i="4" s="1"/>
  <c r="O1243" i="4" s="1"/>
  <c r="M1259" i="4" a="1"/>
  <c r="M1259" i="4" s="1"/>
  <c r="O1259" i="4" s="1"/>
  <c r="M1291" i="4" a="1"/>
  <c r="M1291" i="4" s="1"/>
  <c r="O1291" i="4" s="1"/>
  <c r="M1307" i="4" a="1"/>
  <c r="M1307" i="4" s="1"/>
  <c r="O1307" i="4" s="1"/>
  <c r="M1323" i="4" a="1"/>
  <c r="M1323" i="4" s="1"/>
  <c r="O1323" i="4" s="1"/>
  <c r="M1339" i="4" a="1"/>
  <c r="M1339" i="4" s="1"/>
  <c r="O1339" i="4" s="1"/>
  <c r="M658" i="4" a="1"/>
  <c r="M658" i="4" s="1"/>
  <c r="O658" i="4" s="1"/>
  <c r="M674" i="4" a="1"/>
  <c r="M674" i="4" s="1"/>
  <c r="O674" i="4" s="1"/>
  <c r="M690" i="4" a="1"/>
  <c r="M690" i="4" s="1"/>
  <c r="O690" i="4" s="1"/>
  <c r="M706" i="4" a="1"/>
  <c r="M706" i="4" s="1"/>
  <c r="O706" i="4" s="1"/>
  <c r="M722" i="4" a="1"/>
  <c r="M722" i="4" s="1"/>
  <c r="O722" i="4" s="1"/>
  <c r="M754" i="4" a="1"/>
  <c r="M754" i="4" s="1"/>
  <c r="O754" i="4" s="1"/>
  <c r="M770" i="4" a="1"/>
  <c r="M770" i="4" s="1"/>
  <c r="O770" i="4" s="1"/>
  <c r="M786" i="4" a="1"/>
  <c r="M786" i="4" s="1"/>
  <c r="O786" i="4" s="1"/>
  <c r="M802" i="4" a="1"/>
  <c r="M802" i="4" s="1"/>
  <c r="O802" i="4" s="1"/>
  <c r="M818" i="4" a="1"/>
  <c r="M818" i="4" s="1"/>
  <c r="O818" i="4" s="1"/>
  <c r="M834" i="4" a="1"/>
  <c r="M834" i="4" s="1"/>
  <c r="O834" i="4" s="1"/>
  <c r="M850" i="4" a="1"/>
  <c r="M850" i="4" s="1"/>
  <c r="O850" i="4" s="1"/>
  <c r="M866" i="4" a="1"/>
  <c r="M866" i="4" s="1"/>
  <c r="O866" i="4" s="1"/>
  <c r="M882" i="4" a="1"/>
  <c r="M882" i="4" s="1"/>
  <c r="O882" i="4" s="1"/>
  <c r="M898" i="4" a="1"/>
  <c r="M898" i="4" s="1"/>
  <c r="O898" i="4" s="1"/>
  <c r="M424" i="4" a="1"/>
  <c r="M424" i="4" s="1"/>
  <c r="O424" i="4" s="1"/>
  <c r="M440" i="4" a="1"/>
  <c r="M440" i="4" s="1"/>
  <c r="O440" i="4" s="1"/>
  <c r="M456" i="4" a="1"/>
  <c r="M456" i="4" s="1"/>
  <c r="O456" i="4" s="1"/>
  <c r="M472" i="4" a="1"/>
  <c r="M472" i="4" s="1"/>
  <c r="O472" i="4" s="1"/>
  <c r="M488" i="4" a="1"/>
  <c r="M488" i="4" s="1"/>
  <c r="O488" i="4" s="1"/>
  <c r="M504" i="4" a="1"/>
  <c r="M504" i="4" s="1"/>
  <c r="O504" i="4" s="1"/>
  <c r="M520" i="4" a="1"/>
  <c r="M520" i="4" s="1"/>
  <c r="O520" i="4" s="1"/>
  <c r="M536" i="4" a="1"/>
  <c r="M536" i="4" s="1"/>
  <c r="O536" i="4" s="1"/>
  <c r="M552" i="4" a="1"/>
  <c r="M552" i="4" s="1"/>
  <c r="O552" i="4" s="1"/>
  <c r="M568" i="4" a="1"/>
  <c r="M568" i="4" s="1"/>
  <c r="O568" i="4" s="1"/>
  <c r="M584" i="4" a="1"/>
  <c r="M584" i="4" s="1"/>
  <c r="O584" i="4" s="1"/>
  <c r="M600" i="4" a="1"/>
  <c r="M600" i="4" s="1"/>
  <c r="O600" i="4" s="1"/>
  <c r="M616" i="4" a="1"/>
  <c r="M616" i="4" s="1"/>
  <c r="O616" i="4" s="1"/>
  <c r="M632" i="4" a="1"/>
  <c r="M632" i="4" s="1"/>
  <c r="O632" i="4" s="1"/>
  <c r="M648" i="4" a="1"/>
  <c r="M648" i="4" s="1"/>
  <c r="O648" i="4" s="1"/>
  <c r="M664" i="4" a="1"/>
  <c r="M664" i="4" s="1"/>
  <c r="O664" i="4" s="1"/>
  <c r="M680" i="4" a="1"/>
  <c r="M680" i="4" s="1"/>
  <c r="O680" i="4" s="1"/>
  <c r="M696" i="4" a="1"/>
  <c r="M696" i="4" s="1"/>
  <c r="O696" i="4" s="1"/>
  <c r="M728" i="4" a="1"/>
  <c r="M728" i="4" s="1"/>
  <c r="O728" i="4" s="1"/>
  <c r="M744" i="4" a="1"/>
  <c r="M744" i="4" s="1"/>
  <c r="O744" i="4" s="1"/>
  <c r="M760" i="4" a="1"/>
  <c r="M760" i="4" s="1"/>
  <c r="O760" i="4" s="1"/>
  <c r="M451" i="4" a="1"/>
  <c r="M451" i="4" s="1"/>
  <c r="O451" i="4" s="1"/>
  <c r="M467" i="4" a="1"/>
  <c r="M467" i="4" s="1"/>
  <c r="O467" i="4" s="1"/>
  <c r="M483" i="4" a="1"/>
  <c r="M483" i="4" s="1"/>
  <c r="O483" i="4" s="1"/>
  <c r="M499" i="4" a="1"/>
  <c r="M499" i="4" s="1"/>
  <c r="O499" i="4" s="1"/>
  <c r="M515" i="4" a="1"/>
  <c r="M515" i="4" s="1"/>
  <c r="O515" i="4" s="1"/>
  <c r="M531" i="4" a="1"/>
  <c r="M531" i="4" s="1"/>
  <c r="O531" i="4" s="1"/>
  <c r="M595" i="4" a="1"/>
  <c r="M595" i="4" s="1"/>
  <c r="O595" i="4" s="1"/>
  <c r="M611" i="4" a="1"/>
  <c r="M611" i="4" s="1"/>
  <c r="O611" i="4" s="1"/>
  <c r="M627" i="4" a="1"/>
  <c r="M627" i="4" s="1"/>
  <c r="O627" i="4" s="1"/>
  <c r="M643" i="4" a="1"/>
  <c r="M643" i="4" s="1"/>
  <c r="O643" i="4" s="1"/>
  <c r="M659" i="4" a="1"/>
  <c r="M659" i="4" s="1"/>
  <c r="O659" i="4" s="1"/>
  <c r="M675" i="4" a="1"/>
  <c r="M675" i="4" s="1"/>
  <c r="O675" i="4" s="1"/>
  <c r="M691" i="4" a="1"/>
  <c r="M691" i="4" s="1"/>
  <c r="O691" i="4" s="1"/>
  <c r="M707" i="4" a="1"/>
  <c r="M707" i="4" s="1"/>
  <c r="O707" i="4" s="1"/>
  <c r="M739" i="4" a="1"/>
  <c r="M739" i="4" s="1"/>
  <c r="O739" i="4" s="1"/>
  <c r="M755" i="4" a="1"/>
  <c r="M755" i="4" s="1"/>
  <c r="O755" i="4" s="1"/>
  <c r="M771" i="4" a="1"/>
  <c r="M771" i="4" s="1"/>
  <c r="O771" i="4" s="1"/>
  <c r="M787" i="4" a="1"/>
  <c r="M787" i="4" s="1"/>
  <c r="O787" i="4" s="1"/>
  <c r="M803" i="4" a="1"/>
  <c r="M803" i="4" s="1"/>
  <c r="O803" i="4" s="1"/>
  <c r="M819" i="4" a="1"/>
  <c r="M819" i="4" s="1"/>
  <c r="O819" i="4" s="1"/>
  <c r="M25" i="4" a="1"/>
  <c r="M25" i="4" s="1"/>
  <c r="O25" i="4" s="1"/>
  <c r="M41" i="4" a="1"/>
  <c r="M41" i="4" s="1"/>
  <c r="O41" i="4" s="1"/>
  <c r="M57" i="4" a="1"/>
  <c r="M57" i="4" s="1"/>
  <c r="O57" i="4" s="1"/>
  <c r="M73" i="4" a="1"/>
  <c r="M73" i="4" s="1"/>
  <c r="O73" i="4" s="1"/>
  <c r="M105" i="4" a="1"/>
  <c r="M105" i="4" s="1"/>
  <c r="O105" i="4" s="1"/>
  <c r="M121" i="4" a="1"/>
  <c r="M121" i="4" s="1"/>
  <c r="O121" i="4" s="1"/>
  <c r="M137" i="4" a="1"/>
  <c r="M137" i="4" s="1"/>
  <c r="O137" i="4" s="1"/>
  <c r="M153" i="4" a="1"/>
  <c r="M153" i="4" s="1"/>
  <c r="O153" i="4" s="1"/>
  <c r="M169" i="4" a="1"/>
  <c r="M169" i="4" s="1"/>
  <c r="O169" i="4" s="1"/>
  <c r="M185" i="4" a="1"/>
  <c r="M185" i="4" s="1"/>
  <c r="O185" i="4" s="1"/>
  <c r="M201" i="4" a="1"/>
  <c r="M201" i="4" s="1"/>
  <c r="O201" i="4" s="1"/>
  <c r="M217" i="4" a="1"/>
  <c r="M217" i="4" s="1"/>
  <c r="O217" i="4" s="1"/>
  <c r="M249" i="4" a="1"/>
  <c r="M249" i="4" s="1"/>
  <c r="O249" i="4" s="1"/>
  <c r="M265" i="4" a="1"/>
  <c r="M265" i="4" s="1"/>
  <c r="O265" i="4" s="1"/>
  <c r="M281" i="4" a="1"/>
  <c r="M281" i="4" s="1"/>
  <c r="O281" i="4" s="1"/>
  <c r="M361" i="4" a="1"/>
  <c r="M361" i="4" s="1"/>
  <c r="O361" i="4" s="1"/>
  <c r="M425" i="4" a="1"/>
  <c r="M425" i="4" s="1"/>
  <c r="O425" i="4" s="1"/>
  <c r="M457" i="4" a="1"/>
  <c r="M457" i="4" s="1"/>
  <c r="O457" i="4" s="1"/>
  <c r="M473" i="4" a="1"/>
  <c r="M473" i="4" s="1"/>
  <c r="O473" i="4" s="1"/>
  <c r="M489" i="4" a="1"/>
  <c r="M489" i="4" s="1"/>
  <c r="O489" i="4" s="1"/>
  <c r="M505" i="4" a="1"/>
  <c r="M505" i="4" s="1"/>
  <c r="O505" i="4" s="1"/>
  <c r="M521" i="4" a="1"/>
  <c r="M521" i="4" s="1"/>
  <c r="O521" i="4" s="1"/>
  <c r="M537" i="4" a="1"/>
  <c r="M537" i="4" s="1"/>
  <c r="O537" i="4" s="1"/>
  <c r="M553" i="4" a="1"/>
  <c r="M553" i="4" s="1"/>
  <c r="O553" i="4" s="1"/>
  <c r="M569" i="4" a="1"/>
  <c r="M569" i="4" s="1"/>
  <c r="O569" i="4" s="1"/>
  <c r="M585" i="4" a="1"/>
  <c r="M585" i="4" s="1"/>
  <c r="O585" i="4" s="1"/>
  <c r="M601" i="4" a="1"/>
  <c r="M601" i="4" s="1"/>
  <c r="O601" i="4" s="1"/>
  <c r="M617" i="4" a="1"/>
  <c r="M617" i="4" s="1"/>
  <c r="O617" i="4" s="1"/>
  <c r="M633" i="4" a="1"/>
  <c r="M633" i="4" s="1"/>
  <c r="O633" i="4" s="1"/>
  <c r="M649" i="4" a="1"/>
  <c r="M649" i="4" s="1"/>
  <c r="O649" i="4" s="1"/>
  <c r="M665" i="4" a="1"/>
  <c r="M665" i="4" s="1"/>
  <c r="O665" i="4" s="1"/>
  <c r="M681" i="4" a="1"/>
  <c r="M681" i="4" s="1"/>
  <c r="O681" i="4" s="1"/>
  <c r="M713" i="4" a="1"/>
  <c r="M713" i="4" s="1"/>
  <c r="O713" i="4" s="1"/>
  <c r="M729" i="4" a="1"/>
  <c r="M729" i="4" s="1"/>
  <c r="O729" i="4" s="1"/>
  <c r="M745" i="4" a="1"/>
  <c r="M745" i="4" s="1"/>
  <c r="O745" i="4" s="1"/>
  <c r="M777" i="4" a="1"/>
  <c r="M777" i="4" s="1"/>
  <c r="O777" i="4" s="1"/>
  <c r="M793" i="4" a="1"/>
  <c r="M793" i="4" s="1"/>
  <c r="O793" i="4" s="1"/>
  <c r="M809" i="4" a="1"/>
  <c r="M809" i="4" s="1"/>
  <c r="O809" i="4" s="1"/>
  <c r="M825" i="4" a="1"/>
  <c r="M825" i="4" s="1"/>
  <c r="O825" i="4" s="1"/>
  <c r="M841" i="4" a="1"/>
  <c r="M841" i="4" s="1"/>
  <c r="O841" i="4" s="1"/>
  <c r="M857" i="4" a="1"/>
  <c r="M857" i="4" s="1"/>
  <c r="O857" i="4" s="1"/>
  <c r="M873" i="4" a="1"/>
  <c r="M873" i="4" s="1"/>
  <c r="O873" i="4" s="1"/>
  <c r="M889" i="4" a="1"/>
  <c r="M889" i="4" s="1"/>
  <c r="O889" i="4" s="1"/>
  <c r="M905" i="4" a="1"/>
  <c r="M905" i="4" s="1"/>
  <c r="O905" i="4" s="1"/>
  <c r="M921" i="4" a="1"/>
  <c r="M921" i="4" s="1"/>
  <c r="O921" i="4" s="1"/>
  <c r="M937" i="4" a="1"/>
  <c r="M937" i="4" s="1"/>
  <c r="O937" i="4" s="1"/>
  <c r="M953" i="4" a="1"/>
  <c r="M953" i="4" s="1"/>
  <c r="O953" i="4" s="1"/>
  <c r="M969" i="4" a="1"/>
  <c r="M969" i="4" s="1"/>
  <c r="O969" i="4" s="1"/>
  <c r="M985" i="4" a="1"/>
  <c r="M985" i="4" s="1"/>
  <c r="O985" i="4" s="1"/>
  <c r="M1001" i="4" a="1"/>
  <c r="M1001" i="4" s="1"/>
  <c r="O1001" i="4" s="1"/>
  <c r="M1017" i="4" a="1"/>
  <c r="M1017" i="4" s="1"/>
  <c r="O1017" i="4" s="1"/>
  <c r="M1033" i="4" a="1"/>
  <c r="M1033" i="4" s="1"/>
  <c r="O1033" i="4" s="1"/>
  <c r="M1049" i="4" a="1"/>
  <c r="M1049" i="4" s="1"/>
  <c r="O1049" i="4" s="1"/>
  <c r="M1065" i="4" a="1"/>
  <c r="M1065" i="4" s="1"/>
  <c r="O1065" i="4" s="1"/>
  <c r="M1081" i="4" a="1"/>
  <c r="M1081" i="4" s="1"/>
  <c r="O1081" i="4" s="1"/>
  <c r="M1097" i="4" a="1"/>
  <c r="M1097" i="4" s="1"/>
  <c r="O1097" i="4" s="1"/>
  <c r="M1113" i="4" a="1"/>
  <c r="M1113" i="4" s="1"/>
  <c r="O1113" i="4" s="1"/>
  <c r="M1129" i="4" a="1"/>
  <c r="M1129" i="4" s="1"/>
  <c r="O1129" i="4" s="1"/>
  <c r="M1145" i="4" a="1"/>
  <c r="M1145" i="4" s="1"/>
  <c r="O1145" i="4" s="1"/>
  <c r="M1161" i="4" a="1"/>
  <c r="M1161" i="4" s="1"/>
  <c r="O1161" i="4" s="1"/>
  <c r="M1177" i="4" a="1"/>
  <c r="M1177" i="4" s="1"/>
  <c r="O1177" i="4" s="1"/>
  <c r="M1193" i="4" a="1"/>
  <c r="M1193" i="4" s="1"/>
  <c r="O1193" i="4" s="1"/>
  <c r="M1209" i="4" a="1"/>
  <c r="M1209" i="4" s="1"/>
  <c r="O1209" i="4" s="1"/>
  <c r="M1225" i="4" a="1"/>
  <c r="M1225" i="4" s="1"/>
  <c r="O1225" i="4" s="1"/>
  <c r="M1241" i="4" a="1"/>
  <c r="M1241" i="4" s="1"/>
  <c r="O1241" i="4" s="1"/>
  <c r="M1257" i="4" a="1"/>
  <c r="M1257" i="4" s="1"/>
  <c r="O1257" i="4" s="1"/>
  <c r="M1273" i="4" a="1"/>
  <c r="M1273" i="4" s="1"/>
  <c r="O1273" i="4" s="1"/>
  <c r="M1305" i="4" a="1"/>
  <c r="M1305" i="4" s="1"/>
  <c r="O1305" i="4" s="1"/>
  <c r="M1321" i="4" a="1"/>
  <c r="M1321" i="4" s="1"/>
  <c r="O1321" i="4" s="1"/>
  <c r="M1337" i="4" a="1"/>
  <c r="M1337" i="4" s="1"/>
  <c r="O1337" i="4" s="1"/>
  <c r="M4" i="4" a="1"/>
  <c r="M4" i="4" s="1"/>
  <c r="O4" i="4" s="1"/>
  <c r="C5" i="7" s="1"/>
  <c r="M20" i="4" a="1"/>
  <c r="M20" i="4" s="1"/>
  <c r="O20" i="4" s="1"/>
  <c r="M36" i="4" a="1"/>
  <c r="M36" i="4" s="1"/>
  <c r="O36" i="4" s="1"/>
  <c r="M52" i="4" a="1"/>
  <c r="M52" i="4" s="1"/>
  <c r="O52" i="4" s="1"/>
  <c r="M68" i="4" a="1"/>
  <c r="M68" i="4" s="1"/>
  <c r="O68" i="4" s="1"/>
  <c r="M84" i="4" a="1"/>
  <c r="M84" i="4" s="1"/>
  <c r="O84" i="4" s="1"/>
  <c r="M100" i="4" a="1"/>
  <c r="M100" i="4" s="1"/>
  <c r="O100" i="4" s="1"/>
  <c r="M116" i="4" a="1"/>
  <c r="M116" i="4" s="1"/>
  <c r="O116" i="4" s="1"/>
  <c r="M132" i="4" a="1"/>
  <c r="M132" i="4" s="1"/>
  <c r="O132" i="4" s="1"/>
  <c r="M148" i="4" a="1"/>
  <c r="M148" i="4" s="1"/>
  <c r="O148" i="4" s="1"/>
  <c r="M164" i="4" a="1"/>
  <c r="M164" i="4" s="1"/>
  <c r="O164" i="4" s="1"/>
  <c r="M180" i="4" a="1"/>
  <c r="M180" i="4" s="1"/>
  <c r="O180" i="4" s="1"/>
  <c r="M196" i="4" a="1"/>
  <c r="M196" i="4" s="1"/>
  <c r="O196" i="4" s="1"/>
  <c r="M212" i="4" a="1"/>
  <c r="M212" i="4" s="1"/>
  <c r="O212" i="4" s="1"/>
  <c r="M228" i="4" a="1"/>
  <c r="M228" i="4" s="1"/>
  <c r="O228" i="4" s="1"/>
  <c r="M244" i="4" a="1"/>
  <c r="M244" i="4" s="1"/>
  <c r="O244" i="4" s="1"/>
  <c r="M260" i="4" a="1"/>
  <c r="M260" i="4" s="1"/>
  <c r="O260" i="4" s="1"/>
  <c r="M276" i="4" a="1"/>
  <c r="M276" i="4" s="1"/>
  <c r="O276" i="4" s="1"/>
  <c r="M292" i="4" a="1"/>
  <c r="M292" i="4" s="1"/>
  <c r="O292" i="4" s="1"/>
  <c r="M308" i="4" a="1"/>
  <c r="M308" i="4" s="1"/>
  <c r="O308" i="4" s="1"/>
  <c r="M340" i="4" a="1"/>
  <c r="M340" i="4" s="1"/>
  <c r="O340" i="4" s="1"/>
  <c r="M356" i="4" a="1"/>
  <c r="M356" i="4" s="1"/>
  <c r="O356" i="4" s="1"/>
  <c r="M452" i="4" a="1"/>
  <c r="M452" i="4" s="1"/>
  <c r="O452" i="4" s="1"/>
  <c r="M468" i="4" a="1"/>
  <c r="M468" i="4" s="1"/>
  <c r="O468" i="4" s="1"/>
  <c r="M548" i="4" a="1"/>
  <c r="M548" i="4" s="1"/>
  <c r="O548" i="4" s="1"/>
  <c r="M564" i="4" a="1"/>
  <c r="M564" i="4" s="1"/>
  <c r="O564" i="4" s="1"/>
  <c r="M580" i="4" a="1"/>
  <c r="M580" i="4" s="1"/>
  <c r="O580" i="4" s="1"/>
  <c r="M596" i="4" a="1"/>
  <c r="M596" i="4" s="1"/>
  <c r="O596" i="4" s="1"/>
  <c r="M612" i="4" a="1"/>
  <c r="M612" i="4" s="1"/>
  <c r="O612" i="4" s="1"/>
  <c r="M628" i="4" a="1"/>
  <c r="M628" i="4" s="1"/>
  <c r="O628" i="4" s="1"/>
  <c r="M644" i="4" a="1"/>
  <c r="M644" i="4" s="1"/>
  <c r="O644" i="4" s="1"/>
  <c r="M660" i="4" a="1"/>
  <c r="M660" i="4" s="1"/>
  <c r="O660" i="4" s="1"/>
  <c r="M676" i="4" a="1"/>
  <c r="M676" i="4" s="1"/>
  <c r="O676" i="4" s="1"/>
  <c r="M692" i="4" a="1"/>
  <c r="M692" i="4" s="1"/>
  <c r="O692" i="4" s="1"/>
  <c r="M708" i="4" a="1"/>
  <c r="M708" i="4" s="1"/>
  <c r="O708" i="4" s="1"/>
  <c r="M724" i="4" a="1"/>
  <c r="M724" i="4" s="1"/>
  <c r="O724" i="4" s="1"/>
  <c r="M740" i="4" a="1"/>
  <c r="M740" i="4" s="1"/>
  <c r="O740" i="4" s="1"/>
  <c r="M756" i="4" a="1"/>
  <c r="M756" i="4" s="1"/>
  <c r="O756" i="4" s="1"/>
  <c r="M772" i="4" a="1"/>
  <c r="M772" i="4" s="1"/>
  <c r="O772" i="4" s="1"/>
  <c r="M788" i="4" a="1"/>
  <c r="M788" i="4" s="1"/>
  <c r="O788" i="4" s="1"/>
  <c r="M804" i="4" a="1"/>
  <c r="M804" i="4" s="1"/>
  <c r="O804" i="4" s="1"/>
  <c r="M820" i="4" a="1"/>
  <c r="M820" i="4" s="1"/>
  <c r="O820" i="4" s="1"/>
  <c r="M836" i="4" a="1"/>
  <c r="M836" i="4" s="1"/>
  <c r="O836" i="4" s="1"/>
  <c r="M852" i="4" a="1"/>
  <c r="M852" i="4" s="1"/>
  <c r="O852" i="4" s="1"/>
  <c r="M868" i="4" a="1"/>
  <c r="M868" i="4" s="1"/>
  <c r="O868" i="4" s="1"/>
  <c r="M884" i="4" a="1"/>
  <c r="M884" i="4" s="1"/>
  <c r="O884" i="4" s="1"/>
  <c r="M900" i="4" a="1"/>
  <c r="M900" i="4" s="1"/>
  <c r="O900" i="4" s="1"/>
  <c r="M916" i="4" a="1"/>
  <c r="M916" i="4" s="1"/>
  <c r="O916" i="4" s="1"/>
  <c r="M932" i="4" a="1"/>
  <c r="M932" i="4" s="1"/>
  <c r="O932" i="4" s="1"/>
  <c r="M948" i="4" a="1"/>
  <c r="M948" i="4" s="1"/>
  <c r="O948" i="4" s="1"/>
  <c r="M964" i="4" a="1"/>
  <c r="M964" i="4" s="1"/>
  <c r="O964" i="4" s="1"/>
  <c r="M980" i="4" a="1"/>
  <c r="M980" i="4" s="1"/>
  <c r="O980" i="4" s="1"/>
  <c r="M996" i="4" a="1"/>
  <c r="M996" i="4" s="1"/>
  <c r="O996" i="4" s="1"/>
  <c r="M1012" i="4" a="1"/>
  <c r="M1012" i="4" s="1"/>
  <c r="O1012" i="4" s="1"/>
  <c r="M1028" i="4" a="1"/>
  <c r="M1028" i="4" s="1"/>
  <c r="O1028" i="4" s="1"/>
  <c r="M1044" i="4" a="1"/>
  <c r="M1044" i="4" s="1"/>
  <c r="O1044" i="4" s="1"/>
  <c r="M1060" i="4" a="1"/>
  <c r="M1060" i="4" s="1"/>
  <c r="O1060" i="4" s="1"/>
  <c r="M1076" i="4" a="1"/>
  <c r="M1076" i="4" s="1"/>
  <c r="O1076" i="4" s="1"/>
  <c r="M1092" i="4" a="1"/>
  <c r="M1092" i="4" s="1"/>
  <c r="O1092" i="4" s="1"/>
  <c r="M1108" i="4" a="1"/>
  <c r="M1108" i="4" s="1"/>
  <c r="O1108" i="4" s="1"/>
  <c r="M1124" i="4" a="1"/>
  <c r="M1124" i="4" s="1"/>
  <c r="O1124" i="4" s="1"/>
  <c r="M1140" i="4" a="1"/>
  <c r="M1140" i="4" s="1"/>
  <c r="O1140" i="4" s="1"/>
  <c r="M1156" i="4" a="1"/>
  <c r="M1156" i="4" s="1"/>
  <c r="O1156" i="4" s="1"/>
  <c r="M1172" i="4" a="1"/>
  <c r="M1172" i="4" s="1"/>
  <c r="O1172" i="4" s="1"/>
  <c r="M1188" i="4" a="1"/>
  <c r="M1188" i="4" s="1"/>
  <c r="O1188" i="4" s="1"/>
  <c r="M1204" i="4" a="1"/>
  <c r="M1204" i="4" s="1"/>
  <c r="O1204" i="4" s="1"/>
  <c r="M1220" i="4" a="1"/>
  <c r="M1220" i="4" s="1"/>
  <c r="O1220" i="4" s="1"/>
  <c r="M1236" i="4" a="1"/>
  <c r="M1236" i="4" s="1"/>
  <c r="O1236" i="4" s="1"/>
  <c r="M1268" i="4" a="1"/>
  <c r="M1268" i="4" s="1"/>
  <c r="O1268" i="4" s="1"/>
  <c r="M1284" i="4" a="1"/>
  <c r="M1284" i="4" s="1"/>
  <c r="O1284" i="4" s="1"/>
  <c r="M1332" i="4" a="1"/>
  <c r="M1332" i="4" s="1"/>
  <c r="O1332" i="4" s="1"/>
  <c r="M1348" i="4" a="1"/>
  <c r="M1348" i="4" s="1"/>
  <c r="O1348" i="4" s="1"/>
  <c r="M1353" i="4" a="1"/>
  <c r="M1353" i="4" s="1"/>
  <c r="O1353" i="4" s="1"/>
  <c r="M273" i="4" a="1"/>
  <c r="M273" i="4" s="1"/>
  <c r="O273" i="4" s="1"/>
  <c r="M289" i="4" a="1"/>
  <c r="M289" i="4" s="1"/>
  <c r="O289" i="4" s="1"/>
  <c r="M305" i="4" a="1"/>
  <c r="M305" i="4" s="1"/>
  <c r="O305" i="4" s="1"/>
  <c r="M321" i="4" a="1"/>
  <c r="M321" i="4" s="1"/>
  <c r="O321" i="4" s="1"/>
  <c r="M337" i="4" a="1"/>
  <c r="M337" i="4" s="1"/>
  <c r="O337" i="4" s="1"/>
  <c r="M353" i="4" a="1"/>
  <c r="M353" i="4" s="1"/>
  <c r="O353" i="4" s="1"/>
  <c r="M369" i="4" a="1"/>
  <c r="M369" i="4" s="1"/>
  <c r="O369" i="4" s="1"/>
  <c r="M385" i="4" a="1"/>
  <c r="M385" i="4" s="1"/>
  <c r="O385" i="4" s="1"/>
  <c r="M401" i="4" a="1"/>
  <c r="M401" i="4" s="1"/>
  <c r="O401" i="4" s="1"/>
  <c r="M332" i="4" a="1"/>
  <c r="M332" i="4" s="1"/>
  <c r="O332" i="4" s="1"/>
  <c r="M348" i="4" a="1"/>
  <c r="M348" i="4" s="1"/>
  <c r="O348" i="4" s="1"/>
  <c r="M364" i="4" a="1"/>
  <c r="M364" i="4" s="1"/>
  <c r="O364" i="4" s="1"/>
  <c r="M380" i="4" a="1"/>
  <c r="M380" i="4" s="1"/>
  <c r="O380" i="4" s="1"/>
  <c r="M396" i="4" a="1"/>
  <c r="M396" i="4" s="1"/>
  <c r="O396" i="4" s="1"/>
  <c r="M412" i="4" a="1"/>
  <c r="M412" i="4" s="1"/>
  <c r="O412" i="4" s="1"/>
  <c r="M460" i="4" a="1"/>
  <c r="M460" i="4" s="1"/>
  <c r="O460" i="4" s="1"/>
  <c r="M476" i="4" a="1"/>
  <c r="M476" i="4" s="1"/>
  <c r="O476" i="4" s="1"/>
  <c r="M407" i="4" a="1"/>
  <c r="M407" i="4" s="1"/>
  <c r="O407" i="4" s="1"/>
  <c r="M455" i="4" a="1"/>
  <c r="M455" i="4" s="1"/>
  <c r="O455" i="4" s="1"/>
  <c r="M471" i="4" a="1"/>
  <c r="M471" i="4" s="1"/>
  <c r="O471" i="4" s="1"/>
  <c r="M370" i="4" a="1"/>
  <c r="M370" i="4" s="1"/>
  <c r="O370" i="4" s="1"/>
  <c r="M297" i="4" a="1"/>
  <c r="M297" i="4" s="1"/>
  <c r="O297" i="4" s="1"/>
  <c r="M313" i="4" a="1"/>
  <c r="M313" i="4" s="1"/>
  <c r="O313" i="4" s="1"/>
  <c r="M329" i="4" a="1"/>
  <c r="M329" i="4" s="1"/>
  <c r="O329" i="4" s="1"/>
  <c r="M345" i="4" a="1"/>
  <c r="M345" i="4" s="1"/>
  <c r="O345" i="4" s="1"/>
  <c r="M377" i="4" a="1"/>
  <c r="M377" i="4" s="1"/>
  <c r="O377" i="4" s="1"/>
  <c r="M393" i="4" a="1"/>
  <c r="M393" i="4" s="1"/>
  <c r="O393" i="4" s="1"/>
  <c r="M409" i="4" a="1"/>
  <c r="M409" i="4" s="1"/>
  <c r="O409" i="4" s="1"/>
  <c r="M372" i="4" a="1"/>
  <c r="M372" i="4" s="1"/>
  <c r="O372" i="4" s="1"/>
  <c r="M388" i="4" a="1"/>
  <c r="M388" i="4" s="1"/>
  <c r="O388" i="4" s="1"/>
  <c r="M404" i="4" a="1"/>
  <c r="M404" i="4" s="1"/>
  <c r="O404" i="4" s="1"/>
  <c r="M420" i="4" a="1"/>
  <c r="M420" i="4" s="1"/>
  <c r="O420" i="4" s="1"/>
  <c r="M410" i="4" a="1"/>
  <c r="M410" i="4" s="1"/>
  <c r="O410" i="4" s="1"/>
  <c r="D3" i="7"/>
  <c r="C6" i="7"/>
  <c r="BB11" i="3"/>
  <c r="AL11" i="3"/>
  <c r="V11" i="3"/>
  <c r="F11" i="3"/>
  <c r="BL10" i="3"/>
  <c r="AE4" i="14" l="1"/>
  <c r="AE2" i="14"/>
  <c r="AG9" i="14"/>
  <c r="AF6" i="14"/>
  <c r="AF3" i="14" s="1"/>
  <c r="N4" i="11"/>
  <c r="N2" i="11"/>
  <c r="N3" i="11"/>
  <c r="O2" i="11"/>
  <c r="O3" i="11"/>
  <c r="P6" i="11"/>
  <c r="O4" i="11"/>
  <c r="H20" i="8"/>
  <c r="I18" i="8"/>
  <c r="O2" i="10"/>
  <c r="O3" i="10"/>
  <c r="O4" i="10"/>
  <c r="Q10" i="10"/>
  <c r="P6" i="10"/>
  <c r="B4" i="7"/>
  <c r="BZ6" i="6"/>
  <c r="BJ6" i="6"/>
  <c r="AT6" i="6"/>
  <c r="AD6" i="6"/>
  <c r="N6" i="6"/>
  <c r="CK5" i="6"/>
  <c r="BU5" i="6"/>
  <c r="BE5" i="6"/>
  <c r="AO5" i="6"/>
  <c r="Y5" i="6"/>
  <c r="I5" i="6"/>
  <c r="CF4" i="6"/>
  <c r="BP4" i="6"/>
  <c r="AZ4" i="6"/>
  <c r="AJ4" i="6"/>
  <c r="T4" i="6"/>
  <c r="D4" i="6"/>
  <c r="BY6" i="6"/>
  <c r="BI6" i="6"/>
  <c r="AS6" i="6"/>
  <c r="AC6" i="6"/>
  <c r="M6" i="6"/>
  <c r="CJ5" i="6"/>
  <c r="BT5" i="6"/>
  <c r="BD5" i="6"/>
  <c r="AN5" i="6"/>
  <c r="X5" i="6"/>
  <c r="H5" i="6"/>
  <c r="CE4" i="6"/>
  <c r="BO4" i="6"/>
  <c r="AY4" i="6"/>
  <c r="AI4" i="6"/>
  <c r="S4" i="6"/>
  <c r="C4" i="6"/>
  <c r="CN6" i="6"/>
  <c r="BX6" i="6"/>
  <c r="BH6" i="6"/>
  <c r="AR6" i="6"/>
  <c r="AB6" i="6"/>
  <c r="L6" i="6"/>
  <c r="CI5" i="6"/>
  <c r="BS5" i="6"/>
  <c r="BC5" i="6"/>
  <c r="AM5" i="6"/>
  <c r="W5" i="6"/>
  <c r="G5" i="6"/>
  <c r="CD4" i="6"/>
  <c r="BN4" i="6"/>
  <c r="AX4" i="6"/>
  <c r="AH4" i="6"/>
  <c r="R4" i="6"/>
  <c r="B4" i="6"/>
  <c r="CM6" i="6"/>
  <c r="BW6" i="6"/>
  <c r="BG6" i="6"/>
  <c r="AQ6" i="6"/>
  <c r="AA6" i="6"/>
  <c r="K6" i="6"/>
  <c r="CH5" i="6"/>
  <c r="BR5" i="6"/>
  <c r="BB5" i="6"/>
  <c r="AL5" i="6"/>
  <c r="V5" i="6"/>
  <c r="F5" i="6"/>
  <c r="CC4" i="6"/>
  <c r="BM4" i="6"/>
  <c r="AW4" i="6"/>
  <c r="AG4" i="6"/>
  <c r="Q4" i="6"/>
  <c r="CL6" i="6"/>
  <c r="CK6" i="6"/>
  <c r="BU6" i="6"/>
  <c r="BE6" i="6"/>
  <c r="AO6" i="6"/>
  <c r="Y6" i="6"/>
  <c r="I6" i="6"/>
  <c r="CF5" i="6"/>
  <c r="BP5" i="6"/>
  <c r="AZ5" i="6"/>
  <c r="AJ5" i="6"/>
  <c r="T5" i="6"/>
  <c r="D5" i="6"/>
  <c r="CA4" i="6"/>
  <c r="BK4" i="6"/>
  <c r="AU4" i="6"/>
  <c r="AE4" i="6"/>
  <c r="O4" i="6"/>
  <c r="CJ6" i="6"/>
  <c r="BT6" i="6"/>
  <c r="BD6" i="6"/>
  <c r="AN6" i="6"/>
  <c r="X6" i="6"/>
  <c r="H6" i="6"/>
  <c r="CE5" i="6"/>
  <c r="BO5" i="6"/>
  <c r="AY5" i="6"/>
  <c r="AI5" i="6"/>
  <c r="S5" i="6"/>
  <c r="C5" i="6"/>
  <c r="BZ4" i="6"/>
  <c r="BJ4" i="6"/>
  <c r="AT4" i="6"/>
  <c r="AD4" i="6"/>
  <c r="N4" i="6"/>
  <c r="CI6" i="6"/>
  <c r="BS6" i="6"/>
  <c r="BC6" i="6"/>
  <c r="AM6" i="6"/>
  <c r="W6" i="6"/>
  <c r="G6" i="6"/>
  <c r="CD5" i="6"/>
  <c r="BN5" i="6"/>
  <c r="AX5" i="6"/>
  <c r="AH5" i="6"/>
  <c r="R5" i="6"/>
  <c r="B5" i="6"/>
  <c r="BY4" i="6"/>
  <c r="BI4" i="6"/>
  <c r="AS4" i="6"/>
  <c r="AC4" i="6"/>
  <c r="M4" i="6"/>
  <c r="CH6" i="6"/>
  <c r="BR6" i="6"/>
  <c r="BB6" i="6"/>
  <c r="AL6" i="6"/>
  <c r="V6" i="6"/>
  <c r="F6" i="6"/>
  <c r="CC5" i="6"/>
  <c r="BM5" i="6"/>
  <c r="AW5" i="6"/>
  <c r="AG5" i="6"/>
  <c r="Q5" i="6"/>
  <c r="CN4" i="6"/>
  <c r="BX4" i="6"/>
  <c r="BH4" i="6"/>
  <c r="AR4" i="6"/>
  <c r="AB4" i="6"/>
  <c r="CG6" i="6"/>
  <c r="BQ6" i="6"/>
  <c r="BA6" i="6"/>
  <c r="AK6" i="6"/>
  <c r="U6" i="6"/>
  <c r="E6" i="6"/>
  <c r="CB5" i="6"/>
  <c r="BL5" i="6"/>
  <c r="AV5" i="6"/>
  <c r="AF5" i="6"/>
  <c r="P5" i="6"/>
  <c r="CM4" i="6"/>
  <c r="BW4" i="6"/>
  <c r="BG4" i="6"/>
  <c r="AQ4" i="6"/>
  <c r="AA4" i="6"/>
  <c r="K4" i="6"/>
  <c r="CF6" i="6"/>
  <c r="BP6" i="6"/>
  <c r="CE6" i="6"/>
  <c r="BO6" i="6"/>
  <c r="AY6" i="6"/>
  <c r="AI6" i="6"/>
  <c r="S6" i="6"/>
  <c r="C6" i="6"/>
  <c r="BZ5" i="6"/>
  <c r="BJ5" i="6"/>
  <c r="AT5" i="6"/>
  <c r="AD5" i="6"/>
  <c r="N5" i="6"/>
  <c r="CK4" i="6"/>
  <c r="BU4" i="6"/>
  <c r="BE4" i="6"/>
  <c r="AO4" i="6"/>
  <c r="Y4" i="6"/>
  <c r="I4" i="6"/>
  <c r="CD6" i="6"/>
  <c r="BN6" i="6"/>
  <c r="AX6" i="6"/>
  <c r="AH6" i="6"/>
  <c r="R6" i="6"/>
  <c r="B6" i="6"/>
  <c r="BY5" i="6"/>
  <c r="BI5" i="6"/>
  <c r="AS5" i="6"/>
  <c r="AC5" i="6"/>
  <c r="M5" i="6"/>
  <c r="CJ4" i="6"/>
  <c r="BT4" i="6"/>
  <c r="BD4" i="6"/>
  <c r="AN4" i="6"/>
  <c r="X4" i="6"/>
  <c r="H4" i="6"/>
  <c r="CC6" i="6"/>
  <c r="BM6" i="6"/>
  <c r="B6" i="7"/>
  <c r="CB6" i="6"/>
  <c r="BL6" i="6"/>
  <c r="AV6" i="6"/>
  <c r="AF6" i="6"/>
  <c r="P6" i="6"/>
  <c r="CM5" i="6"/>
  <c r="BW5" i="6"/>
  <c r="BG5" i="6"/>
  <c r="AQ5" i="6"/>
  <c r="AA5" i="6"/>
  <c r="K5" i="6"/>
  <c r="CH4" i="6"/>
  <c r="BR4" i="6"/>
  <c r="BB4" i="6"/>
  <c r="AL4" i="6"/>
  <c r="V4" i="6"/>
  <c r="F4" i="6"/>
  <c r="B5" i="7"/>
  <c r="CA6" i="6"/>
  <c r="BK6" i="6"/>
  <c r="AU6" i="6"/>
  <c r="AE6" i="6"/>
  <c r="O6" i="6"/>
  <c r="CL5" i="6"/>
  <c r="BV5" i="6"/>
  <c r="BF5" i="6"/>
  <c r="AP5" i="6"/>
  <c r="Z5" i="6"/>
  <c r="J5" i="6"/>
  <c r="CG4" i="6"/>
  <c r="BQ4" i="6"/>
  <c r="BA4" i="6"/>
  <c r="AK4" i="6"/>
  <c r="U4" i="6"/>
  <c r="E4" i="6"/>
  <c r="BF6" i="6"/>
  <c r="BK5" i="6"/>
  <c r="BS4" i="6"/>
  <c r="AZ6" i="6"/>
  <c r="BH5" i="6"/>
  <c r="BL4" i="6"/>
  <c r="AW6" i="6"/>
  <c r="BA5" i="6"/>
  <c r="BF4" i="6"/>
  <c r="AP6" i="6"/>
  <c r="AU5" i="6"/>
  <c r="BC4" i="6"/>
  <c r="AJ6" i="6"/>
  <c r="AG6" i="6"/>
  <c r="AK5" i="6"/>
  <c r="AP4" i="6"/>
  <c r="Z6" i="6"/>
  <c r="AE5" i="6"/>
  <c r="AM4" i="6"/>
  <c r="T6" i="6"/>
  <c r="AB5" i="6"/>
  <c r="AF4" i="6"/>
  <c r="Q6" i="6"/>
  <c r="U5" i="6"/>
  <c r="Z4" i="6"/>
  <c r="J6" i="6"/>
  <c r="O5" i="6"/>
  <c r="W4" i="6"/>
  <c r="D6" i="6"/>
  <c r="L5" i="6"/>
  <c r="P4" i="6"/>
  <c r="CN5" i="6"/>
  <c r="E5" i="6"/>
  <c r="J4" i="6"/>
  <c r="CG5" i="6"/>
  <c r="CL4" i="6"/>
  <c r="G4" i="6"/>
  <c r="CA5" i="6"/>
  <c r="CI4" i="6"/>
  <c r="BX5" i="6"/>
  <c r="BQ5" i="6"/>
  <c r="AR5" i="6"/>
  <c r="CB4" i="6"/>
  <c r="BV4" i="6"/>
  <c r="AV4" i="6"/>
  <c r="BV6" i="6"/>
  <c r="D5" i="7"/>
  <c r="D6" i="7"/>
  <c r="E3" i="7"/>
  <c r="D4" i="7"/>
  <c r="AF2" i="14" l="1"/>
  <c r="AF4" i="14"/>
  <c r="AH9" i="14"/>
  <c r="AG6" i="14"/>
  <c r="AG3" i="14" s="1"/>
  <c r="P2" i="11"/>
  <c r="P3" i="11"/>
  <c r="Q6" i="11"/>
  <c r="Q4" i="11" s="1"/>
  <c r="P4" i="11"/>
  <c r="G20" i="8"/>
  <c r="H18" i="8"/>
  <c r="P2" i="10"/>
  <c r="P3" i="10"/>
  <c r="P4" i="10"/>
  <c r="R10" i="10"/>
  <c r="Q6" i="10"/>
  <c r="E5" i="7"/>
  <c r="E6" i="7"/>
  <c r="F3" i="7"/>
  <c r="E4" i="7"/>
  <c r="AI9" i="14" l="1"/>
  <c r="AH6" i="14"/>
  <c r="AH3" i="14" s="1"/>
  <c r="AG2" i="14"/>
  <c r="AG4" i="14"/>
  <c r="Q2" i="11"/>
  <c r="Q3" i="11"/>
  <c r="R6" i="11"/>
  <c r="R4" i="11" s="1"/>
  <c r="F20" i="8"/>
  <c r="G18" i="8"/>
  <c r="Q2" i="10"/>
  <c r="Q3" i="10"/>
  <c r="Q4" i="10"/>
  <c r="R6" i="10"/>
  <c r="S10" i="10"/>
  <c r="F5" i="7"/>
  <c r="F6" i="7"/>
  <c r="G3" i="7"/>
  <c r="F4" i="7"/>
  <c r="AH2" i="14" l="1"/>
  <c r="AH4" i="14"/>
  <c r="AJ9" i="14"/>
  <c r="AI6" i="14"/>
  <c r="AI3" i="14" s="1"/>
  <c r="R2" i="11"/>
  <c r="R3" i="11"/>
  <c r="S6" i="11"/>
  <c r="S4" i="11" s="1"/>
  <c r="E20" i="8"/>
  <c r="F18" i="8"/>
  <c r="R2" i="10"/>
  <c r="R3" i="10"/>
  <c r="R4" i="10"/>
  <c r="S6" i="10"/>
  <c r="T10" i="10"/>
  <c r="G5" i="7"/>
  <c r="H3" i="7"/>
  <c r="G6" i="7"/>
  <c r="G4" i="7"/>
  <c r="AK9" i="14" l="1"/>
  <c r="AJ6" i="14"/>
  <c r="AJ3" i="14" s="1"/>
  <c r="AI4" i="14"/>
  <c r="AI2" i="14"/>
  <c r="S2" i="11"/>
  <c r="S3" i="11"/>
  <c r="T6" i="11"/>
  <c r="T4" i="11" s="1"/>
  <c r="E18" i="8"/>
  <c r="D20" i="8"/>
  <c r="S3" i="10"/>
  <c r="S2" i="10"/>
  <c r="S4" i="10"/>
  <c r="U10" i="10"/>
  <c r="T6" i="10"/>
  <c r="H6" i="7"/>
  <c r="I3" i="7"/>
  <c r="H4" i="7"/>
  <c r="H5" i="7"/>
  <c r="AJ4" i="14" l="1"/>
  <c r="AJ2" i="14"/>
  <c r="AL9" i="14"/>
  <c r="AK6" i="14"/>
  <c r="AK3" i="14"/>
  <c r="T2" i="11"/>
  <c r="T3" i="11"/>
  <c r="U6" i="11"/>
  <c r="U4" i="11" s="1"/>
  <c r="D18" i="8"/>
  <c r="C20" i="8"/>
  <c r="T3" i="10"/>
  <c r="T2" i="10"/>
  <c r="T4" i="10"/>
  <c r="U6" i="10"/>
  <c r="V10" i="10"/>
  <c r="I6" i="7"/>
  <c r="J3" i="7"/>
  <c r="I4" i="7"/>
  <c r="I5" i="7"/>
  <c r="AM9" i="14" l="1"/>
  <c r="AL6" i="14"/>
  <c r="AL3" i="14" s="1"/>
  <c r="AK4" i="14"/>
  <c r="AK2" i="14"/>
  <c r="U2" i="11"/>
  <c r="U3" i="11"/>
  <c r="V6" i="11"/>
  <c r="C18" i="8"/>
  <c r="B20" i="8"/>
  <c r="B18" i="8" s="1"/>
  <c r="U3" i="10"/>
  <c r="U2" i="10"/>
  <c r="U4" i="10"/>
  <c r="V6" i="10"/>
  <c r="J6" i="7"/>
  <c r="K3" i="7"/>
  <c r="J4" i="7"/>
  <c r="J5" i="7"/>
  <c r="AL2" i="14" l="1"/>
  <c r="AL4" i="14"/>
  <c r="AN9" i="14"/>
  <c r="AM6" i="14"/>
  <c r="AM3" i="14" s="1"/>
  <c r="V2" i="11"/>
  <c r="V3" i="11"/>
  <c r="V4" i="11"/>
  <c r="V3" i="10"/>
  <c r="V2" i="10"/>
  <c r="V4" i="10"/>
  <c r="K6" i="7"/>
  <c r="L3" i="7"/>
  <c r="K4" i="7"/>
  <c r="K5" i="7"/>
  <c r="AO9" i="14" l="1"/>
  <c r="AN6" i="14"/>
  <c r="AN3" i="14" s="1"/>
  <c r="AM2" i="14"/>
  <c r="AM4" i="14"/>
  <c r="L6" i="7"/>
  <c r="L4" i="7"/>
  <c r="L5" i="7"/>
  <c r="M3" i="7"/>
  <c r="AN2" i="14" l="1"/>
  <c r="AN4" i="14"/>
  <c r="AP9" i="14"/>
  <c r="AO6" i="14"/>
  <c r="AO3" i="14" s="1"/>
  <c r="M4" i="7"/>
  <c r="M5" i="7"/>
  <c r="M6" i="7"/>
  <c r="N3" i="7"/>
  <c r="AO4" i="14" l="1"/>
  <c r="AO2" i="14"/>
  <c r="AQ9" i="14"/>
  <c r="AP6" i="14"/>
  <c r="AP3" i="14" s="1"/>
  <c r="N4" i="7"/>
  <c r="N5" i="7"/>
  <c r="N6" i="7"/>
  <c r="O3" i="7"/>
  <c r="AP2" i="14" l="1"/>
  <c r="AP4" i="14"/>
  <c r="AR9" i="14"/>
  <c r="AQ6" i="14"/>
  <c r="O4" i="7"/>
  <c r="O5" i="7"/>
  <c r="O6" i="7"/>
  <c r="P3" i="7"/>
  <c r="AQ4" i="14" l="1"/>
  <c r="AQ2" i="14"/>
  <c r="AQ3" i="14"/>
  <c r="AS9" i="14"/>
  <c r="AR6" i="14"/>
  <c r="P4" i="7"/>
  <c r="P5" i="7"/>
  <c r="P6" i="7"/>
  <c r="Q3" i="7"/>
  <c r="AR3" i="14" l="1"/>
  <c r="AR2" i="14"/>
  <c r="AR4" i="14"/>
  <c r="AT9" i="14"/>
  <c r="AS6" i="14"/>
  <c r="AS3" i="14" s="1"/>
  <c r="Q4" i="7"/>
  <c r="Q5" i="7"/>
  <c r="Q6" i="7"/>
  <c r="R3" i="7"/>
  <c r="AS4" i="14" l="1"/>
  <c r="AS2" i="14"/>
  <c r="AU9" i="14"/>
  <c r="AT6" i="14"/>
  <c r="AT3" i="14" s="1"/>
  <c r="R4" i="7"/>
  <c r="R5" i="7"/>
  <c r="S3" i="7"/>
  <c r="R6" i="7"/>
  <c r="AT4" i="14" l="1"/>
  <c r="AT2" i="14"/>
  <c r="AV9" i="14"/>
  <c r="AU6" i="14"/>
  <c r="AU3" i="14" s="1"/>
  <c r="S5" i="7"/>
  <c r="S6" i="7"/>
  <c r="T3" i="7"/>
  <c r="S4" i="7"/>
  <c r="AU4" i="14" l="1"/>
  <c r="AU2" i="14"/>
  <c r="AW9" i="14"/>
  <c r="AV6" i="14"/>
  <c r="AV3" i="14" s="1"/>
  <c r="T5" i="7"/>
  <c r="T6" i="7"/>
  <c r="U3" i="7"/>
  <c r="T4" i="7"/>
  <c r="AV2" i="14" l="1"/>
  <c r="AV4" i="14"/>
  <c r="AX9" i="14"/>
  <c r="AW6" i="14"/>
  <c r="AW3" i="14" s="1"/>
  <c r="U5" i="7"/>
  <c r="U6" i="7"/>
  <c r="V3" i="7"/>
  <c r="U4" i="7"/>
  <c r="AY9" i="14" l="1"/>
  <c r="AX6" i="14"/>
  <c r="AX3" i="14" s="1"/>
  <c r="AW2" i="14"/>
  <c r="AW4" i="14"/>
  <c r="V5" i="7"/>
  <c r="V6" i="7"/>
  <c r="W3" i="7"/>
  <c r="V4" i="7"/>
  <c r="AX4" i="14" l="1"/>
  <c r="AX2" i="14"/>
  <c r="AZ9" i="14"/>
  <c r="AY6" i="14"/>
  <c r="AY3" i="14" s="1"/>
  <c r="W5" i="7"/>
  <c r="X3" i="7"/>
  <c r="W6" i="7"/>
  <c r="W4" i="7"/>
  <c r="AY4" i="14" l="1"/>
  <c r="AY2" i="14"/>
  <c r="BA9" i="14"/>
  <c r="AZ6" i="14"/>
  <c r="X6" i="7"/>
  <c r="Y3" i="7"/>
  <c r="X4" i="7"/>
  <c r="X5" i="7"/>
  <c r="AZ4" i="14" l="1"/>
  <c r="AZ2" i="14"/>
  <c r="BB9" i="14"/>
  <c r="BA6" i="14"/>
  <c r="AZ3" i="14"/>
  <c r="Y6" i="7"/>
  <c r="Z3" i="7"/>
  <c r="Y4" i="7"/>
  <c r="Y5" i="7"/>
  <c r="BA2" i="14" l="1"/>
  <c r="BA4" i="14"/>
  <c r="BA3" i="14"/>
  <c r="BC9" i="14"/>
  <c r="BB6" i="14"/>
  <c r="BB3" i="14" s="1"/>
  <c r="Z6" i="7"/>
  <c r="AA3" i="7"/>
  <c r="Z4" i="7"/>
  <c r="Z5" i="7"/>
  <c r="BD9" i="14" l="1"/>
  <c r="BC6" i="14"/>
  <c r="BC3" i="14" s="1"/>
  <c r="BB4" i="14"/>
  <c r="BB2" i="14"/>
  <c r="AA6" i="7"/>
  <c r="AB3" i="7"/>
  <c r="AA4" i="7"/>
  <c r="AA5" i="7"/>
  <c r="BC4" i="14" l="1"/>
  <c r="BC2" i="14"/>
  <c r="BE9" i="14"/>
  <c r="BD6" i="14"/>
  <c r="AB6" i="7"/>
  <c r="AB4" i="7"/>
  <c r="AB5" i="7"/>
  <c r="AC3" i="7"/>
  <c r="BD4" i="14" l="1"/>
  <c r="BD2" i="14"/>
  <c r="BD3" i="14"/>
  <c r="BF9" i="14"/>
  <c r="BE6" i="14"/>
  <c r="BE3" i="14" s="1"/>
  <c r="AC4" i="7"/>
  <c r="AC5" i="7"/>
  <c r="AC6" i="7"/>
  <c r="AD3" i="7"/>
  <c r="BG9" i="14" l="1"/>
  <c r="BF6" i="14"/>
  <c r="BF3" i="14" s="1"/>
  <c r="BE4" i="14"/>
  <c r="BE2" i="14"/>
  <c r="AD4" i="7"/>
  <c r="AD5" i="7"/>
  <c r="AD6" i="7"/>
  <c r="AE3" i="7"/>
  <c r="BF4" i="14" l="1"/>
  <c r="BF2" i="14"/>
  <c r="BH9" i="14"/>
  <c r="BG6" i="14"/>
  <c r="BG3" i="14" s="1"/>
  <c r="AE4" i="7"/>
  <c r="AE5" i="7"/>
  <c r="AE6" i="7"/>
  <c r="AF3" i="7"/>
  <c r="BI9" i="14" l="1"/>
  <c r="BH6" i="14"/>
  <c r="BH3" i="14" s="1"/>
  <c r="BG4" i="14"/>
  <c r="BG2" i="14"/>
  <c r="AF4" i="7"/>
  <c r="AF5" i="7"/>
  <c r="AF6" i="7"/>
  <c r="AG3" i="7"/>
  <c r="BH4" i="14" l="1"/>
  <c r="BH2" i="14"/>
  <c r="BJ9" i="14"/>
  <c r="BI6" i="14"/>
  <c r="BI3" i="14" s="1"/>
  <c r="AG4" i="7"/>
  <c r="AG5" i="7"/>
  <c r="AG6" i="7"/>
  <c r="AH3" i="7"/>
  <c r="BK9" i="14" l="1"/>
  <c r="BJ6" i="14"/>
  <c r="BJ3" i="14" s="1"/>
  <c r="BI4" i="14"/>
  <c r="BI2" i="14"/>
  <c r="AH4" i="7"/>
  <c r="AH5" i="7"/>
  <c r="AI3" i="7"/>
  <c r="AH6" i="7"/>
  <c r="BJ4" i="14" l="1"/>
  <c r="BJ2" i="14"/>
  <c r="BL9" i="14"/>
  <c r="BK6" i="14"/>
  <c r="BK3" i="14" s="1"/>
  <c r="AI5" i="7"/>
  <c r="AI6" i="7"/>
  <c r="AJ3" i="7"/>
  <c r="AI4" i="7"/>
  <c r="BM9" i="14" l="1"/>
  <c r="BL6" i="14"/>
  <c r="BL3" i="14" s="1"/>
  <c r="BK4" i="14"/>
  <c r="BK2" i="14"/>
  <c r="AJ5" i="7"/>
  <c r="AJ6" i="7"/>
  <c r="AK3" i="7"/>
  <c r="AJ4" i="7"/>
  <c r="BL4" i="14" l="1"/>
  <c r="BL2" i="14"/>
  <c r="BN9" i="14"/>
  <c r="BM6" i="14"/>
  <c r="BM3" i="14" s="1"/>
  <c r="AK5" i="7"/>
  <c r="AK6" i="7"/>
  <c r="AL3" i="7"/>
  <c r="AK4" i="7"/>
  <c r="BO9" i="14" l="1"/>
  <c r="BN6" i="14"/>
  <c r="BN3" i="14" s="1"/>
  <c r="BM4" i="14"/>
  <c r="BM2" i="14"/>
  <c r="AL5" i="7"/>
  <c r="AL6" i="7"/>
  <c r="AM3" i="7"/>
  <c r="AL4" i="7"/>
  <c r="BN4" i="14" l="1"/>
  <c r="BN2" i="14"/>
  <c r="BP9" i="14"/>
  <c r="BO6" i="14"/>
  <c r="AM5" i="7"/>
  <c r="AN3" i="7"/>
  <c r="AM6" i="7"/>
  <c r="AM4" i="7"/>
  <c r="BQ9" i="14" l="1"/>
  <c r="BP6" i="14"/>
  <c r="BP3" i="14" s="1"/>
  <c r="BO4" i="14"/>
  <c r="BO2" i="14"/>
  <c r="BO3" i="14"/>
  <c r="AN6" i="7"/>
  <c r="AO3" i="7"/>
  <c r="AN4" i="7"/>
  <c r="AN5" i="7"/>
  <c r="BP4" i="14" l="1"/>
  <c r="BP2" i="14"/>
  <c r="BR9" i="14"/>
  <c r="BQ6" i="14"/>
  <c r="BQ3" i="14" s="1"/>
  <c r="AO6" i="7"/>
  <c r="AP3" i="7"/>
  <c r="AO4" i="7"/>
  <c r="AO5" i="7"/>
  <c r="BQ4" i="14" l="1"/>
  <c r="BQ2" i="14"/>
  <c r="BS9" i="14"/>
  <c r="BR6" i="14"/>
  <c r="BR3" i="14" s="1"/>
  <c r="AP6" i="7"/>
  <c r="AQ3" i="7"/>
  <c r="AP4" i="7"/>
  <c r="AP5" i="7"/>
  <c r="BR4" i="14" l="1"/>
  <c r="BR2" i="14"/>
  <c r="BT9" i="14"/>
  <c r="BS6" i="14"/>
  <c r="AQ6" i="7"/>
  <c r="AR3" i="7"/>
  <c r="AQ4" i="7"/>
  <c r="AQ5" i="7"/>
  <c r="BS4" i="14" l="1"/>
  <c r="BS2" i="14"/>
  <c r="BU9" i="14"/>
  <c r="BT6" i="14"/>
  <c r="BT3" i="14" s="1"/>
  <c r="BS3" i="14"/>
  <c r="AR6" i="7"/>
  <c r="AR4" i="7"/>
  <c r="AR5" i="7"/>
  <c r="AS3" i="7"/>
  <c r="BT4" i="14" l="1"/>
  <c r="BT2" i="14"/>
  <c r="BV9" i="14"/>
  <c r="BU6" i="14"/>
  <c r="AS4" i="7"/>
  <c r="AS5" i="7"/>
  <c r="AS6" i="7"/>
  <c r="AT3" i="7"/>
  <c r="BW9" i="14" l="1"/>
  <c r="BV6" i="14"/>
  <c r="BV3" i="14" s="1"/>
  <c r="BU4" i="14"/>
  <c r="BU2" i="14"/>
  <c r="BU3" i="14"/>
  <c r="AT4" i="7"/>
  <c r="AT5" i="7"/>
  <c r="AT6" i="7"/>
  <c r="AU3" i="7"/>
  <c r="BV4" i="14" l="1"/>
  <c r="BV2" i="14"/>
  <c r="BX9" i="14"/>
  <c r="BW6" i="14"/>
  <c r="BW3" i="14" s="1"/>
  <c r="AU4" i="7"/>
  <c r="AU5" i="7"/>
  <c r="AU6" i="7"/>
  <c r="AV3" i="7"/>
  <c r="BW2" i="14" l="1"/>
  <c r="BW4" i="14"/>
  <c r="BY9" i="14"/>
  <c r="BX6" i="14"/>
  <c r="AV4" i="7"/>
  <c r="AV5" i="7"/>
  <c r="AV6" i="7"/>
  <c r="AW3" i="7"/>
  <c r="BX4" i="14" l="1"/>
  <c r="BX2" i="14"/>
  <c r="BX3" i="14"/>
  <c r="BZ9" i="14"/>
  <c r="BY6" i="14"/>
  <c r="BY3" i="14" s="1"/>
  <c r="AW4" i="7"/>
  <c r="AW5" i="7"/>
  <c r="AW6" i="7"/>
  <c r="AX3" i="7"/>
  <c r="BY4" i="14" l="1"/>
  <c r="BY2" i="14"/>
  <c r="CA9" i="14"/>
  <c r="BZ6" i="14"/>
  <c r="AX4" i="7"/>
  <c r="AX5" i="7"/>
  <c r="AY3" i="7"/>
  <c r="AX6" i="7"/>
  <c r="BZ4" i="14" l="1"/>
  <c r="BZ2" i="14"/>
  <c r="CB9" i="14"/>
  <c r="CA6" i="14"/>
  <c r="CA3" i="14" s="1"/>
  <c r="BZ3" i="14"/>
  <c r="AY5" i="7"/>
  <c r="AY6" i="7"/>
  <c r="AZ3" i="7"/>
  <c r="AY4" i="7"/>
  <c r="CA4" i="14" l="1"/>
  <c r="CA2" i="14"/>
  <c r="CC9" i="14"/>
  <c r="CB6" i="14"/>
  <c r="CB3" i="14" s="1"/>
  <c r="AZ5" i="7"/>
  <c r="AZ6" i="7"/>
  <c r="BA3" i="7"/>
  <c r="AZ4" i="7"/>
  <c r="CB4" i="14" l="1"/>
  <c r="CB2" i="14"/>
  <c r="CD9" i="14"/>
  <c r="CC6" i="14"/>
  <c r="CC3" i="14" s="1"/>
  <c r="BA5" i="7"/>
  <c r="BA6" i="7"/>
  <c r="BB3" i="7"/>
  <c r="BA4" i="7"/>
  <c r="CE9" i="14" l="1"/>
  <c r="CD6" i="14"/>
  <c r="CD3" i="14" s="1"/>
  <c r="CC4" i="14"/>
  <c r="CC2" i="14"/>
  <c r="BB5" i="7"/>
  <c r="BB6" i="7"/>
  <c r="BC3" i="7"/>
  <c r="BB4" i="7"/>
  <c r="CD4" i="14" l="1"/>
  <c r="CD2" i="14"/>
  <c r="CF9" i="14"/>
  <c r="CE6" i="14"/>
  <c r="CE3" i="14"/>
  <c r="BC5" i="7"/>
  <c r="BD3" i="7"/>
  <c r="BC6" i="7"/>
  <c r="BC4" i="7"/>
  <c r="CE2" i="14" l="1"/>
  <c r="CE4" i="14"/>
  <c r="CG9" i="14"/>
  <c r="CF6" i="14"/>
  <c r="BD6" i="7"/>
  <c r="BE3" i="7"/>
  <c r="BD4" i="7"/>
  <c r="BD5" i="7"/>
  <c r="CF4" i="14" l="1"/>
  <c r="CF2" i="14"/>
  <c r="CF3" i="14"/>
  <c r="CH9" i="14"/>
  <c r="CG6" i="14"/>
  <c r="CG3" i="14" s="1"/>
  <c r="BE6" i="7"/>
  <c r="BF3" i="7"/>
  <c r="BE4" i="7"/>
  <c r="BE5" i="7"/>
  <c r="CI9" i="14" l="1"/>
  <c r="CH6" i="14"/>
  <c r="CH3" i="14" s="1"/>
  <c r="CG4" i="14"/>
  <c r="CG2" i="14"/>
  <c r="BF6" i="7"/>
  <c r="BG3" i="7"/>
  <c r="BF4" i="7"/>
  <c r="BF5" i="7"/>
  <c r="CH4" i="14" l="1"/>
  <c r="CH2" i="14"/>
  <c r="CJ9" i="14"/>
  <c r="CI6" i="14"/>
  <c r="CI3" i="14" s="1"/>
  <c r="BG6" i="7"/>
  <c r="BH3" i="7"/>
  <c r="BG4" i="7"/>
  <c r="BG5" i="7"/>
  <c r="CK9" i="14" l="1"/>
  <c r="CJ6" i="14"/>
  <c r="CJ3" i="14" s="1"/>
  <c r="CI2" i="14"/>
  <c r="CI4" i="14"/>
  <c r="BH6" i="7"/>
  <c r="BH4" i="7"/>
  <c r="BH5" i="7"/>
  <c r="BI3" i="7"/>
  <c r="CJ4" i="14" l="1"/>
  <c r="CJ2" i="14"/>
  <c r="CL9" i="14"/>
  <c r="CK6" i="14"/>
  <c r="BI4" i="7"/>
  <c r="BI5" i="7"/>
  <c r="BI6" i="7"/>
  <c r="BJ3" i="7"/>
  <c r="CK4" i="14" l="1"/>
  <c r="CK2" i="14"/>
  <c r="CM9" i="14"/>
  <c r="CL6" i="14"/>
  <c r="CK3" i="14"/>
  <c r="BJ4" i="7"/>
  <c r="BJ5" i="7"/>
  <c r="BJ6" i="7"/>
  <c r="BK3" i="7"/>
  <c r="CL4" i="14" l="1"/>
  <c r="CL2" i="14"/>
  <c r="CN9" i="14"/>
  <c r="CM6" i="14"/>
  <c r="CM3" i="14" s="1"/>
  <c r="CL3" i="14"/>
  <c r="BK4" i="7"/>
  <c r="BK5" i="7"/>
  <c r="BK6" i="7"/>
  <c r="BL3" i="7"/>
  <c r="CM2" i="14" l="1"/>
  <c r="CM4" i="14"/>
  <c r="CN6" i="14"/>
  <c r="CN3" i="14" s="1"/>
  <c r="BL4" i="7"/>
  <c r="BL5" i="7"/>
  <c r="BL6" i="7"/>
  <c r="BM3" i="7"/>
  <c r="CN4" i="14" l="1"/>
  <c r="CN2" i="14"/>
  <c r="BM4" i="7"/>
  <c r="BM5" i="7"/>
  <c r="BM6" i="7"/>
  <c r="BN3" i="7"/>
  <c r="BN4" i="7" l="1"/>
  <c r="BN5" i="7"/>
  <c r="BO3" i="7"/>
  <c r="BN6" i="7"/>
  <c r="BO5" i="7" l="1"/>
  <c r="BO6" i="7"/>
  <c r="BP3" i="7"/>
  <c r="BO4" i="7"/>
  <c r="BP5" i="7" l="1"/>
  <c r="BP6" i="7"/>
  <c r="BQ3" i="7"/>
  <c r="BP4" i="7"/>
  <c r="BQ5" i="7" l="1"/>
  <c r="BQ6" i="7"/>
  <c r="BR3" i="7"/>
  <c r="BQ4" i="7"/>
  <c r="BR5" i="7" l="1"/>
  <c r="BR6" i="7"/>
  <c r="BS3" i="7"/>
  <c r="BR4" i="7"/>
  <c r="BS5" i="7" l="1"/>
  <c r="BT3" i="7"/>
  <c r="BS6" i="7"/>
  <c r="BS4" i="7"/>
  <c r="BT6" i="7" l="1"/>
  <c r="BU3" i="7"/>
  <c r="BT4" i="7"/>
  <c r="BT5" i="7"/>
  <c r="BU6" i="7" l="1"/>
  <c r="BV3" i="7"/>
  <c r="BU4" i="7"/>
  <c r="BU5" i="7"/>
  <c r="BV6" i="7" l="1"/>
  <c r="BW3" i="7"/>
  <c r="BV4" i="7"/>
  <c r="BV5" i="7"/>
  <c r="BW6" i="7" l="1"/>
  <c r="BX3" i="7"/>
  <c r="BW4" i="7"/>
  <c r="BW5" i="7"/>
  <c r="BX6" i="7" l="1"/>
  <c r="BX4" i="7"/>
  <c r="BX5" i="7"/>
  <c r="BY3" i="7"/>
  <c r="BY4" i="7" l="1"/>
  <c r="BY5" i="7"/>
  <c r="BY6" i="7"/>
  <c r="BZ3" i="7"/>
  <c r="BZ4" i="7" l="1"/>
  <c r="BZ5" i="7"/>
  <c r="BZ6" i="7"/>
  <c r="CA3" i="7"/>
  <c r="CA4" i="7" l="1"/>
  <c r="CA5" i="7"/>
  <c r="CA6" i="7"/>
  <c r="CB3" i="7"/>
  <c r="CB4" i="7" l="1"/>
  <c r="CB5" i="7"/>
  <c r="CB6" i="7"/>
  <c r="CC3" i="7"/>
  <c r="CC4" i="7" l="1"/>
  <c r="CC5" i="7"/>
  <c r="CC6" i="7"/>
  <c r="CD3" i="7"/>
  <c r="CD4" i="7" l="1"/>
  <c r="CD5" i="7"/>
  <c r="CE3" i="7"/>
  <c r="CD6" i="7"/>
  <c r="CE5" i="7" l="1"/>
  <c r="CE6" i="7"/>
  <c r="CF3" i="7"/>
  <c r="CE4" i="7"/>
  <c r="CF5" i="7" l="1"/>
  <c r="CF6" i="7"/>
  <c r="CG3" i="7"/>
  <c r="CF4" i="7"/>
  <c r="CG5" i="7" l="1"/>
  <c r="CG6" i="7"/>
  <c r="CH3" i="7"/>
  <c r="CG4" i="7"/>
  <c r="CH5" i="7" l="1"/>
  <c r="CH6" i="7"/>
  <c r="CI3" i="7"/>
  <c r="CH4" i="7"/>
  <c r="CI5" i="7" l="1"/>
  <c r="CJ3" i="7"/>
  <c r="CI6" i="7"/>
  <c r="CI4" i="7"/>
  <c r="CJ6" i="7" l="1"/>
  <c r="CK3" i="7"/>
  <c r="CJ4" i="7"/>
  <c r="CJ5" i="7"/>
  <c r="CK6" i="7" l="1"/>
  <c r="CL3" i="7"/>
  <c r="CK4" i="7"/>
  <c r="CK5" i="7"/>
  <c r="CL6" i="7" l="1"/>
  <c r="CM3" i="7"/>
  <c r="CL4" i="7"/>
  <c r="CL5" i="7"/>
  <c r="CM6" i="7" l="1"/>
  <c r="CN3" i="7"/>
  <c r="CM4" i="7"/>
  <c r="CM5" i="7"/>
  <c r="CN6" i="7" l="1"/>
  <c r="CN4" i="7"/>
  <c r="CN5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<sst xmlns="http://schemas.openxmlformats.org/spreadsheetml/2006/main" count="12249" uniqueCount="1286">
  <si>
    <t>Start Time</t>
  </si>
  <si>
    <t>End Time</t>
  </si>
  <si>
    <t>DE PV Total</t>
  </si>
  <si>
    <t>DE PV North</t>
  </si>
  <si>
    <t>Total Offshore</t>
  </si>
  <si>
    <t>Total North See</t>
  </si>
  <si>
    <t>Total Baltic See</t>
  </si>
  <si>
    <t>NRW</t>
  </si>
  <si>
    <t>TH</t>
  </si>
  <si>
    <t>RLF</t>
  </si>
  <si>
    <t>SL</t>
  </si>
  <si>
    <t>BW</t>
  </si>
  <si>
    <t>BY</t>
  </si>
  <si>
    <t>DE Offshore 3231 NDS 54.0 6.25</t>
  </si>
  <si>
    <t>DE Offshore 3232 NDS 54.0 6.875</t>
  </si>
  <si>
    <t>DE Offshore 3233 NDS 54.0 7.5</t>
  </si>
  <si>
    <t>DE Offshore 3234 NDS 54.0 8.125</t>
  </si>
  <si>
    <t>DE Offshore 3235 NDS 54.0 8.75</t>
  </si>
  <si>
    <t>DE Offshore 3239 BLS 54.0 11.25</t>
  </si>
  <si>
    <t>DE Offshore 3319 NDS 54.5 5.625</t>
  </si>
  <si>
    <t>DE Offshore 3320 NDS 54.5 6.25</t>
  </si>
  <si>
    <t>DE Offshore 3321 NDS 54.5 6.875</t>
  </si>
  <si>
    <t>DE Offshore 3322 NDS 54.5 7.5</t>
  </si>
  <si>
    <t>DE Offshore 3323 NDS 54.5 8.125</t>
  </si>
  <si>
    <t>DE Offshore 3326 BLS 54.5 10.0</t>
  </si>
  <si>
    <t>DE Offshore 3327 BLS 54.5 10.625</t>
  </si>
  <si>
    <t>DE Offshore 3328 BLS 54.5 11.25</t>
  </si>
  <si>
    <t>DE Offshore 3330 BLS 54.5 12.5</t>
  </si>
  <si>
    <t>DE Offshore 3332 BLS 54.5 13.75</t>
  </si>
  <si>
    <t>DE Offshore 3407 NDS 55.0 5.0</t>
  </si>
  <si>
    <t>DE Offshore 3409 NDS 55.0 6.25</t>
  </si>
  <si>
    <t>DE Offshore 3410 NDS 55.0 6.875</t>
  </si>
  <si>
    <t>DE Offshore 3411 NDS 55.0 7.5</t>
  </si>
  <si>
    <t>DE Offshore 3412 NDS 55.0 8.125</t>
  </si>
  <si>
    <t>DE Offshore 3495 NDS 55.5 4.375</t>
  </si>
  <si>
    <t>100M</t>
  </si>
  <si>
    <t>130M</t>
  </si>
  <si>
    <t>160M</t>
  </si>
  <si>
    <t>DE Onshore 2168 BW 48.0 9.375</t>
  </si>
  <si>
    <t>DE Onshore 2170 BY 48.0 10.625</t>
  </si>
  <si>
    <t>DE Onshore 2172 BY 48.0 11.875</t>
  </si>
  <si>
    <t>DE Onshore 2255 BW 48.5 8.125</t>
  </si>
  <si>
    <t>DE Onshore 2262 BY 48.5 12.5</t>
  </si>
  <si>
    <t>DE Onshore 2348 BY 49.0 10.625</t>
  </si>
  <si>
    <t>DE Onshore 2431 SL 49.5 6.875</t>
  </si>
  <si>
    <t>DE Onshore 2433 RLF 49.5 8.125</t>
  </si>
  <si>
    <t>DE Onshore 2435 BW 49.5 9.375</t>
  </si>
  <si>
    <t>DE Onshore 2438 BY 49.5 11.25</t>
  </si>
  <si>
    <t>DE Onshore 2440 BY 49.5 12.5</t>
  </si>
  <si>
    <t>DE Onshore 2519 RLF 50.0 6.25</t>
  </si>
  <si>
    <t>DE Onshore 2520 RLF 50.0 6.875</t>
  </si>
  <si>
    <t>DE Onshore 2521 RLF 50.0 7.5</t>
  </si>
  <si>
    <t>DE Onshore 2608 NRW 50.5 6.25</t>
  </si>
  <si>
    <t>DE Onshore 2610 RLF 50.5 7.5</t>
  </si>
  <si>
    <t>DE Onshore 2613 HE 50.5 9.375</t>
  </si>
  <si>
    <t>DE Onshore 2617 TH 50.5 11.875</t>
  </si>
  <si>
    <t>DE Onshore 2697 NRW 51.0 6.25</t>
  </si>
  <si>
    <t>DE Onshore 2698 NRW 51.0 6.875</t>
  </si>
  <si>
    <t>DE Onshore 2699 NRW 51.0 7.5</t>
  </si>
  <si>
    <t>DE Onshore 2701 HE 51.0 8.75</t>
  </si>
  <si>
    <t>DE Onshore 2703 TH 51.0 10.0</t>
  </si>
  <si>
    <t>DE Onshore 2787 NRW 51.5 6.875</t>
  </si>
  <si>
    <t>DE Onshore 2788 NRW 51.5 7.5</t>
  </si>
  <si>
    <t>DE Onshore 2789 NRW 51.5 8.125</t>
  </si>
  <si>
    <t>DE Onshore 2790 NRW 51.5 8.75</t>
  </si>
  <si>
    <t>DE Onshore 2792 NS 51.5 10.0</t>
  </si>
  <si>
    <t>DE Onshore 2794 ST 51.5 11.25</t>
  </si>
  <si>
    <t>DE Onshore 2797 SX 51.5 13.125</t>
  </si>
  <si>
    <t>DE Onshore 2799 SX 51.5 14.375</t>
  </si>
  <si>
    <t>DE Onshore 2878 NRW 52.0 8.125</t>
  </si>
  <si>
    <t>DE Onshore 2880 NS 52.0 9.375</t>
  </si>
  <si>
    <t>DE Onshore 2881 NS 52.0 10.0</t>
  </si>
  <si>
    <t>DE Onshore 2883 SA 52.0 11.25</t>
  </si>
  <si>
    <t>DE Onshore 2885 SA 52.0 12.5</t>
  </si>
  <si>
    <t>DE Onshore 2886 BR 52.0 13.125</t>
  </si>
  <si>
    <t>DE Onshore 2966 NS 52.5 7.5</t>
  </si>
  <si>
    <t>DE Onshore 2970 NS 52.5 10.0</t>
  </si>
  <si>
    <t>DE Onshore 2971 NS 52.5 10.625</t>
  </si>
  <si>
    <t>DE Onshore 2972 SA 52.5 11.25</t>
  </si>
  <si>
    <t>DE Onshore 2973 SA 52.5 11.875</t>
  </si>
  <si>
    <t>DE Onshore 2977 BR 52.5 14.375</t>
  </si>
  <si>
    <t>DE Onshore 3055 NS 53.0 7.5</t>
  </si>
  <si>
    <t>DE Onshore 3057 NS 53.0 8.75</t>
  </si>
  <si>
    <t>DE Onshore 3058 NS 53.0 9.375</t>
  </si>
  <si>
    <t>DE Onshore 3059 NS 53.0 10.0</t>
  </si>
  <si>
    <t>DE Onshore 3062 BR 53.0 11.875</t>
  </si>
  <si>
    <t>DE Onshore 3064 BR 53.0 13.125</t>
  </si>
  <si>
    <t>DE Onshore 3147 NS 53.5 9.375</t>
  </si>
  <si>
    <t>DE Onshore 3148 SH 53.5 10.0</t>
  </si>
  <si>
    <t>DE Onshore 3149 SH 53.5 10.625</t>
  </si>
  <si>
    <t>DE Onshore 3151 MV 53.5 11.875</t>
  </si>
  <si>
    <t>DE Onshore 3236 SH 54.0 9.375</t>
  </si>
  <si>
    <t>DE Onshore 3238 SH 54.0 10.625</t>
  </si>
  <si>
    <t>DE Onshore 3242 MV 54.0 13.125</t>
  </si>
  <si>
    <t>DE Onshore 3325 SH 54.5 9.375</t>
  </si>
  <si>
    <t>HE</t>
  </si>
  <si>
    <t>NS</t>
  </si>
  <si>
    <t>SX</t>
  </si>
  <si>
    <t>SA</t>
  </si>
  <si>
    <t>BR</t>
  </si>
  <si>
    <t>SH</t>
  </si>
  <si>
    <t>MV</t>
  </si>
  <si>
    <t>70M</t>
  </si>
  <si>
    <t>85M</t>
  </si>
  <si>
    <t>Sum</t>
  </si>
  <si>
    <t>DE PVSAT BB 3062 53.0 11.875 Generator</t>
  </si>
  <si>
    <t>DE PVSAT BW 2257 48.5 9.375 Generator</t>
  </si>
  <si>
    <t>DE PVSAT BY 2171 48.0 11.25 Generator</t>
  </si>
  <si>
    <t>DE PVSAT BY 2527 50.0 11.25 Generator</t>
  </si>
  <si>
    <t>DE PVSAT HE 2791 51.5 9.375 Generator</t>
  </si>
  <si>
    <t>DE PVSAT MV 3241 54.0 12.5 Generator</t>
  </si>
  <si>
    <t>DE PVSAT NS 3057 53.0 8.75 Generator</t>
  </si>
  <si>
    <t>DE PVSAT NW 2788 51.5 7.5 Generator</t>
  </si>
  <si>
    <t>DE PVSAT RF 2610 50.5 7.5 Generator</t>
  </si>
  <si>
    <t>DE PVSAT SA 2884 52.0 11.875 Generator</t>
  </si>
  <si>
    <t>DE PVSAT SH 3325 54.5 9.375 Generator</t>
  </si>
  <si>
    <t>DE PVSAT SX 2709 51.0 13.75 Generator</t>
  </si>
  <si>
    <t>DE PVSAT TH 2705 51.0 11.25 Generator</t>
  </si>
  <si>
    <t>TIME_YEAR</t>
  </si>
  <si>
    <t>REPORTING_CATEGORY_NAME</t>
  </si>
  <si>
    <t>GENERATOR_NAME</t>
  </si>
  <si>
    <t>INSTALLED_CAPACITY</t>
  </si>
  <si>
    <t>Biomass</t>
  </si>
  <si>
    <t>CCGT</t>
  </si>
  <si>
    <t>DSR</t>
  </si>
  <si>
    <t>Hydro_ROR</t>
  </si>
  <si>
    <t>Hydro_seasonal_storage</t>
  </si>
  <si>
    <t>NEW DSM</t>
  </si>
  <si>
    <t>NEW Gas_CCGT</t>
  </si>
  <si>
    <t>NEW Gas_GT</t>
  </si>
  <si>
    <t>OCGT</t>
  </si>
  <si>
    <t>Onshore_existing_subsidised_extrinsic</t>
  </si>
  <si>
    <t>Onshore_new2019_nonSubsidised_intrinsic</t>
  </si>
  <si>
    <t>Onshore_new2019_subsidised_extrinsic</t>
  </si>
  <si>
    <t>other RES</t>
  </si>
  <si>
    <t>PV_Behind-The-Meter</t>
  </si>
  <si>
    <t>PV_existing_nonSubsidised_intrinsic</t>
  </si>
  <si>
    <t>Baltic Sea</t>
  </si>
  <si>
    <t>North Sea</t>
  </si>
  <si>
    <t>Offshore</t>
  </si>
  <si>
    <t>Onshore</t>
  </si>
  <si>
    <t>PV</t>
  </si>
  <si>
    <t>Year</t>
  </si>
  <si>
    <t>Additional Firm Capacity</t>
  </si>
  <si>
    <t>DE_CP_CapReserve</t>
  </si>
  <si>
    <t>DE_CP_SiBe</t>
  </si>
  <si>
    <t>DEm_PP_Biomass</t>
  </si>
  <si>
    <t>DEn_PP_Biomass</t>
  </si>
  <si>
    <t>DE_PP_Waste_BFG_Others_m</t>
  </si>
  <si>
    <t>DE_PP_Waste_BFG_Others_n</t>
  </si>
  <si>
    <t>DE_PP_Waste_BFG_Others_s</t>
  </si>
  <si>
    <t>DEs_PP_Biomass</t>
  </si>
  <si>
    <t>DE_PP_Aluminium_Oxid_Stade</t>
  </si>
  <si>
    <t>DE_PP_AMD_Dresden</t>
  </si>
  <si>
    <t>DE_PP_BASF_Ludwigshafen_Mitte_GuD</t>
  </si>
  <si>
    <t>DE_PP_BASF_Ludwigshafen_Süd</t>
  </si>
  <si>
    <t>DE_PP_BASF_Schwarzheide_GuD</t>
  </si>
  <si>
    <t>DE_PP_Bitterfeld</t>
  </si>
  <si>
    <t>DE_PP_Burghausen</t>
  </si>
  <si>
    <t>DE_PP_Chemiepark_Knapsack_1_GuD</t>
  </si>
  <si>
    <t>DE_PP_Chemiepark_Knapsack_2_GuD</t>
  </si>
  <si>
    <t>DE_PP_Dessau</t>
  </si>
  <si>
    <t>DE_PP_Dormagen_GuD</t>
  </si>
  <si>
    <t>DE_PP_Dow_Chemical_Stade</t>
  </si>
  <si>
    <t>DE_PP_Eilenburg</t>
  </si>
  <si>
    <t>DE_PP_Emsland_D</t>
  </si>
  <si>
    <t>DE_PP_Energiezentrum_Mohn_Media</t>
  </si>
  <si>
    <t>DE_PP_Freiburg_GuD</t>
  </si>
  <si>
    <t>DE_PP_Grenzach-Wyhlen</t>
  </si>
  <si>
    <t>DE_PP_Hafen_Münster_GuD</t>
  </si>
  <si>
    <t>DE_PP_Hamm_10</t>
  </si>
  <si>
    <t>DE_PP_Hamm_20</t>
  </si>
  <si>
    <t>DE_PP_HBB_GUD</t>
  </si>
  <si>
    <t>DE_PP_Hillegossen_GuD</t>
  </si>
  <si>
    <t>DE_PP_HKW-Barmen_1</t>
  </si>
  <si>
    <t>DE_PP_HKW_Baunatal_GuD</t>
  </si>
  <si>
    <t>DE_PP_HKW_Berlin_Mitte_GuD</t>
  </si>
  <si>
    <t>DE_PP_HKW_Bonn_Nord_Ausbau</t>
  </si>
  <si>
    <t>DE_PP_HKW_Braunschweig_Mitte_GuD</t>
  </si>
  <si>
    <t>DE_PP_HKW_Duisburg_III/B</t>
  </si>
  <si>
    <t>DE_PP_HKW_Erfurt_Ost</t>
  </si>
  <si>
    <t>DE_PP_HKW_Erfurt_Ost_Ausbau</t>
  </si>
  <si>
    <t>DE_PP_HKW_Flensburg_12</t>
  </si>
  <si>
    <t>DE_PP_HKW_Halle_Trotha_A</t>
  </si>
  <si>
    <t>DE_PP_HKW_Halle_Trotha_B</t>
  </si>
  <si>
    <t>DE_PP_HKW_Halle_Trotha_Retrofit</t>
  </si>
  <si>
    <t>DE_PP_HKW_Hannover_Linden_Retrofit</t>
  </si>
  <si>
    <t>DE_PP_HKW_Herdecke_H6</t>
  </si>
  <si>
    <t>DE_PP_HKW_Höchst_A</t>
  </si>
  <si>
    <t>DE_PP_HKW_Jena</t>
  </si>
  <si>
    <t>DE_PP_HKW_Kiel_Humboldstrasse_Ausbau</t>
  </si>
  <si>
    <t>DE_PP_HKW_Leipzig_Nord</t>
  </si>
  <si>
    <t>DE_PP_HKW_Lichterfelde_GuD</t>
  </si>
  <si>
    <t>DE_PP_HKW_Merkenich_GuD</t>
  </si>
  <si>
    <t>DE_PP_HKW_Neubrandenburg_GuD</t>
  </si>
  <si>
    <t>DE_PP_HKW_Niederrad_1</t>
  </si>
  <si>
    <t>DE_PP_HKW_Niehl_2_GuD</t>
  </si>
  <si>
    <t>DE_PP_HKW_Niehl_3_GuD</t>
  </si>
  <si>
    <t>DE_PP_HKW_Potsdam-Süd</t>
  </si>
  <si>
    <t>DE_PP_HKW_Saarbrücken_Römerbrücke_GuD</t>
  </si>
  <si>
    <t>DE_PP_HKW_Saarbrücken_Römerbrücke_GuD_Ausbau</t>
  </si>
  <si>
    <t>DE_PP_HKW_Sandreuth_GuD_1</t>
  </si>
  <si>
    <t>DE_PP_HKW_Sandreuth_GuD_2</t>
  </si>
  <si>
    <t>DE_PP_HKW_Sandreuth_sonstige</t>
  </si>
  <si>
    <t>DE_PP_HKW_Tiefstack_GuD</t>
  </si>
  <si>
    <t>DE_PP_HKW_Würzburg</t>
  </si>
  <si>
    <t>DE_PP_IKW_Bernburg_(IKB)</t>
  </si>
  <si>
    <t>DE_PP_IKW_Gendorf</t>
  </si>
  <si>
    <t>DE_PP_Infra_Leuna_GuD</t>
  </si>
  <si>
    <t>DE_PP_Irsching_4</t>
  </si>
  <si>
    <t>DE_PP_Irsching_5</t>
  </si>
  <si>
    <t>DE_PP_Kirchmöser</t>
  </si>
  <si>
    <t>DE_PP_Lausward_A_GuD</t>
  </si>
  <si>
    <t>DE_PP_Lausward_GuD_Neu</t>
  </si>
  <si>
    <t>DE_PP_Leuna_GuD</t>
  </si>
  <si>
    <t>DE_PP_Mainz_3_GuD</t>
  </si>
  <si>
    <t>DE_PP_Marienehe_GuD</t>
  </si>
  <si>
    <t>DE_PP_Marl_Infracor_IV</t>
  </si>
  <si>
    <t>DE_PP_Mittelsbüren</t>
  </si>
  <si>
    <t>DE_PP_München_Süd_2</t>
  </si>
  <si>
    <t>DE_PP_Obernburg</t>
  </si>
  <si>
    <t>DE_PP_Plattling</t>
  </si>
  <si>
    <t>DE_PP_Rüsselsheim_GuD</t>
  </si>
  <si>
    <t>DE_PP_Wiesbaden_Biebrich_1</t>
  </si>
  <si>
    <t>DE_PP_Wintershall_GuD</t>
  </si>
  <si>
    <t>DE_PP_Wolfen</t>
  </si>
  <si>
    <t>DE_PP_Zielitz</t>
  </si>
  <si>
    <t>CHP New</t>
  </si>
  <si>
    <t>DE_PP_CHP_Airbase Rammstein KWK</t>
  </si>
  <si>
    <t>DE_PP_CHP_Altbach</t>
  </si>
  <si>
    <t>DE_PP_CHP_AVG_Koeln</t>
  </si>
  <si>
    <t>DE_PP_CHP_BMW Werk Dingolfing</t>
  </si>
  <si>
    <t>DE_PP_CHP_Braunschweig</t>
  </si>
  <si>
    <t>DE_PP_CHP_Bremen_Hastedt</t>
  </si>
  <si>
    <t>DE_PP_CHP_Cottbuser HKW</t>
  </si>
  <si>
    <t>DE_PP_CHP_Currenta</t>
  </si>
  <si>
    <t>DE_PP_CHP_Fernwärme Ulm GmbH</t>
  </si>
  <si>
    <t>DE_PP_CHP_FFO</t>
  </si>
  <si>
    <t>DE_PP_CHP_Flensburg_10</t>
  </si>
  <si>
    <t>DE_PP_CHP_Flensburg_11</t>
  </si>
  <si>
    <t>DE_PP_CHP_Flensburg_9</t>
  </si>
  <si>
    <t>DE_PP_CHP_Frankfurt</t>
  </si>
  <si>
    <t>DE_PP_CHP_Frankfurt_West_5</t>
  </si>
  <si>
    <t>DE_PP_CHP_GAMOR_Römerbrücke</t>
  </si>
  <si>
    <t>DE_PP_CHP_Gendorf</t>
  </si>
  <si>
    <t>DE_PP_CHP_Gera_1</t>
  </si>
  <si>
    <t>DE_PP_CHP_Gera_2</t>
  </si>
  <si>
    <t>DE_PP_CHP_Hannover</t>
  </si>
  <si>
    <t>DE_PP_CHP_Herne_Block_6</t>
  </si>
  <si>
    <t>DE_PP_CHP_Höchst</t>
  </si>
  <si>
    <t>DE_PP_CHP_Hürth Biomasse</t>
  </si>
  <si>
    <t>DE_PP_CHP_Ineos_Koeln</t>
  </si>
  <si>
    <t>DE_PP_CHP_Jena</t>
  </si>
  <si>
    <t>DE_PP_CHP_Kiel_Gasmotoren</t>
  </si>
  <si>
    <t>DE_PP_CHP_Köln Go-dorf  (Shell)</t>
  </si>
  <si>
    <t>DE_PP_CHP_Köln Merheim</t>
  </si>
  <si>
    <t>DE_PP_CHP_Krefeld</t>
  </si>
  <si>
    <t>DE_PP_CHP_Leipzig Süd</t>
  </si>
  <si>
    <t>DE_PP_CHP_Leverkusen</t>
  </si>
  <si>
    <t>DE_PP_CHP_Mainz_5</t>
  </si>
  <si>
    <t>DE_PP_CHP_Marl_I_4</t>
  </si>
  <si>
    <t>DE_PP_CHP_Marl_I_5</t>
  </si>
  <si>
    <t>DE_PP_CHP_Marzahn</t>
  </si>
  <si>
    <t>DE_PP_CHP_MHKW Chemnitz</t>
  </si>
  <si>
    <t>DE_PP_CHP_Moabit</t>
  </si>
  <si>
    <t>DE_PP_CHP_Offenbach</t>
  </si>
  <si>
    <t>DE_PP_CHP_Pforzheim</t>
  </si>
  <si>
    <t>DE_PP_CHP_Reuter_West_D</t>
  </si>
  <si>
    <t>DE_PP_CHP_Reuter_West_E</t>
  </si>
  <si>
    <t>DE_PP_CHP_Sappi_Stockstadt</t>
  </si>
  <si>
    <t>DE_PP_CHP_Scholven</t>
  </si>
  <si>
    <t>DE_PP_CHP_Stuttgart</t>
  </si>
  <si>
    <t>DE_PP_CHP_Stuttgart_Gaisburg_CHP</t>
  </si>
  <si>
    <t>DE_PP_CHP_Tiefstack</t>
  </si>
  <si>
    <t>DE_PP_CHP_UPM Dörpen</t>
  </si>
  <si>
    <t>DE_PP_CHP_Völklingen</t>
  </si>
  <si>
    <t>DE_PP_CHP_Wedel</t>
  </si>
  <si>
    <t>DE_PP_CHP_Wolfsburg</t>
  </si>
  <si>
    <t>DE_PP_CHP_Wolfsburg_Nord</t>
  </si>
  <si>
    <t>Coal</t>
  </si>
  <si>
    <t>DE_PP_Bremen_Hafen_6</t>
  </si>
  <si>
    <t>DE_PP_Bremen_Hastedt_15</t>
  </si>
  <si>
    <t>DE_PP_Currenta_Kraftwerk_L_57_</t>
  </si>
  <si>
    <t>DE_PP_Hannover_GKH_1</t>
  </si>
  <si>
    <t>DE_PP_Hannover_GKH_2</t>
  </si>
  <si>
    <t>DE_PP_HC_Unknown_Units</t>
  </si>
  <si>
    <t>DE_PP_HKV_Völklingen</t>
  </si>
  <si>
    <t>DE_PP_HKW_Altbach_2</t>
  </si>
  <si>
    <t>DE_PP_HKW_Braunschweig_Mitte_Block_1</t>
  </si>
  <si>
    <t>DE_PP_HKW_Buer</t>
  </si>
  <si>
    <t>DE_PP_HKW_Flensburg_10</t>
  </si>
  <si>
    <t>DE_PP_HKW_Flensburg_11</t>
  </si>
  <si>
    <t>DE_PP_HKW_Flensburg_9</t>
  </si>
  <si>
    <t>DE_PP_HKW_Frankfurt_West_2</t>
  </si>
  <si>
    <t>DE_PP_HKW_Frankfurt_West_3</t>
  </si>
  <si>
    <t>DE_PP_HKW_Heilbronn_7</t>
  </si>
  <si>
    <t>DE_PP_HKW_Herne_Block_4</t>
  </si>
  <si>
    <t>DE_PP_HKW_Höchst_B</t>
  </si>
  <si>
    <t>DE_PP_HKW_Offenbach</t>
  </si>
  <si>
    <t>DE_PP_HKW_Pforzheim_Wirbelschichtblock</t>
  </si>
  <si>
    <t>DE_PP_HKW_Sappi_Stockstadt</t>
  </si>
  <si>
    <t>DE_PP_HKW_Stuttgart_Münster_DT12</t>
  </si>
  <si>
    <t>DE_PP_HKW_Stuttgart_Münster_DT15</t>
  </si>
  <si>
    <t>DE_PP_HKW_Tiefstack</t>
  </si>
  <si>
    <t>DE_PP_HKW_Wolfsburg_Nord_A</t>
  </si>
  <si>
    <t>DE_PP_HKW_Wolfsburg_West_1</t>
  </si>
  <si>
    <t>DE_PP_HKW_Wolfsburg_West_2</t>
  </si>
  <si>
    <t>DE_PP_HWK_Wolfsburg_Nord_B</t>
  </si>
  <si>
    <t>DE_PP_Krefeld-Uerdingen_Bayer_N_230</t>
  </si>
  <si>
    <t>DE_PP_Leverkusen_G15/G22</t>
  </si>
  <si>
    <t>DE_PP_Mannheim_6</t>
  </si>
  <si>
    <t>DE_PP_Mannheim_8</t>
  </si>
  <si>
    <t>DE_PP_Marl_I_4</t>
  </si>
  <si>
    <t>DE_PP_Marl_I_5</t>
  </si>
  <si>
    <t>DE_PP_MKV_Völklingen</t>
  </si>
  <si>
    <t>DE_PP_Moabit_A</t>
  </si>
  <si>
    <t>DE_PP_München_Nord_2</t>
  </si>
  <si>
    <t>DE_PP_RDK_7</t>
  </si>
  <si>
    <t>DE_PP_Reno_De_Medici</t>
  </si>
  <si>
    <t>DE_PP_Reuter_West_D</t>
  </si>
  <si>
    <t>DE_PP_Reuter_West_E</t>
  </si>
  <si>
    <t>DE_PP_Rostock</t>
  </si>
  <si>
    <t>DE_PP_Scholven_B</t>
  </si>
  <si>
    <t>DE_PP_Scholven_C</t>
  </si>
  <si>
    <t>DE_PP_Staudinger_5</t>
  </si>
  <si>
    <t>DE_PP_Walsum_9</t>
  </si>
  <si>
    <t>DE_PP_Wedel_1</t>
  </si>
  <si>
    <t>DE_PP_Wedel_2</t>
  </si>
  <si>
    <t>DE_PP_Zolling_5</t>
  </si>
  <si>
    <t>Coal new</t>
  </si>
  <si>
    <t>DE_PP_Datteln_4</t>
  </si>
  <si>
    <t>DE_PP_GKM_9</t>
  </si>
  <si>
    <t>DE_PP_Lünen_neu</t>
  </si>
  <si>
    <t>DE_PP_Moorburg_3</t>
  </si>
  <si>
    <t>DE_PP_Moorburg_4</t>
  </si>
  <si>
    <t>DE_PP_RDK_8_</t>
  </si>
  <si>
    <t>DE_PP_Walsum_10</t>
  </si>
  <si>
    <t>DE_PP_Westfalen_E</t>
  </si>
  <si>
    <t>DE_PP_Wilhelmshaven</t>
  </si>
  <si>
    <t>Decentral unknown oil</t>
  </si>
  <si>
    <t>DE_PP_Rest_Oil_1</t>
  </si>
  <si>
    <t>DE_PP_Rest_Oil_2</t>
  </si>
  <si>
    <t>DE_PP_Rest_Oil_3</t>
  </si>
  <si>
    <t>DE_PP_Rest_Oil_4</t>
  </si>
  <si>
    <t>DE_PP_Rest_Oil_5</t>
  </si>
  <si>
    <t>DEm_PP_DSR</t>
  </si>
  <si>
    <t>DEn_PP_DSR</t>
  </si>
  <si>
    <t>DEs_PP_DSR</t>
  </si>
  <si>
    <t>Gas_Steam_only</t>
  </si>
  <si>
    <t>DE_PP_Emden_4</t>
  </si>
  <si>
    <t>DE_PP_Emsland_B</t>
  </si>
  <si>
    <t>DE_PP_Emsland_C</t>
  </si>
  <si>
    <t>DE_PP_Franken_1_A</t>
  </si>
  <si>
    <t>DE_PP_Franken_1_B</t>
  </si>
  <si>
    <t>DE_PP_Hagen_Kabel_H4/5</t>
  </si>
  <si>
    <t>DE_PP_HKW_Kassel</t>
  </si>
  <si>
    <t>DE_PP_HKW_Pforzheim_Kombiblock</t>
  </si>
  <si>
    <t>DE_PP_HKW_Sindelfingen_Daimler_Chrysler</t>
  </si>
  <si>
    <t>DE_PP_Huckingen_A</t>
  </si>
  <si>
    <t>DE_PP_Huckingen_B</t>
  </si>
  <si>
    <t>DE_PP_IKW_Solvay_Rheinberg</t>
  </si>
  <si>
    <t>DE_PP_Kirchlengern</t>
  </si>
  <si>
    <t>DE_PP_Klingenberg_1</t>
  </si>
  <si>
    <t>DE_PP_Klingenberg_2</t>
  </si>
  <si>
    <t>DE_PP_Krefeld_DT</t>
  </si>
  <si>
    <t>DE_PP_Landesbergen_4_(Robert_Frank)</t>
  </si>
  <si>
    <t>DE_PP_Lausward_E</t>
  </si>
  <si>
    <t>DE_PP_Marl_III_311</t>
  </si>
  <si>
    <t>DE_PP_Marl_III_312</t>
  </si>
  <si>
    <t>DE_PP_München_Süd_1</t>
  </si>
  <si>
    <t>DE_PP_Oxea</t>
  </si>
  <si>
    <t>DE_PP_Hydro_ROR_m</t>
  </si>
  <si>
    <t>DE_PP_Hydro_ROR_n</t>
  </si>
  <si>
    <t>DE_PP_Hydro_ROR_s</t>
  </si>
  <si>
    <t>DE_PP_Bleiloch</t>
  </si>
  <si>
    <t>DE_PP_Erzhausen</t>
  </si>
  <si>
    <t>DE_PP_Geesthacht</t>
  </si>
  <si>
    <t>DE_PP_Glems</t>
  </si>
  <si>
    <t>DE_PP_Goldisthal</t>
  </si>
  <si>
    <t>DE_PP_Happurg</t>
  </si>
  <si>
    <t>DE_PP_Hohenwarte_I</t>
  </si>
  <si>
    <t>DE_PP_Hohenwarte_II</t>
  </si>
  <si>
    <t>DE_PP_Koepchenwerk</t>
  </si>
  <si>
    <t>DE_PP_Langenprozelten</t>
  </si>
  <si>
    <t>DE_PP_Leitzach</t>
  </si>
  <si>
    <t>DE_PP_Markersbach</t>
  </si>
  <si>
    <t>DE_PP_Pfreimd</t>
  </si>
  <si>
    <t>DE_PP_Rönkhausen</t>
  </si>
  <si>
    <t>DE_PP_Saeckingen</t>
  </si>
  <si>
    <t>DE_PP_Schluchsee</t>
  </si>
  <si>
    <t>DE_PP_Schwarzenbach</t>
  </si>
  <si>
    <t>DE_PP_Vianden</t>
  </si>
  <si>
    <t>DE_PP_Waldeck_I</t>
  </si>
  <si>
    <t>DE_PP_Waldeck_II</t>
  </si>
  <si>
    <t>DE_PP_Wehr</t>
  </si>
  <si>
    <t>DE_PP_Wendefurth</t>
  </si>
  <si>
    <t>Lignite</t>
  </si>
  <si>
    <t>DE_PP_Berrenrath</t>
  </si>
  <si>
    <t>DE_PP_Boxberg_N</t>
  </si>
  <si>
    <t>DE_PP_Boxberg_P</t>
  </si>
  <si>
    <t>DE_PP_Deuben_1</t>
  </si>
  <si>
    <t>DE_PP_Deuben_2</t>
  </si>
  <si>
    <t>DE_PP_Deuben_3</t>
  </si>
  <si>
    <t>DE_PP_FKK_Kassel</t>
  </si>
  <si>
    <t>DE_PP_Fortuna_Nord</t>
  </si>
  <si>
    <t>DE_PP_Goldenberg</t>
  </si>
  <si>
    <t>DE_PP_HKW_Chemnitz_Nord_II_B</t>
  </si>
  <si>
    <t>DE_PP_HKW_Chemnitz_Nord_II_C</t>
  </si>
  <si>
    <t>DE_PP_HKW_FFO_1</t>
  </si>
  <si>
    <t>DE_PP_HKW_Merkenich_6</t>
  </si>
  <si>
    <t>DE_PP_Jänschwalde_A</t>
  </si>
  <si>
    <t>DE_PP_Jänschwalde_B</t>
  </si>
  <si>
    <t>DE_PP_Jänschwalde_C</t>
  </si>
  <si>
    <t>DE_PP_Jänschwalde_D</t>
  </si>
  <si>
    <t>DE_PP_Lig_Unknown_Units</t>
  </si>
  <si>
    <t>DE_PP_Neurath_A</t>
  </si>
  <si>
    <t>DE_PP_Neurath_B</t>
  </si>
  <si>
    <t>DE_PP_Neurath_D</t>
  </si>
  <si>
    <t>DE_PP_Neurath_E</t>
  </si>
  <si>
    <t>DE_PP_Niederaussem_C</t>
  </si>
  <si>
    <t>DE_PP_Niederaussem_G</t>
  </si>
  <si>
    <t>DE_PP_Niederaussem_H</t>
  </si>
  <si>
    <t>DE_PP_P&amp;L_Könnern_1_und_2</t>
  </si>
  <si>
    <t>DE_PP_Wachtberg</t>
  </si>
  <si>
    <t>DE_PP_Wählitz</t>
  </si>
  <si>
    <t>DE_PP_Weisweiler_E</t>
  </si>
  <si>
    <t>DE_PP_Weisweiler_F</t>
  </si>
  <si>
    <t>DE_PP_Weisweiler_G</t>
  </si>
  <si>
    <t>DE_PP_Weisweiler_H</t>
  </si>
  <si>
    <t>Lignite new</t>
  </si>
  <si>
    <t>DE_PP_Boxberg_Q</t>
  </si>
  <si>
    <t>DE_PP_Boxberg_R</t>
  </si>
  <si>
    <t>DE_PP_Lippendorf_R</t>
  </si>
  <si>
    <t>DE_PP_Lippendorf_S</t>
  </si>
  <si>
    <t>DE_PP_Neurath_F</t>
  </si>
  <si>
    <t>DE_PP_Neurath_G</t>
  </si>
  <si>
    <t>DE_PP_Niederaussem_K</t>
  </si>
  <si>
    <t>DE_PP_Schkopau_A</t>
  </si>
  <si>
    <t>DE_PP_Schkopau_B</t>
  </si>
  <si>
    <t>DE_PP_Schwarze_Pumpe_A</t>
  </si>
  <si>
    <t>DE_PP_Schwarze_Pumpe_B</t>
  </si>
  <si>
    <t>DE_NEW DSM_m</t>
  </si>
  <si>
    <t>DE_NEW DSM_n</t>
  </si>
  <si>
    <t>DE_NEW DSM_s</t>
  </si>
  <si>
    <t>DE_NEW Gas_CCGT_m</t>
  </si>
  <si>
    <t>DE_NEW Gas_CCGT_n</t>
  </si>
  <si>
    <t>DE_NEW Gas_CCGT_s</t>
  </si>
  <si>
    <t>DE_NEW Gas_GT_m</t>
  </si>
  <si>
    <t>DE_NEW Gas_GT_n</t>
  </si>
  <si>
    <t>DE_NEW Gas_GT_s</t>
  </si>
  <si>
    <t>Nuclear</t>
  </si>
  <si>
    <t>DE_PP_Brokdorf_B</t>
  </si>
  <si>
    <t>DE_PP_Emsland_KKE</t>
  </si>
  <si>
    <t>DE_PP_Grohnde</t>
  </si>
  <si>
    <t>DE_PP_Gundremmingen_C</t>
  </si>
  <si>
    <t>DE_PP_Isar_2</t>
  </si>
  <si>
    <t>DE_PP_Neckarwestheim_2</t>
  </si>
  <si>
    <t>DE_PP_Augsburg_GT</t>
  </si>
  <si>
    <t>DE_PP_Charlottenburg_GT_2</t>
  </si>
  <si>
    <t>DE_PP_Charlottenburg_GT_3</t>
  </si>
  <si>
    <t>DE_PP_Cogeneration_Bayernoil</t>
  </si>
  <si>
    <t>DE_PP_Gas_Unknown_Units</t>
  </si>
  <si>
    <t>DE_PP_Gersteinwerk_I_GT</t>
  </si>
  <si>
    <t>DE_PP_Gersteinwerk_K1</t>
  </si>
  <si>
    <t>DE_PP_HKW_Altbach_GT_A_VGT</t>
  </si>
  <si>
    <t>DE_PP_HKW_Altbach_GT_B</t>
  </si>
  <si>
    <t>DE_PP_HKW_Altbach_GT_C</t>
  </si>
  <si>
    <t>DE_PP_HKW_Altbach_GT_E_VGT</t>
  </si>
  <si>
    <t>DE_PP_HKW_Bielefeld_Schildescher_Strasse_GT</t>
  </si>
  <si>
    <t>DE_PP_HKW_Dresden_Nossener_Brücke</t>
  </si>
  <si>
    <t>DE_PP_HKW_Duisburg_III/A</t>
  </si>
  <si>
    <t>DE_PP_HKW_Eltmann</t>
  </si>
  <si>
    <t>DE_PP_HKW_Erlangen</t>
  </si>
  <si>
    <t>DE_PP_HKW_Frankfurt_West_4</t>
  </si>
  <si>
    <t>DE_PP_HKW_Göttingen</t>
  </si>
  <si>
    <t>DE_PP_HKW_Hiltrop</t>
  </si>
  <si>
    <t>DE_PP_HKW_Höchst_GT</t>
  </si>
  <si>
    <t>DE_PP_HKW_I_(EVO)</t>
  </si>
  <si>
    <t>DE_PP_HKW_Kaiserslautern</t>
  </si>
  <si>
    <t>DE_PP_HKW_Karlruhe_West</t>
  </si>
  <si>
    <t>DE_PP_HKW_Schwarza</t>
  </si>
  <si>
    <t>DE_PP_HKW_Schwerin_Lankow</t>
  </si>
  <si>
    <t>DE_PP_HKW_Schwerin_Süd</t>
  </si>
  <si>
    <t>DE_PP_HKW_StWB</t>
  </si>
  <si>
    <t>DE_PP_HKW_Wörth</t>
  </si>
  <si>
    <t>DE_PP_Huntorf</t>
  </si>
  <si>
    <t>DE_PP_IKW_Stassfurt_1</t>
  </si>
  <si>
    <t>DE_PP_IKW_Stassfurt_2</t>
  </si>
  <si>
    <t>DE_PP_Lausward_GT_1</t>
  </si>
  <si>
    <t>DE_PP_Lausward_GT_2</t>
  </si>
  <si>
    <t>DE_PP_PKV_Kraftwerk_Varel</t>
  </si>
  <si>
    <t>DE_PP_Rest_Gas_1</t>
  </si>
  <si>
    <t>DE_PP_Rest_Gas_2</t>
  </si>
  <si>
    <t>DE_PP_Rest_Gas_3</t>
  </si>
  <si>
    <t>DE_PP_Rest_Gas_4</t>
  </si>
  <si>
    <t>DE_PP_Sasol_Kraftwerk</t>
  </si>
  <si>
    <t>DE_PP_Weisweiler_G_VGT</t>
  </si>
  <si>
    <t>DE_PP_Weisweiler_H_VGT</t>
  </si>
  <si>
    <t>DE_PP_Wesseling</t>
  </si>
  <si>
    <t>OCGT_Oil</t>
  </si>
  <si>
    <t>DE_PP_Audorf</t>
  </si>
  <si>
    <t>DE_PP_Flingern_GT</t>
  </si>
  <si>
    <t>DE_PP_Fulda</t>
  </si>
  <si>
    <t>DE_PP_Grosskayna_GT</t>
  </si>
  <si>
    <t>DE_PP_Hausham_GT_1</t>
  </si>
  <si>
    <t>DE_PP_Hausham_GT_2</t>
  </si>
  <si>
    <t>DE_PP_Hausham_GT_3</t>
  </si>
  <si>
    <t>DE_PP_Hausham_GT_4</t>
  </si>
  <si>
    <t>DE_PP_HKW-Barmen_2</t>
  </si>
  <si>
    <t>DE_PP_HKW_Stuttgart_Münster_GT16</t>
  </si>
  <si>
    <t>DE_PP_HKW_Stuttgart_Münster_GT17</t>
  </si>
  <si>
    <t>DE_PP_HKW_Stuttgart_Münster_GT18</t>
  </si>
  <si>
    <t>DE_PP_Itzehoe</t>
  </si>
  <si>
    <t>DE_PP_MiRO_1_Karlsruhe</t>
  </si>
  <si>
    <t>DE_PP_Mittelsbüren_GT_3</t>
  </si>
  <si>
    <t>DE_PP_Oil_Unknown_Units</t>
  </si>
  <si>
    <t>DE_PP_SKW_Gasturbine</t>
  </si>
  <si>
    <t>DE_PP_Walheim_GT_D</t>
  </si>
  <si>
    <t>DE_PP_Wedel_GT_A</t>
  </si>
  <si>
    <t>DE_PP_Wedel_GT_B</t>
  </si>
  <si>
    <t>DE_PP_Wilhelmshaven_GT</t>
  </si>
  <si>
    <t>DE_PP_Zolling_GT1</t>
  </si>
  <si>
    <t>DE_PP_Zolling_GT2</t>
  </si>
  <si>
    <t>Offshore_existing_nonSubsidised_extrinsic</t>
  </si>
  <si>
    <t>DEn_Offshore_existing_nonSubsidised_extrinsic</t>
  </si>
  <si>
    <t>Offshore_existing_subsidised_extrinsic</t>
  </si>
  <si>
    <t>DEn_Offshore_existing_subsidised_extrinsic</t>
  </si>
  <si>
    <t>Offshore_new2019_nonSubsidised_extrinsic</t>
  </si>
  <si>
    <t>DEn_Offshore_new2019_nonSubsidised_extrinsic</t>
  </si>
  <si>
    <t>Offshore_new2019_nonSubsidised_intrinsic</t>
  </si>
  <si>
    <t>DEn_Offshore_new2019_nonSubsidised_intrinsic</t>
  </si>
  <si>
    <t>Offshore_new2019_subsidised_extrinsic</t>
  </si>
  <si>
    <t>DEn_Offshore_new2019_subsidised_extrinsic</t>
  </si>
  <si>
    <t>Offshore_new2030_nonSubsidised_intrinsic</t>
  </si>
  <si>
    <t>DEn_Offshore_new2030_nonSubsidised_intrinsic</t>
  </si>
  <si>
    <t>Offshore_new2030_subsidised_extrinsic</t>
  </si>
  <si>
    <t>DEn_Offshore_new2030_subsidised_extrinsic</t>
  </si>
  <si>
    <t>Oil and other</t>
  </si>
  <si>
    <t>DE_PP_MiRO_2_Karlsruhe</t>
  </si>
  <si>
    <t>Onshore_existing_nonSubsidised_extrinsic</t>
  </si>
  <si>
    <t>DEm_Onshore_existing_nonSubsidised_extrinsic</t>
  </si>
  <si>
    <t>DEn_Onshore_existing_nonSubsidised_extrinsic</t>
  </si>
  <si>
    <t>DEs_Onshore_existing_nonSubsidised_extrinsic</t>
  </si>
  <si>
    <t>DEm_Onshore_existing_subsidised_extrinsic</t>
  </si>
  <si>
    <t>DEn_Onshore_existing_subsidised_extrinsic</t>
  </si>
  <si>
    <t>DEs_Onshore_existing_subsidised_extrinsic</t>
  </si>
  <si>
    <t>Onshore_new2019_nonSubsidised_extrinsic</t>
  </si>
  <si>
    <t>DEm_Onshore_new2019_nonSubsidised_extrinsic</t>
  </si>
  <si>
    <t>DEn_Onshore_new2019_nonSubsidised_extrinsic</t>
  </si>
  <si>
    <t>DEs_Onshore_new2019_nonSubsidised_extrinsic</t>
  </si>
  <si>
    <t>DEm_Onshore_new2019_nonSubsidised_intrinsic</t>
  </si>
  <si>
    <t>DEn_Onshore_new2019_nonSubsidised_intrinsic</t>
  </si>
  <si>
    <t>DEs_Onshore_new2019_nonSubsidised_intrinsic</t>
  </si>
  <si>
    <t>DEm_Onshore_new2019_subsidised_extrinsic</t>
  </si>
  <si>
    <t>DEn_Onshore_new2019_subsidised_extrinsic</t>
  </si>
  <si>
    <t>DEs_Onshore_new2019_subsidised_extrinsic</t>
  </si>
  <si>
    <t>DEm_PP_others</t>
  </si>
  <si>
    <t>DEn_PP_others</t>
  </si>
  <si>
    <t>DEs_PP_others</t>
  </si>
  <si>
    <t>Peaking Units oil</t>
  </si>
  <si>
    <t>DE_Engines</t>
  </si>
  <si>
    <t>DEm_PV_Behind-The-Meter</t>
  </si>
  <si>
    <t>DEn_PV_Behind-The-Meter</t>
  </si>
  <si>
    <t>DEs_PV_Behind-The-Meter</t>
  </si>
  <si>
    <t>DEm_PV_existing_nonSubsidised_intrinsic</t>
  </si>
  <si>
    <t>DEn_PV_existing_nonSubsidised_intrinsic</t>
  </si>
  <si>
    <t>DEs_PV_existing_nonSubsidised_intrinsic</t>
  </si>
  <si>
    <t>PV_existing_subsidised_extrinsic</t>
  </si>
  <si>
    <t>DEm_PV_existing_subsidised_extrinsic</t>
  </si>
  <si>
    <t>DEn_PV_existing_subsidised_extrinsic</t>
  </si>
  <si>
    <t>DEs_PV_existing_subsidised_extrinsic</t>
  </si>
  <si>
    <t>Date</t>
  </si>
  <si>
    <t>NWST</t>
  </si>
  <si>
    <t>LWST</t>
  </si>
  <si>
    <t>HWST</t>
  </si>
  <si>
    <t>DE Onshore 2886 BR 52.0 13.125 Generator 70M NWST</t>
  </si>
  <si>
    <t>DE Onshore 2977 BR 52.5 14.375 Generator 70M NWST</t>
  </si>
  <si>
    <t>DE Onshore 3062 BR 53.0 11.875 Generator 70M NWST</t>
  </si>
  <si>
    <t>DE Onshore 3064 BR 53.0 13.125 Generator 70M NWST</t>
  </si>
  <si>
    <t>DE Onshore 2168 BW 48.0 9.375 Generator 70M NWST</t>
  </si>
  <si>
    <t>DE Onshore 2255 BW 48.5 8.125 Generator 70M NWST</t>
  </si>
  <si>
    <t>DE Onshore 2435 BW 49.5 9.375 Generator 70M NWST</t>
  </si>
  <si>
    <t>DE Onshore 2170 BY 48.0 10.625 Generator 70M NWST</t>
  </si>
  <si>
    <t>DE Onshore 2172 BY 48.0 11.875 Generator 70M NWST</t>
  </si>
  <si>
    <t>DE Onshore 2262 BY 48.5 12.5 Generator 70M NWST</t>
  </si>
  <si>
    <t>DE Onshore 2348 BY 49.0 10.625 Generator 70M NWST</t>
  </si>
  <si>
    <t>DE Onshore 2438 BY 49.5 11.25 Generator 70M NWST</t>
  </si>
  <si>
    <t>DE Onshore 2440 BY 49.5 12.5 Generator 70M NWST</t>
  </si>
  <si>
    <t>DE Onshore 2613 HE 50.5 9.375 Generator 70M NWST</t>
  </si>
  <si>
    <t>DE Onshore 2701 HE 51.0 8.75 Generator 70M NWST</t>
  </si>
  <si>
    <t>DE Onshore 3151 MV 53.5 11.875 Generator 70M NWST</t>
  </si>
  <si>
    <t>DE Onshore 3242 MV 54.0 13.125 Generator 70M NWST</t>
  </si>
  <si>
    <t>DE Onshore 2608 NRW 50.5 6.25 Generator 70M NWST</t>
  </si>
  <si>
    <t>DE Onshore 2697 NRW 51.0 6.25 Generator 70M NWST</t>
  </si>
  <si>
    <t>DE Onshore 2698 NRW 51.0 6.875 Generator 70M NWST</t>
  </si>
  <si>
    <t>DE Onshore 2699 NRW 51.0 7.5 Generator 70M NWST</t>
  </si>
  <si>
    <t>DE Onshore 2787 NRW 51.5 6.875 Generator 70M NWST</t>
  </si>
  <si>
    <t>DE Onshore 2788 NRW 51.5 7.5 Generator 70M NWST</t>
  </si>
  <si>
    <t>DE Onshore 2789 NRW 51.5 8.125 Generator 70M NWST</t>
  </si>
  <si>
    <t>DE Onshore 2790 NRW 51.5 8.75 Generator 70M NWST</t>
  </si>
  <si>
    <t>DE Onshore 2878 NRW 52.0 8.125 Generator 70M NWST</t>
  </si>
  <si>
    <t>DE Onshore 2792 NS 51.5 10.0 Generator 70M NWST</t>
  </si>
  <si>
    <t>DE Onshore 2880 NS 52.0 9.375 Generator 70M NWST</t>
  </si>
  <si>
    <t>DE Onshore 2881 NS 52.0 10.0 Generator 70M NWST</t>
  </si>
  <si>
    <t>DE Onshore 2966 NS 52.5 7.5 Generator 70M NWST</t>
  </si>
  <si>
    <t>DE Onshore 2970 NS 52.5 10.0 Generator 70M NWST</t>
  </si>
  <si>
    <t>DE Onshore 2971 NS 52.5 10.625 Generator 70M NWST</t>
  </si>
  <si>
    <t>DE Onshore 3055 NS 53.0 7.5 Generator 70M NWST</t>
  </si>
  <si>
    <t>DE Onshore 3057 NS 53.0 8.75 Generator 70M NWST</t>
  </si>
  <si>
    <t>DE Onshore 3058 NS 53.0 9.375 Generator 70M NWST</t>
  </si>
  <si>
    <t>DE Onshore 3059 NS 53.0 10.0 Generator 70M NWST</t>
  </si>
  <si>
    <t>DE Onshore 3147 NS 53.5 9.375 Generator 70M NWST</t>
  </si>
  <si>
    <t>DE Onshore 2433 RLF 49.5 8.125 Generator 70M NWST</t>
  </si>
  <si>
    <t>DE Onshore 2519 RLF 50.0 6.25 Generator 70M NWST</t>
  </si>
  <si>
    <t>DE Onshore 2520 RLF 50.0 6.875 Generator 70M NWST</t>
  </si>
  <si>
    <t>DE Onshore 2521 RLF 50.0 7.5 Generator 70M NWST</t>
  </si>
  <si>
    <t>DE Onshore 2610 RLF 50.5 7.5 Generator 70M NWST</t>
  </si>
  <si>
    <t>DE Onshore 2883 SA 52.0 11.25 Generator 70M NWST</t>
  </si>
  <si>
    <t>DE Onshore 2885 SA 52.0 12.5 Generator 70M NWST</t>
  </si>
  <si>
    <t>DE Onshore 2972 SA 52.5 11.25 Generator 70M NWST</t>
  </si>
  <si>
    <t>DE Onshore 2973 SA 52.5 11.875 Generator 70M NWST</t>
  </si>
  <si>
    <t>DE Onshore 3148 SH 53.5 10.0 Generator 70M NWST</t>
  </si>
  <si>
    <t>DE Onshore 3149 SH 53.5 10.625 Generator 70M NWST</t>
  </si>
  <si>
    <t>DE Onshore 3236 SH 54.0 9.375 Generator 70M NWST</t>
  </si>
  <si>
    <t>DE Onshore 3238 SH 54.0 10.625 Generator 70M NWST</t>
  </si>
  <si>
    <t>DE Onshore 3325 SH 54.5 9.375 Generator 70M NWST</t>
  </si>
  <si>
    <t>DE Onshore 2431 SL 49.5 6.875 Generator 70M NWST</t>
  </si>
  <si>
    <t>DE Onshore 2794 ST 51.5 11.25 Generator 70M NWST</t>
  </si>
  <si>
    <t>DE Onshore 2797 SX 51.5 13.125 Generator 70M NWST</t>
  </si>
  <si>
    <t>DE Onshore 2799 SX 51.5 14.375 Generator 70M NWST</t>
  </si>
  <si>
    <t>DE Onshore 2617 TH 50.5 11.875 Generator 70M NWST</t>
  </si>
  <si>
    <t>DE Onshore 2703 TH 51.0 10.0 Generator 70M NWST</t>
  </si>
  <si>
    <t>DE Onshore 2886 BR 52.0 13.125 Generator 85M NWST</t>
  </si>
  <si>
    <t>DE Onshore 2977 BR 52.5 14.375 Generator 85M NWST</t>
  </si>
  <si>
    <t>DE Onshore 3062 BR 53.0 11.875 Generator 85M NWST</t>
  </si>
  <si>
    <t>DE Onshore 3064 BR 53.0 13.125 Generator 85M NWST</t>
  </si>
  <si>
    <t>DE Onshore 2168 BW 48.0 9.375 Generator 85M NWST</t>
  </si>
  <si>
    <t>DE Onshore 2255 BW 48.5 8.125 Generator 85M NWST</t>
  </si>
  <si>
    <t>DE Onshore 2435 BW 49.5 9.375 Generator 85M NWST</t>
  </si>
  <si>
    <t>DE Onshore 2170 BY 48.0 10.625 Generator 85M NWST</t>
  </si>
  <si>
    <t>DE Onshore 2172 BY 48.0 11.875 Generator 85M NWST</t>
  </si>
  <si>
    <t>DE Onshore 2262 BY 48.5 12.5 Generator 85M NWST</t>
  </si>
  <si>
    <t>DE Onshore 2348 BY 49.0 10.625 Generator 85M NWST</t>
  </si>
  <si>
    <t>DE Onshore 2438 BY 49.5 11.25 Generator 85M NWST</t>
  </si>
  <si>
    <t>DE Onshore 2440 BY 49.5 12.5 Generator 85M NWST</t>
  </si>
  <si>
    <t>DE Onshore 2613 HE 50.5 9.375 Generator 85M NWST</t>
  </si>
  <si>
    <t>DE Onshore 2701 HE 51.0 8.75 Generator 85M NWST</t>
  </si>
  <si>
    <t>DE Onshore 3151 MV 53.5 11.875 Generator 85M NWST</t>
  </si>
  <si>
    <t>DE Onshore 3242 MV 54.0 13.125 Generator 85M NWST</t>
  </si>
  <si>
    <t>DE Onshore 2608 NRW 50.5 6.25 Generator 85M NWST</t>
  </si>
  <si>
    <t>DE Onshore 2697 NRW 51.0 6.25 Generator 85M NWST</t>
  </si>
  <si>
    <t>DE Onshore 2698 NRW 51.0 6.875 Generator 85M NWST</t>
  </si>
  <si>
    <t>DE Onshore 2699 NRW 51.0 7.5 Generator 85M NWST</t>
  </si>
  <si>
    <t>DE Onshore 2787 NRW 51.5 6.875 Generator 85M NWST</t>
  </si>
  <si>
    <t>DE Onshore 2788 NRW 51.5 7.5 Generator 85M NWST</t>
  </si>
  <si>
    <t>DE Onshore 2789 NRW 51.5 8.125 Generator 85M NWST</t>
  </si>
  <si>
    <t>DE Onshore 2790 NRW 51.5 8.75 Generator 85M NWST</t>
  </si>
  <si>
    <t>DE Onshore 2878 NRW 52.0 8.125 Generator 85M NWST</t>
  </si>
  <si>
    <t>DE Onshore 2792 NS 51.5 10.0 Generator 85M NWST</t>
  </si>
  <si>
    <t>DE Onshore 2880 NS 52.0 9.375 Generator 85M NWST</t>
  </si>
  <si>
    <t>DE Onshore 2881 NS 52.0 10.0 Generator 85M NWST</t>
  </si>
  <si>
    <t>DE Onshore 2966 NS 52.5 7.5 Generator 85M NWST</t>
  </si>
  <si>
    <t>DE Onshore 2970 NS 52.5 10.0 Generator 85M NWST</t>
  </si>
  <si>
    <t>DE Onshore 2971 NS 52.5 10.625 Generator 85M NWST</t>
  </si>
  <si>
    <t>DE Onshore 3055 NS 53.0 7.5 Generator 85M NWST</t>
  </si>
  <si>
    <t>DE Onshore 3057 NS 53.0 8.75 Generator 85M NWST</t>
  </si>
  <si>
    <t>DE Onshore 3058 NS 53.0 9.375 Generator 85M NWST</t>
  </si>
  <si>
    <t>DE Onshore 3059 NS 53.0 10.0 Generator 85M NWST</t>
  </si>
  <si>
    <t>DE Onshore 3147 NS 53.5 9.375 Generator 85M NWST</t>
  </si>
  <si>
    <t>DE Onshore 2433 RLF 49.5 8.125 Generator 85M NWST</t>
  </si>
  <si>
    <t>DE Onshore 2519 RLF 50.0 6.25 Generator 85M NWST</t>
  </si>
  <si>
    <t>DE Onshore 2520 RLF 50.0 6.875 Generator 85M NWST</t>
  </si>
  <si>
    <t>DE Onshore 2521 RLF 50.0 7.5 Generator 85M NWST</t>
  </si>
  <si>
    <t>DE Onshore 2610 RLF 50.5 7.5 Generator 85M NWST</t>
  </si>
  <si>
    <t>DE Onshore 2883 SA 52.0 11.25 Generator 85M NWST</t>
  </si>
  <si>
    <t>DE Onshore 2885 SA 52.0 12.5 Generator 85M NWST</t>
  </si>
  <si>
    <t>DE Onshore 2972 SA 52.5 11.25 Generator 85M NWST</t>
  </si>
  <si>
    <t>DE Onshore 2973 SA 52.5 11.875 Generator 85M NWST</t>
  </si>
  <si>
    <t>DE Onshore 3148 SH 53.5 10.0 Generator 85M NWST</t>
  </si>
  <si>
    <t>DE Onshore 3149 SH 53.5 10.625 Generator 85M NWST</t>
  </si>
  <si>
    <t>DE Onshore 3236 SH 54.0 9.375 Generator 85M NWST</t>
  </si>
  <si>
    <t>DE Onshore 3238 SH 54.0 10.625 Generator 85M NWST</t>
  </si>
  <si>
    <t>DE Onshore 3325 SH 54.5 9.375 Generator 85M NWST</t>
  </si>
  <si>
    <t>DE Onshore 2431 SL 49.5 6.875 Generator 85M NWST</t>
  </si>
  <si>
    <t>DE Onshore 2794 ST 51.5 11.25 Generator 85M NWST</t>
  </si>
  <si>
    <t>DE Onshore 2797 SX 51.5 13.125 Generator 85M NWST</t>
  </si>
  <si>
    <t>DE Onshore 2799 SX 51.5 14.375 Generator 85M NWST</t>
  </si>
  <si>
    <t>DE Onshore 2617 TH 50.5 11.875 Generator 85M NWST</t>
  </si>
  <si>
    <t>DE Onshore 2703 TH 51.0 10.0 Generator 85M NWST</t>
  </si>
  <si>
    <t>DE Onshore 2886 BR 52.0 13.125 Generator 100M NWST</t>
  </si>
  <si>
    <t>DE Onshore 2977 BR 52.5 14.375 Generator 100M NWST</t>
  </si>
  <si>
    <t>DE Onshore 3062 BR 53.0 11.875 Generator 100M NWST</t>
  </si>
  <si>
    <t>DE Onshore 3064 BR 53.0 13.125 Generator 100M NWST</t>
  </si>
  <si>
    <t>DE Onshore 2168 BW 48.0 9.375 Generator 100M NWST</t>
  </si>
  <si>
    <t>DE Onshore 2255 BW 48.5 8.125 Generator 100M NWST</t>
  </si>
  <si>
    <t>DE Onshore 2435 BW 49.5 9.375 Generator 100M NWST</t>
  </si>
  <si>
    <t>DE Onshore 2170 BY 48.0 10.625 Generator 100M NWST</t>
  </si>
  <si>
    <t>DE Onshore 2172 BY 48.0 11.875 Generator 100M NWST</t>
  </si>
  <si>
    <t>DE Onshore 2262 BY 48.5 12.5 Generator 100M NWST</t>
  </si>
  <si>
    <t>DE Onshore 2348 BY 49.0 10.625 Generator 100M NWST</t>
  </si>
  <si>
    <t>DE Onshore 2438 BY 49.5 11.25 Generator 100M NWST</t>
  </si>
  <si>
    <t>DE Onshore 2440 BY 49.5 12.5 Generator 100M NWST</t>
  </si>
  <si>
    <t>DE Onshore 2613 HE 50.5 9.375 Generator 100M NWST</t>
  </si>
  <si>
    <t>DE Onshore 2701 HE 51.0 8.75 Generator 100M NWST</t>
  </si>
  <si>
    <t>DE Onshore 3151 MV 53.5 11.875 Generator 100M NWST</t>
  </si>
  <si>
    <t>DE Onshore 3242 MV 54.0 13.125 Generator 100M NWST</t>
  </si>
  <si>
    <t>DE Onshore 2608 NRW 50.5 6.25 Generator 100M NWST</t>
  </si>
  <si>
    <t>DE Onshore 2697 NRW 51.0 6.25 Generator 100M NWST</t>
  </si>
  <si>
    <t>DE Onshore 2698 NRW 51.0 6.875 Generator 100M NWST</t>
  </si>
  <si>
    <t>DE Onshore 2699 NRW 51.0 7.5 Generator 100M NWST</t>
  </si>
  <si>
    <t>DE Onshore 2787 NRW 51.5 6.875 Generator 100M NWST</t>
  </si>
  <si>
    <t>DE Onshore 2788 NRW 51.5 7.5 Generator 100M NWST</t>
  </si>
  <si>
    <t>DE Onshore 2789 NRW 51.5 8.125 Generator 100M NWST</t>
  </si>
  <si>
    <t>DE Onshore 2790 NRW 51.5 8.75 Generator 100M NWST</t>
  </si>
  <si>
    <t>DE Onshore 2878 NRW 52.0 8.125 Generator 100M NWST</t>
  </si>
  <si>
    <t>DE Onshore 2792 NS 51.5 10.0 Generator 100M NWST</t>
  </si>
  <si>
    <t>DE Onshore 2880 NS 52.0 9.375 Generator 100M NWST</t>
  </si>
  <si>
    <t>DE Onshore 2881 NS 52.0 10.0 Generator 100M NWST</t>
  </si>
  <si>
    <t>DE Onshore 2966 NS 52.5 7.5 Generator 100M NWST</t>
  </si>
  <si>
    <t>DE Onshore 2970 NS 52.5 10.0 Generator 100M NWST</t>
  </si>
  <si>
    <t>DE Onshore 2971 NS 52.5 10.625 Generator 100M NWST</t>
  </si>
  <si>
    <t>DE Onshore 3055 NS 53.0 7.5 Generator 100M NWST</t>
  </si>
  <si>
    <t>DE Onshore 3057 NS 53.0 8.75 Generator 100M NWST</t>
  </si>
  <si>
    <t>DE Onshore 3058 NS 53.0 9.375 Generator 100M NWST</t>
  </si>
  <si>
    <t>DE Onshore 3059 NS 53.0 10.0 Generator 100M NWST</t>
  </si>
  <si>
    <t>DE Onshore 3147 NS 53.5 9.375 Generator 100M NWST</t>
  </si>
  <si>
    <t>DE Onshore 2433 RLF 49.5 8.125 Generator 100M NWST</t>
  </si>
  <si>
    <t>DE Onshore 2519 RLF 50.0 6.25 Generator 100M NWST</t>
  </si>
  <si>
    <t>DE Onshore 2520 RLF 50.0 6.875 Generator 100M NWST</t>
  </si>
  <si>
    <t>DE Onshore 2521 RLF 50.0 7.5 Generator 100M NWST</t>
  </si>
  <si>
    <t>DE Onshore 2610 RLF 50.5 7.5 Generator 100M NWST</t>
  </si>
  <si>
    <t>DE Onshore 2883 SA 52.0 11.25 Generator 100M NWST</t>
  </si>
  <si>
    <t>DE Onshore 2885 SA 52.0 12.5 Generator 100M NWST</t>
  </si>
  <si>
    <t>DE Onshore 2972 SA 52.5 11.25 Generator 100M NWST</t>
  </si>
  <si>
    <t>DE Onshore 2973 SA 52.5 11.875 Generator 100M NWST</t>
  </si>
  <si>
    <t>DE Onshore 3148 SH 53.5 10.0 Generator 100M NWST</t>
  </si>
  <si>
    <t>DE Onshore 3149 SH 53.5 10.625 Generator 100M NWST</t>
  </si>
  <si>
    <t>DE Onshore 3236 SH 54.0 9.375 Generator 100M NWST</t>
  </si>
  <si>
    <t>DE Onshore 3238 SH 54.0 10.625 Generator 100M NWST</t>
  </si>
  <si>
    <t>DE Onshore 3325 SH 54.5 9.375 Generator 100M NWST</t>
  </si>
  <si>
    <t>DE Onshore 2431 SL 49.5 6.875 Generator 100M NWST</t>
  </si>
  <si>
    <t>DE Onshore 2794 ST 51.5 11.25 Generator 100M NWST</t>
  </si>
  <si>
    <t>DE Onshore 2797 SX 51.5 13.125 Generator 100M NWST</t>
  </si>
  <si>
    <t>DE Onshore 2799 SX 51.5 14.375 Generator 100M NWST</t>
  </si>
  <si>
    <t>DE Onshore 2617 TH 50.5 11.875 Generator 100M NWST</t>
  </si>
  <si>
    <t>DE Onshore 2703 TH 51.0 10.0 Generator 100M NWST</t>
  </si>
  <si>
    <t>DE Onshore 2886 BR 52.0 13.125 Generator 70M LWST</t>
  </si>
  <si>
    <t>DE Onshore 2977 BR 52.5 14.375 Generator 70M LWST</t>
  </si>
  <si>
    <t>DE Onshore 3062 BR 53.0 11.875 Generator 70M LWST</t>
  </si>
  <si>
    <t>DE Onshore 3064 BR 53.0 13.125 Generator 70M LWST</t>
  </si>
  <si>
    <t>DE Onshore 2168 BW 48.0 9.375 Generator 70M LWST</t>
  </si>
  <si>
    <t>DE Onshore 2255 BW 48.5 8.125 Generator 70M LWST</t>
  </si>
  <si>
    <t>DE Onshore 2435 BW 49.5 9.375 Generator 70M LWST</t>
  </si>
  <si>
    <t>DE Onshore 2170 BY 48.0 10.625 Generator 70M LWST</t>
  </si>
  <si>
    <t>DE Onshore 2172 BY 48.0 11.875 Generator 70M LWST</t>
  </si>
  <si>
    <t>DE Onshore 2262 BY 48.5 12.5 Generator 70M LWST</t>
  </si>
  <si>
    <t>DE Onshore 2348 BY 49.0 10.625 Generator 70M LWST</t>
  </si>
  <si>
    <t>DE Onshore 2438 BY 49.5 11.25 Generator 70M LWST</t>
  </si>
  <si>
    <t>DE Onshore 2440 BY 49.5 12.5 Generator 70M LWST</t>
  </si>
  <si>
    <t>DE Onshore 2613 HE 50.5 9.375 Generator 70M LWST</t>
  </si>
  <si>
    <t>DE Onshore 2701 HE 51.0 8.75 Generator 70M LWST</t>
  </si>
  <si>
    <t>DE Onshore 3151 MV 53.5 11.875 Generator 70M LWST</t>
  </si>
  <si>
    <t>DE Onshore 3242 MV 54.0 13.125 Generator 70M LWST</t>
  </si>
  <si>
    <t>DE Onshore 2608 NRW 50.5 6.25 Generator 70M LWST</t>
  </si>
  <si>
    <t>DE Onshore 2697 NRW 51.0 6.25 Generator 70M LWST</t>
  </si>
  <si>
    <t>DE Onshore 2698 NRW 51.0 6.875 Generator 70M LWST</t>
  </si>
  <si>
    <t>DE Onshore 2699 NRW 51.0 7.5 Generator 70M LWST</t>
  </si>
  <si>
    <t>DE Onshore 2787 NRW 51.5 6.875 Generator 70M LWST</t>
  </si>
  <si>
    <t>DE Onshore 2788 NRW 51.5 7.5 Generator 70M LWST</t>
  </si>
  <si>
    <t>DE Onshore 2789 NRW 51.5 8.125 Generator 70M LWST</t>
  </si>
  <si>
    <t>DE Onshore 2790 NRW 51.5 8.75 Generator 70M LWST</t>
  </si>
  <si>
    <t>DE Onshore 2878 NRW 52.0 8.125 Generator 70M LWST</t>
  </si>
  <si>
    <t>DE Onshore 2792 NS 51.5 10.0 Generator 70M LWST</t>
  </si>
  <si>
    <t>DE Onshore 2880 NS 52.0 9.375 Generator 70M LWST</t>
  </si>
  <si>
    <t>DE Onshore 2881 NS 52.0 10.0 Generator 70M LWST</t>
  </si>
  <si>
    <t>DE Onshore 2966 NS 52.5 7.5 Generator 70M LWST</t>
  </si>
  <si>
    <t>DE Onshore 2970 NS 52.5 10.0 Generator 70M LWST</t>
  </si>
  <si>
    <t>DE Onshore 2971 NS 52.5 10.625 Generator 70M LWST</t>
  </si>
  <si>
    <t>DE Onshore 3055 NS 53.0 7.5 Generator 70M LWST</t>
  </si>
  <si>
    <t>DE Onshore 3057 NS 53.0 8.75 Generator 70M LWST</t>
  </si>
  <si>
    <t>DE Onshore 3058 NS 53.0 9.375 Generator 70M LWST</t>
  </si>
  <si>
    <t>DE Onshore 3059 NS 53.0 10.0 Generator 70M LWST</t>
  </si>
  <si>
    <t>DE Onshore 3147 NS 53.5 9.375 Generator 70M LWST</t>
  </si>
  <si>
    <t>DE Onshore 2433 RLF 49.5 8.125 Generator 70M LWST</t>
  </si>
  <si>
    <t>DE Onshore 2519 RLF 50.0 6.25 Generator 70M LWST</t>
  </si>
  <si>
    <t>DE Onshore 2520 RLF 50.0 6.875 Generator 70M LWST</t>
  </si>
  <si>
    <t>DE Onshore 2521 RLF 50.0 7.5 Generator 70M LWST</t>
  </si>
  <si>
    <t>DE Onshore 2610 RLF 50.5 7.5 Generator 70M LWST</t>
  </si>
  <si>
    <t>DE Onshore 2883 SA 52.0 11.25 Generator 70M LWST</t>
  </si>
  <si>
    <t>DE Onshore 2885 SA 52.0 12.5 Generator 70M LWST</t>
  </si>
  <si>
    <t>DE Onshore 2972 SA 52.5 11.25 Generator 70M LWST</t>
  </si>
  <si>
    <t>DE Onshore 2973 SA 52.5 11.875 Generator 70M LWST</t>
  </si>
  <si>
    <t>DE Onshore 3148 SH 53.5 10.0 Generator 70M LWST</t>
  </si>
  <si>
    <t>DE Onshore 3149 SH 53.5 10.625 Generator 70M LWST</t>
  </si>
  <si>
    <t>DE Onshore 3236 SH 54.0 9.375 Generator 70M LWST</t>
  </si>
  <si>
    <t>DE Onshore 3238 SH 54.0 10.625 Generator 70M LWST</t>
  </si>
  <si>
    <t>DE Onshore 3325 SH 54.5 9.375 Generator 70M LWST</t>
  </si>
  <si>
    <t>DE Onshore 2431 SL 49.5 6.875 Generator 70M LWST</t>
  </si>
  <si>
    <t>DE Onshore 2794 ST 51.5 11.25 Generator 70M LWST</t>
  </si>
  <si>
    <t>DE Onshore 2797 SX 51.5 13.125 Generator 70M LWST</t>
  </si>
  <si>
    <t>DE Onshore 2799 SX 51.5 14.375 Generator 70M LWST</t>
  </si>
  <si>
    <t>DE Onshore 2617 TH 50.5 11.875 Generator 70M LWST</t>
  </si>
  <si>
    <t>DE Onshore 2703 TH 51.0 10.0 Generator 70M LWST</t>
  </si>
  <si>
    <t>DE Onshore 2886 BR 52.0 13.125 Generator 85M LWST</t>
  </si>
  <si>
    <t>DE Onshore 2977 BR 52.5 14.375 Generator 85M LWST</t>
  </si>
  <si>
    <t>DE Onshore 3062 BR 53.0 11.875 Generator 85M LWST</t>
  </si>
  <si>
    <t>DE Onshore 3064 BR 53.0 13.125 Generator 85M LWST</t>
  </si>
  <si>
    <t>DE Onshore 2168 BW 48.0 9.375 Generator 85M LWST</t>
  </si>
  <si>
    <t>DE Onshore 2255 BW 48.5 8.125 Generator 85M LWST</t>
  </si>
  <si>
    <t>DE Onshore 2435 BW 49.5 9.375 Generator 85M LWST</t>
  </si>
  <si>
    <t>DE Onshore 2170 BY 48.0 10.625 Generator 85M LWST</t>
  </si>
  <si>
    <t>DE Onshore 2172 BY 48.0 11.875 Generator 85M LWST</t>
  </si>
  <si>
    <t>DE Onshore 2262 BY 48.5 12.5 Generator 85M LWST</t>
  </si>
  <si>
    <t>DE Onshore 2348 BY 49.0 10.625 Generator 85M LWST</t>
  </si>
  <si>
    <t>DE Onshore 2438 BY 49.5 11.25 Generator 85M LWST</t>
  </si>
  <si>
    <t>DE Onshore 2440 BY 49.5 12.5 Generator 85M LWST</t>
  </si>
  <si>
    <t>DE Onshore 2613 HE 50.5 9.375 Generator 85M LWST</t>
  </si>
  <si>
    <t>DE Onshore 2701 HE 51.0 8.75 Generator 85M LWST</t>
  </si>
  <si>
    <t>DE Onshore 3151 MV 53.5 11.875 Generator 85M LWST</t>
  </si>
  <si>
    <t>DE Onshore 3242 MV 54.0 13.125 Generator 85M LWST</t>
  </si>
  <si>
    <t>DE Onshore 2608 NRW 50.5 6.25 Generator 85M LWST</t>
  </si>
  <si>
    <t>DE Onshore 2697 NRW 51.0 6.25 Generator 85M LWST</t>
  </si>
  <si>
    <t>DE Onshore 2698 NRW 51.0 6.875 Generator 85M LWST</t>
  </si>
  <si>
    <t>DE Onshore 2699 NRW 51.0 7.5 Generator 85M LWST</t>
  </si>
  <si>
    <t>DE Onshore 2787 NRW 51.5 6.875 Generator 85M LWST</t>
  </si>
  <si>
    <t>DE Onshore 2788 NRW 51.5 7.5 Generator 85M LWST</t>
  </si>
  <si>
    <t>DE Onshore 2789 NRW 51.5 8.125 Generator 85M LWST</t>
  </si>
  <si>
    <t>DE Onshore 2790 NRW 51.5 8.75 Generator 85M LWST</t>
  </si>
  <si>
    <t>DE Onshore 2878 NRW 52.0 8.125 Generator 85M LWST</t>
  </si>
  <si>
    <t>DE Onshore 2792 NS 51.5 10.0 Generator 85M LWST</t>
  </si>
  <si>
    <t>DE Onshore 2880 NS 52.0 9.375 Generator 85M LWST</t>
  </si>
  <si>
    <t>DE Onshore 2881 NS 52.0 10.0 Generator 85M LWST</t>
  </si>
  <si>
    <t>DE Onshore 2966 NS 52.5 7.5 Generator 85M LWST</t>
  </si>
  <si>
    <t>DE Onshore 2970 NS 52.5 10.0 Generator 85M LWST</t>
  </si>
  <si>
    <t>DE Onshore 2971 NS 52.5 10.625 Generator 85M LWST</t>
  </si>
  <si>
    <t>DE Onshore 3055 NS 53.0 7.5 Generator 85M LWST</t>
  </si>
  <si>
    <t>DE Onshore 3057 NS 53.0 8.75 Generator 85M LWST</t>
  </si>
  <si>
    <t>DE Onshore 3058 NS 53.0 9.375 Generator 85M LWST</t>
  </si>
  <si>
    <t>DE Onshore 3059 NS 53.0 10.0 Generator 85M LWST</t>
  </si>
  <si>
    <t>DE Onshore 3147 NS 53.5 9.375 Generator 85M LWST</t>
  </si>
  <si>
    <t>DE Onshore 2433 RLF 49.5 8.125 Generator 85M LWST</t>
  </si>
  <si>
    <t>DE Onshore 2519 RLF 50.0 6.25 Generator 85M LWST</t>
  </si>
  <si>
    <t>DE Onshore 2520 RLF 50.0 6.875 Generator 85M LWST</t>
  </si>
  <si>
    <t>DE Onshore 2521 RLF 50.0 7.5 Generator 85M LWST</t>
  </si>
  <si>
    <t>DE Onshore 2610 RLF 50.5 7.5 Generator 85M LWST</t>
  </si>
  <si>
    <t>DE Onshore 2883 SA 52.0 11.25 Generator 85M LWST</t>
  </si>
  <si>
    <t>DE Onshore 2885 SA 52.0 12.5 Generator 85M LWST</t>
  </si>
  <si>
    <t>DE Onshore 2972 SA 52.5 11.25 Generator 85M LWST</t>
  </si>
  <si>
    <t>DE Onshore 2973 SA 52.5 11.875 Generator 85M LWST</t>
  </si>
  <si>
    <t>DE Onshore 3148 SH 53.5 10.0 Generator 85M LWST</t>
  </si>
  <si>
    <t>DE Onshore 3149 SH 53.5 10.625 Generator 85M LWST</t>
  </si>
  <si>
    <t>DE Onshore 3236 SH 54.0 9.375 Generator 85M LWST</t>
  </si>
  <si>
    <t>DE Onshore 3238 SH 54.0 10.625 Generator 85M LWST</t>
  </si>
  <si>
    <t>DE Onshore 3325 SH 54.5 9.375 Generator 85M LWST</t>
  </si>
  <si>
    <t>DE Onshore 2431 SL 49.5 6.875 Generator 85M LWST</t>
  </si>
  <si>
    <t>DE Onshore 2794 ST 51.5 11.25 Generator 85M LWST</t>
  </si>
  <si>
    <t>DE Onshore 2797 SX 51.5 13.125 Generator 85M LWST</t>
  </si>
  <si>
    <t>DE Onshore 2799 SX 51.5 14.375 Generator 85M LWST</t>
  </si>
  <si>
    <t>DE Onshore 2617 TH 50.5 11.875 Generator 85M LWST</t>
  </si>
  <si>
    <t>DE Onshore 2703 TH 51.0 10.0 Generator 85M LWST</t>
  </si>
  <si>
    <t>DE Onshore 2886 BR 52.0 13.125 Generator 100M LWST</t>
  </si>
  <si>
    <t>DE Onshore 2977 BR 52.5 14.375 Generator 100M LWST</t>
  </si>
  <si>
    <t>DE Onshore 3062 BR 53.0 11.875 Generator 100M LWST</t>
  </si>
  <si>
    <t>DE Onshore 3064 BR 53.0 13.125 Generator 100M LWST</t>
  </si>
  <si>
    <t>DE Onshore 2168 BW 48.0 9.375 Generator 100M LWST</t>
  </si>
  <si>
    <t>DE Onshore 2255 BW 48.5 8.125 Generator 100M LWST</t>
  </si>
  <si>
    <t>DE Onshore 2435 BW 49.5 9.375 Generator 100M LWST</t>
  </si>
  <si>
    <t>DE Onshore 2170 BY 48.0 10.625 Generator 100M LWST</t>
  </si>
  <si>
    <t>DE Onshore 2172 BY 48.0 11.875 Generator 100M LWST</t>
  </si>
  <si>
    <t>DE Onshore 2262 BY 48.5 12.5 Generator 100M LWST</t>
  </si>
  <si>
    <t>DE Onshore 2348 BY 49.0 10.625 Generator 100M LWST</t>
  </si>
  <si>
    <t>DE Onshore 2438 BY 49.5 11.25 Generator 100M LWST</t>
  </si>
  <si>
    <t>DE Onshore 2440 BY 49.5 12.5 Generator 100M LWST</t>
  </si>
  <si>
    <t>DE Onshore 2613 HE 50.5 9.375 Generator 100M LWST</t>
  </si>
  <si>
    <t>DE Onshore 2701 HE 51.0 8.75 Generator 100M LWST</t>
  </si>
  <si>
    <t>DE Onshore 3151 MV 53.5 11.875 Generator 100M LWST</t>
  </si>
  <si>
    <t>DE Onshore 3242 MV 54.0 13.125 Generator 100M LWST</t>
  </si>
  <si>
    <t>DE Onshore 2608 NRW 50.5 6.25 Generator 100M LWST</t>
  </si>
  <si>
    <t>DE Onshore 2697 NRW 51.0 6.25 Generator 100M LWST</t>
  </si>
  <si>
    <t>DE Onshore 2698 NRW 51.0 6.875 Generator 100M LWST</t>
  </si>
  <si>
    <t>DE Onshore 2699 NRW 51.0 7.5 Generator 100M LWST</t>
  </si>
  <si>
    <t>DE Onshore 2787 NRW 51.5 6.875 Generator 100M LWST</t>
  </si>
  <si>
    <t>DE Onshore 2788 NRW 51.5 7.5 Generator 100M LWST</t>
  </si>
  <si>
    <t>DE Onshore 2789 NRW 51.5 8.125 Generator 100M LWST</t>
  </si>
  <si>
    <t>DE Onshore 2790 NRW 51.5 8.75 Generator 100M LWST</t>
  </si>
  <si>
    <t>DE Onshore 2878 NRW 52.0 8.125 Generator 100M LWST</t>
  </si>
  <si>
    <t>DE Onshore 2792 NS 51.5 10.0 Generator 100M LWST</t>
  </si>
  <si>
    <t>DE Onshore 2880 NS 52.0 9.375 Generator 100M LWST</t>
  </si>
  <si>
    <t>DE Onshore 2881 NS 52.0 10.0 Generator 100M LWST</t>
  </si>
  <si>
    <t>DE Onshore 2966 NS 52.5 7.5 Generator 100M LWST</t>
  </si>
  <si>
    <t>DE Onshore 2970 NS 52.5 10.0 Generator 100M LWST</t>
  </si>
  <si>
    <t>DE Onshore 2971 NS 52.5 10.625 Generator 100M LWST</t>
  </si>
  <si>
    <t>DE Onshore 3055 NS 53.0 7.5 Generator 100M LWST</t>
  </si>
  <si>
    <t>DE Onshore 3057 NS 53.0 8.75 Generator 100M LWST</t>
  </si>
  <si>
    <t>DE Onshore 3058 NS 53.0 9.375 Generator 100M LWST</t>
  </si>
  <si>
    <t>DE Onshore 3059 NS 53.0 10.0 Generator 100M LWST</t>
  </si>
  <si>
    <t>DE Onshore 3147 NS 53.5 9.375 Generator 100M LWST</t>
  </si>
  <si>
    <t>DE Onshore 2433 RLF 49.5 8.125 Generator 100M LWST</t>
  </si>
  <si>
    <t>DE Onshore 2519 RLF 50.0 6.25 Generator 100M LWST</t>
  </si>
  <si>
    <t>DE Onshore 2520 RLF 50.0 6.875 Generator 100M LWST</t>
  </si>
  <si>
    <t>DE Onshore 2521 RLF 50.0 7.5 Generator 100M LWST</t>
  </si>
  <si>
    <t>DE Onshore 2610 RLF 50.5 7.5 Generator 100M LWST</t>
  </si>
  <si>
    <t>DE Onshore 2883 SA 52.0 11.25 Generator 100M LWST</t>
  </si>
  <si>
    <t>DE Onshore 2885 SA 52.0 12.5 Generator 100M LWST</t>
  </si>
  <si>
    <t>DE Onshore 2972 SA 52.5 11.25 Generator 100M LWST</t>
  </si>
  <si>
    <t>DE Onshore 2973 SA 52.5 11.875 Generator 100M LWST</t>
  </si>
  <si>
    <t>DE Onshore 3148 SH 53.5 10.0 Generator 100M LWST</t>
  </si>
  <si>
    <t>DE Onshore 3149 SH 53.5 10.625 Generator 100M LWST</t>
  </si>
  <si>
    <t>DE Onshore 3236 SH 54.0 9.375 Generator 100M LWST</t>
  </si>
  <si>
    <t>DE Onshore 3238 SH 54.0 10.625 Generator 100M LWST</t>
  </si>
  <si>
    <t>DE Onshore 3325 SH 54.5 9.375 Generator 100M LWST</t>
  </si>
  <si>
    <t>DE Onshore 2431 SL 49.5 6.875 Generator 100M LWST</t>
  </si>
  <si>
    <t>DE Onshore 2794 ST 51.5 11.25 Generator 100M LWST</t>
  </si>
  <si>
    <t>DE Onshore 2797 SX 51.5 13.125 Generator 100M LWST</t>
  </si>
  <si>
    <t>DE Onshore 2799 SX 51.5 14.375 Generator 100M LWST</t>
  </si>
  <si>
    <t>DE Onshore 2617 TH 50.5 11.875 Generator 100M LWST</t>
  </si>
  <si>
    <t>DE Onshore 2703 TH 51.0 10.0 Generator 100M LWST</t>
  </si>
  <si>
    <t>DE Onshore 2886 BR 52.0 13.125 Generator 70M HWST</t>
  </si>
  <si>
    <t>DE Onshore 2977 BR 52.5 14.375 Generator 70M HWST</t>
  </si>
  <si>
    <t>DE Onshore 3062 BR 53.0 11.875 Generator 70M HWST</t>
  </si>
  <si>
    <t>DE Onshore 3064 BR 53.0 13.125 Generator 70M HWST</t>
  </si>
  <si>
    <t>DE Onshore 2168 BW 48.0 9.375 Generator 70M HWST</t>
  </si>
  <si>
    <t>DE Onshore 2255 BW 48.5 8.125 Generator 70M HWST</t>
  </si>
  <si>
    <t>DE Onshore 2435 BW 49.5 9.375 Generator 70M HWST</t>
  </si>
  <si>
    <t>DE Onshore 2170 BY 48.0 10.625 Generator 70M HWST</t>
  </si>
  <si>
    <t>DE Onshore 2172 BY 48.0 11.875 Generator 70M HWST</t>
  </si>
  <si>
    <t>DE Onshore 2262 BY 48.5 12.5 Generator 70M HWST</t>
  </si>
  <si>
    <t>DE Onshore 2348 BY 49.0 10.625 Generator 70M HWST</t>
  </si>
  <si>
    <t>DE Onshore 2438 BY 49.5 11.25 Generator 70M HWST</t>
  </si>
  <si>
    <t>DE Onshore 2440 BY 49.5 12.5 Generator 70M HWST</t>
  </si>
  <si>
    <t>DE Onshore 2613 HE 50.5 9.375 Generator 70M HWST</t>
  </si>
  <si>
    <t>DE Onshore 2701 HE 51.0 8.75 Generator 70M HWST</t>
  </si>
  <si>
    <t>DE Onshore 3151 MV 53.5 11.875 Generator 70M HWST</t>
  </si>
  <si>
    <t>DE Onshore 3242 MV 54.0 13.125 Generator 70M HWST</t>
  </si>
  <si>
    <t>DE Onshore 2608 NRW 50.5 6.25 Generator 70M HWST</t>
  </si>
  <si>
    <t>DE Onshore 2697 NRW 51.0 6.25 Generator 70M HWST</t>
  </si>
  <si>
    <t>DE Onshore 2698 NRW 51.0 6.875 Generator 70M HWST</t>
  </si>
  <si>
    <t>DE Onshore 2699 NRW 51.0 7.5 Generator 70M HWST</t>
  </si>
  <si>
    <t>DE Onshore 2787 NRW 51.5 6.875 Generator 70M HWST</t>
  </si>
  <si>
    <t>DE Onshore 2788 NRW 51.5 7.5 Generator 70M HWST</t>
  </si>
  <si>
    <t>DE Onshore 2789 NRW 51.5 8.125 Generator 70M HWST</t>
  </si>
  <si>
    <t>DE Onshore 2790 NRW 51.5 8.75 Generator 70M HWST</t>
  </si>
  <si>
    <t>DE Onshore 2878 NRW 52.0 8.125 Generator 70M HWST</t>
  </si>
  <si>
    <t>DE Onshore 2792 NS 51.5 10.0 Generator 70M HWST</t>
  </si>
  <si>
    <t>DE Onshore 2880 NS 52.0 9.375 Generator 70M HWST</t>
  </si>
  <si>
    <t>DE Onshore 2881 NS 52.0 10.0 Generator 70M HWST</t>
  </si>
  <si>
    <t>DE Onshore 2966 NS 52.5 7.5 Generator 70M HWST</t>
  </si>
  <si>
    <t>DE Onshore 2970 NS 52.5 10.0 Generator 70M HWST</t>
  </si>
  <si>
    <t>DE Onshore 2971 NS 52.5 10.625 Generator 70M HWST</t>
  </si>
  <si>
    <t>DE Onshore 3055 NS 53.0 7.5 Generator 70M HWST</t>
  </si>
  <si>
    <t>DE Onshore 3057 NS 53.0 8.75 Generator 70M HWST</t>
  </si>
  <si>
    <t>DE Onshore 3058 NS 53.0 9.375 Generator 70M HWST</t>
  </si>
  <si>
    <t>DE Onshore 3059 NS 53.0 10.0 Generator 70M HWST</t>
  </si>
  <si>
    <t>DE Onshore 3147 NS 53.5 9.375 Generator 70M HWST</t>
  </si>
  <si>
    <t>DE Onshore 2433 RLF 49.5 8.125 Generator 70M HWST</t>
  </si>
  <si>
    <t>DE Onshore 2519 RLF 50.0 6.25 Generator 70M HWST</t>
  </si>
  <si>
    <t>DE Onshore 2520 RLF 50.0 6.875 Generator 70M HWST</t>
  </si>
  <si>
    <t>DE Onshore 2521 RLF 50.0 7.5 Generator 70M HWST</t>
  </si>
  <si>
    <t>DE Onshore 2610 RLF 50.5 7.5 Generator 70M HWST</t>
  </si>
  <si>
    <t>DE Onshore 2883 SA 52.0 11.25 Generator 70M HWST</t>
  </si>
  <si>
    <t>DE Onshore 2885 SA 52.0 12.5 Generator 70M HWST</t>
  </si>
  <si>
    <t>DE Onshore 2972 SA 52.5 11.25 Generator 70M HWST</t>
  </si>
  <si>
    <t>DE Onshore 2973 SA 52.5 11.875 Generator 70M HWST</t>
  </si>
  <si>
    <t>DE Onshore 3148 SH 53.5 10.0 Generator 70M HWST</t>
  </si>
  <si>
    <t>DE Onshore 3149 SH 53.5 10.625 Generator 70M HWST</t>
  </si>
  <si>
    <t>DE Onshore 3236 SH 54.0 9.375 Generator 70M HWST</t>
  </si>
  <si>
    <t>DE Onshore 3238 SH 54.0 10.625 Generator 70M HWST</t>
  </si>
  <si>
    <t>DE Onshore 3325 SH 54.5 9.375 Generator 70M HWST</t>
  </si>
  <si>
    <t>DE Onshore 2431 SL 49.5 6.875 Generator 70M HWST</t>
  </si>
  <si>
    <t>DE Onshore 2794 ST 51.5 11.25 Generator 70M HWST</t>
  </si>
  <si>
    <t>DE Onshore 2797 SX 51.5 13.125 Generator 70M HWST</t>
  </si>
  <si>
    <t>DE Onshore 2799 SX 51.5 14.375 Generator 70M HWST</t>
  </si>
  <si>
    <t>DE Onshore 2617 TH 50.5 11.875 Generator 70M HWST</t>
  </si>
  <si>
    <t>DE Onshore 2703 TH 51.0 10.0 Generator 70M HWST</t>
  </si>
  <si>
    <t>DE Onshore 2886 BR 52.0 13.125 Generator 85M HWST</t>
  </si>
  <si>
    <t>DE Onshore 2977 BR 52.5 14.375 Generator 85M HWST</t>
  </si>
  <si>
    <t>DE Onshore 3062 BR 53.0 11.875 Generator 85M HWST</t>
  </si>
  <si>
    <t>DE Onshore 3064 BR 53.0 13.125 Generator 85M HWST</t>
  </si>
  <si>
    <t>DE Onshore 2168 BW 48.0 9.375 Generator 85M HWST</t>
  </si>
  <si>
    <t>DE Onshore 2255 BW 48.5 8.125 Generator 85M HWST</t>
  </si>
  <si>
    <t>DE Onshore 2435 BW 49.5 9.375 Generator 85M HWST</t>
  </si>
  <si>
    <t>DE Onshore 2170 BY 48.0 10.625 Generator 85M HWST</t>
  </si>
  <si>
    <t>DE Onshore 2172 BY 48.0 11.875 Generator 85M HWST</t>
  </si>
  <si>
    <t>DE Onshore 2262 BY 48.5 12.5 Generator 85M HWST</t>
  </si>
  <si>
    <t>DE Onshore 2348 BY 49.0 10.625 Generator 85M HWST</t>
  </si>
  <si>
    <t>DE Onshore 2438 BY 49.5 11.25 Generator 85M HWST</t>
  </si>
  <si>
    <t>DE Onshore 2440 BY 49.5 12.5 Generator 85M HWST</t>
  </si>
  <si>
    <t>DE Onshore 2613 HE 50.5 9.375 Generator 85M HWST</t>
  </si>
  <si>
    <t>DE Onshore 2701 HE 51.0 8.75 Generator 85M HWST</t>
  </si>
  <si>
    <t>DE Onshore 3151 MV 53.5 11.875 Generator 85M HWST</t>
  </si>
  <si>
    <t>DE Onshore 3242 MV 54.0 13.125 Generator 85M HWST</t>
  </si>
  <si>
    <t>DE Onshore 2608 NRW 50.5 6.25 Generator 85M HWST</t>
  </si>
  <si>
    <t>DE Onshore 2697 NRW 51.0 6.25 Generator 85M HWST</t>
  </si>
  <si>
    <t>DE Onshore 2698 NRW 51.0 6.875 Generator 85M HWST</t>
  </si>
  <si>
    <t>DE Onshore 2699 NRW 51.0 7.5 Generator 85M HWST</t>
  </si>
  <si>
    <t>DE Onshore 2787 NRW 51.5 6.875 Generator 85M HWST</t>
  </si>
  <si>
    <t>DE Onshore 2788 NRW 51.5 7.5 Generator 85M HWST</t>
  </si>
  <si>
    <t>DE Onshore 2789 NRW 51.5 8.125 Generator 85M HWST</t>
  </si>
  <si>
    <t>DE Onshore 2790 NRW 51.5 8.75 Generator 85M HWST</t>
  </si>
  <si>
    <t>DE Onshore 2878 NRW 52.0 8.125 Generator 85M HWST</t>
  </si>
  <si>
    <t>DE Onshore 2792 NS 51.5 10.0 Generator 85M HWST</t>
  </si>
  <si>
    <t>DE Onshore 2880 NS 52.0 9.375 Generator 85M HWST</t>
  </si>
  <si>
    <t>DE Onshore 2881 NS 52.0 10.0 Generator 85M HWST</t>
  </si>
  <si>
    <t>DE Onshore 2966 NS 52.5 7.5 Generator 85M HWST</t>
  </si>
  <si>
    <t>DE Onshore 2970 NS 52.5 10.0 Generator 85M HWST</t>
  </si>
  <si>
    <t>DE Onshore 2971 NS 52.5 10.625 Generator 85M HWST</t>
  </si>
  <si>
    <t>DE Onshore 3055 NS 53.0 7.5 Generator 85M HWST</t>
  </si>
  <si>
    <t>DE Onshore 3057 NS 53.0 8.75 Generator 85M HWST</t>
  </si>
  <si>
    <t>DE Onshore 3058 NS 53.0 9.375 Generator 85M HWST</t>
  </si>
  <si>
    <t>DE Onshore 3059 NS 53.0 10.0 Generator 85M HWST</t>
  </si>
  <si>
    <t>DE Onshore 3147 NS 53.5 9.375 Generator 85M HWST</t>
  </si>
  <si>
    <t>DE Onshore 2433 RLF 49.5 8.125 Generator 85M HWST</t>
  </si>
  <si>
    <t>DE Onshore 2519 RLF 50.0 6.25 Generator 85M HWST</t>
  </si>
  <si>
    <t>DE Onshore 2520 RLF 50.0 6.875 Generator 85M HWST</t>
  </si>
  <si>
    <t>DE Onshore 2521 RLF 50.0 7.5 Generator 85M HWST</t>
  </si>
  <si>
    <t>DE Onshore 2610 RLF 50.5 7.5 Generator 85M HWST</t>
  </si>
  <si>
    <t>DE Onshore 2883 SA 52.0 11.25 Generator 85M HWST</t>
  </si>
  <si>
    <t>DE Onshore 2885 SA 52.0 12.5 Generator 85M HWST</t>
  </si>
  <si>
    <t>DE Onshore 2972 SA 52.5 11.25 Generator 85M HWST</t>
  </si>
  <si>
    <t>DE Onshore 2973 SA 52.5 11.875 Generator 85M HWST</t>
  </si>
  <si>
    <t>DE Onshore 3148 SH 53.5 10.0 Generator 85M HWST</t>
  </si>
  <si>
    <t>DE Onshore 3149 SH 53.5 10.625 Generator 85M HWST</t>
  </si>
  <si>
    <t>DE Onshore 3236 SH 54.0 9.375 Generator 85M HWST</t>
  </si>
  <si>
    <t>DE Onshore 3238 SH 54.0 10.625 Generator 85M HWST</t>
  </si>
  <si>
    <t>DE Onshore 3325 SH 54.5 9.375 Generator 85M HWST</t>
  </si>
  <si>
    <t>DE Onshore 2431 SL 49.5 6.875 Generator 85M HWST</t>
  </si>
  <si>
    <t>DE Onshore 2794 ST 51.5 11.25 Generator 85M HWST</t>
  </si>
  <si>
    <t>DE Onshore 2797 SX 51.5 13.125 Generator 85M HWST</t>
  </si>
  <si>
    <t>DE Onshore 2799 SX 51.5 14.375 Generator 85M HWST</t>
  </si>
  <si>
    <t>DE Onshore 2617 TH 50.5 11.875 Generator 85M HWST</t>
  </si>
  <si>
    <t>DE Onshore 2703 TH 51.0 10.0 Generator 85M HWST</t>
  </si>
  <si>
    <t>DE Onshore 2886 BR 52.0 13.125 Generator 100M HWST</t>
  </si>
  <si>
    <t>DE Onshore 2977 BR 52.5 14.375 Generator 100M HWST</t>
  </si>
  <si>
    <t>DE Onshore 3062 BR 53.0 11.875 Generator 100M HWST</t>
  </si>
  <si>
    <t>DE Onshore 3064 BR 53.0 13.125 Generator 100M HWST</t>
  </si>
  <si>
    <t>DE Onshore 2168 BW 48.0 9.375 Generator 100M HWST</t>
  </si>
  <si>
    <t>DE Onshore 2255 BW 48.5 8.125 Generator 100M HWST</t>
  </si>
  <si>
    <t>DE Onshore 2435 BW 49.5 9.375 Generator 100M HWST</t>
  </si>
  <si>
    <t>DE Onshore 2170 BY 48.0 10.625 Generator 100M HWST</t>
  </si>
  <si>
    <t>DE Onshore 2172 BY 48.0 11.875 Generator 100M HWST</t>
  </si>
  <si>
    <t>DE Onshore 2262 BY 48.5 12.5 Generator 100M HWST</t>
  </si>
  <si>
    <t>DE Onshore 2348 BY 49.0 10.625 Generator 100M HWST</t>
  </si>
  <si>
    <t>DE Onshore 2438 BY 49.5 11.25 Generator 100M HWST</t>
  </si>
  <si>
    <t>DE Onshore 2440 BY 49.5 12.5 Generator 100M HWST</t>
  </si>
  <si>
    <t>DE Onshore 2613 HE 50.5 9.375 Generator 100M HWST</t>
  </si>
  <si>
    <t>DE Onshore 2701 HE 51.0 8.75 Generator 100M HWST</t>
  </si>
  <si>
    <t>DE Onshore 3151 MV 53.5 11.875 Generator 100M HWST</t>
  </si>
  <si>
    <t>DE Onshore 3242 MV 54.0 13.125 Generator 100M HWST</t>
  </si>
  <si>
    <t>DE Onshore 2608 NRW 50.5 6.25 Generator 100M HWST</t>
  </si>
  <si>
    <t>DE Onshore 2697 NRW 51.0 6.25 Generator 100M HWST</t>
  </si>
  <si>
    <t>DE Onshore 2698 NRW 51.0 6.875 Generator 100M HWST</t>
  </si>
  <si>
    <t>DE Onshore 2699 NRW 51.0 7.5 Generator 100M HWST</t>
  </si>
  <si>
    <t>DE Onshore 2787 NRW 51.5 6.875 Generator 100M HWST</t>
  </si>
  <si>
    <t>DE Onshore 2788 NRW 51.5 7.5 Generator 100M HWST</t>
  </si>
  <si>
    <t>DE Onshore 2789 NRW 51.5 8.125 Generator 100M HWST</t>
  </si>
  <si>
    <t>DE Onshore 2790 NRW 51.5 8.75 Generator 100M HWST</t>
  </si>
  <si>
    <t>DE Onshore 2878 NRW 52.0 8.125 Generator 100M HWST</t>
  </si>
  <si>
    <t>DE Onshore 2792 NS 51.5 10.0 Generator 100M HWST</t>
  </si>
  <si>
    <t>DE Onshore 2880 NS 52.0 9.375 Generator 100M HWST</t>
  </si>
  <si>
    <t>DE Onshore 2881 NS 52.0 10.0 Generator 100M HWST</t>
  </si>
  <si>
    <t>DE Onshore 2966 NS 52.5 7.5 Generator 100M HWST</t>
  </si>
  <si>
    <t>DE Onshore 2970 NS 52.5 10.0 Generator 100M HWST</t>
  </si>
  <si>
    <t>DE Onshore 2971 NS 52.5 10.625 Generator 100M HWST</t>
  </si>
  <si>
    <t>DE Onshore 3055 NS 53.0 7.5 Generator 100M HWST</t>
  </si>
  <si>
    <t>DE Onshore 3057 NS 53.0 8.75 Generator 100M HWST</t>
  </si>
  <si>
    <t>DE Onshore 3058 NS 53.0 9.375 Generator 100M HWST</t>
  </si>
  <si>
    <t>DE Onshore 3059 NS 53.0 10.0 Generator 100M HWST</t>
  </si>
  <si>
    <t>DE Onshore 3147 NS 53.5 9.375 Generator 100M HWST</t>
  </si>
  <si>
    <t>DE Onshore 2433 RLF 49.5 8.125 Generator 100M HWST</t>
  </si>
  <si>
    <t>DE Onshore 2519 RLF 50.0 6.25 Generator 100M HWST</t>
  </si>
  <si>
    <t>DE Onshore 2520 RLF 50.0 6.875 Generator 100M HWST</t>
  </si>
  <si>
    <t>DE Onshore 2521 RLF 50.0 7.5 Generator 100M HWST</t>
  </si>
  <si>
    <t>DE Onshore 2610 RLF 50.5 7.5 Generator 100M HWST</t>
  </si>
  <si>
    <t>DE Onshore 2883 SA 52.0 11.25 Generator 100M HWST</t>
  </si>
  <si>
    <t>DE Onshore 2885 SA 52.0 12.5 Generator 100M HWST</t>
  </si>
  <si>
    <t>DE Onshore 2972 SA 52.5 11.25 Generator 100M HWST</t>
  </si>
  <si>
    <t>DE Onshore 2973 SA 52.5 11.875 Generator 100M HWST</t>
  </si>
  <si>
    <t>DE Onshore 3148 SH 53.5 10.0 Generator 100M HWST</t>
  </si>
  <si>
    <t>DE Onshore 3149 SH 53.5 10.625 Generator 100M HWST</t>
  </si>
  <si>
    <t>DE Onshore 3236 SH 54.0 9.375 Generator 100M HWST</t>
  </si>
  <si>
    <t>DE Onshore 3238 SH 54.0 10.625 Generator 100M HWST</t>
  </si>
  <si>
    <t>DE Onshore 3325 SH 54.5 9.375 Generator 100M HWST</t>
  </si>
  <si>
    <t>DE Onshore 2431 SL 49.5 6.875 Generator 100M HWST</t>
  </si>
  <si>
    <t>DE Onshore 2794 ST 51.5 11.25 Generator 100M HWST</t>
  </si>
  <si>
    <t>DE Onshore 2797 SX 51.5 13.125 Generator 100M HWST</t>
  </si>
  <si>
    <t>DE Onshore 2799 SX 51.5 14.375 Generator 100M HWST</t>
  </si>
  <si>
    <t>DE Onshore 2617 TH 50.5 11.875 Generator 100M HWST</t>
  </si>
  <si>
    <t>DE Onshore 2703 TH 51.0 10.0 Generator 100M HWST</t>
  </si>
  <si>
    <t>DE Offshore 3239 BLS 54.0 11.25 Generator 100M NWST</t>
  </si>
  <si>
    <t>DE Offshore 3326 BLS 54.5 10.0 Generator 100M NWST</t>
  </si>
  <si>
    <t>DE Offshore 3327 BLS 54.5 10.625 Generator 100M NWST</t>
  </si>
  <si>
    <t>DE Offshore 3328 BLS 54.5 11.25 Generator 100M NWST</t>
  </si>
  <si>
    <t>DE Offshore 3330 BLS 54.5 12.5 Generator 100M NWST</t>
  </si>
  <si>
    <t>DE Offshore 3332 BLS 54.5 13.75 Generator 100M NWST</t>
  </si>
  <si>
    <t>DE Offshore 3231 NDS 54.0 6.25 Generator 100M NWST</t>
  </si>
  <si>
    <t>DE Offshore 3232 NDS 54.0 6.875 Generator 100M NWST</t>
  </si>
  <si>
    <t>DE Offshore 3233 NDS 54.0 7.5 Generator 100M NWST</t>
  </si>
  <si>
    <t>DE Offshore 3234 NDS 54.0 8.125 Generator 100M NWST</t>
  </si>
  <si>
    <t>DE Offshore 3235 NDS 54.0 8.75 Generator 100M NWST</t>
  </si>
  <si>
    <t>DE Offshore 3319 NDS 54.5 5.625 Generator 100M NWST</t>
  </si>
  <si>
    <t>DE Offshore 3320 NDS 54.5 6.25 Generator 100M NWST</t>
  </si>
  <si>
    <t>DE Offshore 3321 NDS 54.5 6.875 Generator 100M NWST</t>
  </si>
  <si>
    <t>DE Offshore 3322 NDS 54.5 7.5 Generator 100M NWST</t>
  </si>
  <si>
    <t>DE Offshore 3323 NDS 54.5 8.125 Generator 100M NWST</t>
  </si>
  <si>
    <t>DE Offshore 3407 NDS 55.0 5.0 Generator 100M NWST</t>
  </si>
  <si>
    <t>DE Offshore 3409 NDS 55.0 6.25 Generator 100M NWST</t>
  </si>
  <si>
    <t>DE Offshore 3410 NDS 55.0 6.875 Generator 100M NWST</t>
  </si>
  <si>
    <t>DE Offshore 3411 NDS 55.0 7.5 Generator 100M NWST</t>
  </si>
  <si>
    <t>DE Offshore 3412 NDS 55.0 8.125 Generator 100M NWST</t>
  </si>
  <si>
    <t>DE Offshore 3495 NDS 55.5 4.375 Generator 100M NWST</t>
  </si>
  <si>
    <t>DE Offshore 3239 BLS 54.0 11.25 Generator 130M NWST</t>
  </si>
  <si>
    <t>DE Offshore 3326 BLS 54.5 10.0 Generator 130M NWST</t>
  </si>
  <si>
    <t>DE Offshore 3327 BLS 54.5 10.625 Generator 130M NWST</t>
  </si>
  <si>
    <t>DE Offshore 3328 BLS 54.5 11.25 Generator 130M NWST</t>
  </si>
  <si>
    <t>DE Offshore 3330 BLS 54.5 12.5 Generator 130M NWST</t>
  </si>
  <si>
    <t>DE Offshore 3332 BLS 54.5 13.75 Generator 130M NWST</t>
  </si>
  <si>
    <t>DE Offshore 3231 NDS 54.0 6.25 Generator 130M NWST</t>
  </si>
  <si>
    <t>DE Offshore 3232 NDS 54.0 6.875 Generator 130M NWST</t>
  </si>
  <si>
    <t>DE Offshore 3233 NDS 54.0 7.5 Generator 130M NWST</t>
  </si>
  <si>
    <t>DE Offshore 3234 NDS 54.0 8.125 Generator 130M NWST</t>
  </si>
  <si>
    <t>DE Offshore 3235 NDS 54.0 8.75 Generator 130M NWST</t>
  </si>
  <si>
    <t>DE Offshore 3319 NDS 54.5 5.625 Generator 130M NWST</t>
  </si>
  <si>
    <t>DE Offshore 3320 NDS 54.5 6.25 Generator 130M NWST</t>
  </si>
  <si>
    <t>DE Offshore 3321 NDS 54.5 6.875 Generator 130M NWST</t>
  </si>
  <si>
    <t>DE Offshore 3322 NDS 54.5 7.5 Generator 130M NWST</t>
  </si>
  <si>
    <t>DE Offshore 3323 NDS 54.5 8.125 Generator 130M NWST</t>
  </si>
  <si>
    <t>DE Offshore 3407 NDS 55.0 5.0 Generator 130M NWST</t>
  </si>
  <si>
    <t>DE Offshore 3409 NDS 55.0 6.25 Generator 130M NWST</t>
  </si>
  <si>
    <t>DE Offshore 3410 NDS 55.0 6.875 Generator 130M NWST</t>
  </si>
  <si>
    <t>DE Offshore 3411 NDS 55.0 7.5 Generator 130M NWST</t>
  </si>
  <si>
    <t>DE Offshore 3412 NDS 55.0 8.125 Generator 130M NWST</t>
  </si>
  <si>
    <t>DE Offshore 3495 NDS 55.5 4.375 Generator 130M NWST</t>
  </si>
  <si>
    <t>DE Offshore 3239 BLS 54.0 11.25 Generator 160M NWST</t>
  </si>
  <si>
    <t>DE Offshore 3326 BLS 54.5 10.0 Generator 160M NWST</t>
  </si>
  <si>
    <t>DE Offshore 3327 BLS 54.5 10.625 Generator 160M NWST</t>
  </si>
  <si>
    <t>DE Offshore 3328 BLS 54.5 11.25 Generator 160M NWST</t>
  </si>
  <si>
    <t>DE Offshore 3330 BLS 54.5 12.5 Generator 160M NWST</t>
  </si>
  <si>
    <t>DE Offshore 3332 BLS 54.5 13.75 Generator 160M NWST</t>
  </si>
  <si>
    <t>DE Offshore 3231 NDS 54.0 6.25 Generator 160M NWST</t>
  </si>
  <si>
    <t>DE Offshore 3232 NDS 54.0 6.875 Generator 160M NWST</t>
  </si>
  <si>
    <t>DE Offshore 3233 NDS 54.0 7.5 Generator 160M NWST</t>
  </si>
  <si>
    <t>DE Offshore 3234 NDS 54.0 8.125 Generator 160M NWST</t>
  </si>
  <si>
    <t>DE Offshore 3235 NDS 54.0 8.75 Generator 160M NWST</t>
  </si>
  <si>
    <t>DE Offshore 3319 NDS 54.5 5.625 Generator 160M NWST</t>
  </si>
  <si>
    <t>DE Offshore 3320 NDS 54.5 6.25 Generator 160M NWST</t>
  </si>
  <si>
    <t>DE Offshore 3321 NDS 54.5 6.875 Generator 160M NWST</t>
  </si>
  <si>
    <t>DE Offshore 3322 NDS 54.5 7.5 Generator 160M NWST</t>
  </si>
  <si>
    <t>DE Offshore 3323 NDS 54.5 8.125 Generator 160M NWST</t>
  </si>
  <si>
    <t>DE Offshore 3407 NDS 55.0 5.0 Generator 160M NWST</t>
  </si>
  <si>
    <t>DE Offshore 3409 NDS 55.0 6.25 Generator 160M NWST</t>
  </si>
  <si>
    <t>DE Offshore 3410 NDS 55.0 6.875 Generator 160M NWST</t>
  </si>
  <si>
    <t>DE Offshore 3411 NDS 55.0 7.5 Generator 160M NWST</t>
  </si>
  <si>
    <t>DE Offshore 3412 NDS 55.0 8.125 Generator 160M NWST</t>
  </si>
  <si>
    <t>DE Offshore 3495 NDS 55.5 4.375 Generator 160M NWST</t>
  </si>
  <si>
    <t>DE Offshore 3239 BLS 54.0 11.25 Generator 100M LWST</t>
  </si>
  <si>
    <t>DE Offshore 3326 BLS 54.5 10.0 Generator 100M LWST</t>
  </si>
  <si>
    <t>DE Offshore 3327 BLS 54.5 10.625 Generator 100M LWST</t>
  </si>
  <si>
    <t>DE Offshore 3328 BLS 54.5 11.25 Generator 100M LWST</t>
  </si>
  <si>
    <t>DE Offshore 3330 BLS 54.5 12.5 Generator 100M LWST</t>
  </si>
  <si>
    <t>DE Offshore 3332 BLS 54.5 13.75 Generator 100M LWST</t>
  </si>
  <si>
    <t>DE Offshore 3231 NDS 54.0 6.25 Generator 100M LWST</t>
  </si>
  <si>
    <t>DE Offshore 3232 NDS 54.0 6.875 Generator 100M LWST</t>
  </si>
  <si>
    <t>DE Offshore 3233 NDS 54.0 7.5 Generator 100M LWST</t>
  </si>
  <si>
    <t>DE Offshore 3234 NDS 54.0 8.125 Generator 100M LWST</t>
  </si>
  <si>
    <t>DE Offshore 3235 NDS 54.0 8.75 Generator 100M LWST</t>
  </si>
  <si>
    <t>DE Offshore 3319 NDS 54.5 5.625 Generator 100M LWST</t>
  </si>
  <si>
    <t>DE Offshore 3320 NDS 54.5 6.25 Generator 100M LWST</t>
  </si>
  <si>
    <t>DE Offshore 3321 NDS 54.5 6.875 Generator 100M LWST</t>
  </si>
  <si>
    <t>DE Offshore 3322 NDS 54.5 7.5 Generator 100M LWST</t>
  </si>
  <si>
    <t>DE Offshore 3323 NDS 54.5 8.125 Generator 100M LWST</t>
  </si>
  <si>
    <t>DE Offshore 3407 NDS 55.0 5.0 Generator 100M LWST</t>
  </si>
  <si>
    <t>DE Offshore 3409 NDS 55.0 6.25 Generator 100M LWST</t>
  </si>
  <si>
    <t>DE Offshore 3410 NDS 55.0 6.875 Generator 100M LWST</t>
  </si>
  <si>
    <t>DE Offshore 3411 NDS 55.0 7.5 Generator 100M LWST</t>
  </si>
  <si>
    <t>DE Offshore 3412 NDS 55.0 8.125 Generator 100M LWST</t>
  </si>
  <si>
    <t>DE Offshore 3495 NDS 55.5 4.375 Generator 100M LWST</t>
  </si>
  <si>
    <t>DE Offshore 3239 BLS 54.0 11.25 Generator 130M LWST</t>
  </si>
  <si>
    <t>DE Offshore 3326 BLS 54.5 10.0 Generator 130M LWST</t>
  </si>
  <si>
    <t>DE Offshore 3327 BLS 54.5 10.625 Generator 130M LWST</t>
  </si>
  <si>
    <t>DE Offshore 3328 BLS 54.5 11.25 Generator 130M LWST</t>
  </si>
  <si>
    <t>DE Offshore 3330 BLS 54.5 12.5 Generator 130M LWST</t>
  </si>
  <si>
    <t>DE Offshore 3332 BLS 54.5 13.75 Generator 130M LWST</t>
  </si>
  <si>
    <t>DE Offshore 3231 NDS 54.0 6.25 Generator 130M LWST</t>
  </si>
  <si>
    <t>DE Offshore 3232 NDS 54.0 6.875 Generator 130M LWST</t>
  </si>
  <si>
    <t>DE Offshore 3233 NDS 54.0 7.5 Generator 130M LWST</t>
  </si>
  <si>
    <t>DE Offshore 3234 NDS 54.0 8.125 Generator 130M LWST</t>
  </si>
  <si>
    <t>DE Offshore 3235 NDS 54.0 8.75 Generator 130M LWST</t>
  </si>
  <si>
    <t>DE Offshore 3319 NDS 54.5 5.625 Generator 130M LWST</t>
  </si>
  <si>
    <t>DE Offshore 3320 NDS 54.5 6.25 Generator 130M LWST</t>
  </si>
  <si>
    <t>DE Offshore 3321 NDS 54.5 6.875 Generator 130M LWST</t>
  </si>
  <si>
    <t>DE Offshore 3322 NDS 54.5 7.5 Generator 130M LWST</t>
  </si>
  <si>
    <t>DE Offshore 3323 NDS 54.5 8.125 Generator 130M LWST</t>
  </si>
  <si>
    <t>DE Offshore 3407 NDS 55.0 5.0 Generator 130M LWST</t>
  </si>
  <si>
    <t>DE Offshore 3409 NDS 55.0 6.25 Generator 130M LWST</t>
  </si>
  <si>
    <t>DE Offshore 3410 NDS 55.0 6.875 Generator 130M LWST</t>
  </si>
  <si>
    <t>DE Offshore 3411 NDS 55.0 7.5 Generator 130M LWST</t>
  </si>
  <si>
    <t>DE Offshore 3412 NDS 55.0 8.125 Generator 130M LWST</t>
  </si>
  <si>
    <t>DE Offshore 3495 NDS 55.5 4.375 Generator 130M LWST</t>
  </si>
  <si>
    <t>DE Offshore 3239 BLS 54.0 11.25 Generator 160M LWST</t>
  </si>
  <si>
    <t>DE Offshore 3326 BLS 54.5 10.0 Generator 160M LWST</t>
  </si>
  <si>
    <t>DE Offshore 3327 BLS 54.5 10.625 Generator 160M LWST</t>
  </si>
  <si>
    <t>DE Offshore 3328 BLS 54.5 11.25 Generator 160M LWST</t>
  </si>
  <si>
    <t>DE Offshore 3330 BLS 54.5 12.5 Generator 160M LWST</t>
  </si>
  <si>
    <t>DE Offshore 3332 BLS 54.5 13.75 Generator 160M LWST</t>
  </si>
  <si>
    <t>DE Offshore 3231 NDS 54.0 6.25 Generator 160M LWST</t>
  </si>
  <si>
    <t>DE Offshore 3232 NDS 54.0 6.875 Generator 160M LWST</t>
  </si>
  <si>
    <t>DE Offshore 3233 NDS 54.0 7.5 Generator 160M LWST</t>
  </si>
  <si>
    <t>DE Offshore 3234 NDS 54.0 8.125 Generator 160M LWST</t>
  </si>
  <si>
    <t>DE Offshore 3235 NDS 54.0 8.75 Generator 160M LWST</t>
  </si>
  <si>
    <t>DE Offshore 3319 NDS 54.5 5.625 Generator 160M LWST</t>
  </si>
  <si>
    <t>DE Offshore 3320 NDS 54.5 6.25 Generator 160M LWST</t>
  </si>
  <si>
    <t>DE Offshore 3321 NDS 54.5 6.875 Generator 160M LWST</t>
  </si>
  <si>
    <t>DE Offshore 3322 NDS 54.5 7.5 Generator 160M LWST</t>
  </si>
  <si>
    <t>DE Offshore 3323 NDS 54.5 8.125 Generator 160M LWST</t>
  </si>
  <si>
    <t>DE Offshore 3407 NDS 55.0 5.0 Generator 160M LWST</t>
  </si>
  <si>
    <t>DE Offshore 3409 NDS 55.0 6.25 Generator 160M LWST</t>
  </si>
  <si>
    <t>DE Offshore 3410 NDS 55.0 6.875 Generator 160M LWST</t>
  </si>
  <si>
    <t>DE Offshore 3411 NDS 55.0 7.5 Generator 160M LWST</t>
  </si>
  <si>
    <t>DE Offshore 3412 NDS 55.0 8.125 Generator 160M LWST</t>
  </si>
  <si>
    <t>DE Offshore 3495 NDS 55.5 4.375 Generator 160M LWST</t>
  </si>
  <si>
    <t>DE Offshore 3239 BLS 54.0 11.25 Generator 100M HWST</t>
  </si>
  <si>
    <t>DE Offshore 3326 BLS 54.5 10.0 Generator 100M HWST</t>
  </si>
  <si>
    <t>DE Offshore 3327 BLS 54.5 10.625 Generator 100M HWST</t>
  </si>
  <si>
    <t>DE Offshore 3328 BLS 54.5 11.25 Generator 100M HWST</t>
  </si>
  <si>
    <t>DE Offshore 3330 BLS 54.5 12.5 Generator 100M HWST</t>
  </si>
  <si>
    <t>DE Offshore 3332 BLS 54.5 13.75 Generator 100M HWST</t>
  </si>
  <si>
    <t>DE Offshore 3231 NDS 54.0 6.25 Generator 100M HWST</t>
  </si>
  <si>
    <t>DE Offshore 3232 NDS 54.0 6.875 Generator 100M HWST</t>
  </si>
  <si>
    <t>DE Offshore 3233 NDS 54.0 7.5 Generator 100M HWST</t>
  </si>
  <si>
    <t>DE Offshore 3234 NDS 54.0 8.125 Generator 100M HWST</t>
  </si>
  <si>
    <t>DE Offshore 3235 NDS 54.0 8.75 Generator 100M HWST</t>
  </si>
  <si>
    <t>DE Offshore 3319 NDS 54.5 5.625 Generator 100M HWST</t>
  </si>
  <si>
    <t>DE Offshore 3320 NDS 54.5 6.25 Generator 100M HWST</t>
  </si>
  <si>
    <t>DE Offshore 3321 NDS 54.5 6.875 Generator 100M HWST</t>
  </si>
  <si>
    <t>DE Offshore 3322 NDS 54.5 7.5 Generator 100M HWST</t>
  </si>
  <si>
    <t>DE Offshore 3323 NDS 54.5 8.125 Generator 100M HWST</t>
  </si>
  <si>
    <t>DE Offshore 3407 NDS 55.0 5.0 Generator 100M HWST</t>
  </si>
  <si>
    <t>DE Offshore 3409 NDS 55.0 6.25 Generator 100M HWST</t>
  </si>
  <si>
    <t>DE Offshore 3410 NDS 55.0 6.875 Generator 100M HWST</t>
  </si>
  <si>
    <t>DE Offshore 3411 NDS 55.0 7.5 Generator 100M HWST</t>
  </si>
  <si>
    <t>DE Offshore 3412 NDS 55.0 8.125 Generator 100M HWST</t>
  </si>
  <si>
    <t>DE Offshore 3495 NDS 55.5 4.375 Generator 100M HWST</t>
  </si>
  <si>
    <t>DE Offshore 3239 BLS 54.0 11.25 Generator 130M HWST</t>
  </si>
  <si>
    <t>DE Offshore 3326 BLS 54.5 10.0 Generator 130M HWST</t>
  </si>
  <si>
    <t>DE Offshore 3327 BLS 54.5 10.625 Generator 130M HWST</t>
  </si>
  <si>
    <t>DE Offshore 3328 BLS 54.5 11.25 Generator 130M HWST</t>
  </si>
  <si>
    <t>DE Offshore 3330 BLS 54.5 12.5 Generator 130M HWST</t>
  </si>
  <si>
    <t>DE Offshore 3332 BLS 54.5 13.75 Generator 130M HWST</t>
  </si>
  <si>
    <t>DE Offshore 3231 NDS 54.0 6.25 Generator 130M HWST</t>
  </si>
  <si>
    <t>DE Offshore 3232 NDS 54.0 6.875 Generator 130M HWST</t>
  </si>
  <si>
    <t>DE Offshore 3233 NDS 54.0 7.5 Generator 130M HWST</t>
  </si>
  <si>
    <t>DE Offshore 3234 NDS 54.0 8.125 Generator 130M HWST</t>
  </si>
  <si>
    <t>DE Offshore 3235 NDS 54.0 8.75 Generator 130M HWST</t>
  </si>
  <si>
    <t>DE Offshore 3319 NDS 54.5 5.625 Generator 130M HWST</t>
  </si>
  <si>
    <t>DE Offshore 3320 NDS 54.5 6.25 Generator 130M HWST</t>
  </si>
  <si>
    <t>DE Offshore 3321 NDS 54.5 6.875 Generator 130M HWST</t>
  </si>
  <si>
    <t>DE Offshore 3322 NDS 54.5 7.5 Generator 130M HWST</t>
  </si>
  <si>
    <t>DE Offshore 3323 NDS 54.5 8.125 Generator 130M HWST</t>
  </si>
  <si>
    <t>DE Offshore 3407 NDS 55.0 5.0 Generator 130M HWST</t>
  </si>
  <si>
    <t>DE Offshore 3409 NDS 55.0 6.25 Generator 130M HWST</t>
  </si>
  <si>
    <t>DE Offshore 3410 NDS 55.0 6.875 Generator 130M HWST</t>
  </si>
  <si>
    <t>DE Offshore 3411 NDS 55.0 7.5 Generator 130M HWST</t>
  </si>
  <si>
    <t>DE Offshore 3412 NDS 55.0 8.125 Generator 130M HWST</t>
  </si>
  <si>
    <t>DE Offshore 3495 NDS 55.5 4.375 Generator 130M HWST</t>
  </si>
  <si>
    <t>DE Offshore 3239 BLS 54.0 11.25 Generator 160M HWST</t>
  </si>
  <si>
    <t>DE Offshore 3326 BLS 54.5 10.0 Generator 160M HWST</t>
  </si>
  <si>
    <t>DE Offshore 3327 BLS 54.5 10.625 Generator 160M HWST</t>
  </si>
  <si>
    <t>DE Offshore 3328 BLS 54.5 11.25 Generator 160M HWST</t>
  </si>
  <si>
    <t>DE Offshore 3330 BLS 54.5 12.5 Generator 160M HWST</t>
  </si>
  <si>
    <t>DE Offshore 3332 BLS 54.5 13.75 Generator 160M HWST</t>
  </si>
  <si>
    <t>DE Offshore 3231 NDS 54.0 6.25 Generator 160M HWST</t>
  </si>
  <si>
    <t>DE Offshore 3232 NDS 54.0 6.875 Generator 160M HWST</t>
  </si>
  <si>
    <t>DE Offshore 3233 NDS 54.0 7.5 Generator 160M HWST</t>
  </si>
  <si>
    <t>DE Offshore 3234 NDS 54.0 8.125 Generator 160M HWST</t>
  </si>
  <si>
    <t>DE Offshore 3235 NDS 54.0 8.75 Generator 160M HWST</t>
  </si>
  <si>
    <t>DE Offshore 3319 NDS 54.5 5.625 Generator 160M HWST</t>
  </si>
  <si>
    <t>DE Offshore 3320 NDS 54.5 6.25 Generator 160M HWST</t>
  </si>
  <si>
    <t>DE Offshore 3321 NDS 54.5 6.875 Generator 160M HWST</t>
  </si>
  <si>
    <t>DE Offshore 3322 NDS 54.5 7.5 Generator 160M HWST</t>
  </si>
  <si>
    <t>DE Offshore 3323 NDS 54.5 8.125 Generator 160M HWST</t>
  </si>
  <si>
    <t>DE Offshore 3407 NDS 55.0 5.0 Generator 160M HWST</t>
  </si>
  <si>
    <t>DE Offshore 3409 NDS 55.0 6.25 Generator 160M HWST</t>
  </si>
  <si>
    <t>DE Offshore 3410 NDS 55.0 6.875 Generator 160M HWST</t>
  </si>
  <si>
    <t>DE Offshore 3411 NDS 55.0 7.5 Generator 160M HWST</t>
  </si>
  <si>
    <t>DE Offshore 3412 NDS 55.0 8.125 Generator 160M HWST</t>
  </si>
  <si>
    <t>DE Offshore 3495 NDS 55.5 4.375 Generator 160M HWST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</si>
</sst>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5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165" fontId="0" fillId="0" borderId="0" xfId="42" applyNumberFormat="1" applyFont="1"/>
    <xf numFmtId="165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'Offshore Heights'!$B$2:$CN$2</c:f>
              <c:numCache>
                <c:formatCode>General</c:formatCode>
                <c:ptCount val="91"/>
                <c:pt idx="0">
                  <c:v>1</c:v>
                </c:pt>
                <c:pt idx="1">
                  <c:v>0.97560975609756106</c:v>
                </c:pt>
                <c:pt idx="2">
                  <c:v>0.95238095238095233</c:v>
                </c:pt>
                <c:pt idx="3">
                  <c:v>0.93023255813953487</c:v>
                </c:pt>
                <c:pt idx="4">
                  <c:v>0.90909090909090906</c:v>
                </c:pt>
                <c:pt idx="5">
                  <c:v>0.88888888888888884</c:v>
                </c:pt>
                <c:pt idx="6">
                  <c:v>0.86956521739130443</c:v>
                </c:pt>
                <c:pt idx="7">
                  <c:v>0.85106382978723405</c:v>
                </c:pt>
                <c:pt idx="8">
                  <c:v>0.83333333333333337</c:v>
                </c:pt>
                <c:pt idx="9">
                  <c:v>0.81632653061224481</c:v>
                </c:pt>
                <c:pt idx="10">
                  <c:v>0.8</c:v>
                </c:pt>
                <c:pt idx="11">
                  <c:v>0.78431372549019618</c:v>
                </c:pt>
                <c:pt idx="12">
                  <c:v>0.76923076923076916</c:v>
                </c:pt>
                <c:pt idx="13">
                  <c:v>0.75471698113207553</c:v>
                </c:pt>
                <c:pt idx="14">
                  <c:v>0.72727272727272729</c:v>
                </c:pt>
                <c:pt idx="15">
                  <c:v>0.70175438596491224</c:v>
                </c:pt>
                <c:pt idx="16">
                  <c:v>0.67796610169491522</c:v>
                </c:pt>
                <c:pt idx="17">
                  <c:v>0.65573770491803274</c:v>
                </c:pt>
                <c:pt idx="18">
                  <c:v>0.63492063492063489</c:v>
                </c:pt>
                <c:pt idx="19">
                  <c:v>0.61538461538461542</c:v>
                </c:pt>
                <c:pt idx="20">
                  <c:v>0.59701492537313428</c:v>
                </c:pt>
                <c:pt idx="21">
                  <c:v>0.56716417910447758</c:v>
                </c:pt>
                <c:pt idx="22">
                  <c:v>0.53731343283582078</c:v>
                </c:pt>
                <c:pt idx="23">
                  <c:v>0.50746268656716409</c:v>
                </c:pt>
                <c:pt idx="24">
                  <c:v>0.4776119402985074</c:v>
                </c:pt>
                <c:pt idx="25">
                  <c:v>0.4477611940298506</c:v>
                </c:pt>
                <c:pt idx="26">
                  <c:v>0.41791044776119385</c:v>
                </c:pt>
                <c:pt idx="27">
                  <c:v>0.3880597014925371</c:v>
                </c:pt>
                <c:pt idx="28">
                  <c:v>0.35820895522388041</c:v>
                </c:pt>
                <c:pt idx="29">
                  <c:v>0.32835820895522361</c:v>
                </c:pt>
                <c:pt idx="30">
                  <c:v>0.29850746268656692</c:v>
                </c:pt>
                <c:pt idx="31">
                  <c:v>0.26865671641791017</c:v>
                </c:pt>
                <c:pt idx="32">
                  <c:v>0.2388059701492535</c:v>
                </c:pt>
                <c:pt idx="33">
                  <c:v>0.20895522388059676</c:v>
                </c:pt>
                <c:pt idx="34">
                  <c:v>0.17910447761194007</c:v>
                </c:pt>
                <c:pt idx="35">
                  <c:v>0.14925373134328335</c:v>
                </c:pt>
                <c:pt idx="36">
                  <c:v>0.11940298507462666</c:v>
                </c:pt>
                <c:pt idx="37">
                  <c:v>0.11594202898550703</c:v>
                </c:pt>
                <c:pt idx="38">
                  <c:v>0.11267605633802796</c:v>
                </c:pt>
                <c:pt idx="39">
                  <c:v>0.1095890410958902</c:v>
                </c:pt>
                <c:pt idx="40">
                  <c:v>0.10666666666666647</c:v>
                </c:pt>
                <c:pt idx="41">
                  <c:v>0.10389610389610371</c:v>
                </c:pt>
                <c:pt idx="42">
                  <c:v>0.10126582278480994</c:v>
                </c:pt>
                <c:pt idx="43">
                  <c:v>9.876543209876526E-2</c:v>
                </c:pt>
                <c:pt idx="44">
                  <c:v>9.6385542168674537E-2</c:v>
                </c:pt>
                <c:pt idx="45">
                  <c:v>9.4117647058823375E-2</c:v>
                </c:pt>
                <c:pt idx="46">
                  <c:v>9.1954022988505607E-2</c:v>
                </c:pt>
                <c:pt idx="47">
                  <c:v>8.9887640449438047E-2</c:v>
                </c:pt>
                <c:pt idx="48">
                  <c:v>8.791208791208778E-2</c:v>
                </c:pt>
                <c:pt idx="49">
                  <c:v>8.6021505376343954E-2</c:v>
                </c:pt>
                <c:pt idx="50">
                  <c:v>8.4210526315789333E-2</c:v>
                </c:pt>
                <c:pt idx="51">
                  <c:v>8.2474226804123585E-2</c:v>
                </c:pt>
                <c:pt idx="52">
                  <c:v>8.080808080808069E-2</c:v>
                </c:pt>
                <c:pt idx="53">
                  <c:v>7.9207920792079098E-2</c:v>
                </c:pt>
                <c:pt idx="54">
                  <c:v>7.7669902912621255E-2</c:v>
                </c:pt>
                <c:pt idx="55">
                  <c:v>7.61904761904761E-2</c:v>
                </c:pt>
                <c:pt idx="56">
                  <c:v>7.4766355140186827E-2</c:v>
                </c:pt>
                <c:pt idx="57">
                  <c:v>7.3394495412843958E-2</c:v>
                </c:pt>
                <c:pt idx="58">
                  <c:v>7.2072072072071988E-2</c:v>
                </c:pt>
                <c:pt idx="59">
                  <c:v>7.079646017699108E-2</c:v>
                </c:pt>
                <c:pt idx="60">
                  <c:v>6.9565217391304279E-2</c:v>
                </c:pt>
                <c:pt idx="61">
                  <c:v>6.8376068376068314E-2</c:v>
                </c:pt>
                <c:pt idx="62">
                  <c:v>6.7226890756302463E-2</c:v>
                </c:pt>
                <c:pt idx="63">
                  <c:v>6.6115702479338789E-2</c:v>
                </c:pt>
                <c:pt idx="64">
                  <c:v>6.5040650406504016E-2</c:v>
                </c:pt>
                <c:pt idx="65">
                  <c:v>6.3999999999999946E-2</c:v>
                </c:pt>
                <c:pt idx="66">
                  <c:v>6.2992125984251926E-2</c:v>
                </c:pt>
                <c:pt idx="67">
                  <c:v>6.201550387596895E-2</c:v>
                </c:pt>
                <c:pt idx="68">
                  <c:v>6.1068702290076299E-2</c:v>
                </c:pt>
                <c:pt idx="69">
                  <c:v>6.0150375939849586E-2</c:v>
                </c:pt>
                <c:pt idx="70">
                  <c:v>5.9259259259259227E-2</c:v>
                </c:pt>
                <c:pt idx="71">
                  <c:v>5.8394160583941576E-2</c:v>
                </c:pt>
                <c:pt idx="72">
                  <c:v>5.7553956834532349E-2</c:v>
                </c:pt>
                <c:pt idx="73">
                  <c:v>5.6737588652482247E-2</c:v>
                </c:pt>
                <c:pt idx="74">
                  <c:v>5.5944055944055923E-2</c:v>
                </c:pt>
                <c:pt idx="75">
                  <c:v>5.5172413793103427E-2</c:v>
                </c:pt>
                <c:pt idx="76">
                  <c:v>5.4421768707482977E-2</c:v>
                </c:pt>
                <c:pt idx="77">
                  <c:v>5.369127516778522E-2</c:v>
                </c:pt>
                <c:pt idx="78">
                  <c:v>5.2980132450331112E-2</c:v>
                </c:pt>
                <c:pt idx="79">
                  <c:v>5.2287581699346393E-2</c:v>
                </c:pt>
                <c:pt idx="80">
                  <c:v>5.1612903225806438E-2</c:v>
                </c:pt>
                <c:pt idx="81">
                  <c:v>5.0955414012738842E-2</c:v>
                </c:pt>
                <c:pt idx="82">
                  <c:v>5.031446540880502E-2</c:v>
                </c:pt>
                <c:pt idx="83">
                  <c:v>4.968944099378881E-2</c:v>
                </c:pt>
                <c:pt idx="84">
                  <c:v>4.9079754601226988E-2</c:v>
                </c:pt>
                <c:pt idx="85">
                  <c:v>4.8484848484848478E-2</c:v>
                </c:pt>
                <c:pt idx="86">
                  <c:v>4.7904191616766463E-2</c:v>
                </c:pt>
                <c:pt idx="87">
                  <c:v>4.7337278106508875E-2</c:v>
                </c:pt>
                <c:pt idx="88">
                  <c:v>4.6783625730994149E-2</c:v>
                </c:pt>
                <c:pt idx="89">
                  <c:v>4.6242774566473986E-2</c:v>
                </c:pt>
                <c:pt idx="90">
                  <c:v>4.5714285714285714E-2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A2-403D-88E0-7E629CF99B3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'Offshore Heights'!$B$3:$CN$3</c:f>
              <c:numCache>
                <c:formatCode>General</c:formatCode>
                <c:ptCount val="91"/>
                <c:pt idx="0">
                  <c:v>0</c:v>
                </c:pt>
                <c:pt idx="1">
                  <c:v>2.4390243902439029E-2</c:v>
                </c:pt>
                <c:pt idx="2">
                  <c:v>4.7619047619047616E-2</c:v>
                </c:pt>
                <c:pt idx="3">
                  <c:v>6.9767441860465129E-2</c:v>
                </c:pt>
                <c:pt idx="4">
                  <c:v>9.0909090909090912E-2</c:v>
                </c:pt>
                <c:pt idx="5">
                  <c:v>0.1111111111111111</c:v>
                </c:pt>
                <c:pt idx="6">
                  <c:v>0.13043478260869565</c:v>
                </c:pt>
                <c:pt idx="7">
                  <c:v>0.14893617021276595</c:v>
                </c:pt>
                <c:pt idx="8">
                  <c:v>0.16666666666666666</c:v>
                </c:pt>
                <c:pt idx="9">
                  <c:v>0.18367346938775508</c:v>
                </c:pt>
                <c:pt idx="10">
                  <c:v>0.19999999999999998</c:v>
                </c:pt>
                <c:pt idx="11">
                  <c:v>0.2156862745098039</c:v>
                </c:pt>
                <c:pt idx="12">
                  <c:v>0.23076923076923075</c:v>
                </c:pt>
                <c:pt idx="13">
                  <c:v>0.24528301886792456</c:v>
                </c:pt>
                <c:pt idx="14">
                  <c:v>0.25454545454545457</c:v>
                </c:pt>
                <c:pt idx="15">
                  <c:v>0.26315789473684215</c:v>
                </c:pt>
                <c:pt idx="16">
                  <c:v>0.27118644067796616</c:v>
                </c:pt>
                <c:pt idx="17">
                  <c:v>0.27868852459016397</c:v>
                </c:pt>
                <c:pt idx="18">
                  <c:v>0.28571428571428575</c:v>
                </c:pt>
                <c:pt idx="19">
                  <c:v>0.29230769230769238</c:v>
                </c:pt>
                <c:pt idx="20">
                  <c:v>0.29850746268656725</c:v>
                </c:pt>
                <c:pt idx="21">
                  <c:v>0.31343283582089559</c:v>
                </c:pt>
                <c:pt idx="22">
                  <c:v>0.32835820895522394</c:v>
                </c:pt>
                <c:pt idx="23">
                  <c:v>0.34328358208955234</c:v>
                </c:pt>
                <c:pt idx="24">
                  <c:v>0.35820895522388074</c:v>
                </c:pt>
                <c:pt idx="25">
                  <c:v>0.37313432835820909</c:v>
                </c:pt>
                <c:pt idx="26">
                  <c:v>0.38805970149253743</c:v>
                </c:pt>
                <c:pt idx="27">
                  <c:v>0.40298507462686584</c:v>
                </c:pt>
                <c:pt idx="28">
                  <c:v>0.41791044776119424</c:v>
                </c:pt>
                <c:pt idx="29">
                  <c:v>0.43283582089552258</c:v>
                </c:pt>
                <c:pt idx="30">
                  <c:v>0.44776119402985093</c:v>
                </c:pt>
                <c:pt idx="31">
                  <c:v>0.46268656716417922</c:v>
                </c:pt>
                <c:pt idx="32">
                  <c:v>0.47761194029850768</c:v>
                </c:pt>
                <c:pt idx="33">
                  <c:v>0.49253731343283597</c:v>
                </c:pt>
                <c:pt idx="34">
                  <c:v>0.50746268656716431</c:v>
                </c:pt>
                <c:pt idx="35">
                  <c:v>0.52238805970149271</c:v>
                </c:pt>
                <c:pt idx="36">
                  <c:v>0.53731343283582111</c:v>
                </c:pt>
                <c:pt idx="37">
                  <c:v>0.53623188405797118</c:v>
                </c:pt>
                <c:pt idx="38">
                  <c:v>0.53521126760563398</c:v>
                </c:pt>
                <c:pt idx="39">
                  <c:v>0.53424657534246589</c:v>
                </c:pt>
                <c:pt idx="40">
                  <c:v>0.53333333333333344</c:v>
                </c:pt>
                <c:pt idx="41">
                  <c:v>0.53246753246753253</c:v>
                </c:pt>
                <c:pt idx="42">
                  <c:v>0.53164556962025322</c:v>
                </c:pt>
                <c:pt idx="43">
                  <c:v>0.53086419753086422</c:v>
                </c:pt>
                <c:pt idx="44">
                  <c:v>0.53012048192771088</c:v>
                </c:pt>
                <c:pt idx="45">
                  <c:v>0.52941176470588236</c:v>
                </c:pt>
                <c:pt idx="46">
                  <c:v>0.52873563218390807</c:v>
                </c:pt>
                <c:pt idx="47">
                  <c:v>0.52808988764044928</c:v>
                </c:pt>
                <c:pt idx="48">
                  <c:v>0.52747252747252737</c:v>
                </c:pt>
                <c:pt idx="49">
                  <c:v>0.52688172043010739</c:v>
                </c:pt>
                <c:pt idx="50">
                  <c:v>0.52631578947368407</c:v>
                </c:pt>
                <c:pt idx="51">
                  <c:v>0.52577319587628846</c:v>
                </c:pt>
                <c:pt idx="52">
                  <c:v>0.52525252525252508</c:v>
                </c:pt>
                <c:pt idx="53">
                  <c:v>0.52475247524752455</c:v>
                </c:pt>
                <c:pt idx="54">
                  <c:v>0.52427184466019405</c:v>
                </c:pt>
                <c:pt idx="55">
                  <c:v>0.52380952380952361</c:v>
                </c:pt>
                <c:pt idx="56">
                  <c:v>0.52336448598130825</c:v>
                </c:pt>
                <c:pt idx="57">
                  <c:v>0.52293577981651362</c:v>
                </c:pt>
                <c:pt idx="58">
                  <c:v>0.5225225225225224</c:v>
                </c:pt>
                <c:pt idx="59">
                  <c:v>0.52212389380530955</c:v>
                </c:pt>
                <c:pt idx="60">
                  <c:v>0.52173913043478248</c:v>
                </c:pt>
                <c:pt idx="61">
                  <c:v>0.52136752136752118</c:v>
                </c:pt>
                <c:pt idx="62">
                  <c:v>0.52100840336134435</c:v>
                </c:pt>
                <c:pt idx="63">
                  <c:v>0.52066115702479321</c:v>
                </c:pt>
                <c:pt idx="64">
                  <c:v>0.52032520325203235</c:v>
                </c:pt>
                <c:pt idx="65">
                  <c:v>0.51999999999999991</c:v>
                </c:pt>
                <c:pt idx="66">
                  <c:v>0.51968503937007859</c:v>
                </c:pt>
                <c:pt idx="67">
                  <c:v>0.51937984496124023</c:v>
                </c:pt>
                <c:pt idx="68">
                  <c:v>0.51908396946564872</c:v>
                </c:pt>
                <c:pt idx="69">
                  <c:v>0.51879699248120292</c:v>
                </c:pt>
                <c:pt idx="70">
                  <c:v>0.51851851851851838</c:v>
                </c:pt>
                <c:pt idx="71">
                  <c:v>0.51824817518248167</c:v>
                </c:pt>
                <c:pt idx="72">
                  <c:v>0.51798561151079126</c:v>
                </c:pt>
                <c:pt idx="73">
                  <c:v>0.51773049645390057</c:v>
                </c:pt>
                <c:pt idx="74">
                  <c:v>0.51748251748251739</c:v>
                </c:pt>
                <c:pt idx="75">
                  <c:v>0.51724137931034475</c:v>
                </c:pt>
                <c:pt idx="76">
                  <c:v>0.51700680272108834</c:v>
                </c:pt>
                <c:pt idx="77">
                  <c:v>0.51677852348993281</c:v>
                </c:pt>
                <c:pt idx="78">
                  <c:v>0.51655629139072834</c:v>
                </c:pt>
                <c:pt idx="79">
                  <c:v>0.51633986928104569</c:v>
                </c:pt>
                <c:pt idx="80">
                  <c:v>0.51612903225806439</c:v>
                </c:pt>
                <c:pt idx="81">
                  <c:v>0.51592356687898078</c:v>
                </c:pt>
                <c:pt idx="82">
                  <c:v>0.51572327044025146</c:v>
                </c:pt>
                <c:pt idx="83">
                  <c:v>0.51552795031055887</c:v>
                </c:pt>
                <c:pt idx="84">
                  <c:v>0.51533742331288335</c:v>
                </c:pt>
                <c:pt idx="85">
                  <c:v>0.51515151515151503</c:v>
                </c:pt>
                <c:pt idx="86">
                  <c:v>0.51497005988023947</c:v>
                </c:pt>
                <c:pt idx="87">
                  <c:v>0.51479289940828399</c:v>
                </c:pt>
                <c:pt idx="88">
                  <c:v>0.51461988304093564</c:v>
                </c:pt>
                <c:pt idx="89">
                  <c:v>0.51445086705202303</c:v>
                </c:pt>
                <c:pt idx="90">
                  <c:v>0.51428571428571423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A2-403D-88E0-7E629CF99B3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'Offshore Heights'!$B$4:$CN$4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1.8181818181818184E-2</c:v>
                </c:pt>
                <c:pt idx="15">
                  <c:v>3.5087719298245612E-2</c:v>
                </c:pt>
                <c:pt idx="16">
                  <c:v>5.0847457627118647E-2</c:v>
                </c:pt>
                <c:pt idx="17">
                  <c:v>6.5573770491803282E-2</c:v>
                </c:pt>
                <c:pt idx="18">
                  <c:v>7.9365079365079361E-2</c:v>
                </c:pt>
                <c:pt idx="19">
                  <c:v>9.2307692307692299E-2</c:v>
                </c:pt>
                <c:pt idx="20">
                  <c:v>0.1044776119402985</c:v>
                </c:pt>
                <c:pt idx="21">
                  <c:v>0.11940298507462685</c:v>
                </c:pt>
                <c:pt idx="22">
                  <c:v>0.1343283582089552</c:v>
                </c:pt>
                <c:pt idx="23">
                  <c:v>0.14925373134328357</c:v>
                </c:pt>
                <c:pt idx="24">
                  <c:v>0.16417910447761194</c:v>
                </c:pt>
                <c:pt idx="25">
                  <c:v>0.17910447761194029</c:v>
                </c:pt>
                <c:pt idx="26">
                  <c:v>0.19402985074626866</c:v>
                </c:pt>
                <c:pt idx="27">
                  <c:v>0.20895522388059704</c:v>
                </c:pt>
                <c:pt idx="28">
                  <c:v>0.22388059701492544</c:v>
                </c:pt>
                <c:pt idx="29">
                  <c:v>0.23880597014925378</c:v>
                </c:pt>
                <c:pt idx="30">
                  <c:v>0.25373134328358216</c:v>
                </c:pt>
                <c:pt idx="31">
                  <c:v>0.2686567164179105</c:v>
                </c:pt>
                <c:pt idx="32">
                  <c:v>0.2835820895522389</c:v>
                </c:pt>
                <c:pt idx="33">
                  <c:v>0.29850746268656719</c:v>
                </c:pt>
                <c:pt idx="34">
                  <c:v>0.31343283582089554</c:v>
                </c:pt>
                <c:pt idx="35">
                  <c:v>0.32835820895522394</c:v>
                </c:pt>
                <c:pt idx="36">
                  <c:v>0.34328358208955229</c:v>
                </c:pt>
                <c:pt idx="37">
                  <c:v>0.34782608695652173</c:v>
                </c:pt>
                <c:pt idx="38">
                  <c:v>0.35211267605633806</c:v>
                </c:pt>
                <c:pt idx="39">
                  <c:v>0.35616438356164387</c:v>
                </c:pt>
                <c:pt idx="40">
                  <c:v>0.36000000000000004</c:v>
                </c:pt>
                <c:pt idx="41">
                  <c:v>0.36363636363636376</c:v>
                </c:pt>
                <c:pt idx="42">
                  <c:v>0.36708860759493683</c:v>
                </c:pt>
                <c:pt idx="43">
                  <c:v>0.37037037037037046</c:v>
                </c:pt>
                <c:pt idx="44">
                  <c:v>0.37349397590361461</c:v>
                </c:pt>
                <c:pt idx="45">
                  <c:v>0.37647058823529428</c:v>
                </c:pt>
                <c:pt idx="46">
                  <c:v>0.37931034482758641</c:v>
                </c:pt>
                <c:pt idx="47">
                  <c:v>0.38202247191011252</c:v>
                </c:pt>
                <c:pt idx="48">
                  <c:v>0.3846153846153848</c:v>
                </c:pt>
                <c:pt idx="49">
                  <c:v>0.38709677419354865</c:v>
                </c:pt>
                <c:pt idx="50">
                  <c:v>0.38947368421052653</c:v>
                </c:pt>
                <c:pt idx="51">
                  <c:v>0.39175257731958785</c:v>
                </c:pt>
                <c:pt idx="52">
                  <c:v>0.3939393939393942</c:v>
                </c:pt>
                <c:pt idx="53">
                  <c:v>0.39603960396039628</c:v>
                </c:pt>
                <c:pt idx="54">
                  <c:v>0.39805825242718473</c:v>
                </c:pt>
                <c:pt idx="55">
                  <c:v>0.40000000000000024</c:v>
                </c:pt>
                <c:pt idx="56">
                  <c:v>0.40186915887850488</c:v>
                </c:pt>
                <c:pt idx="57">
                  <c:v>0.40366972477064245</c:v>
                </c:pt>
                <c:pt idx="58">
                  <c:v>0.40540540540540559</c:v>
                </c:pt>
                <c:pt idx="59">
                  <c:v>0.4070796460176993</c:v>
                </c:pt>
                <c:pt idx="60">
                  <c:v>0.40869565217391324</c:v>
                </c:pt>
                <c:pt idx="61">
                  <c:v>0.41025641025641046</c:v>
                </c:pt>
                <c:pt idx="62">
                  <c:v>0.41176470588235314</c:v>
                </c:pt>
                <c:pt idx="63">
                  <c:v>0.41322314049586795</c:v>
                </c:pt>
                <c:pt idx="64">
                  <c:v>0.41463414634146356</c:v>
                </c:pt>
                <c:pt idx="65">
                  <c:v>0.41600000000000015</c:v>
                </c:pt>
                <c:pt idx="66">
                  <c:v>0.41732283464566944</c:v>
                </c:pt>
                <c:pt idx="67">
                  <c:v>0.41860465116279083</c:v>
                </c:pt>
                <c:pt idx="68">
                  <c:v>0.41984732824427495</c:v>
                </c:pt>
                <c:pt idx="69">
                  <c:v>0.42105263157894751</c:v>
                </c:pt>
                <c:pt idx="70">
                  <c:v>0.42222222222222233</c:v>
                </c:pt>
                <c:pt idx="71">
                  <c:v>0.42335766423357679</c:v>
                </c:pt>
                <c:pt idx="72">
                  <c:v>0.4244604316546764</c:v>
                </c:pt>
                <c:pt idx="73">
                  <c:v>0.42553191489361714</c:v>
                </c:pt>
                <c:pt idx="74">
                  <c:v>0.42657342657342667</c:v>
                </c:pt>
                <c:pt idx="75">
                  <c:v>0.42758620689655186</c:v>
                </c:pt>
                <c:pt idx="76">
                  <c:v>0.42857142857142866</c:v>
                </c:pt>
                <c:pt idx="77">
                  <c:v>0.42953020134228198</c:v>
                </c:pt>
                <c:pt idx="78">
                  <c:v>0.43046357615894049</c:v>
                </c:pt>
                <c:pt idx="79">
                  <c:v>0.43137254901960792</c:v>
                </c:pt>
                <c:pt idx="80">
                  <c:v>0.43225806451612914</c:v>
                </c:pt>
                <c:pt idx="81">
                  <c:v>0.43312101910828033</c:v>
                </c:pt>
                <c:pt idx="82">
                  <c:v>0.43396226415094347</c:v>
                </c:pt>
                <c:pt idx="83">
                  <c:v>0.43478260869565227</c:v>
                </c:pt>
                <c:pt idx="84">
                  <c:v>0.43558282208588966</c:v>
                </c:pt>
                <c:pt idx="85">
                  <c:v>0.43636363636363645</c:v>
                </c:pt>
                <c:pt idx="86">
                  <c:v>0.43712574850299407</c:v>
                </c:pt>
                <c:pt idx="87">
                  <c:v>0.43786982248520717</c:v>
                </c:pt>
                <c:pt idx="88">
                  <c:v>0.43859649122807026</c:v>
                </c:pt>
                <c:pt idx="89">
                  <c:v>0.43930635838150295</c:v>
                </c:pt>
                <c:pt idx="90">
                  <c:v>0.44000000000000006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A2-403D-88E0-7E629CF99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7419792"/>
        <c:axId val="927418960"/>
      </c:lineChart>
      <c:catAx>
        <c:axId val="927419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418960"/>
        <c:crosses val="autoZero"/>
        <c:auto val="1"/>
        <c:lblAlgn val="ctr"/>
        <c:lblOffset val="100"/>
        <c:noMultiLvlLbl val="0"/>
      </c:catAx>
      <c:valAx>
        <c:axId val="92741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41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Offshore!$C$3:$CO$3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209.51633986928107</c:v>
                </c:pt>
                <c:pt idx="12">
                  <c:v>215.60897435897431</c:v>
                </c:pt>
                <c:pt idx="13">
                  <c:v>221.03773584905662</c:v>
                </c:pt>
                <c:pt idx="14">
                  <c:v>236.66666666666666</c:v>
                </c:pt>
                <c:pt idx="15">
                  <c:v>265.20935672514622</c:v>
                </c:pt>
                <c:pt idx="16">
                  <c:v>291.81242937853114</c:v>
                </c:pt>
                <c:pt idx="17">
                  <c:v>316.67103825136616</c:v>
                </c:pt>
                <c:pt idx="18">
                  <c:v>339.95132275132278</c:v>
                </c:pt>
                <c:pt idx="19">
                  <c:v>361.79897435897431</c:v>
                </c:pt>
                <c:pt idx="20">
                  <c:v>350.99900497512425</c:v>
                </c:pt>
                <c:pt idx="21">
                  <c:v>363.22517412935315</c:v>
                </c:pt>
                <c:pt idx="22">
                  <c:v>364.88417910447748</c:v>
                </c:pt>
                <c:pt idx="23">
                  <c:v>357.21482587064668</c:v>
                </c:pt>
                <c:pt idx="24">
                  <c:v>348.06288557213924</c:v>
                </c:pt>
                <c:pt idx="25">
                  <c:v>337.42835820895505</c:v>
                </c:pt>
                <c:pt idx="26">
                  <c:v>334.64597014925357</c:v>
                </c:pt>
                <c:pt idx="27">
                  <c:v>329.04099502487537</c:v>
                </c:pt>
                <c:pt idx="28">
                  <c:v>337.38149253731325</c:v>
                </c:pt>
                <c:pt idx="29">
                  <c:v>328.76756218905439</c:v>
                </c:pt>
                <c:pt idx="30">
                  <c:v>329.9363184079599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0-42A5-9785-9DC8D37A5A2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Offshore!$C$25:$CO$25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57.616993464052278</c:v>
                </c:pt>
                <c:pt idx="12">
                  <c:v>64.682692307692292</c:v>
                </c:pt>
                <c:pt idx="13">
                  <c:v>71.837264150943398</c:v>
                </c:pt>
                <c:pt idx="14">
                  <c:v>82.833333333333329</c:v>
                </c:pt>
                <c:pt idx="15">
                  <c:v>99.453508771929862</c:v>
                </c:pt>
                <c:pt idx="16">
                  <c:v>116.72497175141247</c:v>
                </c:pt>
                <c:pt idx="17">
                  <c:v>134.58519125683063</c:v>
                </c:pt>
                <c:pt idx="18">
                  <c:v>152.97809523809528</c:v>
                </c:pt>
                <c:pt idx="19">
                  <c:v>171.85451282051281</c:v>
                </c:pt>
                <c:pt idx="20">
                  <c:v>175.49950248756218</c:v>
                </c:pt>
                <c:pt idx="21">
                  <c:v>200.72970149253732</c:v>
                </c:pt>
                <c:pt idx="22">
                  <c:v>222.98477611940299</c:v>
                </c:pt>
                <c:pt idx="23">
                  <c:v>241.64532338308464</c:v>
                </c:pt>
                <c:pt idx="24">
                  <c:v>261.04716417910458</c:v>
                </c:pt>
                <c:pt idx="25">
                  <c:v>281.19029850746273</c:v>
                </c:pt>
                <c:pt idx="26">
                  <c:v>310.7426865671643</c:v>
                </c:pt>
                <c:pt idx="27">
                  <c:v>341.69641791044785</c:v>
                </c:pt>
                <c:pt idx="28">
                  <c:v>393.61174129353253</c:v>
                </c:pt>
                <c:pt idx="29">
                  <c:v>433.37542288557228</c:v>
                </c:pt>
                <c:pt idx="30">
                  <c:v>494.90447761194048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0-42A5-9785-9DC8D37A5A2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Offshore!$C$47:$CO$47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5.916666666666667</c:v>
                </c:pt>
                <c:pt idx="15">
                  <c:v>13.260467836257313</c:v>
                </c:pt>
                <c:pt idx="16">
                  <c:v>21.885932203389835</c:v>
                </c:pt>
                <c:pt idx="17">
                  <c:v>31.667103825136618</c:v>
                </c:pt>
                <c:pt idx="18">
                  <c:v>42.493915343915347</c:v>
                </c:pt>
                <c:pt idx="19">
                  <c:v>54.269846153846132</c:v>
                </c:pt>
                <c:pt idx="20">
                  <c:v>61.42482587064675</c:v>
                </c:pt>
                <c:pt idx="21">
                  <c:v>76.468457711442753</c:v>
                </c:pt>
                <c:pt idx="22">
                  <c:v>91.221044776119371</c:v>
                </c:pt>
                <c:pt idx="23">
                  <c:v>105.06318407960197</c:v>
                </c:pt>
                <c:pt idx="24">
                  <c:v>119.64661691542288</c:v>
                </c:pt>
                <c:pt idx="25">
                  <c:v>134.97134328358206</c:v>
                </c:pt>
                <c:pt idx="26">
                  <c:v>155.37134328358209</c:v>
                </c:pt>
                <c:pt idx="27">
                  <c:v>177.17592039800994</c:v>
                </c:pt>
                <c:pt idx="28">
                  <c:v>210.86343283582096</c:v>
                </c:pt>
                <c:pt idx="29">
                  <c:v>239.10368159203983</c:v>
                </c:pt>
                <c:pt idx="30">
                  <c:v>280.44587064676625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30-42A5-9785-9DC8D37A5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8156656"/>
        <c:axId val="1488144176"/>
      </c:lineChart>
      <c:catAx>
        <c:axId val="1488156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144176"/>
        <c:crosses val="autoZero"/>
        <c:auto val="1"/>
        <c:lblAlgn val="ctr"/>
        <c:lblOffset val="100"/>
        <c:noMultiLvlLbl val="0"/>
      </c:catAx>
      <c:valAx>
        <c:axId val="148814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15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485775</xdr:colOff>
      <xdr:row>14</xdr:row>
      <xdr:rowOff>185737</xdr:rowOff>
    </xdr:from>
    <xdr:to>
      <xdr:col>11</xdr:col>
      <xdr:colOff>180975</xdr:colOff>
      <xdr:row>29</xdr:row>
      <xdr:rowOff>71437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E1048C-5C66-473C-9F27-501A1A059A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15</xdr:row>
      <xdr:rowOff>0</xdr:rowOff>
    </xdr:from>
    <xdr:to>
      <xdr:col>22</xdr:col>
      <xdr:colOff>304800</xdr:colOff>
      <xdr:row>29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694016-9BC3-4540-9A8F-365DA46F9B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3990975</xdr:colOff>
          <xdr:row>0</xdr:row>
          <xdr:rowOff>104775</xdr:rowOff>
        </xdr:from>
        <xdr:to>
          <xdr:col>0</xdr:col>
          <xdr:colOff>4533900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0</xdr:row>
          <xdr:rowOff>161925</xdr:rowOff>
        </xdr:from>
        <xdr:to>
          <xdr:col>2</xdr:col>
          <xdr:colOff>361950</xdr:colOff>
          <xdr:row>2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A25AC-061D-468D-8151-E70E7BB120EF}">
  <sheetPr codeName="Sheet1"/>
  <dimension ref="D2:P5637"/>
  <sheetViews>
    <sheetView topLeftCell="C5600" workbookViewId="0">
      <selection activeCell="P5637" sqref="P5637"/>
    </sheetView>
  </sheetViews>
  <sheetFormatPr defaultRowHeight="15" x14ac:dyDescent="0.25"/>
  <cols>
    <col min="4" max="4" width="10.7109375" bestFit="1" customWidth="1"/>
    <col min="5" max="5" width="40.5703125" bestFit="1" customWidth="1"/>
    <col min="6" max="6" width="44" bestFit="1" customWidth="1"/>
    <col min="7" max="7" width="20.140625" bestFit="1" customWidth="1"/>
    <col min="13" max="13" width="23" bestFit="1" customWidth="1"/>
    <col min="15" max="15" width="28.140625" bestFit="1" customWidth="1"/>
  </cols>
  <sheetData>
    <row r="2" spans="4:16" x14ac:dyDescent="0.25">
      <c r="D2" t="s">
        <v>118</v>
      </c>
      <c r="E2" t="s">
        <v>119</v>
      </c>
      <c r="F2" t="s">
        <v>120</v>
      </c>
      <c r="G2" t="s">
        <v>121</v>
      </c>
      <c r="I2" t="s">
        <v>140</v>
      </c>
      <c r="J2" t="s">
        <v>139</v>
      </c>
      <c r="K2" t="s">
        <v>141</v>
      </c>
    </row>
    <row r="3" spans="4:16" x14ac:dyDescent="0.25">
      <c r="D3">
        <v>2021</v>
      </c>
      <c r="E3" t="s">
        <v>143</v>
      </c>
      <c r="F3" t="s">
        <v>144</v>
      </c>
      <c r="G3">
        <v>2000</v>
      </c>
      <c r="I3">
        <f>IFERROR(FIND(I$2,$E3,1)&gt;0,0)</f>
        <v>0</v>
      </c>
      <c r="J3">
        <f t="shared" ref="J3:K22" si="0">IFERROR(FIND(J$2,$E3,1)&gt;0,0)</f>
        <v>0</v>
      </c>
      <c r="K3">
        <f t="shared" si="0"/>
        <v>0</v>
      </c>
      <c r="M3" t="str" cm="1">
        <f t="array" ref="M3">IFERROR(INDEX($I$2:$K$2,0,MATCH(TRUE,I3:K3,0)),E3)</f>
        <v>Additional Firm Capacity</v>
      </c>
      <c r="O3" t="str">
        <f>M3&amp;"_"&amp;D3</f>
        <v>Additional Firm Capacity_2021</v>
      </c>
      <c r="P3">
        <f>G3</f>
        <v>2000</v>
      </c>
    </row>
    <row r="4" spans="4:16" x14ac:dyDescent="0.25">
      <c r="D4">
        <v>2022</v>
      </c>
      <c r="E4" t="s">
        <v>143</v>
      </c>
      <c r="F4" t="s">
        <v>144</v>
      </c>
      <c r="G4">
        <v>3000</v>
      </c>
      <c r="I4">
        <f t="shared" ref="I4:K23" si="1">IFERROR(FIND(I$2,$E4,1)&gt;0,0)</f>
        <v>0</v>
      </c>
      <c r="J4">
        <f t="shared" si="0"/>
        <v>0</v>
      </c>
      <c r="K4">
        <f t="shared" si="0"/>
        <v>0</v>
      </c>
      <c r="M4" t="str" cm="1">
        <f t="array" ref="M4">IFERROR(INDEX($I$2:$K$2,0,MATCH(TRUE,I4:K4,0)),E4)</f>
        <v>Additional Firm Capacity</v>
      </c>
      <c r="O4" t="str">
        <f t="shared" ref="O4:O67" si="2">M4&amp;"_"&amp;D4</f>
        <v>Additional Firm Capacity_2022</v>
      </c>
      <c r="P4">
        <f t="shared" ref="P4:P67" si="3">G4</f>
        <v>3000</v>
      </c>
    </row>
    <row r="5" spans="4:16" x14ac:dyDescent="0.25">
      <c r="D5">
        <v>2023</v>
      </c>
      <c r="E5" t="s">
        <v>143</v>
      </c>
      <c r="F5" t="s">
        <v>144</v>
      </c>
      <c r="G5">
        <v>3000</v>
      </c>
      <c r="I5">
        <f t="shared" si="1"/>
        <v>0</v>
      </c>
      <c r="J5">
        <f t="shared" si="0"/>
        <v>0</v>
      </c>
      <c r="K5">
        <f t="shared" si="0"/>
        <v>0</v>
      </c>
      <c r="M5" t="str" cm="1">
        <f t="array" ref="M5">IFERROR(INDEX($I$2:$K$2,0,MATCH(TRUE,I5:K5,0)),E5)</f>
        <v>Additional Firm Capacity</v>
      </c>
      <c r="O5" t="str">
        <f t="shared" si="2"/>
        <v>Additional Firm Capacity_2023</v>
      </c>
      <c r="P5">
        <f t="shared" si="3"/>
        <v>3000</v>
      </c>
    </row>
    <row r="6" spans="4:16" x14ac:dyDescent="0.25">
      <c r="D6">
        <v>2024</v>
      </c>
      <c r="E6" t="s">
        <v>143</v>
      </c>
      <c r="F6" t="s">
        <v>144</v>
      </c>
      <c r="G6">
        <v>3000</v>
      </c>
      <c r="I6">
        <f t="shared" si="1"/>
        <v>0</v>
      </c>
      <c r="J6">
        <f t="shared" si="0"/>
        <v>0</v>
      </c>
      <c r="K6">
        <f t="shared" si="0"/>
        <v>0</v>
      </c>
      <c r="M6" t="str" cm="1">
        <f t="array" ref="M6">IFERROR(INDEX($I$2:$K$2,0,MATCH(TRUE,I6:K6,0)),E6)</f>
        <v>Additional Firm Capacity</v>
      </c>
      <c r="O6" t="str">
        <f t="shared" si="2"/>
        <v>Additional Firm Capacity_2024</v>
      </c>
      <c r="P6">
        <f t="shared" si="3"/>
        <v>3000</v>
      </c>
    </row>
    <row r="7" spans="4:16" x14ac:dyDescent="0.25">
      <c r="D7">
        <v>2021</v>
      </c>
      <c r="E7" t="s">
        <v>143</v>
      </c>
      <c r="F7" t="s">
        <v>145</v>
      </c>
      <c r="G7">
        <v>2378</v>
      </c>
      <c r="I7">
        <f t="shared" si="1"/>
        <v>0</v>
      </c>
      <c r="J7">
        <f t="shared" si="0"/>
        <v>0</v>
      </c>
      <c r="K7">
        <f t="shared" si="0"/>
        <v>0</v>
      </c>
      <c r="M7" t="str" cm="1">
        <f t="array" ref="M7">IFERROR(INDEX($I$2:$K$2,0,MATCH(TRUE,I7:K7,0)),E7)</f>
        <v>Additional Firm Capacity</v>
      </c>
      <c r="O7" t="str">
        <f t="shared" si="2"/>
        <v>Additional Firm Capacity_2021</v>
      </c>
      <c r="P7">
        <f t="shared" si="3"/>
        <v>2378</v>
      </c>
    </row>
    <row r="8" spans="4:16" x14ac:dyDescent="0.25">
      <c r="D8">
        <v>2022</v>
      </c>
      <c r="E8" t="s">
        <v>143</v>
      </c>
      <c r="F8" t="s">
        <v>145</v>
      </c>
      <c r="G8">
        <v>1816</v>
      </c>
      <c r="I8">
        <f t="shared" si="1"/>
        <v>0</v>
      </c>
      <c r="J8">
        <f t="shared" si="0"/>
        <v>0</v>
      </c>
      <c r="K8">
        <f t="shared" si="0"/>
        <v>0</v>
      </c>
      <c r="M8" t="str" cm="1">
        <f t="array" ref="M8">IFERROR(INDEX($I$2:$K$2,0,MATCH(TRUE,I8:K8,0)),E8)</f>
        <v>Additional Firm Capacity</v>
      </c>
      <c r="O8" t="str">
        <f t="shared" si="2"/>
        <v>Additional Firm Capacity_2022</v>
      </c>
      <c r="P8">
        <f t="shared" si="3"/>
        <v>1816</v>
      </c>
    </row>
    <row r="9" spans="4:16" x14ac:dyDescent="0.25">
      <c r="D9">
        <v>2023</v>
      </c>
      <c r="E9" t="s">
        <v>143</v>
      </c>
      <c r="F9" t="s">
        <v>145</v>
      </c>
      <c r="G9">
        <v>757</v>
      </c>
      <c r="I9">
        <f t="shared" si="1"/>
        <v>0</v>
      </c>
      <c r="J9">
        <f t="shared" si="0"/>
        <v>0</v>
      </c>
      <c r="K9">
        <f t="shared" si="0"/>
        <v>0</v>
      </c>
      <c r="M9" t="str" cm="1">
        <f t="array" ref="M9">IFERROR(INDEX($I$2:$K$2,0,MATCH(TRUE,I9:K9,0)),E9)</f>
        <v>Additional Firm Capacity</v>
      </c>
      <c r="O9" t="str">
        <f t="shared" si="2"/>
        <v>Additional Firm Capacity_2023</v>
      </c>
      <c r="P9">
        <f t="shared" si="3"/>
        <v>757</v>
      </c>
    </row>
    <row r="10" spans="4:16" x14ac:dyDescent="0.25">
      <c r="D10">
        <v>2021</v>
      </c>
      <c r="E10" t="s">
        <v>122</v>
      </c>
      <c r="F10" t="s">
        <v>146</v>
      </c>
      <c r="G10">
        <v>851.73</v>
      </c>
      <c r="I10">
        <f t="shared" si="1"/>
        <v>0</v>
      </c>
      <c r="J10">
        <f t="shared" si="0"/>
        <v>0</v>
      </c>
      <c r="K10">
        <f t="shared" si="0"/>
        <v>0</v>
      </c>
      <c r="M10" t="str" cm="1">
        <f t="array" ref="M10">IFERROR(INDEX($I$2:$K$2,0,MATCH(TRUE,I10:K10,0)),E10)</f>
        <v>Biomass</v>
      </c>
      <c r="O10" t="str">
        <f t="shared" si="2"/>
        <v>Biomass_2021</v>
      </c>
      <c r="P10">
        <f t="shared" si="3"/>
        <v>851.73</v>
      </c>
    </row>
    <row r="11" spans="4:16" x14ac:dyDescent="0.25">
      <c r="D11">
        <v>2022</v>
      </c>
      <c r="E11" t="s">
        <v>122</v>
      </c>
      <c r="F11" t="s">
        <v>146</v>
      </c>
      <c r="G11">
        <v>857.07</v>
      </c>
      <c r="I11">
        <f t="shared" si="1"/>
        <v>0</v>
      </c>
      <c r="J11">
        <f t="shared" si="0"/>
        <v>0</v>
      </c>
      <c r="K11">
        <f t="shared" si="0"/>
        <v>0</v>
      </c>
      <c r="M11" t="str" cm="1">
        <f t="array" ref="M11">IFERROR(INDEX($I$2:$K$2,0,MATCH(TRUE,I11:K11,0)),E11)</f>
        <v>Biomass</v>
      </c>
      <c r="O11" t="str">
        <f t="shared" si="2"/>
        <v>Biomass_2022</v>
      </c>
      <c r="P11">
        <f t="shared" si="3"/>
        <v>857.07</v>
      </c>
    </row>
    <row r="12" spans="4:16" x14ac:dyDescent="0.25">
      <c r="D12">
        <v>2023</v>
      </c>
      <c r="E12" t="s">
        <v>122</v>
      </c>
      <c r="F12" t="s">
        <v>146</v>
      </c>
      <c r="G12">
        <v>862.41</v>
      </c>
      <c r="I12">
        <f t="shared" si="1"/>
        <v>0</v>
      </c>
      <c r="J12">
        <f t="shared" si="0"/>
        <v>0</v>
      </c>
      <c r="K12">
        <f t="shared" si="0"/>
        <v>0</v>
      </c>
      <c r="M12" t="str" cm="1">
        <f t="array" ref="M12">IFERROR(INDEX($I$2:$K$2,0,MATCH(TRUE,I12:K12,0)),E12)</f>
        <v>Biomass</v>
      </c>
      <c r="O12" t="str">
        <f t="shared" si="2"/>
        <v>Biomass_2023</v>
      </c>
      <c r="P12">
        <f t="shared" si="3"/>
        <v>862.41</v>
      </c>
    </row>
    <row r="13" spans="4:16" x14ac:dyDescent="0.25">
      <c r="D13">
        <v>2024</v>
      </c>
      <c r="E13" t="s">
        <v>122</v>
      </c>
      <c r="F13" t="s">
        <v>146</v>
      </c>
      <c r="G13">
        <v>867.75</v>
      </c>
      <c r="I13">
        <f t="shared" si="1"/>
        <v>0</v>
      </c>
      <c r="J13">
        <f t="shared" si="0"/>
        <v>0</v>
      </c>
      <c r="K13">
        <f t="shared" si="0"/>
        <v>0</v>
      </c>
      <c r="M13" t="str" cm="1">
        <f t="array" ref="M13">IFERROR(INDEX($I$2:$K$2,0,MATCH(TRUE,I13:K13,0)),E13)</f>
        <v>Biomass</v>
      </c>
      <c r="O13" t="str">
        <f t="shared" si="2"/>
        <v>Biomass_2024</v>
      </c>
      <c r="P13">
        <f t="shared" si="3"/>
        <v>867.75</v>
      </c>
    </row>
    <row r="14" spans="4:16" x14ac:dyDescent="0.25">
      <c r="D14">
        <v>2025</v>
      </c>
      <c r="E14" t="s">
        <v>122</v>
      </c>
      <c r="F14" t="s">
        <v>146</v>
      </c>
      <c r="G14">
        <v>873.09</v>
      </c>
      <c r="I14">
        <f t="shared" si="1"/>
        <v>0</v>
      </c>
      <c r="J14">
        <f t="shared" si="0"/>
        <v>0</v>
      </c>
      <c r="K14">
        <f t="shared" si="0"/>
        <v>0</v>
      </c>
      <c r="M14" t="str" cm="1">
        <f t="array" ref="M14">IFERROR(INDEX($I$2:$K$2,0,MATCH(TRUE,I14:K14,0)),E14)</f>
        <v>Biomass</v>
      </c>
      <c r="O14" t="str">
        <f t="shared" si="2"/>
        <v>Biomass_2025</v>
      </c>
      <c r="P14">
        <f t="shared" si="3"/>
        <v>873.09</v>
      </c>
    </row>
    <row r="15" spans="4:16" x14ac:dyDescent="0.25">
      <c r="D15">
        <v>2026</v>
      </c>
      <c r="E15" t="s">
        <v>122</v>
      </c>
      <c r="F15" t="s">
        <v>146</v>
      </c>
      <c r="G15">
        <v>878.43</v>
      </c>
      <c r="I15">
        <f t="shared" si="1"/>
        <v>0</v>
      </c>
      <c r="J15">
        <f t="shared" si="0"/>
        <v>0</v>
      </c>
      <c r="K15">
        <f t="shared" si="0"/>
        <v>0</v>
      </c>
      <c r="M15" t="str" cm="1">
        <f t="array" ref="M15">IFERROR(INDEX($I$2:$K$2,0,MATCH(TRUE,I15:K15,0)),E15)</f>
        <v>Biomass</v>
      </c>
      <c r="O15" t="str">
        <f t="shared" si="2"/>
        <v>Biomass_2026</v>
      </c>
      <c r="P15">
        <f t="shared" si="3"/>
        <v>878.43</v>
      </c>
    </row>
    <row r="16" spans="4:16" x14ac:dyDescent="0.25">
      <c r="D16">
        <v>2027</v>
      </c>
      <c r="E16" t="s">
        <v>122</v>
      </c>
      <c r="F16" t="s">
        <v>146</v>
      </c>
      <c r="G16">
        <v>883.77</v>
      </c>
      <c r="I16">
        <f t="shared" si="1"/>
        <v>0</v>
      </c>
      <c r="J16">
        <f t="shared" si="0"/>
        <v>0</v>
      </c>
      <c r="K16">
        <f t="shared" si="0"/>
        <v>0</v>
      </c>
      <c r="M16" t="str" cm="1">
        <f t="array" ref="M16">IFERROR(INDEX($I$2:$K$2,0,MATCH(TRUE,I16:K16,0)),E16)</f>
        <v>Biomass</v>
      </c>
      <c r="O16" t="str">
        <f t="shared" si="2"/>
        <v>Biomass_2027</v>
      </c>
      <c r="P16">
        <f t="shared" si="3"/>
        <v>883.77</v>
      </c>
    </row>
    <row r="17" spans="4:16" x14ac:dyDescent="0.25">
      <c r="D17">
        <v>2028</v>
      </c>
      <c r="E17" t="s">
        <v>122</v>
      </c>
      <c r="F17" t="s">
        <v>146</v>
      </c>
      <c r="G17">
        <v>889.11</v>
      </c>
      <c r="I17">
        <f t="shared" si="1"/>
        <v>0</v>
      </c>
      <c r="J17">
        <f t="shared" si="0"/>
        <v>0</v>
      </c>
      <c r="K17">
        <f t="shared" si="0"/>
        <v>0</v>
      </c>
      <c r="M17" t="str" cm="1">
        <f t="array" ref="M17">IFERROR(INDEX($I$2:$K$2,0,MATCH(TRUE,I17:K17,0)),E17)</f>
        <v>Biomass</v>
      </c>
      <c r="O17" t="str">
        <f t="shared" si="2"/>
        <v>Biomass_2028</v>
      </c>
      <c r="P17">
        <f t="shared" si="3"/>
        <v>889.11</v>
      </c>
    </row>
    <row r="18" spans="4:16" x14ac:dyDescent="0.25">
      <c r="D18">
        <v>2029</v>
      </c>
      <c r="E18" t="s">
        <v>122</v>
      </c>
      <c r="F18" t="s">
        <v>146</v>
      </c>
      <c r="G18">
        <v>894.45</v>
      </c>
      <c r="I18">
        <f t="shared" si="1"/>
        <v>0</v>
      </c>
      <c r="J18">
        <f t="shared" si="0"/>
        <v>0</v>
      </c>
      <c r="K18">
        <f t="shared" si="0"/>
        <v>0</v>
      </c>
      <c r="M18" t="str" cm="1">
        <f t="array" ref="M18">IFERROR(INDEX($I$2:$K$2,0,MATCH(TRUE,I18:K18,0)),E18)</f>
        <v>Biomass</v>
      </c>
      <c r="O18" t="str">
        <f t="shared" si="2"/>
        <v>Biomass_2029</v>
      </c>
      <c r="P18">
        <f t="shared" si="3"/>
        <v>894.45</v>
      </c>
    </row>
    <row r="19" spans="4:16" x14ac:dyDescent="0.25">
      <c r="D19">
        <v>2030</v>
      </c>
      <c r="E19" t="s">
        <v>122</v>
      </c>
      <c r="F19" t="s">
        <v>146</v>
      </c>
      <c r="G19">
        <v>899.79</v>
      </c>
      <c r="I19">
        <f t="shared" si="1"/>
        <v>0</v>
      </c>
      <c r="J19">
        <f t="shared" si="0"/>
        <v>0</v>
      </c>
      <c r="K19">
        <f t="shared" si="0"/>
        <v>0</v>
      </c>
      <c r="M19" t="str" cm="1">
        <f t="array" ref="M19">IFERROR(INDEX($I$2:$K$2,0,MATCH(TRUE,I19:K19,0)),E19)</f>
        <v>Biomass</v>
      </c>
      <c r="O19" t="str">
        <f t="shared" si="2"/>
        <v>Biomass_2030</v>
      </c>
      <c r="P19">
        <f t="shared" si="3"/>
        <v>899.79</v>
      </c>
    </row>
    <row r="20" spans="4:16" x14ac:dyDescent="0.25">
      <c r="D20">
        <v>2031</v>
      </c>
      <c r="E20" t="s">
        <v>122</v>
      </c>
      <c r="F20" t="s">
        <v>146</v>
      </c>
      <c r="G20">
        <v>905.13</v>
      </c>
      <c r="I20">
        <f t="shared" si="1"/>
        <v>0</v>
      </c>
      <c r="J20">
        <f t="shared" si="0"/>
        <v>0</v>
      </c>
      <c r="K20">
        <f t="shared" si="0"/>
        <v>0</v>
      </c>
      <c r="M20" t="str" cm="1">
        <f t="array" ref="M20">IFERROR(INDEX($I$2:$K$2,0,MATCH(TRUE,I20:K20,0)),E20)</f>
        <v>Biomass</v>
      </c>
      <c r="O20" t="str">
        <f t="shared" si="2"/>
        <v>Biomass_2031</v>
      </c>
      <c r="P20">
        <f t="shared" si="3"/>
        <v>905.13</v>
      </c>
    </row>
    <row r="21" spans="4:16" x14ac:dyDescent="0.25">
      <c r="D21">
        <v>2032</v>
      </c>
      <c r="E21" t="s">
        <v>122</v>
      </c>
      <c r="F21" t="s">
        <v>146</v>
      </c>
      <c r="G21">
        <v>910.47</v>
      </c>
      <c r="I21">
        <f t="shared" si="1"/>
        <v>0</v>
      </c>
      <c r="J21">
        <f t="shared" si="0"/>
        <v>0</v>
      </c>
      <c r="K21">
        <f t="shared" si="0"/>
        <v>0</v>
      </c>
      <c r="M21" t="str" cm="1">
        <f t="array" ref="M21">IFERROR(INDEX($I$2:$K$2,0,MATCH(TRUE,I21:K21,0)),E21)</f>
        <v>Biomass</v>
      </c>
      <c r="O21" t="str">
        <f t="shared" si="2"/>
        <v>Biomass_2032</v>
      </c>
      <c r="P21">
        <f t="shared" si="3"/>
        <v>910.47</v>
      </c>
    </row>
    <row r="22" spans="4:16" x14ac:dyDescent="0.25">
      <c r="D22">
        <v>2033</v>
      </c>
      <c r="E22" t="s">
        <v>122</v>
      </c>
      <c r="F22" t="s">
        <v>146</v>
      </c>
      <c r="G22">
        <v>915.81</v>
      </c>
      <c r="I22">
        <f t="shared" si="1"/>
        <v>0</v>
      </c>
      <c r="J22">
        <f t="shared" si="0"/>
        <v>0</v>
      </c>
      <c r="K22">
        <f t="shared" si="0"/>
        <v>0</v>
      </c>
      <c r="M22" t="str" cm="1">
        <f t="array" ref="M22">IFERROR(INDEX($I$2:$K$2,0,MATCH(TRUE,I22:K22,0)),E22)</f>
        <v>Biomass</v>
      </c>
      <c r="O22" t="str">
        <f t="shared" si="2"/>
        <v>Biomass_2033</v>
      </c>
      <c r="P22">
        <f t="shared" si="3"/>
        <v>915.81</v>
      </c>
    </row>
    <row r="23" spans="4:16" x14ac:dyDescent="0.25">
      <c r="D23">
        <v>2034</v>
      </c>
      <c r="E23" t="s">
        <v>122</v>
      </c>
      <c r="F23" t="s">
        <v>146</v>
      </c>
      <c r="G23">
        <v>921.15</v>
      </c>
      <c r="I23">
        <f t="shared" si="1"/>
        <v>0</v>
      </c>
      <c r="J23">
        <f t="shared" si="1"/>
        <v>0</v>
      </c>
      <c r="K23">
        <f t="shared" si="1"/>
        <v>0</v>
      </c>
      <c r="M23" t="str" cm="1">
        <f t="array" ref="M23">IFERROR(INDEX($I$2:$K$2,0,MATCH(TRUE,I23:K23,0)),E23)</f>
        <v>Biomass</v>
      </c>
      <c r="O23" t="str">
        <f t="shared" si="2"/>
        <v>Biomass_2034</v>
      </c>
      <c r="P23">
        <f t="shared" si="3"/>
        <v>921.15</v>
      </c>
    </row>
    <row r="24" spans="4:16" x14ac:dyDescent="0.25">
      <c r="D24">
        <v>2035</v>
      </c>
      <c r="E24" t="s">
        <v>122</v>
      </c>
      <c r="F24" t="s">
        <v>146</v>
      </c>
      <c r="G24">
        <v>926.49</v>
      </c>
      <c r="I24">
        <f t="shared" ref="I24:K43" si="4">IFERROR(FIND(I$2,$E24,1)&gt;0,0)</f>
        <v>0</v>
      </c>
      <c r="J24">
        <f t="shared" si="4"/>
        <v>0</v>
      </c>
      <c r="K24">
        <f t="shared" si="4"/>
        <v>0</v>
      </c>
      <c r="M24" t="str" cm="1">
        <f t="array" ref="M24">IFERROR(INDEX($I$2:$K$2,0,MATCH(TRUE,I24:K24,0)),E24)</f>
        <v>Biomass</v>
      </c>
      <c r="O24" t="str">
        <f t="shared" si="2"/>
        <v>Biomass_2035</v>
      </c>
      <c r="P24">
        <f t="shared" si="3"/>
        <v>926.49</v>
      </c>
    </row>
    <row r="25" spans="4:16" x14ac:dyDescent="0.25">
      <c r="D25">
        <v>2036</v>
      </c>
      <c r="E25" t="s">
        <v>122</v>
      </c>
      <c r="F25" t="s">
        <v>146</v>
      </c>
      <c r="G25">
        <v>929.16</v>
      </c>
      <c r="I25">
        <f t="shared" si="4"/>
        <v>0</v>
      </c>
      <c r="J25">
        <f t="shared" si="4"/>
        <v>0</v>
      </c>
      <c r="K25">
        <f t="shared" si="4"/>
        <v>0</v>
      </c>
      <c r="M25" t="str" cm="1">
        <f t="array" ref="M25">IFERROR(INDEX($I$2:$K$2,0,MATCH(TRUE,I25:K25,0)),E25)</f>
        <v>Biomass</v>
      </c>
      <c r="O25" t="str">
        <f t="shared" si="2"/>
        <v>Biomass_2036</v>
      </c>
      <c r="P25">
        <f t="shared" si="3"/>
        <v>929.16</v>
      </c>
    </row>
    <row r="26" spans="4:16" x14ac:dyDescent="0.25">
      <c r="D26">
        <v>2037</v>
      </c>
      <c r="E26" t="s">
        <v>122</v>
      </c>
      <c r="F26" t="s">
        <v>146</v>
      </c>
      <c r="G26">
        <v>929.16</v>
      </c>
      <c r="I26">
        <f t="shared" si="4"/>
        <v>0</v>
      </c>
      <c r="J26">
        <f t="shared" si="4"/>
        <v>0</v>
      </c>
      <c r="K26">
        <f t="shared" si="4"/>
        <v>0</v>
      </c>
      <c r="M26" t="str" cm="1">
        <f t="array" ref="M26">IFERROR(INDEX($I$2:$K$2,0,MATCH(TRUE,I26:K26,0)),E26)</f>
        <v>Biomass</v>
      </c>
      <c r="O26" t="str">
        <f t="shared" si="2"/>
        <v>Biomass_2037</v>
      </c>
      <c r="P26">
        <f t="shared" si="3"/>
        <v>929.16</v>
      </c>
    </row>
    <row r="27" spans="4:16" x14ac:dyDescent="0.25">
      <c r="D27">
        <v>2038</v>
      </c>
      <c r="E27" t="s">
        <v>122</v>
      </c>
      <c r="F27" t="s">
        <v>146</v>
      </c>
      <c r="G27">
        <v>929.16</v>
      </c>
      <c r="I27">
        <f t="shared" si="4"/>
        <v>0</v>
      </c>
      <c r="J27">
        <f t="shared" si="4"/>
        <v>0</v>
      </c>
      <c r="K27">
        <f t="shared" si="4"/>
        <v>0</v>
      </c>
      <c r="M27" t="str" cm="1">
        <f t="array" ref="M27">IFERROR(INDEX($I$2:$K$2,0,MATCH(TRUE,I27:K27,0)),E27)</f>
        <v>Biomass</v>
      </c>
      <c r="O27" t="str">
        <f t="shared" si="2"/>
        <v>Biomass_2038</v>
      </c>
      <c r="P27">
        <f t="shared" si="3"/>
        <v>929.16</v>
      </c>
    </row>
    <row r="28" spans="4:16" x14ac:dyDescent="0.25">
      <c r="D28">
        <v>2039</v>
      </c>
      <c r="E28" t="s">
        <v>122</v>
      </c>
      <c r="F28" t="s">
        <v>146</v>
      </c>
      <c r="G28">
        <v>929.16</v>
      </c>
      <c r="I28">
        <f t="shared" si="4"/>
        <v>0</v>
      </c>
      <c r="J28">
        <f t="shared" si="4"/>
        <v>0</v>
      </c>
      <c r="K28">
        <f t="shared" si="4"/>
        <v>0</v>
      </c>
      <c r="M28" t="str" cm="1">
        <f t="array" ref="M28">IFERROR(INDEX($I$2:$K$2,0,MATCH(TRUE,I28:K28,0)),E28)</f>
        <v>Biomass</v>
      </c>
      <c r="O28" t="str">
        <f t="shared" si="2"/>
        <v>Biomass_2039</v>
      </c>
      <c r="P28">
        <f t="shared" si="3"/>
        <v>929.16</v>
      </c>
    </row>
    <row r="29" spans="4:16" x14ac:dyDescent="0.25">
      <c r="D29">
        <v>2040</v>
      </c>
      <c r="E29" t="s">
        <v>122</v>
      </c>
      <c r="F29" t="s">
        <v>146</v>
      </c>
      <c r="G29">
        <v>929.16</v>
      </c>
      <c r="I29">
        <f t="shared" si="4"/>
        <v>0</v>
      </c>
      <c r="J29">
        <f t="shared" si="4"/>
        <v>0</v>
      </c>
      <c r="K29">
        <f t="shared" si="4"/>
        <v>0</v>
      </c>
      <c r="M29" t="str" cm="1">
        <f t="array" ref="M29">IFERROR(INDEX($I$2:$K$2,0,MATCH(TRUE,I29:K29,0)),E29)</f>
        <v>Biomass</v>
      </c>
      <c r="O29" t="str">
        <f t="shared" si="2"/>
        <v>Biomass_2040</v>
      </c>
      <c r="P29">
        <f t="shared" si="3"/>
        <v>929.16</v>
      </c>
    </row>
    <row r="30" spans="4:16" x14ac:dyDescent="0.25">
      <c r="D30">
        <v>2021</v>
      </c>
      <c r="E30" t="s">
        <v>122</v>
      </c>
      <c r="F30" t="s">
        <v>147</v>
      </c>
      <c r="G30">
        <v>1142.02</v>
      </c>
      <c r="I30">
        <f t="shared" si="4"/>
        <v>0</v>
      </c>
      <c r="J30">
        <f t="shared" si="4"/>
        <v>0</v>
      </c>
      <c r="K30">
        <f t="shared" si="4"/>
        <v>0</v>
      </c>
      <c r="M30" t="str" cm="1">
        <f t="array" ref="M30">IFERROR(INDEX($I$2:$K$2,0,MATCH(TRUE,I30:K30,0)),E30)</f>
        <v>Biomass</v>
      </c>
      <c r="O30" t="str">
        <f t="shared" si="2"/>
        <v>Biomass_2021</v>
      </c>
      <c r="P30">
        <f t="shared" si="3"/>
        <v>1142.02</v>
      </c>
    </row>
    <row r="31" spans="4:16" x14ac:dyDescent="0.25">
      <c r="D31">
        <v>2022</v>
      </c>
      <c r="E31" t="s">
        <v>122</v>
      </c>
      <c r="F31" t="s">
        <v>147</v>
      </c>
      <c r="G31">
        <v>1149.18</v>
      </c>
      <c r="I31">
        <f t="shared" si="4"/>
        <v>0</v>
      </c>
      <c r="J31">
        <f t="shared" si="4"/>
        <v>0</v>
      </c>
      <c r="K31">
        <f t="shared" si="4"/>
        <v>0</v>
      </c>
      <c r="M31" t="str" cm="1">
        <f t="array" ref="M31">IFERROR(INDEX($I$2:$K$2,0,MATCH(TRUE,I31:K31,0)),E31)</f>
        <v>Biomass</v>
      </c>
      <c r="O31" t="str">
        <f t="shared" si="2"/>
        <v>Biomass_2022</v>
      </c>
      <c r="P31">
        <f t="shared" si="3"/>
        <v>1149.18</v>
      </c>
    </row>
    <row r="32" spans="4:16" x14ac:dyDescent="0.25">
      <c r="D32">
        <v>2023</v>
      </c>
      <c r="E32" t="s">
        <v>122</v>
      </c>
      <c r="F32" t="s">
        <v>147</v>
      </c>
      <c r="G32">
        <v>1156.3399999999999</v>
      </c>
      <c r="I32">
        <f t="shared" si="4"/>
        <v>0</v>
      </c>
      <c r="J32">
        <f t="shared" si="4"/>
        <v>0</v>
      </c>
      <c r="K32">
        <f t="shared" si="4"/>
        <v>0</v>
      </c>
      <c r="M32" t="str" cm="1">
        <f t="array" ref="M32">IFERROR(INDEX($I$2:$K$2,0,MATCH(TRUE,I32:K32,0)),E32)</f>
        <v>Biomass</v>
      </c>
      <c r="O32" t="str">
        <f t="shared" si="2"/>
        <v>Biomass_2023</v>
      </c>
      <c r="P32">
        <f t="shared" si="3"/>
        <v>1156.3399999999999</v>
      </c>
    </row>
    <row r="33" spans="4:16" x14ac:dyDescent="0.25">
      <c r="D33">
        <v>2024</v>
      </c>
      <c r="E33" t="s">
        <v>122</v>
      </c>
      <c r="F33" t="s">
        <v>147</v>
      </c>
      <c r="G33">
        <v>1163.5</v>
      </c>
      <c r="I33">
        <f t="shared" si="4"/>
        <v>0</v>
      </c>
      <c r="J33">
        <f t="shared" si="4"/>
        <v>0</v>
      </c>
      <c r="K33">
        <f t="shared" si="4"/>
        <v>0</v>
      </c>
      <c r="M33" t="str" cm="1">
        <f t="array" ref="M33">IFERROR(INDEX($I$2:$K$2,0,MATCH(TRUE,I33:K33,0)),E33)</f>
        <v>Biomass</v>
      </c>
      <c r="O33" t="str">
        <f t="shared" si="2"/>
        <v>Biomass_2024</v>
      </c>
      <c r="P33">
        <f t="shared" si="3"/>
        <v>1163.5</v>
      </c>
    </row>
    <row r="34" spans="4:16" x14ac:dyDescent="0.25">
      <c r="D34">
        <v>2025</v>
      </c>
      <c r="E34" t="s">
        <v>122</v>
      </c>
      <c r="F34" t="s">
        <v>147</v>
      </c>
      <c r="G34">
        <v>1170.6600000000001</v>
      </c>
      <c r="I34">
        <f t="shared" si="4"/>
        <v>0</v>
      </c>
      <c r="J34">
        <f t="shared" si="4"/>
        <v>0</v>
      </c>
      <c r="K34">
        <f t="shared" si="4"/>
        <v>0</v>
      </c>
      <c r="M34" t="str" cm="1">
        <f t="array" ref="M34">IFERROR(INDEX($I$2:$K$2,0,MATCH(TRUE,I34:K34,0)),E34)</f>
        <v>Biomass</v>
      </c>
      <c r="O34" t="str">
        <f t="shared" si="2"/>
        <v>Biomass_2025</v>
      </c>
      <c r="P34">
        <f t="shared" si="3"/>
        <v>1170.6600000000001</v>
      </c>
    </row>
    <row r="35" spans="4:16" x14ac:dyDescent="0.25">
      <c r="D35">
        <v>2026</v>
      </c>
      <c r="E35" t="s">
        <v>122</v>
      </c>
      <c r="F35" t="s">
        <v>147</v>
      </c>
      <c r="G35">
        <v>1177.82</v>
      </c>
      <c r="I35">
        <f t="shared" si="4"/>
        <v>0</v>
      </c>
      <c r="J35">
        <f t="shared" si="4"/>
        <v>0</v>
      </c>
      <c r="K35">
        <f t="shared" si="4"/>
        <v>0</v>
      </c>
      <c r="M35" t="str" cm="1">
        <f t="array" ref="M35">IFERROR(INDEX($I$2:$K$2,0,MATCH(TRUE,I35:K35,0)),E35)</f>
        <v>Biomass</v>
      </c>
      <c r="O35" t="str">
        <f t="shared" si="2"/>
        <v>Biomass_2026</v>
      </c>
      <c r="P35">
        <f t="shared" si="3"/>
        <v>1177.82</v>
      </c>
    </row>
    <row r="36" spans="4:16" x14ac:dyDescent="0.25">
      <c r="D36">
        <v>2027</v>
      </c>
      <c r="E36" t="s">
        <v>122</v>
      </c>
      <c r="F36" t="s">
        <v>147</v>
      </c>
      <c r="G36">
        <v>1184.98</v>
      </c>
      <c r="I36">
        <f t="shared" si="4"/>
        <v>0</v>
      </c>
      <c r="J36">
        <f t="shared" si="4"/>
        <v>0</v>
      </c>
      <c r="K36">
        <f t="shared" si="4"/>
        <v>0</v>
      </c>
      <c r="M36" t="str" cm="1">
        <f t="array" ref="M36">IFERROR(INDEX($I$2:$K$2,0,MATCH(TRUE,I36:K36,0)),E36)</f>
        <v>Biomass</v>
      </c>
      <c r="O36" t="str">
        <f t="shared" si="2"/>
        <v>Biomass_2027</v>
      </c>
      <c r="P36">
        <f t="shared" si="3"/>
        <v>1184.98</v>
      </c>
    </row>
    <row r="37" spans="4:16" x14ac:dyDescent="0.25">
      <c r="D37">
        <v>2028</v>
      </c>
      <c r="E37" t="s">
        <v>122</v>
      </c>
      <c r="F37" t="s">
        <v>147</v>
      </c>
      <c r="G37">
        <v>1192.1400000000001</v>
      </c>
      <c r="I37">
        <f t="shared" si="4"/>
        <v>0</v>
      </c>
      <c r="J37">
        <f t="shared" si="4"/>
        <v>0</v>
      </c>
      <c r="K37">
        <f t="shared" si="4"/>
        <v>0</v>
      </c>
      <c r="M37" t="str" cm="1">
        <f t="array" ref="M37">IFERROR(INDEX($I$2:$K$2,0,MATCH(TRUE,I37:K37,0)),E37)</f>
        <v>Biomass</v>
      </c>
      <c r="O37" t="str">
        <f t="shared" si="2"/>
        <v>Biomass_2028</v>
      </c>
      <c r="P37">
        <f t="shared" si="3"/>
        <v>1192.1400000000001</v>
      </c>
    </row>
    <row r="38" spans="4:16" x14ac:dyDescent="0.25">
      <c r="D38">
        <v>2029</v>
      </c>
      <c r="E38" t="s">
        <v>122</v>
      </c>
      <c r="F38" t="s">
        <v>147</v>
      </c>
      <c r="G38">
        <v>1199.3</v>
      </c>
      <c r="I38">
        <f t="shared" si="4"/>
        <v>0</v>
      </c>
      <c r="J38">
        <f t="shared" si="4"/>
        <v>0</v>
      </c>
      <c r="K38">
        <f t="shared" si="4"/>
        <v>0</v>
      </c>
      <c r="M38" t="str" cm="1">
        <f t="array" ref="M38">IFERROR(INDEX($I$2:$K$2,0,MATCH(TRUE,I38:K38,0)),E38)</f>
        <v>Biomass</v>
      </c>
      <c r="O38" t="str">
        <f t="shared" si="2"/>
        <v>Biomass_2029</v>
      </c>
      <c r="P38">
        <f t="shared" si="3"/>
        <v>1199.3</v>
      </c>
    </row>
    <row r="39" spans="4:16" x14ac:dyDescent="0.25">
      <c r="D39">
        <v>2030</v>
      </c>
      <c r="E39" t="s">
        <v>122</v>
      </c>
      <c r="F39" t="s">
        <v>147</v>
      </c>
      <c r="G39">
        <v>1206.46</v>
      </c>
      <c r="I39">
        <f t="shared" si="4"/>
        <v>0</v>
      </c>
      <c r="J39">
        <f t="shared" si="4"/>
        <v>0</v>
      </c>
      <c r="K39">
        <f t="shared" si="4"/>
        <v>0</v>
      </c>
      <c r="M39" t="str" cm="1">
        <f t="array" ref="M39">IFERROR(INDEX($I$2:$K$2,0,MATCH(TRUE,I39:K39,0)),E39)</f>
        <v>Biomass</v>
      </c>
      <c r="O39" t="str">
        <f t="shared" si="2"/>
        <v>Biomass_2030</v>
      </c>
      <c r="P39">
        <f t="shared" si="3"/>
        <v>1206.46</v>
      </c>
    </row>
    <row r="40" spans="4:16" x14ac:dyDescent="0.25">
      <c r="D40">
        <v>2031</v>
      </c>
      <c r="E40" t="s">
        <v>122</v>
      </c>
      <c r="F40" t="s">
        <v>147</v>
      </c>
      <c r="G40">
        <v>1213.6199999999999</v>
      </c>
      <c r="I40">
        <f t="shared" si="4"/>
        <v>0</v>
      </c>
      <c r="J40">
        <f t="shared" si="4"/>
        <v>0</v>
      </c>
      <c r="K40">
        <f t="shared" si="4"/>
        <v>0</v>
      </c>
      <c r="M40" t="str" cm="1">
        <f t="array" ref="M40">IFERROR(INDEX($I$2:$K$2,0,MATCH(TRUE,I40:K40,0)),E40)</f>
        <v>Biomass</v>
      </c>
      <c r="O40" t="str">
        <f t="shared" si="2"/>
        <v>Biomass_2031</v>
      </c>
      <c r="P40">
        <f t="shared" si="3"/>
        <v>1213.6199999999999</v>
      </c>
    </row>
    <row r="41" spans="4:16" x14ac:dyDescent="0.25">
      <c r="D41">
        <v>2032</v>
      </c>
      <c r="E41" t="s">
        <v>122</v>
      </c>
      <c r="F41" t="s">
        <v>147</v>
      </c>
      <c r="G41">
        <v>1220.78</v>
      </c>
      <c r="I41">
        <f t="shared" si="4"/>
        <v>0</v>
      </c>
      <c r="J41">
        <f t="shared" si="4"/>
        <v>0</v>
      </c>
      <c r="K41">
        <f t="shared" si="4"/>
        <v>0</v>
      </c>
      <c r="M41" t="str" cm="1">
        <f t="array" ref="M41">IFERROR(INDEX($I$2:$K$2,0,MATCH(TRUE,I41:K41,0)),E41)</f>
        <v>Biomass</v>
      </c>
      <c r="O41" t="str">
        <f t="shared" si="2"/>
        <v>Biomass_2032</v>
      </c>
      <c r="P41">
        <f t="shared" si="3"/>
        <v>1220.78</v>
      </c>
    </row>
    <row r="42" spans="4:16" x14ac:dyDescent="0.25">
      <c r="D42">
        <v>2033</v>
      </c>
      <c r="E42" t="s">
        <v>122</v>
      </c>
      <c r="F42" t="s">
        <v>147</v>
      </c>
      <c r="G42">
        <v>1227.94</v>
      </c>
      <c r="I42">
        <f t="shared" si="4"/>
        <v>0</v>
      </c>
      <c r="J42">
        <f t="shared" si="4"/>
        <v>0</v>
      </c>
      <c r="K42">
        <f t="shared" si="4"/>
        <v>0</v>
      </c>
      <c r="M42" t="str" cm="1">
        <f t="array" ref="M42">IFERROR(INDEX($I$2:$K$2,0,MATCH(TRUE,I42:K42,0)),E42)</f>
        <v>Biomass</v>
      </c>
      <c r="O42" t="str">
        <f t="shared" si="2"/>
        <v>Biomass_2033</v>
      </c>
      <c r="P42">
        <f t="shared" si="3"/>
        <v>1227.94</v>
      </c>
    </row>
    <row r="43" spans="4:16" x14ac:dyDescent="0.25">
      <c r="D43">
        <v>2034</v>
      </c>
      <c r="E43" t="s">
        <v>122</v>
      </c>
      <c r="F43" t="s">
        <v>147</v>
      </c>
      <c r="G43">
        <v>1235.0999999999999</v>
      </c>
      <c r="I43">
        <f t="shared" si="4"/>
        <v>0</v>
      </c>
      <c r="J43">
        <f t="shared" si="4"/>
        <v>0</v>
      </c>
      <c r="K43">
        <f t="shared" si="4"/>
        <v>0</v>
      </c>
      <c r="M43" t="str" cm="1">
        <f t="array" ref="M43">IFERROR(INDEX($I$2:$K$2,0,MATCH(TRUE,I43:K43,0)),E43)</f>
        <v>Biomass</v>
      </c>
      <c r="O43" t="str">
        <f t="shared" si="2"/>
        <v>Biomass_2034</v>
      </c>
      <c r="P43">
        <f t="shared" si="3"/>
        <v>1235.0999999999999</v>
      </c>
    </row>
    <row r="44" spans="4:16" x14ac:dyDescent="0.25">
      <c r="D44">
        <v>2035</v>
      </c>
      <c r="E44" t="s">
        <v>122</v>
      </c>
      <c r="F44" t="s">
        <v>147</v>
      </c>
      <c r="G44">
        <v>1242.26</v>
      </c>
      <c r="I44">
        <f t="shared" ref="I44:K63" si="5">IFERROR(FIND(I$2,$E44,1)&gt;0,0)</f>
        <v>0</v>
      </c>
      <c r="J44">
        <f t="shared" si="5"/>
        <v>0</v>
      </c>
      <c r="K44">
        <f t="shared" si="5"/>
        <v>0</v>
      </c>
      <c r="M44" t="str" cm="1">
        <f t="array" ref="M44">IFERROR(INDEX($I$2:$K$2,0,MATCH(TRUE,I44:K44,0)),E44)</f>
        <v>Biomass</v>
      </c>
      <c r="O44" t="str">
        <f t="shared" si="2"/>
        <v>Biomass_2035</v>
      </c>
      <c r="P44">
        <f t="shared" si="3"/>
        <v>1242.26</v>
      </c>
    </row>
    <row r="45" spans="4:16" x14ac:dyDescent="0.25">
      <c r="D45">
        <v>2036</v>
      </c>
      <c r="E45" t="s">
        <v>122</v>
      </c>
      <c r="F45" t="s">
        <v>147</v>
      </c>
      <c r="G45">
        <v>1245.8399999999999</v>
      </c>
      <c r="I45">
        <f t="shared" si="5"/>
        <v>0</v>
      </c>
      <c r="J45">
        <f t="shared" si="5"/>
        <v>0</v>
      </c>
      <c r="K45">
        <f t="shared" si="5"/>
        <v>0</v>
      </c>
      <c r="M45" t="str" cm="1">
        <f t="array" ref="M45">IFERROR(INDEX($I$2:$K$2,0,MATCH(TRUE,I45:K45,0)),E45)</f>
        <v>Biomass</v>
      </c>
      <c r="O45" t="str">
        <f t="shared" si="2"/>
        <v>Biomass_2036</v>
      </c>
      <c r="P45">
        <f t="shared" si="3"/>
        <v>1245.8399999999999</v>
      </c>
    </row>
    <row r="46" spans="4:16" x14ac:dyDescent="0.25">
      <c r="D46">
        <v>2037</v>
      </c>
      <c r="E46" t="s">
        <v>122</v>
      </c>
      <c r="F46" t="s">
        <v>147</v>
      </c>
      <c r="G46">
        <v>1245.8399999999999</v>
      </c>
      <c r="I46">
        <f t="shared" si="5"/>
        <v>0</v>
      </c>
      <c r="J46">
        <f t="shared" si="5"/>
        <v>0</v>
      </c>
      <c r="K46">
        <f t="shared" si="5"/>
        <v>0</v>
      </c>
      <c r="M46" t="str" cm="1">
        <f t="array" ref="M46">IFERROR(INDEX($I$2:$K$2,0,MATCH(TRUE,I46:K46,0)),E46)</f>
        <v>Biomass</v>
      </c>
      <c r="O46" t="str">
        <f t="shared" si="2"/>
        <v>Biomass_2037</v>
      </c>
      <c r="P46">
        <f t="shared" si="3"/>
        <v>1245.8399999999999</v>
      </c>
    </row>
    <row r="47" spans="4:16" x14ac:dyDescent="0.25">
      <c r="D47">
        <v>2038</v>
      </c>
      <c r="E47" t="s">
        <v>122</v>
      </c>
      <c r="F47" t="s">
        <v>147</v>
      </c>
      <c r="G47">
        <v>1245.8399999999999</v>
      </c>
      <c r="I47">
        <f t="shared" si="5"/>
        <v>0</v>
      </c>
      <c r="J47">
        <f t="shared" si="5"/>
        <v>0</v>
      </c>
      <c r="K47">
        <f t="shared" si="5"/>
        <v>0</v>
      </c>
      <c r="M47" t="str" cm="1">
        <f t="array" ref="M47">IFERROR(INDEX($I$2:$K$2,0,MATCH(TRUE,I47:K47,0)),E47)</f>
        <v>Biomass</v>
      </c>
      <c r="O47" t="str">
        <f t="shared" si="2"/>
        <v>Biomass_2038</v>
      </c>
      <c r="P47">
        <f t="shared" si="3"/>
        <v>1245.8399999999999</v>
      </c>
    </row>
    <row r="48" spans="4:16" x14ac:dyDescent="0.25">
      <c r="D48">
        <v>2039</v>
      </c>
      <c r="E48" t="s">
        <v>122</v>
      </c>
      <c r="F48" t="s">
        <v>147</v>
      </c>
      <c r="G48">
        <v>1245.8399999999999</v>
      </c>
      <c r="I48">
        <f t="shared" si="5"/>
        <v>0</v>
      </c>
      <c r="J48">
        <f t="shared" si="5"/>
        <v>0</v>
      </c>
      <c r="K48">
        <f t="shared" si="5"/>
        <v>0</v>
      </c>
      <c r="M48" t="str" cm="1">
        <f t="array" ref="M48">IFERROR(INDEX($I$2:$K$2,0,MATCH(TRUE,I48:K48,0)),E48)</f>
        <v>Biomass</v>
      </c>
      <c r="O48" t="str">
        <f t="shared" si="2"/>
        <v>Biomass_2039</v>
      </c>
      <c r="P48">
        <f t="shared" si="3"/>
        <v>1245.8399999999999</v>
      </c>
    </row>
    <row r="49" spans="4:16" x14ac:dyDescent="0.25">
      <c r="D49">
        <v>2040</v>
      </c>
      <c r="E49" t="s">
        <v>122</v>
      </c>
      <c r="F49" t="s">
        <v>147</v>
      </c>
      <c r="G49">
        <v>1245.8399999999999</v>
      </c>
      <c r="I49">
        <f t="shared" si="5"/>
        <v>0</v>
      </c>
      <c r="J49">
        <f t="shared" si="5"/>
        <v>0</v>
      </c>
      <c r="K49">
        <f t="shared" si="5"/>
        <v>0</v>
      </c>
      <c r="M49" t="str" cm="1">
        <f t="array" ref="M49">IFERROR(INDEX($I$2:$K$2,0,MATCH(TRUE,I49:K49,0)),E49)</f>
        <v>Biomass</v>
      </c>
      <c r="O49" t="str">
        <f t="shared" si="2"/>
        <v>Biomass_2040</v>
      </c>
      <c r="P49">
        <f t="shared" si="3"/>
        <v>1245.8399999999999</v>
      </c>
    </row>
    <row r="50" spans="4:16" x14ac:dyDescent="0.25">
      <c r="D50">
        <v>2021</v>
      </c>
      <c r="E50" t="s">
        <v>122</v>
      </c>
      <c r="F50" t="s">
        <v>148</v>
      </c>
      <c r="G50">
        <v>454.79734079999997</v>
      </c>
      <c r="I50">
        <f t="shared" si="5"/>
        <v>0</v>
      </c>
      <c r="J50">
        <f t="shared" si="5"/>
        <v>0</v>
      </c>
      <c r="K50">
        <f t="shared" si="5"/>
        <v>0</v>
      </c>
      <c r="M50" t="str" cm="1">
        <f t="array" ref="M50">IFERROR(INDEX($I$2:$K$2,0,MATCH(TRUE,I50:K50,0)),E50)</f>
        <v>Biomass</v>
      </c>
      <c r="O50" t="str">
        <f t="shared" si="2"/>
        <v>Biomass_2021</v>
      </c>
      <c r="P50">
        <f t="shared" si="3"/>
        <v>454.79734079999997</v>
      </c>
    </row>
    <row r="51" spans="4:16" x14ac:dyDescent="0.25">
      <c r="D51">
        <v>2022</v>
      </c>
      <c r="E51" t="s">
        <v>122</v>
      </c>
      <c r="F51" t="s">
        <v>148</v>
      </c>
      <c r="G51">
        <v>454.79734079999997</v>
      </c>
      <c r="I51">
        <f t="shared" si="5"/>
        <v>0</v>
      </c>
      <c r="J51">
        <f t="shared" si="5"/>
        <v>0</v>
      </c>
      <c r="K51">
        <f t="shared" si="5"/>
        <v>0</v>
      </c>
      <c r="M51" t="str" cm="1">
        <f t="array" ref="M51">IFERROR(INDEX($I$2:$K$2,0,MATCH(TRUE,I51:K51,0)),E51)</f>
        <v>Biomass</v>
      </c>
      <c r="O51" t="str">
        <f t="shared" si="2"/>
        <v>Biomass_2022</v>
      </c>
      <c r="P51">
        <f t="shared" si="3"/>
        <v>454.79734079999997</v>
      </c>
    </row>
    <row r="52" spans="4:16" x14ac:dyDescent="0.25">
      <c r="D52">
        <v>2023</v>
      </c>
      <c r="E52" t="s">
        <v>122</v>
      </c>
      <c r="F52" t="s">
        <v>148</v>
      </c>
      <c r="G52">
        <v>454.79734079999997</v>
      </c>
      <c r="I52">
        <f t="shared" si="5"/>
        <v>0</v>
      </c>
      <c r="J52">
        <f t="shared" si="5"/>
        <v>0</v>
      </c>
      <c r="K52">
        <f t="shared" si="5"/>
        <v>0</v>
      </c>
      <c r="M52" t="str" cm="1">
        <f t="array" ref="M52">IFERROR(INDEX($I$2:$K$2,0,MATCH(TRUE,I52:K52,0)),E52)</f>
        <v>Biomass</v>
      </c>
      <c r="O52" t="str">
        <f t="shared" si="2"/>
        <v>Biomass_2023</v>
      </c>
      <c r="P52">
        <f t="shared" si="3"/>
        <v>454.79734079999997</v>
      </c>
    </row>
    <row r="53" spans="4:16" x14ac:dyDescent="0.25">
      <c r="D53">
        <v>2024</v>
      </c>
      <c r="E53" t="s">
        <v>122</v>
      </c>
      <c r="F53" t="s">
        <v>148</v>
      </c>
      <c r="G53">
        <v>454.79734079999997</v>
      </c>
      <c r="I53">
        <f t="shared" si="5"/>
        <v>0</v>
      </c>
      <c r="J53">
        <f t="shared" si="5"/>
        <v>0</v>
      </c>
      <c r="K53">
        <f t="shared" si="5"/>
        <v>0</v>
      </c>
      <c r="M53" t="str" cm="1">
        <f t="array" ref="M53">IFERROR(INDEX($I$2:$K$2,0,MATCH(TRUE,I53:K53,0)),E53)</f>
        <v>Biomass</v>
      </c>
      <c r="O53" t="str">
        <f t="shared" si="2"/>
        <v>Biomass_2024</v>
      </c>
      <c r="P53">
        <f t="shared" si="3"/>
        <v>454.79734079999997</v>
      </c>
    </row>
    <row r="54" spans="4:16" x14ac:dyDescent="0.25">
      <c r="D54">
        <v>2025</v>
      </c>
      <c r="E54" t="s">
        <v>122</v>
      </c>
      <c r="F54" t="s">
        <v>148</v>
      </c>
      <c r="G54">
        <v>454.79734079999997</v>
      </c>
      <c r="I54">
        <f t="shared" si="5"/>
        <v>0</v>
      </c>
      <c r="J54">
        <f t="shared" si="5"/>
        <v>0</v>
      </c>
      <c r="K54">
        <f t="shared" si="5"/>
        <v>0</v>
      </c>
      <c r="M54" t="str" cm="1">
        <f t="array" ref="M54">IFERROR(INDEX($I$2:$K$2,0,MATCH(TRUE,I54:K54,0)),E54)</f>
        <v>Biomass</v>
      </c>
      <c r="O54" t="str">
        <f t="shared" si="2"/>
        <v>Biomass_2025</v>
      </c>
      <c r="P54">
        <f t="shared" si="3"/>
        <v>454.79734079999997</v>
      </c>
    </row>
    <row r="55" spans="4:16" x14ac:dyDescent="0.25">
      <c r="D55">
        <v>2026</v>
      </c>
      <c r="E55" t="s">
        <v>122</v>
      </c>
      <c r="F55" t="s">
        <v>148</v>
      </c>
      <c r="G55">
        <v>454.79734079999997</v>
      </c>
      <c r="I55">
        <f t="shared" si="5"/>
        <v>0</v>
      </c>
      <c r="J55">
        <f t="shared" si="5"/>
        <v>0</v>
      </c>
      <c r="K55">
        <f t="shared" si="5"/>
        <v>0</v>
      </c>
      <c r="M55" t="str" cm="1">
        <f t="array" ref="M55">IFERROR(INDEX($I$2:$K$2,0,MATCH(TRUE,I55:K55,0)),E55)</f>
        <v>Biomass</v>
      </c>
      <c r="O55" t="str">
        <f t="shared" si="2"/>
        <v>Biomass_2026</v>
      </c>
      <c r="P55">
        <f t="shared" si="3"/>
        <v>454.79734079999997</v>
      </c>
    </row>
    <row r="56" spans="4:16" x14ac:dyDescent="0.25">
      <c r="D56">
        <v>2027</v>
      </c>
      <c r="E56" t="s">
        <v>122</v>
      </c>
      <c r="F56" t="s">
        <v>148</v>
      </c>
      <c r="G56">
        <v>454.79734079999997</v>
      </c>
      <c r="I56">
        <f t="shared" si="5"/>
        <v>0</v>
      </c>
      <c r="J56">
        <f t="shared" si="5"/>
        <v>0</v>
      </c>
      <c r="K56">
        <f t="shared" si="5"/>
        <v>0</v>
      </c>
      <c r="M56" t="str" cm="1">
        <f t="array" ref="M56">IFERROR(INDEX($I$2:$K$2,0,MATCH(TRUE,I56:K56,0)),E56)</f>
        <v>Biomass</v>
      </c>
      <c r="O56" t="str">
        <f t="shared" si="2"/>
        <v>Biomass_2027</v>
      </c>
      <c r="P56">
        <f t="shared" si="3"/>
        <v>454.79734079999997</v>
      </c>
    </row>
    <row r="57" spans="4:16" x14ac:dyDescent="0.25">
      <c r="D57">
        <v>2028</v>
      </c>
      <c r="E57" t="s">
        <v>122</v>
      </c>
      <c r="F57" t="s">
        <v>148</v>
      </c>
      <c r="G57">
        <v>454.79734079999997</v>
      </c>
      <c r="I57">
        <f t="shared" si="5"/>
        <v>0</v>
      </c>
      <c r="J57">
        <f t="shared" si="5"/>
        <v>0</v>
      </c>
      <c r="K57">
        <f t="shared" si="5"/>
        <v>0</v>
      </c>
      <c r="M57" t="str" cm="1">
        <f t="array" ref="M57">IFERROR(INDEX($I$2:$K$2,0,MATCH(TRUE,I57:K57,0)),E57)</f>
        <v>Biomass</v>
      </c>
      <c r="O57" t="str">
        <f t="shared" si="2"/>
        <v>Biomass_2028</v>
      </c>
      <c r="P57">
        <f t="shared" si="3"/>
        <v>454.79734079999997</v>
      </c>
    </row>
    <row r="58" spans="4:16" x14ac:dyDescent="0.25">
      <c r="D58">
        <v>2029</v>
      </c>
      <c r="E58" t="s">
        <v>122</v>
      </c>
      <c r="F58" t="s">
        <v>148</v>
      </c>
      <c r="G58">
        <v>454.79734079999997</v>
      </c>
      <c r="I58">
        <f t="shared" si="5"/>
        <v>0</v>
      </c>
      <c r="J58">
        <f t="shared" si="5"/>
        <v>0</v>
      </c>
      <c r="K58">
        <f t="shared" si="5"/>
        <v>0</v>
      </c>
      <c r="M58" t="str" cm="1">
        <f t="array" ref="M58">IFERROR(INDEX($I$2:$K$2,0,MATCH(TRUE,I58:K58,0)),E58)</f>
        <v>Biomass</v>
      </c>
      <c r="O58" t="str">
        <f t="shared" si="2"/>
        <v>Biomass_2029</v>
      </c>
      <c r="P58">
        <f t="shared" si="3"/>
        <v>454.79734079999997</v>
      </c>
    </row>
    <row r="59" spans="4:16" x14ac:dyDescent="0.25">
      <c r="D59">
        <v>2030</v>
      </c>
      <c r="E59" t="s">
        <v>122</v>
      </c>
      <c r="F59" t="s">
        <v>148</v>
      </c>
      <c r="G59">
        <v>454.79734079999997</v>
      </c>
      <c r="I59">
        <f t="shared" si="5"/>
        <v>0</v>
      </c>
      <c r="J59">
        <f t="shared" si="5"/>
        <v>0</v>
      </c>
      <c r="K59">
        <f t="shared" si="5"/>
        <v>0</v>
      </c>
      <c r="M59" t="str" cm="1">
        <f t="array" ref="M59">IFERROR(INDEX($I$2:$K$2,0,MATCH(TRUE,I59:K59,0)),E59)</f>
        <v>Biomass</v>
      </c>
      <c r="O59" t="str">
        <f t="shared" si="2"/>
        <v>Biomass_2030</v>
      </c>
      <c r="P59">
        <f t="shared" si="3"/>
        <v>454.79734079999997</v>
      </c>
    </row>
    <row r="60" spans="4:16" x14ac:dyDescent="0.25">
      <c r="D60">
        <v>2031</v>
      </c>
      <c r="E60" t="s">
        <v>122</v>
      </c>
      <c r="F60" t="s">
        <v>148</v>
      </c>
      <c r="G60">
        <v>454.79734079999997</v>
      </c>
      <c r="I60">
        <f t="shared" si="5"/>
        <v>0</v>
      </c>
      <c r="J60">
        <f t="shared" si="5"/>
        <v>0</v>
      </c>
      <c r="K60">
        <f t="shared" si="5"/>
        <v>0</v>
      </c>
      <c r="M60" t="str" cm="1">
        <f t="array" ref="M60">IFERROR(INDEX($I$2:$K$2,0,MATCH(TRUE,I60:K60,0)),E60)</f>
        <v>Biomass</v>
      </c>
      <c r="O60" t="str">
        <f t="shared" si="2"/>
        <v>Biomass_2031</v>
      </c>
      <c r="P60">
        <f t="shared" si="3"/>
        <v>454.79734079999997</v>
      </c>
    </row>
    <row r="61" spans="4:16" x14ac:dyDescent="0.25">
      <c r="D61">
        <v>2032</v>
      </c>
      <c r="E61" t="s">
        <v>122</v>
      </c>
      <c r="F61" t="s">
        <v>148</v>
      </c>
      <c r="G61">
        <v>454.79734079999997</v>
      </c>
      <c r="I61">
        <f t="shared" si="5"/>
        <v>0</v>
      </c>
      <c r="J61">
        <f t="shared" si="5"/>
        <v>0</v>
      </c>
      <c r="K61">
        <f t="shared" si="5"/>
        <v>0</v>
      </c>
      <c r="M61" t="str" cm="1">
        <f t="array" ref="M61">IFERROR(INDEX($I$2:$K$2,0,MATCH(TRUE,I61:K61,0)),E61)</f>
        <v>Biomass</v>
      </c>
      <c r="O61" t="str">
        <f t="shared" si="2"/>
        <v>Biomass_2032</v>
      </c>
      <c r="P61">
        <f t="shared" si="3"/>
        <v>454.79734079999997</v>
      </c>
    </row>
    <row r="62" spans="4:16" x14ac:dyDescent="0.25">
      <c r="D62">
        <v>2033</v>
      </c>
      <c r="E62" t="s">
        <v>122</v>
      </c>
      <c r="F62" t="s">
        <v>148</v>
      </c>
      <c r="G62">
        <v>454.79734079999997</v>
      </c>
      <c r="I62">
        <f t="shared" si="5"/>
        <v>0</v>
      </c>
      <c r="J62">
        <f t="shared" si="5"/>
        <v>0</v>
      </c>
      <c r="K62">
        <f t="shared" si="5"/>
        <v>0</v>
      </c>
      <c r="M62" t="str" cm="1">
        <f t="array" ref="M62">IFERROR(INDEX($I$2:$K$2,0,MATCH(TRUE,I62:K62,0)),E62)</f>
        <v>Biomass</v>
      </c>
      <c r="O62" t="str">
        <f t="shared" si="2"/>
        <v>Biomass_2033</v>
      </c>
      <c r="P62">
        <f t="shared" si="3"/>
        <v>454.79734079999997</v>
      </c>
    </row>
    <row r="63" spans="4:16" x14ac:dyDescent="0.25">
      <c r="D63">
        <v>2034</v>
      </c>
      <c r="E63" t="s">
        <v>122</v>
      </c>
      <c r="F63" t="s">
        <v>148</v>
      </c>
      <c r="G63">
        <v>454.79734079999997</v>
      </c>
      <c r="I63">
        <f t="shared" si="5"/>
        <v>0</v>
      </c>
      <c r="J63">
        <f t="shared" si="5"/>
        <v>0</v>
      </c>
      <c r="K63">
        <f t="shared" si="5"/>
        <v>0</v>
      </c>
      <c r="M63" t="str" cm="1">
        <f t="array" ref="M63">IFERROR(INDEX($I$2:$K$2,0,MATCH(TRUE,I63:K63,0)),E63)</f>
        <v>Biomass</v>
      </c>
      <c r="O63" t="str">
        <f t="shared" si="2"/>
        <v>Biomass_2034</v>
      </c>
      <c r="P63">
        <f t="shared" si="3"/>
        <v>454.79734079999997</v>
      </c>
    </row>
    <row r="64" spans="4:16" x14ac:dyDescent="0.25">
      <c r="D64">
        <v>2035</v>
      </c>
      <c r="E64" t="s">
        <v>122</v>
      </c>
      <c r="F64" t="s">
        <v>148</v>
      </c>
      <c r="G64">
        <v>454.79734079999997</v>
      </c>
      <c r="I64">
        <f t="shared" ref="I64:K83" si="6">IFERROR(FIND(I$2,$E64,1)&gt;0,0)</f>
        <v>0</v>
      </c>
      <c r="J64">
        <f t="shared" si="6"/>
        <v>0</v>
      </c>
      <c r="K64">
        <f t="shared" si="6"/>
        <v>0</v>
      </c>
      <c r="M64" t="str" cm="1">
        <f t="array" ref="M64">IFERROR(INDEX($I$2:$K$2,0,MATCH(TRUE,I64:K64,0)),E64)</f>
        <v>Biomass</v>
      </c>
      <c r="O64" t="str">
        <f t="shared" si="2"/>
        <v>Biomass_2035</v>
      </c>
      <c r="P64">
        <f t="shared" si="3"/>
        <v>454.79734079999997</v>
      </c>
    </row>
    <row r="65" spans="4:16" x14ac:dyDescent="0.25">
      <c r="D65">
        <v>2036</v>
      </c>
      <c r="E65" t="s">
        <v>122</v>
      </c>
      <c r="F65" t="s">
        <v>148</v>
      </c>
      <c r="G65">
        <v>454.79734079999997</v>
      </c>
      <c r="I65">
        <f t="shared" si="6"/>
        <v>0</v>
      </c>
      <c r="J65">
        <f t="shared" si="6"/>
        <v>0</v>
      </c>
      <c r="K65">
        <f t="shared" si="6"/>
        <v>0</v>
      </c>
      <c r="M65" t="str" cm="1">
        <f t="array" ref="M65">IFERROR(INDEX($I$2:$K$2,0,MATCH(TRUE,I65:K65,0)),E65)</f>
        <v>Biomass</v>
      </c>
      <c r="O65" t="str">
        <f t="shared" si="2"/>
        <v>Biomass_2036</v>
      </c>
      <c r="P65">
        <f t="shared" si="3"/>
        <v>454.79734079999997</v>
      </c>
    </row>
    <row r="66" spans="4:16" x14ac:dyDescent="0.25">
      <c r="D66">
        <v>2037</v>
      </c>
      <c r="E66" t="s">
        <v>122</v>
      </c>
      <c r="F66" t="s">
        <v>148</v>
      </c>
      <c r="G66">
        <v>454.79734079999997</v>
      </c>
      <c r="I66">
        <f t="shared" si="6"/>
        <v>0</v>
      </c>
      <c r="J66">
        <f t="shared" si="6"/>
        <v>0</v>
      </c>
      <c r="K66">
        <f t="shared" si="6"/>
        <v>0</v>
      </c>
      <c r="M66" t="str" cm="1">
        <f t="array" ref="M66">IFERROR(INDEX($I$2:$K$2,0,MATCH(TRUE,I66:K66,0)),E66)</f>
        <v>Biomass</v>
      </c>
      <c r="O66" t="str">
        <f t="shared" si="2"/>
        <v>Biomass_2037</v>
      </c>
      <c r="P66">
        <f t="shared" si="3"/>
        <v>454.79734079999997</v>
      </c>
    </row>
    <row r="67" spans="4:16" x14ac:dyDescent="0.25">
      <c r="D67">
        <v>2038</v>
      </c>
      <c r="E67" t="s">
        <v>122</v>
      </c>
      <c r="F67" t="s">
        <v>148</v>
      </c>
      <c r="G67">
        <v>454.79734079999997</v>
      </c>
      <c r="I67">
        <f t="shared" si="6"/>
        <v>0</v>
      </c>
      <c r="J67">
        <f t="shared" si="6"/>
        <v>0</v>
      </c>
      <c r="K67">
        <f t="shared" si="6"/>
        <v>0</v>
      </c>
      <c r="M67" t="str" cm="1">
        <f t="array" ref="M67">IFERROR(INDEX($I$2:$K$2,0,MATCH(TRUE,I67:K67,0)),E67)</f>
        <v>Biomass</v>
      </c>
      <c r="O67" t="str">
        <f t="shared" si="2"/>
        <v>Biomass_2038</v>
      </c>
      <c r="P67">
        <f t="shared" si="3"/>
        <v>454.79734079999997</v>
      </c>
    </row>
    <row r="68" spans="4:16" x14ac:dyDescent="0.25">
      <c r="D68">
        <v>2039</v>
      </c>
      <c r="E68" t="s">
        <v>122</v>
      </c>
      <c r="F68" t="s">
        <v>148</v>
      </c>
      <c r="G68">
        <v>454.79734079999997</v>
      </c>
      <c r="I68">
        <f t="shared" si="6"/>
        <v>0</v>
      </c>
      <c r="J68">
        <f t="shared" si="6"/>
        <v>0</v>
      </c>
      <c r="K68">
        <f t="shared" si="6"/>
        <v>0</v>
      </c>
      <c r="M68" t="str" cm="1">
        <f t="array" ref="M68">IFERROR(INDEX($I$2:$K$2,0,MATCH(TRUE,I68:K68,0)),E68)</f>
        <v>Biomass</v>
      </c>
      <c r="O68" t="str">
        <f t="shared" ref="O68:O131" si="7">M68&amp;"_"&amp;D68</f>
        <v>Biomass_2039</v>
      </c>
      <c r="P68">
        <f t="shared" ref="P68:P131" si="8">G68</f>
        <v>454.79734079999997</v>
      </c>
    </row>
    <row r="69" spans="4:16" x14ac:dyDescent="0.25">
      <c r="D69">
        <v>2040</v>
      </c>
      <c r="E69" t="s">
        <v>122</v>
      </c>
      <c r="F69" t="s">
        <v>148</v>
      </c>
      <c r="G69">
        <v>454.79734079999997</v>
      </c>
      <c r="I69">
        <f t="shared" si="6"/>
        <v>0</v>
      </c>
      <c r="J69">
        <f t="shared" si="6"/>
        <v>0</v>
      </c>
      <c r="K69">
        <f t="shared" si="6"/>
        <v>0</v>
      </c>
      <c r="M69" t="str" cm="1">
        <f t="array" ref="M69">IFERROR(INDEX($I$2:$K$2,0,MATCH(TRUE,I69:K69,0)),E69)</f>
        <v>Biomass</v>
      </c>
      <c r="O69" t="str">
        <f t="shared" si="7"/>
        <v>Biomass_2040</v>
      </c>
      <c r="P69">
        <f t="shared" si="8"/>
        <v>454.79734079999997</v>
      </c>
    </row>
    <row r="70" spans="4:16" x14ac:dyDescent="0.25">
      <c r="D70">
        <v>2021</v>
      </c>
      <c r="E70" t="s">
        <v>122</v>
      </c>
      <c r="F70" t="s">
        <v>149</v>
      </c>
      <c r="G70">
        <v>458.13844820000003</v>
      </c>
      <c r="I70">
        <f t="shared" si="6"/>
        <v>0</v>
      </c>
      <c r="J70">
        <f t="shared" si="6"/>
        <v>0</v>
      </c>
      <c r="K70">
        <f t="shared" si="6"/>
        <v>0</v>
      </c>
      <c r="M70" t="str" cm="1">
        <f t="array" ref="M70">IFERROR(INDEX($I$2:$K$2,0,MATCH(TRUE,I70:K70,0)),E70)</f>
        <v>Biomass</v>
      </c>
      <c r="O70" t="str">
        <f t="shared" si="7"/>
        <v>Biomass_2021</v>
      </c>
      <c r="P70">
        <f t="shared" si="8"/>
        <v>458.13844820000003</v>
      </c>
    </row>
    <row r="71" spans="4:16" x14ac:dyDescent="0.25">
      <c r="D71">
        <v>2022</v>
      </c>
      <c r="E71" t="s">
        <v>122</v>
      </c>
      <c r="F71" t="s">
        <v>149</v>
      </c>
      <c r="G71">
        <v>458.13844820000003</v>
      </c>
      <c r="I71">
        <f t="shared" si="6"/>
        <v>0</v>
      </c>
      <c r="J71">
        <f t="shared" si="6"/>
        <v>0</v>
      </c>
      <c r="K71">
        <f t="shared" si="6"/>
        <v>0</v>
      </c>
      <c r="M71" t="str" cm="1">
        <f t="array" ref="M71">IFERROR(INDEX($I$2:$K$2,0,MATCH(TRUE,I71:K71,0)),E71)</f>
        <v>Biomass</v>
      </c>
      <c r="O71" t="str">
        <f t="shared" si="7"/>
        <v>Biomass_2022</v>
      </c>
      <c r="P71">
        <f t="shared" si="8"/>
        <v>458.13844820000003</v>
      </c>
    </row>
    <row r="72" spans="4:16" x14ac:dyDescent="0.25">
      <c r="D72">
        <v>2023</v>
      </c>
      <c r="E72" t="s">
        <v>122</v>
      </c>
      <c r="F72" t="s">
        <v>149</v>
      </c>
      <c r="G72">
        <v>458.13844820000003</v>
      </c>
      <c r="I72">
        <f t="shared" si="6"/>
        <v>0</v>
      </c>
      <c r="J72">
        <f t="shared" si="6"/>
        <v>0</v>
      </c>
      <c r="K72">
        <f t="shared" si="6"/>
        <v>0</v>
      </c>
      <c r="M72" t="str" cm="1">
        <f t="array" ref="M72">IFERROR(INDEX($I$2:$K$2,0,MATCH(TRUE,I72:K72,0)),E72)</f>
        <v>Biomass</v>
      </c>
      <c r="O72" t="str">
        <f t="shared" si="7"/>
        <v>Biomass_2023</v>
      </c>
      <c r="P72">
        <f t="shared" si="8"/>
        <v>458.13844820000003</v>
      </c>
    </row>
    <row r="73" spans="4:16" x14ac:dyDescent="0.25">
      <c r="D73">
        <v>2024</v>
      </c>
      <c r="E73" t="s">
        <v>122</v>
      </c>
      <c r="F73" t="s">
        <v>149</v>
      </c>
      <c r="G73">
        <v>458.13844820000003</v>
      </c>
      <c r="I73">
        <f t="shared" si="6"/>
        <v>0</v>
      </c>
      <c r="J73">
        <f t="shared" si="6"/>
        <v>0</v>
      </c>
      <c r="K73">
        <f t="shared" si="6"/>
        <v>0</v>
      </c>
      <c r="M73" t="str" cm="1">
        <f t="array" ref="M73">IFERROR(INDEX($I$2:$K$2,0,MATCH(TRUE,I73:K73,0)),E73)</f>
        <v>Biomass</v>
      </c>
      <c r="O73" t="str">
        <f t="shared" si="7"/>
        <v>Biomass_2024</v>
      </c>
      <c r="P73">
        <f t="shared" si="8"/>
        <v>458.13844820000003</v>
      </c>
    </row>
    <row r="74" spans="4:16" x14ac:dyDescent="0.25">
      <c r="D74">
        <v>2025</v>
      </c>
      <c r="E74" t="s">
        <v>122</v>
      </c>
      <c r="F74" t="s">
        <v>149</v>
      </c>
      <c r="G74">
        <v>458.13844820000003</v>
      </c>
      <c r="I74">
        <f t="shared" si="6"/>
        <v>0</v>
      </c>
      <c r="J74">
        <f t="shared" si="6"/>
        <v>0</v>
      </c>
      <c r="K74">
        <f t="shared" si="6"/>
        <v>0</v>
      </c>
      <c r="M74" t="str" cm="1">
        <f t="array" ref="M74">IFERROR(INDEX($I$2:$K$2,0,MATCH(TRUE,I74:K74,0)),E74)</f>
        <v>Biomass</v>
      </c>
      <c r="O74" t="str">
        <f t="shared" si="7"/>
        <v>Biomass_2025</v>
      </c>
      <c r="P74">
        <f t="shared" si="8"/>
        <v>458.13844820000003</v>
      </c>
    </row>
    <row r="75" spans="4:16" x14ac:dyDescent="0.25">
      <c r="D75">
        <v>2026</v>
      </c>
      <c r="E75" t="s">
        <v>122</v>
      </c>
      <c r="F75" t="s">
        <v>149</v>
      </c>
      <c r="G75">
        <v>458.13844820000003</v>
      </c>
      <c r="I75">
        <f t="shared" si="6"/>
        <v>0</v>
      </c>
      <c r="J75">
        <f t="shared" si="6"/>
        <v>0</v>
      </c>
      <c r="K75">
        <f t="shared" si="6"/>
        <v>0</v>
      </c>
      <c r="M75" t="str" cm="1">
        <f t="array" ref="M75">IFERROR(INDEX($I$2:$K$2,0,MATCH(TRUE,I75:K75,0)),E75)</f>
        <v>Biomass</v>
      </c>
      <c r="O75" t="str">
        <f t="shared" si="7"/>
        <v>Biomass_2026</v>
      </c>
      <c r="P75">
        <f t="shared" si="8"/>
        <v>458.13844820000003</v>
      </c>
    </row>
    <row r="76" spans="4:16" x14ac:dyDescent="0.25">
      <c r="D76">
        <v>2027</v>
      </c>
      <c r="E76" t="s">
        <v>122</v>
      </c>
      <c r="F76" t="s">
        <v>149</v>
      </c>
      <c r="G76">
        <v>458.13844820000003</v>
      </c>
      <c r="I76">
        <f t="shared" si="6"/>
        <v>0</v>
      </c>
      <c r="J76">
        <f t="shared" si="6"/>
        <v>0</v>
      </c>
      <c r="K76">
        <f t="shared" si="6"/>
        <v>0</v>
      </c>
      <c r="M76" t="str" cm="1">
        <f t="array" ref="M76">IFERROR(INDEX($I$2:$K$2,0,MATCH(TRUE,I76:K76,0)),E76)</f>
        <v>Biomass</v>
      </c>
      <c r="O76" t="str">
        <f t="shared" si="7"/>
        <v>Biomass_2027</v>
      </c>
      <c r="P76">
        <f t="shared" si="8"/>
        <v>458.13844820000003</v>
      </c>
    </row>
    <row r="77" spans="4:16" x14ac:dyDescent="0.25">
      <c r="D77">
        <v>2028</v>
      </c>
      <c r="E77" t="s">
        <v>122</v>
      </c>
      <c r="F77" t="s">
        <v>149</v>
      </c>
      <c r="G77">
        <v>458.13844820000003</v>
      </c>
      <c r="I77">
        <f t="shared" si="6"/>
        <v>0</v>
      </c>
      <c r="J77">
        <f t="shared" si="6"/>
        <v>0</v>
      </c>
      <c r="K77">
        <f t="shared" si="6"/>
        <v>0</v>
      </c>
      <c r="M77" t="str" cm="1">
        <f t="array" ref="M77">IFERROR(INDEX($I$2:$K$2,0,MATCH(TRUE,I77:K77,0)),E77)</f>
        <v>Biomass</v>
      </c>
      <c r="O77" t="str">
        <f t="shared" si="7"/>
        <v>Biomass_2028</v>
      </c>
      <c r="P77">
        <f t="shared" si="8"/>
        <v>458.13844820000003</v>
      </c>
    </row>
    <row r="78" spans="4:16" x14ac:dyDescent="0.25">
      <c r="D78">
        <v>2029</v>
      </c>
      <c r="E78" t="s">
        <v>122</v>
      </c>
      <c r="F78" t="s">
        <v>149</v>
      </c>
      <c r="G78">
        <v>458.13844820000003</v>
      </c>
      <c r="I78">
        <f t="shared" si="6"/>
        <v>0</v>
      </c>
      <c r="J78">
        <f t="shared" si="6"/>
        <v>0</v>
      </c>
      <c r="K78">
        <f t="shared" si="6"/>
        <v>0</v>
      </c>
      <c r="M78" t="str" cm="1">
        <f t="array" ref="M78">IFERROR(INDEX($I$2:$K$2,0,MATCH(TRUE,I78:K78,0)),E78)</f>
        <v>Biomass</v>
      </c>
      <c r="O78" t="str">
        <f t="shared" si="7"/>
        <v>Biomass_2029</v>
      </c>
      <c r="P78">
        <f t="shared" si="8"/>
        <v>458.13844820000003</v>
      </c>
    </row>
    <row r="79" spans="4:16" x14ac:dyDescent="0.25">
      <c r="D79">
        <v>2030</v>
      </c>
      <c r="E79" t="s">
        <v>122</v>
      </c>
      <c r="F79" t="s">
        <v>149</v>
      </c>
      <c r="G79">
        <v>458.13844820000003</v>
      </c>
      <c r="I79">
        <f t="shared" si="6"/>
        <v>0</v>
      </c>
      <c r="J79">
        <f t="shared" si="6"/>
        <v>0</v>
      </c>
      <c r="K79">
        <f t="shared" si="6"/>
        <v>0</v>
      </c>
      <c r="M79" t="str" cm="1">
        <f t="array" ref="M79">IFERROR(INDEX($I$2:$K$2,0,MATCH(TRUE,I79:K79,0)),E79)</f>
        <v>Biomass</v>
      </c>
      <c r="O79" t="str">
        <f t="shared" si="7"/>
        <v>Biomass_2030</v>
      </c>
      <c r="P79">
        <f t="shared" si="8"/>
        <v>458.13844820000003</v>
      </c>
    </row>
    <row r="80" spans="4:16" x14ac:dyDescent="0.25">
      <c r="D80">
        <v>2031</v>
      </c>
      <c r="E80" t="s">
        <v>122</v>
      </c>
      <c r="F80" t="s">
        <v>149</v>
      </c>
      <c r="G80">
        <v>458.13844820000003</v>
      </c>
      <c r="I80">
        <f t="shared" si="6"/>
        <v>0</v>
      </c>
      <c r="J80">
        <f t="shared" si="6"/>
        <v>0</v>
      </c>
      <c r="K80">
        <f t="shared" si="6"/>
        <v>0</v>
      </c>
      <c r="M80" t="str" cm="1">
        <f t="array" ref="M80">IFERROR(INDEX($I$2:$K$2,0,MATCH(TRUE,I80:K80,0)),E80)</f>
        <v>Biomass</v>
      </c>
      <c r="O80" t="str">
        <f t="shared" si="7"/>
        <v>Biomass_2031</v>
      </c>
      <c r="P80">
        <f t="shared" si="8"/>
        <v>458.13844820000003</v>
      </c>
    </row>
    <row r="81" spans="4:16" x14ac:dyDescent="0.25">
      <c r="D81">
        <v>2032</v>
      </c>
      <c r="E81" t="s">
        <v>122</v>
      </c>
      <c r="F81" t="s">
        <v>149</v>
      </c>
      <c r="G81">
        <v>458.13844820000003</v>
      </c>
      <c r="I81">
        <f t="shared" si="6"/>
        <v>0</v>
      </c>
      <c r="J81">
        <f t="shared" si="6"/>
        <v>0</v>
      </c>
      <c r="K81">
        <f t="shared" si="6"/>
        <v>0</v>
      </c>
      <c r="M81" t="str" cm="1">
        <f t="array" ref="M81">IFERROR(INDEX($I$2:$K$2,0,MATCH(TRUE,I81:K81,0)),E81)</f>
        <v>Biomass</v>
      </c>
      <c r="O81" t="str">
        <f t="shared" si="7"/>
        <v>Biomass_2032</v>
      </c>
      <c r="P81">
        <f t="shared" si="8"/>
        <v>458.13844820000003</v>
      </c>
    </row>
    <row r="82" spans="4:16" x14ac:dyDescent="0.25">
      <c r="D82">
        <v>2033</v>
      </c>
      <c r="E82" t="s">
        <v>122</v>
      </c>
      <c r="F82" t="s">
        <v>149</v>
      </c>
      <c r="G82">
        <v>458.13844820000003</v>
      </c>
      <c r="I82">
        <f t="shared" si="6"/>
        <v>0</v>
      </c>
      <c r="J82">
        <f t="shared" si="6"/>
        <v>0</v>
      </c>
      <c r="K82">
        <f t="shared" si="6"/>
        <v>0</v>
      </c>
      <c r="M82" t="str" cm="1">
        <f t="array" ref="M82">IFERROR(INDEX($I$2:$K$2,0,MATCH(TRUE,I82:K82,0)),E82)</f>
        <v>Biomass</v>
      </c>
      <c r="O82" t="str">
        <f t="shared" si="7"/>
        <v>Biomass_2033</v>
      </c>
      <c r="P82">
        <f t="shared" si="8"/>
        <v>458.13844820000003</v>
      </c>
    </row>
    <row r="83" spans="4:16" x14ac:dyDescent="0.25">
      <c r="D83">
        <v>2034</v>
      </c>
      <c r="E83" t="s">
        <v>122</v>
      </c>
      <c r="F83" t="s">
        <v>149</v>
      </c>
      <c r="G83">
        <v>458.13844820000003</v>
      </c>
      <c r="I83">
        <f t="shared" si="6"/>
        <v>0</v>
      </c>
      <c r="J83">
        <f t="shared" si="6"/>
        <v>0</v>
      </c>
      <c r="K83">
        <f t="shared" si="6"/>
        <v>0</v>
      </c>
      <c r="M83" t="str" cm="1">
        <f t="array" ref="M83">IFERROR(INDEX($I$2:$K$2,0,MATCH(TRUE,I83:K83,0)),E83)</f>
        <v>Biomass</v>
      </c>
      <c r="O83" t="str">
        <f t="shared" si="7"/>
        <v>Biomass_2034</v>
      </c>
      <c r="P83">
        <f t="shared" si="8"/>
        <v>458.13844820000003</v>
      </c>
    </row>
    <row r="84" spans="4:16" x14ac:dyDescent="0.25">
      <c r="D84">
        <v>2035</v>
      </c>
      <c r="E84" t="s">
        <v>122</v>
      </c>
      <c r="F84" t="s">
        <v>149</v>
      </c>
      <c r="G84">
        <v>458.13844820000003</v>
      </c>
      <c r="I84">
        <f t="shared" ref="I84:K103" si="9">IFERROR(FIND(I$2,$E84,1)&gt;0,0)</f>
        <v>0</v>
      </c>
      <c r="J84">
        <f t="shared" si="9"/>
        <v>0</v>
      </c>
      <c r="K84">
        <f t="shared" si="9"/>
        <v>0</v>
      </c>
      <c r="M84" t="str" cm="1">
        <f t="array" ref="M84">IFERROR(INDEX($I$2:$K$2,0,MATCH(TRUE,I84:K84,0)),E84)</f>
        <v>Biomass</v>
      </c>
      <c r="O84" t="str">
        <f t="shared" si="7"/>
        <v>Biomass_2035</v>
      </c>
      <c r="P84">
        <f t="shared" si="8"/>
        <v>458.13844820000003</v>
      </c>
    </row>
    <row r="85" spans="4:16" x14ac:dyDescent="0.25">
      <c r="D85">
        <v>2036</v>
      </c>
      <c r="E85" t="s">
        <v>122</v>
      </c>
      <c r="F85" t="s">
        <v>149</v>
      </c>
      <c r="G85">
        <v>458.13844820000003</v>
      </c>
      <c r="I85">
        <f t="shared" si="9"/>
        <v>0</v>
      </c>
      <c r="J85">
        <f t="shared" si="9"/>
        <v>0</v>
      </c>
      <c r="K85">
        <f t="shared" si="9"/>
        <v>0</v>
      </c>
      <c r="M85" t="str" cm="1">
        <f t="array" ref="M85">IFERROR(INDEX($I$2:$K$2,0,MATCH(TRUE,I85:K85,0)),E85)</f>
        <v>Biomass</v>
      </c>
      <c r="O85" t="str">
        <f t="shared" si="7"/>
        <v>Biomass_2036</v>
      </c>
      <c r="P85">
        <f t="shared" si="8"/>
        <v>458.13844820000003</v>
      </c>
    </row>
    <row r="86" spans="4:16" x14ac:dyDescent="0.25">
      <c r="D86">
        <v>2037</v>
      </c>
      <c r="E86" t="s">
        <v>122</v>
      </c>
      <c r="F86" t="s">
        <v>149</v>
      </c>
      <c r="G86">
        <v>458.13844820000003</v>
      </c>
      <c r="I86">
        <f t="shared" si="9"/>
        <v>0</v>
      </c>
      <c r="J86">
        <f t="shared" si="9"/>
        <v>0</v>
      </c>
      <c r="K86">
        <f t="shared" si="9"/>
        <v>0</v>
      </c>
      <c r="M86" t="str" cm="1">
        <f t="array" ref="M86">IFERROR(INDEX($I$2:$K$2,0,MATCH(TRUE,I86:K86,0)),E86)</f>
        <v>Biomass</v>
      </c>
      <c r="O86" t="str">
        <f t="shared" si="7"/>
        <v>Biomass_2037</v>
      </c>
      <c r="P86">
        <f t="shared" si="8"/>
        <v>458.13844820000003</v>
      </c>
    </row>
    <row r="87" spans="4:16" x14ac:dyDescent="0.25">
      <c r="D87">
        <v>2038</v>
      </c>
      <c r="E87" t="s">
        <v>122</v>
      </c>
      <c r="F87" t="s">
        <v>149</v>
      </c>
      <c r="G87">
        <v>458.13844820000003</v>
      </c>
      <c r="I87">
        <f t="shared" si="9"/>
        <v>0</v>
      </c>
      <c r="J87">
        <f t="shared" si="9"/>
        <v>0</v>
      </c>
      <c r="K87">
        <f t="shared" si="9"/>
        <v>0</v>
      </c>
      <c r="M87" t="str" cm="1">
        <f t="array" ref="M87">IFERROR(INDEX($I$2:$K$2,0,MATCH(TRUE,I87:K87,0)),E87)</f>
        <v>Biomass</v>
      </c>
      <c r="O87" t="str">
        <f t="shared" si="7"/>
        <v>Biomass_2038</v>
      </c>
      <c r="P87">
        <f t="shared" si="8"/>
        <v>458.13844820000003</v>
      </c>
    </row>
    <row r="88" spans="4:16" x14ac:dyDescent="0.25">
      <c r="D88">
        <v>2039</v>
      </c>
      <c r="E88" t="s">
        <v>122</v>
      </c>
      <c r="F88" t="s">
        <v>149</v>
      </c>
      <c r="G88">
        <v>458.13844820000003</v>
      </c>
      <c r="I88">
        <f t="shared" si="9"/>
        <v>0</v>
      </c>
      <c r="J88">
        <f t="shared" si="9"/>
        <v>0</v>
      </c>
      <c r="K88">
        <f t="shared" si="9"/>
        <v>0</v>
      </c>
      <c r="M88" t="str" cm="1">
        <f t="array" ref="M88">IFERROR(INDEX($I$2:$K$2,0,MATCH(TRUE,I88:K88,0)),E88)</f>
        <v>Biomass</v>
      </c>
      <c r="O88" t="str">
        <f t="shared" si="7"/>
        <v>Biomass_2039</v>
      </c>
      <c r="P88">
        <f t="shared" si="8"/>
        <v>458.13844820000003</v>
      </c>
    </row>
    <row r="89" spans="4:16" x14ac:dyDescent="0.25">
      <c r="D89">
        <v>2040</v>
      </c>
      <c r="E89" t="s">
        <v>122</v>
      </c>
      <c r="F89" t="s">
        <v>149</v>
      </c>
      <c r="G89">
        <v>458.13844820000003</v>
      </c>
      <c r="I89">
        <f t="shared" si="9"/>
        <v>0</v>
      </c>
      <c r="J89">
        <f t="shared" si="9"/>
        <v>0</v>
      </c>
      <c r="K89">
        <f t="shared" si="9"/>
        <v>0</v>
      </c>
      <c r="M89" t="str" cm="1">
        <f t="array" ref="M89">IFERROR(INDEX($I$2:$K$2,0,MATCH(TRUE,I89:K89,0)),E89)</f>
        <v>Biomass</v>
      </c>
      <c r="O89" t="str">
        <f t="shared" si="7"/>
        <v>Biomass_2040</v>
      </c>
      <c r="P89">
        <f t="shared" si="8"/>
        <v>458.13844820000003</v>
      </c>
    </row>
    <row r="90" spans="4:16" x14ac:dyDescent="0.25">
      <c r="D90">
        <v>2021</v>
      </c>
      <c r="E90" t="s">
        <v>122</v>
      </c>
      <c r="F90" t="s">
        <v>150</v>
      </c>
      <c r="G90">
        <v>307.564211</v>
      </c>
      <c r="I90">
        <f t="shared" si="9"/>
        <v>0</v>
      </c>
      <c r="J90">
        <f t="shared" si="9"/>
        <v>0</v>
      </c>
      <c r="K90">
        <f t="shared" si="9"/>
        <v>0</v>
      </c>
      <c r="M90" t="str" cm="1">
        <f t="array" ref="M90">IFERROR(INDEX($I$2:$K$2,0,MATCH(TRUE,I90:K90,0)),E90)</f>
        <v>Biomass</v>
      </c>
      <c r="O90" t="str">
        <f t="shared" si="7"/>
        <v>Biomass_2021</v>
      </c>
      <c r="P90">
        <f t="shared" si="8"/>
        <v>307.564211</v>
      </c>
    </row>
    <row r="91" spans="4:16" x14ac:dyDescent="0.25">
      <c r="D91">
        <v>2022</v>
      </c>
      <c r="E91" t="s">
        <v>122</v>
      </c>
      <c r="F91" t="s">
        <v>150</v>
      </c>
      <c r="G91">
        <v>307.564211</v>
      </c>
      <c r="I91">
        <f t="shared" si="9"/>
        <v>0</v>
      </c>
      <c r="J91">
        <f t="shared" si="9"/>
        <v>0</v>
      </c>
      <c r="K91">
        <f t="shared" si="9"/>
        <v>0</v>
      </c>
      <c r="M91" t="str" cm="1">
        <f t="array" ref="M91">IFERROR(INDEX($I$2:$K$2,0,MATCH(TRUE,I91:K91,0)),E91)</f>
        <v>Biomass</v>
      </c>
      <c r="O91" t="str">
        <f t="shared" si="7"/>
        <v>Biomass_2022</v>
      </c>
      <c r="P91">
        <f t="shared" si="8"/>
        <v>307.564211</v>
      </c>
    </row>
    <row r="92" spans="4:16" x14ac:dyDescent="0.25">
      <c r="D92">
        <v>2023</v>
      </c>
      <c r="E92" t="s">
        <v>122</v>
      </c>
      <c r="F92" t="s">
        <v>150</v>
      </c>
      <c r="G92">
        <v>307.564211</v>
      </c>
      <c r="I92">
        <f t="shared" si="9"/>
        <v>0</v>
      </c>
      <c r="J92">
        <f t="shared" si="9"/>
        <v>0</v>
      </c>
      <c r="K92">
        <f t="shared" si="9"/>
        <v>0</v>
      </c>
      <c r="M92" t="str" cm="1">
        <f t="array" ref="M92">IFERROR(INDEX($I$2:$K$2,0,MATCH(TRUE,I92:K92,0)),E92)</f>
        <v>Biomass</v>
      </c>
      <c r="O92" t="str">
        <f t="shared" si="7"/>
        <v>Biomass_2023</v>
      </c>
      <c r="P92">
        <f t="shared" si="8"/>
        <v>307.564211</v>
      </c>
    </row>
    <row r="93" spans="4:16" x14ac:dyDescent="0.25">
      <c r="D93">
        <v>2024</v>
      </c>
      <c r="E93" t="s">
        <v>122</v>
      </c>
      <c r="F93" t="s">
        <v>150</v>
      </c>
      <c r="G93">
        <v>307.564211</v>
      </c>
      <c r="I93">
        <f t="shared" si="9"/>
        <v>0</v>
      </c>
      <c r="J93">
        <f t="shared" si="9"/>
        <v>0</v>
      </c>
      <c r="K93">
        <f t="shared" si="9"/>
        <v>0</v>
      </c>
      <c r="M93" t="str" cm="1">
        <f t="array" ref="M93">IFERROR(INDEX($I$2:$K$2,0,MATCH(TRUE,I93:K93,0)),E93)</f>
        <v>Biomass</v>
      </c>
      <c r="O93" t="str">
        <f t="shared" si="7"/>
        <v>Biomass_2024</v>
      </c>
      <c r="P93">
        <f t="shared" si="8"/>
        <v>307.564211</v>
      </c>
    </row>
    <row r="94" spans="4:16" x14ac:dyDescent="0.25">
      <c r="D94">
        <v>2025</v>
      </c>
      <c r="E94" t="s">
        <v>122</v>
      </c>
      <c r="F94" t="s">
        <v>150</v>
      </c>
      <c r="G94">
        <v>307.564211</v>
      </c>
      <c r="I94">
        <f t="shared" si="9"/>
        <v>0</v>
      </c>
      <c r="J94">
        <f t="shared" si="9"/>
        <v>0</v>
      </c>
      <c r="K94">
        <f t="shared" si="9"/>
        <v>0</v>
      </c>
      <c r="M94" t="str" cm="1">
        <f t="array" ref="M94">IFERROR(INDEX($I$2:$K$2,0,MATCH(TRUE,I94:K94,0)),E94)</f>
        <v>Biomass</v>
      </c>
      <c r="O94" t="str">
        <f t="shared" si="7"/>
        <v>Biomass_2025</v>
      </c>
      <c r="P94">
        <f t="shared" si="8"/>
        <v>307.564211</v>
      </c>
    </row>
    <row r="95" spans="4:16" x14ac:dyDescent="0.25">
      <c r="D95">
        <v>2026</v>
      </c>
      <c r="E95" t="s">
        <v>122</v>
      </c>
      <c r="F95" t="s">
        <v>150</v>
      </c>
      <c r="G95">
        <v>307.564211</v>
      </c>
      <c r="I95">
        <f t="shared" si="9"/>
        <v>0</v>
      </c>
      <c r="J95">
        <f t="shared" si="9"/>
        <v>0</v>
      </c>
      <c r="K95">
        <f t="shared" si="9"/>
        <v>0</v>
      </c>
      <c r="M95" t="str" cm="1">
        <f t="array" ref="M95">IFERROR(INDEX($I$2:$K$2,0,MATCH(TRUE,I95:K95,0)),E95)</f>
        <v>Biomass</v>
      </c>
      <c r="O95" t="str">
        <f t="shared" si="7"/>
        <v>Biomass_2026</v>
      </c>
      <c r="P95">
        <f t="shared" si="8"/>
        <v>307.564211</v>
      </c>
    </row>
    <row r="96" spans="4:16" x14ac:dyDescent="0.25">
      <c r="D96">
        <v>2027</v>
      </c>
      <c r="E96" t="s">
        <v>122</v>
      </c>
      <c r="F96" t="s">
        <v>150</v>
      </c>
      <c r="G96">
        <v>307.564211</v>
      </c>
      <c r="I96">
        <f t="shared" si="9"/>
        <v>0</v>
      </c>
      <c r="J96">
        <f t="shared" si="9"/>
        <v>0</v>
      </c>
      <c r="K96">
        <f t="shared" si="9"/>
        <v>0</v>
      </c>
      <c r="M96" t="str" cm="1">
        <f t="array" ref="M96">IFERROR(INDEX($I$2:$K$2,0,MATCH(TRUE,I96:K96,0)),E96)</f>
        <v>Biomass</v>
      </c>
      <c r="O96" t="str">
        <f t="shared" si="7"/>
        <v>Biomass_2027</v>
      </c>
      <c r="P96">
        <f t="shared" si="8"/>
        <v>307.564211</v>
      </c>
    </row>
    <row r="97" spans="4:16" x14ac:dyDescent="0.25">
      <c r="D97">
        <v>2028</v>
      </c>
      <c r="E97" t="s">
        <v>122</v>
      </c>
      <c r="F97" t="s">
        <v>150</v>
      </c>
      <c r="G97">
        <v>307.564211</v>
      </c>
      <c r="I97">
        <f t="shared" si="9"/>
        <v>0</v>
      </c>
      <c r="J97">
        <f t="shared" si="9"/>
        <v>0</v>
      </c>
      <c r="K97">
        <f t="shared" si="9"/>
        <v>0</v>
      </c>
      <c r="M97" t="str" cm="1">
        <f t="array" ref="M97">IFERROR(INDEX($I$2:$K$2,0,MATCH(TRUE,I97:K97,0)),E97)</f>
        <v>Biomass</v>
      </c>
      <c r="O97" t="str">
        <f t="shared" si="7"/>
        <v>Biomass_2028</v>
      </c>
      <c r="P97">
        <f t="shared" si="8"/>
        <v>307.564211</v>
      </c>
    </row>
    <row r="98" spans="4:16" x14ac:dyDescent="0.25">
      <c r="D98">
        <v>2029</v>
      </c>
      <c r="E98" t="s">
        <v>122</v>
      </c>
      <c r="F98" t="s">
        <v>150</v>
      </c>
      <c r="G98">
        <v>307.564211</v>
      </c>
      <c r="I98">
        <f t="shared" si="9"/>
        <v>0</v>
      </c>
      <c r="J98">
        <f t="shared" si="9"/>
        <v>0</v>
      </c>
      <c r="K98">
        <f t="shared" si="9"/>
        <v>0</v>
      </c>
      <c r="M98" t="str" cm="1">
        <f t="array" ref="M98">IFERROR(INDEX($I$2:$K$2,0,MATCH(TRUE,I98:K98,0)),E98)</f>
        <v>Biomass</v>
      </c>
      <c r="O98" t="str">
        <f t="shared" si="7"/>
        <v>Biomass_2029</v>
      </c>
      <c r="P98">
        <f t="shared" si="8"/>
        <v>307.564211</v>
      </c>
    </row>
    <row r="99" spans="4:16" x14ac:dyDescent="0.25">
      <c r="D99">
        <v>2030</v>
      </c>
      <c r="E99" t="s">
        <v>122</v>
      </c>
      <c r="F99" t="s">
        <v>150</v>
      </c>
      <c r="G99">
        <v>307.564211</v>
      </c>
      <c r="I99">
        <f t="shared" si="9"/>
        <v>0</v>
      </c>
      <c r="J99">
        <f t="shared" si="9"/>
        <v>0</v>
      </c>
      <c r="K99">
        <f t="shared" si="9"/>
        <v>0</v>
      </c>
      <c r="M99" t="str" cm="1">
        <f t="array" ref="M99">IFERROR(INDEX($I$2:$K$2,0,MATCH(TRUE,I99:K99,0)),E99)</f>
        <v>Biomass</v>
      </c>
      <c r="O99" t="str">
        <f t="shared" si="7"/>
        <v>Biomass_2030</v>
      </c>
      <c r="P99">
        <f t="shared" si="8"/>
        <v>307.564211</v>
      </c>
    </row>
    <row r="100" spans="4:16" x14ac:dyDescent="0.25">
      <c r="D100">
        <v>2031</v>
      </c>
      <c r="E100" t="s">
        <v>122</v>
      </c>
      <c r="F100" t="s">
        <v>150</v>
      </c>
      <c r="G100">
        <v>307.564211</v>
      </c>
      <c r="I100">
        <f t="shared" si="9"/>
        <v>0</v>
      </c>
      <c r="J100">
        <f t="shared" si="9"/>
        <v>0</v>
      </c>
      <c r="K100">
        <f t="shared" si="9"/>
        <v>0</v>
      </c>
      <c r="M100" t="str" cm="1">
        <f t="array" ref="M100">IFERROR(INDEX($I$2:$K$2,0,MATCH(TRUE,I100:K100,0)),E100)</f>
        <v>Biomass</v>
      </c>
      <c r="O100" t="str">
        <f t="shared" si="7"/>
        <v>Biomass_2031</v>
      </c>
      <c r="P100">
        <f t="shared" si="8"/>
        <v>307.564211</v>
      </c>
    </row>
    <row r="101" spans="4:16" x14ac:dyDescent="0.25">
      <c r="D101">
        <v>2032</v>
      </c>
      <c r="E101" t="s">
        <v>122</v>
      </c>
      <c r="F101" t="s">
        <v>150</v>
      </c>
      <c r="G101">
        <v>307.564211</v>
      </c>
      <c r="I101">
        <f t="shared" si="9"/>
        <v>0</v>
      </c>
      <c r="J101">
        <f t="shared" si="9"/>
        <v>0</v>
      </c>
      <c r="K101">
        <f t="shared" si="9"/>
        <v>0</v>
      </c>
      <c r="M101" t="str" cm="1">
        <f t="array" ref="M101">IFERROR(INDEX($I$2:$K$2,0,MATCH(TRUE,I101:K101,0)),E101)</f>
        <v>Biomass</v>
      </c>
      <c r="O101" t="str">
        <f t="shared" si="7"/>
        <v>Biomass_2032</v>
      </c>
      <c r="P101">
        <f t="shared" si="8"/>
        <v>307.564211</v>
      </c>
    </row>
    <row r="102" spans="4:16" x14ac:dyDescent="0.25">
      <c r="D102">
        <v>2033</v>
      </c>
      <c r="E102" t="s">
        <v>122</v>
      </c>
      <c r="F102" t="s">
        <v>150</v>
      </c>
      <c r="G102">
        <v>307.564211</v>
      </c>
      <c r="I102">
        <f t="shared" si="9"/>
        <v>0</v>
      </c>
      <c r="J102">
        <f t="shared" si="9"/>
        <v>0</v>
      </c>
      <c r="K102">
        <f t="shared" si="9"/>
        <v>0</v>
      </c>
      <c r="M102" t="str" cm="1">
        <f t="array" ref="M102">IFERROR(INDEX($I$2:$K$2,0,MATCH(TRUE,I102:K102,0)),E102)</f>
        <v>Biomass</v>
      </c>
      <c r="O102" t="str">
        <f t="shared" si="7"/>
        <v>Biomass_2033</v>
      </c>
      <c r="P102">
        <f t="shared" si="8"/>
        <v>307.564211</v>
      </c>
    </row>
    <row r="103" spans="4:16" x14ac:dyDescent="0.25">
      <c r="D103">
        <v>2034</v>
      </c>
      <c r="E103" t="s">
        <v>122</v>
      </c>
      <c r="F103" t="s">
        <v>150</v>
      </c>
      <c r="G103">
        <v>307.564211</v>
      </c>
      <c r="I103">
        <f t="shared" si="9"/>
        <v>0</v>
      </c>
      <c r="J103">
        <f t="shared" si="9"/>
        <v>0</v>
      </c>
      <c r="K103">
        <f t="shared" si="9"/>
        <v>0</v>
      </c>
      <c r="M103" t="str" cm="1">
        <f t="array" ref="M103">IFERROR(INDEX($I$2:$K$2,0,MATCH(TRUE,I103:K103,0)),E103)</f>
        <v>Biomass</v>
      </c>
      <c r="O103" t="str">
        <f t="shared" si="7"/>
        <v>Biomass_2034</v>
      </c>
      <c r="P103">
        <f t="shared" si="8"/>
        <v>307.564211</v>
      </c>
    </row>
    <row r="104" spans="4:16" x14ac:dyDescent="0.25">
      <c r="D104">
        <v>2035</v>
      </c>
      <c r="E104" t="s">
        <v>122</v>
      </c>
      <c r="F104" t="s">
        <v>150</v>
      </c>
      <c r="G104">
        <v>307.564211</v>
      </c>
      <c r="I104">
        <f t="shared" ref="I104:K123" si="10">IFERROR(FIND(I$2,$E104,1)&gt;0,0)</f>
        <v>0</v>
      </c>
      <c r="J104">
        <f t="shared" si="10"/>
        <v>0</v>
      </c>
      <c r="K104">
        <f t="shared" si="10"/>
        <v>0</v>
      </c>
      <c r="M104" t="str" cm="1">
        <f t="array" ref="M104">IFERROR(INDEX($I$2:$K$2,0,MATCH(TRUE,I104:K104,0)),E104)</f>
        <v>Biomass</v>
      </c>
      <c r="O104" t="str">
        <f t="shared" si="7"/>
        <v>Biomass_2035</v>
      </c>
      <c r="P104">
        <f t="shared" si="8"/>
        <v>307.564211</v>
      </c>
    </row>
    <row r="105" spans="4:16" x14ac:dyDescent="0.25">
      <c r="D105">
        <v>2036</v>
      </c>
      <c r="E105" t="s">
        <v>122</v>
      </c>
      <c r="F105" t="s">
        <v>150</v>
      </c>
      <c r="G105">
        <v>307.564211</v>
      </c>
      <c r="I105">
        <f t="shared" si="10"/>
        <v>0</v>
      </c>
      <c r="J105">
        <f t="shared" si="10"/>
        <v>0</v>
      </c>
      <c r="K105">
        <f t="shared" si="10"/>
        <v>0</v>
      </c>
      <c r="M105" t="str" cm="1">
        <f t="array" ref="M105">IFERROR(INDEX($I$2:$K$2,0,MATCH(TRUE,I105:K105,0)),E105)</f>
        <v>Biomass</v>
      </c>
      <c r="O105" t="str">
        <f t="shared" si="7"/>
        <v>Biomass_2036</v>
      </c>
      <c r="P105">
        <f t="shared" si="8"/>
        <v>307.564211</v>
      </c>
    </row>
    <row r="106" spans="4:16" x14ac:dyDescent="0.25">
      <c r="D106">
        <v>2037</v>
      </c>
      <c r="E106" t="s">
        <v>122</v>
      </c>
      <c r="F106" t="s">
        <v>150</v>
      </c>
      <c r="G106">
        <v>307.564211</v>
      </c>
      <c r="I106">
        <f t="shared" si="10"/>
        <v>0</v>
      </c>
      <c r="J106">
        <f t="shared" si="10"/>
        <v>0</v>
      </c>
      <c r="K106">
        <f t="shared" si="10"/>
        <v>0</v>
      </c>
      <c r="M106" t="str" cm="1">
        <f t="array" ref="M106">IFERROR(INDEX($I$2:$K$2,0,MATCH(TRUE,I106:K106,0)),E106)</f>
        <v>Biomass</v>
      </c>
      <c r="O106" t="str">
        <f t="shared" si="7"/>
        <v>Biomass_2037</v>
      </c>
      <c r="P106">
        <f t="shared" si="8"/>
        <v>307.564211</v>
      </c>
    </row>
    <row r="107" spans="4:16" x14ac:dyDescent="0.25">
      <c r="D107">
        <v>2038</v>
      </c>
      <c r="E107" t="s">
        <v>122</v>
      </c>
      <c r="F107" t="s">
        <v>150</v>
      </c>
      <c r="G107">
        <v>307.564211</v>
      </c>
      <c r="I107">
        <f t="shared" si="10"/>
        <v>0</v>
      </c>
      <c r="J107">
        <f t="shared" si="10"/>
        <v>0</v>
      </c>
      <c r="K107">
        <f t="shared" si="10"/>
        <v>0</v>
      </c>
      <c r="M107" t="str" cm="1">
        <f t="array" ref="M107">IFERROR(INDEX($I$2:$K$2,0,MATCH(TRUE,I107:K107,0)),E107)</f>
        <v>Biomass</v>
      </c>
      <c r="O107" t="str">
        <f t="shared" si="7"/>
        <v>Biomass_2038</v>
      </c>
      <c r="P107">
        <f t="shared" si="8"/>
        <v>307.564211</v>
      </c>
    </row>
    <row r="108" spans="4:16" x14ac:dyDescent="0.25">
      <c r="D108">
        <v>2039</v>
      </c>
      <c r="E108" t="s">
        <v>122</v>
      </c>
      <c r="F108" t="s">
        <v>150</v>
      </c>
      <c r="G108">
        <v>307.564211</v>
      </c>
      <c r="I108">
        <f t="shared" si="10"/>
        <v>0</v>
      </c>
      <c r="J108">
        <f t="shared" si="10"/>
        <v>0</v>
      </c>
      <c r="K108">
        <f t="shared" si="10"/>
        <v>0</v>
      </c>
      <c r="M108" t="str" cm="1">
        <f t="array" ref="M108">IFERROR(INDEX($I$2:$K$2,0,MATCH(TRUE,I108:K108,0)),E108)</f>
        <v>Biomass</v>
      </c>
      <c r="O108" t="str">
        <f t="shared" si="7"/>
        <v>Biomass_2039</v>
      </c>
      <c r="P108">
        <f t="shared" si="8"/>
        <v>307.564211</v>
      </c>
    </row>
    <row r="109" spans="4:16" x14ac:dyDescent="0.25">
      <c r="D109">
        <v>2040</v>
      </c>
      <c r="E109" t="s">
        <v>122</v>
      </c>
      <c r="F109" t="s">
        <v>150</v>
      </c>
      <c r="G109">
        <v>307.564211</v>
      </c>
      <c r="I109">
        <f t="shared" si="10"/>
        <v>0</v>
      </c>
      <c r="J109">
        <f t="shared" si="10"/>
        <v>0</v>
      </c>
      <c r="K109">
        <f t="shared" si="10"/>
        <v>0</v>
      </c>
      <c r="M109" t="str" cm="1">
        <f t="array" ref="M109">IFERROR(INDEX($I$2:$K$2,0,MATCH(TRUE,I109:K109,0)),E109)</f>
        <v>Biomass</v>
      </c>
      <c r="O109" t="str">
        <f t="shared" si="7"/>
        <v>Biomass_2040</v>
      </c>
      <c r="P109">
        <f t="shared" si="8"/>
        <v>307.564211</v>
      </c>
    </row>
    <row r="110" spans="4:16" x14ac:dyDescent="0.25">
      <c r="D110">
        <v>2021</v>
      </c>
      <c r="E110" t="s">
        <v>122</v>
      </c>
      <c r="F110" t="s">
        <v>151</v>
      </c>
      <c r="G110">
        <v>1196.25</v>
      </c>
      <c r="I110">
        <f t="shared" si="10"/>
        <v>0</v>
      </c>
      <c r="J110">
        <f t="shared" si="10"/>
        <v>0</v>
      </c>
      <c r="K110">
        <f t="shared" si="10"/>
        <v>0</v>
      </c>
      <c r="M110" t="str" cm="1">
        <f t="array" ref="M110">IFERROR(INDEX($I$2:$K$2,0,MATCH(TRUE,I110:K110,0)),E110)</f>
        <v>Biomass</v>
      </c>
      <c r="O110" t="str">
        <f t="shared" si="7"/>
        <v>Biomass_2021</v>
      </c>
      <c r="P110">
        <f t="shared" si="8"/>
        <v>1196.25</v>
      </c>
    </row>
    <row r="111" spans="4:16" x14ac:dyDescent="0.25">
      <c r="D111">
        <v>2022</v>
      </c>
      <c r="E111" t="s">
        <v>122</v>
      </c>
      <c r="F111" t="s">
        <v>151</v>
      </c>
      <c r="G111">
        <v>1203.75</v>
      </c>
      <c r="I111">
        <f t="shared" si="10"/>
        <v>0</v>
      </c>
      <c r="J111">
        <f t="shared" si="10"/>
        <v>0</v>
      </c>
      <c r="K111">
        <f t="shared" si="10"/>
        <v>0</v>
      </c>
      <c r="M111" t="str" cm="1">
        <f t="array" ref="M111">IFERROR(INDEX($I$2:$K$2,0,MATCH(TRUE,I111:K111,0)),E111)</f>
        <v>Biomass</v>
      </c>
      <c r="O111" t="str">
        <f t="shared" si="7"/>
        <v>Biomass_2022</v>
      </c>
      <c r="P111">
        <f t="shared" si="8"/>
        <v>1203.75</v>
      </c>
    </row>
    <row r="112" spans="4:16" x14ac:dyDescent="0.25">
      <c r="D112">
        <v>2023</v>
      </c>
      <c r="E112" t="s">
        <v>122</v>
      </c>
      <c r="F112" t="s">
        <v>151</v>
      </c>
      <c r="G112">
        <v>1211.25</v>
      </c>
      <c r="I112">
        <f t="shared" si="10"/>
        <v>0</v>
      </c>
      <c r="J112">
        <f t="shared" si="10"/>
        <v>0</v>
      </c>
      <c r="K112">
        <f t="shared" si="10"/>
        <v>0</v>
      </c>
      <c r="M112" t="str" cm="1">
        <f t="array" ref="M112">IFERROR(INDEX($I$2:$K$2,0,MATCH(TRUE,I112:K112,0)),E112)</f>
        <v>Biomass</v>
      </c>
      <c r="O112" t="str">
        <f t="shared" si="7"/>
        <v>Biomass_2023</v>
      </c>
      <c r="P112">
        <f t="shared" si="8"/>
        <v>1211.25</v>
      </c>
    </row>
    <row r="113" spans="4:16" x14ac:dyDescent="0.25">
      <c r="D113">
        <v>2024</v>
      </c>
      <c r="E113" t="s">
        <v>122</v>
      </c>
      <c r="F113" t="s">
        <v>151</v>
      </c>
      <c r="G113">
        <v>1218.75</v>
      </c>
      <c r="I113">
        <f t="shared" si="10"/>
        <v>0</v>
      </c>
      <c r="J113">
        <f t="shared" si="10"/>
        <v>0</v>
      </c>
      <c r="K113">
        <f t="shared" si="10"/>
        <v>0</v>
      </c>
      <c r="M113" t="str" cm="1">
        <f t="array" ref="M113">IFERROR(INDEX($I$2:$K$2,0,MATCH(TRUE,I113:K113,0)),E113)</f>
        <v>Biomass</v>
      </c>
      <c r="O113" t="str">
        <f t="shared" si="7"/>
        <v>Biomass_2024</v>
      </c>
      <c r="P113">
        <f t="shared" si="8"/>
        <v>1218.75</v>
      </c>
    </row>
    <row r="114" spans="4:16" x14ac:dyDescent="0.25">
      <c r="D114">
        <v>2025</v>
      </c>
      <c r="E114" t="s">
        <v>122</v>
      </c>
      <c r="F114" t="s">
        <v>151</v>
      </c>
      <c r="G114">
        <v>1226.25</v>
      </c>
      <c r="I114">
        <f t="shared" si="10"/>
        <v>0</v>
      </c>
      <c r="J114">
        <f t="shared" si="10"/>
        <v>0</v>
      </c>
      <c r="K114">
        <f t="shared" si="10"/>
        <v>0</v>
      </c>
      <c r="M114" t="str" cm="1">
        <f t="array" ref="M114">IFERROR(INDEX($I$2:$K$2,0,MATCH(TRUE,I114:K114,0)),E114)</f>
        <v>Biomass</v>
      </c>
      <c r="O114" t="str">
        <f t="shared" si="7"/>
        <v>Biomass_2025</v>
      </c>
      <c r="P114">
        <f t="shared" si="8"/>
        <v>1226.25</v>
      </c>
    </row>
    <row r="115" spans="4:16" x14ac:dyDescent="0.25">
      <c r="D115">
        <v>2026</v>
      </c>
      <c r="E115" t="s">
        <v>122</v>
      </c>
      <c r="F115" t="s">
        <v>151</v>
      </c>
      <c r="G115">
        <v>1233.75</v>
      </c>
      <c r="I115">
        <f t="shared" si="10"/>
        <v>0</v>
      </c>
      <c r="J115">
        <f t="shared" si="10"/>
        <v>0</v>
      </c>
      <c r="K115">
        <f t="shared" si="10"/>
        <v>0</v>
      </c>
      <c r="M115" t="str" cm="1">
        <f t="array" ref="M115">IFERROR(INDEX($I$2:$K$2,0,MATCH(TRUE,I115:K115,0)),E115)</f>
        <v>Biomass</v>
      </c>
      <c r="O115" t="str">
        <f t="shared" si="7"/>
        <v>Biomass_2026</v>
      </c>
      <c r="P115">
        <f t="shared" si="8"/>
        <v>1233.75</v>
      </c>
    </row>
    <row r="116" spans="4:16" x14ac:dyDescent="0.25">
      <c r="D116">
        <v>2027</v>
      </c>
      <c r="E116" t="s">
        <v>122</v>
      </c>
      <c r="F116" t="s">
        <v>151</v>
      </c>
      <c r="G116">
        <v>1241.25</v>
      </c>
      <c r="I116">
        <f t="shared" si="10"/>
        <v>0</v>
      </c>
      <c r="J116">
        <f t="shared" si="10"/>
        <v>0</v>
      </c>
      <c r="K116">
        <f t="shared" si="10"/>
        <v>0</v>
      </c>
      <c r="M116" t="str" cm="1">
        <f t="array" ref="M116">IFERROR(INDEX($I$2:$K$2,0,MATCH(TRUE,I116:K116,0)),E116)</f>
        <v>Biomass</v>
      </c>
      <c r="O116" t="str">
        <f t="shared" si="7"/>
        <v>Biomass_2027</v>
      </c>
      <c r="P116">
        <f t="shared" si="8"/>
        <v>1241.25</v>
      </c>
    </row>
    <row r="117" spans="4:16" x14ac:dyDescent="0.25">
      <c r="D117">
        <v>2028</v>
      </c>
      <c r="E117" t="s">
        <v>122</v>
      </c>
      <c r="F117" t="s">
        <v>151</v>
      </c>
      <c r="G117">
        <v>1248.75</v>
      </c>
      <c r="I117">
        <f t="shared" si="10"/>
        <v>0</v>
      </c>
      <c r="J117">
        <f t="shared" si="10"/>
        <v>0</v>
      </c>
      <c r="K117">
        <f t="shared" si="10"/>
        <v>0</v>
      </c>
      <c r="M117" t="str" cm="1">
        <f t="array" ref="M117">IFERROR(INDEX($I$2:$K$2,0,MATCH(TRUE,I117:K117,0)),E117)</f>
        <v>Biomass</v>
      </c>
      <c r="O117" t="str">
        <f t="shared" si="7"/>
        <v>Biomass_2028</v>
      </c>
      <c r="P117">
        <f t="shared" si="8"/>
        <v>1248.75</v>
      </c>
    </row>
    <row r="118" spans="4:16" x14ac:dyDescent="0.25">
      <c r="D118">
        <v>2029</v>
      </c>
      <c r="E118" t="s">
        <v>122</v>
      </c>
      <c r="F118" t="s">
        <v>151</v>
      </c>
      <c r="G118">
        <v>1256.25</v>
      </c>
      <c r="I118">
        <f t="shared" si="10"/>
        <v>0</v>
      </c>
      <c r="J118">
        <f t="shared" si="10"/>
        <v>0</v>
      </c>
      <c r="K118">
        <f t="shared" si="10"/>
        <v>0</v>
      </c>
      <c r="M118" t="str" cm="1">
        <f t="array" ref="M118">IFERROR(INDEX($I$2:$K$2,0,MATCH(TRUE,I118:K118,0)),E118)</f>
        <v>Biomass</v>
      </c>
      <c r="O118" t="str">
        <f t="shared" si="7"/>
        <v>Biomass_2029</v>
      </c>
      <c r="P118">
        <f t="shared" si="8"/>
        <v>1256.25</v>
      </c>
    </row>
    <row r="119" spans="4:16" x14ac:dyDescent="0.25">
      <c r="D119">
        <v>2030</v>
      </c>
      <c r="E119" t="s">
        <v>122</v>
      </c>
      <c r="F119" t="s">
        <v>151</v>
      </c>
      <c r="G119">
        <v>1263.75</v>
      </c>
      <c r="I119">
        <f t="shared" si="10"/>
        <v>0</v>
      </c>
      <c r="J119">
        <f t="shared" si="10"/>
        <v>0</v>
      </c>
      <c r="K119">
        <f t="shared" si="10"/>
        <v>0</v>
      </c>
      <c r="M119" t="str" cm="1">
        <f t="array" ref="M119">IFERROR(INDEX($I$2:$K$2,0,MATCH(TRUE,I119:K119,0)),E119)</f>
        <v>Biomass</v>
      </c>
      <c r="O119" t="str">
        <f t="shared" si="7"/>
        <v>Biomass_2030</v>
      </c>
      <c r="P119">
        <f t="shared" si="8"/>
        <v>1263.75</v>
      </c>
    </row>
    <row r="120" spans="4:16" x14ac:dyDescent="0.25">
      <c r="D120">
        <v>2031</v>
      </c>
      <c r="E120" t="s">
        <v>122</v>
      </c>
      <c r="F120" t="s">
        <v>151</v>
      </c>
      <c r="G120">
        <v>1271.25</v>
      </c>
      <c r="I120">
        <f t="shared" si="10"/>
        <v>0</v>
      </c>
      <c r="J120">
        <f t="shared" si="10"/>
        <v>0</v>
      </c>
      <c r="K120">
        <f t="shared" si="10"/>
        <v>0</v>
      </c>
      <c r="M120" t="str" cm="1">
        <f t="array" ref="M120">IFERROR(INDEX($I$2:$K$2,0,MATCH(TRUE,I120:K120,0)),E120)</f>
        <v>Biomass</v>
      </c>
      <c r="O120" t="str">
        <f t="shared" si="7"/>
        <v>Biomass_2031</v>
      </c>
      <c r="P120">
        <f t="shared" si="8"/>
        <v>1271.25</v>
      </c>
    </row>
    <row r="121" spans="4:16" x14ac:dyDescent="0.25">
      <c r="D121">
        <v>2032</v>
      </c>
      <c r="E121" t="s">
        <v>122</v>
      </c>
      <c r="F121" t="s">
        <v>151</v>
      </c>
      <c r="G121">
        <v>1278.75</v>
      </c>
      <c r="I121">
        <f t="shared" si="10"/>
        <v>0</v>
      </c>
      <c r="J121">
        <f t="shared" si="10"/>
        <v>0</v>
      </c>
      <c r="K121">
        <f t="shared" si="10"/>
        <v>0</v>
      </c>
      <c r="M121" t="str" cm="1">
        <f t="array" ref="M121">IFERROR(INDEX($I$2:$K$2,0,MATCH(TRUE,I121:K121,0)),E121)</f>
        <v>Biomass</v>
      </c>
      <c r="O121" t="str">
        <f t="shared" si="7"/>
        <v>Biomass_2032</v>
      </c>
      <c r="P121">
        <f t="shared" si="8"/>
        <v>1278.75</v>
      </c>
    </row>
    <row r="122" spans="4:16" x14ac:dyDescent="0.25">
      <c r="D122">
        <v>2033</v>
      </c>
      <c r="E122" t="s">
        <v>122</v>
      </c>
      <c r="F122" t="s">
        <v>151</v>
      </c>
      <c r="G122">
        <v>1286.25</v>
      </c>
      <c r="I122">
        <f t="shared" si="10"/>
        <v>0</v>
      </c>
      <c r="J122">
        <f t="shared" si="10"/>
        <v>0</v>
      </c>
      <c r="K122">
        <f t="shared" si="10"/>
        <v>0</v>
      </c>
      <c r="M122" t="str" cm="1">
        <f t="array" ref="M122">IFERROR(INDEX($I$2:$K$2,0,MATCH(TRUE,I122:K122,0)),E122)</f>
        <v>Biomass</v>
      </c>
      <c r="O122" t="str">
        <f t="shared" si="7"/>
        <v>Biomass_2033</v>
      </c>
      <c r="P122">
        <f t="shared" si="8"/>
        <v>1286.25</v>
      </c>
    </row>
    <row r="123" spans="4:16" x14ac:dyDescent="0.25">
      <c r="D123">
        <v>2034</v>
      </c>
      <c r="E123" t="s">
        <v>122</v>
      </c>
      <c r="F123" t="s">
        <v>151</v>
      </c>
      <c r="G123">
        <v>1293.75</v>
      </c>
      <c r="I123">
        <f t="shared" si="10"/>
        <v>0</v>
      </c>
      <c r="J123">
        <f t="shared" si="10"/>
        <v>0</v>
      </c>
      <c r="K123">
        <f t="shared" si="10"/>
        <v>0</v>
      </c>
      <c r="M123" t="str" cm="1">
        <f t="array" ref="M123">IFERROR(INDEX($I$2:$K$2,0,MATCH(TRUE,I123:K123,0)),E123)</f>
        <v>Biomass</v>
      </c>
      <c r="O123" t="str">
        <f t="shared" si="7"/>
        <v>Biomass_2034</v>
      </c>
      <c r="P123">
        <f t="shared" si="8"/>
        <v>1293.75</v>
      </c>
    </row>
    <row r="124" spans="4:16" x14ac:dyDescent="0.25">
      <c r="D124">
        <v>2035</v>
      </c>
      <c r="E124" t="s">
        <v>122</v>
      </c>
      <c r="F124" t="s">
        <v>151</v>
      </c>
      <c r="G124">
        <v>1301.25</v>
      </c>
      <c r="I124">
        <f t="shared" ref="I124:K143" si="11">IFERROR(FIND(I$2,$E124,1)&gt;0,0)</f>
        <v>0</v>
      </c>
      <c r="J124">
        <f t="shared" si="11"/>
        <v>0</v>
      </c>
      <c r="K124">
        <f t="shared" si="11"/>
        <v>0</v>
      </c>
      <c r="M124" t="str" cm="1">
        <f t="array" ref="M124">IFERROR(INDEX($I$2:$K$2,0,MATCH(TRUE,I124:K124,0)),E124)</f>
        <v>Biomass</v>
      </c>
      <c r="O124" t="str">
        <f t="shared" si="7"/>
        <v>Biomass_2035</v>
      </c>
      <c r="P124">
        <f t="shared" si="8"/>
        <v>1301.25</v>
      </c>
    </row>
    <row r="125" spans="4:16" x14ac:dyDescent="0.25">
      <c r="D125">
        <v>2036</v>
      </c>
      <c r="E125" t="s">
        <v>122</v>
      </c>
      <c r="F125" t="s">
        <v>151</v>
      </c>
      <c r="G125">
        <v>1305</v>
      </c>
      <c r="I125">
        <f t="shared" si="11"/>
        <v>0</v>
      </c>
      <c r="J125">
        <f t="shared" si="11"/>
        <v>0</v>
      </c>
      <c r="K125">
        <f t="shared" si="11"/>
        <v>0</v>
      </c>
      <c r="M125" t="str" cm="1">
        <f t="array" ref="M125">IFERROR(INDEX($I$2:$K$2,0,MATCH(TRUE,I125:K125,0)),E125)</f>
        <v>Biomass</v>
      </c>
      <c r="O125" t="str">
        <f t="shared" si="7"/>
        <v>Biomass_2036</v>
      </c>
      <c r="P125">
        <f t="shared" si="8"/>
        <v>1305</v>
      </c>
    </row>
    <row r="126" spans="4:16" x14ac:dyDescent="0.25">
      <c r="D126">
        <v>2037</v>
      </c>
      <c r="E126" t="s">
        <v>122</v>
      </c>
      <c r="F126" t="s">
        <v>151</v>
      </c>
      <c r="G126">
        <v>1305</v>
      </c>
      <c r="I126">
        <f t="shared" si="11"/>
        <v>0</v>
      </c>
      <c r="J126">
        <f t="shared" si="11"/>
        <v>0</v>
      </c>
      <c r="K126">
        <f t="shared" si="11"/>
        <v>0</v>
      </c>
      <c r="M126" t="str" cm="1">
        <f t="array" ref="M126">IFERROR(INDEX($I$2:$K$2,0,MATCH(TRUE,I126:K126,0)),E126)</f>
        <v>Biomass</v>
      </c>
      <c r="O126" t="str">
        <f t="shared" si="7"/>
        <v>Biomass_2037</v>
      </c>
      <c r="P126">
        <f t="shared" si="8"/>
        <v>1305</v>
      </c>
    </row>
    <row r="127" spans="4:16" x14ac:dyDescent="0.25">
      <c r="D127">
        <v>2038</v>
      </c>
      <c r="E127" t="s">
        <v>122</v>
      </c>
      <c r="F127" t="s">
        <v>151</v>
      </c>
      <c r="G127">
        <v>1305</v>
      </c>
      <c r="I127">
        <f t="shared" si="11"/>
        <v>0</v>
      </c>
      <c r="J127">
        <f t="shared" si="11"/>
        <v>0</v>
      </c>
      <c r="K127">
        <f t="shared" si="11"/>
        <v>0</v>
      </c>
      <c r="M127" t="str" cm="1">
        <f t="array" ref="M127">IFERROR(INDEX($I$2:$K$2,0,MATCH(TRUE,I127:K127,0)),E127)</f>
        <v>Biomass</v>
      </c>
      <c r="O127" t="str">
        <f t="shared" si="7"/>
        <v>Biomass_2038</v>
      </c>
      <c r="P127">
        <f t="shared" si="8"/>
        <v>1305</v>
      </c>
    </row>
    <row r="128" spans="4:16" x14ac:dyDescent="0.25">
      <c r="D128">
        <v>2039</v>
      </c>
      <c r="E128" t="s">
        <v>122</v>
      </c>
      <c r="F128" t="s">
        <v>151</v>
      </c>
      <c r="G128">
        <v>1305</v>
      </c>
      <c r="I128">
        <f t="shared" si="11"/>
        <v>0</v>
      </c>
      <c r="J128">
        <f t="shared" si="11"/>
        <v>0</v>
      </c>
      <c r="K128">
        <f t="shared" si="11"/>
        <v>0</v>
      </c>
      <c r="M128" t="str" cm="1">
        <f t="array" ref="M128">IFERROR(INDEX($I$2:$K$2,0,MATCH(TRUE,I128:K128,0)),E128)</f>
        <v>Biomass</v>
      </c>
      <c r="O128" t="str">
        <f t="shared" si="7"/>
        <v>Biomass_2039</v>
      </c>
      <c r="P128">
        <f t="shared" si="8"/>
        <v>1305</v>
      </c>
    </row>
    <row r="129" spans="4:16" x14ac:dyDescent="0.25">
      <c r="D129">
        <v>2040</v>
      </c>
      <c r="E129" t="s">
        <v>122</v>
      </c>
      <c r="F129" t="s">
        <v>151</v>
      </c>
      <c r="G129">
        <v>1305</v>
      </c>
      <c r="I129">
        <f t="shared" si="11"/>
        <v>0</v>
      </c>
      <c r="J129">
        <f t="shared" si="11"/>
        <v>0</v>
      </c>
      <c r="K129">
        <f t="shared" si="11"/>
        <v>0</v>
      </c>
      <c r="M129" t="str" cm="1">
        <f t="array" ref="M129">IFERROR(INDEX($I$2:$K$2,0,MATCH(TRUE,I129:K129,0)),E129)</f>
        <v>Biomass</v>
      </c>
      <c r="O129" t="str">
        <f t="shared" si="7"/>
        <v>Biomass_2040</v>
      </c>
      <c r="P129">
        <f t="shared" si="8"/>
        <v>1305</v>
      </c>
    </row>
    <row r="130" spans="4:16" x14ac:dyDescent="0.25">
      <c r="D130">
        <v>2021</v>
      </c>
      <c r="E130" t="s">
        <v>123</v>
      </c>
      <c r="F130" t="s">
        <v>152</v>
      </c>
      <c r="G130">
        <v>30</v>
      </c>
      <c r="I130">
        <f t="shared" si="11"/>
        <v>0</v>
      </c>
      <c r="J130">
        <f t="shared" si="11"/>
        <v>0</v>
      </c>
      <c r="K130">
        <f t="shared" si="11"/>
        <v>0</v>
      </c>
      <c r="M130" t="str" cm="1">
        <f t="array" ref="M130">IFERROR(INDEX($I$2:$K$2,0,MATCH(TRUE,I130:K130,0)),E130)</f>
        <v>CCGT</v>
      </c>
      <c r="O130" t="str">
        <f t="shared" si="7"/>
        <v>CCGT_2021</v>
      </c>
      <c r="P130">
        <f t="shared" si="8"/>
        <v>30</v>
      </c>
    </row>
    <row r="131" spans="4:16" x14ac:dyDescent="0.25">
      <c r="D131">
        <v>2022</v>
      </c>
      <c r="E131" t="s">
        <v>123</v>
      </c>
      <c r="F131" t="s">
        <v>152</v>
      </c>
      <c r="G131">
        <v>30</v>
      </c>
      <c r="I131">
        <f t="shared" si="11"/>
        <v>0</v>
      </c>
      <c r="J131">
        <f t="shared" si="11"/>
        <v>0</v>
      </c>
      <c r="K131">
        <f t="shared" si="11"/>
        <v>0</v>
      </c>
      <c r="M131" t="str" cm="1">
        <f t="array" ref="M131">IFERROR(INDEX($I$2:$K$2,0,MATCH(TRUE,I131:K131,0)),E131)</f>
        <v>CCGT</v>
      </c>
      <c r="O131" t="str">
        <f t="shared" si="7"/>
        <v>CCGT_2022</v>
      </c>
      <c r="P131">
        <f t="shared" si="8"/>
        <v>30</v>
      </c>
    </row>
    <row r="132" spans="4:16" x14ac:dyDescent="0.25">
      <c r="D132">
        <v>2023</v>
      </c>
      <c r="E132" t="s">
        <v>123</v>
      </c>
      <c r="F132" t="s">
        <v>152</v>
      </c>
      <c r="G132">
        <v>30</v>
      </c>
      <c r="I132">
        <f t="shared" si="11"/>
        <v>0</v>
      </c>
      <c r="J132">
        <f t="shared" si="11"/>
        <v>0</v>
      </c>
      <c r="K132">
        <f t="shared" si="11"/>
        <v>0</v>
      </c>
      <c r="M132" t="str" cm="1">
        <f t="array" ref="M132">IFERROR(INDEX($I$2:$K$2,0,MATCH(TRUE,I132:K132,0)),E132)</f>
        <v>CCGT</v>
      </c>
      <c r="O132" t="str">
        <f t="shared" ref="O132:O195" si="12">M132&amp;"_"&amp;D132</f>
        <v>CCGT_2023</v>
      </c>
      <c r="P132">
        <f t="shared" ref="P132:P195" si="13">G132</f>
        <v>30</v>
      </c>
    </row>
    <row r="133" spans="4:16" x14ac:dyDescent="0.25">
      <c r="D133">
        <v>2024</v>
      </c>
      <c r="E133" t="s">
        <v>123</v>
      </c>
      <c r="F133" t="s">
        <v>152</v>
      </c>
      <c r="G133">
        <v>30</v>
      </c>
      <c r="I133">
        <f t="shared" si="11"/>
        <v>0</v>
      </c>
      <c r="J133">
        <f t="shared" si="11"/>
        <v>0</v>
      </c>
      <c r="K133">
        <f t="shared" si="11"/>
        <v>0</v>
      </c>
      <c r="M133" t="str" cm="1">
        <f t="array" ref="M133">IFERROR(INDEX($I$2:$K$2,0,MATCH(TRUE,I133:K133,0)),E133)</f>
        <v>CCGT</v>
      </c>
      <c r="O133" t="str">
        <f t="shared" si="12"/>
        <v>CCGT_2024</v>
      </c>
      <c r="P133">
        <f t="shared" si="13"/>
        <v>30</v>
      </c>
    </row>
    <row r="134" spans="4:16" x14ac:dyDescent="0.25">
      <c r="D134">
        <v>2025</v>
      </c>
      <c r="E134" t="s">
        <v>123</v>
      </c>
      <c r="F134" t="s">
        <v>152</v>
      </c>
      <c r="G134">
        <v>30</v>
      </c>
      <c r="I134">
        <f t="shared" si="11"/>
        <v>0</v>
      </c>
      <c r="J134">
        <f t="shared" si="11"/>
        <v>0</v>
      </c>
      <c r="K134">
        <f t="shared" si="11"/>
        <v>0</v>
      </c>
      <c r="M134" t="str" cm="1">
        <f t="array" ref="M134">IFERROR(INDEX($I$2:$K$2,0,MATCH(TRUE,I134:K134,0)),E134)</f>
        <v>CCGT</v>
      </c>
      <c r="O134" t="str">
        <f t="shared" si="12"/>
        <v>CCGT_2025</v>
      </c>
      <c r="P134">
        <f t="shared" si="13"/>
        <v>30</v>
      </c>
    </row>
    <row r="135" spans="4:16" x14ac:dyDescent="0.25">
      <c r="D135">
        <v>2026</v>
      </c>
      <c r="E135" t="s">
        <v>123</v>
      </c>
      <c r="F135" t="s">
        <v>152</v>
      </c>
      <c r="G135">
        <v>30</v>
      </c>
      <c r="I135">
        <f t="shared" si="11"/>
        <v>0</v>
      </c>
      <c r="J135">
        <f t="shared" si="11"/>
        <v>0</v>
      </c>
      <c r="K135">
        <f t="shared" si="11"/>
        <v>0</v>
      </c>
      <c r="M135" t="str" cm="1">
        <f t="array" ref="M135">IFERROR(INDEX($I$2:$K$2,0,MATCH(TRUE,I135:K135,0)),E135)</f>
        <v>CCGT</v>
      </c>
      <c r="O135" t="str">
        <f t="shared" si="12"/>
        <v>CCGT_2026</v>
      </c>
      <c r="P135">
        <f t="shared" si="13"/>
        <v>30</v>
      </c>
    </row>
    <row r="136" spans="4:16" x14ac:dyDescent="0.25">
      <c r="D136">
        <v>2027</v>
      </c>
      <c r="E136" t="s">
        <v>123</v>
      </c>
      <c r="F136" t="s">
        <v>152</v>
      </c>
      <c r="G136">
        <v>30</v>
      </c>
      <c r="I136">
        <f t="shared" si="11"/>
        <v>0</v>
      </c>
      <c r="J136">
        <f t="shared" si="11"/>
        <v>0</v>
      </c>
      <c r="K136">
        <f t="shared" si="11"/>
        <v>0</v>
      </c>
      <c r="M136" t="str" cm="1">
        <f t="array" ref="M136">IFERROR(INDEX($I$2:$K$2,0,MATCH(TRUE,I136:K136,0)),E136)</f>
        <v>CCGT</v>
      </c>
      <c r="O136" t="str">
        <f t="shared" si="12"/>
        <v>CCGT_2027</v>
      </c>
      <c r="P136">
        <f t="shared" si="13"/>
        <v>30</v>
      </c>
    </row>
    <row r="137" spans="4:16" x14ac:dyDescent="0.25">
      <c r="D137">
        <v>2028</v>
      </c>
      <c r="E137" t="s">
        <v>123</v>
      </c>
      <c r="F137" t="s">
        <v>152</v>
      </c>
      <c r="G137">
        <v>30</v>
      </c>
      <c r="I137">
        <f t="shared" si="11"/>
        <v>0</v>
      </c>
      <c r="J137">
        <f t="shared" si="11"/>
        <v>0</v>
      </c>
      <c r="K137">
        <f t="shared" si="11"/>
        <v>0</v>
      </c>
      <c r="M137" t="str" cm="1">
        <f t="array" ref="M137">IFERROR(INDEX($I$2:$K$2,0,MATCH(TRUE,I137:K137,0)),E137)</f>
        <v>CCGT</v>
      </c>
      <c r="O137" t="str">
        <f t="shared" si="12"/>
        <v>CCGT_2028</v>
      </c>
      <c r="P137">
        <f t="shared" si="13"/>
        <v>30</v>
      </c>
    </row>
    <row r="138" spans="4:16" x14ac:dyDescent="0.25">
      <c r="D138">
        <v>2029</v>
      </c>
      <c r="E138" t="s">
        <v>123</v>
      </c>
      <c r="F138" t="s">
        <v>152</v>
      </c>
      <c r="G138">
        <v>30</v>
      </c>
      <c r="I138">
        <f t="shared" si="11"/>
        <v>0</v>
      </c>
      <c r="J138">
        <f t="shared" si="11"/>
        <v>0</v>
      </c>
      <c r="K138">
        <f t="shared" si="11"/>
        <v>0</v>
      </c>
      <c r="M138" t="str" cm="1">
        <f t="array" ref="M138">IFERROR(INDEX($I$2:$K$2,0,MATCH(TRUE,I138:K138,0)),E138)</f>
        <v>CCGT</v>
      </c>
      <c r="O138" t="str">
        <f t="shared" si="12"/>
        <v>CCGT_2029</v>
      </c>
      <c r="P138">
        <f t="shared" si="13"/>
        <v>30</v>
      </c>
    </row>
    <row r="139" spans="4:16" x14ac:dyDescent="0.25">
      <c r="D139">
        <v>2030</v>
      </c>
      <c r="E139" t="s">
        <v>123</v>
      </c>
      <c r="F139" t="s">
        <v>152</v>
      </c>
      <c r="G139">
        <v>30</v>
      </c>
      <c r="I139">
        <f t="shared" si="11"/>
        <v>0</v>
      </c>
      <c r="J139">
        <f t="shared" si="11"/>
        <v>0</v>
      </c>
      <c r="K139">
        <f t="shared" si="11"/>
        <v>0</v>
      </c>
      <c r="M139" t="str" cm="1">
        <f t="array" ref="M139">IFERROR(INDEX($I$2:$K$2,0,MATCH(TRUE,I139:K139,0)),E139)</f>
        <v>CCGT</v>
      </c>
      <c r="O139" t="str">
        <f t="shared" si="12"/>
        <v>CCGT_2030</v>
      </c>
      <c r="P139">
        <f t="shared" si="13"/>
        <v>30</v>
      </c>
    </row>
    <row r="140" spans="4:16" x14ac:dyDescent="0.25">
      <c r="D140">
        <v>2031</v>
      </c>
      <c r="E140" t="s">
        <v>123</v>
      </c>
      <c r="F140" t="s">
        <v>152</v>
      </c>
      <c r="G140">
        <v>30</v>
      </c>
      <c r="I140">
        <f t="shared" si="11"/>
        <v>0</v>
      </c>
      <c r="J140">
        <f t="shared" si="11"/>
        <v>0</v>
      </c>
      <c r="K140">
        <f t="shared" si="11"/>
        <v>0</v>
      </c>
      <c r="M140" t="str" cm="1">
        <f t="array" ref="M140">IFERROR(INDEX($I$2:$K$2,0,MATCH(TRUE,I140:K140,0)),E140)</f>
        <v>CCGT</v>
      </c>
      <c r="O140" t="str">
        <f t="shared" si="12"/>
        <v>CCGT_2031</v>
      </c>
      <c r="P140">
        <f t="shared" si="13"/>
        <v>30</v>
      </c>
    </row>
    <row r="141" spans="4:16" x14ac:dyDescent="0.25">
      <c r="D141">
        <v>2032</v>
      </c>
      <c r="E141" t="s">
        <v>123</v>
      </c>
      <c r="F141" t="s">
        <v>152</v>
      </c>
      <c r="G141">
        <v>30</v>
      </c>
      <c r="I141">
        <f t="shared" si="11"/>
        <v>0</v>
      </c>
      <c r="J141">
        <f t="shared" si="11"/>
        <v>0</v>
      </c>
      <c r="K141">
        <f t="shared" si="11"/>
        <v>0</v>
      </c>
      <c r="M141" t="str" cm="1">
        <f t="array" ref="M141">IFERROR(INDEX($I$2:$K$2,0,MATCH(TRUE,I141:K141,0)),E141)</f>
        <v>CCGT</v>
      </c>
      <c r="O141" t="str">
        <f t="shared" si="12"/>
        <v>CCGT_2032</v>
      </c>
      <c r="P141">
        <f t="shared" si="13"/>
        <v>30</v>
      </c>
    </row>
    <row r="142" spans="4:16" x14ac:dyDescent="0.25">
      <c r="D142">
        <v>2033</v>
      </c>
      <c r="E142" t="s">
        <v>123</v>
      </c>
      <c r="F142" t="s">
        <v>152</v>
      </c>
      <c r="G142">
        <v>30</v>
      </c>
      <c r="I142">
        <f t="shared" si="11"/>
        <v>0</v>
      </c>
      <c r="J142">
        <f t="shared" si="11"/>
        <v>0</v>
      </c>
      <c r="K142">
        <f t="shared" si="11"/>
        <v>0</v>
      </c>
      <c r="M142" t="str" cm="1">
        <f t="array" ref="M142">IFERROR(INDEX($I$2:$K$2,0,MATCH(TRUE,I142:K142,0)),E142)</f>
        <v>CCGT</v>
      </c>
      <c r="O142" t="str">
        <f t="shared" si="12"/>
        <v>CCGT_2033</v>
      </c>
      <c r="P142">
        <f t="shared" si="13"/>
        <v>30</v>
      </c>
    </row>
    <row r="143" spans="4:16" x14ac:dyDescent="0.25">
      <c r="D143">
        <v>2034</v>
      </c>
      <c r="E143" t="s">
        <v>123</v>
      </c>
      <c r="F143" t="s">
        <v>152</v>
      </c>
      <c r="G143">
        <v>30</v>
      </c>
      <c r="I143">
        <f t="shared" si="11"/>
        <v>0</v>
      </c>
      <c r="J143">
        <f t="shared" si="11"/>
        <v>0</v>
      </c>
      <c r="K143">
        <f t="shared" si="11"/>
        <v>0</v>
      </c>
      <c r="M143" t="str" cm="1">
        <f t="array" ref="M143">IFERROR(INDEX($I$2:$K$2,0,MATCH(TRUE,I143:K143,0)),E143)</f>
        <v>CCGT</v>
      </c>
      <c r="O143" t="str">
        <f t="shared" si="12"/>
        <v>CCGT_2034</v>
      </c>
      <c r="P143">
        <f t="shared" si="13"/>
        <v>30</v>
      </c>
    </row>
    <row r="144" spans="4:16" x14ac:dyDescent="0.25">
      <c r="D144">
        <v>2035</v>
      </c>
      <c r="E144" t="s">
        <v>123</v>
      </c>
      <c r="F144" t="s">
        <v>152</v>
      </c>
      <c r="G144">
        <v>30</v>
      </c>
      <c r="I144">
        <f t="shared" ref="I144:K163" si="14">IFERROR(FIND(I$2,$E144,1)&gt;0,0)</f>
        <v>0</v>
      </c>
      <c r="J144">
        <f t="shared" si="14"/>
        <v>0</v>
      </c>
      <c r="K144">
        <f t="shared" si="14"/>
        <v>0</v>
      </c>
      <c r="M144" t="str" cm="1">
        <f t="array" ref="M144">IFERROR(INDEX($I$2:$K$2,0,MATCH(TRUE,I144:K144,0)),E144)</f>
        <v>CCGT</v>
      </c>
      <c r="O144" t="str">
        <f t="shared" si="12"/>
        <v>CCGT_2035</v>
      </c>
      <c r="P144">
        <f t="shared" si="13"/>
        <v>30</v>
      </c>
    </row>
    <row r="145" spans="4:16" x14ac:dyDescent="0.25">
      <c r="D145">
        <v>2036</v>
      </c>
      <c r="E145" t="s">
        <v>123</v>
      </c>
      <c r="F145" t="s">
        <v>152</v>
      </c>
      <c r="G145">
        <v>30</v>
      </c>
      <c r="I145">
        <f t="shared" si="14"/>
        <v>0</v>
      </c>
      <c r="J145">
        <f t="shared" si="14"/>
        <v>0</v>
      </c>
      <c r="K145">
        <f t="shared" si="14"/>
        <v>0</v>
      </c>
      <c r="M145" t="str" cm="1">
        <f t="array" ref="M145">IFERROR(INDEX($I$2:$K$2,0,MATCH(TRUE,I145:K145,0)),E145)</f>
        <v>CCGT</v>
      </c>
      <c r="O145" t="str">
        <f t="shared" si="12"/>
        <v>CCGT_2036</v>
      </c>
      <c r="P145">
        <f t="shared" si="13"/>
        <v>30</v>
      </c>
    </row>
    <row r="146" spans="4:16" x14ac:dyDescent="0.25">
      <c r="D146">
        <v>2037</v>
      </c>
      <c r="E146" t="s">
        <v>123</v>
      </c>
      <c r="F146" t="s">
        <v>152</v>
      </c>
      <c r="G146">
        <v>30</v>
      </c>
      <c r="I146">
        <f t="shared" si="14"/>
        <v>0</v>
      </c>
      <c r="J146">
        <f t="shared" si="14"/>
        <v>0</v>
      </c>
      <c r="K146">
        <f t="shared" si="14"/>
        <v>0</v>
      </c>
      <c r="M146" t="str" cm="1">
        <f t="array" ref="M146">IFERROR(INDEX($I$2:$K$2,0,MATCH(TRUE,I146:K146,0)),E146)</f>
        <v>CCGT</v>
      </c>
      <c r="O146" t="str">
        <f t="shared" si="12"/>
        <v>CCGT_2037</v>
      </c>
      <c r="P146">
        <f t="shared" si="13"/>
        <v>30</v>
      </c>
    </row>
    <row r="147" spans="4:16" x14ac:dyDescent="0.25">
      <c r="D147">
        <v>2038</v>
      </c>
      <c r="E147" t="s">
        <v>123</v>
      </c>
      <c r="F147" t="s">
        <v>152</v>
      </c>
      <c r="G147">
        <v>30</v>
      </c>
      <c r="I147">
        <f t="shared" si="14"/>
        <v>0</v>
      </c>
      <c r="J147">
        <f t="shared" si="14"/>
        <v>0</v>
      </c>
      <c r="K147">
        <f t="shared" si="14"/>
        <v>0</v>
      </c>
      <c r="M147" t="str" cm="1">
        <f t="array" ref="M147">IFERROR(INDEX($I$2:$K$2,0,MATCH(TRUE,I147:K147,0)),E147)</f>
        <v>CCGT</v>
      </c>
      <c r="O147" t="str">
        <f t="shared" si="12"/>
        <v>CCGT_2038</v>
      </c>
      <c r="P147">
        <f t="shared" si="13"/>
        <v>30</v>
      </c>
    </row>
    <row r="148" spans="4:16" x14ac:dyDescent="0.25">
      <c r="D148">
        <v>2039</v>
      </c>
      <c r="E148" t="s">
        <v>123</v>
      </c>
      <c r="F148" t="s">
        <v>152</v>
      </c>
      <c r="G148">
        <v>30</v>
      </c>
      <c r="I148">
        <f t="shared" si="14"/>
        <v>0</v>
      </c>
      <c r="J148">
        <f t="shared" si="14"/>
        <v>0</v>
      </c>
      <c r="K148">
        <f t="shared" si="14"/>
        <v>0</v>
      </c>
      <c r="M148" t="str" cm="1">
        <f t="array" ref="M148">IFERROR(INDEX($I$2:$K$2,0,MATCH(TRUE,I148:K148,0)),E148)</f>
        <v>CCGT</v>
      </c>
      <c r="O148" t="str">
        <f t="shared" si="12"/>
        <v>CCGT_2039</v>
      </c>
      <c r="P148">
        <f t="shared" si="13"/>
        <v>30</v>
      </c>
    </row>
    <row r="149" spans="4:16" x14ac:dyDescent="0.25">
      <c r="D149">
        <v>2040</v>
      </c>
      <c r="E149" t="s">
        <v>123</v>
      </c>
      <c r="F149" t="s">
        <v>152</v>
      </c>
      <c r="G149">
        <v>30</v>
      </c>
      <c r="I149">
        <f t="shared" si="14"/>
        <v>0</v>
      </c>
      <c r="J149">
        <f t="shared" si="14"/>
        <v>0</v>
      </c>
      <c r="K149">
        <f t="shared" si="14"/>
        <v>0</v>
      </c>
      <c r="M149" t="str" cm="1">
        <f t="array" ref="M149">IFERROR(INDEX($I$2:$K$2,0,MATCH(TRUE,I149:K149,0)),E149)</f>
        <v>CCGT</v>
      </c>
      <c r="O149" t="str">
        <f t="shared" si="12"/>
        <v>CCGT_2040</v>
      </c>
      <c r="P149">
        <f t="shared" si="13"/>
        <v>30</v>
      </c>
    </row>
    <row r="150" spans="4:16" x14ac:dyDescent="0.25">
      <c r="D150">
        <v>2021</v>
      </c>
      <c r="E150" t="s">
        <v>123</v>
      </c>
      <c r="F150" t="s">
        <v>153</v>
      </c>
      <c r="G150">
        <v>35</v>
      </c>
      <c r="I150">
        <f t="shared" si="14"/>
        <v>0</v>
      </c>
      <c r="J150">
        <f t="shared" si="14"/>
        <v>0</v>
      </c>
      <c r="K150">
        <f t="shared" si="14"/>
        <v>0</v>
      </c>
      <c r="M150" t="str" cm="1">
        <f t="array" ref="M150">IFERROR(INDEX($I$2:$K$2,0,MATCH(TRUE,I150:K150,0)),E150)</f>
        <v>CCGT</v>
      </c>
      <c r="O150" t="str">
        <f t="shared" si="12"/>
        <v>CCGT_2021</v>
      </c>
      <c r="P150">
        <f t="shared" si="13"/>
        <v>35</v>
      </c>
    </row>
    <row r="151" spans="4:16" x14ac:dyDescent="0.25">
      <c r="D151">
        <v>2022</v>
      </c>
      <c r="E151" t="s">
        <v>123</v>
      </c>
      <c r="F151" t="s">
        <v>153</v>
      </c>
      <c r="G151">
        <v>35</v>
      </c>
      <c r="I151">
        <f t="shared" si="14"/>
        <v>0</v>
      </c>
      <c r="J151">
        <f t="shared" si="14"/>
        <v>0</v>
      </c>
      <c r="K151">
        <f t="shared" si="14"/>
        <v>0</v>
      </c>
      <c r="M151" t="str" cm="1">
        <f t="array" ref="M151">IFERROR(INDEX($I$2:$K$2,0,MATCH(TRUE,I151:K151,0)),E151)</f>
        <v>CCGT</v>
      </c>
      <c r="O151" t="str">
        <f t="shared" si="12"/>
        <v>CCGT_2022</v>
      </c>
      <c r="P151">
        <f t="shared" si="13"/>
        <v>35</v>
      </c>
    </row>
    <row r="152" spans="4:16" x14ac:dyDescent="0.25">
      <c r="D152">
        <v>2023</v>
      </c>
      <c r="E152" t="s">
        <v>123</v>
      </c>
      <c r="F152" t="s">
        <v>153</v>
      </c>
      <c r="G152">
        <v>35</v>
      </c>
      <c r="I152">
        <f t="shared" si="14"/>
        <v>0</v>
      </c>
      <c r="J152">
        <f t="shared" si="14"/>
        <v>0</v>
      </c>
      <c r="K152">
        <f t="shared" si="14"/>
        <v>0</v>
      </c>
      <c r="M152" t="str" cm="1">
        <f t="array" ref="M152">IFERROR(INDEX($I$2:$K$2,0,MATCH(TRUE,I152:K152,0)),E152)</f>
        <v>CCGT</v>
      </c>
      <c r="O152" t="str">
        <f t="shared" si="12"/>
        <v>CCGT_2023</v>
      </c>
      <c r="P152">
        <f t="shared" si="13"/>
        <v>35</v>
      </c>
    </row>
    <row r="153" spans="4:16" x14ac:dyDescent="0.25">
      <c r="D153">
        <v>2024</v>
      </c>
      <c r="E153" t="s">
        <v>123</v>
      </c>
      <c r="F153" t="s">
        <v>153</v>
      </c>
      <c r="G153">
        <v>35</v>
      </c>
      <c r="I153">
        <f t="shared" si="14"/>
        <v>0</v>
      </c>
      <c r="J153">
        <f t="shared" si="14"/>
        <v>0</v>
      </c>
      <c r="K153">
        <f t="shared" si="14"/>
        <v>0</v>
      </c>
      <c r="M153" t="str" cm="1">
        <f t="array" ref="M153">IFERROR(INDEX($I$2:$K$2,0,MATCH(TRUE,I153:K153,0)),E153)</f>
        <v>CCGT</v>
      </c>
      <c r="O153" t="str">
        <f t="shared" si="12"/>
        <v>CCGT_2024</v>
      </c>
      <c r="P153">
        <f t="shared" si="13"/>
        <v>35</v>
      </c>
    </row>
    <row r="154" spans="4:16" x14ac:dyDescent="0.25">
      <c r="D154">
        <v>2025</v>
      </c>
      <c r="E154" t="s">
        <v>123</v>
      </c>
      <c r="F154" t="s">
        <v>153</v>
      </c>
      <c r="G154">
        <v>35</v>
      </c>
      <c r="I154">
        <f t="shared" si="14"/>
        <v>0</v>
      </c>
      <c r="J154">
        <f t="shared" si="14"/>
        <v>0</v>
      </c>
      <c r="K154">
        <f t="shared" si="14"/>
        <v>0</v>
      </c>
      <c r="M154" t="str" cm="1">
        <f t="array" ref="M154">IFERROR(INDEX($I$2:$K$2,0,MATCH(TRUE,I154:K154,0)),E154)</f>
        <v>CCGT</v>
      </c>
      <c r="O154" t="str">
        <f t="shared" si="12"/>
        <v>CCGT_2025</v>
      </c>
      <c r="P154">
        <f t="shared" si="13"/>
        <v>35</v>
      </c>
    </row>
    <row r="155" spans="4:16" x14ac:dyDescent="0.25">
      <c r="D155">
        <v>2026</v>
      </c>
      <c r="E155" t="s">
        <v>123</v>
      </c>
      <c r="F155" t="s">
        <v>153</v>
      </c>
      <c r="G155">
        <v>35</v>
      </c>
      <c r="I155">
        <f t="shared" si="14"/>
        <v>0</v>
      </c>
      <c r="J155">
        <f t="shared" si="14"/>
        <v>0</v>
      </c>
      <c r="K155">
        <f t="shared" si="14"/>
        <v>0</v>
      </c>
      <c r="M155" t="str" cm="1">
        <f t="array" ref="M155">IFERROR(INDEX($I$2:$K$2,0,MATCH(TRUE,I155:K155,0)),E155)</f>
        <v>CCGT</v>
      </c>
      <c r="O155" t="str">
        <f t="shared" si="12"/>
        <v>CCGT_2026</v>
      </c>
      <c r="P155">
        <f t="shared" si="13"/>
        <v>35</v>
      </c>
    </row>
    <row r="156" spans="4:16" x14ac:dyDescent="0.25">
      <c r="D156">
        <v>2027</v>
      </c>
      <c r="E156" t="s">
        <v>123</v>
      </c>
      <c r="F156" t="s">
        <v>153</v>
      </c>
      <c r="G156">
        <v>35</v>
      </c>
      <c r="I156">
        <f t="shared" si="14"/>
        <v>0</v>
      </c>
      <c r="J156">
        <f t="shared" si="14"/>
        <v>0</v>
      </c>
      <c r="K156">
        <f t="shared" si="14"/>
        <v>0</v>
      </c>
      <c r="M156" t="str" cm="1">
        <f t="array" ref="M156">IFERROR(INDEX($I$2:$K$2,0,MATCH(TRUE,I156:K156,0)),E156)</f>
        <v>CCGT</v>
      </c>
      <c r="O156" t="str">
        <f t="shared" si="12"/>
        <v>CCGT_2027</v>
      </c>
      <c r="P156">
        <f t="shared" si="13"/>
        <v>35</v>
      </c>
    </row>
    <row r="157" spans="4:16" x14ac:dyDescent="0.25">
      <c r="D157">
        <v>2028</v>
      </c>
      <c r="E157" t="s">
        <v>123</v>
      </c>
      <c r="F157" t="s">
        <v>153</v>
      </c>
      <c r="G157">
        <v>35</v>
      </c>
      <c r="I157">
        <f t="shared" si="14"/>
        <v>0</v>
      </c>
      <c r="J157">
        <f t="shared" si="14"/>
        <v>0</v>
      </c>
      <c r="K157">
        <f t="shared" si="14"/>
        <v>0</v>
      </c>
      <c r="M157" t="str" cm="1">
        <f t="array" ref="M157">IFERROR(INDEX($I$2:$K$2,0,MATCH(TRUE,I157:K157,0)),E157)</f>
        <v>CCGT</v>
      </c>
      <c r="O157" t="str">
        <f t="shared" si="12"/>
        <v>CCGT_2028</v>
      </c>
      <c r="P157">
        <f t="shared" si="13"/>
        <v>35</v>
      </c>
    </row>
    <row r="158" spans="4:16" x14ac:dyDescent="0.25">
      <c r="D158">
        <v>2029</v>
      </c>
      <c r="E158" t="s">
        <v>123</v>
      </c>
      <c r="F158" t="s">
        <v>153</v>
      </c>
      <c r="G158">
        <v>35</v>
      </c>
      <c r="I158">
        <f t="shared" si="14"/>
        <v>0</v>
      </c>
      <c r="J158">
        <f t="shared" si="14"/>
        <v>0</v>
      </c>
      <c r="K158">
        <f t="shared" si="14"/>
        <v>0</v>
      </c>
      <c r="M158" t="str" cm="1">
        <f t="array" ref="M158">IFERROR(INDEX($I$2:$K$2,0,MATCH(TRUE,I158:K158,0)),E158)</f>
        <v>CCGT</v>
      </c>
      <c r="O158" t="str">
        <f t="shared" si="12"/>
        <v>CCGT_2029</v>
      </c>
      <c r="P158">
        <f t="shared" si="13"/>
        <v>35</v>
      </c>
    </row>
    <row r="159" spans="4:16" x14ac:dyDescent="0.25">
      <c r="D159">
        <v>2030</v>
      </c>
      <c r="E159" t="s">
        <v>123</v>
      </c>
      <c r="F159" t="s">
        <v>153</v>
      </c>
      <c r="G159">
        <v>35</v>
      </c>
      <c r="I159">
        <f t="shared" si="14"/>
        <v>0</v>
      </c>
      <c r="J159">
        <f t="shared" si="14"/>
        <v>0</v>
      </c>
      <c r="K159">
        <f t="shared" si="14"/>
        <v>0</v>
      </c>
      <c r="M159" t="str" cm="1">
        <f t="array" ref="M159">IFERROR(INDEX($I$2:$K$2,0,MATCH(TRUE,I159:K159,0)),E159)</f>
        <v>CCGT</v>
      </c>
      <c r="O159" t="str">
        <f t="shared" si="12"/>
        <v>CCGT_2030</v>
      </c>
      <c r="P159">
        <f t="shared" si="13"/>
        <v>35</v>
      </c>
    </row>
    <row r="160" spans="4:16" x14ac:dyDescent="0.25">
      <c r="D160">
        <v>2031</v>
      </c>
      <c r="E160" t="s">
        <v>123</v>
      </c>
      <c r="F160" t="s">
        <v>153</v>
      </c>
      <c r="G160">
        <v>35</v>
      </c>
      <c r="I160">
        <f t="shared" si="14"/>
        <v>0</v>
      </c>
      <c r="J160">
        <f t="shared" si="14"/>
        <v>0</v>
      </c>
      <c r="K160">
        <f t="shared" si="14"/>
        <v>0</v>
      </c>
      <c r="M160" t="str" cm="1">
        <f t="array" ref="M160">IFERROR(INDEX($I$2:$K$2,0,MATCH(TRUE,I160:K160,0)),E160)</f>
        <v>CCGT</v>
      </c>
      <c r="O160" t="str">
        <f t="shared" si="12"/>
        <v>CCGT_2031</v>
      </c>
      <c r="P160">
        <f t="shared" si="13"/>
        <v>35</v>
      </c>
    </row>
    <row r="161" spans="4:16" x14ac:dyDescent="0.25">
      <c r="D161">
        <v>2032</v>
      </c>
      <c r="E161" t="s">
        <v>123</v>
      </c>
      <c r="F161" t="s">
        <v>153</v>
      </c>
      <c r="G161">
        <v>35</v>
      </c>
      <c r="I161">
        <f t="shared" si="14"/>
        <v>0</v>
      </c>
      <c r="J161">
        <f t="shared" si="14"/>
        <v>0</v>
      </c>
      <c r="K161">
        <f t="shared" si="14"/>
        <v>0</v>
      </c>
      <c r="M161" t="str" cm="1">
        <f t="array" ref="M161">IFERROR(INDEX($I$2:$K$2,0,MATCH(TRUE,I161:K161,0)),E161)</f>
        <v>CCGT</v>
      </c>
      <c r="O161" t="str">
        <f t="shared" si="12"/>
        <v>CCGT_2032</v>
      </c>
      <c r="P161">
        <f t="shared" si="13"/>
        <v>35</v>
      </c>
    </row>
    <row r="162" spans="4:16" x14ac:dyDescent="0.25">
      <c r="D162">
        <v>2033</v>
      </c>
      <c r="E162" t="s">
        <v>123</v>
      </c>
      <c r="F162" t="s">
        <v>153</v>
      </c>
      <c r="G162">
        <v>35</v>
      </c>
      <c r="I162">
        <f t="shared" si="14"/>
        <v>0</v>
      </c>
      <c r="J162">
        <f t="shared" si="14"/>
        <v>0</v>
      </c>
      <c r="K162">
        <f t="shared" si="14"/>
        <v>0</v>
      </c>
      <c r="M162" t="str" cm="1">
        <f t="array" ref="M162">IFERROR(INDEX($I$2:$K$2,0,MATCH(TRUE,I162:K162,0)),E162)</f>
        <v>CCGT</v>
      </c>
      <c r="O162" t="str">
        <f t="shared" si="12"/>
        <v>CCGT_2033</v>
      </c>
      <c r="P162">
        <f t="shared" si="13"/>
        <v>35</v>
      </c>
    </row>
    <row r="163" spans="4:16" x14ac:dyDescent="0.25">
      <c r="D163">
        <v>2034</v>
      </c>
      <c r="E163" t="s">
        <v>123</v>
      </c>
      <c r="F163" t="s">
        <v>153</v>
      </c>
      <c r="G163">
        <v>35</v>
      </c>
      <c r="I163">
        <f t="shared" si="14"/>
        <v>0</v>
      </c>
      <c r="J163">
        <f t="shared" si="14"/>
        <v>0</v>
      </c>
      <c r="K163">
        <f t="shared" si="14"/>
        <v>0</v>
      </c>
      <c r="M163" t="str" cm="1">
        <f t="array" ref="M163">IFERROR(INDEX($I$2:$K$2,0,MATCH(TRUE,I163:K163,0)),E163)</f>
        <v>CCGT</v>
      </c>
      <c r="O163" t="str">
        <f t="shared" si="12"/>
        <v>CCGT_2034</v>
      </c>
      <c r="P163">
        <f t="shared" si="13"/>
        <v>35</v>
      </c>
    </row>
    <row r="164" spans="4:16" x14ac:dyDescent="0.25">
      <c r="D164">
        <v>2035</v>
      </c>
      <c r="E164" t="s">
        <v>123</v>
      </c>
      <c r="F164" t="s">
        <v>153</v>
      </c>
      <c r="G164">
        <v>35</v>
      </c>
      <c r="I164">
        <f t="shared" ref="I164:K183" si="15">IFERROR(FIND(I$2,$E164,1)&gt;0,0)</f>
        <v>0</v>
      </c>
      <c r="J164">
        <f t="shared" si="15"/>
        <v>0</v>
      </c>
      <c r="K164">
        <f t="shared" si="15"/>
        <v>0</v>
      </c>
      <c r="M164" t="str" cm="1">
        <f t="array" ref="M164">IFERROR(INDEX($I$2:$K$2,0,MATCH(TRUE,I164:K164,0)),E164)</f>
        <v>CCGT</v>
      </c>
      <c r="O164" t="str">
        <f t="shared" si="12"/>
        <v>CCGT_2035</v>
      </c>
      <c r="P164">
        <f t="shared" si="13"/>
        <v>35</v>
      </c>
    </row>
    <row r="165" spans="4:16" x14ac:dyDescent="0.25">
      <c r="D165">
        <v>2036</v>
      </c>
      <c r="E165" t="s">
        <v>123</v>
      </c>
      <c r="F165" t="s">
        <v>153</v>
      </c>
      <c r="G165">
        <v>35</v>
      </c>
      <c r="I165">
        <f t="shared" si="15"/>
        <v>0</v>
      </c>
      <c r="J165">
        <f t="shared" si="15"/>
        <v>0</v>
      </c>
      <c r="K165">
        <f t="shared" si="15"/>
        <v>0</v>
      </c>
      <c r="M165" t="str" cm="1">
        <f t="array" ref="M165">IFERROR(INDEX($I$2:$K$2,0,MATCH(TRUE,I165:K165,0)),E165)</f>
        <v>CCGT</v>
      </c>
      <c r="O165" t="str">
        <f t="shared" si="12"/>
        <v>CCGT_2036</v>
      </c>
      <c r="P165">
        <f t="shared" si="13"/>
        <v>35</v>
      </c>
    </row>
    <row r="166" spans="4:16" x14ac:dyDescent="0.25">
      <c r="D166">
        <v>2037</v>
      </c>
      <c r="E166" t="s">
        <v>123</v>
      </c>
      <c r="F166" t="s">
        <v>153</v>
      </c>
      <c r="G166">
        <v>35</v>
      </c>
      <c r="I166">
        <f t="shared" si="15"/>
        <v>0</v>
      </c>
      <c r="J166">
        <f t="shared" si="15"/>
        <v>0</v>
      </c>
      <c r="K166">
        <f t="shared" si="15"/>
        <v>0</v>
      </c>
      <c r="M166" t="str" cm="1">
        <f t="array" ref="M166">IFERROR(INDEX($I$2:$K$2,0,MATCH(TRUE,I166:K166,0)),E166)</f>
        <v>CCGT</v>
      </c>
      <c r="O166" t="str">
        <f t="shared" si="12"/>
        <v>CCGT_2037</v>
      </c>
      <c r="P166">
        <f t="shared" si="13"/>
        <v>35</v>
      </c>
    </row>
    <row r="167" spans="4:16" x14ac:dyDescent="0.25">
      <c r="D167">
        <v>2038</v>
      </c>
      <c r="E167" t="s">
        <v>123</v>
      </c>
      <c r="F167" t="s">
        <v>153</v>
      </c>
      <c r="G167">
        <v>35</v>
      </c>
      <c r="I167">
        <f t="shared" si="15"/>
        <v>0</v>
      </c>
      <c r="J167">
        <f t="shared" si="15"/>
        <v>0</v>
      </c>
      <c r="K167">
        <f t="shared" si="15"/>
        <v>0</v>
      </c>
      <c r="M167" t="str" cm="1">
        <f t="array" ref="M167">IFERROR(INDEX($I$2:$K$2,0,MATCH(TRUE,I167:K167,0)),E167)</f>
        <v>CCGT</v>
      </c>
      <c r="O167" t="str">
        <f t="shared" si="12"/>
        <v>CCGT_2038</v>
      </c>
      <c r="P167">
        <f t="shared" si="13"/>
        <v>35</v>
      </c>
    </row>
    <row r="168" spans="4:16" x14ac:dyDescent="0.25">
      <c r="D168">
        <v>2039</v>
      </c>
      <c r="E168" t="s">
        <v>123</v>
      </c>
      <c r="F168" t="s">
        <v>153</v>
      </c>
      <c r="G168">
        <v>35</v>
      </c>
      <c r="I168">
        <f t="shared" si="15"/>
        <v>0</v>
      </c>
      <c r="J168">
        <f t="shared" si="15"/>
        <v>0</v>
      </c>
      <c r="K168">
        <f t="shared" si="15"/>
        <v>0</v>
      </c>
      <c r="M168" t="str" cm="1">
        <f t="array" ref="M168">IFERROR(INDEX($I$2:$K$2,0,MATCH(TRUE,I168:K168,0)),E168)</f>
        <v>CCGT</v>
      </c>
      <c r="O168" t="str">
        <f t="shared" si="12"/>
        <v>CCGT_2039</v>
      </c>
      <c r="P168">
        <f t="shared" si="13"/>
        <v>35</v>
      </c>
    </row>
    <row r="169" spans="4:16" x14ac:dyDescent="0.25">
      <c r="D169">
        <v>2040</v>
      </c>
      <c r="E169" t="s">
        <v>123</v>
      </c>
      <c r="F169" t="s">
        <v>153</v>
      </c>
      <c r="G169">
        <v>35</v>
      </c>
      <c r="I169">
        <f t="shared" si="15"/>
        <v>0</v>
      </c>
      <c r="J169">
        <f t="shared" si="15"/>
        <v>0</v>
      </c>
      <c r="K169">
        <f t="shared" si="15"/>
        <v>0</v>
      </c>
      <c r="M169" t="str" cm="1">
        <f t="array" ref="M169">IFERROR(INDEX($I$2:$K$2,0,MATCH(TRUE,I169:K169,0)),E169)</f>
        <v>CCGT</v>
      </c>
      <c r="O169" t="str">
        <f t="shared" si="12"/>
        <v>CCGT_2040</v>
      </c>
      <c r="P169">
        <f t="shared" si="13"/>
        <v>35</v>
      </c>
    </row>
    <row r="170" spans="4:16" x14ac:dyDescent="0.25">
      <c r="D170">
        <v>2021</v>
      </c>
      <c r="E170" t="s">
        <v>123</v>
      </c>
      <c r="F170" t="s">
        <v>154</v>
      </c>
      <c r="G170">
        <v>490</v>
      </c>
      <c r="I170">
        <f t="shared" si="15"/>
        <v>0</v>
      </c>
      <c r="J170">
        <f t="shared" si="15"/>
        <v>0</v>
      </c>
      <c r="K170">
        <f t="shared" si="15"/>
        <v>0</v>
      </c>
      <c r="M170" t="str" cm="1">
        <f t="array" ref="M170">IFERROR(INDEX($I$2:$K$2,0,MATCH(TRUE,I170:K170,0)),E170)</f>
        <v>CCGT</v>
      </c>
      <c r="O170" t="str">
        <f t="shared" si="12"/>
        <v>CCGT_2021</v>
      </c>
      <c r="P170">
        <f t="shared" si="13"/>
        <v>490</v>
      </c>
    </row>
    <row r="171" spans="4:16" x14ac:dyDescent="0.25">
      <c r="D171">
        <v>2022</v>
      </c>
      <c r="E171" t="s">
        <v>123</v>
      </c>
      <c r="F171" t="s">
        <v>154</v>
      </c>
      <c r="G171">
        <v>490</v>
      </c>
      <c r="I171">
        <f t="shared" si="15"/>
        <v>0</v>
      </c>
      <c r="J171">
        <f t="shared" si="15"/>
        <v>0</v>
      </c>
      <c r="K171">
        <f t="shared" si="15"/>
        <v>0</v>
      </c>
      <c r="M171" t="str" cm="1">
        <f t="array" ref="M171">IFERROR(INDEX($I$2:$K$2,0,MATCH(TRUE,I171:K171,0)),E171)</f>
        <v>CCGT</v>
      </c>
      <c r="O171" t="str">
        <f t="shared" si="12"/>
        <v>CCGT_2022</v>
      </c>
      <c r="P171">
        <f t="shared" si="13"/>
        <v>490</v>
      </c>
    </row>
    <row r="172" spans="4:16" x14ac:dyDescent="0.25">
      <c r="D172">
        <v>2023</v>
      </c>
      <c r="E172" t="s">
        <v>123</v>
      </c>
      <c r="F172" t="s">
        <v>154</v>
      </c>
      <c r="G172">
        <v>490</v>
      </c>
      <c r="I172">
        <f t="shared" si="15"/>
        <v>0</v>
      </c>
      <c r="J172">
        <f t="shared" si="15"/>
        <v>0</v>
      </c>
      <c r="K172">
        <f t="shared" si="15"/>
        <v>0</v>
      </c>
      <c r="M172" t="str" cm="1">
        <f t="array" ref="M172">IFERROR(INDEX($I$2:$K$2,0,MATCH(TRUE,I172:K172,0)),E172)</f>
        <v>CCGT</v>
      </c>
      <c r="O172" t="str">
        <f t="shared" si="12"/>
        <v>CCGT_2023</v>
      </c>
      <c r="P172">
        <f t="shared" si="13"/>
        <v>490</v>
      </c>
    </row>
    <row r="173" spans="4:16" x14ac:dyDescent="0.25">
      <c r="D173">
        <v>2024</v>
      </c>
      <c r="E173" t="s">
        <v>123</v>
      </c>
      <c r="F173" t="s">
        <v>154</v>
      </c>
      <c r="G173">
        <v>490</v>
      </c>
      <c r="I173">
        <f t="shared" si="15"/>
        <v>0</v>
      </c>
      <c r="J173">
        <f t="shared" si="15"/>
        <v>0</v>
      </c>
      <c r="K173">
        <f t="shared" si="15"/>
        <v>0</v>
      </c>
      <c r="M173" t="str" cm="1">
        <f t="array" ref="M173">IFERROR(INDEX($I$2:$K$2,0,MATCH(TRUE,I173:K173,0)),E173)</f>
        <v>CCGT</v>
      </c>
      <c r="O173" t="str">
        <f t="shared" si="12"/>
        <v>CCGT_2024</v>
      </c>
      <c r="P173">
        <f t="shared" si="13"/>
        <v>490</v>
      </c>
    </row>
    <row r="174" spans="4:16" x14ac:dyDescent="0.25">
      <c r="D174">
        <v>2025</v>
      </c>
      <c r="E174" t="s">
        <v>123</v>
      </c>
      <c r="F174" t="s">
        <v>154</v>
      </c>
      <c r="G174">
        <v>490</v>
      </c>
      <c r="I174">
        <f t="shared" si="15"/>
        <v>0</v>
      </c>
      <c r="J174">
        <f t="shared" si="15"/>
        <v>0</v>
      </c>
      <c r="K174">
        <f t="shared" si="15"/>
        <v>0</v>
      </c>
      <c r="M174" t="str" cm="1">
        <f t="array" ref="M174">IFERROR(INDEX($I$2:$K$2,0,MATCH(TRUE,I174:K174,0)),E174)</f>
        <v>CCGT</v>
      </c>
      <c r="O174" t="str">
        <f t="shared" si="12"/>
        <v>CCGT_2025</v>
      </c>
      <c r="P174">
        <f t="shared" si="13"/>
        <v>490</v>
      </c>
    </row>
    <row r="175" spans="4:16" x14ac:dyDescent="0.25">
      <c r="D175">
        <v>2026</v>
      </c>
      <c r="E175" t="s">
        <v>123</v>
      </c>
      <c r="F175" t="s">
        <v>154</v>
      </c>
      <c r="G175">
        <v>490</v>
      </c>
      <c r="I175">
        <f t="shared" si="15"/>
        <v>0</v>
      </c>
      <c r="J175">
        <f t="shared" si="15"/>
        <v>0</v>
      </c>
      <c r="K175">
        <f t="shared" si="15"/>
        <v>0</v>
      </c>
      <c r="M175" t="str" cm="1">
        <f t="array" ref="M175">IFERROR(INDEX($I$2:$K$2,0,MATCH(TRUE,I175:K175,0)),E175)</f>
        <v>CCGT</v>
      </c>
      <c r="O175" t="str">
        <f t="shared" si="12"/>
        <v>CCGT_2026</v>
      </c>
      <c r="P175">
        <f t="shared" si="13"/>
        <v>490</v>
      </c>
    </row>
    <row r="176" spans="4:16" x14ac:dyDescent="0.25">
      <c r="D176">
        <v>2027</v>
      </c>
      <c r="E176" t="s">
        <v>123</v>
      </c>
      <c r="F176" t="s">
        <v>154</v>
      </c>
      <c r="G176">
        <v>490</v>
      </c>
      <c r="I176">
        <f t="shared" si="15"/>
        <v>0</v>
      </c>
      <c r="J176">
        <f t="shared" si="15"/>
        <v>0</v>
      </c>
      <c r="K176">
        <f t="shared" si="15"/>
        <v>0</v>
      </c>
      <c r="M176" t="str" cm="1">
        <f t="array" ref="M176">IFERROR(INDEX($I$2:$K$2,0,MATCH(TRUE,I176:K176,0)),E176)</f>
        <v>CCGT</v>
      </c>
      <c r="O176" t="str">
        <f t="shared" si="12"/>
        <v>CCGT_2027</v>
      </c>
      <c r="P176">
        <f t="shared" si="13"/>
        <v>490</v>
      </c>
    </row>
    <row r="177" spans="4:16" x14ac:dyDescent="0.25">
      <c r="D177">
        <v>2028</v>
      </c>
      <c r="E177" t="s">
        <v>123</v>
      </c>
      <c r="F177" t="s">
        <v>154</v>
      </c>
      <c r="G177">
        <v>490</v>
      </c>
      <c r="I177">
        <f t="shared" si="15"/>
        <v>0</v>
      </c>
      <c r="J177">
        <f t="shared" si="15"/>
        <v>0</v>
      </c>
      <c r="K177">
        <f t="shared" si="15"/>
        <v>0</v>
      </c>
      <c r="M177" t="str" cm="1">
        <f t="array" ref="M177">IFERROR(INDEX($I$2:$K$2,0,MATCH(TRUE,I177:K177,0)),E177)</f>
        <v>CCGT</v>
      </c>
      <c r="O177" t="str">
        <f t="shared" si="12"/>
        <v>CCGT_2028</v>
      </c>
      <c r="P177">
        <f t="shared" si="13"/>
        <v>490</v>
      </c>
    </row>
    <row r="178" spans="4:16" x14ac:dyDescent="0.25">
      <c r="D178">
        <v>2029</v>
      </c>
      <c r="E178" t="s">
        <v>123</v>
      </c>
      <c r="F178" t="s">
        <v>154</v>
      </c>
      <c r="G178">
        <v>490</v>
      </c>
      <c r="I178">
        <f t="shared" si="15"/>
        <v>0</v>
      </c>
      <c r="J178">
        <f t="shared" si="15"/>
        <v>0</v>
      </c>
      <c r="K178">
        <f t="shared" si="15"/>
        <v>0</v>
      </c>
      <c r="M178" t="str" cm="1">
        <f t="array" ref="M178">IFERROR(INDEX($I$2:$K$2,0,MATCH(TRUE,I178:K178,0)),E178)</f>
        <v>CCGT</v>
      </c>
      <c r="O178" t="str">
        <f t="shared" si="12"/>
        <v>CCGT_2029</v>
      </c>
      <c r="P178">
        <f t="shared" si="13"/>
        <v>490</v>
      </c>
    </row>
    <row r="179" spans="4:16" x14ac:dyDescent="0.25">
      <c r="D179">
        <v>2030</v>
      </c>
      <c r="E179" t="s">
        <v>123</v>
      </c>
      <c r="F179" t="s">
        <v>154</v>
      </c>
      <c r="G179">
        <v>490</v>
      </c>
      <c r="I179">
        <f t="shared" si="15"/>
        <v>0</v>
      </c>
      <c r="J179">
        <f t="shared" si="15"/>
        <v>0</v>
      </c>
      <c r="K179">
        <f t="shared" si="15"/>
        <v>0</v>
      </c>
      <c r="M179" t="str" cm="1">
        <f t="array" ref="M179">IFERROR(INDEX($I$2:$K$2,0,MATCH(TRUE,I179:K179,0)),E179)</f>
        <v>CCGT</v>
      </c>
      <c r="O179" t="str">
        <f t="shared" si="12"/>
        <v>CCGT_2030</v>
      </c>
      <c r="P179">
        <f t="shared" si="13"/>
        <v>490</v>
      </c>
    </row>
    <row r="180" spans="4:16" x14ac:dyDescent="0.25">
      <c r="D180">
        <v>2031</v>
      </c>
      <c r="E180" t="s">
        <v>123</v>
      </c>
      <c r="F180" t="s">
        <v>154</v>
      </c>
      <c r="G180">
        <v>490</v>
      </c>
      <c r="I180">
        <f t="shared" si="15"/>
        <v>0</v>
      </c>
      <c r="J180">
        <f t="shared" si="15"/>
        <v>0</v>
      </c>
      <c r="K180">
        <f t="shared" si="15"/>
        <v>0</v>
      </c>
      <c r="M180" t="str" cm="1">
        <f t="array" ref="M180">IFERROR(INDEX($I$2:$K$2,0,MATCH(TRUE,I180:K180,0)),E180)</f>
        <v>CCGT</v>
      </c>
      <c r="O180" t="str">
        <f t="shared" si="12"/>
        <v>CCGT_2031</v>
      </c>
      <c r="P180">
        <f t="shared" si="13"/>
        <v>490</v>
      </c>
    </row>
    <row r="181" spans="4:16" x14ac:dyDescent="0.25">
      <c r="D181">
        <v>2032</v>
      </c>
      <c r="E181" t="s">
        <v>123</v>
      </c>
      <c r="F181" t="s">
        <v>154</v>
      </c>
      <c r="G181">
        <v>490</v>
      </c>
      <c r="I181">
        <f t="shared" si="15"/>
        <v>0</v>
      </c>
      <c r="J181">
        <f t="shared" si="15"/>
        <v>0</v>
      </c>
      <c r="K181">
        <f t="shared" si="15"/>
        <v>0</v>
      </c>
      <c r="M181" t="str" cm="1">
        <f t="array" ref="M181">IFERROR(INDEX($I$2:$K$2,0,MATCH(TRUE,I181:K181,0)),E181)</f>
        <v>CCGT</v>
      </c>
      <c r="O181" t="str">
        <f t="shared" si="12"/>
        <v>CCGT_2032</v>
      </c>
      <c r="P181">
        <f t="shared" si="13"/>
        <v>490</v>
      </c>
    </row>
    <row r="182" spans="4:16" x14ac:dyDescent="0.25">
      <c r="D182">
        <v>2033</v>
      </c>
      <c r="E182" t="s">
        <v>123</v>
      </c>
      <c r="F182" t="s">
        <v>154</v>
      </c>
      <c r="G182">
        <v>490</v>
      </c>
      <c r="I182">
        <f t="shared" si="15"/>
        <v>0</v>
      </c>
      <c r="J182">
        <f t="shared" si="15"/>
        <v>0</v>
      </c>
      <c r="K182">
        <f t="shared" si="15"/>
        <v>0</v>
      </c>
      <c r="M182" t="str" cm="1">
        <f t="array" ref="M182">IFERROR(INDEX($I$2:$K$2,0,MATCH(TRUE,I182:K182,0)),E182)</f>
        <v>CCGT</v>
      </c>
      <c r="O182" t="str">
        <f t="shared" si="12"/>
        <v>CCGT_2033</v>
      </c>
      <c r="P182">
        <f t="shared" si="13"/>
        <v>490</v>
      </c>
    </row>
    <row r="183" spans="4:16" x14ac:dyDescent="0.25">
      <c r="D183">
        <v>2034</v>
      </c>
      <c r="E183" t="s">
        <v>123</v>
      </c>
      <c r="F183" t="s">
        <v>154</v>
      </c>
      <c r="G183">
        <v>490</v>
      </c>
      <c r="I183">
        <f t="shared" si="15"/>
        <v>0</v>
      </c>
      <c r="J183">
        <f t="shared" si="15"/>
        <v>0</v>
      </c>
      <c r="K183">
        <f t="shared" si="15"/>
        <v>0</v>
      </c>
      <c r="M183" t="str" cm="1">
        <f t="array" ref="M183">IFERROR(INDEX($I$2:$K$2,0,MATCH(TRUE,I183:K183,0)),E183)</f>
        <v>CCGT</v>
      </c>
      <c r="O183" t="str">
        <f t="shared" si="12"/>
        <v>CCGT_2034</v>
      </c>
      <c r="P183">
        <f t="shared" si="13"/>
        <v>490</v>
      </c>
    </row>
    <row r="184" spans="4:16" x14ac:dyDescent="0.25">
      <c r="D184">
        <v>2035</v>
      </c>
      <c r="E184" t="s">
        <v>123</v>
      </c>
      <c r="F184" t="s">
        <v>154</v>
      </c>
      <c r="G184">
        <v>490</v>
      </c>
      <c r="I184">
        <f t="shared" ref="I184:K203" si="16">IFERROR(FIND(I$2,$E184,1)&gt;0,0)</f>
        <v>0</v>
      </c>
      <c r="J184">
        <f t="shared" si="16"/>
        <v>0</v>
      </c>
      <c r="K184">
        <f t="shared" si="16"/>
        <v>0</v>
      </c>
      <c r="M184" t="str" cm="1">
        <f t="array" ref="M184">IFERROR(INDEX($I$2:$K$2,0,MATCH(TRUE,I184:K184,0)),E184)</f>
        <v>CCGT</v>
      </c>
      <c r="O184" t="str">
        <f t="shared" si="12"/>
        <v>CCGT_2035</v>
      </c>
      <c r="P184">
        <f t="shared" si="13"/>
        <v>490</v>
      </c>
    </row>
    <row r="185" spans="4:16" x14ac:dyDescent="0.25">
      <c r="D185">
        <v>2036</v>
      </c>
      <c r="E185" t="s">
        <v>123</v>
      </c>
      <c r="F185" t="s">
        <v>154</v>
      </c>
      <c r="G185">
        <v>490</v>
      </c>
      <c r="I185">
        <f t="shared" si="16"/>
        <v>0</v>
      </c>
      <c r="J185">
        <f t="shared" si="16"/>
        <v>0</v>
      </c>
      <c r="K185">
        <f t="shared" si="16"/>
        <v>0</v>
      </c>
      <c r="M185" t="str" cm="1">
        <f t="array" ref="M185">IFERROR(INDEX($I$2:$K$2,0,MATCH(TRUE,I185:K185,0)),E185)</f>
        <v>CCGT</v>
      </c>
      <c r="O185" t="str">
        <f t="shared" si="12"/>
        <v>CCGT_2036</v>
      </c>
      <c r="P185">
        <f t="shared" si="13"/>
        <v>490</v>
      </c>
    </row>
    <row r="186" spans="4:16" x14ac:dyDescent="0.25">
      <c r="D186">
        <v>2037</v>
      </c>
      <c r="E186" t="s">
        <v>123</v>
      </c>
      <c r="F186" t="s">
        <v>154</v>
      </c>
      <c r="G186">
        <v>490</v>
      </c>
      <c r="I186">
        <f t="shared" si="16"/>
        <v>0</v>
      </c>
      <c r="J186">
        <f t="shared" si="16"/>
        <v>0</v>
      </c>
      <c r="K186">
        <f t="shared" si="16"/>
        <v>0</v>
      </c>
      <c r="M186" t="str" cm="1">
        <f t="array" ref="M186">IFERROR(INDEX($I$2:$K$2,0,MATCH(TRUE,I186:K186,0)),E186)</f>
        <v>CCGT</v>
      </c>
      <c r="O186" t="str">
        <f t="shared" si="12"/>
        <v>CCGT_2037</v>
      </c>
      <c r="P186">
        <f t="shared" si="13"/>
        <v>490</v>
      </c>
    </row>
    <row r="187" spans="4:16" x14ac:dyDescent="0.25">
      <c r="D187">
        <v>2038</v>
      </c>
      <c r="E187" t="s">
        <v>123</v>
      </c>
      <c r="F187" t="s">
        <v>154</v>
      </c>
      <c r="G187">
        <v>490</v>
      </c>
      <c r="I187">
        <f t="shared" si="16"/>
        <v>0</v>
      </c>
      <c r="J187">
        <f t="shared" si="16"/>
        <v>0</v>
      </c>
      <c r="K187">
        <f t="shared" si="16"/>
        <v>0</v>
      </c>
      <c r="M187" t="str" cm="1">
        <f t="array" ref="M187">IFERROR(INDEX($I$2:$K$2,0,MATCH(TRUE,I187:K187,0)),E187)</f>
        <v>CCGT</v>
      </c>
      <c r="O187" t="str">
        <f t="shared" si="12"/>
        <v>CCGT_2038</v>
      </c>
      <c r="P187">
        <f t="shared" si="13"/>
        <v>490</v>
      </c>
    </row>
    <row r="188" spans="4:16" x14ac:dyDescent="0.25">
      <c r="D188">
        <v>2039</v>
      </c>
      <c r="E188" t="s">
        <v>123</v>
      </c>
      <c r="F188" t="s">
        <v>154</v>
      </c>
      <c r="G188">
        <v>490</v>
      </c>
      <c r="I188">
        <f t="shared" si="16"/>
        <v>0</v>
      </c>
      <c r="J188">
        <f t="shared" si="16"/>
        <v>0</v>
      </c>
      <c r="K188">
        <f t="shared" si="16"/>
        <v>0</v>
      </c>
      <c r="M188" t="str" cm="1">
        <f t="array" ref="M188">IFERROR(INDEX($I$2:$K$2,0,MATCH(TRUE,I188:K188,0)),E188)</f>
        <v>CCGT</v>
      </c>
      <c r="O188" t="str">
        <f t="shared" si="12"/>
        <v>CCGT_2039</v>
      </c>
      <c r="P188">
        <f t="shared" si="13"/>
        <v>490</v>
      </c>
    </row>
    <row r="189" spans="4:16" x14ac:dyDescent="0.25">
      <c r="D189">
        <v>2040</v>
      </c>
      <c r="E189" t="s">
        <v>123</v>
      </c>
      <c r="F189" t="s">
        <v>154</v>
      </c>
      <c r="G189">
        <v>490</v>
      </c>
      <c r="I189">
        <f t="shared" si="16"/>
        <v>0</v>
      </c>
      <c r="J189">
        <f t="shared" si="16"/>
        <v>0</v>
      </c>
      <c r="K189">
        <f t="shared" si="16"/>
        <v>0</v>
      </c>
      <c r="M189" t="str" cm="1">
        <f t="array" ref="M189">IFERROR(INDEX($I$2:$K$2,0,MATCH(TRUE,I189:K189,0)),E189)</f>
        <v>CCGT</v>
      </c>
      <c r="O189" t="str">
        <f t="shared" si="12"/>
        <v>CCGT_2040</v>
      </c>
      <c r="P189">
        <f t="shared" si="13"/>
        <v>490</v>
      </c>
    </row>
    <row r="190" spans="4:16" x14ac:dyDescent="0.25">
      <c r="D190">
        <v>2021</v>
      </c>
      <c r="E190" t="s">
        <v>123</v>
      </c>
      <c r="F190" t="s">
        <v>155</v>
      </c>
      <c r="G190">
        <v>390</v>
      </c>
      <c r="I190">
        <f t="shared" si="16"/>
        <v>0</v>
      </c>
      <c r="J190">
        <f t="shared" si="16"/>
        <v>0</v>
      </c>
      <c r="K190">
        <f t="shared" si="16"/>
        <v>0</v>
      </c>
      <c r="M190" t="str" cm="1">
        <f t="array" ref="M190">IFERROR(INDEX($I$2:$K$2,0,MATCH(TRUE,I190:K190,0)),E190)</f>
        <v>CCGT</v>
      </c>
      <c r="O190" t="str">
        <f t="shared" si="12"/>
        <v>CCGT_2021</v>
      </c>
      <c r="P190">
        <f t="shared" si="13"/>
        <v>390</v>
      </c>
    </row>
    <row r="191" spans="4:16" x14ac:dyDescent="0.25">
      <c r="D191">
        <v>2022</v>
      </c>
      <c r="E191" t="s">
        <v>123</v>
      </c>
      <c r="F191" t="s">
        <v>155</v>
      </c>
      <c r="G191">
        <v>390</v>
      </c>
      <c r="I191">
        <f t="shared" si="16"/>
        <v>0</v>
      </c>
      <c r="J191">
        <f t="shared" si="16"/>
        <v>0</v>
      </c>
      <c r="K191">
        <f t="shared" si="16"/>
        <v>0</v>
      </c>
      <c r="M191" t="str" cm="1">
        <f t="array" ref="M191">IFERROR(INDEX($I$2:$K$2,0,MATCH(TRUE,I191:K191,0)),E191)</f>
        <v>CCGT</v>
      </c>
      <c r="O191" t="str">
        <f t="shared" si="12"/>
        <v>CCGT_2022</v>
      </c>
      <c r="P191">
        <f t="shared" si="13"/>
        <v>390</v>
      </c>
    </row>
    <row r="192" spans="4:16" x14ac:dyDescent="0.25">
      <c r="D192">
        <v>2023</v>
      </c>
      <c r="E192" t="s">
        <v>123</v>
      </c>
      <c r="F192" t="s">
        <v>155</v>
      </c>
      <c r="G192">
        <v>390</v>
      </c>
      <c r="I192">
        <f t="shared" si="16"/>
        <v>0</v>
      </c>
      <c r="J192">
        <f t="shared" si="16"/>
        <v>0</v>
      </c>
      <c r="K192">
        <f t="shared" si="16"/>
        <v>0</v>
      </c>
      <c r="M192" t="str" cm="1">
        <f t="array" ref="M192">IFERROR(INDEX($I$2:$K$2,0,MATCH(TRUE,I192:K192,0)),E192)</f>
        <v>CCGT</v>
      </c>
      <c r="O192" t="str">
        <f t="shared" si="12"/>
        <v>CCGT_2023</v>
      </c>
      <c r="P192">
        <f t="shared" si="13"/>
        <v>390</v>
      </c>
    </row>
    <row r="193" spans="4:16" x14ac:dyDescent="0.25">
      <c r="D193">
        <v>2024</v>
      </c>
      <c r="E193" t="s">
        <v>123</v>
      </c>
      <c r="F193" t="s">
        <v>155</v>
      </c>
      <c r="G193">
        <v>390</v>
      </c>
      <c r="I193">
        <f t="shared" si="16"/>
        <v>0</v>
      </c>
      <c r="J193">
        <f t="shared" si="16"/>
        <v>0</v>
      </c>
      <c r="K193">
        <f t="shared" si="16"/>
        <v>0</v>
      </c>
      <c r="M193" t="str" cm="1">
        <f t="array" ref="M193">IFERROR(INDEX($I$2:$K$2,0,MATCH(TRUE,I193:K193,0)),E193)</f>
        <v>CCGT</v>
      </c>
      <c r="O193" t="str">
        <f t="shared" si="12"/>
        <v>CCGT_2024</v>
      </c>
      <c r="P193">
        <f t="shared" si="13"/>
        <v>390</v>
      </c>
    </row>
    <row r="194" spans="4:16" x14ac:dyDescent="0.25">
      <c r="D194">
        <v>2025</v>
      </c>
      <c r="E194" t="s">
        <v>123</v>
      </c>
      <c r="F194" t="s">
        <v>155</v>
      </c>
      <c r="G194">
        <v>390</v>
      </c>
      <c r="I194">
        <f t="shared" si="16"/>
        <v>0</v>
      </c>
      <c r="J194">
        <f t="shared" si="16"/>
        <v>0</v>
      </c>
      <c r="K194">
        <f t="shared" si="16"/>
        <v>0</v>
      </c>
      <c r="M194" t="str" cm="1">
        <f t="array" ref="M194">IFERROR(INDEX($I$2:$K$2,0,MATCH(TRUE,I194:K194,0)),E194)</f>
        <v>CCGT</v>
      </c>
      <c r="O194" t="str">
        <f t="shared" si="12"/>
        <v>CCGT_2025</v>
      </c>
      <c r="P194">
        <f t="shared" si="13"/>
        <v>390</v>
      </c>
    </row>
    <row r="195" spans="4:16" x14ac:dyDescent="0.25">
      <c r="D195">
        <v>2026</v>
      </c>
      <c r="E195" t="s">
        <v>123</v>
      </c>
      <c r="F195" t="s">
        <v>155</v>
      </c>
      <c r="G195">
        <v>390</v>
      </c>
      <c r="I195">
        <f t="shared" si="16"/>
        <v>0</v>
      </c>
      <c r="J195">
        <f t="shared" si="16"/>
        <v>0</v>
      </c>
      <c r="K195">
        <f t="shared" si="16"/>
        <v>0</v>
      </c>
      <c r="M195" t="str" cm="1">
        <f t="array" ref="M195">IFERROR(INDEX($I$2:$K$2,0,MATCH(TRUE,I195:K195,0)),E195)</f>
        <v>CCGT</v>
      </c>
      <c r="O195" t="str">
        <f t="shared" si="12"/>
        <v>CCGT_2026</v>
      </c>
      <c r="P195">
        <f t="shared" si="13"/>
        <v>390</v>
      </c>
    </row>
    <row r="196" spans="4:16" x14ac:dyDescent="0.25">
      <c r="D196">
        <v>2027</v>
      </c>
      <c r="E196" t="s">
        <v>123</v>
      </c>
      <c r="F196" t="s">
        <v>155</v>
      </c>
      <c r="G196">
        <v>390</v>
      </c>
      <c r="I196">
        <f t="shared" si="16"/>
        <v>0</v>
      </c>
      <c r="J196">
        <f t="shared" si="16"/>
        <v>0</v>
      </c>
      <c r="K196">
        <f t="shared" si="16"/>
        <v>0</v>
      </c>
      <c r="M196" t="str" cm="1">
        <f t="array" ref="M196">IFERROR(INDEX($I$2:$K$2,0,MATCH(TRUE,I196:K196,0)),E196)</f>
        <v>CCGT</v>
      </c>
      <c r="O196" t="str">
        <f t="shared" ref="O196:O259" si="17">M196&amp;"_"&amp;D196</f>
        <v>CCGT_2027</v>
      </c>
      <c r="P196">
        <f t="shared" ref="P196:P259" si="18">G196</f>
        <v>390</v>
      </c>
    </row>
    <row r="197" spans="4:16" x14ac:dyDescent="0.25">
      <c r="D197">
        <v>2028</v>
      </c>
      <c r="E197" t="s">
        <v>123</v>
      </c>
      <c r="F197" t="s">
        <v>155</v>
      </c>
      <c r="G197">
        <v>390</v>
      </c>
      <c r="I197">
        <f t="shared" si="16"/>
        <v>0</v>
      </c>
      <c r="J197">
        <f t="shared" si="16"/>
        <v>0</v>
      </c>
      <c r="K197">
        <f t="shared" si="16"/>
        <v>0</v>
      </c>
      <c r="M197" t="str" cm="1">
        <f t="array" ref="M197">IFERROR(INDEX($I$2:$K$2,0,MATCH(TRUE,I197:K197,0)),E197)</f>
        <v>CCGT</v>
      </c>
      <c r="O197" t="str">
        <f t="shared" si="17"/>
        <v>CCGT_2028</v>
      </c>
      <c r="P197">
        <f t="shared" si="18"/>
        <v>390</v>
      </c>
    </row>
    <row r="198" spans="4:16" x14ac:dyDescent="0.25">
      <c r="D198">
        <v>2029</v>
      </c>
      <c r="E198" t="s">
        <v>123</v>
      </c>
      <c r="F198" t="s">
        <v>155</v>
      </c>
      <c r="G198">
        <v>390</v>
      </c>
      <c r="I198">
        <f t="shared" si="16"/>
        <v>0</v>
      </c>
      <c r="J198">
        <f t="shared" si="16"/>
        <v>0</v>
      </c>
      <c r="K198">
        <f t="shared" si="16"/>
        <v>0</v>
      </c>
      <c r="M198" t="str" cm="1">
        <f t="array" ref="M198">IFERROR(INDEX($I$2:$K$2,0,MATCH(TRUE,I198:K198,0)),E198)</f>
        <v>CCGT</v>
      </c>
      <c r="O198" t="str">
        <f t="shared" si="17"/>
        <v>CCGT_2029</v>
      </c>
      <c r="P198">
        <f t="shared" si="18"/>
        <v>390</v>
      </c>
    </row>
    <row r="199" spans="4:16" x14ac:dyDescent="0.25">
      <c r="D199">
        <v>2030</v>
      </c>
      <c r="E199" t="s">
        <v>123</v>
      </c>
      <c r="F199" t="s">
        <v>155</v>
      </c>
      <c r="G199">
        <v>390</v>
      </c>
      <c r="I199">
        <f t="shared" si="16"/>
        <v>0</v>
      </c>
      <c r="J199">
        <f t="shared" si="16"/>
        <v>0</v>
      </c>
      <c r="K199">
        <f t="shared" si="16"/>
        <v>0</v>
      </c>
      <c r="M199" t="str" cm="1">
        <f t="array" ref="M199">IFERROR(INDEX($I$2:$K$2,0,MATCH(TRUE,I199:K199,0)),E199)</f>
        <v>CCGT</v>
      </c>
      <c r="O199" t="str">
        <f t="shared" si="17"/>
        <v>CCGT_2030</v>
      </c>
      <c r="P199">
        <f t="shared" si="18"/>
        <v>390</v>
      </c>
    </row>
    <row r="200" spans="4:16" x14ac:dyDescent="0.25">
      <c r="D200">
        <v>2031</v>
      </c>
      <c r="E200" t="s">
        <v>123</v>
      </c>
      <c r="F200" t="s">
        <v>155</v>
      </c>
      <c r="G200">
        <v>390</v>
      </c>
      <c r="I200">
        <f t="shared" si="16"/>
        <v>0</v>
      </c>
      <c r="J200">
        <f t="shared" si="16"/>
        <v>0</v>
      </c>
      <c r="K200">
        <f t="shared" si="16"/>
        <v>0</v>
      </c>
      <c r="M200" t="str" cm="1">
        <f t="array" ref="M200">IFERROR(INDEX($I$2:$K$2,0,MATCH(TRUE,I200:K200,0)),E200)</f>
        <v>CCGT</v>
      </c>
      <c r="O200" t="str">
        <f t="shared" si="17"/>
        <v>CCGT_2031</v>
      </c>
      <c r="P200">
        <f t="shared" si="18"/>
        <v>390</v>
      </c>
    </row>
    <row r="201" spans="4:16" x14ac:dyDescent="0.25">
      <c r="D201">
        <v>2032</v>
      </c>
      <c r="E201" t="s">
        <v>123</v>
      </c>
      <c r="F201" t="s">
        <v>155</v>
      </c>
      <c r="G201">
        <v>390</v>
      </c>
      <c r="I201">
        <f t="shared" si="16"/>
        <v>0</v>
      </c>
      <c r="J201">
        <f t="shared" si="16"/>
        <v>0</v>
      </c>
      <c r="K201">
        <f t="shared" si="16"/>
        <v>0</v>
      </c>
      <c r="M201" t="str" cm="1">
        <f t="array" ref="M201">IFERROR(INDEX($I$2:$K$2,0,MATCH(TRUE,I201:K201,0)),E201)</f>
        <v>CCGT</v>
      </c>
      <c r="O201" t="str">
        <f t="shared" si="17"/>
        <v>CCGT_2032</v>
      </c>
      <c r="P201">
        <f t="shared" si="18"/>
        <v>390</v>
      </c>
    </row>
    <row r="202" spans="4:16" x14ac:dyDescent="0.25">
      <c r="D202">
        <v>2033</v>
      </c>
      <c r="E202" t="s">
        <v>123</v>
      </c>
      <c r="F202" t="s">
        <v>155</v>
      </c>
      <c r="G202">
        <v>390</v>
      </c>
      <c r="I202">
        <f t="shared" si="16"/>
        <v>0</v>
      </c>
      <c r="J202">
        <f t="shared" si="16"/>
        <v>0</v>
      </c>
      <c r="K202">
        <f t="shared" si="16"/>
        <v>0</v>
      </c>
      <c r="M202" t="str" cm="1">
        <f t="array" ref="M202">IFERROR(INDEX($I$2:$K$2,0,MATCH(TRUE,I202:K202,0)),E202)</f>
        <v>CCGT</v>
      </c>
      <c r="O202" t="str">
        <f t="shared" si="17"/>
        <v>CCGT_2033</v>
      </c>
      <c r="P202">
        <f t="shared" si="18"/>
        <v>390</v>
      </c>
    </row>
    <row r="203" spans="4:16" x14ac:dyDescent="0.25">
      <c r="D203">
        <v>2034</v>
      </c>
      <c r="E203" t="s">
        <v>123</v>
      </c>
      <c r="F203" t="s">
        <v>155</v>
      </c>
      <c r="G203">
        <v>390</v>
      </c>
      <c r="I203">
        <f t="shared" si="16"/>
        <v>0</v>
      </c>
      <c r="J203">
        <f t="shared" si="16"/>
        <v>0</v>
      </c>
      <c r="K203">
        <f t="shared" si="16"/>
        <v>0</v>
      </c>
      <c r="M203" t="str" cm="1">
        <f t="array" ref="M203">IFERROR(INDEX($I$2:$K$2,0,MATCH(TRUE,I203:K203,0)),E203)</f>
        <v>CCGT</v>
      </c>
      <c r="O203" t="str">
        <f t="shared" si="17"/>
        <v>CCGT_2034</v>
      </c>
      <c r="P203">
        <f t="shared" si="18"/>
        <v>390</v>
      </c>
    </row>
    <row r="204" spans="4:16" x14ac:dyDescent="0.25">
      <c r="D204">
        <v>2035</v>
      </c>
      <c r="E204" t="s">
        <v>123</v>
      </c>
      <c r="F204" t="s">
        <v>155</v>
      </c>
      <c r="G204">
        <v>390</v>
      </c>
      <c r="I204">
        <f t="shared" ref="I204:K223" si="19">IFERROR(FIND(I$2,$E204,1)&gt;0,0)</f>
        <v>0</v>
      </c>
      <c r="J204">
        <f t="shared" si="19"/>
        <v>0</v>
      </c>
      <c r="K204">
        <f t="shared" si="19"/>
        <v>0</v>
      </c>
      <c r="M204" t="str" cm="1">
        <f t="array" ref="M204">IFERROR(INDEX($I$2:$K$2,0,MATCH(TRUE,I204:K204,0)),E204)</f>
        <v>CCGT</v>
      </c>
      <c r="O204" t="str">
        <f t="shared" si="17"/>
        <v>CCGT_2035</v>
      </c>
      <c r="P204">
        <f t="shared" si="18"/>
        <v>390</v>
      </c>
    </row>
    <row r="205" spans="4:16" x14ac:dyDescent="0.25">
      <c r="D205">
        <v>2036</v>
      </c>
      <c r="E205" t="s">
        <v>123</v>
      </c>
      <c r="F205" t="s">
        <v>155</v>
      </c>
      <c r="G205">
        <v>390</v>
      </c>
      <c r="I205">
        <f t="shared" si="19"/>
        <v>0</v>
      </c>
      <c r="J205">
        <f t="shared" si="19"/>
        <v>0</v>
      </c>
      <c r="K205">
        <f t="shared" si="19"/>
        <v>0</v>
      </c>
      <c r="M205" t="str" cm="1">
        <f t="array" ref="M205">IFERROR(INDEX($I$2:$K$2,0,MATCH(TRUE,I205:K205,0)),E205)</f>
        <v>CCGT</v>
      </c>
      <c r="O205" t="str">
        <f t="shared" si="17"/>
        <v>CCGT_2036</v>
      </c>
      <c r="P205">
        <f t="shared" si="18"/>
        <v>390</v>
      </c>
    </row>
    <row r="206" spans="4:16" x14ac:dyDescent="0.25">
      <c r="D206">
        <v>2037</v>
      </c>
      <c r="E206" t="s">
        <v>123</v>
      </c>
      <c r="F206" t="s">
        <v>155</v>
      </c>
      <c r="G206">
        <v>390</v>
      </c>
      <c r="I206">
        <f t="shared" si="19"/>
        <v>0</v>
      </c>
      <c r="J206">
        <f t="shared" si="19"/>
        <v>0</v>
      </c>
      <c r="K206">
        <f t="shared" si="19"/>
        <v>0</v>
      </c>
      <c r="M206" t="str" cm="1">
        <f t="array" ref="M206">IFERROR(INDEX($I$2:$K$2,0,MATCH(TRUE,I206:K206,0)),E206)</f>
        <v>CCGT</v>
      </c>
      <c r="O206" t="str">
        <f t="shared" si="17"/>
        <v>CCGT_2037</v>
      </c>
      <c r="P206">
        <f t="shared" si="18"/>
        <v>390</v>
      </c>
    </row>
    <row r="207" spans="4:16" x14ac:dyDescent="0.25">
      <c r="D207">
        <v>2038</v>
      </c>
      <c r="E207" t="s">
        <v>123</v>
      </c>
      <c r="F207" t="s">
        <v>155</v>
      </c>
      <c r="G207">
        <v>390</v>
      </c>
      <c r="I207">
        <f t="shared" si="19"/>
        <v>0</v>
      </c>
      <c r="J207">
        <f t="shared" si="19"/>
        <v>0</v>
      </c>
      <c r="K207">
        <f t="shared" si="19"/>
        <v>0</v>
      </c>
      <c r="M207" t="str" cm="1">
        <f t="array" ref="M207">IFERROR(INDEX($I$2:$K$2,0,MATCH(TRUE,I207:K207,0)),E207)</f>
        <v>CCGT</v>
      </c>
      <c r="O207" t="str">
        <f t="shared" si="17"/>
        <v>CCGT_2038</v>
      </c>
      <c r="P207">
        <f t="shared" si="18"/>
        <v>390</v>
      </c>
    </row>
    <row r="208" spans="4:16" x14ac:dyDescent="0.25">
      <c r="D208">
        <v>2039</v>
      </c>
      <c r="E208" t="s">
        <v>123</v>
      </c>
      <c r="F208" t="s">
        <v>155</v>
      </c>
      <c r="G208">
        <v>390</v>
      </c>
      <c r="I208">
        <f t="shared" si="19"/>
        <v>0</v>
      </c>
      <c r="J208">
        <f t="shared" si="19"/>
        <v>0</v>
      </c>
      <c r="K208">
        <f t="shared" si="19"/>
        <v>0</v>
      </c>
      <c r="M208" t="str" cm="1">
        <f t="array" ref="M208">IFERROR(INDEX($I$2:$K$2,0,MATCH(TRUE,I208:K208,0)),E208)</f>
        <v>CCGT</v>
      </c>
      <c r="O208" t="str">
        <f t="shared" si="17"/>
        <v>CCGT_2039</v>
      </c>
      <c r="P208">
        <f t="shared" si="18"/>
        <v>390</v>
      </c>
    </row>
    <row r="209" spans="4:16" x14ac:dyDescent="0.25">
      <c r="D209">
        <v>2040</v>
      </c>
      <c r="E209" t="s">
        <v>123</v>
      </c>
      <c r="F209" t="s">
        <v>155</v>
      </c>
      <c r="G209">
        <v>390</v>
      </c>
      <c r="I209">
        <f t="shared" si="19"/>
        <v>0</v>
      </c>
      <c r="J209">
        <f t="shared" si="19"/>
        <v>0</v>
      </c>
      <c r="K209">
        <f t="shared" si="19"/>
        <v>0</v>
      </c>
      <c r="M209" t="str" cm="1">
        <f t="array" ref="M209">IFERROR(INDEX($I$2:$K$2,0,MATCH(TRUE,I209:K209,0)),E209)</f>
        <v>CCGT</v>
      </c>
      <c r="O209" t="str">
        <f t="shared" si="17"/>
        <v>CCGT_2040</v>
      </c>
      <c r="P209">
        <f t="shared" si="18"/>
        <v>390</v>
      </c>
    </row>
    <row r="210" spans="4:16" x14ac:dyDescent="0.25">
      <c r="D210">
        <v>2021</v>
      </c>
      <c r="E210" t="s">
        <v>123</v>
      </c>
      <c r="F210" t="s">
        <v>156</v>
      </c>
      <c r="G210">
        <v>122</v>
      </c>
      <c r="I210">
        <f t="shared" si="19"/>
        <v>0</v>
      </c>
      <c r="J210">
        <f t="shared" si="19"/>
        <v>0</v>
      </c>
      <c r="K210">
        <f t="shared" si="19"/>
        <v>0</v>
      </c>
      <c r="M210" t="str" cm="1">
        <f t="array" ref="M210">IFERROR(INDEX($I$2:$K$2,0,MATCH(TRUE,I210:K210,0)),E210)</f>
        <v>CCGT</v>
      </c>
      <c r="O210" t="str">
        <f t="shared" si="17"/>
        <v>CCGT_2021</v>
      </c>
      <c r="P210">
        <f t="shared" si="18"/>
        <v>122</v>
      </c>
    </row>
    <row r="211" spans="4:16" x14ac:dyDescent="0.25">
      <c r="D211">
        <v>2022</v>
      </c>
      <c r="E211" t="s">
        <v>123</v>
      </c>
      <c r="F211" t="s">
        <v>156</v>
      </c>
      <c r="G211">
        <v>122</v>
      </c>
      <c r="I211">
        <f t="shared" si="19"/>
        <v>0</v>
      </c>
      <c r="J211">
        <f t="shared" si="19"/>
        <v>0</v>
      </c>
      <c r="K211">
        <f t="shared" si="19"/>
        <v>0</v>
      </c>
      <c r="M211" t="str" cm="1">
        <f t="array" ref="M211">IFERROR(INDEX($I$2:$K$2,0,MATCH(TRUE,I211:K211,0)),E211)</f>
        <v>CCGT</v>
      </c>
      <c r="O211" t="str">
        <f t="shared" si="17"/>
        <v>CCGT_2022</v>
      </c>
      <c r="P211">
        <f t="shared" si="18"/>
        <v>122</v>
      </c>
    </row>
    <row r="212" spans="4:16" x14ac:dyDescent="0.25">
      <c r="D212">
        <v>2023</v>
      </c>
      <c r="E212" t="s">
        <v>123</v>
      </c>
      <c r="F212" t="s">
        <v>156</v>
      </c>
      <c r="G212">
        <v>122</v>
      </c>
      <c r="I212">
        <f t="shared" si="19"/>
        <v>0</v>
      </c>
      <c r="J212">
        <f t="shared" si="19"/>
        <v>0</v>
      </c>
      <c r="K212">
        <f t="shared" si="19"/>
        <v>0</v>
      </c>
      <c r="M212" t="str" cm="1">
        <f t="array" ref="M212">IFERROR(INDEX($I$2:$K$2,0,MATCH(TRUE,I212:K212,0)),E212)</f>
        <v>CCGT</v>
      </c>
      <c r="O212" t="str">
        <f t="shared" si="17"/>
        <v>CCGT_2023</v>
      </c>
      <c r="P212">
        <f t="shared" si="18"/>
        <v>122</v>
      </c>
    </row>
    <row r="213" spans="4:16" x14ac:dyDescent="0.25">
      <c r="D213">
        <v>2024</v>
      </c>
      <c r="E213" t="s">
        <v>123</v>
      </c>
      <c r="F213" t="s">
        <v>156</v>
      </c>
      <c r="G213">
        <v>122</v>
      </c>
      <c r="I213">
        <f t="shared" si="19"/>
        <v>0</v>
      </c>
      <c r="J213">
        <f t="shared" si="19"/>
        <v>0</v>
      </c>
      <c r="K213">
        <f t="shared" si="19"/>
        <v>0</v>
      </c>
      <c r="M213" t="str" cm="1">
        <f t="array" ref="M213">IFERROR(INDEX($I$2:$K$2,0,MATCH(TRUE,I213:K213,0)),E213)</f>
        <v>CCGT</v>
      </c>
      <c r="O213" t="str">
        <f t="shared" si="17"/>
        <v>CCGT_2024</v>
      </c>
      <c r="P213">
        <f t="shared" si="18"/>
        <v>122</v>
      </c>
    </row>
    <row r="214" spans="4:16" x14ac:dyDescent="0.25">
      <c r="D214">
        <v>2025</v>
      </c>
      <c r="E214" t="s">
        <v>123</v>
      </c>
      <c r="F214" t="s">
        <v>156</v>
      </c>
      <c r="G214">
        <v>122</v>
      </c>
      <c r="I214">
        <f t="shared" si="19"/>
        <v>0</v>
      </c>
      <c r="J214">
        <f t="shared" si="19"/>
        <v>0</v>
      </c>
      <c r="K214">
        <f t="shared" si="19"/>
        <v>0</v>
      </c>
      <c r="M214" t="str" cm="1">
        <f t="array" ref="M214">IFERROR(INDEX($I$2:$K$2,0,MATCH(TRUE,I214:K214,0)),E214)</f>
        <v>CCGT</v>
      </c>
      <c r="O214" t="str">
        <f t="shared" si="17"/>
        <v>CCGT_2025</v>
      </c>
      <c r="P214">
        <f t="shared" si="18"/>
        <v>122</v>
      </c>
    </row>
    <row r="215" spans="4:16" x14ac:dyDescent="0.25">
      <c r="D215">
        <v>2026</v>
      </c>
      <c r="E215" t="s">
        <v>123</v>
      </c>
      <c r="F215" t="s">
        <v>156</v>
      </c>
      <c r="G215">
        <v>122</v>
      </c>
      <c r="I215">
        <f t="shared" si="19"/>
        <v>0</v>
      </c>
      <c r="J215">
        <f t="shared" si="19"/>
        <v>0</v>
      </c>
      <c r="K215">
        <f t="shared" si="19"/>
        <v>0</v>
      </c>
      <c r="M215" t="str" cm="1">
        <f t="array" ref="M215">IFERROR(INDEX($I$2:$K$2,0,MATCH(TRUE,I215:K215,0)),E215)</f>
        <v>CCGT</v>
      </c>
      <c r="O215" t="str">
        <f t="shared" si="17"/>
        <v>CCGT_2026</v>
      </c>
      <c r="P215">
        <f t="shared" si="18"/>
        <v>122</v>
      </c>
    </row>
    <row r="216" spans="4:16" x14ac:dyDescent="0.25">
      <c r="D216">
        <v>2027</v>
      </c>
      <c r="E216" t="s">
        <v>123</v>
      </c>
      <c r="F216" t="s">
        <v>156</v>
      </c>
      <c r="G216">
        <v>122</v>
      </c>
      <c r="I216">
        <f t="shared" si="19"/>
        <v>0</v>
      </c>
      <c r="J216">
        <f t="shared" si="19"/>
        <v>0</v>
      </c>
      <c r="K216">
        <f t="shared" si="19"/>
        <v>0</v>
      </c>
      <c r="M216" t="str" cm="1">
        <f t="array" ref="M216">IFERROR(INDEX($I$2:$K$2,0,MATCH(TRUE,I216:K216,0)),E216)</f>
        <v>CCGT</v>
      </c>
      <c r="O216" t="str">
        <f t="shared" si="17"/>
        <v>CCGT_2027</v>
      </c>
      <c r="P216">
        <f t="shared" si="18"/>
        <v>122</v>
      </c>
    </row>
    <row r="217" spans="4:16" x14ac:dyDescent="0.25">
      <c r="D217">
        <v>2028</v>
      </c>
      <c r="E217" t="s">
        <v>123</v>
      </c>
      <c r="F217" t="s">
        <v>156</v>
      </c>
      <c r="G217">
        <v>122</v>
      </c>
      <c r="I217">
        <f t="shared" si="19"/>
        <v>0</v>
      </c>
      <c r="J217">
        <f t="shared" si="19"/>
        <v>0</v>
      </c>
      <c r="K217">
        <f t="shared" si="19"/>
        <v>0</v>
      </c>
      <c r="M217" t="str" cm="1">
        <f t="array" ref="M217">IFERROR(INDEX($I$2:$K$2,0,MATCH(TRUE,I217:K217,0)),E217)</f>
        <v>CCGT</v>
      </c>
      <c r="O217" t="str">
        <f t="shared" si="17"/>
        <v>CCGT_2028</v>
      </c>
      <c r="P217">
        <f t="shared" si="18"/>
        <v>122</v>
      </c>
    </row>
    <row r="218" spans="4:16" x14ac:dyDescent="0.25">
      <c r="D218">
        <v>2029</v>
      </c>
      <c r="E218" t="s">
        <v>123</v>
      </c>
      <c r="F218" t="s">
        <v>156</v>
      </c>
      <c r="G218">
        <v>122</v>
      </c>
      <c r="I218">
        <f t="shared" si="19"/>
        <v>0</v>
      </c>
      <c r="J218">
        <f t="shared" si="19"/>
        <v>0</v>
      </c>
      <c r="K218">
        <f t="shared" si="19"/>
        <v>0</v>
      </c>
      <c r="M218" t="str" cm="1">
        <f t="array" ref="M218">IFERROR(INDEX($I$2:$K$2,0,MATCH(TRUE,I218:K218,0)),E218)</f>
        <v>CCGT</v>
      </c>
      <c r="O218" t="str">
        <f t="shared" si="17"/>
        <v>CCGT_2029</v>
      </c>
      <c r="P218">
        <f t="shared" si="18"/>
        <v>122</v>
      </c>
    </row>
    <row r="219" spans="4:16" x14ac:dyDescent="0.25">
      <c r="D219">
        <v>2030</v>
      </c>
      <c r="E219" t="s">
        <v>123</v>
      </c>
      <c r="F219" t="s">
        <v>156</v>
      </c>
      <c r="G219">
        <v>122</v>
      </c>
      <c r="I219">
        <f t="shared" si="19"/>
        <v>0</v>
      </c>
      <c r="J219">
        <f t="shared" si="19"/>
        <v>0</v>
      </c>
      <c r="K219">
        <f t="shared" si="19"/>
        <v>0</v>
      </c>
      <c r="M219" t="str" cm="1">
        <f t="array" ref="M219">IFERROR(INDEX($I$2:$K$2,0,MATCH(TRUE,I219:K219,0)),E219)</f>
        <v>CCGT</v>
      </c>
      <c r="O219" t="str">
        <f t="shared" si="17"/>
        <v>CCGT_2030</v>
      </c>
      <c r="P219">
        <f t="shared" si="18"/>
        <v>122</v>
      </c>
    </row>
    <row r="220" spans="4:16" x14ac:dyDescent="0.25">
      <c r="D220">
        <v>2031</v>
      </c>
      <c r="E220" t="s">
        <v>123</v>
      </c>
      <c r="F220" t="s">
        <v>156</v>
      </c>
      <c r="G220">
        <v>122</v>
      </c>
      <c r="I220">
        <f t="shared" si="19"/>
        <v>0</v>
      </c>
      <c r="J220">
        <f t="shared" si="19"/>
        <v>0</v>
      </c>
      <c r="K220">
        <f t="shared" si="19"/>
        <v>0</v>
      </c>
      <c r="M220" t="str" cm="1">
        <f t="array" ref="M220">IFERROR(INDEX($I$2:$K$2,0,MATCH(TRUE,I220:K220,0)),E220)</f>
        <v>CCGT</v>
      </c>
      <c r="O220" t="str">
        <f t="shared" si="17"/>
        <v>CCGT_2031</v>
      </c>
      <c r="P220">
        <f t="shared" si="18"/>
        <v>122</v>
      </c>
    </row>
    <row r="221" spans="4:16" x14ac:dyDescent="0.25">
      <c r="D221">
        <v>2032</v>
      </c>
      <c r="E221" t="s">
        <v>123</v>
      </c>
      <c r="F221" t="s">
        <v>156</v>
      </c>
      <c r="G221">
        <v>122</v>
      </c>
      <c r="I221">
        <f t="shared" si="19"/>
        <v>0</v>
      </c>
      <c r="J221">
        <f t="shared" si="19"/>
        <v>0</v>
      </c>
      <c r="K221">
        <f t="shared" si="19"/>
        <v>0</v>
      </c>
      <c r="M221" t="str" cm="1">
        <f t="array" ref="M221">IFERROR(INDEX($I$2:$K$2,0,MATCH(TRUE,I221:K221,0)),E221)</f>
        <v>CCGT</v>
      </c>
      <c r="O221" t="str">
        <f t="shared" si="17"/>
        <v>CCGT_2032</v>
      </c>
      <c r="P221">
        <f t="shared" si="18"/>
        <v>122</v>
      </c>
    </row>
    <row r="222" spans="4:16" x14ac:dyDescent="0.25">
      <c r="D222">
        <v>2033</v>
      </c>
      <c r="E222" t="s">
        <v>123</v>
      </c>
      <c r="F222" t="s">
        <v>156</v>
      </c>
      <c r="G222">
        <v>122</v>
      </c>
      <c r="I222">
        <f t="shared" si="19"/>
        <v>0</v>
      </c>
      <c r="J222">
        <f t="shared" si="19"/>
        <v>0</v>
      </c>
      <c r="K222">
        <f t="shared" si="19"/>
        <v>0</v>
      </c>
      <c r="M222" t="str" cm="1">
        <f t="array" ref="M222">IFERROR(INDEX($I$2:$K$2,0,MATCH(TRUE,I222:K222,0)),E222)</f>
        <v>CCGT</v>
      </c>
      <c r="O222" t="str">
        <f t="shared" si="17"/>
        <v>CCGT_2033</v>
      </c>
      <c r="P222">
        <f t="shared" si="18"/>
        <v>122</v>
      </c>
    </row>
    <row r="223" spans="4:16" x14ac:dyDescent="0.25">
      <c r="D223">
        <v>2034</v>
      </c>
      <c r="E223" t="s">
        <v>123</v>
      </c>
      <c r="F223" t="s">
        <v>156</v>
      </c>
      <c r="G223">
        <v>122</v>
      </c>
      <c r="I223">
        <f t="shared" si="19"/>
        <v>0</v>
      </c>
      <c r="J223">
        <f t="shared" si="19"/>
        <v>0</v>
      </c>
      <c r="K223">
        <f t="shared" si="19"/>
        <v>0</v>
      </c>
      <c r="M223" t="str" cm="1">
        <f t="array" ref="M223">IFERROR(INDEX($I$2:$K$2,0,MATCH(TRUE,I223:K223,0)),E223)</f>
        <v>CCGT</v>
      </c>
      <c r="O223" t="str">
        <f t="shared" si="17"/>
        <v>CCGT_2034</v>
      </c>
      <c r="P223">
        <f t="shared" si="18"/>
        <v>122</v>
      </c>
    </row>
    <row r="224" spans="4:16" x14ac:dyDescent="0.25">
      <c r="D224">
        <v>2035</v>
      </c>
      <c r="E224" t="s">
        <v>123</v>
      </c>
      <c r="F224" t="s">
        <v>156</v>
      </c>
      <c r="G224">
        <v>122</v>
      </c>
      <c r="I224">
        <f t="shared" ref="I224:K243" si="20">IFERROR(FIND(I$2,$E224,1)&gt;0,0)</f>
        <v>0</v>
      </c>
      <c r="J224">
        <f t="shared" si="20"/>
        <v>0</v>
      </c>
      <c r="K224">
        <f t="shared" si="20"/>
        <v>0</v>
      </c>
      <c r="M224" t="str" cm="1">
        <f t="array" ref="M224">IFERROR(INDEX($I$2:$K$2,0,MATCH(TRUE,I224:K224,0)),E224)</f>
        <v>CCGT</v>
      </c>
      <c r="O224" t="str">
        <f t="shared" si="17"/>
        <v>CCGT_2035</v>
      </c>
      <c r="P224">
        <f t="shared" si="18"/>
        <v>122</v>
      </c>
    </row>
    <row r="225" spans="4:16" x14ac:dyDescent="0.25">
      <c r="D225">
        <v>2036</v>
      </c>
      <c r="E225" t="s">
        <v>123</v>
      </c>
      <c r="F225" t="s">
        <v>156</v>
      </c>
      <c r="G225">
        <v>122</v>
      </c>
      <c r="I225">
        <f t="shared" si="20"/>
        <v>0</v>
      </c>
      <c r="J225">
        <f t="shared" si="20"/>
        <v>0</v>
      </c>
      <c r="K225">
        <f t="shared" si="20"/>
        <v>0</v>
      </c>
      <c r="M225" t="str" cm="1">
        <f t="array" ref="M225">IFERROR(INDEX($I$2:$K$2,0,MATCH(TRUE,I225:K225,0)),E225)</f>
        <v>CCGT</v>
      </c>
      <c r="O225" t="str">
        <f t="shared" si="17"/>
        <v>CCGT_2036</v>
      </c>
      <c r="P225">
        <f t="shared" si="18"/>
        <v>122</v>
      </c>
    </row>
    <row r="226" spans="4:16" x14ac:dyDescent="0.25">
      <c r="D226">
        <v>2037</v>
      </c>
      <c r="E226" t="s">
        <v>123</v>
      </c>
      <c r="F226" t="s">
        <v>156</v>
      </c>
      <c r="G226">
        <v>122</v>
      </c>
      <c r="I226">
        <f t="shared" si="20"/>
        <v>0</v>
      </c>
      <c r="J226">
        <f t="shared" si="20"/>
        <v>0</v>
      </c>
      <c r="K226">
        <f t="shared" si="20"/>
        <v>0</v>
      </c>
      <c r="M226" t="str" cm="1">
        <f t="array" ref="M226">IFERROR(INDEX($I$2:$K$2,0,MATCH(TRUE,I226:K226,0)),E226)</f>
        <v>CCGT</v>
      </c>
      <c r="O226" t="str">
        <f t="shared" si="17"/>
        <v>CCGT_2037</v>
      </c>
      <c r="P226">
        <f t="shared" si="18"/>
        <v>122</v>
      </c>
    </row>
    <row r="227" spans="4:16" x14ac:dyDescent="0.25">
      <c r="D227">
        <v>2038</v>
      </c>
      <c r="E227" t="s">
        <v>123</v>
      </c>
      <c r="F227" t="s">
        <v>156</v>
      </c>
      <c r="G227">
        <v>122</v>
      </c>
      <c r="I227">
        <f t="shared" si="20"/>
        <v>0</v>
      </c>
      <c r="J227">
        <f t="shared" si="20"/>
        <v>0</v>
      </c>
      <c r="K227">
        <f t="shared" si="20"/>
        <v>0</v>
      </c>
      <c r="M227" t="str" cm="1">
        <f t="array" ref="M227">IFERROR(INDEX($I$2:$K$2,0,MATCH(TRUE,I227:K227,0)),E227)</f>
        <v>CCGT</v>
      </c>
      <c r="O227" t="str">
        <f t="shared" si="17"/>
        <v>CCGT_2038</v>
      </c>
      <c r="P227">
        <f t="shared" si="18"/>
        <v>122</v>
      </c>
    </row>
    <row r="228" spans="4:16" x14ac:dyDescent="0.25">
      <c r="D228">
        <v>2039</v>
      </c>
      <c r="E228" t="s">
        <v>123</v>
      </c>
      <c r="F228" t="s">
        <v>156</v>
      </c>
      <c r="G228">
        <v>122</v>
      </c>
      <c r="I228">
        <f t="shared" si="20"/>
        <v>0</v>
      </c>
      <c r="J228">
        <f t="shared" si="20"/>
        <v>0</v>
      </c>
      <c r="K228">
        <f t="shared" si="20"/>
        <v>0</v>
      </c>
      <c r="M228" t="str" cm="1">
        <f t="array" ref="M228">IFERROR(INDEX($I$2:$K$2,0,MATCH(TRUE,I228:K228,0)),E228)</f>
        <v>CCGT</v>
      </c>
      <c r="O228" t="str">
        <f t="shared" si="17"/>
        <v>CCGT_2039</v>
      </c>
      <c r="P228">
        <f t="shared" si="18"/>
        <v>122</v>
      </c>
    </row>
    <row r="229" spans="4:16" x14ac:dyDescent="0.25">
      <c r="D229">
        <v>2040</v>
      </c>
      <c r="E229" t="s">
        <v>123</v>
      </c>
      <c r="F229" t="s">
        <v>156</v>
      </c>
      <c r="G229">
        <v>122</v>
      </c>
      <c r="I229">
        <f t="shared" si="20"/>
        <v>0</v>
      </c>
      <c r="J229">
        <f t="shared" si="20"/>
        <v>0</v>
      </c>
      <c r="K229">
        <f t="shared" si="20"/>
        <v>0</v>
      </c>
      <c r="M229" t="str" cm="1">
        <f t="array" ref="M229">IFERROR(INDEX($I$2:$K$2,0,MATCH(TRUE,I229:K229,0)),E229)</f>
        <v>CCGT</v>
      </c>
      <c r="O229" t="str">
        <f t="shared" si="17"/>
        <v>CCGT_2040</v>
      </c>
      <c r="P229">
        <f t="shared" si="18"/>
        <v>122</v>
      </c>
    </row>
    <row r="230" spans="4:16" x14ac:dyDescent="0.25">
      <c r="D230">
        <v>2021</v>
      </c>
      <c r="E230" t="s">
        <v>123</v>
      </c>
      <c r="F230" t="s">
        <v>157</v>
      </c>
      <c r="G230">
        <v>106</v>
      </c>
      <c r="I230">
        <f t="shared" si="20"/>
        <v>0</v>
      </c>
      <c r="J230">
        <f t="shared" si="20"/>
        <v>0</v>
      </c>
      <c r="K230">
        <f t="shared" si="20"/>
        <v>0</v>
      </c>
      <c r="M230" t="str" cm="1">
        <f t="array" ref="M230">IFERROR(INDEX($I$2:$K$2,0,MATCH(TRUE,I230:K230,0)),E230)</f>
        <v>CCGT</v>
      </c>
      <c r="O230" t="str">
        <f t="shared" si="17"/>
        <v>CCGT_2021</v>
      </c>
      <c r="P230">
        <f t="shared" si="18"/>
        <v>106</v>
      </c>
    </row>
    <row r="231" spans="4:16" x14ac:dyDescent="0.25">
      <c r="D231">
        <v>2022</v>
      </c>
      <c r="E231" t="s">
        <v>123</v>
      </c>
      <c r="F231" t="s">
        <v>157</v>
      </c>
      <c r="G231">
        <v>106</v>
      </c>
      <c r="I231">
        <f t="shared" si="20"/>
        <v>0</v>
      </c>
      <c r="J231">
        <f t="shared" si="20"/>
        <v>0</v>
      </c>
      <c r="K231">
        <f t="shared" si="20"/>
        <v>0</v>
      </c>
      <c r="M231" t="str" cm="1">
        <f t="array" ref="M231">IFERROR(INDEX($I$2:$K$2,0,MATCH(TRUE,I231:K231,0)),E231)</f>
        <v>CCGT</v>
      </c>
      <c r="O231" t="str">
        <f t="shared" si="17"/>
        <v>CCGT_2022</v>
      </c>
      <c r="P231">
        <f t="shared" si="18"/>
        <v>106</v>
      </c>
    </row>
    <row r="232" spans="4:16" x14ac:dyDescent="0.25">
      <c r="D232">
        <v>2023</v>
      </c>
      <c r="E232" t="s">
        <v>123</v>
      </c>
      <c r="F232" t="s">
        <v>157</v>
      </c>
      <c r="G232">
        <v>106</v>
      </c>
      <c r="I232">
        <f t="shared" si="20"/>
        <v>0</v>
      </c>
      <c r="J232">
        <f t="shared" si="20"/>
        <v>0</v>
      </c>
      <c r="K232">
        <f t="shared" si="20"/>
        <v>0</v>
      </c>
      <c r="M232" t="str" cm="1">
        <f t="array" ref="M232">IFERROR(INDEX($I$2:$K$2,0,MATCH(TRUE,I232:K232,0)),E232)</f>
        <v>CCGT</v>
      </c>
      <c r="O232" t="str">
        <f t="shared" si="17"/>
        <v>CCGT_2023</v>
      </c>
      <c r="P232">
        <f t="shared" si="18"/>
        <v>106</v>
      </c>
    </row>
    <row r="233" spans="4:16" x14ac:dyDescent="0.25">
      <c r="D233">
        <v>2024</v>
      </c>
      <c r="E233" t="s">
        <v>123</v>
      </c>
      <c r="F233" t="s">
        <v>157</v>
      </c>
      <c r="G233">
        <v>106</v>
      </c>
      <c r="I233">
        <f t="shared" si="20"/>
        <v>0</v>
      </c>
      <c r="J233">
        <f t="shared" si="20"/>
        <v>0</v>
      </c>
      <c r="K233">
        <f t="shared" si="20"/>
        <v>0</v>
      </c>
      <c r="M233" t="str" cm="1">
        <f t="array" ref="M233">IFERROR(INDEX($I$2:$K$2,0,MATCH(TRUE,I233:K233,0)),E233)</f>
        <v>CCGT</v>
      </c>
      <c r="O233" t="str">
        <f t="shared" si="17"/>
        <v>CCGT_2024</v>
      </c>
      <c r="P233">
        <f t="shared" si="18"/>
        <v>106</v>
      </c>
    </row>
    <row r="234" spans="4:16" x14ac:dyDescent="0.25">
      <c r="D234">
        <v>2025</v>
      </c>
      <c r="E234" t="s">
        <v>123</v>
      </c>
      <c r="F234" t="s">
        <v>157</v>
      </c>
      <c r="G234">
        <v>106</v>
      </c>
      <c r="I234">
        <f t="shared" si="20"/>
        <v>0</v>
      </c>
      <c r="J234">
        <f t="shared" si="20"/>
        <v>0</v>
      </c>
      <c r="K234">
        <f t="shared" si="20"/>
        <v>0</v>
      </c>
      <c r="M234" t="str" cm="1">
        <f t="array" ref="M234">IFERROR(INDEX($I$2:$K$2,0,MATCH(TRUE,I234:K234,0)),E234)</f>
        <v>CCGT</v>
      </c>
      <c r="O234" t="str">
        <f t="shared" si="17"/>
        <v>CCGT_2025</v>
      </c>
      <c r="P234">
        <f t="shared" si="18"/>
        <v>106</v>
      </c>
    </row>
    <row r="235" spans="4:16" x14ac:dyDescent="0.25">
      <c r="D235">
        <v>2026</v>
      </c>
      <c r="E235" t="s">
        <v>123</v>
      </c>
      <c r="F235" t="s">
        <v>157</v>
      </c>
      <c r="G235">
        <v>106</v>
      </c>
      <c r="I235">
        <f t="shared" si="20"/>
        <v>0</v>
      </c>
      <c r="J235">
        <f t="shared" si="20"/>
        <v>0</v>
      </c>
      <c r="K235">
        <f t="shared" si="20"/>
        <v>0</v>
      </c>
      <c r="M235" t="str" cm="1">
        <f t="array" ref="M235">IFERROR(INDEX($I$2:$K$2,0,MATCH(TRUE,I235:K235,0)),E235)</f>
        <v>CCGT</v>
      </c>
      <c r="O235" t="str">
        <f t="shared" si="17"/>
        <v>CCGT_2026</v>
      </c>
      <c r="P235">
        <f t="shared" si="18"/>
        <v>106</v>
      </c>
    </row>
    <row r="236" spans="4:16" x14ac:dyDescent="0.25">
      <c r="D236">
        <v>2027</v>
      </c>
      <c r="E236" t="s">
        <v>123</v>
      </c>
      <c r="F236" t="s">
        <v>157</v>
      </c>
      <c r="G236">
        <v>106</v>
      </c>
      <c r="I236">
        <f t="shared" si="20"/>
        <v>0</v>
      </c>
      <c r="J236">
        <f t="shared" si="20"/>
        <v>0</v>
      </c>
      <c r="K236">
        <f t="shared" si="20"/>
        <v>0</v>
      </c>
      <c r="M236" t="str" cm="1">
        <f t="array" ref="M236">IFERROR(INDEX($I$2:$K$2,0,MATCH(TRUE,I236:K236,0)),E236)</f>
        <v>CCGT</v>
      </c>
      <c r="O236" t="str">
        <f t="shared" si="17"/>
        <v>CCGT_2027</v>
      </c>
      <c r="P236">
        <f t="shared" si="18"/>
        <v>106</v>
      </c>
    </row>
    <row r="237" spans="4:16" x14ac:dyDescent="0.25">
      <c r="D237">
        <v>2028</v>
      </c>
      <c r="E237" t="s">
        <v>123</v>
      </c>
      <c r="F237" t="s">
        <v>157</v>
      </c>
      <c r="G237">
        <v>106</v>
      </c>
      <c r="I237">
        <f t="shared" si="20"/>
        <v>0</v>
      </c>
      <c r="J237">
        <f t="shared" si="20"/>
        <v>0</v>
      </c>
      <c r="K237">
        <f t="shared" si="20"/>
        <v>0</v>
      </c>
      <c r="M237" t="str" cm="1">
        <f t="array" ref="M237">IFERROR(INDEX($I$2:$K$2,0,MATCH(TRUE,I237:K237,0)),E237)</f>
        <v>CCGT</v>
      </c>
      <c r="O237" t="str">
        <f t="shared" si="17"/>
        <v>CCGT_2028</v>
      </c>
      <c r="P237">
        <f t="shared" si="18"/>
        <v>106</v>
      </c>
    </row>
    <row r="238" spans="4:16" x14ac:dyDescent="0.25">
      <c r="D238">
        <v>2029</v>
      </c>
      <c r="E238" t="s">
        <v>123</v>
      </c>
      <c r="F238" t="s">
        <v>157</v>
      </c>
      <c r="G238">
        <v>106</v>
      </c>
      <c r="I238">
        <f t="shared" si="20"/>
        <v>0</v>
      </c>
      <c r="J238">
        <f t="shared" si="20"/>
        <v>0</v>
      </c>
      <c r="K238">
        <f t="shared" si="20"/>
        <v>0</v>
      </c>
      <c r="M238" t="str" cm="1">
        <f t="array" ref="M238">IFERROR(INDEX($I$2:$K$2,0,MATCH(TRUE,I238:K238,0)),E238)</f>
        <v>CCGT</v>
      </c>
      <c r="O238" t="str">
        <f t="shared" si="17"/>
        <v>CCGT_2029</v>
      </c>
      <c r="P238">
        <f t="shared" si="18"/>
        <v>106</v>
      </c>
    </row>
    <row r="239" spans="4:16" x14ac:dyDescent="0.25">
      <c r="D239">
        <v>2030</v>
      </c>
      <c r="E239" t="s">
        <v>123</v>
      </c>
      <c r="F239" t="s">
        <v>157</v>
      </c>
      <c r="G239">
        <v>106</v>
      </c>
      <c r="I239">
        <f t="shared" si="20"/>
        <v>0</v>
      </c>
      <c r="J239">
        <f t="shared" si="20"/>
        <v>0</v>
      </c>
      <c r="K239">
        <f t="shared" si="20"/>
        <v>0</v>
      </c>
      <c r="M239" t="str" cm="1">
        <f t="array" ref="M239">IFERROR(INDEX($I$2:$K$2,0,MATCH(TRUE,I239:K239,0)),E239)</f>
        <v>CCGT</v>
      </c>
      <c r="O239" t="str">
        <f t="shared" si="17"/>
        <v>CCGT_2030</v>
      </c>
      <c r="P239">
        <f t="shared" si="18"/>
        <v>106</v>
      </c>
    </row>
    <row r="240" spans="4:16" x14ac:dyDescent="0.25">
      <c r="D240">
        <v>2031</v>
      </c>
      <c r="E240" t="s">
        <v>123</v>
      </c>
      <c r="F240" t="s">
        <v>157</v>
      </c>
      <c r="G240">
        <v>106</v>
      </c>
      <c r="I240">
        <f t="shared" si="20"/>
        <v>0</v>
      </c>
      <c r="J240">
        <f t="shared" si="20"/>
        <v>0</v>
      </c>
      <c r="K240">
        <f t="shared" si="20"/>
        <v>0</v>
      </c>
      <c r="M240" t="str" cm="1">
        <f t="array" ref="M240">IFERROR(INDEX($I$2:$K$2,0,MATCH(TRUE,I240:K240,0)),E240)</f>
        <v>CCGT</v>
      </c>
      <c r="O240" t="str">
        <f t="shared" si="17"/>
        <v>CCGT_2031</v>
      </c>
      <c r="P240">
        <f t="shared" si="18"/>
        <v>106</v>
      </c>
    </row>
    <row r="241" spans="4:16" x14ac:dyDescent="0.25">
      <c r="D241">
        <v>2032</v>
      </c>
      <c r="E241" t="s">
        <v>123</v>
      </c>
      <c r="F241" t="s">
        <v>157</v>
      </c>
      <c r="G241">
        <v>106</v>
      </c>
      <c r="I241">
        <f t="shared" si="20"/>
        <v>0</v>
      </c>
      <c r="J241">
        <f t="shared" si="20"/>
        <v>0</v>
      </c>
      <c r="K241">
        <f t="shared" si="20"/>
        <v>0</v>
      </c>
      <c r="M241" t="str" cm="1">
        <f t="array" ref="M241">IFERROR(INDEX($I$2:$K$2,0,MATCH(TRUE,I241:K241,0)),E241)</f>
        <v>CCGT</v>
      </c>
      <c r="O241" t="str">
        <f t="shared" si="17"/>
        <v>CCGT_2032</v>
      </c>
      <c r="P241">
        <f t="shared" si="18"/>
        <v>106</v>
      </c>
    </row>
    <row r="242" spans="4:16" x14ac:dyDescent="0.25">
      <c r="D242">
        <v>2033</v>
      </c>
      <c r="E242" t="s">
        <v>123</v>
      </c>
      <c r="F242" t="s">
        <v>157</v>
      </c>
      <c r="G242">
        <v>106</v>
      </c>
      <c r="I242">
        <f t="shared" si="20"/>
        <v>0</v>
      </c>
      <c r="J242">
        <f t="shared" si="20"/>
        <v>0</v>
      </c>
      <c r="K242">
        <f t="shared" si="20"/>
        <v>0</v>
      </c>
      <c r="M242" t="str" cm="1">
        <f t="array" ref="M242">IFERROR(INDEX($I$2:$K$2,0,MATCH(TRUE,I242:K242,0)),E242)</f>
        <v>CCGT</v>
      </c>
      <c r="O242" t="str">
        <f t="shared" si="17"/>
        <v>CCGT_2033</v>
      </c>
      <c r="P242">
        <f t="shared" si="18"/>
        <v>106</v>
      </c>
    </row>
    <row r="243" spans="4:16" x14ac:dyDescent="0.25">
      <c r="D243">
        <v>2034</v>
      </c>
      <c r="E243" t="s">
        <v>123</v>
      </c>
      <c r="F243" t="s">
        <v>157</v>
      </c>
      <c r="G243">
        <v>106</v>
      </c>
      <c r="I243">
        <f t="shared" si="20"/>
        <v>0</v>
      </c>
      <c r="J243">
        <f t="shared" si="20"/>
        <v>0</v>
      </c>
      <c r="K243">
        <f t="shared" si="20"/>
        <v>0</v>
      </c>
      <c r="M243" t="str" cm="1">
        <f t="array" ref="M243">IFERROR(INDEX($I$2:$K$2,0,MATCH(TRUE,I243:K243,0)),E243)</f>
        <v>CCGT</v>
      </c>
      <c r="O243" t="str">
        <f t="shared" si="17"/>
        <v>CCGT_2034</v>
      </c>
      <c r="P243">
        <f t="shared" si="18"/>
        <v>106</v>
      </c>
    </row>
    <row r="244" spans="4:16" x14ac:dyDescent="0.25">
      <c r="D244">
        <v>2035</v>
      </c>
      <c r="E244" t="s">
        <v>123</v>
      </c>
      <c r="F244" t="s">
        <v>157</v>
      </c>
      <c r="G244">
        <v>106</v>
      </c>
      <c r="I244">
        <f t="shared" ref="I244:K263" si="21">IFERROR(FIND(I$2,$E244,1)&gt;0,0)</f>
        <v>0</v>
      </c>
      <c r="J244">
        <f t="shared" si="21"/>
        <v>0</v>
      </c>
      <c r="K244">
        <f t="shared" si="21"/>
        <v>0</v>
      </c>
      <c r="M244" t="str" cm="1">
        <f t="array" ref="M244">IFERROR(INDEX($I$2:$K$2,0,MATCH(TRUE,I244:K244,0)),E244)</f>
        <v>CCGT</v>
      </c>
      <c r="O244" t="str">
        <f t="shared" si="17"/>
        <v>CCGT_2035</v>
      </c>
      <c r="P244">
        <f t="shared" si="18"/>
        <v>106</v>
      </c>
    </row>
    <row r="245" spans="4:16" x14ac:dyDescent="0.25">
      <c r="D245">
        <v>2036</v>
      </c>
      <c r="E245" t="s">
        <v>123</v>
      </c>
      <c r="F245" t="s">
        <v>157</v>
      </c>
      <c r="G245">
        <v>106</v>
      </c>
      <c r="I245">
        <f t="shared" si="21"/>
        <v>0</v>
      </c>
      <c r="J245">
        <f t="shared" si="21"/>
        <v>0</v>
      </c>
      <c r="K245">
        <f t="shared" si="21"/>
        <v>0</v>
      </c>
      <c r="M245" t="str" cm="1">
        <f t="array" ref="M245">IFERROR(INDEX($I$2:$K$2,0,MATCH(TRUE,I245:K245,0)),E245)</f>
        <v>CCGT</v>
      </c>
      <c r="O245" t="str">
        <f t="shared" si="17"/>
        <v>CCGT_2036</v>
      </c>
      <c r="P245">
        <f t="shared" si="18"/>
        <v>106</v>
      </c>
    </row>
    <row r="246" spans="4:16" x14ac:dyDescent="0.25">
      <c r="D246">
        <v>2037</v>
      </c>
      <c r="E246" t="s">
        <v>123</v>
      </c>
      <c r="F246" t="s">
        <v>157</v>
      </c>
      <c r="G246">
        <v>106</v>
      </c>
      <c r="I246">
        <f t="shared" si="21"/>
        <v>0</v>
      </c>
      <c r="J246">
        <f t="shared" si="21"/>
        <v>0</v>
      </c>
      <c r="K246">
        <f t="shared" si="21"/>
        <v>0</v>
      </c>
      <c r="M246" t="str" cm="1">
        <f t="array" ref="M246">IFERROR(INDEX($I$2:$K$2,0,MATCH(TRUE,I246:K246,0)),E246)</f>
        <v>CCGT</v>
      </c>
      <c r="O246" t="str">
        <f t="shared" si="17"/>
        <v>CCGT_2037</v>
      </c>
      <c r="P246">
        <f t="shared" si="18"/>
        <v>106</v>
      </c>
    </row>
    <row r="247" spans="4:16" x14ac:dyDescent="0.25">
      <c r="D247">
        <v>2038</v>
      </c>
      <c r="E247" t="s">
        <v>123</v>
      </c>
      <c r="F247" t="s">
        <v>157</v>
      </c>
      <c r="G247">
        <v>106</v>
      </c>
      <c r="I247">
        <f t="shared" si="21"/>
        <v>0</v>
      </c>
      <c r="J247">
        <f t="shared" si="21"/>
        <v>0</v>
      </c>
      <c r="K247">
        <f t="shared" si="21"/>
        <v>0</v>
      </c>
      <c r="M247" t="str" cm="1">
        <f t="array" ref="M247">IFERROR(INDEX($I$2:$K$2,0,MATCH(TRUE,I247:K247,0)),E247)</f>
        <v>CCGT</v>
      </c>
      <c r="O247" t="str">
        <f t="shared" si="17"/>
        <v>CCGT_2038</v>
      </c>
      <c r="P247">
        <f t="shared" si="18"/>
        <v>106</v>
      </c>
    </row>
    <row r="248" spans="4:16" x14ac:dyDescent="0.25">
      <c r="D248">
        <v>2039</v>
      </c>
      <c r="E248" t="s">
        <v>123</v>
      </c>
      <c r="F248" t="s">
        <v>157</v>
      </c>
      <c r="G248">
        <v>106</v>
      </c>
      <c r="I248">
        <f t="shared" si="21"/>
        <v>0</v>
      </c>
      <c r="J248">
        <f t="shared" si="21"/>
        <v>0</v>
      </c>
      <c r="K248">
        <f t="shared" si="21"/>
        <v>0</v>
      </c>
      <c r="M248" t="str" cm="1">
        <f t="array" ref="M248">IFERROR(INDEX($I$2:$K$2,0,MATCH(TRUE,I248:K248,0)),E248)</f>
        <v>CCGT</v>
      </c>
      <c r="O248" t="str">
        <f t="shared" si="17"/>
        <v>CCGT_2039</v>
      </c>
      <c r="P248">
        <f t="shared" si="18"/>
        <v>106</v>
      </c>
    </row>
    <row r="249" spans="4:16" x14ac:dyDescent="0.25">
      <c r="D249">
        <v>2040</v>
      </c>
      <c r="E249" t="s">
        <v>123</v>
      </c>
      <c r="F249" t="s">
        <v>157</v>
      </c>
      <c r="G249">
        <v>106</v>
      </c>
      <c r="I249">
        <f t="shared" si="21"/>
        <v>0</v>
      </c>
      <c r="J249">
        <f t="shared" si="21"/>
        <v>0</v>
      </c>
      <c r="K249">
        <f t="shared" si="21"/>
        <v>0</v>
      </c>
      <c r="M249" t="str" cm="1">
        <f t="array" ref="M249">IFERROR(INDEX($I$2:$K$2,0,MATCH(TRUE,I249:K249,0)),E249)</f>
        <v>CCGT</v>
      </c>
      <c r="O249" t="str">
        <f t="shared" si="17"/>
        <v>CCGT_2040</v>
      </c>
      <c r="P249">
        <f t="shared" si="18"/>
        <v>106</v>
      </c>
    </row>
    <row r="250" spans="4:16" x14ac:dyDescent="0.25">
      <c r="D250">
        <v>2021</v>
      </c>
      <c r="E250" t="s">
        <v>123</v>
      </c>
      <c r="F250" t="s">
        <v>158</v>
      </c>
      <c r="G250">
        <v>175</v>
      </c>
      <c r="I250">
        <f t="shared" si="21"/>
        <v>0</v>
      </c>
      <c r="J250">
        <f t="shared" si="21"/>
        <v>0</v>
      </c>
      <c r="K250">
        <f t="shared" si="21"/>
        <v>0</v>
      </c>
      <c r="M250" t="str" cm="1">
        <f t="array" ref="M250">IFERROR(INDEX($I$2:$K$2,0,MATCH(TRUE,I250:K250,0)),E250)</f>
        <v>CCGT</v>
      </c>
      <c r="O250" t="str">
        <f t="shared" si="17"/>
        <v>CCGT_2021</v>
      </c>
      <c r="P250">
        <f t="shared" si="18"/>
        <v>175</v>
      </c>
    </row>
    <row r="251" spans="4:16" x14ac:dyDescent="0.25">
      <c r="D251">
        <v>2022</v>
      </c>
      <c r="E251" t="s">
        <v>123</v>
      </c>
      <c r="F251" t="s">
        <v>158</v>
      </c>
      <c r="G251">
        <v>175</v>
      </c>
      <c r="I251">
        <f t="shared" si="21"/>
        <v>0</v>
      </c>
      <c r="J251">
        <f t="shared" si="21"/>
        <v>0</v>
      </c>
      <c r="K251">
        <f t="shared" si="21"/>
        <v>0</v>
      </c>
      <c r="M251" t="str" cm="1">
        <f t="array" ref="M251">IFERROR(INDEX($I$2:$K$2,0,MATCH(TRUE,I251:K251,0)),E251)</f>
        <v>CCGT</v>
      </c>
      <c r="O251" t="str">
        <f t="shared" si="17"/>
        <v>CCGT_2022</v>
      </c>
      <c r="P251">
        <f t="shared" si="18"/>
        <v>175</v>
      </c>
    </row>
    <row r="252" spans="4:16" x14ac:dyDescent="0.25">
      <c r="D252">
        <v>2023</v>
      </c>
      <c r="E252" t="s">
        <v>123</v>
      </c>
      <c r="F252" t="s">
        <v>158</v>
      </c>
      <c r="G252">
        <v>175</v>
      </c>
      <c r="I252">
        <f t="shared" si="21"/>
        <v>0</v>
      </c>
      <c r="J252">
        <f t="shared" si="21"/>
        <v>0</v>
      </c>
      <c r="K252">
        <f t="shared" si="21"/>
        <v>0</v>
      </c>
      <c r="M252" t="str" cm="1">
        <f t="array" ref="M252">IFERROR(INDEX($I$2:$K$2,0,MATCH(TRUE,I252:K252,0)),E252)</f>
        <v>CCGT</v>
      </c>
      <c r="O252" t="str">
        <f t="shared" si="17"/>
        <v>CCGT_2023</v>
      </c>
      <c r="P252">
        <f t="shared" si="18"/>
        <v>175</v>
      </c>
    </row>
    <row r="253" spans="4:16" x14ac:dyDescent="0.25">
      <c r="D253">
        <v>2024</v>
      </c>
      <c r="E253" t="s">
        <v>123</v>
      </c>
      <c r="F253" t="s">
        <v>158</v>
      </c>
      <c r="G253">
        <v>175</v>
      </c>
      <c r="I253">
        <f t="shared" si="21"/>
        <v>0</v>
      </c>
      <c r="J253">
        <f t="shared" si="21"/>
        <v>0</v>
      </c>
      <c r="K253">
        <f t="shared" si="21"/>
        <v>0</v>
      </c>
      <c r="M253" t="str" cm="1">
        <f t="array" ref="M253">IFERROR(INDEX($I$2:$K$2,0,MATCH(TRUE,I253:K253,0)),E253)</f>
        <v>CCGT</v>
      </c>
      <c r="O253" t="str">
        <f t="shared" si="17"/>
        <v>CCGT_2024</v>
      </c>
      <c r="P253">
        <f t="shared" si="18"/>
        <v>175</v>
      </c>
    </row>
    <row r="254" spans="4:16" x14ac:dyDescent="0.25">
      <c r="D254">
        <v>2025</v>
      </c>
      <c r="E254" t="s">
        <v>123</v>
      </c>
      <c r="F254" t="s">
        <v>158</v>
      </c>
      <c r="G254">
        <v>175</v>
      </c>
      <c r="I254">
        <f t="shared" si="21"/>
        <v>0</v>
      </c>
      <c r="J254">
        <f t="shared" si="21"/>
        <v>0</v>
      </c>
      <c r="K254">
        <f t="shared" si="21"/>
        <v>0</v>
      </c>
      <c r="M254" t="str" cm="1">
        <f t="array" ref="M254">IFERROR(INDEX($I$2:$K$2,0,MATCH(TRUE,I254:K254,0)),E254)</f>
        <v>CCGT</v>
      </c>
      <c r="O254" t="str">
        <f t="shared" si="17"/>
        <v>CCGT_2025</v>
      </c>
      <c r="P254">
        <f t="shared" si="18"/>
        <v>175</v>
      </c>
    </row>
    <row r="255" spans="4:16" x14ac:dyDescent="0.25">
      <c r="D255">
        <v>2026</v>
      </c>
      <c r="E255" t="s">
        <v>123</v>
      </c>
      <c r="F255" t="s">
        <v>158</v>
      </c>
      <c r="G255">
        <v>175</v>
      </c>
      <c r="I255">
        <f t="shared" si="21"/>
        <v>0</v>
      </c>
      <c r="J255">
        <f t="shared" si="21"/>
        <v>0</v>
      </c>
      <c r="K255">
        <f t="shared" si="21"/>
        <v>0</v>
      </c>
      <c r="M255" t="str" cm="1">
        <f t="array" ref="M255">IFERROR(INDEX($I$2:$K$2,0,MATCH(TRUE,I255:K255,0)),E255)</f>
        <v>CCGT</v>
      </c>
      <c r="O255" t="str">
        <f t="shared" si="17"/>
        <v>CCGT_2026</v>
      </c>
      <c r="P255">
        <f t="shared" si="18"/>
        <v>175</v>
      </c>
    </row>
    <row r="256" spans="4:16" x14ac:dyDescent="0.25">
      <c r="D256">
        <v>2027</v>
      </c>
      <c r="E256" t="s">
        <v>123</v>
      </c>
      <c r="F256" t="s">
        <v>158</v>
      </c>
      <c r="G256">
        <v>175</v>
      </c>
      <c r="I256">
        <f t="shared" si="21"/>
        <v>0</v>
      </c>
      <c r="J256">
        <f t="shared" si="21"/>
        <v>0</v>
      </c>
      <c r="K256">
        <f t="shared" si="21"/>
        <v>0</v>
      </c>
      <c r="M256" t="str" cm="1">
        <f t="array" ref="M256">IFERROR(INDEX($I$2:$K$2,0,MATCH(TRUE,I256:K256,0)),E256)</f>
        <v>CCGT</v>
      </c>
      <c r="O256" t="str">
        <f t="shared" si="17"/>
        <v>CCGT_2027</v>
      </c>
      <c r="P256">
        <f t="shared" si="18"/>
        <v>175</v>
      </c>
    </row>
    <row r="257" spans="4:16" x14ac:dyDescent="0.25">
      <c r="D257">
        <v>2028</v>
      </c>
      <c r="E257" t="s">
        <v>123</v>
      </c>
      <c r="F257" t="s">
        <v>158</v>
      </c>
      <c r="G257">
        <v>175</v>
      </c>
      <c r="I257">
        <f t="shared" si="21"/>
        <v>0</v>
      </c>
      <c r="J257">
        <f t="shared" si="21"/>
        <v>0</v>
      </c>
      <c r="K257">
        <f t="shared" si="21"/>
        <v>0</v>
      </c>
      <c r="M257" t="str" cm="1">
        <f t="array" ref="M257">IFERROR(INDEX($I$2:$K$2,0,MATCH(TRUE,I257:K257,0)),E257)</f>
        <v>CCGT</v>
      </c>
      <c r="O257" t="str">
        <f t="shared" si="17"/>
        <v>CCGT_2028</v>
      </c>
      <c r="P257">
        <f t="shared" si="18"/>
        <v>175</v>
      </c>
    </row>
    <row r="258" spans="4:16" x14ac:dyDescent="0.25">
      <c r="D258">
        <v>2029</v>
      </c>
      <c r="E258" t="s">
        <v>123</v>
      </c>
      <c r="F258" t="s">
        <v>158</v>
      </c>
      <c r="G258">
        <v>175</v>
      </c>
      <c r="I258">
        <f t="shared" si="21"/>
        <v>0</v>
      </c>
      <c r="J258">
        <f t="shared" si="21"/>
        <v>0</v>
      </c>
      <c r="K258">
        <f t="shared" si="21"/>
        <v>0</v>
      </c>
      <c r="M258" t="str" cm="1">
        <f t="array" ref="M258">IFERROR(INDEX($I$2:$K$2,0,MATCH(TRUE,I258:K258,0)),E258)</f>
        <v>CCGT</v>
      </c>
      <c r="O258" t="str">
        <f t="shared" si="17"/>
        <v>CCGT_2029</v>
      </c>
      <c r="P258">
        <f t="shared" si="18"/>
        <v>175</v>
      </c>
    </row>
    <row r="259" spans="4:16" x14ac:dyDescent="0.25">
      <c r="D259">
        <v>2030</v>
      </c>
      <c r="E259" t="s">
        <v>123</v>
      </c>
      <c r="F259" t="s">
        <v>158</v>
      </c>
      <c r="G259">
        <v>175</v>
      </c>
      <c r="I259">
        <f t="shared" si="21"/>
        <v>0</v>
      </c>
      <c r="J259">
        <f t="shared" si="21"/>
        <v>0</v>
      </c>
      <c r="K259">
        <f t="shared" si="21"/>
        <v>0</v>
      </c>
      <c r="M259" t="str" cm="1">
        <f t="array" ref="M259">IFERROR(INDEX($I$2:$K$2,0,MATCH(TRUE,I259:K259,0)),E259)</f>
        <v>CCGT</v>
      </c>
      <c r="O259" t="str">
        <f t="shared" si="17"/>
        <v>CCGT_2030</v>
      </c>
      <c r="P259">
        <f t="shared" si="18"/>
        <v>175</v>
      </c>
    </row>
    <row r="260" spans="4:16" x14ac:dyDescent="0.25">
      <c r="D260">
        <v>2031</v>
      </c>
      <c r="E260" t="s">
        <v>123</v>
      </c>
      <c r="F260" t="s">
        <v>158</v>
      </c>
      <c r="G260">
        <v>175</v>
      </c>
      <c r="I260">
        <f t="shared" si="21"/>
        <v>0</v>
      </c>
      <c r="J260">
        <f t="shared" si="21"/>
        <v>0</v>
      </c>
      <c r="K260">
        <f t="shared" si="21"/>
        <v>0</v>
      </c>
      <c r="M260" t="str" cm="1">
        <f t="array" ref="M260">IFERROR(INDEX($I$2:$K$2,0,MATCH(TRUE,I260:K260,0)),E260)</f>
        <v>CCGT</v>
      </c>
      <c r="O260" t="str">
        <f t="shared" ref="O260:O323" si="22">M260&amp;"_"&amp;D260</f>
        <v>CCGT_2031</v>
      </c>
      <c r="P260">
        <f t="shared" ref="P260:P323" si="23">G260</f>
        <v>175</v>
      </c>
    </row>
    <row r="261" spans="4:16" x14ac:dyDescent="0.25">
      <c r="D261">
        <v>2032</v>
      </c>
      <c r="E261" t="s">
        <v>123</v>
      </c>
      <c r="F261" t="s">
        <v>158</v>
      </c>
      <c r="G261">
        <v>175</v>
      </c>
      <c r="I261">
        <f t="shared" si="21"/>
        <v>0</v>
      </c>
      <c r="J261">
        <f t="shared" si="21"/>
        <v>0</v>
      </c>
      <c r="K261">
        <f t="shared" si="21"/>
        <v>0</v>
      </c>
      <c r="M261" t="str" cm="1">
        <f t="array" ref="M261">IFERROR(INDEX($I$2:$K$2,0,MATCH(TRUE,I261:K261,0)),E261)</f>
        <v>CCGT</v>
      </c>
      <c r="O261" t="str">
        <f t="shared" si="22"/>
        <v>CCGT_2032</v>
      </c>
      <c r="P261">
        <f t="shared" si="23"/>
        <v>175</v>
      </c>
    </row>
    <row r="262" spans="4:16" x14ac:dyDescent="0.25">
      <c r="D262">
        <v>2033</v>
      </c>
      <c r="E262" t="s">
        <v>123</v>
      </c>
      <c r="F262" t="s">
        <v>158</v>
      </c>
      <c r="G262">
        <v>175</v>
      </c>
      <c r="I262">
        <f t="shared" si="21"/>
        <v>0</v>
      </c>
      <c r="J262">
        <f t="shared" si="21"/>
        <v>0</v>
      </c>
      <c r="K262">
        <f t="shared" si="21"/>
        <v>0</v>
      </c>
      <c r="M262" t="str" cm="1">
        <f t="array" ref="M262">IFERROR(INDEX($I$2:$K$2,0,MATCH(TRUE,I262:K262,0)),E262)</f>
        <v>CCGT</v>
      </c>
      <c r="O262" t="str">
        <f t="shared" si="22"/>
        <v>CCGT_2033</v>
      </c>
      <c r="P262">
        <f t="shared" si="23"/>
        <v>175</v>
      </c>
    </row>
    <row r="263" spans="4:16" x14ac:dyDescent="0.25">
      <c r="D263">
        <v>2034</v>
      </c>
      <c r="E263" t="s">
        <v>123</v>
      </c>
      <c r="F263" t="s">
        <v>158</v>
      </c>
      <c r="G263">
        <v>175</v>
      </c>
      <c r="I263">
        <f t="shared" si="21"/>
        <v>0</v>
      </c>
      <c r="J263">
        <f t="shared" si="21"/>
        <v>0</v>
      </c>
      <c r="K263">
        <f t="shared" si="21"/>
        <v>0</v>
      </c>
      <c r="M263" t="str" cm="1">
        <f t="array" ref="M263">IFERROR(INDEX($I$2:$K$2,0,MATCH(TRUE,I263:K263,0)),E263)</f>
        <v>CCGT</v>
      </c>
      <c r="O263" t="str">
        <f t="shared" si="22"/>
        <v>CCGT_2034</v>
      </c>
      <c r="P263">
        <f t="shared" si="23"/>
        <v>175</v>
      </c>
    </row>
    <row r="264" spans="4:16" x14ac:dyDescent="0.25">
      <c r="D264">
        <v>2035</v>
      </c>
      <c r="E264" t="s">
        <v>123</v>
      </c>
      <c r="F264" t="s">
        <v>158</v>
      </c>
      <c r="G264">
        <v>175</v>
      </c>
      <c r="I264">
        <f t="shared" ref="I264:K283" si="24">IFERROR(FIND(I$2,$E264,1)&gt;0,0)</f>
        <v>0</v>
      </c>
      <c r="J264">
        <f t="shared" si="24"/>
        <v>0</v>
      </c>
      <c r="K264">
        <f t="shared" si="24"/>
        <v>0</v>
      </c>
      <c r="M264" t="str" cm="1">
        <f t="array" ref="M264">IFERROR(INDEX($I$2:$K$2,0,MATCH(TRUE,I264:K264,0)),E264)</f>
        <v>CCGT</v>
      </c>
      <c r="O264" t="str">
        <f t="shared" si="22"/>
        <v>CCGT_2035</v>
      </c>
      <c r="P264">
        <f t="shared" si="23"/>
        <v>175</v>
      </c>
    </row>
    <row r="265" spans="4:16" x14ac:dyDescent="0.25">
      <c r="D265">
        <v>2036</v>
      </c>
      <c r="E265" t="s">
        <v>123</v>
      </c>
      <c r="F265" t="s">
        <v>158</v>
      </c>
      <c r="G265">
        <v>175</v>
      </c>
      <c r="I265">
        <f t="shared" si="24"/>
        <v>0</v>
      </c>
      <c r="J265">
        <f t="shared" si="24"/>
        <v>0</v>
      </c>
      <c r="K265">
        <f t="shared" si="24"/>
        <v>0</v>
      </c>
      <c r="M265" t="str" cm="1">
        <f t="array" ref="M265">IFERROR(INDEX($I$2:$K$2,0,MATCH(TRUE,I265:K265,0)),E265)</f>
        <v>CCGT</v>
      </c>
      <c r="O265" t="str">
        <f t="shared" si="22"/>
        <v>CCGT_2036</v>
      </c>
      <c r="P265">
        <f t="shared" si="23"/>
        <v>175</v>
      </c>
    </row>
    <row r="266" spans="4:16" x14ac:dyDescent="0.25">
      <c r="D266">
        <v>2037</v>
      </c>
      <c r="E266" t="s">
        <v>123</v>
      </c>
      <c r="F266" t="s">
        <v>158</v>
      </c>
      <c r="G266">
        <v>175</v>
      </c>
      <c r="I266">
        <f t="shared" si="24"/>
        <v>0</v>
      </c>
      <c r="J266">
        <f t="shared" si="24"/>
        <v>0</v>
      </c>
      <c r="K266">
        <f t="shared" si="24"/>
        <v>0</v>
      </c>
      <c r="M266" t="str" cm="1">
        <f t="array" ref="M266">IFERROR(INDEX($I$2:$K$2,0,MATCH(TRUE,I266:K266,0)),E266)</f>
        <v>CCGT</v>
      </c>
      <c r="O266" t="str">
        <f t="shared" si="22"/>
        <v>CCGT_2037</v>
      </c>
      <c r="P266">
        <f t="shared" si="23"/>
        <v>175</v>
      </c>
    </row>
    <row r="267" spans="4:16" x14ac:dyDescent="0.25">
      <c r="D267">
        <v>2038</v>
      </c>
      <c r="E267" t="s">
        <v>123</v>
      </c>
      <c r="F267" t="s">
        <v>158</v>
      </c>
      <c r="G267">
        <v>175</v>
      </c>
      <c r="I267">
        <f t="shared" si="24"/>
        <v>0</v>
      </c>
      <c r="J267">
        <f t="shared" si="24"/>
        <v>0</v>
      </c>
      <c r="K267">
        <f t="shared" si="24"/>
        <v>0</v>
      </c>
      <c r="M267" t="str" cm="1">
        <f t="array" ref="M267">IFERROR(INDEX($I$2:$K$2,0,MATCH(TRUE,I267:K267,0)),E267)</f>
        <v>CCGT</v>
      </c>
      <c r="O267" t="str">
        <f t="shared" si="22"/>
        <v>CCGT_2038</v>
      </c>
      <c r="P267">
        <f t="shared" si="23"/>
        <v>175</v>
      </c>
    </row>
    <row r="268" spans="4:16" x14ac:dyDescent="0.25">
      <c r="D268">
        <v>2039</v>
      </c>
      <c r="E268" t="s">
        <v>123</v>
      </c>
      <c r="F268" t="s">
        <v>158</v>
      </c>
      <c r="G268">
        <v>175</v>
      </c>
      <c r="I268">
        <f t="shared" si="24"/>
        <v>0</v>
      </c>
      <c r="J268">
        <f t="shared" si="24"/>
        <v>0</v>
      </c>
      <c r="K268">
        <f t="shared" si="24"/>
        <v>0</v>
      </c>
      <c r="M268" t="str" cm="1">
        <f t="array" ref="M268">IFERROR(INDEX($I$2:$K$2,0,MATCH(TRUE,I268:K268,0)),E268)</f>
        <v>CCGT</v>
      </c>
      <c r="O268" t="str">
        <f t="shared" si="22"/>
        <v>CCGT_2039</v>
      </c>
      <c r="P268">
        <f t="shared" si="23"/>
        <v>175</v>
      </c>
    </row>
    <row r="269" spans="4:16" x14ac:dyDescent="0.25">
      <c r="D269">
        <v>2040</v>
      </c>
      <c r="E269" t="s">
        <v>123</v>
      </c>
      <c r="F269" t="s">
        <v>158</v>
      </c>
      <c r="G269">
        <v>175</v>
      </c>
      <c r="I269">
        <f t="shared" si="24"/>
        <v>0</v>
      </c>
      <c r="J269">
        <f t="shared" si="24"/>
        <v>0</v>
      </c>
      <c r="K269">
        <f t="shared" si="24"/>
        <v>0</v>
      </c>
      <c r="M269" t="str" cm="1">
        <f t="array" ref="M269">IFERROR(INDEX($I$2:$K$2,0,MATCH(TRUE,I269:K269,0)),E269)</f>
        <v>CCGT</v>
      </c>
      <c r="O269" t="str">
        <f t="shared" si="22"/>
        <v>CCGT_2040</v>
      </c>
      <c r="P269">
        <f t="shared" si="23"/>
        <v>175</v>
      </c>
    </row>
    <row r="270" spans="4:16" x14ac:dyDescent="0.25">
      <c r="D270">
        <v>2021</v>
      </c>
      <c r="E270" t="s">
        <v>123</v>
      </c>
      <c r="F270" t="s">
        <v>159</v>
      </c>
      <c r="G270">
        <v>788</v>
      </c>
      <c r="I270">
        <f t="shared" si="24"/>
        <v>0</v>
      </c>
      <c r="J270">
        <f t="shared" si="24"/>
        <v>0</v>
      </c>
      <c r="K270">
        <f t="shared" si="24"/>
        <v>0</v>
      </c>
      <c r="M270" t="str" cm="1">
        <f t="array" ref="M270">IFERROR(INDEX($I$2:$K$2,0,MATCH(TRUE,I270:K270,0)),E270)</f>
        <v>CCGT</v>
      </c>
      <c r="O270" t="str">
        <f t="shared" si="22"/>
        <v>CCGT_2021</v>
      </c>
      <c r="P270">
        <f t="shared" si="23"/>
        <v>788</v>
      </c>
    </row>
    <row r="271" spans="4:16" x14ac:dyDescent="0.25">
      <c r="D271">
        <v>2022</v>
      </c>
      <c r="E271" t="s">
        <v>123</v>
      </c>
      <c r="F271" t="s">
        <v>159</v>
      </c>
      <c r="G271">
        <v>788</v>
      </c>
      <c r="I271">
        <f t="shared" si="24"/>
        <v>0</v>
      </c>
      <c r="J271">
        <f t="shared" si="24"/>
        <v>0</v>
      </c>
      <c r="K271">
        <f t="shared" si="24"/>
        <v>0</v>
      </c>
      <c r="M271" t="str" cm="1">
        <f t="array" ref="M271">IFERROR(INDEX($I$2:$K$2,0,MATCH(TRUE,I271:K271,0)),E271)</f>
        <v>CCGT</v>
      </c>
      <c r="O271" t="str">
        <f t="shared" si="22"/>
        <v>CCGT_2022</v>
      </c>
      <c r="P271">
        <f t="shared" si="23"/>
        <v>788</v>
      </c>
    </row>
    <row r="272" spans="4:16" x14ac:dyDescent="0.25">
      <c r="D272">
        <v>2023</v>
      </c>
      <c r="E272" t="s">
        <v>123</v>
      </c>
      <c r="F272" t="s">
        <v>159</v>
      </c>
      <c r="G272">
        <v>788</v>
      </c>
      <c r="I272">
        <f t="shared" si="24"/>
        <v>0</v>
      </c>
      <c r="J272">
        <f t="shared" si="24"/>
        <v>0</v>
      </c>
      <c r="K272">
        <f t="shared" si="24"/>
        <v>0</v>
      </c>
      <c r="M272" t="str" cm="1">
        <f t="array" ref="M272">IFERROR(INDEX($I$2:$K$2,0,MATCH(TRUE,I272:K272,0)),E272)</f>
        <v>CCGT</v>
      </c>
      <c r="O272" t="str">
        <f t="shared" si="22"/>
        <v>CCGT_2023</v>
      </c>
      <c r="P272">
        <f t="shared" si="23"/>
        <v>788</v>
      </c>
    </row>
    <row r="273" spans="4:16" x14ac:dyDescent="0.25">
      <c r="D273">
        <v>2024</v>
      </c>
      <c r="E273" t="s">
        <v>123</v>
      </c>
      <c r="F273" t="s">
        <v>159</v>
      </c>
      <c r="G273">
        <v>788</v>
      </c>
      <c r="I273">
        <f t="shared" si="24"/>
        <v>0</v>
      </c>
      <c r="J273">
        <f t="shared" si="24"/>
        <v>0</v>
      </c>
      <c r="K273">
        <f t="shared" si="24"/>
        <v>0</v>
      </c>
      <c r="M273" t="str" cm="1">
        <f t="array" ref="M273">IFERROR(INDEX($I$2:$K$2,0,MATCH(TRUE,I273:K273,0)),E273)</f>
        <v>CCGT</v>
      </c>
      <c r="O273" t="str">
        <f t="shared" si="22"/>
        <v>CCGT_2024</v>
      </c>
      <c r="P273">
        <f t="shared" si="23"/>
        <v>788</v>
      </c>
    </row>
    <row r="274" spans="4:16" x14ac:dyDescent="0.25">
      <c r="D274">
        <v>2025</v>
      </c>
      <c r="E274" t="s">
        <v>123</v>
      </c>
      <c r="F274" t="s">
        <v>159</v>
      </c>
      <c r="G274">
        <v>788</v>
      </c>
      <c r="I274">
        <f t="shared" si="24"/>
        <v>0</v>
      </c>
      <c r="J274">
        <f t="shared" si="24"/>
        <v>0</v>
      </c>
      <c r="K274">
        <f t="shared" si="24"/>
        <v>0</v>
      </c>
      <c r="M274" t="str" cm="1">
        <f t="array" ref="M274">IFERROR(INDEX($I$2:$K$2,0,MATCH(TRUE,I274:K274,0)),E274)</f>
        <v>CCGT</v>
      </c>
      <c r="O274" t="str">
        <f t="shared" si="22"/>
        <v>CCGT_2025</v>
      </c>
      <c r="P274">
        <f t="shared" si="23"/>
        <v>788</v>
      </c>
    </row>
    <row r="275" spans="4:16" x14ac:dyDescent="0.25">
      <c r="D275">
        <v>2026</v>
      </c>
      <c r="E275" t="s">
        <v>123</v>
      </c>
      <c r="F275" t="s">
        <v>159</v>
      </c>
      <c r="G275">
        <v>788</v>
      </c>
      <c r="I275">
        <f t="shared" si="24"/>
        <v>0</v>
      </c>
      <c r="J275">
        <f t="shared" si="24"/>
        <v>0</v>
      </c>
      <c r="K275">
        <f t="shared" si="24"/>
        <v>0</v>
      </c>
      <c r="M275" t="str" cm="1">
        <f t="array" ref="M275">IFERROR(INDEX($I$2:$K$2,0,MATCH(TRUE,I275:K275,0)),E275)</f>
        <v>CCGT</v>
      </c>
      <c r="O275" t="str">
        <f t="shared" si="22"/>
        <v>CCGT_2026</v>
      </c>
      <c r="P275">
        <f t="shared" si="23"/>
        <v>788</v>
      </c>
    </row>
    <row r="276" spans="4:16" x14ac:dyDescent="0.25">
      <c r="D276">
        <v>2027</v>
      </c>
      <c r="E276" t="s">
        <v>123</v>
      </c>
      <c r="F276" t="s">
        <v>159</v>
      </c>
      <c r="G276">
        <v>788</v>
      </c>
      <c r="I276">
        <f t="shared" si="24"/>
        <v>0</v>
      </c>
      <c r="J276">
        <f t="shared" si="24"/>
        <v>0</v>
      </c>
      <c r="K276">
        <f t="shared" si="24"/>
        <v>0</v>
      </c>
      <c r="M276" t="str" cm="1">
        <f t="array" ref="M276">IFERROR(INDEX($I$2:$K$2,0,MATCH(TRUE,I276:K276,0)),E276)</f>
        <v>CCGT</v>
      </c>
      <c r="O276" t="str">
        <f t="shared" si="22"/>
        <v>CCGT_2027</v>
      </c>
      <c r="P276">
        <f t="shared" si="23"/>
        <v>788</v>
      </c>
    </row>
    <row r="277" spans="4:16" x14ac:dyDescent="0.25">
      <c r="D277">
        <v>2028</v>
      </c>
      <c r="E277" t="s">
        <v>123</v>
      </c>
      <c r="F277" t="s">
        <v>159</v>
      </c>
      <c r="G277">
        <v>788</v>
      </c>
      <c r="I277">
        <f t="shared" si="24"/>
        <v>0</v>
      </c>
      <c r="J277">
        <f t="shared" si="24"/>
        <v>0</v>
      </c>
      <c r="K277">
        <f t="shared" si="24"/>
        <v>0</v>
      </c>
      <c r="M277" t="str" cm="1">
        <f t="array" ref="M277">IFERROR(INDEX($I$2:$K$2,0,MATCH(TRUE,I277:K277,0)),E277)</f>
        <v>CCGT</v>
      </c>
      <c r="O277" t="str">
        <f t="shared" si="22"/>
        <v>CCGT_2028</v>
      </c>
      <c r="P277">
        <f t="shared" si="23"/>
        <v>788</v>
      </c>
    </row>
    <row r="278" spans="4:16" x14ac:dyDescent="0.25">
      <c r="D278">
        <v>2029</v>
      </c>
      <c r="E278" t="s">
        <v>123</v>
      </c>
      <c r="F278" t="s">
        <v>159</v>
      </c>
      <c r="G278">
        <v>788</v>
      </c>
      <c r="I278">
        <f t="shared" si="24"/>
        <v>0</v>
      </c>
      <c r="J278">
        <f t="shared" si="24"/>
        <v>0</v>
      </c>
      <c r="K278">
        <f t="shared" si="24"/>
        <v>0</v>
      </c>
      <c r="M278" t="str" cm="1">
        <f t="array" ref="M278">IFERROR(INDEX($I$2:$K$2,0,MATCH(TRUE,I278:K278,0)),E278)</f>
        <v>CCGT</v>
      </c>
      <c r="O278" t="str">
        <f t="shared" si="22"/>
        <v>CCGT_2029</v>
      </c>
      <c r="P278">
        <f t="shared" si="23"/>
        <v>788</v>
      </c>
    </row>
    <row r="279" spans="4:16" x14ac:dyDescent="0.25">
      <c r="D279">
        <v>2030</v>
      </c>
      <c r="E279" t="s">
        <v>123</v>
      </c>
      <c r="F279" t="s">
        <v>159</v>
      </c>
      <c r="G279">
        <v>788</v>
      </c>
      <c r="I279">
        <f t="shared" si="24"/>
        <v>0</v>
      </c>
      <c r="J279">
        <f t="shared" si="24"/>
        <v>0</v>
      </c>
      <c r="K279">
        <f t="shared" si="24"/>
        <v>0</v>
      </c>
      <c r="M279" t="str" cm="1">
        <f t="array" ref="M279">IFERROR(INDEX($I$2:$K$2,0,MATCH(TRUE,I279:K279,0)),E279)</f>
        <v>CCGT</v>
      </c>
      <c r="O279" t="str">
        <f t="shared" si="22"/>
        <v>CCGT_2030</v>
      </c>
      <c r="P279">
        <f t="shared" si="23"/>
        <v>788</v>
      </c>
    </row>
    <row r="280" spans="4:16" x14ac:dyDescent="0.25">
      <c r="D280">
        <v>2031</v>
      </c>
      <c r="E280" t="s">
        <v>123</v>
      </c>
      <c r="F280" t="s">
        <v>159</v>
      </c>
      <c r="G280">
        <v>788</v>
      </c>
      <c r="I280">
        <f t="shared" si="24"/>
        <v>0</v>
      </c>
      <c r="J280">
        <f t="shared" si="24"/>
        <v>0</v>
      </c>
      <c r="K280">
        <f t="shared" si="24"/>
        <v>0</v>
      </c>
      <c r="M280" t="str" cm="1">
        <f t="array" ref="M280">IFERROR(INDEX($I$2:$K$2,0,MATCH(TRUE,I280:K280,0)),E280)</f>
        <v>CCGT</v>
      </c>
      <c r="O280" t="str">
        <f t="shared" si="22"/>
        <v>CCGT_2031</v>
      </c>
      <c r="P280">
        <f t="shared" si="23"/>
        <v>788</v>
      </c>
    </row>
    <row r="281" spans="4:16" x14ac:dyDescent="0.25">
      <c r="D281">
        <v>2032</v>
      </c>
      <c r="E281" t="s">
        <v>123</v>
      </c>
      <c r="F281" t="s">
        <v>159</v>
      </c>
      <c r="G281">
        <v>788</v>
      </c>
      <c r="I281">
        <f t="shared" si="24"/>
        <v>0</v>
      </c>
      <c r="J281">
        <f t="shared" si="24"/>
        <v>0</v>
      </c>
      <c r="K281">
        <f t="shared" si="24"/>
        <v>0</v>
      </c>
      <c r="M281" t="str" cm="1">
        <f t="array" ref="M281">IFERROR(INDEX($I$2:$K$2,0,MATCH(TRUE,I281:K281,0)),E281)</f>
        <v>CCGT</v>
      </c>
      <c r="O281" t="str">
        <f t="shared" si="22"/>
        <v>CCGT_2032</v>
      </c>
      <c r="P281">
        <f t="shared" si="23"/>
        <v>788</v>
      </c>
    </row>
    <row r="282" spans="4:16" x14ac:dyDescent="0.25">
      <c r="D282">
        <v>2033</v>
      </c>
      <c r="E282" t="s">
        <v>123</v>
      </c>
      <c r="F282" t="s">
        <v>159</v>
      </c>
      <c r="G282">
        <v>788</v>
      </c>
      <c r="I282">
        <f t="shared" si="24"/>
        <v>0</v>
      </c>
      <c r="J282">
        <f t="shared" si="24"/>
        <v>0</v>
      </c>
      <c r="K282">
        <f t="shared" si="24"/>
        <v>0</v>
      </c>
      <c r="M282" t="str" cm="1">
        <f t="array" ref="M282">IFERROR(INDEX($I$2:$K$2,0,MATCH(TRUE,I282:K282,0)),E282)</f>
        <v>CCGT</v>
      </c>
      <c r="O282" t="str">
        <f t="shared" si="22"/>
        <v>CCGT_2033</v>
      </c>
      <c r="P282">
        <f t="shared" si="23"/>
        <v>788</v>
      </c>
    </row>
    <row r="283" spans="4:16" x14ac:dyDescent="0.25">
      <c r="D283">
        <v>2034</v>
      </c>
      <c r="E283" t="s">
        <v>123</v>
      </c>
      <c r="F283" t="s">
        <v>159</v>
      </c>
      <c r="G283">
        <v>788</v>
      </c>
      <c r="I283">
        <f t="shared" si="24"/>
        <v>0</v>
      </c>
      <c r="J283">
        <f t="shared" si="24"/>
        <v>0</v>
      </c>
      <c r="K283">
        <f t="shared" si="24"/>
        <v>0</v>
      </c>
      <c r="M283" t="str" cm="1">
        <f t="array" ref="M283">IFERROR(INDEX($I$2:$K$2,0,MATCH(TRUE,I283:K283,0)),E283)</f>
        <v>CCGT</v>
      </c>
      <c r="O283" t="str">
        <f t="shared" si="22"/>
        <v>CCGT_2034</v>
      </c>
      <c r="P283">
        <f t="shared" si="23"/>
        <v>788</v>
      </c>
    </row>
    <row r="284" spans="4:16" x14ac:dyDescent="0.25">
      <c r="D284">
        <v>2035</v>
      </c>
      <c r="E284" t="s">
        <v>123</v>
      </c>
      <c r="F284" t="s">
        <v>159</v>
      </c>
      <c r="G284">
        <v>788</v>
      </c>
      <c r="I284">
        <f t="shared" ref="I284:K303" si="25">IFERROR(FIND(I$2,$E284,1)&gt;0,0)</f>
        <v>0</v>
      </c>
      <c r="J284">
        <f t="shared" si="25"/>
        <v>0</v>
      </c>
      <c r="K284">
        <f t="shared" si="25"/>
        <v>0</v>
      </c>
      <c r="M284" t="str" cm="1">
        <f t="array" ref="M284">IFERROR(INDEX($I$2:$K$2,0,MATCH(TRUE,I284:K284,0)),E284)</f>
        <v>CCGT</v>
      </c>
      <c r="O284" t="str">
        <f t="shared" si="22"/>
        <v>CCGT_2035</v>
      </c>
      <c r="P284">
        <f t="shared" si="23"/>
        <v>788</v>
      </c>
    </row>
    <row r="285" spans="4:16" x14ac:dyDescent="0.25">
      <c r="D285">
        <v>2036</v>
      </c>
      <c r="E285" t="s">
        <v>123</v>
      </c>
      <c r="F285" t="s">
        <v>159</v>
      </c>
      <c r="G285">
        <v>788</v>
      </c>
      <c r="I285">
        <f t="shared" si="25"/>
        <v>0</v>
      </c>
      <c r="J285">
        <f t="shared" si="25"/>
        <v>0</v>
      </c>
      <c r="K285">
        <f t="shared" si="25"/>
        <v>0</v>
      </c>
      <c r="M285" t="str" cm="1">
        <f t="array" ref="M285">IFERROR(INDEX($I$2:$K$2,0,MATCH(TRUE,I285:K285,0)),E285)</f>
        <v>CCGT</v>
      </c>
      <c r="O285" t="str">
        <f t="shared" si="22"/>
        <v>CCGT_2036</v>
      </c>
      <c r="P285">
        <f t="shared" si="23"/>
        <v>788</v>
      </c>
    </row>
    <row r="286" spans="4:16" x14ac:dyDescent="0.25">
      <c r="D286">
        <v>2037</v>
      </c>
      <c r="E286" t="s">
        <v>123</v>
      </c>
      <c r="F286" t="s">
        <v>159</v>
      </c>
      <c r="G286">
        <v>788</v>
      </c>
      <c r="I286">
        <f t="shared" si="25"/>
        <v>0</v>
      </c>
      <c r="J286">
        <f t="shared" si="25"/>
        <v>0</v>
      </c>
      <c r="K286">
        <f t="shared" si="25"/>
        <v>0</v>
      </c>
      <c r="M286" t="str" cm="1">
        <f t="array" ref="M286">IFERROR(INDEX($I$2:$K$2,0,MATCH(TRUE,I286:K286,0)),E286)</f>
        <v>CCGT</v>
      </c>
      <c r="O286" t="str">
        <f t="shared" si="22"/>
        <v>CCGT_2037</v>
      </c>
      <c r="P286">
        <f t="shared" si="23"/>
        <v>788</v>
      </c>
    </row>
    <row r="287" spans="4:16" x14ac:dyDescent="0.25">
      <c r="D287">
        <v>2038</v>
      </c>
      <c r="E287" t="s">
        <v>123</v>
      </c>
      <c r="F287" t="s">
        <v>159</v>
      </c>
      <c r="G287">
        <v>788</v>
      </c>
      <c r="I287">
        <f t="shared" si="25"/>
        <v>0</v>
      </c>
      <c r="J287">
        <f t="shared" si="25"/>
        <v>0</v>
      </c>
      <c r="K287">
        <f t="shared" si="25"/>
        <v>0</v>
      </c>
      <c r="M287" t="str" cm="1">
        <f t="array" ref="M287">IFERROR(INDEX($I$2:$K$2,0,MATCH(TRUE,I287:K287,0)),E287)</f>
        <v>CCGT</v>
      </c>
      <c r="O287" t="str">
        <f t="shared" si="22"/>
        <v>CCGT_2038</v>
      </c>
      <c r="P287">
        <f t="shared" si="23"/>
        <v>788</v>
      </c>
    </row>
    <row r="288" spans="4:16" x14ac:dyDescent="0.25">
      <c r="D288">
        <v>2039</v>
      </c>
      <c r="E288" t="s">
        <v>123</v>
      </c>
      <c r="F288" t="s">
        <v>159</v>
      </c>
      <c r="G288">
        <v>788</v>
      </c>
      <c r="I288">
        <f t="shared" si="25"/>
        <v>0</v>
      </c>
      <c r="J288">
        <f t="shared" si="25"/>
        <v>0</v>
      </c>
      <c r="K288">
        <f t="shared" si="25"/>
        <v>0</v>
      </c>
      <c r="M288" t="str" cm="1">
        <f t="array" ref="M288">IFERROR(INDEX($I$2:$K$2,0,MATCH(TRUE,I288:K288,0)),E288)</f>
        <v>CCGT</v>
      </c>
      <c r="O288" t="str">
        <f t="shared" si="22"/>
        <v>CCGT_2039</v>
      </c>
      <c r="P288">
        <f t="shared" si="23"/>
        <v>788</v>
      </c>
    </row>
    <row r="289" spans="4:16" x14ac:dyDescent="0.25">
      <c r="D289">
        <v>2040</v>
      </c>
      <c r="E289" t="s">
        <v>123</v>
      </c>
      <c r="F289" t="s">
        <v>159</v>
      </c>
      <c r="G289">
        <v>788</v>
      </c>
      <c r="I289">
        <f t="shared" si="25"/>
        <v>0</v>
      </c>
      <c r="J289">
        <f t="shared" si="25"/>
        <v>0</v>
      </c>
      <c r="K289">
        <f t="shared" si="25"/>
        <v>0</v>
      </c>
      <c r="M289" t="str" cm="1">
        <f t="array" ref="M289">IFERROR(INDEX($I$2:$K$2,0,MATCH(TRUE,I289:K289,0)),E289)</f>
        <v>CCGT</v>
      </c>
      <c r="O289" t="str">
        <f t="shared" si="22"/>
        <v>CCGT_2040</v>
      </c>
      <c r="P289">
        <f t="shared" si="23"/>
        <v>788</v>
      </c>
    </row>
    <row r="290" spans="4:16" x14ac:dyDescent="0.25">
      <c r="D290">
        <v>2021</v>
      </c>
      <c r="E290" t="s">
        <v>123</v>
      </c>
      <c r="F290" t="s">
        <v>160</v>
      </c>
      <c r="G290">
        <v>430</v>
      </c>
      <c r="I290">
        <f t="shared" si="25"/>
        <v>0</v>
      </c>
      <c r="J290">
        <f t="shared" si="25"/>
        <v>0</v>
      </c>
      <c r="K290">
        <f t="shared" si="25"/>
        <v>0</v>
      </c>
      <c r="M290" t="str" cm="1">
        <f t="array" ref="M290">IFERROR(INDEX($I$2:$K$2,0,MATCH(TRUE,I290:K290,0)),E290)</f>
        <v>CCGT</v>
      </c>
      <c r="O290" t="str">
        <f t="shared" si="22"/>
        <v>CCGT_2021</v>
      </c>
      <c r="P290">
        <f t="shared" si="23"/>
        <v>430</v>
      </c>
    </row>
    <row r="291" spans="4:16" x14ac:dyDescent="0.25">
      <c r="D291">
        <v>2022</v>
      </c>
      <c r="E291" t="s">
        <v>123</v>
      </c>
      <c r="F291" t="s">
        <v>160</v>
      </c>
      <c r="G291">
        <v>430</v>
      </c>
      <c r="I291">
        <f t="shared" si="25"/>
        <v>0</v>
      </c>
      <c r="J291">
        <f t="shared" si="25"/>
        <v>0</v>
      </c>
      <c r="K291">
        <f t="shared" si="25"/>
        <v>0</v>
      </c>
      <c r="M291" t="str" cm="1">
        <f t="array" ref="M291">IFERROR(INDEX($I$2:$K$2,0,MATCH(TRUE,I291:K291,0)),E291)</f>
        <v>CCGT</v>
      </c>
      <c r="O291" t="str">
        <f t="shared" si="22"/>
        <v>CCGT_2022</v>
      </c>
      <c r="P291">
        <f t="shared" si="23"/>
        <v>430</v>
      </c>
    </row>
    <row r="292" spans="4:16" x14ac:dyDescent="0.25">
      <c r="D292">
        <v>2023</v>
      </c>
      <c r="E292" t="s">
        <v>123</v>
      </c>
      <c r="F292" t="s">
        <v>160</v>
      </c>
      <c r="G292">
        <v>430</v>
      </c>
      <c r="I292">
        <f t="shared" si="25"/>
        <v>0</v>
      </c>
      <c r="J292">
        <f t="shared" si="25"/>
        <v>0</v>
      </c>
      <c r="K292">
        <f t="shared" si="25"/>
        <v>0</v>
      </c>
      <c r="M292" t="str" cm="1">
        <f t="array" ref="M292">IFERROR(INDEX($I$2:$K$2,0,MATCH(TRUE,I292:K292,0)),E292)</f>
        <v>CCGT</v>
      </c>
      <c r="O292" t="str">
        <f t="shared" si="22"/>
        <v>CCGT_2023</v>
      </c>
      <c r="P292">
        <f t="shared" si="23"/>
        <v>430</v>
      </c>
    </row>
    <row r="293" spans="4:16" x14ac:dyDescent="0.25">
      <c r="D293">
        <v>2024</v>
      </c>
      <c r="E293" t="s">
        <v>123</v>
      </c>
      <c r="F293" t="s">
        <v>160</v>
      </c>
      <c r="G293">
        <v>430</v>
      </c>
      <c r="I293">
        <f t="shared" si="25"/>
        <v>0</v>
      </c>
      <c r="J293">
        <f t="shared" si="25"/>
        <v>0</v>
      </c>
      <c r="K293">
        <f t="shared" si="25"/>
        <v>0</v>
      </c>
      <c r="M293" t="str" cm="1">
        <f t="array" ref="M293">IFERROR(INDEX($I$2:$K$2,0,MATCH(TRUE,I293:K293,0)),E293)</f>
        <v>CCGT</v>
      </c>
      <c r="O293" t="str">
        <f t="shared" si="22"/>
        <v>CCGT_2024</v>
      </c>
      <c r="P293">
        <f t="shared" si="23"/>
        <v>430</v>
      </c>
    </row>
    <row r="294" spans="4:16" x14ac:dyDescent="0.25">
      <c r="D294">
        <v>2025</v>
      </c>
      <c r="E294" t="s">
        <v>123</v>
      </c>
      <c r="F294" t="s">
        <v>160</v>
      </c>
      <c r="G294">
        <v>430</v>
      </c>
      <c r="I294">
        <f t="shared" si="25"/>
        <v>0</v>
      </c>
      <c r="J294">
        <f t="shared" si="25"/>
        <v>0</v>
      </c>
      <c r="K294">
        <f t="shared" si="25"/>
        <v>0</v>
      </c>
      <c r="M294" t="str" cm="1">
        <f t="array" ref="M294">IFERROR(INDEX($I$2:$K$2,0,MATCH(TRUE,I294:K294,0)),E294)</f>
        <v>CCGT</v>
      </c>
      <c r="O294" t="str">
        <f t="shared" si="22"/>
        <v>CCGT_2025</v>
      </c>
      <c r="P294">
        <f t="shared" si="23"/>
        <v>430</v>
      </c>
    </row>
    <row r="295" spans="4:16" x14ac:dyDescent="0.25">
      <c r="D295">
        <v>2026</v>
      </c>
      <c r="E295" t="s">
        <v>123</v>
      </c>
      <c r="F295" t="s">
        <v>160</v>
      </c>
      <c r="G295">
        <v>430</v>
      </c>
      <c r="I295">
        <f t="shared" si="25"/>
        <v>0</v>
      </c>
      <c r="J295">
        <f t="shared" si="25"/>
        <v>0</v>
      </c>
      <c r="K295">
        <f t="shared" si="25"/>
        <v>0</v>
      </c>
      <c r="M295" t="str" cm="1">
        <f t="array" ref="M295">IFERROR(INDEX($I$2:$K$2,0,MATCH(TRUE,I295:K295,0)),E295)</f>
        <v>CCGT</v>
      </c>
      <c r="O295" t="str">
        <f t="shared" si="22"/>
        <v>CCGT_2026</v>
      </c>
      <c r="P295">
        <f t="shared" si="23"/>
        <v>430</v>
      </c>
    </row>
    <row r="296" spans="4:16" x14ac:dyDescent="0.25">
      <c r="D296">
        <v>2027</v>
      </c>
      <c r="E296" t="s">
        <v>123</v>
      </c>
      <c r="F296" t="s">
        <v>160</v>
      </c>
      <c r="G296">
        <v>430</v>
      </c>
      <c r="I296">
        <f t="shared" si="25"/>
        <v>0</v>
      </c>
      <c r="J296">
        <f t="shared" si="25"/>
        <v>0</v>
      </c>
      <c r="K296">
        <f t="shared" si="25"/>
        <v>0</v>
      </c>
      <c r="M296" t="str" cm="1">
        <f t="array" ref="M296">IFERROR(INDEX($I$2:$K$2,0,MATCH(TRUE,I296:K296,0)),E296)</f>
        <v>CCGT</v>
      </c>
      <c r="O296" t="str">
        <f t="shared" si="22"/>
        <v>CCGT_2027</v>
      </c>
      <c r="P296">
        <f t="shared" si="23"/>
        <v>430</v>
      </c>
    </row>
    <row r="297" spans="4:16" x14ac:dyDescent="0.25">
      <c r="D297">
        <v>2028</v>
      </c>
      <c r="E297" t="s">
        <v>123</v>
      </c>
      <c r="F297" t="s">
        <v>160</v>
      </c>
      <c r="G297">
        <v>430</v>
      </c>
      <c r="I297">
        <f t="shared" si="25"/>
        <v>0</v>
      </c>
      <c r="J297">
        <f t="shared" si="25"/>
        <v>0</v>
      </c>
      <c r="K297">
        <f t="shared" si="25"/>
        <v>0</v>
      </c>
      <c r="M297" t="str" cm="1">
        <f t="array" ref="M297">IFERROR(INDEX($I$2:$K$2,0,MATCH(TRUE,I297:K297,0)),E297)</f>
        <v>CCGT</v>
      </c>
      <c r="O297" t="str">
        <f t="shared" si="22"/>
        <v>CCGT_2028</v>
      </c>
      <c r="P297">
        <f t="shared" si="23"/>
        <v>430</v>
      </c>
    </row>
    <row r="298" spans="4:16" x14ac:dyDescent="0.25">
      <c r="D298">
        <v>2029</v>
      </c>
      <c r="E298" t="s">
        <v>123</v>
      </c>
      <c r="F298" t="s">
        <v>160</v>
      </c>
      <c r="G298">
        <v>430</v>
      </c>
      <c r="I298">
        <f t="shared" si="25"/>
        <v>0</v>
      </c>
      <c r="J298">
        <f t="shared" si="25"/>
        <v>0</v>
      </c>
      <c r="K298">
        <f t="shared" si="25"/>
        <v>0</v>
      </c>
      <c r="M298" t="str" cm="1">
        <f t="array" ref="M298">IFERROR(INDEX($I$2:$K$2,0,MATCH(TRUE,I298:K298,0)),E298)</f>
        <v>CCGT</v>
      </c>
      <c r="O298" t="str">
        <f t="shared" si="22"/>
        <v>CCGT_2029</v>
      </c>
      <c r="P298">
        <f t="shared" si="23"/>
        <v>430</v>
      </c>
    </row>
    <row r="299" spans="4:16" x14ac:dyDescent="0.25">
      <c r="D299">
        <v>2030</v>
      </c>
      <c r="E299" t="s">
        <v>123</v>
      </c>
      <c r="F299" t="s">
        <v>160</v>
      </c>
      <c r="G299">
        <v>430</v>
      </c>
      <c r="I299">
        <f t="shared" si="25"/>
        <v>0</v>
      </c>
      <c r="J299">
        <f t="shared" si="25"/>
        <v>0</v>
      </c>
      <c r="K299">
        <f t="shared" si="25"/>
        <v>0</v>
      </c>
      <c r="M299" t="str" cm="1">
        <f t="array" ref="M299">IFERROR(INDEX($I$2:$K$2,0,MATCH(TRUE,I299:K299,0)),E299)</f>
        <v>CCGT</v>
      </c>
      <c r="O299" t="str">
        <f t="shared" si="22"/>
        <v>CCGT_2030</v>
      </c>
      <c r="P299">
        <f t="shared" si="23"/>
        <v>430</v>
      </c>
    </row>
    <row r="300" spans="4:16" x14ac:dyDescent="0.25">
      <c r="D300">
        <v>2031</v>
      </c>
      <c r="E300" t="s">
        <v>123</v>
      </c>
      <c r="F300" t="s">
        <v>160</v>
      </c>
      <c r="G300">
        <v>430</v>
      </c>
      <c r="I300">
        <f t="shared" si="25"/>
        <v>0</v>
      </c>
      <c r="J300">
        <f t="shared" si="25"/>
        <v>0</v>
      </c>
      <c r="K300">
        <f t="shared" si="25"/>
        <v>0</v>
      </c>
      <c r="M300" t="str" cm="1">
        <f t="array" ref="M300">IFERROR(INDEX($I$2:$K$2,0,MATCH(TRUE,I300:K300,0)),E300)</f>
        <v>CCGT</v>
      </c>
      <c r="O300" t="str">
        <f t="shared" si="22"/>
        <v>CCGT_2031</v>
      </c>
      <c r="P300">
        <f t="shared" si="23"/>
        <v>430</v>
      </c>
    </row>
    <row r="301" spans="4:16" x14ac:dyDescent="0.25">
      <c r="D301">
        <v>2032</v>
      </c>
      <c r="E301" t="s">
        <v>123</v>
      </c>
      <c r="F301" t="s">
        <v>160</v>
      </c>
      <c r="G301">
        <v>430</v>
      </c>
      <c r="I301">
        <f t="shared" si="25"/>
        <v>0</v>
      </c>
      <c r="J301">
        <f t="shared" si="25"/>
        <v>0</v>
      </c>
      <c r="K301">
        <f t="shared" si="25"/>
        <v>0</v>
      </c>
      <c r="M301" t="str" cm="1">
        <f t="array" ref="M301">IFERROR(INDEX($I$2:$K$2,0,MATCH(TRUE,I301:K301,0)),E301)</f>
        <v>CCGT</v>
      </c>
      <c r="O301" t="str">
        <f t="shared" si="22"/>
        <v>CCGT_2032</v>
      </c>
      <c r="P301">
        <f t="shared" si="23"/>
        <v>430</v>
      </c>
    </row>
    <row r="302" spans="4:16" x14ac:dyDescent="0.25">
      <c r="D302">
        <v>2033</v>
      </c>
      <c r="E302" t="s">
        <v>123</v>
      </c>
      <c r="F302" t="s">
        <v>160</v>
      </c>
      <c r="G302">
        <v>430</v>
      </c>
      <c r="I302">
        <f t="shared" si="25"/>
        <v>0</v>
      </c>
      <c r="J302">
        <f t="shared" si="25"/>
        <v>0</v>
      </c>
      <c r="K302">
        <f t="shared" si="25"/>
        <v>0</v>
      </c>
      <c r="M302" t="str" cm="1">
        <f t="array" ref="M302">IFERROR(INDEX($I$2:$K$2,0,MATCH(TRUE,I302:K302,0)),E302)</f>
        <v>CCGT</v>
      </c>
      <c r="O302" t="str">
        <f t="shared" si="22"/>
        <v>CCGT_2033</v>
      </c>
      <c r="P302">
        <f t="shared" si="23"/>
        <v>430</v>
      </c>
    </row>
    <row r="303" spans="4:16" x14ac:dyDescent="0.25">
      <c r="D303">
        <v>2034</v>
      </c>
      <c r="E303" t="s">
        <v>123</v>
      </c>
      <c r="F303" t="s">
        <v>160</v>
      </c>
      <c r="G303">
        <v>430</v>
      </c>
      <c r="I303">
        <f t="shared" si="25"/>
        <v>0</v>
      </c>
      <c r="J303">
        <f t="shared" si="25"/>
        <v>0</v>
      </c>
      <c r="K303">
        <f t="shared" si="25"/>
        <v>0</v>
      </c>
      <c r="M303" t="str" cm="1">
        <f t="array" ref="M303">IFERROR(INDEX($I$2:$K$2,0,MATCH(TRUE,I303:K303,0)),E303)</f>
        <v>CCGT</v>
      </c>
      <c r="O303" t="str">
        <f t="shared" si="22"/>
        <v>CCGT_2034</v>
      </c>
      <c r="P303">
        <f t="shared" si="23"/>
        <v>430</v>
      </c>
    </row>
    <row r="304" spans="4:16" x14ac:dyDescent="0.25">
      <c r="D304">
        <v>2035</v>
      </c>
      <c r="E304" t="s">
        <v>123</v>
      </c>
      <c r="F304" t="s">
        <v>160</v>
      </c>
      <c r="G304">
        <v>430</v>
      </c>
      <c r="I304">
        <f t="shared" ref="I304:K323" si="26">IFERROR(FIND(I$2,$E304,1)&gt;0,0)</f>
        <v>0</v>
      </c>
      <c r="J304">
        <f t="shared" si="26"/>
        <v>0</v>
      </c>
      <c r="K304">
        <f t="shared" si="26"/>
        <v>0</v>
      </c>
      <c r="M304" t="str" cm="1">
        <f t="array" ref="M304">IFERROR(INDEX($I$2:$K$2,0,MATCH(TRUE,I304:K304,0)),E304)</f>
        <v>CCGT</v>
      </c>
      <c r="O304" t="str">
        <f t="shared" si="22"/>
        <v>CCGT_2035</v>
      </c>
      <c r="P304">
        <f t="shared" si="23"/>
        <v>430</v>
      </c>
    </row>
    <row r="305" spans="4:16" x14ac:dyDescent="0.25">
      <c r="D305">
        <v>2036</v>
      </c>
      <c r="E305" t="s">
        <v>123</v>
      </c>
      <c r="F305" t="s">
        <v>160</v>
      </c>
      <c r="G305">
        <v>430</v>
      </c>
      <c r="I305">
        <f t="shared" si="26"/>
        <v>0</v>
      </c>
      <c r="J305">
        <f t="shared" si="26"/>
        <v>0</v>
      </c>
      <c r="K305">
        <f t="shared" si="26"/>
        <v>0</v>
      </c>
      <c r="M305" t="str" cm="1">
        <f t="array" ref="M305">IFERROR(INDEX($I$2:$K$2,0,MATCH(TRUE,I305:K305,0)),E305)</f>
        <v>CCGT</v>
      </c>
      <c r="O305" t="str">
        <f t="shared" si="22"/>
        <v>CCGT_2036</v>
      </c>
      <c r="P305">
        <f t="shared" si="23"/>
        <v>430</v>
      </c>
    </row>
    <row r="306" spans="4:16" x14ac:dyDescent="0.25">
      <c r="D306">
        <v>2037</v>
      </c>
      <c r="E306" t="s">
        <v>123</v>
      </c>
      <c r="F306" t="s">
        <v>160</v>
      </c>
      <c r="G306">
        <v>430</v>
      </c>
      <c r="I306">
        <f t="shared" si="26"/>
        <v>0</v>
      </c>
      <c r="J306">
        <f t="shared" si="26"/>
        <v>0</v>
      </c>
      <c r="K306">
        <f t="shared" si="26"/>
        <v>0</v>
      </c>
      <c r="M306" t="str" cm="1">
        <f t="array" ref="M306">IFERROR(INDEX($I$2:$K$2,0,MATCH(TRUE,I306:K306,0)),E306)</f>
        <v>CCGT</v>
      </c>
      <c r="O306" t="str">
        <f t="shared" si="22"/>
        <v>CCGT_2037</v>
      </c>
      <c r="P306">
        <f t="shared" si="23"/>
        <v>430</v>
      </c>
    </row>
    <row r="307" spans="4:16" x14ac:dyDescent="0.25">
      <c r="D307">
        <v>2038</v>
      </c>
      <c r="E307" t="s">
        <v>123</v>
      </c>
      <c r="F307" t="s">
        <v>160</v>
      </c>
      <c r="G307">
        <v>430</v>
      </c>
      <c r="I307">
        <f t="shared" si="26"/>
        <v>0</v>
      </c>
      <c r="J307">
        <f t="shared" si="26"/>
        <v>0</v>
      </c>
      <c r="K307">
        <f t="shared" si="26"/>
        <v>0</v>
      </c>
      <c r="M307" t="str" cm="1">
        <f t="array" ref="M307">IFERROR(INDEX($I$2:$K$2,0,MATCH(TRUE,I307:K307,0)),E307)</f>
        <v>CCGT</v>
      </c>
      <c r="O307" t="str">
        <f t="shared" si="22"/>
        <v>CCGT_2038</v>
      </c>
      <c r="P307">
        <f t="shared" si="23"/>
        <v>430</v>
      </c>
    </row>
    <row r="308" spans="4:16" x14ac:dyDescent="0.25">
      <c r="D308">
        <v>2039</v>
      </c>
      <c r="E308" t="s">
        <v>123</v>
      </c>
      <c r="F308" t="s">
        <v>160</v>
      </c>
      <c r="G308">
        <v>430</v>
      </c>
      <c r="I308">
        <f t="shared" si="26"/>
        <v>0</v>
      </c>
      <c r="J308">
        <f t="shared" si="26"/>
        <v>0</v>
      </c>
      <c r="K308">
        <f t="shared" si="26"/>
        <v>0</v>
      </c>
      <c r="M308" t="str" cm="1">
        <f t="array" ref="M308">IFERROR(INDEX($I$2:$K$2,0,MATCH(TRUE,I308:K308,0)),E308)</f>
        <v>CCGT</v>
      </c>
      <c r="O308" t="str">
        <f t="shared" si="22"/>
        <v>CCGT_2039</v>
      </c>
      <c r="P308">
        <f t="shared" si="23"/>
        <v>430</v>
      </c>
    </row>
    <row r="309" spans="4:16" x14ac:dyDescent="0.25">
      <c r="D309">
        <v>2040</v>
      </c>
      <c r="E309" t="s">
        <v>123</v>
      </c>
      <c r="F309" t="s">
        <v>160</v>
      </c>
      <c r="G309">
        <v>430</v>
      </c>
      <c r="I309">
        <f t="shared" si="26"/>
        <v>0</v>
      </c>
      <c r="J309">
        <f t="shared" si="26"/>
        <v>0</v>
      </c>
      <c r="K309">
        <f t="shared" si="26"/>
        <v>0</v>
      </c>
      <c r="M309" t="str" cm="1">
        <f t="array" ref="M309">IFERROR(INDEX($I$2:$K$2,0,MATCH(TRUE,I309:K309,0)),E309)</f>
        <v>CCGT</v>
      </c>
      <c r="O309" t="str">
        <f t="shared" si="22"/>
        <v>CCGT_2040</v>
      </c>
      <c r="P309">
        <f t="shared" si="23"/>
        <v>430</v>
      </c>
    </row>
    <row r="310" spans="4:16" x14ac:dyDescent="0.25">
      <c r="D310">
        <v>2021</v>
      </c>
      <c r="E310" t="s">
        <v>123</v>
      </c>
      <c r="F310" t="s">
        <v>161</v>
      </c>
      <c r="G310">
        <v>51</v>
      </c>
      <c r="I310">
        <f t="shared" si="26"/>
        <v>0</v>
      </c>
      <c r="J310">
        <f t="shared" si="26"/>
        <v>0</v>
      </c>
      <c r="K310">
        <f t="shared" si="26"/>
        <v>0</v>
      </c>
      <c r="M310" t="str" cm="1">
        <f t="array" ref="M310">IFERROR(INDEX($I$2:$K$2,0,MATCH(TRUE,I310:K310,0)),E310)</f>
        <v>CCGT</v>
      </c>
      <c r="O310" t="str">
        <f t="shared" si="22"/>
        <v>CCGT_2021</v>
      </c>
      <c r="P310">
        <f t="shared" si="23"/>
        <v>51</v>
      </c>
    </row>
    <row r="311" spans="4:16" x14ac:dyDescent="0.25">
      <c r="D311">
        <v>2022</v>
      </c>
      <c r="E311" t="s">
        <v>123</v>
      </c>
      <c r="F311" t="s">
        <v>161</v>
      </c>
      <c r="G311">
        <v>51</v>
      </c>
      <c r="I311">
        <f t="shared" si="26"/>
        <v>0</v>
      </c>
      <c r="J311">
        <f t="shared" si="26"/>
        <v>0</v>
      </c>
      <c r="K311">
        <f t="shared" si="26"/>
        <v>0</v>
      </c>
      <c r="M311" t="str" cm="1">
        <f t="array" ref="M311">IFERROR(INDEX($I$2:$K$2,0,MATCH(TRUE,I311:K311,0)),E311)</f>
        <v>CCGT</v>
      </c>
      <c r="O311" t="str">
        <f t="shared" si="22"/>
        <v>CCGT_2022</v>
      </c>
      <c r="P311">
        <f t="shared" si="23"/>
        <v>51</v>
      </c>
    </row>
    <row r="312" spans="4:16" x14ac:dyDescent="0.25">
      <c r="D312">
        <v>2021</v>
      </c>
      <c r="E312" t="s">
        <v>123</v>
      </c>
      <c r="F312" t="s">
        <v>162</v>
      </c>
      <c r="G312">
        <v>585.5</v>
      </c>
      <c r="I312">
        <f t="shared" si="26"/>
        <v>0</v>
      </c>
      <c r="J312">
        <f t="shared" si="26"/>
        <v>0</v>
      </c>
      <c r="K312">
        <f t="shared" si="26"/>
        <v>0</v>
      </c>
      <c r="M312" t="str" cm="1">
        <f t="array" ref="M312">IFERROR(INDEX($I$2:$K$2,0,MATCH(TRUE,I312:K312,0)),E312)</f>
        <v>CCGT</v>
      </c>
      <c r="O312" t="str">
        <f t="shared" si="22"/>
        <v>CCGT_2021</v>
      </c>
      <c r="P312">
        <f t="shared" si="23"/>
        <v>585.5</v>
      </c>
    </row>
    <row r="313" spans="4:16" x14ac:dyDescent="0.25">
      <c r="D313">
        <v>2022</v>
      </c>
      <c r="E313" t="s">
        <v>123</v>
      </c>
      <c r="F313" t="s">
        <v>162</v>
      </c>
      <c r="G313">
        <v>585.5</v>
      </c>
      <c r="I313">
        <f t="shared" si="26"/>
        <v>0</v>
      </c>
      <c r="J313">
        <f t="shared" si="26"/>
        <v>0</v>
      </c>
      <c r="K313">
        <f t="shared" si="26"/>
        <v>0</v>
      </c>
      <c r="M313" t="str" cm="1">
        <f t="array" ref="M313">IFERROR(INDEX($I$2:$K$2,0,MATCH(TRUE,I313:K313,0)),E313)</f>
        <v>CCGT</v>
      </c>
      <c r="O313" t="str">
        <f t="shared" si="22"/>
        <v>CCGT_2022</v>
      </c>
      <c r="P313">
        <f t="shared" si="23"/>
        <v>585.5</v>
      </c>
    </row>
    <row r="314" spans="4:16" x14ac:dyDescent="0.25">
      <c r="D314">
        <v>2023</v>
      </c>
      <c r="E314" t="s">
        <v>123</v>
      </c>
      <c r="F314" t="s">
        <v>162</v>
      </c>
      <c r="G314">
        <v>585.5</v>
      </c>
      <c r="I314">
        <f t="shared" si="26"/>
        <v>0</v>
      </c>
      <c r="J314">
        <f t="shared" si="26"/>
        <v>0</v>
      </c>
      <c r="K314">
        <f t="shared" si="26"/>
        <v>0</v>
      </c>
      <c r="M314" t="str" cm="1">
        <f t="array" ref="M314">IFERROR(INDEX($I$2:$K$2,0,MATCH(TRUE,I314:K314,0)),E314)</f>
        <v>CCGT</v>
      </c>
      <c r="O314" t="str">
        <f t="shared" si="22"/>
        <v>CCGT_2023</v>
      </c>
      <c r="P314">
        <f t="shared" si="23"/>
        <v>585.5</v>
      </c>
    </row>
    <row r="315" spans="4:16" x14ac:dyDescent="0.25">
      <c r="D315">
        <v>2024</v>
      </c>
      <c r="E315" t="s">
        <v>123</v>
      </c>
      <c r="F315" t="s">
        <v>162</v>
      </c>
      <c r="G315">
        <v>585.5</v>
      </c>
      <c r="I315">
        <f t="shared" si="26"/>
        <v>0</v>
      </c>
      <c r="J315">
        <f t="shared" si="26"/>
        <v>0</v>
      </c>
      <c r="K315">
        <f t="shared" si="26"/>
        <v>0</v>
      </c>
      <c r="M315" t="str" cm="1">
        <f t="array" ref="M315">IFERROR(INDEX($I$2:$K$2,0,MATCH(TRUE,I315:K315,0)),E315)</f>
        <v>CCGT</v>
      </c>
      <c r="O315" t="str">
        <f t="shared" si="22"/>
        <v>CCGT_2024</v>
      </c>
      <c r="P315">
        <f t="shared" si="23"/>
        <v>585.5</v>
      </c>
    </row>
    <row r="316" spans="4:16" x14ac:dyDescent="0.25">
      <c r="D316">
        <v>2025</v>
      </c>
      <c r="E316" t="s">
        <v>123</v>
      </c>
      <c r="F316" t="s">
        <v>162</v>
      </c>
      <c r="G316">
        <v>585.5</v>
      </c>
      <c r="I316">
        <f t="shared" si="26"/>
        <v>0</v>
      </c>
      <c r="J316">
        <f t="shared" si="26"/>
        <v>0</v>
      </c>
      <c r="K316">
        <f t="shared" si="26"/>
        <v>0</v>
      </c>
      <c r="M316" t="str" cm="1">
        <f t="array" ref="M316">IFERROR(INDEX($I$2:$K$2,0,MATCH(TRUE,I316:K316,0)),E316)</f>
        <v>CCGT</v>
      </c>
      <c r="O316" t="str">
        <f t="shared" si="22"/>
        <v>CCGT_2025</v>
      </c>
      <c r="P316">
        <f t="shared" si="23"/>
        <v>585.5</v>
      </c>
    </row>
    <row r="317" spans="4:16" x14ac:dyDescent="0.25">
      <c r="D317">
        <v>2026</v>
      </c>
      <c r="E317" t="s">
        <v>123</v>
      </c>
      <c r="F317" t="s">
        <v>162</v>
      </c>
      <c r="G317">
        <v>585.5</v>
      </c>
      <c r="I317">
        <f t="shared" si="26"/>
        <v>0</v>
      </c>
      <c r="J317">
        <f t="shared" si="26"/>
        <v>0</v>
      </c>
      <c r="K317">
        <f t="shared" si="26"/>
        <v>0</v>
      </c>
      <c r="M317" t="str" cm="1">
        <f t="array" ref="M317">IFERROR(INDEX($I$2:$K$2,0,MATCH(TRUE,I317:K317,0)),E317)</f>
        <v>CCGT</v>
      </c>
      <c r="O317" t="str">
        <f t="shared" si="22"/>
        <v>CCGT_2026</v>
      </c>
      <c r="P317">
        <f t="shared" si="23"/>
        <v>585.5</v>
      </c>
    </row>
    <row r="318" spans="4:16" x14ac:dyDescent="0.25">
      <c r="D318">
        <v>2027</v>
      </c>
      <c r="E318" t="s">
        <v>123</v>
      </c>
      <c r="F318" t="s">
        <v>162</v>
      </c>
      <c r="G318">
        <v>585.5</v>
      </c>
      <c r="I318">
        <f t="shared" si="26"/>
        <v>0</v>
      </c>
      <c r="J318">
        <f t="shared" si="26"/>
        <v>0</v>
      </c>
      <c r="K318">
        <f t="shared" si="26"/>
        <v>0</v>
      </c>
      <c r="M318" t="str" cm="1">
        <f t="array" ref="M318">IFERROR(INDEX($I$2:$K$2,0,MATCH(TRUE,I318:K318,0)),E318)</f>
        <v>CCGT</v>
      </c>
      <c r="O318" t="str">
        <f t="shared" si="22"/>
        <v>CCGT_2027</v>
      </c>
      <c r="P318">
        <f t="shared" si="23"/>
        <v>585.5</v>
      </c>
    </row>
    <row r="319" spans="4:16" x14ac:dyDescent="0.25">
      <c r="D319">
        <v>2028</v>
      </c>
      <c r="E319" t="s">
        <v>123</v>
      </c>
      <c r="F319" t="s">
        <v>162</v>
      </c>
      <c r="G319">
        <v>585.5</v>
      </c>
      <c r="I319">
        <f t="shared" si="26"/>
        <v>0</v>
      </c>
      <c r="J319">
        <f t="shared" si="26"/>
        <v>0</v>
      </c>
      <c r="K319">
        <f t="shared" si="26"/>
        <v>0</v>
      </c>
      <c r="M319" t="str" cm="1">
        <f t="array" ref="M319">IFERROR(INDEX($I$2:$K$2,0,MATCH(TRUE,I319:K319,0)),E319)</f>
        <v>CCGT</v>
      </c>
      <c r="O319" t="str">
        <f t="shared" si="22"/>
        <v>CCGT_2028</v>
      </c>
      <c r="P319">
        <f t="shared" si="23"/>
        <v>585.5</v>
      </c>
    </row>
    <row r="320" spans="4:16" x14ac:dyDescent="0.25">
      <c r="D320">
        <v>2029</v>
      </c>
      <c r="E320" t="s">
        <v>123</v>
      </c>
      <c r="F320" t="s">
        <v>162</v>
      </c>
      <c r="G320">
        <v>585.5</v>
      </c>
      <c r="I320">
        <f t="shared" si="26"/>
        <v>0</v>
      </c>
      <c r="J320">
        <f t="shared" si="26"/>
        <v>0</v>
      </c>
      <c r="K320">
        <f t="shared" si="26"/>
        <v>0</v>
      </c>
      <c r="M320" t="str" cm="1">
        <f t="array" ref="M320">IFERROR(INDEX($I$2:$K$2,0,MATCH(TRUE,I320:K320,0)),E320)</f>
        <v>CCGT</v>
      </c>
      <c r="O320" t="str">
        <f t="shared" si="22"/>
        <v>CCGT_2029</v>
      </c>
      <c r="P320">
        <f t="shared" si="23"/>
        <v>585.5</v>
      </c>
    </row>
    <row r="321" spans="4:16" x14ac:dyDescent="0.25">
      <c r="D321">
        <v>2030</v>
      </c>
      <c r="E321" t="s">
        <v>123</v>
      </c>
      <c r="F321" t="s">
        <v>162</v>
      </c>
      <c r="G321">
        <v>585.5</v>
      </c>
      <c r="I321">
        <f t="shared" si="26"/>
        <v>0</v>
      </c>
      <c r="J321">
        <f t="shared" si="26"/>
        <v>0</v>
      </c>
      <c r="K321">
        <f t="shared" si="26"/>
        <v>0</v>
      </c>
      <c r="M321" t="str" cm="1">
        <f t="array" ref="M321">IFERROR(INDEX($I$2:$K$2,0,MATCH(TRUE,I321:K321,0)),E321)</f>
        <v>CCGT</v>
      </c>
      <c r="O321" t="str">
        <f t="shared" si="22"/>
        <v>CCGT_2030</v>
      </c>
      <c r="P321">
        <f t="shared" si="23"/>
        <v>585.5</v>
      </c>
    </row>
    <row r="322" spans="4:16" x14ac:dyDescent="0.25">
      <c r="D322">
        <v>2031</v>
      </c>
      <c r="E322" t="s">
        <v>123</v>
      </c>
      <c r="F322" t="s">
        <v>162</v>
      </c>
      <c r="G322">
        <v>585.5</v>
      </c>
      <c r="I322">
        <f t="shared" si="26"/>
        <v>0</v>
      </c>
      <c r="J322">
        <f t="shared" si="26"/>
        <v>0</v>
      </c>
      <c r="K322">
        <f t="shared" si="26"/>
        <v>0</v>
      </c>
      <c r="M322" t="str" cm="1">
        <f t="array" ref="M322">IFERROR(INDEX($I$2:$K$2,0,MATCH(TRUE,I322:K322,0)),E322)</f>
        <v>CCGT</v>
      </c>
      <c r="O322" t="str">
        <f t="shared" si="22"/>
        <v>CCGT_2031</v>
      </c>
      <c r="P322">
        <f t="shared" si="23"/>
        <v>585.5</v>
      </c>
    </row>
    <row r="323" spans="4:16" x14ac:dyDescent="0.25">
      <c r="D323">
        <v>2032</v>
      </c>
      <c r="E323" t="s">
        <v>123</v>
      </c>
      <c r="F323" t="s">
        <v>162</v>
      </c>
      <c r="G323">
        <v>585.5</v>
      </c>
      <c r="I323">
        <f t="shared" si="26"/>
        <v>0</v>
      </c>
      <c r="J323">
        <f t="shared" si="26"/>
        <v>0</v>
      </c>
      <c r="K323">
        <f t="shared" si="26"/>
        <v>0</v>
      </c>
      <c r="M323" t="str" cm="1">
        <f t="array" ref="M323">IFERROR(INDEX($I$2:$K$2,0,MATCH(TRUE,I323:K323,0)),E323)</f>
        <v>CCGT</v>
      </c>
      <c r="O323" t="str">
        <f t="shared" si="22"/>
        <v>CCGT_2032</v>
      </c>
      <c r="P323">
        <f t="shared" si="23"/>
        <v>585.5</v>
      </c>
    </row>
    <row r="324" spans="4:16" x14ac:dyDescent="0.25">
      <c r="D324">
        <v>2033</v>
      </c>
      <c r="E324" t="s">
        <v>123</v>
      </c>
      <c r="F324" t="s">
        <v>162</v>
      </c>
      <c r="G324">
        <v>585.5</v>
      </c>
      <c r="I324">
        <f t="shared" ref="I324:K343" si="27">IFERROR(FIND(I$2,$E324,1)&gt;0,0)</f>
        <v>0</v>
      </c>
      <c r="J324">
        <f t="shared" si="27"/>
        <v>0</v>
      </c>
      <c r="K324">
        <f t="shared" si="27"/>
        <v>0</v>
      </c>
      <c r="M324" t="str" cm="1">
        <f t="array" ref="M324">IFERROR(INDEX($I$2:$K$2,0,MATCH(TRUE,I324:K324,0)),E324)</f>
        <v>CCGT</v>
      </c>
      <c r="O324" t="str">
        <f t="shared" ref="O324:O387" si="28">M324&amp;"_"&amp;D324</f>
        <v>CCGT_2033</v>
      </c>
      <c r="P324">
        <f t="shared" ref="P324:P387" si="29">G324</f>
        <v>585.5</v>
      </c>
    </row>
    <row r="325" spans="4:16" x14ac:dyDescent="0.25">
      <c r="D325">
        <v>2034</v>
      </c>
      <c r="E325" t="s">
        <v>123</v>
      </c>
      <c r="F325" t="s">
        <v>162</v>
      </c>
      <c r="G325">
        <v>585.5</v>
      </c>
      <c r="I325">
        <f t="shared" si="27"/>
        <v>0</v>
      </c>
      <c r="J325">
        <f t="shared" si="27"/>
        <v>0</v>
      </c>
      <c r="K325">
        <f t="shared" si="27"/>
        <v>0</v>
      </c>
      <c r="M325" t="str" cm="1">
        <f t="array" ref="M325">IFERROR(INDEX($I$2:$K$2,0,MATCH(TRUE,I325:K325,0)),E325)</f>
        <v>CCGT</v>
      </c>
      <c r="O325" t="str">
        <f t="shared" si="28"/>
        <v>CCGT_2034</v>
      </c>
      <c r="P325">
        <f t="shared" si="29"/>
        <v>585.5</v>
      </c>
    </row>
    <row r="326" spans="4:16" x14ac:dyDescent="0.25">
      <c r="D326">
        <v>2035</v>
      </c>
      <c r="E326" t="s">
        <v>123</v>
      </c>
      <c r="F326" t="s">
        <v>162</v>
      </c>
      <c r="G326">
        <v>585.5</v>
      </c>
      <c r="I326">
        <f t="shared" si="27"/>
        <v>0</v>
      </c>
      <c r="J326">
        <f t="shared" si="27"/>
        <v>0</v>
      </c>
      <c r="K326">
        <f t="shared" si="27"/>
        <v>0</v>
      </c>
      <c r="M326" t="str" cm="1">
        <f t="array" ref="M326">IFERROR(INDEX($I$2:$K$2,0,MATCH(TRUE,I326:K326,0)),E326)</f>
        <v>CCGT</v>
      </c>
      <c r="O326" t="str">
        <f t="shared" si="28"/>
        <v>CCGT_2035</v>
      </c>
      <c r="P326">
        <f t="shared" si="29"/>
        <v>585.5</v>
      </c>
    </row>
    <row r="327" spans="4:16" x14ac:dyDescent="0.25">
      <c r="D327">
        <v>2036</v>
      </c>
      <c r="E327" t="s">
        <v>123</v>
      </c>
      <c r="F327" t="s">
        <v>162</v>
      </c>
      <c r="G327">
        <v>585.5</v>
      </c>
      <c r="I327">
        <f t="shared" si="27"/>
        <v>0</v>
      </c>
      <c r="J327">
        <f t="shared" si="27"/>
        <v>0</v>
      </c>
      <c r="K327">
        <f t="shared" si="27"/>
        <v>0</v>
      </c>
      <c r="M327" t="str" cm="1">
        <f t="array" ref="M327">IFERROR(INDEX($I$2:$K$2,0,MATCH(TRUE,I327:K327,0)),E327)</f>
        <v>CCGT</v>
      </c>
      <c r="O327" t="str">
        <f t="shared" si="28"/>
        <v>CCGT_2036</v>
      </c>
      <c r="P327">
        <f t="shared" si="29"/>
        <v>585.5</v>
      </c>
    </row>
    <row r="328" spans="4:16" x14ac:dyDescent="0.25">
      <c r="D328">
        <v>2037</v>
      </c>
      <c r="E328" t="s">
        <v>123</v>
      </c>
      <c r="F328" t="s">
        <v>162</v>
      </c>
      <c r="G328">
        <v>585.5</v>
      </c>
      <c r="I328">
        <f t="shared" si="27"/>
        <v>0</v>
      </c>
      <c r="J328">
        <f t="shared" si="27"/>
        <v>0</v>
      </c>
      <c r="K328">
        <f t="shared" si="27"/>
        <v>0</v>
      </c>
      <c r="M328" t="str" cm="1">
        <f t="array" ref="M328">IFERROR(INDEX($I$2:$K$2,0,MATCH(TRUE,I328:K328,0)),E328)</f>
        <v>CCGT</v>
      </c>
      <c r="O328" t="str">
        <f t="shared" si="28"/>
        <v>CCGT_2037</v>
      </c>
      <c r="P328">
        <f t="shared" si="29"/>
        <v>585.5</v>
      </c>
    </row>
    <row r="329" spans="4:16" x14ac:dyDescent="0.25">
      <c r="D329">
        <v>2038</v>
      </c>
      <c r="E329" t="s">
        <v>123</v>
      </c>
      <c r="F329" t="s">
        <v>162</v>
      </c>
      <c r="G329">
        <v>585.5</v>
      </c>
      <c r="I329">
        <f t="shared" si="27"/>
        <v>0</v>
      </c>
      <c r="J329">
        <f t="shared" si="27"/>
        <v>0</v>
      </c>
      <c r="K329">
        <f t="shared" si="27"/>
        <v>0</v>
      </c>
      <c r="M329" t="str" cm="1">
        <f t="array" ref="M329">IFERROR(INDEX($I$2:$K$2,0,MATCH(TRUE,I329:K329,0)),E329)</f>
        <v>CCGT</v>
      </c>
      <c r="O329" t="str">
        <f t="shared" si="28"/>
        <v>CCGT_2038</v>
      </c>
      <c r="P329">
        <f t="shared" si="29"/>
        <v>585.5</v>
      </c>
    </row>
    <row r="330" spans="4:16" x14ac:dyDescent="0.25">
      <c r="D330">
        <v>2039</v>
      </c>
      <c r="E330" t="s">
        <v>123</v>
      </c>
      <c r="F330" t="s">
        <v>162</v>
      </c>
      <c r="G330">
        <v>585.5</v>
      </c>
      <c r="I330">
        <f t="shared" si="27"/>
        <v>0</v>
      </c>
      <c r="J330">
        <f t="shared" si="27"/>
        <v>0</v>
      </c>
      <c r="K330">
        <f t="shared" si="27"/>
        <v>0</v>
      </c>
      <c r="M330" t="str" cm="1">
        <f t="array" ref="M330">IFERROR(INDEX($I$2:$K$2,0,MATCH(TRUE,I330:K330,0)),E330)</f>
        <v>CCGT</v>
      </c>
      <c r="O330" t="str">
        <f t="shared" si="28"/>
        <v>CCGT_2039</v>
      </c>
      <c r="P330">
        <f t="shared" si="29"/>
        <v>585.5</v>
      </c>
    </row>
    <row r="331" spans="4:16" x14ac:dyDescent="0.25">
      <c r="D331">
        <v>2040</v>
      </c>
      <c r="E331" t="s">
        <v>123</v>
      </c>
      <c r="F331" t="s">
        <v>162</v>
      </c>
      <c r="G331">
        <v>585.5</v>
      </c>
      <c r="I331">
        <f t="shared" si="27"/>
        <v>0</v>
      </c>
      <c r="J331">
        <f t="shared" si="27"/>
        <v>0</v>
      </c>
      <c r="K331">
        <f t="shared" si="27"/>
        <v>0</v>
      </c>
      <c r="M331" t="str" cm="1">
        <f t="array" ref="M331">IFERROR(INDEX($I$2:$K$2,0,MATCH(TRUE,I331:K331,0)),E331)</f>
        <v>CCGT</v>
      </c>
      <c r="O331" t="str">
        <f t="shared" si="28"/>
        <v>CCGT_2040</v>
      </c>
      <c r="P331">
        <f t="shared" si="29"/>
        <v>585.5</v>
      </c>
    </row>
    <row r="332" spans="4:16" x14ac:dyDescent="0.25">
      <c r="D332">
        <v>2021</v>
      </c>
      <c r="E332" t="s">
        <v>123</v>
      </c>
      <c r="F332" t="s">
        <v>163</v>
      </c>
      <c r="G332">
        <v>160</v>
      </c>
      <c r="I332">
        <f t="shared" si="27"/>
        <v>0</v>
      </c>
      <c r="J332">
        <f t="shared" si="27"/>
        <v>0</v>
      </c>
      <c r="K332">
        <f t="shared" si="27"/>
        <v>0</v>
      </c>
      <c r="M332" t="str" cm="1">
        <f t="array" ref="M332">IFERROR(INDEX($I$2:$K$2,0,MATCH(TRUE,I332:K332,0)),E332)</f>
        <v>CCGT</v>
      </c>
      <c r="O332" t="str">
        <f t="shared" si="28"/>
        <v>CCGT_2021</v>
      </c>
      <c r="P332">
        <f t="shared" si="29"/>
        <v>160</v>
      </c>
    </row>
    <row r="333" spans="4:16" x14ac:dyDescent="0.25">
      <c r="D333">
        <v>2022</v>
      </c>
      <c r="E333" t="s">
        <v>123</v>
      </c>
      <c r="F333" t="s">
        <v>163</v>
      </c>
      <c r="G333">
        <v>160</v>
      </c>
      <c r="I333">
        <f t="shared" si="27"/>
        <v>0</v>
      </c>
      <c r="J333">
        <f t="shared" si="27"/>
        <v>0</v>
      </c>
      <c r="K333">
        <f t="shared" si="27"/>
        <v>0</v>
      </c>
      <c r="M333" t="str" cm="1">
        <f t="array" ref="M333">IFERROR(INDEX($I$2:$K$2,0,MATCH(TRUE,I333:K333,0)),E333)</f>
        <v>CCGT</v>
      </c>
      <c r="O333" t="str">
        <f t="shared" si="28"/>
        <v>CCGT_2022</v>
      </c>
      <c r="P333">
        <f t="shared" si="29"/>
        <v>160</v>
      </c>
    </row>
    <row r="334" spans="4:16" x14ac:dyDescent="0.25">
      <c r="D334">
        <v>2023</v>
      </c>
      <c r="E334" t="s">
        <v>123</v>
      </c>
      <c r="F334" t="s">
        <v>163</v>
      </c>
      <c r="G334">
        <v>160</v>
      </c>
      <c r="I334">
        <f t="shared" si="27"/>
        <v>0</v>
      </c>
      <c r="J334">
        <f t="shared" si="27"/>
        <v>0</v>
      </c>
      <c r="K334">
        <f t="shared" si="27"/>
        <v>0</v>
      </c>
      <c r="M334" t="str" cm="1">
        <f t="array" ref="M334">IFERROR(INDEX($I$2:$K$2,0,MATCH(TRUE,I334:K334,0)),E334)</f>
        <v>CCGT</v>
      </c>
      <c r="O334" t="str">
        <f t="shared" si="28"/>
        <v>CCGT_2023</v>
      </c>
      <c r="P334">
        <f t="shared" si="29"/>
        <v>160</v>
      </c>
    </row>
    <row r="335" spans="4:16" x14ac:dyDescent="0.25">
      <c r="D335">
        <v>2024</v>
      </c>
      <c r="E335" t="s">
        <v>123</v>
      </c>
      <c r="F335" t="s">
        <v>163</v>
      </c>
      <c r="G335">
        <v>160</v>
      </c>
      <c r="I335">
        <f t="shared" si="27"/>
        <v>0</v>
      </c>
      <c r="J335">
        <f t="shared" si="27"/>
        <v>0</v>
      </c>
      <c r="K335">
        <f t="shared" si="27"/>
        <v>0</v>
      </c>
      <c r="M335" t="str" cm="1">
        <f t="array" ref="M335">IFERROR(INDEX($I$2:$K$2,0,MATCH(TRUE,I335:K335,0)),E335)</f>
        <v>CCGT</v>
      </c>
      <c r="O335" t="str">
        <f t="shared" si="28"/>
        <v>CCGT_2024</v>
      </c>
      <c r="P335">
        <f t="shared" si="29"/>
        <v>160</v>
      </c>
    </row>
    <row r="336" spans="4:16" x14ac:dyDescent="0.25">
      <c r="D336">
        <v>2025</v>
      </c>
      <c r="E336" t="s">
        <v>123</v>
      </c>
      <c r="F336" t="s">
        <v>163</v>
      </c>
      <c r="G336">
        <v>160</v>
      </c>
      <c r="I336">
        <f t="shared" si="27"/>
        <v>0</v>
      </c>
      <c r="J336">
        <f t="shared" si="27"/>
        <v>0</v>
      </c>
      <c r="K336">
        <f t="shared" si="27"/>
        <v>0</v>
      </c>
      <c r="M336" t="str" cm="1">
        <f t="array" ref="M336">IFERROR(INDEX($I$2:$K$2,0,MATCH(TRUE,I336:K336,0)),E336)</f>
        <v>CCGT</v>
      </c>
      <c r="O336" t="str">
        <f t="shared" si="28"/>
        <v>CCGT_2025</v>
      </c>
      <c r="P336">
        <f t="shared" si="29"/>
        <v>160</v>
      </c>
    </row>
    <row r="337" spans="4:16" x14ac:dyDescent="0.25">
      <c r="D337">
        <v>2026</v>
      </c>
      <c r="E337" t="s">
        <v>123</v>
      </c>
      <c r="F337" t="s">
        <v>163</v>
      </c>
      <c r="G337">
        <v>160</v>
      </c>
      <c r="I337">
        <f t="shared" si="27"/>
        <v>0</v>
      </c>
      <c r="J337">
        <f t="shared" si="27"/>
        <v>0</v>
      </c>
      <c r="K337">
        <f t="shared" si="27"/>
        <v>0</v>
      </c>
      <c r="M337" t="str" cm="1">
        <f t="array" ref="M337">IFERROR(INDEX($I$2:$K$2,0,MATCH(TRUE,I337:K337,0)),E337)</f>
        <v>CCGT</v>
      </c>
      <c r="O337" t="str">
        <f t="shared" si="28"/>
        <v>CCGT_2026</v>
      </c>
      <c r="P337">
        <f t="shared" si="29"/>
        <v>160</v>
      </c>
    </row>
    <row r="338" spans="4:16" x14ac:dyDescent="0.25">
      <c r="D338">
        <v>2027</v>
      </c>
      <c r="E338" t="s">
        <v>123</v>
      </c>
      <c r="F338" t="s">
        <v>163</v>
      </c>
      <c r="G338">
        <v>160</v>
      </c>
      <c r="I338">
        <f t="shared" si="27"/>
        <v>0</v>
      </c>
      <c r="J338">
        <f t="shared" si="27"/>
        <v>0</v>
      </c>
      <c r="K338">
        <f t="shared" si="27"/>
        <v>0</v>
      </c>
      <c r="M338" t="str" cm="1">
        <f t="array" ref="M338">IFERROR(INDEX($I$2:$K$2,0,MATCH(TRUE,I338:K338,0)),E338)</f>
        <v>CCGT</v>
      </c>
      <c r="O338" t="str">
        <f t="shared" si="28"/>
        <v>CCGT_2027</v>
      </c>
      <c r="P338">
        <f t="shared" si="29"/>
        <v>160</v>
      </c>
    </row>
    <row r="339" spans="4:16" x14ac:dyDescent="0.25">
      <c r="D339">
        <v>2028</v>
      </c>
      <c r="E339" t="s">
        <v>123</v>
      </c>
      <c r="F339" t="s">
        <v>163</v>
      </c>
      <c r="G339">
        <v>160</v>
      </c>
      <c r="I339">
        <f t="shared" si="27"/>
        <v>0</v>
      </c>
      <c r="J339">
        <f t="shared" si="27"/>
        <v>0</v>
      </c>
      <c r="K339">
        <f t="shared" si="27"/>
        <v>0</v>
      </c>
      <c r="M339" t="str" cm="1">
        <f t="array" ref="M339">IFERROR(INDEX($I$2:$K$2,0,MATCH(TRUE,I339:K339,0)),E339)</f>
        <v>CCGT</v>
      </c>
      <c r="O339" t="str">
        <f t="shared" si="28"/>
        <v>CCGT_2028</v>
      </c>
      <c r="P339">
        <f t="shared" si="29"/>
        <v>160</v>
      </c>
    </row>
    <row r="340" spans="4:16" x14ac:dyDescent="0.25">
      <c r="D340">
        <v>2029</v>
      </c>
      <c r="E340" t="s">
        <v>123</v>
      </c>
      <c r="F340" t="s">
        <v>163</v>
      </c>
      <c r="G340">
        <v>160</v>
      </c>
      <c r="I340">
        <f t="shared" si="27"/>
        <v>0</v>
      </c>
      <c r="J340">
        <f t="shared" si="27"/>
        <v>0</v>
      </c>
      <c r="K340">
        <f t="shared" si="27"/>
        <v>0</v>
      </c>
      <c r="M340" t="str" cm="1">
        <f t="array" ref="M340">IFERROR(INDEX($I$2:$K$2,0,MATCH(TRUE,I340:K340,0)),E340)</f>
        <v>CCGT</v>
      </c>
      <c r="O340" t="str">
        <f t="shared" si="28"/>
        <v>CCGT_2029</v>
      </c>
      <c r="P340">
        <f t="shared" si="29"/>
        <v>160</v>
      </c>
    </row>
    <row r="341" spans="4:16" x14ac:dyDescent="0.25">
      <c r="D341">
        <v>2030</v>
      </c>
      <c r="E341" t="s">
        <v>123</v>
      </c>
      <c r="F341" t="s">
        <v>163</v>
      </c>
      <c r="G341">
        <v>160</v>
      </c>
      <c r="I341">
        <f t="shared" si="27"/>
        <v>0</v>
      </c>
      <c r="J341">
        <f t="shared" si="27"/>
        <v>0</v>
      </c>
      <c r="K341">
        <f t="shared" si="27"/>
        <v>0</v>
      </c>
      <c r="M341" t="str" cm="1">
        <f t="array" ref="M341">IFERROR(INDEX($I$2:$K$2,0,MATCH(TRUE,I341:K341,0)),E341)</f>
        <v>CCGT</v>
      </c>
      <c r="O341" t="str">
        <f t="shared" si="28"/>
        <v>CCGT_2030</v>
      </c>
      <c r="P341">
        <f t="shared" si="29"/>
        <v>160</v>
      </c>
    </row>
    <row r="342" spans="4:16" x14ac:dyDescent="0.25">
      <c r="D342">
        <v>2031</v>
      </c>
      <c r="E342" t="s">
        <v>123</v>
      </c>
      <c r="F342" t="s">
        <v>163</v>
      </c>
      <c r="G342">
        <v>160</v>
      </c>
      <c r="I342">
        <f t="shared" si="27"/>
        <v>0</v>
      </c>
      <c r="J342">
        <f t="shared" si="27"/>
        <v>0</v>
      </c>
      <c r="K342">
        <f t="shared" si="27"/>
        <v>0</v>
      </c>
      <c r="M342" t="str" cm="1">
        <f t="array" ref="M342">IFERROR(INDEX($I$2:$K$2,0,MATCH(TRUE,I342:K342,0)),E342)</f>
        <v>CCGT</v>
      </c>
      <c r="O342" t="str">
        <f t="shared" si="28"/>
        <v>CCGT_2031</v>
      </c>
      <c r="P342">
        <f t="shared" si="29"/>
        <v>160</v>
      </c>
    </row>
    <row r="343" spans="4:16" x14ac:dyDescent="0.25">
      <c r="D343">
        <v>2032</v>
      </c>
      <c r="E343" t="s">
        <v>123</v>
      </c>
      <c r="F343" t="s">
        <v>163</v>
      </c>
      <c r="G343">
        <v>160</v>
      </c>
      <c r="I343">
        <f t="shared" si="27"/>
        <v>0</v>
      </c>
      <c r="J343">
        <f t="shared" si="27"/>
        <v>0</v>
      </c>
      <c r="K343">
        <f t="shared" si="27"/>
        <v>0</v>
      </c>
      <c r="M343" t="str" cm="1">
        <f t="array" ref="M343">IFERROR(INDEX($I$2:$K$2,0,MATCH(TRUE,I343:K343,0)),E343)</f>
        <v>CCGT</v>
      </c>
      <c r="O343" t="str">
        <f t="shared" si="28"/>
        <v>CCGT_2032</v>
      </c>
      <c r="P343">
        <f t="shared" si="29"/>
        <v>160</v>
      </c>
    </row>
    <row r="344" spans="4:16" x14ac:dyDescent="0.25">
      <c r="D344">
        <v>2033</v>
      </c>
      <c r="E344" t="s">
        <v>123</v>
      </c>
      <c r="F344" t="s">
        <v>163</v>
      </c>
      <c r="G344">
        <v>160</v>
      </c>
      <c r="I344">
        <f t="shared" ref="I344:K363" si="30">IFERROR(FIND(I$2,$E344,1)&gt;0,0)</f>
        <v>0</v>
      </c>
      <c r="J344">
        <f t="shared" si="30"/>
        <v>0</v>
      </c>
      <c r="K344">
        <f t="shared" si="30"/>
        <v>0</v>
      </c>
      <c r="M344" t="str" cm="1">
        <f t="array" ref="M344">IFERROR(INDEX($I$2:$K$2,0,MATCH(TRUE,I344:K344,0)),E344)</f>
        <v>CCGT</v>
      </c>
      <c r="O344" t="str">
        <f t="shared" si="28"/>
        <v>CCGT_2033</v>
      </c>
      <c r="P344">
        <f t="shared" si="29"/>
        <v>160</v>
      </c>
    </row>
    <row r="345" spans="4:16" x14ac:dyDescent="0.25">
      <c r="D345">
        <v>2034</v>
      </c>
      <c r="E345" t="s">
        <v>123</v>
      </c>
      <c r="F345" t="s">
        <v>163</v>
      </c>
      <c r="G345">
        <v>160</v>
      </c>
      <c r="I345">
        <f t="shared" si="30"/>
        <v>0</v>
      </c>
      <c r="J345">
        <f t="shared" si="30"/>
        <v>0</v>
      </c>
      <c r="K345">
        <f t="shared" si="30"/>
        <v>0</v>
      </c>
      <c r="M345" t="str" cm="1">
        <f t="array" ref="M345">IFERROR(INDEX($I$2:$K$2,0,MATCH(TRUE,I345:K345,0)),E345)</f>
        <v>CCGT</v>
      </c>
      <c r="O345" t="str">
        <f t="shared" si="28"/>
        <v>CCGT_2034</v>
      </c>
      <c r="P345">
        <f t="shared" si="29"/>
        <v>160</v>
      </c>
    </row>
    <row r="346" spans="4:16" x14ac:dyDescent="0.25">
      <c r="D346">
        <v>2035</v>
      </c>
      <c r="E346" t="s">
        <v>123</v>
      </c>
      <c r="F346" t="s">
        <v>163</v>
      </c>
      <c r="G346">
        <v>160</v>
      </c>
      <c r="I346">
        <f t="shared" si="30"/>
        <v>0</v>
      </c>
      <c r="J346">
        <f t="shared" si="30"/>
        <v>0</v>
      </c>
      <c r="K346">
        <f t="shared" si="30"/>
        <v>0</v>
      </c>
      <c r="M346" t="str" cm="1">
        <f t="array" ref="M346">IFERROR(INDEX($I$2:$K$2,0,MATCH(TRUE,I346:K346,0)),E346)</f>
        <v>CCGT</v>
      </c>
      <c r="O346" t="str">
        <f t="shared" si="28"/>
        <v>CCGT_2035</v>
      </c>
      <c r="P346">
        <f t="shared" si="29"/>
        <v>160</v>
      </c>
    </row>
    <row r="347" spans="4:16" x14ac:dyDescent="0.25">
      <c r="D347">
        <v>2036</v>
      </c>
      <c r="E347" t="s">
        <v>123</v>
      </c>
      <c r="F347" t="s">
        <v>163</v>
      </c>
      <c r="G347">
        <v>160</v>
      </c>
      <c r="I347">
        <f t="shared" si="30"/>
        <v>0</v>
      </c>
      <c r="J347">
        <f t="shared" si="30"/>
        <v>0</v>
      </c>
      <c r="K347">
        <f t="shared" si="30"/>
        <v>0</v>
      </c>
      <c r="M347" t="str" cm="1">
        <f t="array" ref="M347">IFERROR(INDEX($I$2:$K$2,0,MATCH(TRUE,I347:K347,0)),E347)</f>
        <v>CCGT</v>
      </c>
      <c r="O347" t="str">
        <f t="shared" si="28"/>
        <v>CCGT_2036</v>
      </c>
      <c r="P347">
        <f t="shared" si="29"/>
        <v>160</v>
      </c>
    </row>
    <row r="348" spans="4:16" x14ac:dyDescent="0.25">
      <c r="D348">
        <v>2037</v>
      </c>
      <c r="E348" t="s">
        <v>123</v>
      </c>
      <c r="F348" t="s">
        <v>163</v>
      </c>
      <c r="G348">
        <v>160</v>
      </c>
      <c r="I348">
        <f t="shared" si="30"/>
        <v>0</v>
      </c>
      <c r="J348">
        <f t="shared" si="30"/>
        <v>0</v>
      </c>
      <c r="K348">
        <f t="shared" si="30"/>
        <v>0</v>
      </c>
      <c r="M348" t="str" cm="1">
        <f t="array" ref="M348">IFERROR(INDEX($I$2:$K$2,0,MATCH(TRUE,I348:K348,0)),E348)</f>
        <v>CCGT</v>
      </c>
      <c r="O348" t="str">
        <f t="shared" si="28"/>
        <v>CCGT_2037</v>
      </c>
      <c r="P348">
        <f t="shared" si="29"/>
        <v>160</v>
      </c>
    </row>
    <row r="349" spans="4:16" x14ac:dyDescent="0.25">
      <c r="D349">
        <v>2038</v>
      </c>
      <c r="E349" t="s">
        <v>123</v>
      </c>
      <c r="F349" t="s">
        <v>163</v>
      </c>
      <c r="G349">
        <v>160</v>
      </c>
      <c r="I349">
        <f t="shared" si="30"/>
        <v>0</v>
      </c>
      <c r="J349">
        <f t="shared" si="30"/>
        <v>0</v>
      </c>
      <c r="K349">
        <f t="shared" si="30"/>
        <v>0</v>
      </c>
      <c r="M349" t="str" cm="1">
        <f t="array" ref="M349">IFERROR(INDEX($I$2:$K$2,0,MATCH(TRUE,I349:K349,0)),E349)</f>
        <v>CCGT</v>
      </c>
      <c r="O349" t="str">
        <f t="shared" si="28"/>
        <v>CCGT_2038</v>
      </c>
      <c r="P349">
        <f t="shared" si="29"/>
        <v>160</v>
      </c>
    </row>
    <row r="350" spans="4:16" x14ac:dyDescent="0.25">
      <c r="D350">
        <v>2039</v>
      </c>
      <c r="E350" t="s">
        <v>123</v>
      </c>
      <c r="F350" t="s">
        <v>163</v>
      </c>
      <c r="G350">
        <v>160</v>
      </c>
      <c r="I350">
        <f t="shared" si="30"/>
        <v>0</v>
      </c>
      <c r="J350">
        <f t="shared" si="30"/>
        <v>0</v>
      </c>
      <c r="K350">
        <f t="shared" si="30"/>
        <v>0</v>
      </c>
      <c r="M350" t="str" cm="1">
        <f t="array" ref="M350">IFERROR(INDEX($I$2:$K$2,0,MATCH(TRUE,I350:K350,0)),E350)</f>
        <v>CCGT</v>
      </c>
      <c r="O350" t="str">
        <f t="shared" si="28"/>
        <v>CCGT_2039</v>
      </c>
      <c r="P350">
        <f t="shared" si="29"/>
        <v>160</v>
      </c>
    </row>
    <row r="351" spans="4:16" x14ac:dyDescent="0.25">
      <c r="D351">
        <v>2040</v>
      </c>
      <c r="E351" t="s">
        <v>123</v>
      </c>
      <c r="F351" t="s">
        <v>163</v>
      </c>
      <c r="G351">
        <v>160</v>
      </c>
      <c r="I351">
        <f t="shared" si="30"/>
        <v>0</v>
      </c>
      <c r="J351">
        <f t="shared" si="30"/>
        <v>0</v>
      </c>
      <c r="K351">
        <f t="shared" si="30"/>
        <v>0</v>
      </c>
      <c r="M351" t="str" cm="1">
        <f t="array" ref="M351">IFERROR(INDEX($I$2:$K$2,0,MATCH(TRUE,I351:K351,0)),E351)</f>
        <v>CCGT</v>
      </c>
      <c r="O351" t="str">
        <f t="shared" si="28"/>
        <v>CCGT_2040</v>
      </c>
      <c r="P351">
        <f t="shared" si="29"/>
        <v>160</v>
      </c>
    </row>
    <row r="352" spans="4:16" x14ac:dyDescent="0.25">
      <c r="D352">
        <v>2021</v>
      </c>
      <c r="E352" t="s">
        <v>123</v>
      </c>
      <c r="F352" t="s">
        <v>164</v>
      </c>
      <c r="G352">
        <v>47.247999999999998</v>
      </c>
      <c r="I352">
        <f t="shared" si="30"/>
        <v>0</v>
      </c>
      <c r="J352">
        <f t="shared" si="30"/>
        <v>0</v>
      </c>
      <c r="K352">
        <f t="shared" si="30"/>
        <v>0</v>
      </c>
      <c r="M352" t="str" cm="1">
        <f t="array" ref="M352">IFERROR(INDEX($I$2:$K$2,0,MATCH(TRUE,I352:K352,0)),E352)</f>
        <v>CCGT</v>
      </c>
      <c r="O352" t="str">
        <f t="shared" si="28"/>
        <v>CCGT_2021</v>
      </c>
      <c r="P352">
        <f t="shared" si="29"/>
        <v>47.247999999999998</v>
      </c>
    </row>
    <row r="353" spans="4:16" x14ac:dyDescent="0.25">
      <c r="D353">
        <v>2022</v>
      </c>
      <c r="E353" t="s">
        <v>123</v>
      </c>
      <c r="F353" t="s">
        <v>164</v>
      </c>
      <c r="G353">
        <v>47.247999999999998</v>
      </c>
      <c r="I353">
        <f t="shared" si="30"/>
        <v>0</v>
      </c>
      <c r="J353">
        <f t="shared" si="30"/>
        <v>0</v>
      </c>
      <c r="K353">
        <f t="shared" si="30"/>
        <v>0</v>
      </c>
      <c r="M353" t="str" cm="1">
        <f t="array" ref="M353">IFERROR(INDEX($I$2:$K$2,0,MATCH(TRUE,I353:K353,0)),E353)</f>
        <v>CCGT</v>
      </c>
      <c r="O353" t="str">
        <f t="shared" si="28"/>
        <v>CCGT_2022</v>
      </c>
      <c r="P353">
        <f t="shared" si="29"/>
        <v>47.247999999999998</v>
      </c>
    </row>
    <row r="354" spans="4:16" x14ac:dyDescent="0.25">
      <c r="D354">
        <v>2023</v>
      </c>
      <c r="E354" t="s">
        <v>123</v>
      </c>
      <c r="F354" t="s">
        <v>164</v>
      </c>
      <c r="G354">
        <v>47.247999999999998</v>
      </c>
      <c r="I354">
        <f t="shared" si="30"/>
        <v>0</v>
      </c>
      <c r="J354">
        <f t="shared" si="30"/>
        <v>0</v>
      </c>
      <c r="K354">
        <f t="shared" si="30"/>
        <v>0</v>
      </c>
      <c r="M354" t="str" cm="1">
        <f t="array" ref="M354">IFERROR(INDEX($I$2:$K$2,0,MATCH(TRUE,I354:K354,0)),E354)</f>
        <v>CCGT</v>
      </c>
      <c r="O354" t="str">
        <f t="shared" si="28"/>
        <v>CCGT_2023</v>
      </c>
      <c r="P354">
        <f t="shared" si="29"/>
        <v>47.247999999999998</v>
      </c>
    </row>
    <row r="355" spans="4:16" x14ac:dyDescent="0.25">
      <c r="D355">
        <v>2024</v>
      </c>
      <c r="E355" t="s">
        <v>123</v>
      </c>
      <c r="F355" t="s">
        <v>164</v>
      </c>
      <c r="G355">
        <v>47.247999999999998</v>
      </c>
      <c r="I355">
        <f t="shared" si="30"/>
        <v>0</v>
      </c>
      <c r="J355">
        <f t="shared" si="30"/>
        <v>0</v>
      </c>
      <c r="K355">
        <f t="shared" si="30"/>
        <v>0</v>
      </c>
      <c r="M355" t="str" cm="1">
        <f t="array" ref="M355">IFERROR(INDEX($I$2:$K$2,0,MATCH(TRUE,I355:K355,0)),E355)</f>
        <v>CCGT</v>
      </c>
      <c r="O355" t="str">
        <f t="shared" si="28"/>
        <v>CCGT_2024</v>
      </c>
      <c r="P355">
        <f t="shared" si="29"/>
        <v>47.247999999999998</v>
      </c>
    </row>
    <row r="356" spans="4:16" x14ac:dyDescent="0.25">
      <c r="D356">
        <v>2025</v>
      </c>
      <c r="E356" t="s">
        <v>123</v>
      </c>
      <c r="F356" t="s">
        <v>164</v>
      </c>
      <c r="G356">
        <v>47.247999999999998</v>
      </c>
      <c r="I356">
        <f t="shared" si="30"/>
        <v>0</v>
      </c>
      <c r="J356">
        <f t="shared" si="30"/>
        <v>0</v>
      </c>
      <c r="K356">
        <f t="shared" si="30"/>
        <v>0</v>
      </c>
      <c r="M356" t="str" cm="1">
        <f t="array" ref="M356">IFERROR(INDEX($I$2:$K$2,0,MATCH(TRUE,I356:K356,0)),E356)</f>
        <v>CCGT</v>
      </c>
      <c r="O356" t="str">
        <f t="shared" si="28"/>
        <v>CCGT_2025</v>
      </c>
      <c r="P356">
        <f t="shared" si="29"/>
        <v>47.247999999999998</v>
      </c>
    </row>
    <row r="357" spans="4:16" x14ac:dyDescent="0.25">
      <c r="D357">
        <v>2026</v>
      </c>
      <c r="E357" t="s">
        <v>123</v>
      </c>
      <c r="F357" t="s">
        <v>164</v>
      </c>
      <c r="G357">
        <v>47.247999999999998</v>
      </c>
      <c r="I357">
        <f t="shared" si="30"/>
        <v>0</v>
      </c>
      <c r="J357">
        <f t="shared" si="30"/>
        <v>0</v>
      </c>
      <c r="K357">
        <f t="shared" si="30"/>
        <v>0</v>
      </c>
      <c r="M357" t="str" cm="1">
        <f t="array" ref="M357">IFERROR(INDEX($I$2:$K$2,0,MATCH(TRUE,I357:K357,0)),E357)</f>
        <v>CCGT</v>
      </c>
      <c r="O357" t="str">
        <f t="shared" si="28"/>
        <v>CCGT_2026</v>
      </c>
      <c r="P357">
        <f t="shared" si="29"/>
        <v>47.247999999999998</v>
      </c>
    </row>
    <row r="358" spans="4:16" x14ac:dyDescent="0.25">
      <c r="D358">
        <v>2027</v>
      </c>
      <c r="E358" t="s">
        <v>123</v>
      </c>
      <c r="F358" t="s">
        <v>164</v>
      </c>
      <c r="G358">
        <v>47.247999999999998</v>
      </c>
      <c r="I358">
        <f t="shared" si="30"/>
        <v>0</v>
      </c>
      <c r="J358">
        <f t="shared" si="30"/>
        <v>0</v>
      </c>
      <c r="K358">
        <f t="shared" si="30"/>
        <v>0</v>
      </c>
      <c r="M358" t="str" cm="1">
        <f t="array" ref="M358">IFERROR(INDEX($I$2:$K$2,0,MATCH(TRUE,I358:K358,0)),E358)</f>
        <v>CCGT</v>
      </c>
      <c r="O358" t="str">
        <f t="shared" si="28"/>
        <v>CCGT_2027</v>
      </c>
      <c r="P358">
        <f t="shared" si="29"/>
        <v>47.247999999999998</v>
      </c>
    </row>
    <row r="359" spans="4:16" x14ac:dyDescent="0.25">
      <c r="D359">
        <v>2028</v>
      </c>
      <c r="E359" t="s">
        <v>123</v>
      </c>
      <c r="F359" t="s">
        <v>164</v>
      </c>
      <c r="G359">
        <v>47.247999999999998</v>
      </c>
      <c r="I359">
        <f t="shared" si="30"/>
        <v>0</v>
      </c>
      <c r="J359">
        <f t="shared" si="30"/>
        <v>0</v>
      </c>
      <c r="K359">
        <f t="shared" si="30"/>
        <v>0</v>
      </c>
      <c r="M359" t="str" cm="1">
        <f t="array" ref="M359">IFERROR(INDEX($I$2:$K$2,0,MATCH(TRUE,I359:K359,0)),E359)</f>
        <v>CCGT</v>
      </c>
      <c r="O359" t="str">
        <f t="shared" si="28"/>
        <v>CCGT_2028</v>
      </c>
      <c r="P359">
        <f t="shared" si="29"/>
        <v>47.247999999999998</v>
      </c>
    </row>
    <row r="360" spans="4:16" x14ac:dyDescent="0.25">
      <c r="D360">
        <v>2029</v>
      </c>
      <c r="E360" t="s">
        <v>123</v>
      </c>
      <c r="F360" t="s">
        <v>164</v>
      </c>
      <c r="G360">
        <v>47.247999999999998</v>
      </c>
      <c r="I360">
        <f t="shared" si="30"/>
        <v>0</v>
      </c>
      <c r="J360">
        <f t="shared" si="30"/>
        <v>0</v>
      </c>
      <c r="K360">
        <f t="shared" si="30"/>
        <v>0</v>
      </c>
      <c r="M360" t="str" cm="1">
        <f t="array" ref="M360">IFERROR(INDEX($I$2:$K$2,0,MATCH(TRUE,I360:K360,0)),E360)</f>
        <v>CCGT</v>
      </c>
      <c r="O360" t="str">
        <f t="shared" si="28"/>
        <v>CCGT_2029</v>
      </c>
      <c r="P360">
        <f t="shared" si="29"/>
        <v>47.247999999999998</v>
      </c>
    </row>
    <row r="361" spans="4:16" x14ac:dyDescent="0.25">
      <c r="D361">
        <v>2030</v>
      </c>
      <c r="E361" t="s">
        <v>123</v>
      </c>
      <c r="F361" t="s">
        <v>164</v>
      </c>
      <c r="G361">
        <v>47.247999999999998</v>
      </c>
      <c r="I361">
        <f t="shared" si="30"/>
        <v>0</v>
      </c>
      <c r="J361">
        <f t="shared" si="30"/>
        <v>0</v>
      </c>
      <c r="K361">
        <f t="shared" si="30"/>
        <v>0</v>
      </c>
      <c r="M361" t="str" cm="1">
        <f t="array" ref="M361">IFERROR(INDEX($I$2:$K$2,0,MATCH(TRUE,I361:K361,0)),E361)</f>
        <v>CCGT</v>
      </c>
      <c r="O361" t="str">
        <f t="shared" si="28"/>
        <v>CCGT_2030</v>
      </c>
      <c r="P361">
        <f t="shared" si="29"/>
        <v>47.247999999999998</v>
      </c>
    </row>
    <row r="362" spans="4:16" x14ac:dyDescent="0.25">
      <c r="D362">
        <v>2031</v>
      </c>
      <c r="E362" t="s">
        <v>123</v>
      </c>
      <c r="F362" t="s">
        <v>164</v>
      </c>
      <c r="G362">
        <v>47.247999999999998</v>
      </c>
      <c r="I362">
        <f t="shared" si="30"/>
        <v>0</v>
      </c>
      <c r="J362">
        <f t="shared" si="30"/>
        <v>0</v>
      </c>
      <c r="K362">
        <f t="shared" si="30"/>
        <v>0</v>
      </c>
      <c r="M362" t="str" cm="1">
        <f t="array" ref="M362">IFERROR(INDEX($I$2:$K$2,0,MATCH(TRUE,I362:K362,0)),E362)</f>
        <v>CCGT</v>
      </c>
      <c r="O362" t="str">
        <f t="shared" si="28"/>
        <v>CCGT_2031</v>
      </c>
      <c r="P362">
        <f t="shared" si="29"/>
        <v>47.247999999999998</v>
      </c>
    </row>
    <row r="363" spans="4:16" x14ac:dyDescent="0.25">
      <c r="D363">
        <v>2032</v>
      </c>
      <c r="E363" t="s">
        <v>123</v>
      </c>
      <c r="F363" t="s">
        <v>164</v>
      </c>
      <c r="G363">
        <v>47.247999999999998</v>
      </c>
      <c r="I363">
        <f t="shared" si="30"/>
        <v>0</v>
      </c>
      <c r="J363">
        <f t="shared" si="30"/>
        <v>0</v>
      </c>
      <c r="K363">
        <f t="shared" si="30"/>
        <v>0</v>
      </c>
      <c r="M363" t="str" cm="1">
        <f t="array" ref="M363">IFERROR(INDEX($I$2:$K$2,0,MATCH(TRUE,I363:K363,0)),E363)</f>
        <v>CCGT</v>
      </c>
      <c r="O363" t="str">
        <f t="shared" si="28"/>
        <v>CCGT_2032</v>
      </c>
      <c r="P363">
        <f t="shared" si="29"/>
        <v>47.247999999999998</v>
      </c>
    </row>
    <row r="364" spans="4:16" x14ac:dyDescent="0.25">
      <c r="D364">
        <v>2033</v>
      </c>
      <c r="E364" t="s">
        <v>123</v>
      </c>
      <c r="F364" t="s">
        <v>164</v>
      </c>
      <c r="G364">
        <v>47.247999999999998</v>
      </c>
      <c r="I364">
        <f t="shared" ref="I364:K383" si="31">IFERROR(FIND(I$2,$E364,1)&gt;0,0)</f>
        <v>0</v>
      </c>
      <c r="J364">
        <f t="shared" si="31"/>
        <v>0</v>
      </c>
      <c r="K364">
        <f t="shared" si="31"/>
        <v>0</v>
      </c>
      <c r="M364" t="str" cm="1">
        <f t="array" ref="M364">IFERROR(INDEX($I$2:$K$2,0,MATCH(TRUE,I364:K364,0)),E364)</f>
        <v>CCGT</v>
      </c>
      <c r="O364" t="str">
        <f t="shared" si="28"/>
        <v>CCGT_2033</v>
      </c>
      <c r="P364">
        <f t="shared" si="29"/>
        <v>47.247999999999998</v>
      </c>
    </row>
    <row r="365" spans="4:16" x14ac:dyDescent="0.25">
      <c r="D365">
        <v>2034</v>
      </c>
      <c r="E365" t="s">
        <v>123</v>
      </c>
      <c r="F365" t="s">
        <v>164</v>
      </c>
      <c r="G365">
        <v>47.247999999999998</v>
      </c>
      <c r="I365">
        <f t="shared" si="31"/>
        <v>0</v>
      </c>
      <c r="J365">
        <f t="shared" si="31"/>
        <v>0</v>
      </c>
      <c r="K365">
        <f t="shared" si="31"/>
        <v>0</v>
      </c>
      <c r="M365" t="str" cm="1">
        <f t="array" ref="M365">IFERROR(INDEX($I$2:$K$2,0,MATCH(TRUE,I365:K365,0)),E365)</f>
        <v>CCGT</v>
      </c>
      <c r="O365" t="str">
        <f t="shared" si="28"/>
        <v>CCGT_2034</v>
      </c>
      <c r="P365">
        <f t="shared" si="29"/>
        <v>47.247999999999998</v>
      </c>
    </row>
    <row r="366" spans="4:16" x14ac:dyDescent="0.25">
      <c r="D366">
        <v>2035</v>
      </c>
      <c r="E366" t="s">
        <v>123</v>
      </c>
      <c r="F366" t="s">
        <v>164</v>
      </c>
      <c r="G366">
        <v>47.247999999999998</v>
      </c>
      <c r="I366">
        <f t="shared" si="31"/>
        <v>0</v>
      </c>
      <c r="J366">
        <f t="shared" si="31"/>
        <v>0</v>
      </c>
      <c r="K366">
        <f t="shared" si="31"/>
        <v>0</v>
      </c>
      <c r="M366" t="str" cm="1">
        <f t="array" ref="M366">IFERROR(INDEX($I$2:$K$2,0,MATCH(TRUE,I366:K366,0)),E366)</f>
        <v>CCGT</v>
      </c>
      <c r="O366" t="str">
        <f t="shared" si="28"/>
        <v>CCGT_2035</v>
      </c>
      <c r="P366">
        <f t="shared" si="29"/>
        <v>47.247999999999998</v>
      </c>
    </row>
    <row r="367" spans="4:16" x14ac:dyDescent="0.25">
      <c r="D367">
        <v>2036</v>
      </c>
      <c r="E367" t="s">
        <v>123</v>
      </c>
      <c r="F367" t="s">
        <v>164</v>
      </c>
      <c r="G367">
        <v>47.247999999999998</v>
      </c>
      <c r="I367">
        <f t="shared" si="31"/>
        <v>0</v>
      </c>
      <c r="J367">
        <f t="shared" si="31"/>
        <v>0</v>
      </c>
      <c r="K367">
        <f t="shared" si="31"/>
        <v>0</v>
      </c>
      <c r="M367" t="str" cm="1">
        <f t="array" ref="M367">IFERROR(INDEX($I$2:$K$2,0,MATCH(TRUE,I367:K367,0)),E367)</f>
        <v>CCGT</v>
      </c>
      <c r="O367" t="str">
        <f t="shared" si="28"/>
        <v>CCGT_2036</v>
      </c>
      <c r="P367">
        <f t="shared" si="29"/>
        <v>47.247999999999998</v>
      </c>
    </row>
    <row r="368" spans="4:16" x14ac:dyDescent="0.25">
      <c r="D368">
        <v>2037</v>
      </c>
      <c r="E368" t="s">
        <v>123</v>
      </c>
      <c r="F368" t="s">
        <v>164</v>
      </c>
      <c r="G368">
        <v>47.247999999999998</v>
      </c>
      <c r="I368">
        <f t="shared" si="31"/>
        <v>0</v>
      </c>
      <c r="J368">
        <f t="shared" si="31"/>
        <v>0</v>
      </c>
      <c r="K368">
        <f t="shared" si="31"/>
        <v>0</v>
      </c>
      <c r="M368" t="str" cm="1">
        <f t="array" ref="M368">IFERROR(INDEX($I$2:$K$2,0,MATCH(TRUE,I368:K368,0)),E368)</f>
        <v>CCGT</v>
      </c>
      <c r="O368" t="str">
        <f t="shared" si="28"/>
        <v>CCGT_2037</v>
      </c>
      <c r="P368">
        <f t="shared" si="29"/>
        <v>47.247999999999998</v>
      </c>
    </row>
    <row r="369" spans="4:16" x14ac:dyDescent="0.25">
      <c r="D369">
        <v>2038</v>
      </c>
      <c r="E369" t="s">
        <v>123</v>
      </c>
      <c r="F369" t="s">
        <v>164</v>
      </c>
      <c r="G369">
        <v>47.247999999999998</v>
      </c>
      <c r="I369">
        <f t="shared" si="31"/>
        <v>0</v>
      </c>
      <c r="J369">
        <f t="shared" si="31"/>
        <v>0</v>
      </c>
      <c r="K369">
        <f t="shared" si="31"/>
        <v>0</v>
      </c>
      <c r="M369" t="str" cm="1">
        <f t="array" ref="M369">IFERROR(INDEX($I$2:$K$2,0,MATCH(TRUE,I369:K369,0)),E369)</f>
        <v>CCGT</v>
      </c>
      <c r="O369" t="str">
        <f t="shared" si="28"/>
        <v>CCGT_2038</v>
      </c>
      <c r="P369">
        <f t="shared" si="29"/>
        <v>47.247999999999998</v>
      </c>
    </row>
    <row r="370" spans="4:16" x14ac:dyDescent="0.25">
      <c r="D370">
        <v>2039</v>
      </c>
      <c r="E370" t="s">
        <v>123</v>
      </c>
      <c r="F370" t="s">
        <v>164</v>
      </c>
      <c r="G370">
        <v>47.247999999999998</v>
      </c>
      <c r="I370">
        <f t="shared" si="31"/>
        <v>0</v>
      </c>
      <c r="J370">
        <f t="shared" si="31"/>
        <v>0</v>
      </c>
      <c r="K370">
        <f t="shared" si="31"/>
        <v>0</v>
      </c>
      <c r="M370" t="str" cm="1">
        <f t="array" ref="M370">IFERROR(INDEX($I$2:$K$2,0,MATCH(TRUE,I370:K370,0)),E370)</f>
        <v>CCGT</v>
      </c>
      <c r="O370" t="str">
        <f t="shared" si="28"/>
        <v>CCGT_2039</v>
      </c>
      <c r="P370">
        <f t="shared" si="29"/>
        <v>47.247999999999998</v>
      </c>
    </row>
    <row r="371" spans="4:16" x14ac:dyDescent="0.25">
      <c r="D371">
        <v>2040</v>
      </c>
      <c r="E371" t="s">
        <v>123</v>
      </c>
      <c r="F371" t="s">
        <v>164</v>
      </c>
      <c r="G371">
        <v>47.247999999999998</v>
      </c>
      <c r="I371">
        <f t="shared" si="31"/>
        <v>0</v>
      </c>
      <c r="J371">
        <f t="shared" si="31"/>
        <v>0</v>
      </c>
      <c r="K371">
        <f t="shared" si="31"/>
        <v>0</v>
      </c>
      <c r="M371" t="str" cm="1">
        <f t="array" ref="M371">IFERROR(INDEX($I$2:$K$2,0,MATCH(TRUE,I371:K371,0)),E371)</f>
        <v>CCGT</v>
      </c>
      <c r="O371" t="str">
        <f t="shared" si="28"/>
        <v>CCGT_2040</v>
      </c>
      <c r="P371">
        <f t="shared" si="29"/>
        <v>47.247999999999998</v>
      </c>
    </row>
    <row r="372" spans="4:16" x14ac:dyDescent="0.25">
      <c r="D372">
        <v>2021</v>
      </c>
      <c r="E372" t="s">
        <v>123</v>
      </c>
      <c r="F372" t="s">
        <v>165</v>
      </c>
      <c r="G372">
        <v>870</v>
      </c>
      <c r="I372">
        <f t="shared" si="31"/>
        <v>0</v>
      </c>
      <c r="J372">
        <f t="shared" si="31"/>
        <v>0</v>
      </c>
      <c r="K372">
        <f t="shared" si="31"/>
        <v>0</v>
      </c>
      <c r="M372" t="str" cm="1">
        <f t="array" ref="M372">IFERROR(INDEX($I$2:$K$2,0,MATCH(TRUE,I372:K372,0)),E372)</f>
        <v>CCGT</v>
      </c>
      <c r="O372" t="str">
        <f t="shared" si="28"/>
        <v>CCGT_2021</v>
      </c>
      <c r="P372">
        <f t="shared" si="29"/>
        <v>870</v>
      </c>
    </row>
    <row r="373" spans="4:16" x14ac:dyDescent="0.25">
      <c r="D373">
        <v>2022</v>
      </c>
      <c r="E373" t="s">
        <v>123</v>
      </c>
      <c r="F373" t="s">
        <v>165</v>
      </c>
      <c r="G373">
        <v>870</v>
      </c>
      <c r="I373">
        <f t="shared" si="31"/>
        <v>0</v>
      </c>
      <c r="J373">
        <f t="shared" si="31"/>
        <v>0</v>
      </c>
      <c r="K373">
        <f t="shared" si="31"/>
        <v>0</v>
      </c>
      <c r="M373" t="str" cm="1">
        <f t="array" ref="M373">IFERROR(INDEX($I$2:$K$2,0,MATCH(TRUE,I373:K373,0)),E373)</f>
        <v>CCGT</v>
      </c>
      <c r="O373" t="str">
        <f t="shared" si="28"/>
        <v>CCGT_2022</v>
      </c>
      <c r="P373">
        <f t="shared" si="29"/>
        <v>870</v>
      </c>
    </row>
    <row r="374" spans="4:16" x14ac:dyDescent="0.25">
      <c r="D374">
        <v>2023</v>
      </c>
      <c r="E374" t="s">
        <v>123</v>
      </c>
      <c r="F374" t="s">
        <v>165</v>
      </c>
      <c r="G374">
        <v>870</v>
      </c>
      <c r="I374">
        <f t="shared" si="31"/>
        <v>0</v>
      </c>
      <c r="J374">
        <f t="shared" si="31"/>
        <v>0</v>
      </c>
      <c r="K374">
        <f t="shared" si="31"/>
        <v>0</v>
      </c>
      <c r="M374" t="str" cm="1">
        <f t="array" ref="M374">IFERROR(INDEX($I$2:$K$2,0,MATCH(TRUE,I374:K374,0)),E374)</f>
        <v>CCGT</v>
      </c>
      <c r="O374" t="str">
        <f t="shared" si="28"/>
        <v>CCGT_2023</v>
      </c>
      <c r="P374">
        <f t="shared" si="29"/>
        <v>870</v>
      </c>
    </row>
    <row r="375" spans="4:16" x14ac:dyDescent="0.25">
      <c r="D375">
        <v>2024</v>
      </c>
      <c r="E375" t="s">
        <v>123</v>
      </c>
      <c r="F375" t="s">
        <v>165</v>
      </c>
      <c r="G375">
        <v>870</v>
      </c>
      <c r="I375">
        <f t="shared" si="31"/>
        <v>0</v>
      </c>
      <c r="J375">
        <f t="shared" si="31"/>
        <v>0</v>
      </c>
      <c r="K375">
        <f t="shared" si="31"/>
        <v>0</v>
      </c>
      <c r="M375" t="str" cm="1">
        <f t="array" ref="M375">IFERROR(INDEX($I$2:$K$2,0,MATCH(TRUE,I375:K375,0)),E375)</f>
        <v>CCGT</v>
      </c>
      <c r="O375" t="str">
        <f t="shared" si="28"/>
        <v>CCGT_2024</v>
      </c>
      <c r="P375">
        <f t="shared" si="29"/>
        <v>870</v>
      </c>
    </row>
    <row r="376" spans="4:16" x14ac:dyDescent="0.25">
      <c r="D376">
        <v>2025</v>
      </c>
      <c r="E376" t="s">
        <v>123</v>
      </c>
      <c r="F376" t="s">
        <v>165</v>
      </c>
      <c r="G376">
        <v>870</v>
      </c>
      <c r="I376">
        <f t="shared" si="31"/>
        <v>0</v>
      </c>
      <c r="J376">
        <f t="shared" si="31"/>
        <v>0</v>
      </c>
      <c r="K376">
        <f t="shared" si="31"/>
        <v>0</v>
      </c>
      <c r="M376" t="str" cm="1">
        <f t="array" ref="M376">IFERROR(INDEX($I$2:$K$2,0,MATCH(TRUE,I376:K376,0)),E376)</f>
        <v>CCGT</v>
      </c>
      <c r="O376" t="str">
        <f t="shared" si="28"/>
        <v>CCGT_2025</v>
      </c>
      <c r="P376">
        <f t="shared" si="29"/>
        <v>870</v>
      </c>
    </row>
    <row r="377" spans="4:16" x14ac:dyDescent="0.25">
      <c r="D377">
        <v>2026</v>
      </c>
      <c r="E377" t="s">
        <v>123</v>
      </c>
      <c r="F377" t="s">
        <v>165</v>
      </c>
      <c r="G377">
        <v>870</v>
      </c>
      <c r="I377">
        <f t="shared" si="31"/>
        <v>0</v>
      </c>
      <c r="J377">
        <f t="shared" si="31"/>
        <v>0</v>
      </c>
      <c r="K377">
        <f t="shared" si="31"/>
        <v>0</v>
      </c>
      <c r="M377" t="str" cm="1">
        <f t="array" ref="M377">IFERROR(INDEX($I$2:$K$2,0,MATCH(TRUE,I377:K377,0)),E377)</f>
        <v>CCGT</v>
      </c>
      <c r="O377" t="str">
        <f t="shared" si="28"/>
        <v>CCGT_2026</v>
      </c>
      <c r="P377">
        <f t="shared" si="29"/>
        <v>870</v>
      </c>
    </row>
    <row r="378" spans="4:16" x14ac:dyDescent="0.25">
      <c r="D378">
        <v>2027</v>
      </c>
      <c r="E378" t="s">
        <v>123</v>
      </c>
      <c r="F378" t="s">
        <v>165</v>
      </c>
      <c r="G378">
        <v>870</v>
      </c>
      <c r="I378">
        <f t="shared" si="31"/>
        <v>0</v>
      </c>
      <c r="J378">
        <f t="shared" si="31"/>
        <v>0</v>
      </c>
      <c r="K378">
        <f t="shared" si="31"/>
        <v>0</v>
      </c>
      <c r="M378" t="str" cm="1">
        <f t="array" ref="M378">IFERROR(INDEX($I$2:$K$2,0,MATCH(TRUE,I378:K378,0)),E378)</f>
        <v>CCGT</v>
      </c>
      <c r="O378" t="str">
        <f t="shared" si="28"/>
        <v>CCGT_2027</v>
      </c>
      <c r="P378">
        <f t="shared" si="29"/>
        <v>870</v>
      </c>
    </row>
    <row r="379" spans="4:16" x14ac:dyDescent="0.25">
      <c r="D379">
        <v>2028</v>
      </c>
      <c r="E379" t="s">
        <v>123</v>
      </c>
      <c r="F379" t="s">
        <v>165</v>
      </c>
      <c r="G379">
        <v>870</v>
      </c>
      <c r="I379">
        <f t="shared" si="31"/>
        <v>0</v>
      </c>
      <c r="J379">
        <f t="shared" si="31"/>
        <v>0</v>
      </c>
      <c r="K379">
        <f t="shared" si="31"/>
        <v>0</v>
      </c>
      <c r="M379" t="str" cm="1">
        <f t="array" ref="M379">IFERROR(INDEX($I$2:$K$2,0,MATCH(TRUE,I379:K379,0)),E379)</f>
        <v>CCGT</v>
      </c>
      <c r="O379" t="str">
        <f t="shared" si="28"/>
        <v>CCGT_2028</v>
      </c>
      <c r="P379">
        <f t="shared" si="29"/>
        <v>870</v>
      </c>
    </row>
    <row r="380" spans="4:16" x14ac:dyDescent="0.25">
      <c r="D380">
        <v>2029</v>
      </c>
      <c r="E380" t="s">
        <v>123</v>
      </c>
      <c r="F380" t="s">
        <v>165</v>
      </c>
      <c r="G380">
        <v>870</v>
      </c>
      <c r="I380">
        <f t="shared" si="31"/>
        <v>0</v>
      </c>
      <c r="J380">
        <f t="shared" si="31"/>
        <v>0</v>
      </c>
      <c r="K380">
        <f t="shared" si="31"/>
        <v>0</v>
      </c>
      <c r="M380" t="str" cm="1">
        <f t="array" ref="M380">IFERROR(INDEX($I$2:$K$2,0,MATCH(TRUE,I380:K380,0)),E380)</f>
        <v>CCGT</v>
      </c>
      <c r="O380" t="str">
        <f t="shared" si="28"/>
        <v>CCGT_2029</v>
      </c>
      <c r="P380">
        <f t="shared" si="29"/>
        <v>870</v>
      </c>
    </row>
    <row r="381" spans="4:16" x14ac:dyDescent="0.25">
      <c r="D381">
        <v>2030</v>
      </c>
      <c r="E381" t="s">
        <v>123</v>
      </c>
      <c r="F381" t="s">
        <v>165</v>
      </c>
      <c r="G381">
        <v>870</v>
      </c>
      <c r="I381">
        <f t="shared" si="31"/>
        <v>0</v>
      </c>
      <c r="J381">
        <f t="shared" si="31"/>
        <v>0</v>
      </c>
      <c r="K381">
        <f t="shared" si="31"/>
        <v>0</v>
      </c>
      <c r="M381" t="str" cm="1">
        <f t="array" ref="M381">IFERROR(INDEX($I$2:$K$2,0,MATCH(TRUE,I381:K381,0)),E381)</f>
        <v>CCGT</v>
      </c>
      <c r="O381" t="str">
        <f t="shared" si="28"/>
        <v>CCGT_2030</v>
      </c>
      <c r="P381">
        <f t="shared" si="29"/>
        <v>870</v>
      </c>
    </row>
    <row r="382" spans="4:16" x14ac:dyDescent="0.25">
      <c r="D382">
        <v>2031</v>
      </c>
      <c r="E382" t="s">
        <v>123</v>
      </c>
      <c r="F382" t="s">
        <v>165</v>
      </c>
      <c r="G382">
        <v>870</v>
      </c>
      <c r="I382">
        <f t="shared" si="31"/>
        <v>0</v>
      </c>
      <c r="J382">
        <f t="shared" si="31"/>
        <v>0</v>
      </c>
      <c r="K382">
        <f t="shared" si="31"/>
        <v>0</v>
      </c>
      <c r="M382" t="str" cm="1">
        <f t="array" ref="M382">IFERROR(INDEX($I$2:$K$2,0,MATCH(TRUE,I382:K382,0)),E382)</f>
        <v>CCGT</v>
      </c>
      <c r="O382" t="str">
        <f t="shared" si="28"/>
        <v>CCGT_2031</v>
      </c>
      <c r="P382">
        <f t="shared" si="29"/>
        <v>870</v>
      </c>
    </row>
    <row r="383" spans="4:16" x14ac:dyDescent="0.25">
      <c r="D383">
        <v>2032</v>
      </c>
      <c r="E383" t="s">
        <v>123</v>
      </c>
      <c r="F383" t="s">
        <v>165</v>
      </c>
      <c r="G383">
        <v>870</v>
      </c>
      <c r="I383">
        <f t="shared" si="31"/>
        <v>0</v>
      </c>
      <c r="J383">
        <f t="shared" si="31"/>
        <v>0</v>
      </c>
      <c r="K383">
        <f t="shared" si="31"/>
        <v>0</v>
      </c>
      <c r="M383" t="str" cm="1">
        <f t="array" ref="M383">IFERROR(INDEX($I$2:$K$2,0,MATCH(TRUE,I383:K383,0)),E383)</f>
        <v>CCGT</v>
      </c>
      <c r="O383" t="str">
        <f t="shared" si="28"/>
        <v>CCGT_2032</v>
      </c>
      <c r="P383">
        <f t="shared" si="29"/>
        <v>870</v>
      </c>
    </row>
    <row r="384" spans="4:16" x14ac:dyDescent="0.25">
      <c r="D384">
        <v>2033</v>
      </c>
      <c r="E384" t="s">
        <v>123</v>
      </c>
      <c r="F384" t="s">
        <v>165</v>
      </c>
      <c r="G384">
        <v>870</v>
      </c>
      <c r="I384">
        <f t="shared" ref="I384:K403" si="32">IFERROR(FIND(I$2,$E384,1)&gt;0,0)</f>
        <v>0</v>
      </c>
      <c r="J384">
        <f t="shared" si="32"/>
        <v>0</v>
      </c>
      <c r="K384">
        <f t="shared" si="32"/>
        <v>0</v>
      </c>
      <c r="M384" t="str" cm="1">
        <f t="array" ref="M384">IFERROR(INDEX($I$2:$K$2,0,MATCH(TRUE,I384:K384,0)),E384)</f>
        <v>CCGT</v>
      </c>
      <c r="O384" t="str">
        <f t="shared" si="28"/>
        <v>CCGT_2033</v>
      </c>
      <c r="P384">
        <f t="shared" si="29"/>
        <v>870</v>
      </c>
    </row>
    <row r="385" spans="4:16" x14ac:dyDescent="0.25">
      <c r="D385">
        <v>2034</v>
      </c>
      <c r="E385" t="s">
        <v>123</v>
      </c>
      <c r="F385" t="s">
        <v>165</v>
      </c>
      <c r="G385">
        <v>870</v>
      </c>
      <c r="I385">
        <f t="shared" si="32"/>
        <v>0</v>
      </c>
      <c r="J385">
        <f t="shared" si="32"/>
        <v>0</v>
      </c>
      <c r="K385">
        <f t="shared" si="32"/>
        <v>0</v>
      </c>
      <c r="M385" t="str" cm="1">
        <f t="array" ref="M385">IFERROR(INDEX($I$2:$K$2,0,MATCH(TRUE,I385:K385,0)),E385)</f>
        <v>CCGT</v>
      </c>
      <c r="O385" t="str">
        <f t="shared" si="28"/>
        <v>CCGT_2034</v>
      </c>
      <c r="P385">
        <f t="shared" si="29"/>
        <v>870</v>
      </c>
    </row>
    <row r="386" spans="4:16" x14ac:dyDescent="0.25">
      <c r="D386">
        <v>2035</v>
      </c>
      <c r="E386" t="s">
        <v>123</v>
      </c>
      <c r="F386" t="s">
        <v>165</v>
      </c>
      <c r="G386">
        <v>870</v>
      </c>
      <c r="I386">
        <f t="shared" si="32"/>
        <v>0</v>
      </c>
      <c r="J386">
        <f t="shared" si="32"/>
        <v>0</v>
      </c>
      <c r="K386">
        <f t="shared" si="32"/>
        <v>0</v>
      </c>
      <c r="M386" t="str" cm="1">
        <f t="array" ref="M386">IFERROR(INDEX($I$2:$K$2,0,MATCH(TRUE,I386:K386,0)),E386)</f>
        <v>CCGT</v>
      </c>
      <c r="O386" t="str">
        <f t="shared" si="28"/>
        <v>CCGT_2035</v>
      </c>
      <c r="P386">
        <f t="shared" si="29"/>
        <v>870</v>
      </c>
    </row>
    <row r="387" spans="4:16" x14ac:dyDescent="0.25">
      <c r="D387">
        <v>2036</v>
      </c>
      <c r="E387" t="s">
        <v>123</v>
      </c>
      <c r="F387" t="s">
        <v>165</v>
      </c>
      <c r="G387">
        <v>870</v>
      </c>
      <c r="I387">
        <f t="shared" si="32"/>
        <v>0</v>
      </c>
      <c r="J387">
        <f t="shared" si="32"/>
        <v>0</v>
      </c>
      <c r="K387">
        <f t="shared" si="32"/>
        <v>0</v>
      </c>
      <c r="M387" t="str" cm="1">
        <f t="array" ref="M387">IFERROR(INDEX($I$2:$K$2,0,MATCH(TRUE,I387:K387,0)),E387)</f>
        <v>CCGT</v>
      </c>
      <c r="O387" t="str">
        <f t="shared" si="28"/>
        <v>CCGT_2036</v>
      </c>
      <c r="P387">
        <f t="shared" si="29"/>
        <v>870</v>
      </c>
    </row>
    <row r="388" spans="4:16" x14ac:dyDescent="0.25">
      <c r="D388">
        <v>2037</v>
      </c>
      <c r="E388" t="s">
        <v>123</v>
      </c>
      <c r="F388" t="s">
        <v>165</v>
      </c>
      <c r="G388">
        <v>870</v>
      </c>
      <c r="I388">
        <f t="shared" si="32"/>
        <v>0</v>
      </c>
      <c r="J388">
        <f t="shared" si="32"/>
        <v>0</v>
      </c>
      <c r="K388">
        <f t="shared" si="32"/>
        <v>0</v>
      </c>
      <c r="M388" t="str" cm="1">
        <f t="array" ref="M388">IFERROR(INDEX($I$2:$K$2,0,MATCH(TRUE,I388:K388,0)),E388)</f>
        <v>CCGT</v>
      </c>
      <c r="O388" t="str">
        <f t="shared" ref="O388:O451" si="33">M388&amp;"_"&amp;D388</f>
        <v>CCGT_2037</v>
      </c>
      <c r="P388">
        <f t="shared" ref="P388:P451" si="34">G388</f>
        <v>870</v>
      </c>
    </row>
    <row r="389" spans="4:16" x14ac:dyDescent="0.25">
      <c r="D389">
        <v>2038</v>
      </c>
      <c r="E389" t="s">
        <v>123</v>
      </c>
      <c r="F389" t="s">
        <v>165</v>
      </c>
      <c r="G389">
        <v>870</v>
      </c>
      <c r="I389">
        <f t="shared" si="32"/>
        <v>0</v>
      </c>
      <c r="J389">
        <f t="shared" si="32"/>
        <v>0</v>
      </c>
      <c r="K389">
        <f t="shared" si="32"/>
        <v>0</v>
      </c>
      <c r="M389" t="str" cm="1">
        <f t="array" ref="M389">IFERROR(INDEX($I$2:$K$2,0,MATCH(TRUE,I389:K389,0)),E389)</f>
        <v>CCGT</v>
      </c>
      <c r="O389" t="str">
        <f t="shared" si="33"/>
        <v>CCGT_2038</v>
      </c>
      <c r="P389">
        <f t="shared" si="34"/>
        <v>870</v>
      </c>
    </row>
    <row r="390" spans="4:16" x14ac:dyDescent="0.25">
      <c r="D390">
        <v>2039</v>
      </c>
      <c r="E390" t="s">
        <v>123</v>
      </c>
      <c r="F390" t="s">
        <v>165</v>
      </c>
      <c r="G390">
        <v>870</v>
      </c>
      <c r="I390">
        <f t="shared" si="32"/>
        <v>0</v>
      </c>
      <c r="J390">
        <f t="shared" si="32"/>
        <v>0</v>
      </c>
      <c r="K390">
        <f t="shared" si="32"/>
        <v>0</v>
      </c>
      <c r="M390" t="str" cm="1">
        <f t="array" ref="M390">IFERROR(INDEX($I$2:$K$2,0,MATCH(TRUE,I390:K390,0)),E390)</f>
        <v>CCGT</v>
      </c>
      <c r="O390" t="str">
        <f t="shared" si="33"/>
        <v>CCGT_2039</v>
      </c>
      <c r="P390">
        <f t="shared" si="34"/>
        <v>870</v>
      </c>
    </row>
    <row r="391" spans="4:16" x14ac:dyDescent="0.25">
      <c r="D391">
        <v>2040</v>
      </c>
      <c r="E391" t="s">
        <v>123</v>
      </c>
      <c r="F391" t="s">
        <v>165</v>
      </c>
      <c r="G391">
        <v>870</v>
      </c>
      <c r="I391">
        <f t="shared" si="32"/>
        <v>0</v>
      </c>
      <c r="J391">
        <f t="shared" si="32"/>
        <v>0</v>
      </c>
      <c r="K391">
        <f t="shared" si="32"/>
        <v>0</v>
      </c>
      <c r="M391" t="str" cm="1">
        <f t="array" ref="M391">IFERROR(INDEX($I$2:$K$2,0,MATCH(TRUE,I391:K391,0)),E391)</f>
        <v>CCGT</v>
      </c>
      <c r="O391" t="str">
        <f t="shared" si="33"/>
        <v>CCGT_2040</v>
      </c>
      <c r="P391">
        <f t="shared" si="34"/>
        <v>870</v>
      </c>
    </row>
    <row r="392" spans="4:16" x14ac:dyDescent="0.25">
      <c r="D392">
        <v>2021</v>
      </c>
      <c r="E392" t="s">
        <v>123</v>
      </c>
      <c r="F392" t="s">
        <v>166</v>
      </c>
      <c r="G392">
        <v>22.15</v>
      </c>
      <c r="I392">
        <f t="shared" si="32"/>
        <v>0</v>
      </c>
      <c r="J392">
        <f t="shared" si="32"/>
        <v>0</v>
      </c>
      <c r="K392">
        <f t="shared" si="32"/>
        <v>0</v>
      </c>
      <c r="M392" t="str" cm="1">
        <f t="array" ref="M392">IFERROR(INDEX($I$2:$K$2,0,MATCH(TRUE,I392:K392,0)),E392)</f>
        <v>CCGT</v>
      </c>
      <c r="O392" t="str">
        <f t="shared" si="33"/>
        <v>CCGT_2021</v>
      </c>
      <c r="P392">
        <f t="shared" si="34"/>
        <v>22.15</v>
      </c>
    </row>
    <row r="393" spans="4:16" x14ac:dyDescent="0.25">
      <c r="D393">
        <v>2022</v>
      </c>
      <c r="E393" t="s">
        <v>123</v>
      </c>
      <c r="F393" t="s">
        <v>166</v>
      </c>
      <c r="G393">
        <v>22.15</v>
      </c>
      <c r="I393">
        <f t="shared" si="32"/>
        <v>0</v>
      </c>
      <c r="J393">
        <f t="shared" si="32"/>
        <v>0</v>
      </c>
      <c r="K393">
        <f t="shared" si="32"/>
        <v>0</v>
      </c>
      <c r="M393" t="str" cm="1">
        <f t="array" ref="M393">IFERROR(INDEX($I$2:$K$2,0,MATCH(TRUE,I393:K393,0)),E393)</f>
        <v>CCGT</v>
      </c>
      <c r="O393" t="str">
        <f t="shared" si="33"/>
        <v>CCGT_2022</v>
      </c>
      <c r="P393">
        <f t="shared" si="34"/>
        <v>22.15</v>
      </c>
    </row>
    <row r="394" spans="4:16" x14ac:dyDescent="0.25">
      <c r="D394">
        <v>2023</v>
      </c>
      <c r="E394" t="s">
        <v>123</v>
      </c>
      <c r="F394" t="s">
        <v>166</v>
      </c>
      <c r="G394">
        <v>22.15</v>
      </c>
      <c r="I394">
        <f t="shared" si="32"/>
        <v>0</v>
      </c>
      <c r="J394">
        <f t="shared" si="32"/>
        <v>0</v>
      </c>
      <c r="K394">
        <f t="shared" si="32"/>
        <v>0</v>
      </c>
      <c r="M394" t="str" cm="1">
        <f t="array" ref="M394">IFERROR(INDEX($I$2:$K$2,0,MATCH(TRUE,I394:K394,0)),E394)</f>
        <v>CCGT</v>
      </c>
      <c r="O394" t="str">
        <f t="shared" si="33"/>
        <v>CCGT_2023</v>
      </c>
      <c r="P394">
        <f t="shared" si="34"/>
        <v>22.15</v>
      </c>
    </row>
    <row r="395" spans="4:16" x14ac:dyDescent="0.25">
      <c r="D395">
        <v>2024</v>
      </c>
      <c r="E395" t="s">
        <v>123</v>
      </c>
      <c r="F395" t="s">
        <v>166</v>
      </c>
      <c r="G395">
        <v>22.15</v>
      </c>
      <c r="I395">
        <f t="shared" si="32"/>
        <v>0</v>
      </c>
      <c r="J395">
        <f t="shared" si="32"/>
        <v>0</v>
      </c>
      <c r="K395">
        <f t="shared" si="32"/>
        <v>0</v>
      </c>
      <c r="M395" t="str" cm="1">
        <f t="array" ref="M395">IFERROR(INDEX($I$2:$K$2,0,MATCH(TRUE,I395:K395,0)),E395)</f>
        <v>CCGT</v>
      </c>
      <c r="O395" t="str">
        <f t="shared" si="33"/>
        <v>CCGT_2024</v>
      </c>
      <c r="P395">
        <f t="shared" si="34"/>
        <v>22.15</v>
      </c>
    </row>
    <row r="396" spans="4:16" x14ac:dyDescent="0.25">
      <c r="D396">
        <v>2025</v>
      </c>
      <c r="E396" t="s">
        <v>123</v>
      </c>
      <c r="F396" t="s">
        <v>166</v>
      </c>
      <c r="G396">
        <v>22.15</v>
      </c>
      <c r="I396">
        <f t="shared" si="32"/>
        <v>0</v>
      </c>
      <c r="J396">
        <f t="shared" si="32"/>
        <v>0</v>
      </c>
      <c r="K396">
        <f t="shared" si="32"/>
        <v>0</v>
      </c>
      <c r="M396" t="str" cm="1">
        <f t="array" ref="M396">IFERROR(INDEX($I$2:$K$2,0,MATCH(TRUE,I396:K396,0)),E396)</f>
        <v>CCGT</v>
      </c>
      <c r="O396" t="str">
        <f t="shared" si="33"/>
        <v>CCGT_2025</v>
      </c>
      <c r="P396">
        <f t="shared" si="34"/>
        <v>22.15</v>
      </c>
    </row>
    <row r="397" spans="4:16" x14ac:dyDescent="0.25">
      <c r="D397">
        <v>2026</v>
      </c>
      <c r="E397" t="s">
        <v>123</v>
      </c>
      <c r="F397" t="s">
        <v>166</v>
      </c>
      <c r="G397">
        <v>22.15</v>
      </c>
      <c r="I397">
        <f t="shared" si="32"/>
        <v>0</v>
      </c>
      <c r="J397">
        <f t="shared" si="32"/>
        <v>0</v>
      </c>
      <c r="K397">
        <f t="shared" si="32"/>
        <v>0</v>
      </c>
      <c r="M397" t="str" cm="1">
        <f t="array" ref="M397">IFERROR(INDEX($I$2:$K$2,0,MATCH(TRUE,I397:K397,0)),E397)</f>
        <v>CCGT</v>
      </c>
      <c r="O397" t="str">
        <f t="shared" si="33"/>
        <v>CCGT_2026</v>
      </c>
      <c r="P397">
        <f t="shared" si="34"/>
        <v>22.15</v>
      </c>
    </row>
    <row r="398" spans="4:16" x14ac:dyDescent="0.25">
      <c r="D398">
        <v>2027</v>
      </c>
      <c r="E398" t="s">
        <v>123</v>
      </c>
      <c r="F398" t="s">
        <v>166</v>
      </c>
      <c r="G398">
        <v>22.15</v>
      </c>
      <c r="I398">
        <f t="shared" si="32"/>
        <v>0</v>
      </c>
      <c r="J398">
        <f t="shared" si="32"/>
        <v>0</v>
      </c>
      <c r="K398">
        <f t="shared" si="32"/>
        <v>0</v>
      </c>
      <c r="M398" t="str" cm="1">
        <f t="array" ref="M398">IFERROR(INDEX($I$2:$K$2,0,MATCH(TRUE,I398:K398,0)),E398)</f>
        <v>CCGT</v>
      </c>
      <c r="O398" t="str">
        <f t="shared" si="33"/>
        <v>CCGT_2027</v>
      </c>
      <c r="P398">
        <f t="shared" si="34"/>
        <v>22.15</v>
      </c>
    </row>
    <row r="399" spans="4:16" x14ac:dyDescent="0.25">
      <c r="D399">
        <v>2028</v>
      </c>
      <c r="E399" t="s">
        <v>123</v>
      </c>
      <c r="F399" t="s">
        <v>166</v>
      </c>
      <c r="G399">
        <v>22.15</v>
      </c>
      <c r="I399">
        <f t="shared" si="32"/>
        <v>0</v>
      </c>
      <c r="J399">
        <f t="shared" si="32"/>
        <v>0</v>
      </c>
      <c r="K399">
        <f t="shared" si="32"/>
        <v>0</v>
      </c>
      <c r="M399" t="str" cm="1">
        <f t="array" ref="M399">IFERROR(INDEX($I$2:$K$2,0,MATCH(TRUE,I399:K399,0)),E399)</f>
        <v>CCGT</v>
      </c>
      <c r="O399" t="str">
        <f t="shared" si="33"/>
        <v>CCGT_2028</v>
      </c>
      <c r="P399">
        <f t="shared" si="34"/>
        <v>22.15</v>
      </c>
    </row>
    <row r="400" spans="4:16" x14ac:dyDescent="0.25">
      <c r="D400">
        <v>2029</v>
      </c>
      <c r="E400" t="s">
        <v>123</v>
      </c>
      <c r="F400" t="s">
        <v>166</v>
      </c>
      <c r="G400">
        <v>22.15</v>
      </c>
      <c r="I400">
        <f t="shared" si="32"/>
        <v>0</v>
      </c>
      <c r="J400">
        <f t="shared" si="32"/>
        <v>0</v>
      </c>
      <c r="K400">
        <f t="shared" si="32"/>
        <v>0</v>
      </c>
      <c r="M400" t="str" cm="1">
        <f t="array" ref="M400">IFERROR(INDEX($I$2:$K$2,0,MATCH(TRUE,I400:K400,0)),E400)</f>
        <v>CCGT</v>
      </c>
      <c r="O400" t="str">
        <f t="shared" si="33"/>
        <v>CCGT_2029</v>
      </c>
      <c r="P400">
        <f t="shared" si="34"/>
        <v>22.15</v>
      </c>
    </row>
    <row r="401" spans="4:16" x14ac:dyDescent="0.25">
      <c r="D401">
        <v>2030</v>
      </c>
      <c r="E401" t="s">
        <v>123</v>
      </c>
      <c r="F401" t="s">
        <v>166</v>
      </c>
      <c r="G401">
        <v>22.15</v>
      </c>
      <c r="I401">
        <f t="shared" si="32"/>
        <v>0</v>
      </c>
      <c r="J401">
        <f t="shared" si="32"/>
        <v>0</v>
      </c>
      <c r="K401">
        <f t="shared" si="32"/>
        <v>0</v>
      </c>
      <c r="M401" t="str" cm="1">
        <f t="array" ref="M401">IFERROR(INDEX($I$2:$K$2,0,MATCH(TRUE,I401:K401,0)),E401)</f>
        <v>CCGT</v>
      </c>
      <c r="O401" t="str">
        <f t="shared" si="33"/>
        <v>CCGT_2030</v>
      </c>
      <c r="P401">
        <f t="shared" si="34"/>
        <v>22.15</v>
      </c>
    </row>
    <row r="402" spans="4:16" x14ac:dyDescent="0.25">
      <c r="D402">
        <v>2031</v>
      </c>
      <c r="E402" t="s">
        <v>123</v>
      </c>
      <c r="F402" t="s">
        <v>166</v>
      </c>
      <c r="G402">
        <v>22.15</v>
      </c>
      <c r="I402">
        <f t="shared" si="32"/>
        <v>0</v>
      </c>
      <c r="J402">
        <f t="shared" si="32"/>
        <v>0</v>
      </c>
      <c r="K402">
        <f t="shared" si="32"/>
        <v>0</v>
      </c>
      <c r="M402" t="str" cm="1">
        <f t="array" ref="M402">IFERROR(INDEX($I$2:$K$2,0,MATCH(TRUE,I402:K402,0)),E402)</f>
        <v>CCGT</v>
      </c>
      <c r="O402" t="str">
        <f t="shared" si="33"/>
        <v>CCGT_2031</v>
      </c>
      <c r="P402">
        <f t="shared" si="34"/>
        <v>22.15</v>
      </c>
    </row>
    <row r="403" spans="4:16" x14ac:dyDescent="0.25">
      <c r="D403">
        <v>2032</v>
      </c>
      <c r="E403" t="s">
        <v>123</v>
      </c>
      <c r="F403" t="s">
        <v>166</v>
      </c>
      <c r="G403">
        <v>22.15</v>
      </c>
      <c r="I403">
        <f t="shared" si="32"/>
        <v>0</v>
      </c>
      <c r="J403">
        <f t="shared" si="32"/>
        <v>0</v>
      </c>
      <c r="K403">
        <f t="shared" si="32"/>
        <v>0</v>
      </c>
      <c r="M403" t="str" cm="1">
        <f t="array" ref="M403">IFERROR(INDEX($I$2:$K$2,0,MATCH(TRUE,I403:K403,0)),E403)</f>
        <v>CCGT</v>
      </c>
      <c r="O403" t="str">
        <f t="shared" si="33"/>
        <v>CCGT_2032</v>
      </c>
      <c r="P403">
        <f t="shared" si="34"/>
        <v>22.15</v>
      </c>
    </row>
    <row r="404" spans="4:16" x14ac:dyDescent="0.25">
      <c r="D404">
        <v>2033</v>
      </c>
      <c r="E404" t="s">
        <v>123</v>
      </c>
      <c r="F404" t="s">
        <v>166</v>
      </c>
      <c r="G404">
        <v>22.15</v>
      </c>
      <c r="I404">
        <f t="shared" ref="I404:K423" si="35">IFERROR(FIND(I$2,$E404,1)&gt;0,0)</f>
        <v>0</v>
      </c>
      <c r="J404">
        <f t="shared" si="35"/>
        <v>0</v>
      </c>
      <c r="K404">
        <f t="shared" si="35"/>
        <v>0</v>
      </c>
      <c r="M404" t="str" cm="1">
        <f t="array" ref="M404">IFERROR(INDEX($I$2:$K$2,0,MATCH(TRUE,I404:K404,0)),E404)</f>
        <v>CCGT</v>
      </c>
      <c r="O404" t="str">
        <f t="shared" si="33"/>
        <v>CCGT_2033</v>
      </c>
      <c r="P404">
        <f t="shared" si="34"/>
        <v>22.15</v>
      </c>
    </row>
    <row r="405" spans="4:16" x14ac:dyDescent="0.25">
      <c r="D405">
        <v>2034</v>
      </c>
      <c r="E405" t="s">
        <v>123</v>
      </c>
      <c r="F405" t="s">
        <v>166</v>
      </c>
      <c r="G405">
        <v>22.15</v>
      </c>
      <c r="I405">
        <f t="shared" si="35"/>
        <v>0</v>
      </c>
      <c r="J405">
        <f t="shared" si="35"/>
        <v>0</v>
      </c>
      <c r="K405">
        <f t="shared" si="35"/>
        <v>0</v>
      </c>
      <c r="M405" t="str" cm="1">
        <f t="array" ref="M405">IFERROR(INDEX($I$2:$K$2,0,MATCH(TRUE,I405:K405,0)),E405)</f>
        <v>CCGT</v>
      </c>
      <c r="O405" t="str">
        <f t="shared" si="33"/>
        <v>CCGT_2034</v>
      </c>
      <c r="P405">
        <f t="shared" si="34"/>
        <v>22.15</v>
      </c>
    </row>
    <row r="406" spans="4:16" x14ac:dyDescent="0.25">
      <c r="D406">
        <v>2035</v>
      </c>
      <c r="E406" t="s">
        <v>123</v>
      </c>
      <c r="F406" t="s">
        <v>166</v>
      </c>
      <c r="G406">
        <v>22.15</v>
      </c>
      <c r="I406">
        <f t="shared" si="35"/>
        <v>0</v>
      </c>
      <c r="J406">
        <f t="shared" si="35"/>
        <v>0</v>
      </c>
      <c r="K406">
        <f t="shared" si="35"/>
        <v>0</v>
      </c>
      <c r="M406" t="str" cm="1">
        <f t="array" ref="M406">IFERROR(INDEX($I$2:$K$2,0,MATCH(TRUE,I406:K406,0)),E406)</f>
        <v>CCGT</v>
      </c>
      <c r="O406" t="str">
        <f t="shared" si="33"/>
        <v>CCGT_2035</v>
      </c>
      <c r="P406">
        <f t="shared" si="34"/>
        <v>22.15</v>
      </c>
    </row>
    <row r="407" spans="4:16" x14ac:dyDescent="0.25">
      <c r="D407">
        <v>2036</v>
      </c>
      <c r="E407" t="s">
        <v>123</v>
      </c>
      <c r="F407" t="s">
        <v>166</v>
      </c>
      <c r="G407">
        <v>22.15</v>
      </c>
      <c r="I407">
        <f t="shared" si="35"/>
        <v>0</v>
      </c>
      <c r="J407">
        <f t="shared" si="35"/>
        <v>0</v>
      </c>
      <c r="K407">
        <f t="shared" si="35"/>
        <v>0</v>
      </c>
      <c r="M407" t="str" cm="1">
        <f t="array" ref="M407">IFERROR(INDEX($I$2:$K$2,0,MATCH(TRUE,I407:K407,0)),E407)</f>
        <v>CCGT</v>
      </c>
      <c r="O407" t="str">
        <f t="shared" si="33"/>
        <v>CCGT_2036</v>
      </c>
      <c r="P407">
        <f t="shared" si="34"/>
        <v>22.15</v>
      </c>
    </row>
    <row r="408" spans="4:16" x14ac:dyDescent="0.25">
      <c r="D408">
        <v>2037</v>
      </c>
      <c r="E408" t="s">
        <v>123</v>
      </c>
      <c r="F408" t="s">
        <v>166</v>
      </c>
      <c r="G408">
        <v>22.15</v>
      </c>
      <c r="I408">
        <f t="shared" si="35"/>
        <v>0</v>
      </c>
      <c r="J408">
        <f t="shared" si="35"/>
        <v>0</v>
      </c>
      <c r="K408">
        <f t="shared" si="35"/>
        <v>0</v>
      </c>
      <c r="M408" t="str" cm="1">
        <f t="array" ref="M408">IFERROR(INDEX($I$2:$K$2,0,MATCH(TRUE,I408:K408,0)),E408)</f>
        <v>CCGT</v>
      </c>
      <c r="O408" t="str">
        <f t="shared" si="33"/>
        <v>CCGT_2037</v>
      </c>
      <c r="P408">
        <f t="shared" si="34"/>
        <v>22.15</v>
      </c>
    </row>
    <row r="409" spans="4:16" x14ac:dyDescent="0.25">
      <c r="D409">
        <v>2038</v>
      </c>
      <c r="E409" t="s">
        <v>123</v>
      </c>
      <c r="F409" t="s">
        <v>166</v>
      </c>
      <c r="G409">
        <v>22.15</v>
      </c>
      <c r="I409">
        <f t="shared" si="35"/>
        <v>0</v>
      </c>
      <c r="J409">
        <f t="shared" si="35"/>
        <v>0</v>
      </c>
      <c r="K409">
        <f t="shared" si="35"/>
        <v>0</v>
      </c>
      <c r="M409" t="str" cm="1">
        <f t="array" ref="M409">IFERROR(INDEX($I$2:$K$2,0,MATCH(TRUE,I409:K409,0)),E409)</f>
        <v>CCGT</v>
      </c>
      <c r="O409" t="str">
        <f t="shared" si="33"/>
        <v>CCGT_2038</v>
      </c>
      <c r="P409">
        <f t="shared" si="34"/>
        <v>22.15</v>
      </c>
    </row>
    <row r="410" spans="4:16" x14ac:dyDescent="0.25">
      <c r="D410">
        <v>2039</v>
      </c>
      <c r="E410" t="s">
        <v>123</v>
      </c>
      <c r="F410" t="s">
        <v>166</v>
      </c>
      <c r="G410">
        <v>22.15</v>
      </c>
      <c r="I410">
        <f t="shared" si="35"/>
        <v>0</v>
      </c>
      <c r="J410">
        <f t="shared" si="35"/>
        <v>0</v>
      </c>
      <c r="K410">
        <f t="shared" si="35"/>
        <v>0</v>
      </c>
      <c r="M410" t="str" cm="1">
        <f t="array" ref="M410">IFERROR(INDEX($I$2:$K$2,0,MATCH(TRUE,I410:K410,0)),E410)</f>
        <v>CCGT</v>
      </c>
      <c r="O410" t="str">
        <f t="shared" si="33"/>
        <v>CCGT_2039</v>
      </c>
      <c r="P410">
        <f t="shared" si="34"/>
        <v>22.15</v>
      </c>
    </row>
    <row r="411" spans="4:16" x14ac:dyDescent="0.25">
      <c r="D411">
        <v>2040</v>
      </c>
      <c r="E411" t="s">
        <v>123</v>
      </c>
      <c r="F411" t="s">
        <v>166</v>
      </c>
      <c r="G411">
        <v>22.15</v>
      </c>
      <c r="I411">
        <f t="shared" si="35"/>
        <v>0</v>
      </c>
      <c r="J411">
        <f t="shared" si="35"/>
        <v>0</v>
      </c>
      <c r="K411">
        <f t="shared" si="35"/>
        <v>0</v>
      </c>
      <c r="M411" t="str" cm="1">
        <f t="array" ref="M411">IFERROR(INDEX($I$2:$K$2,0,MATCH(TRUE,I411:K411,0)),E411)</f>
        <v>CCGT</v>
      </c>
      <c r="O411" t="str">
        <f t="shared" si="33"/>
        <v>CCGT_2040</v>
      </c>
      <c r="P411">
        <f t="shared" si="34"/>
        <v>22.15</v>
      </c>
    </row>
    <row r="412" spans="4:16" x14ac:dyDescent="0.25">
      <c r="D412">
        <v>2021</v>
      </c>
      <c r="E412" t="s">
        <v>123</v>
      </c>
      <c r="F412" t="s">
        <v>167</v>
      </c>
      <c r="G412">
        <v>60.097999999999999</v>
      </c>
      <c r="I412">
        <f t="shared" si="35"/>
        <v>0</v>
      </c>
      <c r="J412">
        <f t="shared" si="35"/>
        <v>0</v>
      </c>
      <c r="K412">
        <f t="shared" si="35"/>
        <v>0</v>
      </c>
      <c r="M412" t="str" cm="1">
        <f t="array" ref="M412">IFERROR(INDEX($I$2:$K$2,0,MATCH(TRUE,I412:K412,0)),E412)</f>
        <v>CCGT</v>
      </c>
      <c r="O412" t="str">
        <f t="shared" si="33"/>
        <v>CCGT_2021</v>
      </c>
      <c r="P412">
        <f t="shared" si="34"/>
        <v>60.097999999999999</v>
      </c>
    </row>
    <row r="413" spans="4:16" x14ac:dyDescent="0.25">
      <c r="D413">
        <v>2022</v>
      </c>
      <c r="E413" t="s">
        <v>123</v>
      </c>
      <c r="F413" t="s">
        <v>167</v>
      </c>
      <c r="G413">
        <v>60.097999999999999</v>
      </c>
      <c r="I413">
        <f t="shared" si="35"/>
        <v>0</v>
      </c>
      <c r="J413">
        <f t="shared" si="35"/>
        <v>0</v>
      </c>
      <c r="K413">
        <f t="shared" si="35"/>
        <v>0</v>
      </c>
      <c r="M413" t="str" cm="1">
        <f t="array" ref="M413">IFERROR(INDEX($I$2:$K$2,0,MATCH(TRUE,I413:K413,0)),E413)</f>
        <v>CCGT</v>
      </c>
      <c r="O413" t="str">
        <f t="shared" si="33"/>
        <v>CCGT_2022</v>
      </c>
      <c r="P413">
        <f t="shared" si="34"/>
        <v>60.097999999999999</v>
      </c>
    </row>
    <row r="414" spans="4:16" x14ac:dyDescent="0.25">
      <c r="D414">
        <v>2023</v>
      </c>
      <c r="E414" t="s">
        <v>123</v>
      </c>
      <c r="F414" t="s">
        <v>167</v>
      </c>
      <c r="G414">
        <v>60.097999999999999</v>
      </c>
      <c r="I414">
        <f t="shared" si="35"/>
        <v>0</v>
      </c>
      <c r="J414">
        <f t="shared" si="35"/>
        <v>0</v>
      </c>
      <c r="K414">
        <f t="shared" si="35"/>
        <v>0</v>
      </c>
      <c r="M414" t="str" cm="1">
        <f t="array" ref="M414">IFERROR(INDEX($I$2:$K$2,0,MATCH(TRUE,I414:K414,0)),E414)</f>
        <v>CCGT</v>
      </c>
      <c r="O414" t="str">
        <f t="shared" si="33"/>
        <v>CCGT_2023</v>
      </c>
      <c r="P414">
        <f t="shared" si="34"/>
        <v>60.097999999999999</v>
      </c>
    </row>
    <row r="415" spans="4:16" x14ac:dyDescent="0.25">
      <c r="D415">
        <v>2024</v>
      </c>
      <c r="E415" t="s">
        <v>123</v>
      </c>
      <c r="F415" t="s">
        <v>167</v>
      </c>
      <c r="G415">
        <v>60.097999999999999</v>
      </c>
      <c r="I415">
        <f t="shared" si="35"/>
        <v>0</v>
      </c>
      <c r="J415">
        <f t="shared" si="35"/>
        <v>0</v>
      </c>
      <c r="K415">
        <f t="shared" si="35"/>
        <v>0</v>
      </c>
      <c r="M415" t="str" cm="1">
        <f t="array" ref="M415">IFERROR(INDEX($I$2:$K$2,0,MATCH(TRUE,I415:K415,0)),E415)</f>
        <v>CCGT</v>
      </c>
      <c r="O415" t="str">
        <f t="shared" si="33"/>
        <v>CCGT_2024</v>
      </c>
      <c r="P415">
        <f t="shared" si="34"/>
        <v>60.097999999999999</v>
      </c>
    </row>
    <row r="416" spans="4:16" x14ac:dyDescent="0.25">
      <c r="D416">
        <v>2025</v>
      </c>
      <c r="E416" t="s">
        <v>123</v>
      </c>
      <c r="F416" t="s">
        <v>167</v>
      </c>
      <c r="G416">
        <v>60.097999999999999</v>
      </c>
      <c r="I416">
        <f t="shared" si="35"/>
        <v>0</v>
      </c>
      <c r="J416">
        <f t="shared" si="35"/>
        <v>0</v>
      </c>
      <c r="K416">
        <f t="shared" si="35"/>
        <v>0</v>
      </c>
      <c r="M416" t="str" cm="1">
        <f t="array" ref="M416">IFERROR(INDEX($I$2:$K$2,0,MATCH(TRUE,I416:K416,0)),E416)</f>
        <v>CCGT</v>
      </c>
      <c r="O416" t="str">
        <f t="shared" si="33"/>
        <v>CCGT_2025</v>
      </c>
      <c r="P416">
        <f t="shared" si="34"/>
        <v>60.097999999999999</v>
      </c>
    </row>
    <row r="417" spans="4:16" x14ac:dyDescent="0.25">
      <c r="D417">
        <v>2026</v>
      </c>
      <c r="E417" t="s">
        <v>123</v>
      </c>
      <c r="F417" t="s">
        <v>167</v>
      </c>
      <c r="G417">
        <v>60.097999999999999</v>
      </c>
      <c r="I417">
        <f t="shared" si="35"/>
        <v>0</v>
      </c>
      <c r="J417">
        <f t="shared" si="35"/>
        <v>0</v>
      </c>
      <c r="K417">
        <f t="shared" si="35"/>
        <v>0</v>
      </c>
      <c r="M417" t="str" cm="1">
        <f t="array" ref="M417">IFERROR(INDEX($I$2:$K$2,0,MATCH(TRUE,I417:K417,0)),E417)</f>
        <v>CCGT</v>
      </c>
      <c r="O417" t="str">
        <f t="shared" si="33"/>
        <v>CCGT_2026</v>
      </c>
      <c r="P417">
        <f t="shared" si="34"/>
        <v>60.097999999999999</v>
      </c>
    </row>
    <row r="418" spans="4:16" x14ac:dyDescent="0.25">
      <c r="D418">
        <v>2027</v>
      </c>
      <c r="E418" t="s">
        <v>123</v>
      </c>
      <c r="F418" t="s">
        <v>167</v>
      </c>
      <c r="G418">
        <v>60.097999999999999</v>
      </c>
      <c r="I418">
        <f t="shared" si="35"/>
        <v>0</v>
      </c>
      <c r="J418">
        <f t="shared" si="35"/>
        <v>0</v>
      </c>
      <c r="K418">
        <f t="shared" si="35"/>
        <v>0</v>
      </c>
      <c r="M418" t="str" cm="1">
        <f t="array" ref="M418">IFERROR(INDEX($I$2:$K$2,0,MATCH(TRUE,I418:K418,0)),E418)</f>
        <v>CCGT</v>
      </c>
      <c r="O418" t="str">
        <f t="shared" si="33"/>
        <v>CCGT_2027</v>
      </c>
      <c r="P418">
        <f t="shared" si="34"/>
        <v>60.097999999999999</v>
      </c>
    </row>
    <row r="419" spans="4:16" x14ac:dyDescent="0.25">
      <c r="D419">
        <v>2028</v>
      </c>
      <c r="E419" t="s">
        <v>123</v>
      </c>
      <c r="F419" t="s">
        <v>167</v>
      </c>
      <c r="G419">
        <v>60.097999999999999</v>
      </c>
      <c r="I419">
        <f t="shared" si="35"/>
        <v>0</v>
      </c>
      <c r="J419">
        <f t="shared" si="35"/>
        <v>0</v>
      </c>
      <c r="K419">
        <f t="shared" si="35"/>
        <v>0</v>
      </c>
      <c r="M419" t="str" cm="1">
        <f t="array" ref="M419">IFERROR(INDEX($I$2:$K$2,0,MATCH(TRUE,I419:K419,0)),E419)</f>
        <v>CCGT</v>
      </c>
      <c r="O419" t="str">
        <f t="shared" si="33"/>
        <v>CCGT_2028</v>
      </c>
      <c r="P419">
        <f t="shared" si="34"/>
        <v>60.097999999999999</v>
      </c>
    </row>
    <row r="420" spans="4:16" x14ac:dyDescent="0.25">
      <c r="D420">
        <v>2029</v>
      </c>
      <c r="E420" t="s">
        <v>123</v>
      </c>
      <c r="F420" t="s">
        <v>167</v>
      </c>
      <c r="G420">
        <v>60.097999999999999</v>
      </c>
      <c r="I420">
        <f t="shared" si="35"/>
        <v>0</v>
      </c>
      <c r="J420">
        <f t="shared" si="35"/>
        <v>0</v>
      </c>
      <c r="K420">
        <f t="shared" si="35"/>
        <v>0</v>
      </c>
      <c r="M420" t="str" cm="1">
        <f t="array" ref="M420">IFERROR(INDEX($I$2:$K$2,0,MATCH(TRUE,I420:K420,0)),E420)</f>
        <v>CCGT</v>
      </c>
      <c r="O420" t="str">
        <f t="shared" si="33"/>
        <v>CCGT_2029</v>
      </c>
      <c r="P420">
        <f t="shared" si="34"/>
        <v>60.097999999999999</v>
      </c>
    </row>
    <row r="421" spans="4:16" x14ac:dyDescent="0.25">
      <c r="D421">
        <v>2030</v>
      </c>
      <c r="E421" t="s">
        <v>123</v>
      </c>
      <c r="F421" t="s">
        <v>167</v>
      </c>
      <c r="G421">
        <v>60.097999999999999</v>
      </c>
      <c r="I421">
        <f t="shared" si="35"/>
        <v>0</v>
      </c>
      <c r="J421">
        <f t="shared" si="35"/>
        <v>0</v>
      </c>
      <c r="K421">
        <f t="shared" si="35"/>
        <v>0</v>
      </c>
      <c r="M421" t="str" cm="1">
        <f t="array" ref="M421">IFERROR(INDEX($I$2:$K$2,0,MATCH(TRUE,I421:K421,0)),E421)</f>
        <v>CCGT</v>
      </c>
      <c r="O421" t="str">
        <f t="shared" si="33"/>
        <v>CCGT_2030</v>
      </c>
      <c r="P421">
        <f t="shared" si="34"/>
        <v>60.097999999999999</v>
      </c>
    </row>
    <row r="422" spans="4:16" x14ac:dyDescent="0.25">
      <c r="D422">
        <v>2031</v>
      </c>
      <c r="E422" t="s">
        <v>123</v>
      </c>
      <c r="F422" t="s">
        <v>167</v>
      </c>
      <c r="G422">
        <v>60.097999999999999</v>
      </c>
      <c r="I422">
        <f t="shared" si="35"/>
        <v>0</v>
      </c>
      <c r="J422">
        <f t="shared" si="35"/>
        <v>0</v>
      </c>
      <c r="K422">
        <f t="shared" si="35"/>
        <v>0</v>
      </c>
      <c r="M422" t="str" cm="1">
        <f t="array" ref="M422">IFERROR(INDEX($I$2:$K$2,0,MATCH(TRUE,I422:K422,0)),E422)</f>
        <v>CCGT</v>
      </c>
      <c r="O422" t="str">
        <f t="shared" si="33"/>
        <v>CCGT_2031</v>
      </c>
      <c r="P422">
        <f t="shared" si="34"/>
        <v>60.097999999999999</v>
      </c>
    </row>
    <row r="423" spans="4:16" x14ac:dyDescent="0.25">
      <c r="D423">
        <v>2032</v>
      </c>
      <c r="E423" t="s">
        <v>123</v>
      </c>
      <c r="F423" t="s">
        <v>167</v>
      </c>
      <c r="G423">
        <v>60.097999999999999</v>
      </c>
      <c r="I423">
        <f t="shared" si="35"/>
        <v>0</v>
      </c>
      <c r="J423">
        <f t="shared" si="35"/>
        <v>0</v>
      </c>
      <c r="K423">
        <f t="shared" si="35"/>
        <v>0</v>
      </c>
      <c r="M423" t="str" cm="1">
        <f t="array" ref="M423">IFERROR(INDEX($I$2:$K$2,0,MATCH(TRUE,I423:K423,0)),E423)</f>
        <v>CCGT</v>
      </c>
      <c r="O423" t="str">
        <f t="shared" si="33"/>
        <v>CCGT_2032</v>
      </c>
      <c r="P423">
        <f t="shared" si="34"/>
        <v>60.097999999999999</v>
      </c>
    </row>
    <row r="424" spans="4:16" x14ac:dyDescent="0.25">
      <c r="D424">
        <v>2033</v>
      </c>
      <c r="E424" t="s">
        <v>123</v>
      </c>
      <c r="F424" t="s">
        <v>167</v>
      </c>
      <c r="G424">
        <v>60.097999999999999</v>
      </c>
      <c r="I424">
        <f t="shared" ref="I424:K443" si="36">IFERROR(FIND(I$2,$E424,1)&gt;0,0)</f>
        <v>0</v>
      </c>
      <c r="J424">
        <f t="shared" si="36"/>
        <v>0</v>
      </c>
      <c r="K424">
        <f t="shared" si="36"/>
        <v>0</v>
      </c>
      <c r="M424" t="str" cm="1">
        <f t="array" ref="M424">IFERROR(INDEX($I$2:$K$2,0,MATCH(TRUE,I424:K424,0)),E424)</f>
        <v>CCGT</v>
      </c>
      <c r="O424" t="str">
        <f t="shared" si="33"/>
        <v>CCGT_2033</v>
      </c>
      <c r="P424">
        <f t="shared" si="34"/>
        <v>60.097999999999999</v>
      </c>
    </row>
    <row r="425" spans="4:16" x14ac:dyDescent="0.25">
      <c r="D425">
        <v>2034</v>
      </c>
      <c r="E425" t="s">
        <v>123</v>
      </c>
      <c r="F425" t="s">
        <v>167</v>
      </c>
      <c r="G425">
        <v>60.097999999999999</v>
      </c>
      <c r="I425">
        <f t="shared" si="36"/>
        <v>0</v>
      </c>
      <c r="J425">
        <f t="shared" si="36"/>
        <v>0</v>
      </c>
      <c r="K425">
        <f t="shared" si="36"/>
        <v>0</v>
      </c>
      <c r="M425" t="str" cm="1">
        <f t="array" ref="M425">IFERROR(INDEX($I$2:$K$2,0,MATCH(TRUE,I425:K425,0)),E425)</f>
        <v>CCGT</v>
      </c>
      <c r="O425" t="str">
        <f t="shared" si="33"/>
        <v>CCGT_2034</v>
      </c>
      <c r="P425">
        <f t="shared" si="34"/>
        <v>60.097999999999999</v>
      </c>
    </row>
    <row r="426" spans="4:16" x14ac:dyDescent="0.25">
      <c r="D426">
        <v>2035</v>
      </c>
      <c r="E426" t="s">
        <v>123</v>
      </c>
      <c r="F426" t="s">
        <v>167</v>
      </c>
      <c r="G426">
        <v>60.097999999999999</v>
      </c>
      <c r="I426">
        <f t="shared" si="36"/>
        <v>0</v>
      </c>
      <c r="J426">
        <f t="shared" si="36"/>
        <v>0</v>
      </c>
      <c r="K426">
        <f t="shared" si="36"/>
        <v>0</v>
      </c>
      <c r="M426" t="str" cm="1">
        <f t="array" ref="M426">IFERROR(INDEX($I$2:$K$2,0,MATCH(TRUE,I426:K426,0)),E426)</f>
        <v>CCGT</v>
      </c>
      <c r="O426" t="str">
        <f t="shared" si="33"/>
        <v>CCGT_2035</v>
      </c>
      <c r="P426">
        <f t="shared" si="34"/>
        <v>60.097999999999999</v>
      </c>
    </row>
    <row r="427" spans="4:16" x14ac:dyDescent="0.25">
      <c r="D427">
        <v>2036</v>
      </c>
      <c r="E427" t="s">
        <v>123</v>
      </c>
      <c r="F427" t="s">
        <v>167</v>
      </c>
      <c r="G427">
        <v>60.097999999999999</v>
      </c>
      <c r="I427">
        <f t="shared" si="36"/>
        <v>0</v>
      </c>
      <c r="J427">
        <f t="shared" si="36"/>
        <v>0</v>
      </c>
      <c r="K427">
        <f t="shared" si="36"/>
        <v>0</v>
      </c>
      <c r="M427" t="str" cm="1">
        <f t="array" ref="M427">IFERROR(INDEX($I$2:$K$2,0,MATCH(TRUE,I427:K427,0)),E427)</f>
        <v>CCGT</v>
      </c>
      <c r="O427" t="str">
        <f t="shared" si="33"/>
        <v>CCGT_2036</v>
      </c>
      <c r="P427">
        <f t="shared" si="34"/>
        <v>60.097999999999999</v>
      </c>
    </row>
    <row r="428" spans="4:16" x14ac:dyDescent="0.25">
      <c r="D428">
        <v>2037</v>
      </c>
      <c r="E428" t="s">
        <v>123</v>
      </c>
      <c r="F428" t="s">
        <v>167</v>
      </c>
      <c r="G428">
        <v>60.097999999999999</v>
      </c>
      <c r="I428">
        <f t="shared" si="36"/>
        <v>0</v>
      </c>
      <c r="J428">
        <f t="shared" si="36"/>
        <v>0</v>
      </c>
      <c r="K428">
        <f t="shared" si="36"/>
        <v>0</v>
      </c>
      <c r="M428" t="str" cm="1">
        <f t="array" ref="M428">IFERROR(INDEX($I$2:$K$2,0,MATCH(TRUE,I428:K428,0)),E428)</f>
        <v>CCGT</v>
      </c>
      <c r="O428" t="str">
        <f t="shared" si="33"/>
        <v>CCGT_2037</v>
      </c>
      <c r="P428">
        <f t="shared" si="34"/>
        <v>60.097999999999999</v>
      </c>
    </row>
    <row r="429" spans="4:16" x14ac:dyDescent="0.25">
      <c r="D429">
        <v>2038</v>
      </c>
      <c r="E429" t="s">
        <v>123</v>
      </c>
      <c r="F429" t="s">
        <v>167</v>
      </c>
      <c r="G429">
        <v>60.097999999999999</v>
      </c>
      <c r="I429">
        <f t="shared" si="36"/>
        <v>0</v>
      </c>
      <c r="J429">
        <f t="shared" si="36"/>
        <v>0</v>
      </c>
      <c r="K429">
        <f t="shared" si="36"/>
        <v>0</v>
      </c>
      <c r="M429" t="str" cm="1">
        <f t="array" ref="M429">IFERROR(INDEX($I$2:$K$2,0,MATCH(TRUE,I429:K429,0)),E429)</f>
        <v>CCGT</v>
      </c>
      <c r="O429" t="str">
        <f t="shared" si="33"/>
        <v>CCGT_2038</v>
      </c>
      <c r="P429">
        <f t="shared" si="34"/>
        <v>60.097999999999999</v>
      </c>
    </row>
    <row r="430" spans="4:16" x14ac:dyDescent="0.25">
      <c r="D430">
        <v>2039</v>
      </c>
      <c r="E430" t="s">
        <v>123</v>
      </c>
      <c r="F430" t="s">
        <v>167</v>
      </c>
      <c r="G430">
        <v>60.097999999999999</v>
      </c>
      <c r="I430">
        <f t="shared" si="36"/>
        <v>0</v>
      </c>
      <c r="J430">
        <f t="shared" si="36"/>
        <v>0</v>
      </c>
      <c r="K430">
        <f t="shared" si="36"/>
        <v>0</v>
      </c>
      <c r="M430" t="str" cm="1">
        <f t="array" ref="M430">IFERROR(INDEX($I$2:$K$2,0,MATCH(TRUE,I430:K430,0)),E430)</f>
        <v>CCGT</v>
      </c>
      <c r="O430" t="str">
        <f t="shared" si="33"/>
        <v>CCGT_2039</v>
      </c>
      <c r="P430">
        <f t="shared" si="34"/>
        <v>60.097999999999999</v>
      </c>
    </row>
    <row r="431" spans="4:16" x14ac:dyDescent="0.25">
      <c r="D431">
        <v>2040</v>
      </c>
      <c r="E431" t="s">
        <v>123</v>
      </c>
      <c r="F431" t="s">
        <v>167</v>
      </c>
      <c r="G431">
        <v>60.097999999999999</v>
      </c>
      <c r="I431">
        <f t="shared" si="36"/>
        <v>0</v>
      </c>
      <c r="J431">
        <f t="shared" si="36"/>
        <v>0</v>
      </c>
      <c r="K431">
        <f t="shared" si="36"/>
        <v>0</v>
      </c>
      <c r="M431" t="str" cm="1">
        <f t="array" ref="M431">IFERROR(INDEX($I$2:$K$2,0,MATCH(TRUE,I431:K431,0)),E431)</f>
        <v>CCGT</v>
      </c>
      <c r="O431" t="str">
        <f t="shared" si="33"/>
        <v>CCGT_2040</v>
      </c>
      <c r="P431">
        <f t="shared" si="34"/>
        <v>60.097999999999999</v>
      </c>
    </row>
    <row r="432" spans="4:16" x14ac:dyDescent="0.25">
      <c r="D432">
        <v>2021</v>
      </c>
      <c r="E432" t="s">
        <v>123</v>
      </c>
      <c r="F432" t="s">
        <v>168</v>
      </c>
      <c r="G432">
        <v>40</v>
      </c>
      <c r="I432">
        <f t="shared" si="36"/>
        <v>0</v>
      </c>
      <c r="J432">
        <f t="shared" si="36"/>
        <v>0</v>
      </c>
      <c r="K432">
        <f t="shared" si="36"/>
        <v>0</v>
      </c>
      <c r="M432" t="str" cm="1">
        <f t="array" ref="M432">IFERROR(INDEX($I$2:$K$2,0,MATCH(TRUE,I432:K432,0)),E432)</f>
        <v>CCGT</v>
      </c>
      <c r="O432" t="str">
        <f t="shared" si="33"/>
        <v>CCGT_2021</v>
      </c>
      <c r="P432">
        <f t="shared" si="34"/>
        <v>40</v>
      </c>
    </row>
    <row r="433" spans="4:16" x14ac:dyDescent="0.25">
      <c r="D433">
        <v>2022</v>
      </c>
      <c r="E433" t="s">
        <v>123</v>
      </c>
      <c r="F433" t="s">
        <v>168</v>
      </c>
      <c r="G433">
        <v>40</v>
      </c>
      <c r="I433">
        <f t="shared" si="36"/>
        <v>0</v>
      </c>
      <c r="J433">
        <f t="shared" si="36"/>
        <v>0</v>
      </c>
      <c r="K433">
        <f t="shared" si="36"/>
        <v>0</v>
      </c>
      <c r="M433" t="str" cm="1">
        <f t="array" ref="M433">IFERROR(INDEX($I$2:$K$2,0,MATCH(TRUE,I433:K433,0)),E433)</f>
        <v>CCGT</v>
      </c>
      <c r="O433" t="str">
        <f t="shared" si="33"/>
        <v>CCGT_2022</v>
      </c>
      <c r="P433">
        <f t="shared" si="34"/>
        <v>40</v>
      </c>
    </row>
    <row r="434" spans="4:16" x14ac:dyDescent="0.25">
      <c r="D434">
        <v>2023</v>
      </c>
      <c r="E434" t="s">
        <v>123</v>
      </c>
      <c r="F434" t="s">
        <v>168</v>
      </c>
      <c r="G434">
        <v>40</v>
      </c>
      <c r="I434">
        <f t="shared" si="36"/>
        <v>0</v>
      </c>
      <c r="J434">
        <f t="shared" si="36"/>
        <v>0</v>
      </c>
      <c r="K434">
        <f t="shared" si="36"/>
        <v>0</v>
      </c>
      <c r="M434" t="str" cm="1">
        <f t="array" ref="M434">IFERROR(INDEX($I$2:$K$2,0,MATCH(TRUE,I434:K434,0)),E434)</f>
        <v>CCGT</v>
      </c>
      <c r="O434" t="str">
        <f t="shared" si="33"/>
        <v>CCGT_2023</v>
      </c>
      <c r="P434">
        <f t="shared" si="34"/>
        <v>40</v>
      </c>
    </row>
    <row r="435" spans="4:16" x14ac:dyDescent="0.25">
      <c r="D435">
        <v>2024</v>
      </c>
      <c r="E435" t="s">
        <v>123</v>
      </c>
      <c r="F435" t="s">
        <v>168</v>
      </c>
      <c r="G435">
        <v>40</v>
      </c>
      <c r="I435">
        <f t="shared" si="36"/>
        <v>0</v>
      </c>
      <c r="J435">
        <f t="shared" si="36"/>
        <v>0</v>
      </c>
      <c r="K435">
        <f t="shared" si="36"/>
        <v>0</v>
      </c>
      <c r="M435" t="str" cm="1">
        <f t="array" ref="M435">IFERROR(INDEX($I$2:$K$2,0,MATCH(TRUE,I435:K435,0)),E435)</f>
        <v>CCGT</v>
      </c>
      <c r="O435" t="str">
        <f t="shared" si="33"/>
        <v>CCGT_2024</v>
      </c>
      <c r="P435">
        <f t="shared" si="34"/>
        <v>40</v>
      </c>
    </row>
    <row r="436" spans="4:16" x14ac:dyDescent="0.25">
      <c r="D436">
        <v>2025</v>
      </c>
      <c r="E436" t="s">
        <v>123</v>
      </c>
      <c r="F436" t="s">
        <v>168</v>
      </c>
      <c r="G436">
        <v>40</v>
      </c>
      <c r="I436">
        <f t="shared" si="36"/>
        <v>0</v>
      </c>
      <c r="J436">
        <f t="shared" si="36"/>
        <v>0</v>
      </c>
      <c r="K436">
        <f t="shared" si="36"/>
        <v>0</v>
      </c>
      <c r="M436" t="str" cm="1">
        <f t="array" ref="M436">IFERROR(INDEX($I$2:$K$2,0,MATCH(TRUE,I436:K436,0)),E436)</f>
        <v>CCGT</v>
      </c>
      <c r="O436" t="str">
        <f t="shared" si="33"/>
        <v>CCGT_2025</v>
      </c>
      <c r="P436">
        <f t="shared" si="34"/>
        <v>40</v>
      </c>
    </row>
    <row r="437" spans="4:16" x14ac:dyDescent="0.25">
      <c r="D437">
        <v>2026</v>
      </c>
      <c r="E437" t="s">
        <v>123</v>
      </c>
      <c r="F437" t="s">
        <v>168</v>
      </c>
      <c r="G437">
        <v>40</v>
      </c>
      <c r="I437">
        <f t="shared" si="36"/>
        <v>0</v>
      </c>
      <c r="J437">
        <f t="shared" si="36"/>
        <v>0</v>
      </c>
      <c r="K437">
        <f t="shared" si="36"/>
        <v>0</v>
      </c>
      <c r="M437" t="str" cm="1">
        <f t="array" ref="M437">IFERROR(INDEX($I$2:$K$2,0,MATCH(TRUE,I437:K437,0)),E437)</f>
        <v>CCGT</v>
      </c>
      <c r="O437" t="str">
        <f t="shared" si="33"/>
        <v>CCGT_2026</v>
      </c>
      <c r="P437">
        <f t="shared" si="34"/>
        <v>40</v>
      </c>
    </row>
    <row r="438" spans="4:16" x14ac:dyDescent="0.25">
      <c r="D438">
        <v>2027</v>
      </c>
      <c r="E438" t="s">
        <v>123</v>
      </c>
      <c r="F438" t="s">
        <v>168</v>
      </c>
      <c r="G438">
        <v>40</v>
      </c>
      <c r="I438">
        <f t="shared" si="36"/>
        <v>0</v>
      </c>
      <c r="J438">
        <f t="shared" si="36"/>
        <v>0</v>
      </c>
      <c r="K438">
        <f t="shared" si="36"/>
        <v>0</v>
      </c>
      <c r="M438" t="str" cm="1">
        <f t="array" ref="M438">IFERROR(INDEX($I$2:$K$2,0,MATCH(TRUE,I438:K438,0)),E438)</f>
        <v>CCGT</v>
      </c>
      <c r="O438" t="str">
        <f t="shared" si="33"/>
        <v>CCGT_2027</v>
      </c>
      <c r="P438">
        <f t="shared" si="34"/>
        <v>40</v>
      </c>
    </row>
    <row r="439" spans="4:16" x14ac:dyDescent="0.25">
      <c r="D439">
        <v>2028</v>
      </c>
      <c r="E439" t="s">
        <v>123</v>
      </c>
      <c r="F439" t="s">
        <v>168</v>
      </c>
      <c r="G439">
        <v>40</v>
      </c>
      <c r="I439">
        <f t="shared" si="36"/>
        <v>0</v>
      </c>
      <c r="J439">
        <f t="shared" si="36"/>
        <v>0</v>
      </c>
      <c r="K439">
        <f t="shared" si="36"/>
        <v>0</v>
      </c>
      <c r="M439" t="str" cm="1">
        <f t="array" ref="M439">IFERROR(INDEX($I$2:$K$2,0,MATCH(TRUE,I439:K439,0)),E439)</f>
        <v>CCGT</v>
      </c>
      <c r="O439" t="str">
        <f t="shared" si="33"/>
        <v>CCGT_2028</v>
      </c>
      <c r="P439">
        <f t="shared" si="34"/>
        <v>40</v>
      </c>
    </row>
    <row r="440" spans="4:16" x14ac:dyDescent="0.25">
      <c r="D440">
        <v>2029</v>
      </c>
      <c r="E440" t="s">
        <v>123</v>
      </c>
      <c r="F440" t="s">
        <v>168</v>
      </c>
      <c r="G440">
        <v>40</v>
      </c>
      <c r="I440">
        <f t="shared" si="36"/>
        <v>0</v>
      </c>
      <c r="J440">
        <f t="shared" si="36"/>
        <v>0</v>
      </c>
      <c r="K440">
        <f t="shared" si="36"/>
        <v>0</v>
      </c>
      <c r="M440" t="str" cm="1">
        <f t="array" ref="M440">IFERROR(INDEX($I$2:$K$2,0,MATCH(TRUE,I440:K440,0)),E440)</f>
        <v>CCGT</v>
      </c>
      <c r="O440" t="str">
        <f t="shared" si="33"/>
        <v>CCGT_2029</v>
      </c>
      <c r="P440">
        <f t="shared" si="34"/>
        <v>40</v>
      </c>
    </row>
    <row r="441" spans="4:16" x14ac:dyDescent="0.25">
      <c r="D441">
        <v>2030</v>
      </c>
      <c r="E441" t="s">
        <v>123</v>
      </c>
      <c r="F441" t="s">
        <v>168</v>
      </c>
      <c r="G441">
        <v>40</v>
      </c>
      <c r="I441">
        <f t="shared" si="36"/>
        <v>0</v>
      </c>
      <c r="J441">
        <f t="shared" si="36"/>
        <v>0</v>
      </c>
      <c r="K441">
        <f t="shared" si="36"/>
        <v>0</v>
      </c>
      <c r="M441" t="str" cm="1">
        <f t="array" ref="M441">IFERROR(INDEX($I$2:$K$2,0,MATCH(TRUE,I441:K441,0)),E441)</f>
        <v>CCGT</v>
      </c>
      <c r="O441" t="str">
        <f t="shared" si="33"/>
        <v>CCGT_2030</v>
      </c>
      <c r="P441">
        <f t="shared" si="34"/>
        <v>40</v>
      </c>
    </row>
    <row r="442" spans="4:16" x14ac:dyDescent="0.25">
      <c r="D442">
        <v>2031</v>
      </c>
      <c r="E442" t="s">
        <v>123</v>
      </c>
      <c r="F442" t="s">
        <v>168</v>
      </c>
      <c r="G442">
        <v>40</v>
      </c>
      <c r="I442">
        <f t="shared" si="36"/>
        <v>0</v>
      </c>
      <c r="J442">
        <f t="shared" si="36"/>
        <v>0</v>
      </c>
      <c r="K442">
        <f t="shared" si="36"/>
        <v>0</v>
      </c>
      <c r="M442" t="str" cm="1">
        <f t="array" ref="M442">IFERROR(INDEX($I$2:$K$2,0,MATCH(TRUE,I442:K442,0)),E442)</f>
        <v>CCGT</v>
      </c>
      <c r="O442" t="str">
        <f t="shared" si="33"/>
        <v>CCGT_2031</v>
      </c>
      <c r="P442">
        <f t="shared" si="34"/>
        <v>40</v>
      </c>
    </row>
    <row r="443" spans="4:16" x14ac:dyDescent="0.25">
      <c r="D443">
        <v>2032</v>
      </c>
      <c r="E443" t="s">
        <v>123</v>
      </c>
      <c r="F443" t="s">
        <v>168</v>
      </c>
      <c r="G443">
        <v>40</v>
      </c>
      <c r="I443">
        <f t="shared" si="36"/>
        <v>0</v>
      </c>
      <c r="J443">
        <f t="shared" si="36"/>
        <v>0</v>
      </c>
      <c r="K443">
        <f t="shared" si="36"/>
        <v>0</v>
      </c>
      <c r="M443" t="str" cm="1">
        <f t="array" ref="M443">IFERROR(INDEX($I$2:$K$2,0,MATCH(TRUE,I443:K443,0)),E443)</f>
        <v>CCGT</v>
      </c>
      <c r="O443" t="str">
        <f t="shared" si="33"/>
        <v>CCGT_2032</v>
      </c>
      <c r="P443">
        <f t="shared" si="34"/>
        <v>40</v>
      </c>
    </row>
    <row r="444" spans="4:16" x14ac:dyDescent="0.25">
      <c r="D444">
        <v>2033</v>
      </c>
      <c r="E444" t="s">
        <v>123</v>
      </c>
      <c r="F444" t="s">
        <v>168</v>
      </c>
      <c r="G444">
        <v>40</v>
      </c>
      <c r="I444">
        <f t="shared" ref="I444:K463" si="37">IFERROR(FIND(I$2,$E444,1)&gt;0,0)</f>
        <v>0</v>
      </c>
      <c r="J444">
        <f t="shared" si="37"/>
        <v>0</v>
      </c>
      <c r="K444">
        <f t="shared" si="37"/>
        <v>0</v>
      </c>
      <c r="M444" t="str" cm="1">
        <f t="array" ref="M444">IFERROR(INDEX($I$2:$K$2,0,MATCH(TRUE,I444:K444,0)),E444)</f>
        <v>CCGT</v>
      </c>
      <c r="O444" t="str">
        <f t="shared" si="33"/>
        <v>CCGT_2033</v>
      </c>
      <c r="P444">
        <f t="shared" si="34"/>
        <v>40</v>
      </c>
    </row>
    <row r="445" spans="4:16" x14ac:dyDescent="0.25">
      <c r="D445">
        <v>2034</v>
      </c>
      <c r="E445" t="s">
        <v>123</v>
      </c>
      <c r="F445" t="s">
        <v>168</v>
      </c>
      <c r="G445">
        <v>40</v>
      </c>
      <c r="I445">
        <f t="shared" si="37"/>
        <v>0</v>
      </c>
      <c r="J445">
        <f t="shared" si="37"/>
        <v>0</v>
      </c>
      <c r="K445">
        <f t="shared" si="37"/>
        <v>0</v>
      </c>
      <c r="M445" t="str" cm="1">
        <f t="array" ref="M445">IFERROR(INDEX($I$2:$K$2,0,MATCH(TRUE,I445:K445,0)),E445)</f>
        <v>CCGT</v>
      </c>
      <c r="O445" t="str">
        <f t="shared" si="33"/>
        <v>CCGT_2034</v>
      </c>
      <c r="P445">
        <f t="shared" si="34"/>
        <v>40</v>
      </c>
    </row>
    <row r="446" spans="4:16" x14ac:dyDescent="0.25">
      <c r="D446">
        <v>2035</v>
      </c>
      <c r="E446" t="s">
        <v>123</v>
      </c>
      <c r="F446" t="s">
        <v>168</v>
      </c>
      <c r="G446">
        <v>40</v>
      </c>
      <c r="I446">
        <f t="shared" si="37"/>
        <v>0</v>
      </c>
      <c r="J446">
        <f t="shared" si="37"/>
        <v>0</v>
      </c>
      <c r="K446">
        <f t="shared" si="37"/>
        <v>0</v>
      </c>
      <c r="M446" t="str" cm="1">
        <f t="array" ref="M446">IFERROR(INDEX($I$2:$K$2,0,MATCH(TRUE,I446:K446,0)),E446)</f>
        <v>CCGT</v>
      </c>
      <c r="O446" t="str">
        <f t="shared" si="33"/>
        <v>CCGT_2035</v>
      </c>
      <c r="P446">
        <f t="shared" si="34"/>
        <v>40</v>
      </c>
    </row>
    <row r="447" spans="4:16" x14ac:dyDescent="0.25">
      <c r="D447">
        <v>2036</v>
      </c>
      <c r="E447" t="s">
        <v>123</v>
      </c>
      <c r="F447" t="s">
        <v>168</v>
      </c>
      <c r="G447">
        <v>40</v>
      </c>
      <c r="I447">
        <f t="shared" si="37"/>
        <v>0</v>
      </c>
      <c r="J447">
        <f t="shared" si="37"/>
        <v>0</v>
      </c>
      <c r="K447">
        <f t="shared" si="37"/>
        <v>0</v>
      </c>
      <c r="M447" t="str" cm="1">
        <f t="array" ref="M447">IFERROR(INDEX($I$2:$K$2,0,MATCH(TRUE,I447:K447,0)),E447)</f>
        <v>CCGT</v>
      </c>
      <c r="O447" t="str">
        <f t="shared" si="33"/>
        <v>CCGT_2036</v>
      </c>
      <c r="P447">
        <f t="shared" si="34"/>
        <v>40</v>
      </c>
    </row>
    <row r="448" spans="4:16" x14ac:dyDescent="0.25">
      <c r="D448">
        <v>2037</v>
      </c>
      <c r="E448" t="s">
        <v>123</v>
      </c>
      <c r="F448" t="s">
        <v>168</v>
      </c>
      <c r="G448">
        <v>40</v>
      </c>
      <c r="I448">
        <f t="shared" si="37"/>
        <v>0</v>
      </c>
      <c r="J448">
        <f t="shared" si="37"/>
        <v>0</v>
      </c>
      <c r="K448">
        <f t="shared" si="37"/>
        <v>0</v>
      </c>
      <c r="M448" t="str" cm="1">
        <f t="array" ref="M448">IFERROR(INDEX($I$2:$K$2,0,MATCH(TRUE,I448:K448,0)),E448)</f>
        <v>CCGT</v>
      </c>
      <c r="O448" t="str">
        <f t="shared" si="33"/>
        <v>CCGT_2037</v>
      </c>
      <c r="P448">
        <f t="shared" si="34"/>
        <v>40</v>
      </c>
    </row>
    <row r="449" spans="4:16" x14ac:dyDescent="0.25">
      <c r="D449">
        <v>2038</v>
      </c>
      <c r="E449" t="s">
        <v>123</v>
      </c>
      <c r="F449" t="s">
        <v>168</v>
      </c>
      <c r="G449">
        <v>40</v>
      </c>
      <c r="I449">
        <f t="shared" si="37"/>
        <v>0</v>
      </c>
      <c r="J449">
        <f t="shared" si="37"/>
        <v>0</v>
      </c>
      <c r="K449">
        <f t="shared" si="37"/>
        <v>0</v>
      </c>
      <c r="M449" t="str" cm="1">
        <f t="array" ref="M449">IFERROR(INDEX($I$2:$K$2,0,MATCH(TRUE,I449:K449,0)),E449)</f>
        <v>CCGT</v>
      </c>
      <c r="O449" t="str">
        <f t="shared" si="33"/>
        <v>CCGT_2038</v>
      </c>
      <c r="P449">
        <f t="shared" si="34"/>
        <v>40</v>
      </c>
    </row>
    <row r="450" spans="4:16" x14ac:dyDescent="0.25">
      <c r="D450">
        <v>2039</v>
      </c>
      <c r="E450" t="s">
        <v>123</v>
      </c>
      <c r="F450" t="s">
        <v>168</v>
      </c>
      <c r="G450">
        <v>40</v>
      </c>
      <c r="I450">
        <f t="shared" si="37"/>
        <v>0</v>
      </c>
      <c r="J450">
        <f t="shared" si="37"/>
        <v>0</v>
      </c>
      <c r="K450">
        <f t="shared" si="37"/>
        <v>0</v>
      </c>
      <c r="M450" t="str" cm="1">
        <f t="array" ref="M450">IFERROR(INDEX($I$2:$K$2,0,MATCH(TRUE,I450:K450,0)),E450)</f>
        <v>CCGT</v>
      </c>
      <c r="O450" t="str">
        <f t="shared" si="33"/>
        <v>CCGT_2039</v>
      </c>
      <c r="P450">
        <f t="shared" si="34"/>
        <v>40</v>
      </c>
    </row>
    <row r="451" spans="4:16" x14ac:dyDescent="0.25">
      <c r="D451">
        <v>2040</v>
      </c>
      <c r="E451" t="s">
        <v>123</v>
      </c>
      <c r="F451" t="s">
        <v>168</v>
      </c>
      <c r="G451">
        <v>40</v>
      </c>
      <c r="I451">
        <f t="shared" si="37"/>
        <v>0</v>
      </c>
      <c r="J451">
        <f t="shared" si="37"/>
        <v>0</v>
      </c>
      <c r="K451">
        <f t="shared" si="37"/>
        <v>0</v>
      </c>
      <c r="M451" t="str" cm="1">
        <f t="array" ref="M451">IFERROR(INDEX($I$2:$K$2,0,MATCH(TRUE,I451:K451,0)),E451)</f>
        <v>CCGT</v>
      </c>
      <c r="O451" t="str">
        <f t="shared" si="33"/>
        <v>CCGT_2040</v>
      </c>
      <c r="P451">
        <f t="shared" si="34"/>
        <v>40</v>
      </c>
    </row>
    <row r="452" spans="4:16" x14ac:dyDescent="0.25">
      <c r="D452">
        <v>2021</v>
      </c>
      <c r="E452" t="s">
        <v>123</v>
      </c>
      <c r="F452" t="s">
        <v>169</v>
      </c>
      <c r="G452">
        <v>100.24</v>
      </c>
      <c r="I452">
        <f t="shared" si="37"/>
        <v>0</v>
      </c>
      <c r="J452">
        <f t="shared" si="37"/>
        <v>0</v>
      </c>
      <c r="K452">
        <f t="shared" si="37"/>
        <v>0</v>
      </c>
      <c r="M452" t="str" cm="1">
        <f t="array" ref="M452">IFERROR(INDEX($I$2:$K$2,0,MATCH(TRUE,I452:K452,0)),E452)</f>
        <v>CCGT</v>
      </c>
      <c r="O452" t="str">
        <f t="shared" ref="O452:O515" si="38">M452&amp;"_"&amp;D452</f>
        <v>CCGT_2021</v>
      </c>
      <c r="P452">
        <f t="shared" ref="P452:P515" si="39">G452</f>
        <v>100.24</v>
      </c>
    </row>
    <row r="453" spans="4:16" x14ac:dyDescent="0.25">
      <c r="D453">
        <v>2022</v>
      </c>
      <c r="E453" t="s">
        <v>123</v>
      </c>
      <c r="F453" t="s">
        <v>169</v>
      </c>
      <c r="G453">
        <v>100.24</v>
      </c>
      <c r="I453">
        <f t="shared" si="37"/>
        <v>0</v>
      </c>
      <c r="J453">
        <f t="shared" si="37"/>
        <v>0</v>
      </c>
      <c r="K453">
        <f t="shared" si="37"/>
        <v>0</v>
      </c>
      <c r="M453" t="str" cm="1">
        <f t="array" ref="M453">IFERROR(INDEX($I$2:$K$2,0,MATCH(TRUE,I453:K453,0)),E453)</f>
        <v>CCGT</v>
      </c>
      <c r="O453" t="str">
        <f t="shared" si="38"/>
        <v>CCGT_2022</v>
      </c>
      <c r="P453">
        <f t="shared" si="39"/>
        <v>100.24</v>
      </c>
    </row>
    <row r="454" spans="4:16" x14ac:dyDescent="0.25">
      <c r="D454">
        <v>2023</v>
      </c>
      <c r="E454" t="s">
        <v>123</v>
      </c>
      <c r="F454" t="s">
        <v>169</v>
      </c>
      <c r="G454">
        <v>100.24</v>
      </c>
      <c r="I454">
        <f t="shared" si="37"/>
        <v>0</v>
      </c>
      <c r="J454">
        <f t="shared" si="37"/>
        <v>0</v>
      </c>
      <c r="K454">
        <f t="shared" si="37"/>
        <v>0</v>
      </c>
      <c r="M454" t="str" cm="1">
        <f t="array" ref="M454">IFERROR(INDEX($I$2:$K$2,0,MATCH(TRUE,I454:K454,0)),E454)</f>
        <v>CCGT</v>
      </c>
      <c r="O454" t="str">
        <f t="shared" si="38"/>
        <v>CCGT_2023</v>
      </c>
      <c r="P454">
        <f t="shared" si="39"/>
        <v>100.24</v>
      </c>
    </row>
    <row r="455" spans="4:16" x14ac:dyDescent="0.25">
      <c r="D455">
        <v>2024</v>
      </c>
      <c r="E455" t="s">
        <v>123</v>
      </c>
      <c r="F455" t="s">
        <v>169</v>
      </c>
      <c r="G455">
        <v>100.24</v>
      </c>
      <c r="I455">
        <f t="shared" si="37"/>
        <v>0</v>
      </c>
      <c r="J455">
        <f t="shared" si="37"/>
        <v>0</v>
      </c>
      <c r="K455">
        <f t="shared" si="37"/>
        <v>0</v>
      </c>
      <c r="M455" t="str" cm="1">
        <f t="array" ref="M455">IFERROR(INDEX($I$2:$K$2,0,MATCH(TRUE,I455:K455,0)),E455)</f>
        <v>CCGT</v>
      </c>
      <c r="O455" t="str">
        <f t="shared" si="38"/>
        <v>CCGT_2024</v>
      </c>
      <c r="P455">
        <f t="shared" si="39"/>
        <v>100.24</v>
      </c>
    </row>
    <row r="456" spans="4:16" x14ac:dyDescent="0.25">
      <c r="D456">
        <v>2025</v>
      </c>
      <c r="E456" t="s">
        <v>123</v>
      </c>
      <c r="F456" t="s">
        <v>169</v>
      </c>
      <c r="G456">
        <v>100.24</v>
      </c>
      <c r="I456">
        <f t="shared" si="37"/>
        <v>0</v>
      </c>
      <c r="J456">
        <f t="shared" si="37"/>
        <v>0</v>
      </c>
      <c r="K456">
        <f t="shared" si="37"/>
        <v>0</v>
      </c>
      <c r="M456" t="str" cm="1">
        <f t="array" ref="M456">IFERROR(INDEX($I$2:$K$2,0,MATCH(TRUE,I456:K456,0)),E456)</f>
        <v>CCGT</v>
      </c>
      <c r="O456" t="str">
        <f t="shared" si="38"/>
        <v>CCGT_2025</v>
      </c>
      <c r="P456">
        <f t="shared" si="39"/>
        <v>100.24</v>
      </c>
    </row>
    <row r="457" spans="4:16" x14ac:dyDescent="0.25">
      <c r="D457">
        <v>2026</v>
      </c>
      <c r="E457" t="s">
        <v>123</v>
      </c>
      <c r="F457" t="s">
        <v>169</v>
      </c>
      <c r="G457">
        <v>100.24</v>
      </c>
      <c r="I457">
        <f t="shared" si="37"/>
        <v>0</v>
      </c>
      <c r="J457">
        <f t="shared" si="37"/>
        <v>0</v>
      </c>
      <c r="K457">
        <f t="shared" si="37"/>
        <v>0</v>
      </c>
      <c r="M457" t="str" cm="1">
        <f t="array" ref="M457">IFERROR(INDEX($I$2:$K$2,0,MATCH(TRUE,I457:K457,0)),E457)</f>
        <v>CCGT</v>
      </c>
      <c r="O457" t="str">
        <f t="shared" si="38"/>
        <v>CCGT_2026</v>
      </c>
      <c r="P457">
        <f t="shared" si="39"/>
        <v>100.24</v>
      </c>
    </row>
    <row r="458" spans="4:16" x14ac:dyDescent="0.25">
      <c r="D458">
        <v>2027</v>
      </c>
      <c r="E458" t="s">
        <v>123</v>
      </c>
      <c r="F458" t="s">
        <v>169</v>
      </c>
      <c r="G458">
        <v>100.24</v>
      </c>
      <c r="I458">
        <f t="shared" si="37"/>
        <v>0</v>
      </c>
      <c r="J458">
        <f t="shared" si="37"/>
        <v>0</v>
      </c>
      <c r="K458">
        <f t="shared" si="37"/>
        <v>0</v>
      </c>
      <c r="M458" t="str" cm="1">
        <f t="array" ref="M458">IFERROR(INDEX($I$2:$K$2,0,MATCH(TRUE,I458:K458,0)),E458)</f>
        <v>CCGT</v>
      </c>
      <c r="O458" t="str">
        <f t="shared" si="38"/>
        <v>CCGT_2027</v>
      </c>
      <c r="P458">
        <f t="shared" si="39"/>
        <v>100.24</v>
      </c>
    </row>
    <row r="459" spans="4:16" x14ac:dyDescent="0.25">
      <c r="D459">
        <v>2028</v>
      </c>
      <c r="E459" t="s">
        <v>123</v>
      </c>
      <c r="F459" t="s">
        <v>169</v>
      </c>
      <c r="G459">
        <v>100.24</v>
      </c>
      <c r="I459">
        <f t="shared" si="37"/>
        <v>0</v>
      </c>
      <c r="J459">
        <f t="shared" si="37"/>
        <v>0</v>
      </c>
      <c r="K459">
        <f t="shared" si="37"/>
        <v>0</v>
      </c>
      <c r="M459" t="str" cm="1">
        <f t="array" ref="M459">IFERROR(INDEX($I$2:$K$2,0,MATCH(TRUE,I459:K459,0)),E459)</f>
        <v>CCGT</v>
      </c>
      <c r="O459" t="str">
        <f t="shared" si="38"/>
        <v>CCGT_2028</v>
      </c>
      <c r="P459">
        <f t="shared" si="39"/>
        <v>100.24</v>
      </c>
    </row>
    <row r="460" spans="4:16" x14ac:dyDescent="0.25">
      <c r="D460">
        <v>2029</v>
      </c>
      <c r="E460" t="s">
        <v>123</v>
      </c>
      <c r="F460" t="s">
        <v>169</v>
      </c>
      <c r="G460">
        <v>100.24</v>
      </c>
      <c r="I460">
        <f t="shared" si="37"/>
        <v>0</v>
      </c>
      <c r="J460">
        <f t="shared" si="37"/>
        <v>0</v>
      </c>
      <c r="K460">
        <f t="shared" si="37"/>
        <v>0</v>
      </c>
      <c r="M460" t="str" cm="1">
        <f t="array" ref="M460">IFERROR(INDEX($I$2:$K$2,0,MATCH(TRUE,I460:K460,0)),E460)</f>
        <v>CCGT</v>
      </c>
      <c r="O460" t="str">
        <f t="shared" si="38"/>
        <v>CCGT_2029</v>
      </c>
      <c r="P460">
        <f t="shared" si="39"/>
        <v>100.24</v>
      </c>
    </row>
    <row r="461" spans="4:16" x14ac:dyDescent="0.25">
      <c r="D461">
        <v>2030</v>
      </c>
      <c r="E461" t="s">
        <v>123</v>
      </c>
      <c r="F461" t="s">
        <v>169</v>
      </c>
      <c r="G461">
        <v>100.24</v>
      </c>
      <c r="I461">
        <f t="shared" si="37"/>
        <v>0</v>
      </c>
      <c r="J461">
        <f t="shared" si="37"/>
        <v>0</v>
      </c>
      <c r="K461">
        <f t="shared" si="37"/>
        <v>0</v>
      </c>
      <c r="M461" t="str" cm="1">
        <f t="array" ref="M461">IFERROR(INDEX($I$2:$K$2,0,MATCH(TRUE,I461:K461,0)),E461)</f>
        <v>CCGT</v>
      </c>
      <c r="O461" t="str">
        <f t="shared" si="38"/>
        <v>CCGT_2030</v>
      </c>
      <c r="P461">
        <f t="shared" si="39"/>
        <v>100.24</v>
      </c>
    </row>
    <row r="462" spans="4:16" x14ac:dyDescent="0.25">
      <c r="D462">
        <v>2031</v>
      </c>
      <c r="E462" t="s">
        <v>123</v>
      </c>
      <c r="F462" t="s">
        <v>169</v>
      </c>
      <c r="G462">
        <v>100.24</v>
      </c>
      <c r="I462">
        <f t="shared" si="37"/>
        <v>0</v>
      </c>
      <c r="J462">
        <f t="shared" si="37"/>
        <v>0</v>
      </c>
      <c r="K462">
        <f t="shared" si="37"/>
        <v>0</v>
      </c>
      <c r="M462" t="str" cm="1">
        <f t="array" ref="M462">IFERROR(INDEX($I$2:$K$2,0,MATCH(TRUE,I462:K462,0)),E462)</f>
        <v>CCGT</v>
      </c>
      <c r="O462" t="str">
        <f t="shared" si="38"/>
        <v>CCGT_2031</v>
      </c>
      <c r="P462">
        <f t="shared" si="39"/>
        <v>100.24</v>
      </c>
    </row>
    <row r="463" spans="4:16" x14ac:dyDescent="0.25">
      <c r="D463">
        <v>2032</v>
      </c>
      <c r="E463" t="s">
        <v>123</v>
      </c>
      <c r="F463" t="s">
        <v>169</v>
      </c>
      <c r="G463">
        <v>100.24</v>
      </c>
      <c r="I463">
        <f t="shared" si="37"/>
        <v>0</v>
      </c>
      <c r="J463">
        <f t="shared" si="37"/>
        <v>0</v>
      </c>
      <c r="K463">
        <f t="shared" si="37"/>
        <v>0</v>
      </c>
      <c r="M463" t="str" cm="1">
        <f t="array" ref="M463">IFERROR(INDEX($I$2:$K$2,0,MATCH(TRUE,I463:K463,0)),E463)</f>
        <v>CCGT</v>
      </c>
      <c r="O463" t="str">
        <f t="shared" si="38"/>
        <v>CCGT_2032</v>
      </c>
      <c r="P463">
        <f t="shared" si="39"/>
        <v>100.24</v>
      </c>
    </row>
    <row r="464" spans="4:16" x14ac:dyDescent="0.25">
      <c r="D464">
        <v>2033</v>
      </c>
      <c r="E464" t="s">
        <v>123</v>
      </c>
      <c r="F464" t="s">
        <v>169</v>
      </c>
      <c r="G464">
        <v>100.24</v>
      </c>
      <c r="I464">
        <f t="shared" ref="I464:K483" si="40">IFERROR(FIND(I$2,$E464,1)&gt;0,0)</f>
        <v>0</v>
      </c>
      <c r="J464">
        <f t="shared" si="40"/>
        <v>0</v>
      </c>
      <c r="K464">
        <f t="shared" si="40"/>
        <v>0</v>
      </c>
      <c r="M464" t="str" cm="1">
        <f t="array" ref="M464">IFERROR(INDEX($I$2:$K$2,0,MATCH(TRUE,I464:K464,0)),E464)</f>
        <v>CCGT</v>
      </c>
      <c r="O464" t="str">
        <f t="shared" si="38"/>
        <v>CCGT_2033</v>
      </c>
      <c r="P464">
        <f t="shared" si="39"/>
        <v>100.24</v>
      </c>
    </row>
    <row r="465" spans="4:16" x14ac:dyDescent="0.25">
      <c r="D465">
        <v>2034</v>
      </c>
      <c r="E465" t="s">
        <v>123</v>
      </c>
      <c r="F465" t="s">
        <v>169</v>
      </c>
      <c r="G465">
        <v>100.24</v>
      </c>
      <c r="I465">
        <f t="shared" si="40"/>
        <v>0</v>
      </c>
      <c r="J465">
        <f t="shared" si="40"/>
        <v>0</v>
      </c>
      <c r="K465">
        <f t="shared" si="40"/>
        <v>0</v>
      </c>
      <c r="M465" t="str" cm="1">
        <f t="array" ref="M465">IFERROR(INDEX($I$2:$K$2,0,MATCH(TRUE,I465:K465,0)),E465)</f>
        <v>CCGT</v>
      </c>
      <c r="O465" t="str">
        <f t="shared" si="38"/>
        <v>CCGT_2034</v>
      </c>
      <c r="P465">
        <f t="shared" si="39"/>
        <v>100.24</v>
      </c>
    </row>
    <row r="466" spans="4:16" x14ac:dyDescent="0.25">
      <c r="D466">
        <v>2035</v>
      </c>
      <c r="E466" t="s">
        <v>123</v>
      </c>
      <c r="F466" t="s">
        <v>169</v>
      </c>
      <c r="G466">
        <v>100.24</v>
      </c>
      <c r="I466">
        <f t="shared" si="40"/>
        <v>0</v>
      </c>
      <c r="J466">
        <f t="shared" si="40"/>
        <v>0</v>
      </c>
      <c r="K466">
        <f t="shared" si="40"/>
        <v>0</v>
      </c>
      <c r="M466" t="str" cm="1">
        <f t="array" ref="M466">IFERROR(INDEX($I$2:$K$2,0,MATCH(TRUE,I466:K466,0)),E466)</f>
        <v>CCGT</v>
      </c>
      <c r="O466" t="str">
        <f t="shared" si="38"/>
        <v>CCGT_2035</v>
      </c>
      <c r="P466">
        <f t="shared" si="39"/>
        <v>100.24</v>
      </c>
    </row>
    <row r="467" spans="4:16" x14ac:dyDescent="0.25">
      <c r="D467">
        <v>2036</v>
      </c>
      <c r="E467" t="s">
        <v>123</v>
      </c>
      <c r="F467" t="s">
        <v>169</v>
      </c>
      <c r="G467">
        <v>100.24</v>
      </c>
      <c r="I467">
        <f t="shared" si="40"/>
        <v>0</v>
      </c>
      <c r="J467">
        <f t="shared" si="40"/>
        <v>0</v>
      </c>
      <c r="K467">
        <f t="shared" si="40"/>
        <v>0</v>
      </c>
      <c r="M467" t="str" cm="1">
        <f t="array" ref="M467">IFERROR(INDEX($I$2:$K$2,0,MATCH(TRUE,I467:K467,0)),E467)</f>
        <v>CCGT</v>
      </c>
      <c r="O467" t="str">
        <f t="shared" si="38"/>
        <v>CCGT_2036</v>
      </c>
      <c r="P467">
        <f t="shared" si="39"/>
        <v>100.24</v>
      </c>
    </row>
    <row r="468" spans="4:16" x14ac:dyDescent="0.25">
      <c r="D468">
        <v>2037</v>
      </c>
      <c r="E468" t="s">
        <v>123</v>
      </c>
      <c r="F468" t="s">
        <v>169</v>
      </c>
      <c r="G468">
        <v>100.24</v>
      </c>
      <c r="I468">
        <f t="shared" si="40"/>
        <v>0</v>
      </c>
      <c r="J468">
        <f t="shared" si="40"/>
        <v>0</v>
      </c>
      <c r="K468">
        <f t="shared" si="40"/>
        <v>0</v>
      </c>
      <c r="M468" t="str" cm="1">
        <f t="array" ref="M468">IFERROR(INDEX($I$2:$K$2,0,MATCH(TRUE,I468:K468,0)),E468)</f>
        <v>CCGT</v>
      </c>
      <c r="O468" t="str">
        <f t="shared" si="38"/>
        <v>CCGT_2037</v>
      </c>
      <c r="P468">
        <f t="shared" si="39"/>
        <v>100.24</v>
      </c>
    </row>
    <row r="469" spans="4:16" x14ac:dyDescent="0.25">
      <c r="D469">
        <v>2038</v>
      </c>
      <c r="E469" t="s">
        <v>123</v>
      </c>
      <c r="F469" t="s">
        <v>169</v>
      </c>
      <c r="G469">
        <v>100.24</v>
      </c>
      <c r="I469">
        <f t="shared" si="40"/>
        <v>0</v>
      </c>
      <c r="J469">
        <f t="shared" si="40"/>
        <v>0</v>
      </c>
      <c r="K469">
        <f t="shared" si="40"/>
        <v>0</v>
      </c>
      <c r="M469" t="str" cm="1">
        <f t="array" ref="M469">IFERROR(INDEX($I$2:$K$2,0,MATCH(TRUE,I469:K469,0)),E469)</f>
        <v>CCGT</v>
      </c>
      <c r="O469" t="str">
        <f t="shared" si="38"/>
        <v>CCGT_2038</v>
      </c>
      <c r="P469">
        <f t="shared" si="39"/>
        <v>100.24</v>
      </c>
    </row>
    <row r="470" spans="4:16" x14ac:dyDescent="0.25">
      <c r="D470">
        <v>2039</v>
      </c>
      <c r="E470" t="s">
        <v>123</v>
      </c>
      <c r="F470" t="s">
        <v>169</v>
      </c>
      <c r="G470">
        <v>100.24</v>
      </c>
      <c r="I470">
        <f t="shared" si="40"/>
        <v>0</v>
      </c>
      <c r="J470">
        <f t="shared" si="40"/>
        <v>0</v>
      </c>
      <c r="K470">
        <f t="shared" si="40"/>
        <v>0</v>
      </c>
      <c r="M470" t="str" cm="1">
        <f t="array" ref="M470">IFERROR(INDEX($I$2:$K$2,0,MATCH(TRUE,I470:K470,0)),E470)</f>
        <v>CCGT</v>
      </c>
      <c r="O470" t="str">
        <f t="shared" si="38"/>
        <v>CCGT_2039</v>
      </c>
      <c r="P470">
        <f t="shared" si="39"/>
        <v>100.24</v>
      </c>
    </row>
    <row r="471" spans="4:16" x14ac:dyDescent="0.25">
      <c r="D471">
        <v>2040</v>
      </c>
      <c r="E471" t="s">
        <v>123</v>
      </c>
      <c r="F471" t="s">
        <v>169</v>
      </c>
      <c r="G471">
        <v>100.24</v>
      </c>
      <c r="I471">
        <f t="shared" si="40"/>
        <v>0</v>
      </c>
      <c r="J471">
        <f t="shared" si="40"/>
        <v>0</v>
      </c>
      <c r="K471">
        <f t="shared" si="40"/>
        <v>0</v>
      </c>
      <c r="M471" t="str" cm="1">
        <f t="array" ref="M471">IFERROR(INDEX($I$2:$K$2,0,MATCH(TRUE,I471:K471,0)),E471)</f>
        <v>CCGT</v>
      </c>
      <c r="O471" t="str">
        <f t="shared" si="38"/>
        <v>CCGT_2040</v>
      </c>
      <c r="P471">
        <f t="shared" si="39"/>
        <v>100.24</v>
      </c>
    </row>
    <row r="472" spans="4:16" x14ac:dyDescent="0.25">
      <c r="D472">
        <v>2021</v>
      </c>
      <c r="E472" t="s">
        <v>123</v>
      </c>
      <c r="F472" t="s">
        <v>170</v>
      </c>
      <c r="G472">
        <v>417.1</v>
      </c>
      <c r="I472">
        <f t="shared" si="40"/>
        <v>0</v>
      </c>
      <c r="J472">
        <f t="shared" si="40"/>
        <v>0</v>
      </c>
      <c r="K472">
        <f t="shared" si="40"/>
        <v>0</v>
      </c>
      <c r="M472" t="str" cm="1">
        <f t="array" ref="M472">IFERROR(INDEX($I$2:$K$2,0,MATCH(TRUE,I472:K472,0)),E472)</f>
        <v>CCGT</v>
      </c>
      <c r="O472" t="str">
        <f t="shared" si="38"/>
        <v>CCGT_2021</v>
      </c>
      <c r="P472">
        <f t="shared" si="39"/>
        <v>417.1</v>
      </c>
    </row>
    <row r="473" spans="4:16" x14ac:dyDescent="0.25">
      <c r="D473">
        <v>2022</v>
      </c>
      <c r="E473" t="s">
        <v>123</v>
      </c>
      <c r="F473" t="s">
        <v>170</v>
      </c>
      <c r="G473">
        <v>417.1</v>
      </c>
      <c r="I473">
        <f t="shared" si="40"/>
        <v>0</v>
      </c>
      <c r="J473">
        <f t="shared" si="40"/>
        <v>0</v>
      </c>
      <c r="K473">
        <f t="shared" si="40"/>
        <v>0</v>
      </c>
      <c r="M473" t="str" cm="1">
        <f t="array" ref="M473">IFERROR(INDEX($I$2:$K$2,0,MATCH(TRUE,I473:K473,0)),E473)</f>
        <v>CCGT</v>
      </c>
      <c r="O473" t="str">
        <f t="shared" si="38"/>
        <v>CCGT_2022</v>
      </c>
      <c r="P473">
        <f t="shared" si="39"/>
        <v>417.1</v>
      </c>
    </row>
    <row r="474" spans="4:16" x14ac:dyDescent="0.25">
      <c r="D474">
        <v>2023</v>
      </c>
      <c r="E474" t="s">
        <v>123</v>
      </c>
      <c r="F474" t="s">
        <v>170</v>
      </c>
      <c r="G474">
        <v>417.1</v>
      </c>
      <c r="I474">
        <f t="shared" si="40"/>
        <v>0</v>
      </c>
      <c r="J474">
        <f t="shared" si="40"/>
        <v>0</v>
      </c>
      <c r="K474">
        <f t="shared" si="40"/>
        <v>0</v>
      </c>
      <c r="M474" t="str" cm="1">
        <f t="array" ref="M474">IFERROR(INDEX($I$2:$K$2,0,MATCH(TRUE,I474:K474,0)),E474)</f>
        <v>CCGT</v>
      </c>
      <c r="O474" t="str">
        <f t="shared" si="38"/>
        <v>CCGT_2023</v>
      </c>
      <c r="P474">
        <f t="shared" si="39"/>
        <v>417.1</v>
      </c>
    </row>
    <row r="475" spans="4:16" x14ac:dyDescent="0.25">
      <c r="D475">
        <v>2024</v>
      </c>
      <c r="E475" t="s">
        <v>123</v>
      </c>
      <c r="F475" t="s">
        <v>170</v>
      </c>
      <c r="G475">
        <v>417.1</v>
      </c>
      <c r="I475">
        <f t="shared" si="40"/>
        <v>0</v>
      </c>
      <c r="J475">
        <f t="shared" si="40"/>
        <v>0</v>
      </c>
      <c r="K475">
        <f t="shared" si="40"/>
        <v>0</v>
      </c>
      <c r="M475" t="str" cm="1">
        <f t="array" ref="M475">IFERROR(INDEX($I$2:$K$2,0,MATCH(TRUE,I475:K475,0)),E475)</f>
        <v>CCGT</v>
      </c>
      <c r="O475" t="str">
        <f t="shared" si="38"/>
        <v>CCGT_2024</v>
      </c>
      <c r="P475">
        <f t="shared" si="39"/>
        <v>417.1</v>
      </c>
    </row>
    <row r="476" spans="4:16" x14ac:dyDescent="0.25">
      <c r="D476">
        <v>2025</v>
      </c>
      <c r="E476" t="s">
        <v>123</v>
      </c>
      <c r="F476" t="s">
        <v>170</v>
      </c>
      <c r="G476">
        <v>417.1</v>
      </c>
      <c r="I476">
        <f t="shared" si="40"/>
        <v>0</v>
      </c>
      <c r="J476">
        <f t="shared" si="40"/>
        <v>0</v>
      </c>
      <c r="K476">
        <f t="shared" si="40"/>
        <v>0</v>
      </c>
      <c r="M476" t="str" cm="1">
        <f t="array" ref="M476">IFERROR(INDEX($I$2:$K$2,0,MATCH(TRUE,I476:K476,0)),E476)</f>
        <v>CCGT</v>
      </c>
      <c r="O476" t="str">
        <f t="shared" si="38"/>
        <v>CCGT_2025</v>
      </c>
      <c r="P476">
        <f t="shared" si="39"/>
        <v>417.1</v>
      </c>
    </row>
    <row r="477" spans="4:16" x14ac:dyDescent="0.25">
      <c r="D477">
        <v>2026</v>
      </c>
      <c r="E477" t="s">
        <v>123</v>
      </c>
      <c r="F477" t="s">
        <v>170</v>
      </c>
      <c r="G477">
        <v>417.1</v>
      </c>
      <c r="I477">
        <f t="shared" si="40"/>
        <v>0</v>
      </c>
      <c r="J477">
        <f t="shared" si="40"/>
        <v>0</v>
      </c>
      <c r="K477">
        <f t="shared" si="40"/>
        <v>0</v>
      </c>
      <c r="M477" t="str" cm="1">
        <f t="array" ref="M477">IFERROR(INDEX($I$2:$K$2,0,MATCH(TRUE,I477:K477,0)),E477)</f>
        <v>CCGT</v>
      </c>
      <c r="O477" t="str">
        <f t="shared" si="38"/>
        <v>CCGT_2026</v>
      </c>
      <c r="P477">
        <f t="shared" si="39"/>
        <v>417.1</v>
      </c>
    </row>
    <row r="478" spans="4:16" x14ac:dyDescent="0.25">
      <c r="D478">
        <v>2027</v>
      </c>
      <c r="E478" t="s">
        <v>123</v>
      </c>
      <c r="F478" t="s">
        <v>170</v>
      </c>
      <c r="G478">
        <v>417.1</v>
      </c>
      <c r="I478">
        <f t="shared" si="40"/>
        <v>0</v>
      </c>
      <c r="J478">
        <f t="shared" si="40"/>
        <v>0</v>
      </c>
      <c r="K478">
        <f t="shared" si="40"/>
        <v>0</v>
      </c>
      <c r="M478" t="str" cm="1">
        <f t="array" ref="M478">IFERROR(INDEX($I$2:$K$2,0,MATCH(TRUE,I478:K478,0)),E478)</f>
        <v>CCGT</v>
      </c>
      <c r="O478" t="str">
        <f t="shared" si="38"/>
        <v>CCGT_2027</v>
      </c>
      <c r="P478">
        <f t="shared" si="39"/>
        <v>417.1</v>
      </c>
    </row>
    <row r="479" spans="4:16" x14ac:dyDescent="0.25">
      <c r="D479">
        <v>2028</v>
      </c>
      <c r="E479" t="s">
        <v>123</v>
      </c>
      <c r="F479" t="s">
        <v>170</v>
      </c>
      <c r="G479">
        <v>417.1</v>
      </c>
      <c r="I479">
        <f t="shared" si="40"/>
        <v>0</v>
      </c>
      <c r="J479">
        <f t="shared" si="40"/>
        <v>0</v>
      </c>
      <c r="K479">
        <f t="shared" si="40"/>
        <v>0</v>
      </c>
      <c r="M479" t="str" cm="1">
        <f t="array" ref="M479">IFERROR(INDEX($I$2:$K$2,0,MATCH(TRUE,I479:K479,0)),E479)</f>
        <v>CCGT</v>
      </c>
      <c r="O479" t="str">
        <f t="shared" si="38"/>
        <v>CCGT_2028</v>
      </c>
      <c r="P479">
        <f t="shared" si="39"/>
        <v>417.1</v>
      </c>
    </row>
    <row r="480" spans="4:16" x14ac:dyDescent="0.25">
      <c r="D480">
        <v>2029</v>
      </c>
      <c r="E480" t="s">
        <v>123</v>
      </c>
      <c r="F480" t="s">
        <v>170</v>
      </c>
      <c r="G480">
        <v>417.1</v>
      </c>
      <c r="I480">
        <f t="shared" si="40"/>
        <v>0</v>
      </c>
      <c r="J480">
        <f t="shared" si="40"/>
        <v>0</v>
      </c>
      <c r="K480">
        <f t="shared" si="40"/>
        <v>0</v>
      </c>
      <c r="M480" t="str" cm="1">
        <f t="array" ref="M480">IFERROR(INDEX($I$2:$K$2,0,MATCH(TRUE,I480:K480,0)),E480)</f>
        <v>CCGT</v>
      </c>
      <c r="O480" t="str">
        <f t="shared" si="38"/>
        <v>CCGT_2029</v>
      </c>
      <c r="P480">
        <f t="shared" si="39"/>
        <v>417.1</v>
      </c>
    </row>
    <row r="481" spans="4:16" x14ac:dyDescent="0.25">
      <c r="D481">
        <v>2030</v>
      </c>
      <c r="E481" t="s">
        <v>123</v>
      </c>
      <c r="F481" t="s">
        <v>170</v>
      </c>
      <c r="G481">
        <v>417.1</v>
      </c>
      <c r="I481">
        <f t="shared" si="40"/>
        <v>0</v>
      </c>
      <c r="J481">
        <f t="shared" si="40"/>
        <v>0</v>
      </c>
      <c r="K481">
        <f t="shared" si="40"/>
        <v>0</v>
      </c>
      <c r="M481" t="str" cm="1">
        <f t="array" ref="M481">IFERROR(INDEX($I$2:$K$2,0,MATCH(TRUE,I481:K481,0)),E481)</f>
        <v>CCGT</v>
      </c>
      <c r="O481" t="str">
        <f t="shared" si="38"/>
        <v>CCGT_2030</v>
      </c>
      <c r="P481">
        <f t="shared" si="39"/>
        <v>417.1</v>
      </c>
    </row>
    <row r="482" spans="4:16" x14ac:dyDescent="0.25">
      <c r="D482">
        <v>2031</v>
      </c>
      <c r="E482" t="s">
        <v>123</v>
      </c>
      <c r="F482" t="s">
        <v>170</v>
      </c>
      <c r="G482">
        <v>417.1</v>
      </c>
      <c r="I482">
        <f t="shared" si="40"/>
        <v>0</v>
      </c>
      <c r="J482">
        <f t="shared" si="40"/>
        <v>0</v>
      </c>
      <c r="K482">
        <f t="shared" si="40"/>
        <v>0</v>
      </c>
      <c r="M482" t="str" cm="1">
        <f t="array" ref="M482">IFERROR(INDEX($I$2:$K$2,0,MATCH(TRUE,I482:K482,0)),E482)</f>
        <v>CCGT</v>
      </c>
      <c r="O482" t="str">
        <f t="shared" si="38"/>
        <v>CCGT_2031</v>
      </c>
      <c r="P482">
        <f t="shared" si="39"/>
        <v>417.1</v>
      </c>
    </row>
    <row r="483" spans="4:16" x14ac:dyDescent="0.25">
      <c r="D483">
        <v>2032</v>
      </c>
      <c r="E483" t="s">
        <v>123</v>
      </c>
      <c r="F483" t="s">
        <v>170</v>
      </c>
      <c r="G483">
        <v>417.1</v>
      </c>
      <c r="I483">
        <f t="shared" si="40"/>
        <v>0</v>
      </c>
      <c r="J483">
        <f t="shared" si="40"/>
        <v>0</v>
      </c>
      <c r="K483">
        <f t="shared" si="40"/>
        <v>0</v>
      </c>
      <c r="M483" t="str" cm="1">
        <f t="array" ref="M483">IFERROR(INDEX($I$2:$K$2,0,MATCH(TRUE,I483:K483,0)),E483)</f>
        <v>CCGT</v>
      </c>
      <c r="O483" t="str">
        <f t="shared" si="38"/>
        <v>CCGT_2032</v>
      </c>
      <c r="P483">
        <f t="shared" si="39"/>
        <v>417.1</v>
      </c>
    </row>
    <row r="484" spans="4:16" x14ac:dyDescent="0.25">
      <c r="D484">
        <v>2033</v>
      </c>
      <c r="E484" t="s">
        <v>123</v>
      </c>
      <c r="F484" t="s">
        <v>170</v>
      </c>
      <c r="G484">
        <v>417.1</v>
      </c>
      <c r="I484">
        <f t="shared" ref="I484:K503" si="41">IFERROR(FIND(I$2,$E484,1)&gt;0,0)</f>
        <v>0</v>
      </c>
      <c r="J484">
        <f t="shared" si="41"/>
        <v>0</v>
      </c>
      <c r="K484">
        <f t="shared" si="41"/>
        <v>0</v>
      </c>
      <c r="M484" t="str" cm="1">
        <f t="array" ref="M484">IFERROR(INDEX($I$2:$K$2,0,MATCH(TRUE,I484:K484,0)),E484)</f>
        <v>CCGT</v>
      </c>
      <c r="O484" t="str">
        <f t="shared" si="38"/>
        <v>CCGT_2033</v>
      </c>
      <c r="P484">
        <f t="shared" si="39"/>
        <v>417.1</v>
      </c>
    </row>
    <row r="485" spans="4:16" x14ac:dyDescent="0.25">
      <c r="D485">
        <v>2034</v>
      </c>
      <c r="E485" t="s">
        <v>123</v>
      </c>
      <c r="F485" t="s">
        <v>170</v>
      </c>
      <c r="G485">
        <v>417.1</v>
      </c>
      <c r="I485">
        <f t="shared" si="41"/>
        <v>0</v>
      </c>
      <c r="J485">
        <f t="shared" si="41"/>
        <v>0</v>
      </c>
      <c r="K485">
        <f t="shared" si="41"/>
        <v>0</v>
      </c>
      <c r="M485" t="str" cm="1">
        <f t="array" ref="M485">IFERROR(INDEX($I$2:$K$2,0,MATCH(TRUE,I485:K485,0)),E485)</f>
        <v>CCGT</v>
      </c>
      <c r="O485" t="str">
        <f t="shared" si="38"/>
        <v>CCGT_2034</v>
      </c>
      <c r="P485">
        <f t="shared" si="39"/>
        <v>417.1</v>
      </c>
    </row>
    <row r="486" spans="4:16" x14ac:dyDescent="0.25">
      <c r="D486">
        <v>2035</v>
      </c>
      <c r="E486" t="s">
        <v>123</v>
      </c>
      <c r="F486" t="s">
        <v>170</v>
      </c>
      <c r="G486">
        <v>417.1</v>
      </c>
      <c r="I486">
        <f t="shared" si="41"/>
        <v>0</v>
      </c>
      <c r="J486">
        <f t="shared" si="41"/>
        <v>0</v>
      </c>
      <c r="K486">
        <f t="shared" si="41"/>
        <v>0</v>
      </c>
      <c r="M486" t="str" cm="1">
        <f t="array" ref="M486">IFERROR(INDEX($I$2:$K$2,0,MATCH(TRUE,I486:K486,0)),E486)</f>
        <v>CCGT</v>
      </c>
      <c r="O486" t="str">
        <f t="shared" si="38"/>
        <v>CCGT_2035</v>
      </c>
      <c r="P486">
        <f t="shared" si="39"/>
        <v>417.1</v>
      </c>
    </row>
    <row r="487" spans="4:16" x14ac:dyDescent="0.25">
      <c r="D487">
        <v>2036</v>
      </c>
      <c r="E487" t="s">
        <v>123</v>
      </c>
      <c r="F487" t="s">
        <v>170</v>
      </c>
      <c r="G487">
        <v>417.1</v>
      </c>
      <c r="I487">
        <f t="shared" si="41"/>
        <v>0</v>
      </c>
      <c r="J487">
        <f t="shared" si="41"/>
        <v>0</v>
      </c>
      <c r="K487">
        <f t="shared" si="41"/>
        <v>0</v>
      </c>
      <c r="M487" t="str" cm="1">
        <f t="array" ref="M487">IFERROR(INDEX($I$2:$K$2,0,MATCH(TRUE,I487:K487,0)),E487)</f>
        <v>CCGT</v>
      </c>
      <c r="O487" t="str">
        <f t="shared" si="38"/>
        <v>CCGT_2036</v>
      </c>
      <c r="P487">
        <f t="shared" si="39"/>
        <v>417.1</v>
      </c>
    </row>
    <row r="488" spans="4:16" x14ac:dyDescent="0.25">
      <c r="D488">
        <v>2037</v>
      </c>
      <c r="E488" t="s">
        <v>123</v>
      </c>
      <c r="F488" t="s">
        <v>170</v>
      </c>
      <c r="G488">
        <v>417.1</v>
      </c>
      <c r="I488">
        <f t="shared" si="41"/>
        <v>0</v>
      </c>
      <c r="J488">
        <f t="shared" si="41"/>
        <v>0</v>
      </c>
      <c r="K488">
        <f t="shared" si="41"/>
        <v>0</v>
      </c>
      <c r="M488" t="str" cm="1">
        <f t="array" ref="M488">IFERROR(INDEX($I$2:$K$2,0,MATCH(TRUE,I488:K488,0)),E488)</f>
        <v>CCGT</v>
      </c>
      <c r="O488" t="str">
        <f t="shared" si="38"/>
        <v>CCGT_2037</v>
      </c>
      <c r="P488">
        <f t="shared" si="39"/>
        <v>417.1</v>
      </c>
    </row>
    <row r="489" spans="4:16" x14ac:dyDescent="0.25">
      <c r="D489">
        <v>2038</v>
      </c>
      <c r="E489" t="s">
        <v>123</v>
      </c>
      <c r="F489" t="s">
        <v>170</v>
      </c>
      <c r="G489">
        <v>417.1</v>
      </c>
      <c r="I489">
        <f t="shared" si="41"/>
        <v>0</v>
      </c>
      <c r="J489">
        <f t="shared" si="41"/>
        <v>0</v>
      </c>
      <c r="K489">
        <f t="shared" si="41"/>
        <v>0</v>
      </c>
      <c r="M489" t="str" cm="1">
        <f t="array" ref="M489">IFERROR(INDEX($I$2:$K$2,0,MATCH(TRUE,I489:K489,0)),E489)</f>
        <v>CCGT</v>
      </c>
      <c r="O489" t="str">
        <f t="shared" si="38"/>
        <v>CCGT_2038</v>
      </c>
      <c r="P489">
        <f t="shared" si="39"/>
        <v>417.1</v>
      </c>
    </row>
    <row r="490" spans="4:16" x14ac:dyDescent="0.25">
      <c r="D490">
        <v>2039</v>
      </c>
      <c r="E490" t="s">
        <v>123</v>
      </c>
      <c r="F490" t="s">
        <v>170</v>
      </c>
      <c r="G490">
        <v>417.1</v>
      </c>
      <c r="I490">
        <f t="shared" si="41"/>
        <v>0</v>
      </c>
      <c r="J490">
        <f t="shared" si="41"/>
        <v>0</v>
      </c>
      <c r="K490">
        <f t="shared" si="41"/>
        <v>0</v>
      </c>
      <c r="M490" t="str" cm="1">
        <f t="array" ref="M490">IFERROR(INDEX($I$2:$K$2,0,MATCH(TRUE,I490:K490,0)),E490)</f>
        <v>CCGT</v>
      </c>
      <c r="O490" t="str">
        <f t="shared" si="38"/>
        <v>CCGT_2039</v>
      </c>
      <c r="P490">
        <f t="shared" si="39"/>
        <v>417.1</v>
      </c>
    </row>
    <row r="491" spans="4:16" x14ac:dyDescent="0.25">
      <c r="D491">
        <v>2040</v>
      </c>
      <c r="E491" t="s">
        <v>123</v>
      </c>
      <c r="F491" t="s">
        <v>170</v>
      </c>
      <c r="G491">
        <v>417.1</v>
      </c>
      <c r="I491">
        <f t="shared" si="41"/>
        <v>0</v>
      </c>
      <c r="J491">
        <f t="shared" si="41"/>
        <v>0</v>
      </c>
      <c r="K491">
        <f t="shared" si="41"/>
        <v>0</v>
      </c>
      <c r="M491" t="str" cm="1">
        <f t="array" ref="M491">IFERROR(INDEX($I$2:$K$2,0,MATCH(TRUE,I491:K491,0)),E491)</f>
        <v>CCGT</v>
      </c>
      <c r="O491" t="str">
        <f t="shared" si="38"/>
        <v>CCGT_2040</v>
      </c>
      <c r="P491">
        <f t="shared" si="39"/>
        <v>417.1</v>
      </c>
    </row>
    <row r="492" spans="4:16" x14ac:dyDescent="0.25">
      <c r="D492">
        <v>2021</v>
      </c>
      <c r="E492" t="s">
        <v>123</v>
      </c>
      <c r="F492" t="s">
        <v>171</v>
      </c>
      <c r="G492">
        <v>420.9</v>
      </c>
      <c r="I492">
        <f t="shared" si="41"/>
        <v>0</v>
      </c>
      <c r="J492">
        <f t="shared" si="41"/>
        <v>0</v>
      </c>
      <c r="K492">
        <f t="shared" si="41"/>
        <v>0</v>
      </c>
      <c r="M492" t="str" cm="1">
        <f t="array" ref="M492">IFERROR(INDEX($I$2:$K$2,0,MATCH(TRUE,I492:K492,0)),E492)</f>
        <v>CCGT</v>
      </c>
      <c r="O492" t="str">
        <f t="shared" si="38"/>
        <v>CCGT_2021</v>
      </c>
      <c r="P492">
        <f t="shared" si="39"/>
        <v>420.9</v>
      </c>
    </row>
    <row r="493" spans="4:16" x14ac:dyDescent="0.25">
      <c r="D493">
        <v>2022</v>
      </c>
      <c r="E493" t="s">
        <v>123</v>
      </c>
      <c r="F493" t="s">
        <v>171</v>
      </c>
      <c r="G493">
        <v>420.9</v>
      </c>
      <c r="I493">
        <f t="shared" si="41"/>
        <v>0</v>
      </c>
      <c r="J493">
        <f t="shared" si="41"/>
        <v>0</v>
      </c>
      <c r="K493">
        <f t="shared" si="41"/>
        <v>0</v>
      </c>
      <c r="M493" t="str" cm="1">
        <f t="array" ref="M493">IFERROR(INDEX($I$2:$K$2,0,MATCH(TRUE,I493:K493,0)),E493)</f>
        <v>CCGT</v>
      </c>
      <c r="O493" t="str">
        <f t="shared" si="38"/>
        <v>CCGT_2022</v>
      </c>
      <c r="P493">
        <f t="shared" si="39"/>
        <v>420.9</v>
      </c>
    </row>
    <row r="494" spans="4:16" x14ac:dyDescent="0.25">
      <c r="D494">
        <v>2023</v>
      </c>
      <c r="E494" t="s">
        <v>123</v>
      </c>
      <c r="F494" t="s">
        <v>171</v>
      </c>
      <c r="G494">
        <v>420.9</v>
      </c>
      <c r="I494">
        <f t="shared" si="41"/>
        <v>0</v>
      </c>
      <c r="J494">
        <f t="shared" si="41"/>
        <v>0</v>
      </c>
      <c r="K494">
        <f t="shared" si="41"/>
        <v>0</v>
      </c>
      <c r="M494" t="str" cm="1">
        <f t="array" ref="M494">IFERROR(INDEX($I$2:$K$2,0,MATCH(TRUE,I494:K494,0)),E494)</f>
        <v>CCGT</v>
      </c>
      <c r="O494" t="str">
        <f t="shared" si="38"/>
        <v>CCGT_2023</v>
      </c>
      <c r="P494">
        <f t="shared" si="39"/>
        <v>420.9</v>
      </c>
    </row>
    <row r="495" spans="4:16" x14ac:dyDescent="0.25">
      <c r="D495">
        <v>2024</v>
      </c>
      <c r="E495" t="s">
        <v>123</v>
      </c>
      <c r="F495" t="s">
        <v>171</v>
      </c>
      <c r="G495">
        <v>420.9</v>
      </c>
      <c r="I495">
        <f t="shared" si="41"/>
        <v>0</v>
      </c>
      <c r="J495">
        <f t="shared" si="41"/>
        <v>0</v>
      </c>
      <c r="K495">
        <f t="shared" si="41"/>
        <v>0</v>
      </c>
      <c r="M495" t="str" cm="1">
        <f t="array" ref="M495">IFERROR(INDEX($I$2:$K$2,0,MATCH(TRUE,I495:K495,0)),E495)</f>
        <v>CCGT</v>
      </c>
      <c r="O495" t="str">
        <f t="shared" si="38"/>
        <v>CCGT_2024</v>
      </c>
      <c r="P495">
        <f t="shared" si="39"/>
        <v>420.9</v>
      </c>
    </row>
    <row r="496" spans="4:16" x14ac:dyDescent="0.25">
      <c r="D496">
        <v>2025</v>
      </c>
      <c r="E496" t="s">
        <v>123</v>
      </c>
      <c r="F496" t="s">
        <v>171</v>
      </c>
      <c r="G496">
        <v>420.9</v>
      </c>
      <c r="I496">
        <f t="shared" si="41"/>
        <v>0</v>
      </c>
      <c r="J496">
        <f t="shared" si="41"/>
        <v>0</v>
      </c>
      <c r="K496">
        <f t="shared" si="41"/>
        <v>0</v>
      </c>
      <c r="M496" t="str" cm="1">
        <f t="array" ref="M496">IFERROR(INDEX($I$2:$K$2,0,MATCH(TRUE,I496:K496,0)),E496)</f>
        <v>CCGT</v>
      </c>
      <c r="O496" t="str">
        <f t="shared" si="38"/>
        <v>CCGT_2025</v>
      </c>
      <c r="P496">
        <f t="shared" si="39"/>
        <v>420.9</v>
      </c>
    </row>
    <row r="497" spans="4:16" x14ac:dyDescent="0.25">
      <c r="D497">
        <v>2026</v>
      </c>
      <c r="E497" t="s">
        <v>123</v>
      </c>
      <c r="F497" t="s">
        <v>171</v>
      </c>
      <c r="G497">
        <v>420.9</v>
      </c>
      <c r="I497">
        <f t="shared" si="41"/>
        <v>0</v>
      </c>
      <c r="J497">
        <f t="shared" si="41"/>
        <v>0</v>
      </c>
      <c r="K497">
        <f t="shared" si="41"/>
        <v>0</v>
      </c>
      <c r="M497" t="str" cm="1">
        <f t="array" ref="M497">IFERROR(INDEX($I$2:$K$2,0,MATCH(TRUE,I497:K497,0)),E497)</f>
        <v>CCGT</v>
      </c>
      <c r="O497" t="str">
        <f t="shared" si="38"/>
        <v>CCGT_2026</v>
      </c>
      <c r="P497">
        <f t="shared" si="39"/>
        <v>420.9</v>
      </c>
    </row>
    <row r="498" spans="4:16" x14ac:dyDescent="0.25">
      <c r="D498">
        <v>2027</v>
      </c>
      <c r="E498" t="s">
        <v>123</v>
      </c>
      <c r="F498" t="s">
        <v>171</v>
      </c>
      <c r="G498">
        <v>420.9</v>
      </c>
      <c r="I498">
        <f t="shared" si="41"/>
        <v>0</v>
      </c>
      <c r="J498">
        <f t="shared" si="41"/>
        <v>0</v>
      </c>
      <c r="K498">
        <f t="shared" si="41"/>
        <v>0</v>
      </c>
      <c r="M498" t="str" cm="1">
        <f t="array" ref="M498">IFERROR(INDEX($I$2:$K$2,0,MATCH(TRUE,I498:K498,0)),E498)</f>
        <v>CCGT</v>
      </c>
      <c r="O498" t="str">
        <f t="shared" si="38"/>
        <v>CCGT_2027</v>
      </c>
      <c r="P498">
        <f t="shared" si="39"/>
        <v>420.9</v>
      </c>
    </row>
    <row r="499" spans="4:16" x14ac:dyDescent="0.25">
      <c r="D499">
        <v>2028</v>
      </c>
      <c r="E499" t="s">
        <v>123</v>
      </c>
      <c r="F499" t="s">
        <v>171</v>
      </c>
      <c r="G499">
        <v>420.9</v>
      </c>
      <c r="I499">
        <f t="shared" si="41"/>
        <v>0</v>
      </c>
      <c r="J499">
        <f t="shared" si="41"/>
        <v>0</v>
      </c>
      <c r="K499">
        <f t="shared" si="41"/>
        <v>0</v>
      </c>
      <c r="M499" t="str" cm="1">
        <f t="array" ref="M499">IFERROR(INDEX($I$2:$K$2,0,MATCH(TRUE,I499:K499,0)),E499)</f>
        <v>CCGT</v>
      </c>
      <c r="O499" t="str">
        <f t="shared" si="38"/>
        <v>CCGT_2028</v>
      </c>
      <c r="P499">
        <f t="shared" si="39"/>
        <v>420.9</v>
      </c>
    </row>
    <row r="500" spans="4:16" x14ac:dyDescent="0.25">
      <c r="D500">
        <v>2029</v>
      </c>
      <c r="E500" t="s">
        <v>123</v>
      </c>
      <c r="F500" t="s">
        <v>171</v>
      </c>
      <c r="G500">
        <v>420.9</v>
      </c>
      <c r="I500">
        <f t="shared" si="41"/>
        <v>0</v>
      </c>
      <c r="J500">
        <f t="shared" si="41"/>
        <v>0</v>
      </c>
      <c r="K500">
        <f t="shared" si="41"/>
        <v>0</v>
      </c>
      <c r="M500" t="str" cm="1">
        <f t="array" ref="M500">IFERROR(INDEX($I$2:$K$2,0,MATCH(TRUE,I500:K500,0)),E500)</f>
        <v>CCGT</v>
      </c>
      <c r="O500" t="str">
        <f t="shared" si="38"/>
        <v>CCGT_2029</v>
      </c>
      <c r="P500">
        <f t="shared" si="39"/>
        <v>420.9</v>
      </c>
    </row>
    <row r="501" spans="4:16" x14ac:dyDescent="0.25">
      <c r="D501">
        <v>2030</v>
      </c>
      <c r="E501" t="s">
        <v>123</v>
      </c>
      <c r="F501" t="s">
        <v>171</v>
      </c>
      <c r="G501">
        <v>420.9</v>
      </c>
      <c r="I501">
        <f t="shared" si="41"/>
        <v>0</v>
      </c>
      <c r="J501">
        <f t="shared" si="41"/>
        <v>0</v>
      </c>
      <c r="K501">
        <f t="shared" si="41"/>
        <v>0</v>
      </c>
      <c r="M501" t="str" cm="1">
        <f t="array" ref="M501">IFERROR(INDEX($I$2:$K$2,0,MATCH(TRUE,I501:K501,0)),E501)</f>
        <v>CCGT</v>
      </c>
      <c r="O501" t="str">
        <f t="shared" si="38"/>
        <v>CCGT_2030</v>
      </c>
      <c r="P501">
        <f t="shared" si="39"/>
        <v>420.9</v>
      </c>
    </row>
    <row r="502" spans="4:16" x14ac:dyDescent="0.25">
      <c r="D502">
        <v>2031</v>
      </c>
      <c r="E502" t="s">
        <v>123</v>
      </c>
      <c r="F502" t="s">
        <v>171</v>
      </c>
      <c r="G502">
        <v>420.9</v>
      </c>
      <c r="I502">
        <f t="shared" si="41"/>
        <v>0</v>
      </c>
      <c r="J502">
        <f t="shared" si="41"/>
        <v>0</v>
      </c>
      <c r="K502">
        <f t="shared" si="41"/>
        <v>0</v>
      </c>
      <c r="M502" t="str" cm="1">
        <f t="array" ref="M502">IFERROR(INDEX($I$2:$K$2,0,MATCH(TRUE,I502:K502,0)),E502)</f>
        <v>CCGT</v>
      </c>
      <c r="O502" t="str">
        <f t="shared" si="38"/>
        <v>CCGT_2031</v>
      </c>
      <c r="P502">
        <f t="shared" si="39"/>
        <v>420.9</v>
      </c>
    </row>
    <row r="503" spans="4:16" x14ac:dyDescent="0.25">
      <c r="D503">
        <v>2032</v>
      </c>
      <c r="E503" t="s">
        <v>123</v>
      </c>
      <c r="F503" t="s">
        <v>171</v>
      </c>
      <c r="G503">
        <v>420.9</v>
      </c>
      <c r="I503">
        <f t="shared" si="41"/>
        <v>0</v>
      </c>
      <c r="J503">
        <f t="shared" si="41"/>
        <v>0</v>
      </c>
      <c r="K503">
        <f t="shared" si="41"/>
        <v>0</v>
      </c>
      <c r="M503" t="str" cm="1">
        <f t="array" ref="M503">IFERROR(INDEX($I$2:$K$2,0,MATCH(TRUE,I503:K503,0)),E503)</f>
        <v>CCGT</v>
      </c>
      <c r="O503" t="str">
        <f t="shared" si="38"/>
        <v>CCGT_2032</v>
      </c>
      <c r="P503">
        <f t="shared" si="39"/>
        <v>420.9</v>
      </c>
    </row>
    <row r="504" spans="4:16" x14ac:dyDescent="0.25">
      <c r="D504">
        <v>2033</v>
      </c>
      <c r="E504" t="s">
        <v>123</v>
      </c>
      <c r="F504" t="s">
        <v>171</v>
      </c>
      <c r="G504">
        <v>420.9</v>
      </c>
      <c r="I504">
        <f t="shared" ref="I504:K523" si="42">IFERROR(FIND(I$2,$E504,1)&gt;0,0)</f>
        <v>0</v>
      </c>
      <c r="J504">
        <f t="shared" si="42"/>
        <v>0</v>
      </c>
      <c r="K504">
        <f t="shared" si="42"/>
        <v>0</v>
      </c>
      <c r="M504" t="str" cm="1">
        <f t="array" ref="M504">IFERROR(INDEX($I$2:$K$2,0,MATCH(TRUE,I504:K504,0)),E504)</f>
        <v>CCGT</v>
      </c>
      <c r="O504" t="str">
        <f t="shared" si="38"/>
        <v>CCGT_2033</v>
      </c>
      <c r="P504">
        <f t="shared" si="39"/>
        <v>420.9</v>
      </c>
    </row>
    <row r="505" spans="4:16" x14ac:dyDescent="0.25">
      <c r="D505">
        <v>2034</v>
      </c>
      <c r="E505" t="s">
        <v>123</v>
      </c>
      <c r="F505" t="s">
        <v>171</v>
      </c>
      <c r="G505">
        <v>420.9</v>
      </c>
      <c r="I505">
        <f t="shared" si="42"/>
        <v>0</v>
      </c>
      <c r="J505">
        <f t="shared" si="42"/>
        <v>0</v>
      </c>
      <c r="K505">
        <f t="shared" si="42"/>
        <v>0</v>
      </c>
      <c r="M505" t="str" cm="1">
        <f t="array" ref="M505">IFERROR(INDEX($I$2:$K$2,0,MATCH(TRUE,I505:K505,0)),E505)</f>
        <v>CCGT</v>
      </c>
      <c r="O505" t="str">
        <f t="shared" si="38"/>
        <v>CCGT_2034</v>
      </c>
      <c r="P505">
        <f t="shared" si="39"/>
        <v>420.9</v>
      </c>
    </row>
    <row r="506" spans="4:16" x14ac:dyDescent="0.25">
      <c r="D506">
        <v>2035</v>
      </c>
      <c r="E506" t="s">
        <v>123</v>
      </c>
      <c r="F506" t="s">
        <v>171</v>
      </c>
      <c r="G506">
        <v>420.9</v>
      </c>
      <c r="I506">
        <f t="shared" si="42"/>
        <v>0</v>
      </c>
      <c r="J506">
        <f t="shared" si="42"/>
        <v>0</v>
      </c>
      <c r="K506">
        <f t="shared" si="42"/>
        <v>0</v>
      </c>
      <c r="M506" t="str" cm="1">
        <f t="array" ref="M506">IFERROR(INDEX($I$2:$K$2,0,MATCH(TRUE,I506:K506,0)),E506)</f>
        <v>CCGT</v>
      </c>
      <c r="O506" t="str">
        <f t="shared" si="38"/>
        <v>CCGT_2035</v>
      </c>
      <c r="P506">
        <f t="shared" si="39"/>
        <v>420.9</v>
      </c>
    </row>
    <row r="507" spans="4:16" x14ac:dyDescent="0.25">
      <c r="D507">
        <v>2036</v>
      </c>
      <c r="E507" t="s">
        <v>123</v>
      </c>
      <c r="F507" t="s">
        <v>171</v>
      </c>
      <c r="G507">
        <v>420.9</v>
      </c>
      <c r="I507">
        <f t="shared" si="42"/>
        <v>0</v>
      </c>
      <c r="J507">
        <f t="shared" si="42"/>
        <v>0</v>
      </c>
      <c r="K507">
        <f t="shared" si="42"/>
        <v>0</v>
      </c>
      <c r="M507" t="str" cm="1">
        <f t="array" ref="M507">IFERROR(INDEX($I$2:$K$2,0,MATCH(TRUE,I507:K507,0)),E507)</f>
        <v>CCGT</v>
      </c>
      <c r="O507" t="str">
        <f t="shared" si="38"/>
        <v>CCGT_2036</v>
      </c>
      <c r="P507">
        <f t="shared" si="39"/>
        <v>420.9</v>
      </c>
    </row>
    <row r="508" spans="4:16" x14ac:dyDescent="0.25">
      <c r="D508">
        <v>2037</v>
      </c>
      <c r="E508" t="s">
        <v>123</v>
      </c>
      <c r="F508" t="s">
        <v>171</v>
      </c>
      <c r="G508">
        <v>420.9</v>
      </c>
      <c r="I508">
        <f t="shared" si="42"/>
        <v>0</v>
      </c>
      <c r="J508">
        <f t="shared" si="42"/>
        <v>0</v>
      </c>
      <c r="K508">
        <f t="shared" si="42"/>
        <v>0</v>
      </c>
      <c r="M508" t="str" cm="1">
        <f t="array" ref="M508">IFERROR(INDEX($I$2:$K$2,0,MATCH(TRUE,I508:K508,0)),E508)</f>
        <v>CCGT</v>
      </c>
      <c r="O508" t="str">
        <f t="shared" si="38"/>
        <v>CCGT_2037</v>
      </c>
      <c r="P508">
        <f t="shared" si="39"/>
        <v>420.9</v>
      </c>
    </row>
    <row r="509" spans="4:16" x14ac:dyDescent="0.25">
      <c r="D509">
        <v>2038</v>
      </c>
      <c r="E509" t="s">
        <v>123</v>
      </c>
      <c r="F509" t="s">
        <v>171</v>
      </c>
      <c r="G509">
        <v>420.9</v>
      </c>
      <c r="I509">
        <f t="shared" si="42"/>
        <v>0</v>
      </c>
      <c r="J509">
        <f t="shared" si="42"/>
        <v>0</v>
      </c>
      <c r="K509">
        <f t="shared" si="42"/>
        <v>0</v>
      </c>
      <c r="M509" t="str" cm="1">
        <f t="array" ref="M509">IFERROR(INDEX($I$2:$K$2,0,MATCH(TRUE,I509:K509,0)),E509)</f>
        <v>CCGT</v>
      </c>
      <c r="O509" t="str">
        <f t="shared" si="38"/>
        <v>CCGT_2038</v>
      </c>
      <c r="P509">
        <f t="shared" si="39"/>
        <v>420.9</v>
      </c>
    </row>
    <row r="510" spans="4:16" x14ac:dyDescent="0.25">
      <c r="D510">
        <v>2039</v>
      </c>
      <c r="E510" t="s">
        <v>123</v>
      </c>
      <c r="F510" t="s">
        <v>171</v>
      </c>
      <c r="G510">
        <v>420.9</v>
      </c>
      <c r="I510">
        <f t="shared" si="42"/>
        <v>0</v>
      </c>
      <c r="J510">
        <f t="shared" si="42"/>
        <v>0</v>
      </c>
      <c r="K510">
        <f t="shared" si="42"/>
        <v>0</v>
      </c>
      <c r="M510" t="str" cm="1">
        <f t="array" ref="M510">IFERROR(INDEX($I$2:$K$2,0,MATCH(TRUE,I510:K510,0)),E510)</f>
        <v>CCGT</v>
      </c>
      <c r="O510" t="str">
        <f t="shared" si="38"/>
        <v>CCGT_2039</v>
      </c>
      <c r="P510">
        <f t="shared" si="39"/>
        <v>420.9</v>
      </c>
    </row>
    <row r="511" spans="4:16" x14ac:dyDescent="0.25">
      <c r="D511">
        <v>2040</v>
      </c>
      <c r="E511" t="s">
        <v>123</v>
      </c>
      <c r="F511" t="s">
        <v>171</v>
      </c>
      <c r="G511">
        <v>420.9</v>
      </c>
      <c r="I511">
        <f t="shared" si="42"/>
        <v>0</v>
      </c>
      <c r="J511">
        <f t="shared" si="42"/>
        <v>0</v>
      </c>
      <c r="K511">
        <f t="shared" si="42"/>
        <v>0</v>
      </c>
      <c r="M511" t="str" cm="1">
        <f t="array" ref="M511">IFERROR(INDEX($I$2:$K$2,0,MATCH(TRUE,I511:K511,0)),E511)</f>
        <v>CCGT</v>
      </c>
      <c r="O511" t="str">
        <f t="shared" si="38"/>
        <v>CCGT_2040</v>
      </c>
      <c r="P511">
        <f t="shared" si="39"/>
        <v>420.9</v>
      </c>
    </row>
    <row r="512" spans="4:16" x14ac:dyDescent="0.25">
      <c r="D512">
        <v>2021</v>
      </c>
      <c r="E512" t="s">
        <v>123</v>
      </c>
      <c r="F512" t="s">
        <v>172</v>
      </c>
      <c r="G512">
        <v>21</v>
      </c>
      <c r="I512">
        <f t="shared" si="42"/>
        <v>0</v>
      </c>
      <c r="J512">
        <f t="shared" si="42"/>
        <v>0</v>
      </c>
      <c r="K512">
        <f t="shared" si="42"/>
        <v>0</v>
      </c>
      <c r="M512" t="str" cm="1">
        <f t="array" ref="M512">IFERROR(INDEX($I$2:$K$2,0,MATCH(TRUE,I512:K512,0)),E512)</f>
        <v>CCGT</v>
      </c>
      <c r="O512" t="str">
        <f t="shared" si="38"/>
        <v>CCGT_2021</v>
      </c>
      <c r="P512">
        <f t="shared" si="39"/>
        <v>21</v>
      </c>
    </row>
    <row r="513" spans="4:16" x14ac:dyDescent="0.25">
      <c r="D513">
        <v>2022</v>
      </c>
      <c r="E513" t="s">
        <v>123</v>
      </c>
      <c r="F513" t="s">
        <v>172</v>
      </c>
      <c r="G513">
        <v>21</v>
      </c>
      <c r="I513">
        <f t="shared" si="42"/>
        <v>0</v>
      </c>
      <c r="J513">
        <f t="shared" si="42"/>
        <v>0</v>
      </c>
      <c r="K513">
        <f t="shared" si="42"/>
        <v>0</v>
      </c>
      <c r="M513" t="str" cm="1">
        <f t="array" ref="M513">IFERROR(INDEX($I$2:$K$2,0,MATCH(TRUE,I513:K513,0)),E513)</f>
        <v>CCGT</v>
      </c>
      <c r="O513" t="str">
        <f t="shared" si="38"/>
        <v>CCGT_2022</v>
      </c>
      <c r="P513">
        <f t="shared" si="39"/>
        <v>21</v>
      </c>
    </row>
    <row r="514" spans="4:16" x14ac:dyDescent="0.25">
      <c r="D514">
        <v>2023</v>
      </c>
      <c r="E514" t="s">
        <v>123</v>
      </c>
      <c r="F514" t="s">
        <v>172</v>
      </c>
      <c r="G514">
        <v>21</v>
      </c>
      <c r="I514">
        <f t="shared" si="42"/>
        <v>0</v>
      </c>
      <c r="J514">
        <f t="shared" si="42"/>
        <v>0</v>
      </c>
      <c r="K514">
        <f t="shared" si="42"/>
        <v>0</v>
      </c>
      <c r="M514" t="str" cm="1">
        <f t="array" ref="M514">IFERROR(INDEX($I$2:$K$2,0,MATCH(TRUE,I514:K514,0)),E514)</f>
        <v>CCGT</v>
      </c>
      <c r="O514" t="str">
        <f t="shared" si="38"/>
        <v>CCGT_2023</v>
      </c>
      <c r="P514">
        <f t="shared" si="39"/>
        <v>21</v>
      </c>
    </row>
    <row r="515" spans="4:16" x14ac:dyDescent="0.25">
      <c r="D515">
        <v>2024</v>
      </c>
      <c r="E515" t="s">
        <v>123</v>
      </c>
      <c r="F515" t="s">
        <v>172</v>
      </c>
      <c r="G515">
        <v>21</v>
      </c>
      <c r="I515">
        <f t="shared" si="42"/>
        <v>0</v>
      </c>
      <c r="J515">
        <f t="shared" si="42"/>
        <v>0</v>
      </c>
      <c r="K515">
        <f t="shared" si="42"/>
        <v>0</v>
      </c>
      <c r="M515" t="str" cm="1">
        <f t="array" ref="M515">IFERROR(INDEX($I$2:$K$2,0,MATCH(TRUE,I515:K515,0)),E515)</f>
        <v>CCGT</v>
      </c>
      <c r="O515" t="str">
        <f t="shared" si="38"/>
        <v>CCGT_2024</v>
      </c>
      <c r="P515">
        <f t="shared" si="39"/>
        <v>21</v>
      </c>
    </row>
    <row r="516" spans="4:16" x14ac:dyDescent="0.25">
      <c r="D516">
        <v>2025</v>
      </c>
      <c r="E516" t="s">
        <v>123</v>
      </c>
      <c r="F516" t="s">
        <v>172</v>
      </c>
      <c r="G516">
        <v>21</v>
      </c>
      <c r="I516">
        <f t="shared" si="42"/>
        <v>0</v>
      </c>
      <c r="J516">
        <f t="shared" si="42"/>
        <v>0</v>
      </c>
      <c r="K516">
        <f t="shared" si="42"/>
        <v>0</v>
      </c>
      <c r="M516" t="str" cm="1">
        <f t="array" ref="M516">IFERROR(INDEX($I$2:$K$2,0,MATCH(TRUE,I516:K516,0)),E516)</f>
        <v>CCGT</v>
      </c>
      <c r="O516" t="str">
        <f t="shared" ref="O516:O579" si="43">M516&amp;"_"&amp;D516</f>
        <v>CCGT_2025</v>
      </c>
      <c r="P516">
        <f t="shared" ref="P516:P579" si="44">G516</f>
        <v>21</v>
      </c>
    </row>
    <row r="517" spans="4:16" x14ac:dyDescent="0.25">
      <c r="D517">
        <v>2026</v>
      </c>
      <c r="E517" t="s">
        <v>123</v>
      </c>
      <c r="F517" t="s">
        <v>172</v>
      </c>
      <c r="G517">
        <v>21</v>
      </c>
      <c r="I517">
        <f t="shared" si="42"/>
        <v>0</v>
      </c>
      <c r="J517">
        <f t="shared" si="42"/>
        <v>0</v>
      </c>
      <c r="K517">
        <f t="shared" si="42"/>
        <v>0</v>
      </c>
      <c r="M517" t="str" cm="1">
        <f t="array" ref="M517">IFERROR(INDEX($I$2:$K$2,0,MATCH(TRUE,I517:K517,0)),E517)</f>
        <v>CCGT</v>
      </c>
      <c r="O517" t="str">
        <f t="shared" si="43"/>
        <v>CCGT_2026</v>
      </c>
      <c r="P517">
        <f t="shared" si="44"/>
        <v>21</v>
      </c>
    </row>
    <row r="518" spans="4:16" x14ac:dyDescent="0.25">
      <c r="D518">
        <v>2027</v>
      </c>
      <c r="E518" t="s">
        <v>123</v>
      </c>
      <c r="F518" t="s">
        <v>172</v>
      </c>
      <c r="G518">
        <v>21</v>
      </c>
      <c r="I518">
        <f t="shared" si="42"/>
        <v>0</v>
      </c>
      <c r="J518">
        <f t="shared" si="42"/>
        <v>0</v>
      </c>
      <c r="K518">
        <f t="shared" si="42"/>
        <v>0</v>
      </c>
      <c r="M518" t="str" cm="1">
        <f t="array" ref="M518">IFERROR(INDEX($I$2:$K$2,0,MATCH(TRUE,I518:K518,0)),E518)</f>
        <v>CCGT</v>
      </c>
      <c r="O518" t="str">
        <f t="shared" si="43"/>
        <v>CCGT_2027</v>
      </c>
      <c r="P518">
        <f t="shared" si="44"/>
        <v>21</v>
      </c>
    </row>
    <row r="519" spans="4:16" x14ac:dyDescent="0.25">
      <c r="D519">
        <v>2028</v>
      </c>
      <c r="E519" t="s">
        <v>123</v>
      </c>
      <c r="F519" t="s">
        <v>172</v>
      </c>
      <c r="G519">
        <v>21</v>
      </c>
      <c r="I519">
        <f t="shared" si="42"/>
        <v>0</v>
      </c>
      <c r="J519">
        <f t="shared" si="42"/>
        <v>0</v>
      </c>
      <c r="K519">
        <f t="shared" si="42"/>
        <v>0</v>
      </c>
      <c r="M519" t="str" cm="1">
        <f t="array" ref="M519">IFERROR(INDEX($I$2:$K$2,0,MATCH(TRUE,I519:K519,0)),E519)</f>
        <v>CCGT</v>
      </c>
      <c r="O519" t="str">
        <f t="shared" si="43"/>
        <v>CCGT_2028</v>
      </c>
      <c r="P519">
        <f t="shared" si="44"/>
        <v>21</v>
      </c>
    </row>
    <row r="520" spans="4:16" x14ac:dyDescent="0.25">
      <c r="D520">
        <v>2029</v>
      </c>
      <c r="E520" t="s">
        <v>123</v>
      </c>
      <c r="F520" t="s">
        <v>172</v>
      </c>
      <c r="G520">
        <v>21</v>
      </c>
      <c r="I520">
        <f t="shared" si="42"/>
        <v>0</v>
      </c>
      <c r="J520">
        <f t="shared" si="42"/>
        <v>0</v>
      </c>
      <c r="K520">
        <f t="shared" si="42"/>
        <v>0</v>
      </c>
      <c r="M520" t="str" cm="1">
        <f t="array" ref="M520">IFERROR(INDEX($I$2:$K$2,0,MATCH(TRUE,I520:K520,0)),E520)</f>
        <v>CCGT</v>
      </c>
      <c r="O520" t="str">
        <f t="shared" si="43"/>
        <v>CCGT_2029</v>
      </c>
      <c r="P520">
        <f t="shared" si="44"/>
        <v>21</v>
      </c>
    </row>
    <row r="521" spans="4:16" x14ac:dyDescent="0.25">
      <c r="D521">
        <v>2030</v>
      </c>
      <c r="E521" t="s">
        <v>123</v>
      </c>
      <c r="F521" t="s">
        <v>172</v>
      </c>
      <c r="G521">
        <v>21</v>
      </c>
      <c r="I521">
        <f t="shared" si="42"/>
        <v>0</v>
      </c>
      <c r="J521">
        <f t="shared" si="42"/>
        <v>0</v>
      </c>
      <c r="K521">
        <f t="shared" si="42"/>
        <v>0</v>
      </c>
      <c r="M521" t="str" cm="1">
        <f t="array" ref="M521">IFERROR(INDEX($I$2:$K$2,0,MATCH(TRUE,I521:K521,0)),E521)</f>
        <v>CCGT</v>
      </c>
      <c r="O521" t="str">
        <f t="shared" si="43"/>
        <v>CCGT_2030</v>
      </c>
      <c r="P521">
        <f t="shared" si="44"/>
        <v>21</v>
      </c>
    </row>
    <row r="522" spans="4:16" x14ac:dyDescent="0.25">
      <c r="D522">
        <v>2031</v>
      </c>
      <c r="E522" t="s">
        <v>123</v>
      </c>
      <c r="F522" t="s">
        <v>172</v>
      </c>
      <c r="G522">
        <v>21</v>
      </c>
      <c r="I522">
        <f t="shared" si="42"/>
        <v>0</v>
      </c>
      <c r="J522">
        <f t="shared" si="42"/>
        <v>0</v>
      </c>
      <c r="K522">
        <f t="shared" si="42"/>
        <v>0</v>
      </c>
      <c r="M522" t="str" cm="1">
        <f t="array" ref="M522">IFERROR(INDEX($I$2:$K$2,0,MATCH(TRUE,I522:K522,0)),E522)</f>
        <v>CCGT</v>
      </c>
      <c r="O522" t="str">
        <f t="shared" si="43"/>
        <v>CCGT_2031</v>
      </c>
      <c r="P522">
        <f t="shared" si="44"/>
        <v>21</v>
      </c>
    </row>
    <row r="523" spans="4:16" x14ac:dyDescent="0.25">
      <c r="D523">
        <v>2032</v>
      </c>
      <c r="E523" t="s">
        <v>123</v>
      </c>
      <c r="F523" t="s">
        <v>172</v>
      </c>
      <c r="G523">
        <v>21</v>
      </c>
      <c r="I523">
        <f t="shared" si="42"/>
        <v>0</v>
      </c>
      <c r="J523">
        <f t="shared" si="42"/>
        <v>0</v>
      </c>
      <c r="K523">
        <f t="shared" si="42"/>
        <v>0</v>
      </c>
      <c r="M523" t="str" cm="1">
        <f t="array" ref="M523">IFERROR(INDEX($I$2:$K$2,0,MATCH(TRUE,I523:K523,0)),E523)</f>
        <v>CCGT</v>
      </c>
      <c r="O523" t="str">
        <f t="shared" si="43"/>
        <v>CCGT_2032</v>
      </c>
      <c r="P523">
        <f t="shared" si="44"/>
        <v>21</v>
      </c>
    </row>
    <row r="524" spans="4:16" x14ac:dyDescent="0.25">
      <c r="D524">
        <v>2033</v>
      </c>
      <c r="E524" t="s">
        <v>123</v>
      </c>
      <c r="F524" t="s">
        <v>172</v>
      </c>
      <c r="G524">
        <v>21</v>
      </c>
      <c r="I524">
        <f t="shared" ref="I524:K543" si="45">IFERROR(FIND(I$2,$E524,1)&gt;0,0)</f>
        <v>0</v>
      </c>
      <c r="J524">
        <f t="shared" si="45"/>
        <v>0</v>
      </c>
      <c r="K524">
        <f t="shared" si="45"/>
        <v>0</v>
      </c>
      <c r="M524" t="str" cm="1">
        <f t="array" ref="M524">IFERROR(INDEX($I$2:$K$2,0,MATCH(TRUE,I524:K524,0)),E524)</f>
        <v>CCGT</v>
      </c>
      <c r="O524" t="str">
        <f t="shared" si="43"/>
        <v>CCGT_2033</v>
      </c>
      <c r="P524">
        <f t="shared" si="44"/>
        <v>21</v>
      </c>
    </row>
    <row r="525" spans="4:16" x14ac:dyDescent="0.25">
      <c r="D525">
        <v>2034</v>
      </c>
      <c r="E525" t="s">
        <v>123</v>
      </c>
      <c r="F525" t="s">
        <v>172</v>
      </c>
      <c r="G525">
        <v>21</v>
      </c>
      <c r="I525">
        <f t="shared" si="45"/>
        <v>0</v>
      </c>
      <c r="J525">
        <f t="shared" si="45"/>
        <v>0</v>
      </c>
      <c r="K525">
        <f t="shared" si="45"/>
        <v>0</v>
      </c>
      <c r="M525" t="str" cm="1">
        <f t="array" ref="M525">IFERROR(INDEX($I$2:$K$2,0,MATCH(TRUE,I525:K525,0)),E525)</f>
        <v>CCGT</v>
      </c>
      <c r="O525" t="str">
        <f t="shared" si="43"/>
        <v>CCGT_2034</v>
      </c>
      <c r="P525">
        <f t="shared" si="44"/>
        <v>21</v>
      </c>
    </row>
    <row r="526" spans="4:16" x14ac:dyDescent="0.25">
      <c r="D526">
        <v>2035</v>
      </c>
      <c r="E526" t="s">
        <v>123</v>
      </c>
      <c r="F526" t="s">
        <v>172</v>
      </c>
      <c r="G526">
        <v>21</v>
      </c>
      <c r="I526">
        <f t="shared" si="45"/>
        <v>0</v>
      </c>
      <c r="J526">
        <f t="shared" si="45"/>
        <v>0</v>
      </c>
      <c r="K526">
        <f t="shared" si="45"/>
        <v>0</v>
      </c>
      <c r="M526" t="str" cm="1">
        <f t="array" ref="M526">IFERROR(INDEX($I$2:$K$2,0,MATCH(TRUE,I526:K526,0)),E526)</f>
        <v>CCGT</v>
      </c>
      <c r="O526" t="str">
        <f t="shared" si="43"/>
        <v>CCGT_2035</v>
      </c>
      <c r="P526">
        <f t="shared" si="44"/>
        <v>21</v>
      </c>
    </row>
    <row r="527" spans="4:16" x14ac:dyDescent="0.25">
      <c r="D527">
        <v>2036</v>
      </c>
      <c r="E527" t="s">
        <v>123</v>
      </c>
      <c r="F527" t="s">
        <v>172</v>
      </c>
      <c r="G527">
        <v>21</v>
      </c>
      <c r="I527">
        <f t="shared" si="45"/>
        <v>0</v>
      </c>
      <c r="J527">
        <f t="shared" si="45"/>
        <v>0</v>
      </c>
      <c r="K527">
        <f t="shared" si="45"/>
        <v>0</v>
      </c>
      <c r="M527" t="str" cm="1">
        <f t="array" ref="M527">IFERROR(INDEX($I$2:$K$2,0,MATCH(TRUE,I527:K527,0)),E527)</f>
        <v>CCGT</v>
      </c>
      <c r="O527" t="str">
        <f t="shared" si="43"/>
        <v>CCGT_2036</v>
      </c>
      <c r="P527">
        <f t="shared" si="44"/>
        <v>21</v>
      </c>
    </row>
    <row r="528" spans="4:16" x14ac:dyDescent="0.25">
      <c r="D528">
        <v>2037</v>
      </c>
      <c r="E528" t="s">
        <v>123</v>
      </c>
      <c r="F528" t="s">
        <v>172</v>
      </c>
      <c r="G528">
        <v>21</v>
      </c>
      <c r="I528">
        <f t="shared" si="45"/>
        <v>0</v>
      </c>
      <c r="J528">
        <f t="shared" si="45"/>
        <v>0</v>
      </c>
      <c r="K528">
        <f t="shared" si="45"/>
        <v>0</v>
      </c>
      <c r="M528" t="str" cm="1">
        <f t="array" ref="M528">IFERROR(INDEX($I$2:$K$2,0,MATCH(TRUE,I528:K528,0)),E528)</f>
        <v>CCGT</v>
      </c>
      <c r="O528" t="str">
        <f t="shared" si="43"/>
        <v>CCGT_2037</v>
      </c>
      <c r="P528">
        <f t="shared" si="44"/>
        <v>21</v>
      </c>
    </row>
    <row r="529" spans="4:16" x14ac:dyDescent="0.25">
      <c r="D529">
        <v>2038</v>
      </c>
      <c r="E529" t="s">
        <v>123</v>
      </c>
      <c r="F529" t="s">
        <v>172</v>
      </c>
      <c r="G529">
        <v>21</v>
      </c>
      <c r="I529">
        <f t="shared" si="45"/>
        <v>0</v>
      </c>
      <c r="J529">
        <f t="shared" si="45"/>
        <v>0</v>
      </c>
      <c r="K529">
        <f t="shared" si="45"/>
        <v>0</v>
      </c>
      <c r="M529" t="str" cm="1">
        <f t="array" ref="M529">IFERROR(INDEX($I$2:$K$2,0,MATCH(TRUE,I529:K529,0)),E529)</f>
        <v>CCGT</v>
      </c>
      <c r="O529" t="str">
        <f t="shared" si="43"/>
        <v>CCGT_2038</v>
      </c>
      <c r="P529">
        <f t="shared" si="44"/>
        <v>21</v>
      </c>
    </row>
    <row r="530" spans="4:16" x14ac:dyDescent="0.25">
      <c r="D530">
        <v>2039</v>
      </c>
      <c r="E530" t="s">
        <v>123</v>
      </c>
      <c r="F530" t="s">
        <v>172</v>
      </c>
      <c r="G530">
        <v>21</v>
      </c>
      <c r="I530">
        <f t="shared" si="45"/>
        <v>0</v>
      </c>
      <c r="J530">
        <f t="shared" si="45"/>
        <v>0</v>
      </c>
      <c r="K530">
        <f t="shared" si="45"/>
        <v>0</v>
      </c>
      <c r="M530" t="str" cm="1">
        <f t="array" ref="M530">IFERROR(INDEX($I$2:$K$2,0,MATCH(TRUE,I530:K530,0)),E530)</f>
        <v>CCGT</v>
      </c>
      <c r="O530" t="str">
        <f t="shared" si="43"/>
        <v>CCGT_2039</v>
      </c>
      <c r="P530">
        <f t="shared" si="44"/>
        <v>21</v>
      </c>
    </row>
    <row r="531" spans="4:16" x14ac:dyDescent="0.25">
      <c r="D531">
        <v>2040</v>
      </c>
      <c r="E531" t="s">
        <v>123</v>
      </c>
      <c r="F531" t="s">
        <v>172</v>
      </c>
      <c r="G531">
        <v>21</v>
      </c>
      <c r="I531">
        <f t="shared" si="45"/>
        <v>0</v>
      </c>
      <c r="J531">
        <f t="shared" si="45"/>
        <v>0</v>
      </c>
      <c r="K531">
        <f t="shared" si="45"/>
        <v>0</v>
      </c>
      <c r="M531" t="str" cm="1">
        <f t="array" ref="M531">IFERROR(INDEX($I$2:$K$2,0,MATCH(TRUE,I531:K531,0)),E531)</f>
        <v>CCGT</v>
      </c>
      <c r="O531" t="str">
        <f t="shared" si="43"/>
        <v>CCGT_2040</v>
      </c>
      <c r="P531">
        <f t="shared" si="44"/>
        <v>21</v>
      </c>
    </row>
    <row r="532" spans="4:16" x14ac:dyDescent="0.25">
      <c r="D532">
        <v>2021</v>
      </c>
      <c r="E532" t="s">
        <v>123</v>
      </c>
      <c r="F532" t="s">
        <v>173</v>
      </c>
      <c r="G532">
        <v>37.450000000000003</v>
      </c>
      <c r="I532">
        <f t="shared" si="45"/>
        <v>0</v>
      </c>
      <c r="J532">
        <f t="shared" si="45"/>
        <v>0</v>
      </c>
      <c r="K532">
        <f t="shared" si="45"/>
        <v>0</v>
      </c>
      <c r="M532" t="str" cm="1">
        <f t="array" ref="M532">IFERROR(INDEX($I$2:$K$2,0,MATCH(TRUE,I532:K532,0)),E532)</f>
        <v>CCGT</v>
      </c>
      <c r="O532" t="str">
        <f t="shared" si="43"/>
        <v>CCGT_2021</v>
      </c>
      <c r="P532">
        <f t="shared" si="44"/>
        <v>37.450000000000003</v>
      </c>
    </row>
    <row r="533" spans="4:16" x14ac:dyDescent="0.25">
      <c r="D533">
        <v>2022</v>
      </c>
      <c r="E533" t="s">
        <v>123</v>
      </c>
      <c r="F533" t="s">
        <v>173</v>
      </c>
      <c r="G533">
        <v>37.450000000000003</v>
      </c>
      <c r="I533">
        <f t="shared" si="45"/>
        <v>0</v>
      </c>
      <c r="J533">
        <f t="shared" si="45"/>
        <v>0</v>
      </c>
      <c r="K533">
        <f t="shared" si="45"/>
        <v>0</v>
      </c>
      <c r="M533" t="str" cm="1">
        <f t="array" ref="M533">IFERROR(INDEX($I$2:$K$2,0,MATCH(TRUE,I533:K533,0)),E533)</f>
        <v>CCGT</v>
      </c>
      <c r="O533" t="str">
        <f t="shared" si="43"/>
        <v>CCGT_2022</v>
      </c>
      <c r="P533">
        <f t="shared" si="44"/>
        <v>37.450000000000003</v>
      </c>
    </row>
    <row r="534" spans="4:16" x14ac:dyDescent="0.25">
      <c r="D534">
        <v>2023</v>
      </c>
      <c r="E534" t="s">
        <v>123</v>
      </c>
      <c r="F534" t="s">
        <v>173</v>
      </c>
      <c r="G534">
        <v>37.450000000000003</v>
      </c>
      <c r="I534">
        <f t="shared" si="45"/>
        <v>0</v>
      </c>
      <c r="J534">
        <f t="shared" si="45"/>
        <v>0</v>
      </c>
      <c r="K534">
        <f t="shared" si="45"/>
        <v>0</v>
      </c>
      <c r="M534" t="str" cm="1">
        <f t="array" ref="M534">IFERROR(INDEX($I$2:$K$2,0,MATCH(TRUE,I534:K534,0)),E534)</f>
        <v>CCGT</v>
      </c>
      <c r="O534" t="str">
        <f t="shared" si="43"/>
        <v>CCGT_2023</v>
      </c>
      <c r="P534">
        <f t="shared" si="44"/>
        <v>37.450000000000003</v>
      </c>
    </row>
    <row r="535" spans="4:16" x14ac:dyDescent="0.25">
      <c r="D535">
        <v>2024</v>
      </c>
      <c r="E535" t="s">
        <v>123</v>
      </c>
      <c r="F535" t="s">
        <v>173</v>
      </c>
      <c r="G535">
        <v>37.450000000000003</v>
      </c>
      <c r="I535">
        <f t="shared" si="45"/>
        <v>0</v>
      </c>
      <c r="J535">
        <f t="shared" si="45"/>
        <v>0</v>
      </c>
      <c r="K535">
        <f t="shared" si="45"/>
        <v>0</v>
      </c>
      <c r="M535" t="str" cm="1">
        <f t="array" ref="M535">IFERROR(INDEX($I$2:$K$2,0,MATCH(TRUE,I535:K535,0)),E535)</f>
        <v>CCGT</v>
      </c>
      <c r="O535" t="str">
        <f t="shared" si="43"/>
        <v>CCGT_2024</v>
      </c>
      <c r="P535">
        <f t="shared" si="44"/>
        <v>37.450000000000003</v>
      </c>
    </row>
    <row r="536" spans="4:16" x14ac:dyDescent="0.25">
      <c r="D536">
        <v>2025</v>
      </c>
      <c r="E536" t="s">
        <v>123</v>
      </c>
      <c r="F536" t="s">
        <v>173</v>
      </c>
      <c r="G536">
        <v>37.450000000000003</v>
      </c>
      <c r="I536">
        <f t="shared" si="45"/>
        <v>0</v>
      </c>
      <c r="J536">
        <f t="shared" si="45"/>
        <v>0</v>
      </c>
      <c r="K536">
        <f t="shared" si="45"/>
        <v>0</v>
      </c>
      <c r="M536" t="str" cm="1">
        <f t="array" ref="M536">IFERROR(INDEX($I$2:$K$2,0,MATCH(TRUE,I536:K536,0)),E536)</f>
        <v>CCGT</v>
      </c>
      <c r="O536" t="str">
        <f t="shared" si="43"/>
        <v>CCGT_2025</v>
      </c>
      <c r="P536">
        <f t="shared" si="44"/>
        <v>37.450000000000003</v>
      </c>
    </row>
    <row r="537" spans="4:16" x14ac:dyDescent="0.25">
      <c r="D537">
        <v>2026</v>
      </c>
      <c r="E537" t="s">
        <v>123</v>
      </c>
      <c r="F537" t="s">
        <v>173</v>
      </c>
      <c r="G537">
        <v>37.450000000000003</v>
      </c>
      <c r="I537">
        <f t="shared" si="45"/>
        <v>0</v>
      </c>
      <c r="J537">
        <f t="shared" si="45"/>
        <v>0</v>
      </c>
      <c r="K537">
        <f t="shared" si="45"/>
        <v>0</v>
      </c>
      <c r="M537" t="str" cm="1">
        <f t="array" ref="M537">IFERROR(INDEX($I$2:$K$2,0,MATCH(TRUE,I537:K537,0)),E537)</f>
        <v>CCGT</v>
      </c>
      <c r="O537" t="str">
        <f t="shared" si="43"/>
        <v>CCGT_2026</v>
      </c>
      <c r="P537">
        <f t="shared" si="44"/>
        <v>37.450000000000003</v>
      </c>
    </row>
    <row r="538" spans="4:16" x14ac:dyDescent="0.25">
      <c r="D538">
        <v>2027</v>
      </c>
      <c r="E538" t="s">
        <v>123</v>
      </c>
      <c r="F538" t="s">
        <v>173</v>
      </c>
      <c r="G538">
        <v>37.450000000000003</v>
      </c>
      <c r="I538">
        <f t="shared" si="45"/>
        <v>0</v>
      </c>
      <c r="J538">
        <f t="shared" si="45"/>
        <v>0</v>
      </c>
      <c r="K538">
        <f t="shared" si="45"/>
        <v>0</v>
      </c>
      <c r="M538" t="str" cm="1">
        <f t="array" ref="M538">IFERROR(INDEX($I$2:$K$2,0,MATCH(TRUE,I538:K538,0)),E538)</f>
        <v>CCGT</v>
      </c>
      <c r="O538" t="str">
        <f t="shared" si="43"/>
        <v>CCGT_2027</v>
      </c>
      <c r="P538">
        <f t="shared" si="44"/>
        <v>37.450000000000003</v>
      </c>
    </row>
    <row r="539" spans="4:16" x14ac:dyDescent="0.25">
      <c r="D539">
        <v>2028</v>
      </c>
      <c r="E539" t="s">
        <v>123</v>
      </c>
      <c r="F539" t="s">
        <v>173</v>
      </c>
      <c r="G539">
        <v>37.450000000000003</v>
      </c>
      <c r="I539">
        <f t="shared" si="45"/>
        <v>0</v>
      </c>
      <c r="J539">
        <f t="shared" si="45"/>
        <v>0</v>
      </c>
      <c r="K539">
        <f t="shared" si="45"/>
        <v>0</v>
      </c>
      <c r="M539" t="str" cm="1">
        <f t="array" ref="M539">IFERROR(INDEX($I$2:$K$2,0,MATCH(TRUE,I539:K539,0)),E539)</f>
        <v>CCGT</v>
      </c>
      <c r="O539" t="str">
        <f t="shared" si="43"/>
        <v>CCGT_2028</v>
      </c>
      <c r="P539">
        <f t="shared" si="44"/>
        <v>37.450000000000003</v>
      </c>
    </row>
    <row r="540" spans="4:16" x14ac:dyDescent="0.25">
      <c r="D540">
        <v>2029</v>
      </c>
      <c r="E540" t="s">
        <v>123</v>
      </c>
      <c r="F540" t="s">
        <v>173</v>
      </c>
      <c r="G540">
        <v>37.450000000000003</v>
      </c>
      <c r="I540">
        <f t="shared" si="45"/>
        <v>0</v>
      </c>
      <c r="J540">
        <f t="shared" si="45"/>
        <v>0</v>
      </c>
      <c r="K540">
        <f t="shared" si="45"/>
        <v>0</v>
      </c>
      <c r="M540" t="str" cm="1">
        <f t="array" ref="M540">IFERROR(INDEX($I$2:$K$2,0,MATCH(TRUE,I540:K540,0)),E540)</f>
        <v>CCGT</v>
      </c>
      <c r="O540" t="str">
        <f t="shared" si="43"/>
        <v>CCGT_2029</v>
      </c>
      <c r="P540">
        <f t="shared" si="44"/>
        <v>37.450000000000003</v>
      </c>
    </row>
    <row r="541" spans="4:16" x14ac:dyDescent="0.25">
      <c r="D541">
        <v>2030</v>
      </c>
      <c r="E541" t="s">
        <v>123</v>
      </c>
      <c r="F541" t="s">
        <v>173</v>
      </c>
      <c r="G541">
        <v>37.450000000000003</v>
      </c>
      <c r="I541">
        <f t="shared" si="45"/>
        <v>0</v>
      </c>
      <c r="J541">
        <f t="shared" si="45"/>
        <v>0</v>
      </c>
      <c r="K541">
        <f t="shared" si="45"/>
        <v>0</v>
      </c>
      <c r="M541" t="str" cm="1">
        <f t="array" ref="M541">IFERROR(INDEX($I$2:$K$2,0,MATCH(TRUE,I541:K541,0)),E541)</f>
        <v>CCGT</v>
      </c>
      <c r="O541" t="str">
        <f t="shared" si="43"/>
        <v>CCGT_2030</v>
      </c>
      <c r="P541">
        <f t="shared" si="44"/>
        <v>37.450000000000003</v>
      </c>
    </row>
    <row r="542" spans="4:16" x14ac:dyDescent="0.25">
      <c r="D542">
        <v>2031</v>
      </c>
      <c r="E542" t="s">
        <v>123</v>
      </c>
      <c r="F542" t="s">
        <v>173</v>
      </c>
      <c r="G542">
        <v>37.450000000000003</v>
      </c>
      <c r="I542">
        <f t="shared" si="45"/>
        <v>0</v>
      </c>
      <c r="J542">
        <f t="shared" si="45"/>
        <v>0</v>
      </c>
      <c r="K542">
        <f t="shared" si="45"/>
        <v>0</v>
      </c>
      <c r="M542" t="str" cm="1">
        <f t="array" ref="M542">IFERROR(INDEX($I$2:$K$2,0,MATCH(TRUE,I542:K542,0)),E542)</f>
        <v>CCGT</v>
      </c>
      <c r="O542" t="str">
        <f t="shared" si="43"/>
        <v>CCGT_2031</v>
      </c>
      <c r="P542">
        <f t="shared" si="44"/>
        <v>37.450000000000003</v>
      </c>
    </row>
    <row r="543" spans="4:16" x14ac:dyDescent="0.25">
      <c r="D543">
        <v>2032</v>
      </c>
      <c r="E543" t="s">
        <v>123</v>
      </c>
      <c r="F543" t="s">
        <v>173</v>
      </c>
      <c r="G543">
        <v>37.450000000000003</v>
      </c>
      <c r="I543">
        <f t="shared" si="45"/>
        <v>0</v>
      </c>
      <c r="J543">
        <f t="shared" si="45"/>
        <v>0</v>
      </c>
      <c r="K543">
        <f t="shared" si="45"/>
        <v>0</v>
      </c>
      <c r="M543" t="str" cm="1">
        <f t="array" ref="M543">IFERROR(INDEX($I$2:$K$2,0,MATCH(TRUE,I543:K543,0)),E543)</f>
        <v>CCGT</v>
      </c>
      <c r="O543" t="str">
        <f t="shared" si="43"/>
        <v>CCGT_2032</v>
      </c>
      <c r="P543">
        <f t="shared" si="44"/>
        <v>37.450000000000003</v>
      </c>
    </row>
    <row r="544" spans="4:16" x14ac:dyDescent="0.25">
      <c r="D544">
        <v>2033</v>
      </c>
      <c r="E544" t="s">
        <v>123</v>
      </c>
      <c r="F544" t="s">
        <v>173</v>
      </c>
      <c r="G544">
        <v>37.450000000000003</v>
      </c>
      <c r="I544">
        <f t="shared" ref="I544:K563" si="46">IFERROR(FIND(I$2,$E544,1)&gt;0,0)</f>
        <v>0</v>
      </c>
      <c r="J544">
        <f t="shared" si="46"/>
        <v>0</v>
      </c>
      <c r="K544">
        <f t="shared" si="46"/>
        <v>0</v>
      </c>
      <c r="M544" t="str" cm="1">
        <f t="array" ref="M544">IFERROR(INDEX($I$2:$K$2,0,MATCH(TRUE,I544:K544,0)),E544)</f>
        <v>CCGT</v>
      </c>
      <c r="O544" t="str">
        <f t="shared" si="43"/>
        <v>CCGT_2033</v>
      </c>
      <c r="P544">
        <f t="shared" si="44"/>
        <v>37.450000000000003</v>
      </c>
    </row>
    <row r="545" spans="4:16" x14ac:dyDescent="0.25">
      <c r="D545">
        <v>2034</v>
      </c>
      <c r="E545" t="s">
        <v>123</v>
      </c>
      <c r="F545" t="s">
        <v>173</v>
      </c>
      <c r="G545">
        <v>37.450000000000003</v>
      </c>
      <c r="I545">
        <f t="shared" si="46"/>
        <v>0</v>
      </c>
      <c r="J545">
        <f t="shared" si="46"/>
        <v>0</v>
      </c>
      <c r="K545">
        <f t="shared" si="46"/>
        <v>0</v>
      </c>
      <c r="M545" t="str" cm="1">
        <f t="array" ref="M545">IFERROR(INDEX($I$2:$K$2,0,MATCH(TRUE,I545:K545,0)),E545)</f>
        <v>CCGT</v>
      </c>
      <c r="O545" t="str">
        <f t="shared" si="43"/>
        <v>CCGT_2034</v>
      </c>
      <c r="P545">
        <f t="shared" si="44"/>
        <v>37.450000000000003</v>
      </c>
    </row>
    <row r="546" spans="4:16" x14ac:dyDescent="0.25">
      <c r="D546">
        <v>2035</v>
      </c>
      <c r="E546" t="s">
        <v>123</v>
      </c>
      <c r="F546" t="s">
        <v>173</v>
      </c>
      <c r="G546">
        <v>37.450000000000003</v>
      </c>
      <c r="I546">
        <f t="shared" si="46"/>
        <v>0</v>
      </c>
      <c r="J546">
        <f t="shared" si="46"/>
        <v>0</v>
      </c>
      <c r="K546">
        <f t="shared" si="46"/>
        <v>0</v>
      </c>
      <c r="M546" t="str" cm="1">
        <f t="array" ref="M546">IFERROR(INDEX($I$2:$K$2,0,MATCH(TRUE,I546:K546,0)),E546)</f>
        <v>CCGT</v>
      </c>
      <c r="O546" t="str">
        <f t="shared" si="43"/>
        <v>CCGT_2035</v>
      </c>
      <c r="P546">
        <f t="shared" si="44"/>
        <v>37.450000000000003</v>
      </c>
    </row>
    <row r="547" spans="4:16" x14ac:dyDescent="0.25">
      <c r="D547">
        <v>2036</v>
      </c>
      <c r="E547" t="s">
        <v>123</v>
      </c>
      <c r="F547" t="s">
        <v>173</v>
      </c>
      <c r="G547">
        <v>37.450000000000003</v>
      </c>
      <c r="I547">
        <f t="shared" si="46"/>
        <v>0</v>
      </c>
      <c r="J547">
        <f t="shared" si="46"/>
        <v>0</v>
      </c>
      <c r="K547">
        <f t="shared" si="46"/>
        <v>0</v>
      </c>
      <c r="M547" t="str" cm="1">
        <f t="array" ref="M547">IFERROR(INDEX($I$2:$K$2,0,MATCH(TRUE,I547:K547,0)),E547)</f>
        <v>CCGT</v>
      </c>
      <c r="O547" t="str">
        <f t="shared" si="43"/>
        <v>CCGT_2036</v>
      </c>
      <c r="P547">
        <f t="shared" si="44"/>
        <v>37.450000000000003</v>
      </c>
    </row>
    <row r="548" spans="4:16" x14ac:dyDescent="0.25">
      <c r="D548">
        <v>2037</v>
      </c>
      <c r="E548" t="s">
        <v>123</v>
      </c>
      <c r="F548" t="s">
        <v>173</v>
      </c>
      <c r="G548">
        <v>37.450000000000003</v>
      </c>
      <c r="I548">
        <f t="shared" si="46"/>
        <v>0</v>
      </c>
      <c r="J548">
        <f t="shared" si="46"/>
        <v>0</v>
      </c>
      <c r="K548">
        <f t="shared" si="46"/>
        <v>0</v>
      </c>
      <c r="M548" t="str" cm="1">
        <f t="array" ref="M548">IFERROR(INDEX($I$2:$K$2,0,MATCH(TRUE,I548:K548,0)),E548)</f>
        <v>CCGT</v>
      </c>
      <c r="O548" t="str">
        <f t="shared" si="43"/>
        <v>CCGT_2037</v>
      </c>
      <c r="P548">
        <f t="shared" si="44"/>
        <v>37.450000000000003</v>
      </c>
    </row>
    <row r="549" spans="4:16" x14ac:dyDescent="0.25">
      <c r="D549">
        <v>2038</v>
      </c>
      <c r="E549" t="s">
        <v>123</v>
      </c>
      <c r="F549" t="s">
        <v>173</v>
      </c>
      <c r="G549">
        <v>37.450000000000003</v>
      </c>
      <c r="I549">
        <f t="shared" si="46"/>
        <v>0</v>
      </c>
      <c r="J549">
        <f t="shared" si="46"/>
        <v>0</v>
      </c>
      <c r="K549">
        <f t="shared" si="46"/>
        <v>0</v>
      </c>
      <c r="M549" t="str" cm="1">
        <f t="array" ref="M549">IFERROR(INDEX($I$2:$K$2,0,MATCH(TRUE,I549:K549,0)),E549)</f>
        <v>CCGT</v>
      </c>
      <c r="O549" t="str">
        <f t="shared" si="43"/>
        <v>CCGT_2038</v>
      </c>
      <c r="P549">
        <f t="shared" si="44"/>
        <v>37.450000000000003</v>
      </c>
    </row>
    <row r="550" spans="4:16" x14ac:dyDescent="0.25">
      <c r="D550">
        <v>2039</v>
      </c>
      <c r="E550" t="s">
        <v>123</v>
      </c>
      <c r="F550" t="s">
        <v>173</v>
      </c>
      <c r="G550">
        <v>37.450000000000003</v>
      </c>
      <c r="I550">
        <f t="shared" si="46"/>
        <v>0</v>
      </c>
      <c r="J550">
        <f t="shared" si="46"/>
        <v>0</v>
      </c>
      <c r="K550">
        <f t="shared" si="46"/>
        <v>0</v>
      </c>
      <c r="M550" t="str" cm="1">
        <f t="array" ref="M550">IFERROR(INDEX($I$2:$K$2,0,MATCH(TRUE,I550:K550,0)),E550)</f>
        <v>CCGT</v>
      </c>
      <c r="O550" t="str">
        <f t="shared" si="43"/>
        <v>CCGT_2039</v>
      </c>
      <c r="P550">
        <f t="shared" si="44"/>
        <v>37.450000000000003</v>
      </c>
    </row>
    <row r="551" spans="4:16" x14ac:dyDescent="0.25">
      <c r="D551">
        <v>2040</v>
      </c>
      <c r="E551" t="s">
        <v>123</v>
      </c>
      <c r="F551" t="s">
        <v>173</v>
      </c>
      <c r="G551">
        <v>37.450000000000003</v>
      </c>
      <c r="I551">
        <f t="shared" si="46"/>
        <v>0</v>
      </c>
      <c r="J551">
        <f t="shared" si="46"/>
        <v>0</v>
      </c>
      <c r="K551">
        <f t="shared" si="46"/>
        <v>0</v>
      </c>
      <c r="M551" t="str" cm="1">
        <f t="array" ref="M551">IFERROR(INDEX($I$2:$K$2,0,MATCH(TRUE,I551:K551,0)),E551)</f>
        <v>CCGT</v>
      </c>
      <c r="O551" t="str">
        <f t="shared" si="43"/>
        <v>CCGT_2040</v>
      </c>
      <c r="P551">
        <f t="shared" si="44"/>
        <v>37.450000000000003</v>
      </c>
    </row>
    <row r="552" spans="4:16" x14ac:dyDescent="0.25">
      <c r="D552">
        <v>2021</v>
      </c>
      <c r="E552" t="s">
        <v>123</v>
      </c>
      <c r="F552" t="s">
        <v>174</v>
      </c>
      <c r="G552">
        <v>82</v>
      </c>
      <c r="I552">
        <f t="shared" si="46"/>
        <v>0</v>
      </c>
      <c r="J552">
        <f t="shared" si="46"/>
        <v>0</v>
      </c>
      <c r="K552">
        <f t="shared" si="46"/>
        <v>0</v>
      </c>
      <c r="M552" t="str" cm="1">
        <f t="array" ref="M552">IFERROR(INDEX($I$2:$K$2,0,MATCH(TRUE,I552:K552,0)),E552)</f>
        <v>CCGT</v>
      </c>
      <c r="O552" t="str">
        <f t="shared" si="43"/>
        <v>CCGT_2021</v>
      </c>
      <c r="P552">
        <f t="shared" si="44"/>
        <v>82</v>
      </c>
    </row>
    <row r="553" spans="4:16" x14ac:dyDescent="0.25">
      <c r="D553">
        <v>2022</v>
      </c>
      <c r="E553" t="s">
        <v>123</v>
      </c>
      <c r="F553" t="s">
        <v>174</v>
      </c>
      <c r="G553">
        <v>82</v>
      </c>
      <c r="I553">
        <f t="shared" si="46"/>
        <v>0</v>
      </c>
      <c r="J553">
        <f t="shared" si="46"/>
        <v>0</v>
      </c>
      <c r="K553">
        <f t="shared" si="46"/>
        <v>0</v>
      </c>
      <c r="M553" t="str" cm="1">
        <f t="array" ref="M553">IFERROR(INDEX($I$2:$K$2,0,MATCH(TRUE,I553:K553,0)),E553)</f>
        <v>CCGT</v>
      </c>
      <c r="O553" t="str">
        <f t="shared" si="43"/>
        <v>CCGT_2022</v>
      </c>
      <c r="P553">
        <f t="shared" si="44"/>
        <v>82</v>
      </c>
    </row>
    <row r="554" spans="4:16" x14ac:dyDescent="0.25">
      <c r="D554">
        <v>2023</v>
      </c>
      <c r="E554" t="s">
        <v>123</v>
      </c>
      <c r="F554" t="s">
        <v>174</v>
      </c>
      <c r="G554">
        <v>82</v>
      </c>
      <c r="I554">
        <f t="shared" si="46"/>
        <v>0</v>
      </c>
      <c r="J554">
        <f t="shared" si="46"/>
        <v>0</v>
      </c>
      <c r="K554">
        <f t="shared" si="46"/>
        <v>0</v>
      </c>
      <c r="M554" t="str" cm="1">
        <f t="array" ref="M554">IFERROR(INDEX($I$2:$K$2,0,MATCH(TRUE,I554:K554,0)),E554)</f>
        <v>CCGT</v>
      </c>
      <c r="O554" t="str">
        <f t="shared" si="43"/>
        <v>CCGT_2023</v>
      </c>
      <c r="P554">
        <f t="shared" si="44"/>
        <v>82</v>
      </c>
    </row>
    <row r="555" spans="4:16" x14ac:dyDescent="0.25">
      <c r="D555">
        <v>2024</v>
      </c>
      <c r="E555" t="s">
        <v>123</v>
      </c>
      <c r="F555" t="s">
        <v>174</v>
      </c>
      <c r="G555">
        <v>82</v>
      </c>
      <c r="I555">
        <f t="shared" si="46"/>
        <v>0</v>
      </c>
      <c r="J555">
        <f t="shared" si="46"/>
        <v>0</v>
      </c>
      <c r="K555">
        <f t="shared" si="46"/>
        <v>0</v>
      </c>
      <c r="M555" t="str" cm="1">
        <f t="array" ref="M555">IFERROR(INDEX($I$2:$K$2,0,MATCH(TRUE,I555:K555,0)),E555)</f>
        <v>CCGT</v>
      </c>
      <c r="O555" t="str">
        <f t="shared" si="43"/>
        <v>CCGT_2024</v>
      </c>
      <c r="P555">
        <f t="shared" si="44"/>
        <v>82</v>
      </c>
    </row>
    <row r="556" spans="4:16" x14ac:dyDescent="0.25">
      <c r="D556">
        <v>2025</v>
      </c>
      <c r="E556" t="s">
        <v>123</v>
      </c>
      <c r="F556" t="s">
        <v>174</v>
      </c>
      <c r="G556">
        <v>82</v>
      </c>
      <c r="I556">
        <f t="shared" si="46"/>
        <v>0</v>
      </c>
      <c r="J556">
        <f t="shared" si="46"/>
        <v>0</v>
      </c>
      <c r="K556">
        <f t="shared" si="46"/>
        <v>0</v>
      </c>
      <c r="M556" t="str" cm="1">
        <f t="array" ref="M556">IFERROR(INDEX($I$2:$K$2,0,MATCH(TRUE,I556:K556,0)),E556)</f>
        <v>CCGT</v>
      </c>
      <c r="O556" t="str">
        <f t="shared" si="43"/>
        <v>CCGT_2025</v>
      </c>
      <c r="P556">
        <f t="shared" si="44"/>
        <v>82</v>
      </c>
    </row>
    <row r="557" spans="4:16" x14ac:dyDescent="0.25">
      <c r="D557">
        <v>2026</v>
      </c>
      <c r="E557" t="s">
        <v>123</v>
      </c>
      <c r="F557" t="s">
        <v>174</v>
      </c>
      <c r="G557">
        <v>82</v>
      </c>
      <c r="I557">
        <f t="shared" si="46"/>
        <v>0</v>
      </c>
      <c r="J557">
        <f t="shared" si="46"/>
        <v>0</v>
      </c>
      <c r="K557">
        <f t="shared" si="46"/>
        <v>0</v>
      </c>
      <c r="M557" t="str" cm="1">
        <f t="array" ref="M557">IFERROR(INDEX($I$2:$K$2,0,MATCH(TRUE,I557:K557,0)),E557)</f>
        <v>CCGT</v>
      </c>
      <c r="O557" t="str">
        <f t="shared" si="43"/>
        <v>CCGT_2026</v>
      </c>
      <c r="P557">
        <f t="shared" si="44"/>
        <v>82</v>
      </c>
    </row>
    <row r="558" spans="4:16" x14ac:dyDescent="0.25">
      <c r="D558">
        <v>2027</v>
      </c>
      <c r="E558" t="s">
        <v>123</v>
      </c>
      <c r="F558" t="s">
        <v>174</v>
      </c>
      <c r="G558">
        <v>82</v>
      </c>
      <c r="I558">
        <f t="shared" si="46"/>
        <v>0</v>
      </c>
      <c r="J558">
        <f t="shared" si="46"/>
        <v>0</v>
      </c>
      <c r="K558">
        <f t="shared" si="46"/>
        <v>0</v>
      </c>
      <c r="M558" t="str" cm="1">
        <f t="array" ref="M558">IFERROR(INDEX($I$2:$K$2,0,MATCH(TRUE,I558:K558,0)),E558)</f>
        <v>CCGT</v>
      </c>
      <c r="O558" t="str">
        <f t="shared" si="43"/>
        <v>CCGT_2027</v>
      </c>
      <c r="P558">
        <f t="shared" si="44"/>
        <v>82</v>
      </c>
    </row>
    <row r="559" spans="4:16" x14ac:dyDescent="0.25">
      <c r="D559">
        <v>2028</v>
      </c>
      <c r="E559" t="s">
        <v>123</v>
      </c>
      <c r="F559" t="s">
        <v>174</v>
      </c>
      <c r="G559">
        <v>82</v>
      </c>
      <c r="I559">
        <f t="shared" si="46"/>
        <v>0</v>
      </c>
      <c r="J559">
        <f t="shared" si="46"/>
        <v>0</v>
      </c>
      <c r="K559">
        <f t="shared" si="46"/>
        <v>0</v>
      </c>
      <c r="M559" t="str" cm="1">
        <f t="array" ref="M559">IFERROR(INDEX($I$2:$K$2,0,MATCH(TRUE,I559:K559,0)),E559)</f>
        <v>CCGT</v>
      </c>
      <c r="O559" t="str">
        <f t="shared" si="43"/>
        <v>CCGT_2028</v>
      </c>
      <c r="P559">
        <f t="shared" si="44"/>
        <v>82</v>
      </c>
    </row>
    <row r="560" spans="4:16" x14ac:dyDescent="0.25">
      <c r="D560">
        <v>2029</v>
      </c>
      <c r="E560" t="s">
        <v>123</v>
      </c>
      <c r="F560" t="s">
        <v>174</v>
      </c>
      <c r="G560">
        <v>82</v>
      </c>
      <c r="I560">
        <f t="shared" si="46"/>
        <v>0</v>
      </c>
      <c r="J560">
        <f t="shared" si="46"/>
        <v>0</v>
      </c>
      <c r="K560">
        <f t="shared" si="46"/>
        <v>0</v>
      </c>
      <c r="M560" t="str" cm="1">
        <f t="array" ref="M560">IFERROR(INDEX($I$2:$K$2,0,MATCH(TRUE,I560:K560,0)),E560)</f>
        <v>CCGT</v>
      </c>
      <c r="O560" t="str">
        <f t="shared" si="43"/>
        <v>CCGT_2029</v>
      </c>
      <c r="P560">
        <f t="shared" si="44"/>
        <v>82</v>
      </c>
    </row>
    <row r="561" spans="4:16" x14ac:dyDescent="0.25">
      <c r="D561">
        <v>2030</v>
      </c>
      <c r="E561" t="s">
        <v>123</v>
      </c>
      <c r="F561" t="s">
        <v>174</v>
      </c>
      <c r="G561">
        <v>82</v>
      </c>
      <c r="I561">
        <f t="shared" si="46"/>
        <v>0</v>
      </c>
      <c r="J561">
        <f t="shared" si="46"/>
        <v>0</v>
      </c>
      <c r="K561">
        <f t="shared" si="46"/>
        <v>0</v>
      </c>
      <c r="M561" t="str" cm="1">
        <f t="array" ref="M561">IFERROR(INDEX($I$2:$K$2,0,MATCH(TRUE,I561:K561,0)),E561)</f>
        <v>CCGT</v>
      </c>
      <c r="O561" t="str">
        <f t="shared" si="43"/>
        <v>CCGT_2030</v>
      </c>
      <c r="P561">
        <f t="shared" si="44"/>
        <v>82</v>
      </c>
    </row>
    <row r="562" spans="4:16" x14ac:dyDescent="0.25">
      <c r="D562">
        <v>2031</v>
      </c>
      <c r="E562" t="s">
        <v>123</v>
      </c>
      <c r="F562" t="s">
        <v>174</v>
      </c>
      <c r="G562">
        <v>82</v>
      </c>
      <c r="I562">
        <f t="shared" si="46"/>
        <v>0</v>
      </c>
      <c r="J562">
        <f t="shared" si="46"/>
        <v>0</v>
      </c>
      <c r="K562">
        <f t="shared" si="46"/>
        <v>0</v>
      </c>
      <c r="M562" t="str" cm="1">
        <f t="array" ref="M562">IFERROR(INDEX($I$2:$K$2,0,MATCH(TRUE,I562:K562,0)),E562)</f>
        <v>CCGT</v>
      </c>
      <c r="O562" t="str">
        <f t="shared" si="43"/>
        <v>CCGT_2031</v>
      </c>
      <c r="P562">
        <f t="shared" si="44"/>
        <v>82</v>
      </c>
    </row>
    <row r="563" spans="4:16" x14ac:dyDescent="0.25">
      <c r="D563">
        <v>2032</v>
      </c>
      <c r="E563" t="s">
        <v>123</v>
      </c>
      <c r="F563" t="s">
        <v>174</v>
      </c>
      <c r="G563">
        <v>82</v>
      </c>
      <c r="I563">
        <f t="shared" si="46"/>
        <v>0</v>
      </c>
      <c r="J563">
        <f t="shared" si="46"/>
        <v>0</v>
      </c>
      <c r="K563">
        <f t="shared" si="46"/>
        <v>0</v>
      </c>
      <c r="M563" t="str" cm="1">
        <f t="array" ref="M563">IFERROR(INDEX($I$2:$K$2,0,MATCH(TRUE,I563:K563,0)),E563)</f>
        <v>CCGT</v>
      </c>
      <c r="O563" t="str">
        <f t="shared" si="43"/>
        <v>CCGT_2032</v>
      </c>
      <c r="P563">
        <f t="shared" si="44"/>
        <v>82</v>
      </c>
    </row>
    <row r="564" spans="4:16" x14ac:dyDescent="0.25">
      <c r="D564">
        <v>2033</v>
      </c>
      <c r="E564" t="s">
        <v>123</v>
      </c>
      <c r="F564" t="s">
        <v>174</v>
      </c>
      <c r="G564">
        <v>82</v>
      </c>
      <c r="I564">
        <f t="shared" ref="I564:K583" si="47">IFERROR(FIND(I$2,$E564,1)&gt;0,0)</f>
        <v>0</v>
      </c>
      <c r="J564">
        <f t="shared" si="47"/>
        <v>0</v>
      </c>
      <c r="K564">
        <f t="shared" si="47"/>
        <v>0</v>
      </c>
      <c r="M564" t="str" cm="1">
        <f t="array" ref="M564">IFERROR(INDEX($I$2:$K$2,0,MATCH(TRUE,I564:K564,0)),E564)</f>
        <v>CCGT</v>
      </c>
      <c r="O564" t="str">
        <f t="shared" si="43"/>
        <v>CCGT_2033</v>
      </c>
      <c r="P564">
        <f t="shared" si="44"/>
        <v>82</v>
      </c>
    </row>
    <row r="565" spans="4:16" x14ac:dyDescent="0.25">
      <c r="D565">
        <v>2034</v>
      </c>
      <c r="E565" t="s">
        <v>123</v>
      </c>
      <c r="F565" t="s">
        <v>174</v>
      </c>
      <c r="G565">
        <v>82</v>
      </c>
      <c r="I565">
        <f t="shared" si="47"/>
        <v>0</v>
      </c>
      <c r="J565">
        <f t="shared" si="47"/>
        <v>0</v>
      </c>
      <c r="K565">
        <f t="shared" si="47"/>
        <v>0</v>
      </c>
      <c r="M565" t="str" cm="1">
        <f t="array" ref="M565">IFERROR(INDEX($I$2:$K$2,0,MATCH(TRUE,I565:K565,0)),E565)</f>
        <v>CCGT</v>
      </c>
      <c r="O565" t="str">
        <f t="shared" si="43"/>
        <v>CCGT_2034</v>
      </c>
      <c r="P565">
        <f t="shared" si="44"/>
        <v>82</v>
      </c>
    </row>
    <row r="566" spans="4:16" x14ac:dyDescent="0.25">
      <c r="D566">
        <v>2035</v>
      </c>
      <c r="E566" t="s">
        <v>123</v>
      </c>
      <c r="F566" t="s">
        <v>174</v>
      </c>
      <c r="G566">
        <v>82</v>
      </c>
      <c r="I566">
        <f t="shared" si="47"/>
        <v>0</v>
      </c>
      <c r="J566">
        <f t="shared" si="47"/>
        <v>0</v>
      </c>
      <c r="K566">
        <f t="shared" si="47"/>
        <v>0</v>
      </c>
      <c r="M566" t="str" cm="1">
        <f t="array" ref="M566">IFERROR(INDEX($I$2:$K$2,0,MATCH(TRUE,I566:K566,0)),E566)</f>
        <v>CCGT</v>
      </c>
      <c r="O566" t="str">
        <f t="shared" si="43"/>
        <v>CCGT_2035</v>
      </c>
      <c r="P566">
        <f t="shared" si="44"/>
        <v>82</v>
      </c>
    </row>
    <row r="567" spans="4:16" x14ac:dyDescent="0.25">
      <c r="D567">
        <v>2036</v>
      </c>
      <c r="E567" t="s">
        <v>123</v>
      </c>
      <c r="F567" t="s">
        <v>174</v>
      </c>
      <c r="G567">
        <v>82</v>
      </c>
      <c r="I567">
        <f t="shared" si="47"/>
        <v>0</v>
      </c>
      <c r="J567">
        <f t="shared" si="47"/>
        <v>0</v>
      </c>
      <c r="K567">
        <f t="shared" si="47"/>
        <v>0</v>
      </c>
      <c r="M567" t="str" cm="1">
        <f t="array" ref="M567">IFERROR(INDEX($I$2:$K$2,0,MATCH(TRUE,I567:K567,0)),E567)</f>
        <v>CCGT</v>
      </c>
      <c r="O567" t="str">
        <f t="shared" si="43"/>
        <v>CCGT_2036</v>
      </c>
      <c r="P567">
        <f t="shared" si="44"/>
        <v>82</v>
      </c>
    </row>
    <row r="568" spans="4:16" x14ac:dyDescent="0.25">
      <c r="D568">
        <v>2037</v>
      </c>
      <c r="E568" t="s">
        <v>123</v>
      </c>
      <c r="F568" t="s">
        <v>174</v>
      </c>
      <c r="G568">
        <v>82</v>
      </c>
      <c r="I568">
        <f t="shared" si="47"/>
        <v>0</v>
      </c>
      <c r="J568">
        <f t="shared" si="47"/>
        <v>0</v>
      </c>
      <c r="K568">
        <f t="shared" si="47"/>
        <v>0</v>
      </c>
      <c r="M568" t="str" cm="1">
        <f t="array" ref="M568">IFERROR(INDEX($I$2:$K$2,0,MATCH(TRUE,I568:K568,0)),E568)</f>
        <v>CCGT</v>
      </c>
      <c r="O568" t="str">
        <f t="shared" si="43"/>
        <v>CCGT_2037</v>
      </c>
      <c r="P568">
        <f t="shared" si="44"/>
        <v>82</v>
      </c>
    </row>
    <row r="569" spans="4:16" x14ac:dyDescent="0.25">
      <c r="D569">
        <v>2038</v>
      </c>
      <c r="E569" t="s">
        <v>123</v>
      </c>
      <c r="F569" t="s">
        <v>174</v>
      </c>
      <c r="G569">
        <v>82</v>
      </c>
      <c r="I569">
        <f t="shared" si="47"/>
        <v>0</v>
      </c>
      <c r="J569">
        <f t="shared" si="47"/>
        <v>0</v>
      </c>
      <c r="K569">
        <f t="shared" si="47"/>
        <v>0</v>
      </c>
      <c r="M569" t="str" cm="1">
        <f t="array" ref="M569">IFERROR(INDEX($I$2:$K$2,0,MATCH(TRUE,I569:K569,0)),E569)</f>
        <v>CCGT</v>
      </c>
      <c r="O569" t="str">
        <f t="shared" si="43"/>
        <v>CCGT_2038</v>
      </c>
      <c r="P569">
        <f t="shared" si="44"/>
        <v>82</v>
      </c>
    </row>
    <row r="570" spans="4:16" x14ac:dyDescent="0.25">
      <c r="D570">
        <v>2039</v>
      </c>
      <c r="E570" t="s">
        <v>123</v>
      </c>
      <c r="F570" t="s">
        <v>174</v>
      </c>
      <c r="G570">
        <v>82</v>
      </c>
      <c r="I570">
        <f t="shared" si="47"/>
        <v>0</v>
      </c>
      <c r="J570">
        <f t="shared" si="47"/>
        <v>0</v>
      </c>
      <c r="K570">
        <f t="shared" si="47"/>
        <v>0</v>
      </c>
      <c r="M570" t="str" cm="1">
        <f t="array" ref="M570">IFERROR(INDEX($I$2:$K$2,0,MATCH(TRUE,I570:K570,0)),E570)</f>
        <v>CCGT</v>
      </c>
      <c r="O570" t="str">
        <f t="shared" si="43"/>
        <v>CCGT_2039</v>
      </c>
      <c r="P570">
        <f t="shared" si="44"/>
        <v>82</v>
      </c>
    </row>
    <row r="571" spans="4:16" x14ac:dyDescent="0.25">
      <c r="D571">
        <v>2040</v>
      </c>
      <c r="E571" t="s">
        <v>123</v>
      </c>
      <c r="F571" t="s">
        <v>174</v>
      </c>
      <c r="G571">
        <v>82</v>
      </c>
      <c r="I571">
        <f t="shared" si="47"/>
        <v>0</v>
      </c>
      <c r="J571">
        <f t="shared" si="47"/>
        <v>0</v>
      </c>
      <c r="K571">
        <f t="shared" si="47"/>
        <v>0</v>
      </c>
      <c r="M571" t="str" cm="1">
        <f t="array" ref="M571">IFERROR(INDEX($I$2:$K$2,0,MATCH(TRUE,I571:K571,0)),E571)</f>
        <v>CCGT</v>
      </c>
      <c r="O571" t="str">
        <f t="shared" si="43"/>
        <v>CCGT_2040</v>
      </c>
      <c r="P571">
        <f t="shared" si="44"/>
        <v>82</v>
      </c>
    </row>
    <row r="572" spans="4:16" x14ac:dyDescent="0.25">
      <c r="D572">
        <v>2021</v>
      </c>
      <c r="E572" t="s">
        <v>123</v>
      </c>
      <c r="F572" t="s">
        <v>175</v>
      </c>
      <c r="G572">
        <v>70</v>
      </c>
      <c r="I572">
        <f t="shared" si="47"/>
        <v>0</v>
      </c>
      <c r="J572">
        <f t="shared" si="47"/>
        <v>0</v>
      </c>
      <c r="K572">
        <f t="shared" si="47"/>
        <v>0</v>
      </c>
      <c r="M572" t="str" cm="1">
        <f t="array" ref="M572">IFERROR(INDEX($I$2:$K$2,0,MATCH(TRUE,I572:K572,0)),E572)</f>
        <v>CCGT</v>
      </c>
      <c r="O572" t="str">
        <f t="shared" si="43"/>
        <v>CCGT_2021</v>
      </c>
      <c r="P572">
        <f t="shared" si="44"/>
        <v>70</v>
      </c>
    </row>
    <row r="573" spans="4:16" x14ac:dyDescent="0.25">
      <c r="D573">
        <v>2022</v>
      </c>
      <c r="E573" t="s">
        <v>123</v>
      </c>
      <c r="F573" t="s">
        <v>175</v>
      </c>
      <c r="G573">
        <v>70</v>
      </c>
      <c r="I573">
        <f t="shared" si="47"/>
        <v>0</v>
      </c>
      <c r="J573">
        <f t="shared" si="47"/>
        <v>0</v>
      </c>
      <c r="K573">
        <f t="shared" si="47"/>
        <v>0</v>
      </c>
      <c r="M573" t="str" cm="1">
        <f t="array" ref="M573">IFERROR(INDEX($I$2:$K$2,0,MATCH(TRUE,I573:K573,0)),E573)</f>
        <v>CCGT</v>
      </c>
      <c r="O573" t="str">
        <f t="shared" si="43"/>
        <v>CCGT_2022</v>
      </c>
      <c r="P573">
        <f t="shared" si="44"/>
        <v>70</v>
      </c>
    </row>
    <row r="574" spans="4:16" x14ac:dyDescent="0.25">
      <c r="D574">
        <v>2023</v>
      </c>
      <c r="E574" t="s">
        <v>123</v>
      </c>
      <c r="F574" t="s">
        <v>175</v>
      </c>
      <c r="G574">
        <v>70</v>
      </c>
      <c r="I574">
        <f t="shared" si="47"/>
        <v>0</v>
      </c>
      <c r="J574">
        <f t="shared" si="47"/>
        <v>0</v>
      </c>
      <c r="K574">
        <f t="shared" si="47"/>
        <v>0</v>
      </c>
      <c r="M574" t="str" cm="1">
        <f t="array" ref="M574">IFERROR(INDEX($I$2:$K$2,0,MATCH(TRUE,I574:K574,0)),E574)</f>
        <v>CCGT</v>
      </c>
      <c r="O574" t="str">
        <f t="shared" si="43"/>
        <v>CCGT_2023</v>
      </c>
      <c r="P574">
        <f t="shared" si="44"/>
        <v>70</v>
      </c>
    </row>
    <row r="575" spans="4:16" x14ac:dyDescent="0.25">
      <c r="D575">
        <v>2024</v>
      </c>
      <c r="E575" t="s">
        <v>123</v>
      </c>
      <c r="F575" t="s">
        <v>175</v>
      </c>
      <c r="G575">
        <v>70</v>
      </c>
      <c r="I575">
        <f t="shared" si="47"/>
        <v>0</v>
      </c>
      <c r="J575">
        <f t="shared" si="47"/>
        <v>0</v>
      </c>
      <c r="K575">
        <f t="shared" si="47"/>
        <v>0</v>
      </c>
      <c r="M575" t="str" cm="1">
        <f t="array" ref="M575">IFERROR(INDEX($I$2:$K$2,0,MATCH(TRUE,I575:K575,0)),E575)</f>
        <v>CCGT</v>
      </c>
      <c r="O575" t="str">
        <f t="shared" si="43"/>
        <v>CCGT_2024</v>
      </c>
      <c r="P575">
        <f t="shared" si="44"/>
        <v>70</v>
      </c>
    </row>
    <row r="576" spans="4:16" x14ac:dyDescent="0.25">
      <c r="D576">
        <v>2025</v>
      </c>
      <c r="E576" t="s">
        <v>123</v>
      </c>
      <c r="F576" t="s">
        <v>175</v>
      </c>
      <c r="G576">
        <v>70</v>
      </c>
      <c r="I576">
        <f t="shared" si="47"/>
        <v>0</v>
      </c>
      <c r="J576">
        <f t="shared" si="47"/>
        <v>0</v>
      </c>
      <c r="K576">
        <f t="shared" si="47"/>
        <v>0</v>
      </c>
      <c r="M576" t="str" cm="1">
        <f t="array" ref="M576">IFERROR(INDEX($I$2:$K$2,0,MATCH(TRUE,I576:K576,0)),E576)</f>
        <v>CCGT</v>
      </c>
      <c r="O576" t="str">
        <f t="shared" si="43"/>
        <v>CCGT_2025</v>
      </c>
      <c r="P576">
        <f t="shared" si="44"/>
        <v>70</v>
      </c>
    </row>
    <row r="577" spans="4:16" x14ac:dyDescent="0.25">
      <c r="D577">
        <v>2026</v>
      </c>
      <c r="E577" t="s">
        <v>123</v>
      </c>
      <c r="F577" t="s">
        <v>175</v>
      </c>
      <c r="G577">
        <v>70</v>
      </c>
      <c r="I577">
        <f t="shared" si="47"/>
        <v>0</v>
      </c>
      <c r="J577">
        <f t="shared" si="47"/>
        <v>0</v>
      </c>
      <c r="K577">
        <f t="shared" si="47"/>
        <v>0</v>
      </c>
      <c r="M577" t="str" cm="1">
        <f t="array" ref="M577">IFERROR(INDEX($I$2:$K$2,0,MATCH(TRUE,I577:K577,0)),E577)</f>
        <v>CCGT</v>
      </c>
      <c r="O577" t="str">
        <f t="shared" si="43"/>
        <v>CCGT_2026</v>
      </c>
      <c r="P577">
        <f t="shared" si="44"/>
        <v>70</v>
      </c>
    </row>
    <row r="578" spans="4:16" x14ac:dyDescent="0.25">
      <c r="D578">
        <v>2027</v>
      </c>
      <c r="E578" t="s">
        <v>123</v>
      </c>
      <c r="F578" t="s">
        <v>175</v>
      </c>
      <c r="G578">
        <v>70</v>
      </c>
      <c r="I578">
        <f t="shared" si="47"/>
        <v>0</v>
      </c>
      <c r="J578">
        <f t="shared" si="47"/>
        <v>0</v>
      </c>
      <c r="K578">
        <f t="shared" si="47"/>
        <v>0</v>
      </c>
      <c r="M578" t="str" cm="1">
        <f t="array" ref="M578">IFERROR(INDEX($I$2:$K$2,0,MATCH(TRUE,I578:K578,0)),E578)</f>
        <v>CCGT</v>
      </c>
      <c r="O578" t="str">
        <f t="shared" si="43"/>
        <v>CCGT_2027</v>
      </c>
      <c r="P578">
        <f t="shared" si="44"/>
        <v>70</v>
      </c>
    </row>
    <row r="579" spans="4:16" x14ac:dyDescent="0.25">
      <c r="D579">
        <v>2028</v>
      </c>
      <c r="E579" t="s">
        <v>123</v>
      </c>
      <c r="F579" t="s">
        <v>175</v>
      </c>
      <c r="G579">
        <v>70</v>
      </c>
      <c r="I579">
        <f t="shared" si="47"/>
        <v>0</v>
      </c>
      <c r="J579">
        <f t="shared" si="47"/>
        <v>0</v>
      </c>
      <c r="K579">
        <f t="shared" si="47"/>
        <v>0</v>
      </c>
      <c r="M579" t="str" cm="1">
        <f t="array" ref="M579">IFERROR(INDEX($I$2:$K$2,0,MATCH(TRUE,I579:K579,0)),E579)</f>
        <v>CCGT</v>
      </c>
      <c r="O579" t="str">
        <f t="shared" si="43"/>
        <v>CCGT_2028</v>
      </c>
      <c r="P579">
        <f t="shared" si="44"/>
        <v>70</v>
      </c>
    </row>
    <row r="580" spans="4:16" x14ac:dyDescent="0.25">
      <c r="D580">
        <v>2029</v>
      </c>
      <c r="E580" t="s">
        <v>123</v>
      </c>
      <c r="F580" t="s">
        <v>175</v>
      </c>
      <c r="G580">
        <v>70</v>
      </c>
      <c r="I580">
        <f t="shared" si="47"/>
        <v>0</v>
      </c>
      <c r="J580">
        <f t="shared" si="47"/>
        <v>0</v>
      </c>
      <c r="K580">
        <f t="shared" si="47"/>
        <v>0</v>
      </c>
      <c r="M580" t="str" cm="1">
        <f t="array" ref="M580">IFERROR(INDEX($I$2:$K$2,0,MATCH(TRUE,I580:K580,0)),E580)</f>
        <v>CCGT</v>
      </c>
      <c r="O580" t="str">
        <f t="shared" ref="O580:O643" si="48">M580&amp;"_"&amp;D580</f>
        <v>CCGT_2029</v>
      </c>
      <c r="P580">
        <f t="shared" ref="P580:P643" si="49">G580</f>
        <v>70</v>
      </c>
    </row>
    <row r="581" spans="4:16" x14ac:dyDescent="0.25">
      <c r="D581">
        <v>2030</v>
      </c>
      <c r="E581" t="s">
        <v>123</v>
      </c>
      <c r="F581" t="s">
        <v>175</v>
      </c>
      <c r="G581">
        <v>70</v>
      </c>
      <c r="I581">
        <f t="shared" si="47"/>
        <v>0</v>
      </c>
      <c r="J581">
        <f t="shared" si="47"/>
        <v>0</v>
      </c>
      <c r="K581">
        <f t="shared" si="47"/>
        <v>0</v>
      </c>
      <c r="M581" t="str" cm="1">
        <f t="array" ref="M581">IFERROR(INDEX($I$2:$K$2,0,MATCH(TRUE,I581:K581,0)),E581)</f>
        <v>CCGT</v>
      </c>
      <c r="O581" t="str">
        <f t="shared" si="48"/>
        <v>CCGT_2030</v>
      </c>
      <c r="P581">
        <f t="shared" si="49"/>
        <v>70</v>
      </c>
    </row>
    <row r="582" spans="4:16" x14ac:dyDescent="0.25">
      <c r="D582">
        <v>2031</v>
      </c>
      <c r="E582" t="s">
        <v>123</v>
      </c>
      <c r="F582" t="s">
        <v>175</v>
      </c>
      <c r="G582">
        <v>70</v>
      </c>
      <c r="I582">
        <f t="shared" si="47"/>
        <v>0</v>
      </c>
      <c r="J582">
        <f t="shared" si="47"/>
        <v>0</v>
      </c>
      <c r="K582">
        <f t="shared" si="47"/>
        <v>0</v>
      </c>
      <c r="M582" t="str" cm="1">
        <f t="array" ref="M582">IFERROR(INDEX($I$2:$K$2,0,MATCH(TRUE,I582:K582,0)),E582)</f>
        <v>CCGT</v>
      </c>
      <c r="O582" t="str">
        <f t="shared" si="48"/>
        <v>CCGT_2031</v>
      </c>
      <c r="P582">
        <f t="shared" si="49"/>
        <v>70</v>
      </c>
    </row>
    <row r="583" spans="4:16" x14ac:dyDescent="0.25">
      <c r="D583">
        <v>2032</v>
      </c>
      <c r="E583" t="s">
        <v>123</v>
      </c>
      <c r="F583" t="s">
        <v>175</v>
      </c>
      <c r="G583">
        <v>70</v>
      </c>
      <c r="I583">
        <f t="shared" si="47"/>
        <v>0</v>
      </c>
      <c r="J583">
        <f t="shared" si="47"/>
        <v>0</v>
      </c>
      <c r="K583">
        <f t="shared" si="47"/>
        <v>0</v>
      </c>
      <c r="M583" t="str" cm="1">
        <f t="array" ref="M583">IFERROR(INDEX($I$2:$K$2,0,MATCH(TRUE,I583:K583,0)),E583)</f>
        <v>CCGT</v>
      </c>
      <c r="O583" t="str">
        <f t="shared" si="48"/>
        <v>CCGT_2032</v>
      </c>
      <c r="P583">
        <f t="shared" si="49"/>
        <v>70</v>
      </c>
    </row>
    <row r="584" spans="4:16" x14ac:dyDescent="0.25">
      <c r="D584">
        <v>2033</v>
      </c>
      <c r="E584" t="s">
        <v>123</v>
      </c>
      <c r="F584" t="s">
        <v>175</v>
      </c>
      <c r="G584">
        <v>70</v>
      </c>
      <c r="I584">
        <f t="shared" ref="I584:K603" si="50">IFERROR(FIND(I$2,$E584,1)&gt;0,0)</f>
        <v>0</v>
      </c>
      <c r="J584">
        <f t="shared" si="50"/>
        <v>0</v>
      </c>
      <c r="K584">
        <f t="shared" si="50"/>
        <v>0</v>
      </c>
      <c r="M584" t="str" cm="1">
        <f t="array" ref="M584">IFERROR(INDEX($I$2:$K$2,0,MATCH(TRUE,I584:K584,0)),E584)</f>
        <v>CCGT</v>
      </c>
      <c r="O584" t="str">
        <f t="shared" si="48"/>
        <v>CCGT_2033</v>
      </c>
      <c r="P584">
        <f t="shared" si="49"/>
        <v>70</v>
      </c>
    </row>
    <row r="585" spans="4:16" x14ac:dyDescent="0.25">
      <c r="D585">
        <v>2034</v>
      </c>
      <c r="E585" t="s">
        <v>123</v>
      </c>
      <c r="F585" t="s">
        <v>175</v>
      </c>
      <c r="G585">
        <v>70</v>
      </c>
      <c r="I585">
        <f t="shared" si="50"/>
        <v>0</v>
      </c>
      <c r="J585">
        <f t="shared" si="50"/>
        <v>0</v>
      </c>
      <c r="K585">
        <f t="shared" si="50"/>
        <v>0</v>
      </c>
      <c r="M585" t="str" cm="1">
        <f t="array" ref="M585">IFERROR(INDEX($I$2:$K$2,0,MATCH(TRUE,I585:K585,0)),E585)</f>
        <v>CCGT</v>
      </c>
      <c r="O585" t="str">
        <f t="shared" si="48"/>
        <v>CCGT_2034</v>
      </c>
      <c r="P585">
        <f t="shared" si="49"/>
        <v>70</v>
      </c>
    </row>
    <row r="586" spans="4:16" x14ac:dyDescent="0.25">
      <c r="D586">
        <v>2035</v>
      </c>
      <c r="E586" t="s">
        <v>123</v>
      </c>
      <c r="F586" t="s">
        <v>175</v>
      </c>
      <c r="G586">
        <v>70</v>
      </c>
      <c r="I586">
        <f t="shared" si="50"/>
        <v>0</v>
      </c>
      <c r="J586">
        <f t="shared" si="50"/>
        <v>0</v>
      </c>
      <c r="K586">
        <f t="shared" si="50"/>
        <v>0</v>
      </c>
      <c r="M586" t="str" cm="1">
        <f t="array" ref="M586">IFERROR(INDEX($I$2:$K$2,0,MATCH(TRUE,I586:K586,0)),E586)</f>
        <v>CCGT</v>
      </c>
      <c r="O586" t="str">
        <f t="shared" si="48"/>
        <v>CCGT_2035</v>
      </c>
      <c r="P586">
        <f t="shared" si="49"/>
        <v>70</v>
      </c>
    </row>
    <row r="587" spans="4:16" x14ac:dyDescent="0.25">
      <c r="D587">
        <v>2036</v>
      </c>
      <c r="E587" t="s">
        <v>123</v>
      </c>
      <c r="F587" t="s">
        <v>175</v>
      </c>
      <c r="G587">
        <v>70</v>
      </c>
      <c r="I587">
        <f t="shared" si="50"/>
        <v>0</v>
      </c>
      <c r="J587">
        <f t="shared" si="50"/>
        <v>0</v>
      </c>
      <c r="K587">
        <f t="shared" si="50"/>
        <v>0</v>
      </c>
      <c r="M587" t="str" cm="1">
        <f t="array" ref="M587">IFERROR(INDEX($I$2:$K$2,0,MATCH(TRUE,I587:K587,0)),E587)</f>
        <v>CCGT</v>
      </c>
      <c r="O587" t="str">
        <f t="shared" si="48"/>
        <v>CCGT_2036</v>
      </c>
      <c r="P587">
        <f t="shared" si="49"/>
        <v>70</v>
      </c>
    </row>
    <row r="588" spans="4:16" x14ac:dyDescent="0.25">
      <c r="D588">
        <v>2037</v>
      </c>
      <c r="E588" t="s">
        <v>123</v>
      </c>
      <c r="F588" t="s">
        <v>175</v>
      </c>
      <c r="G588">
        <v>70</v>
      </c>
      <c r="I588">
        <f t="shared" si="50"/>
        <v>0</v>
      </c>
      <c r="J588">
        <f t="shared" si="50"/>
        <v>0</v>
      </c>
      <c r="K588">
        <f t="shared" si="50"/>
        <v>0</v>
      </c>
      <c r="M588" t="str" cm="1">
        <f t="array" ref="M588">IFERROR(INDEX($I$2:$K$2,0,MATCH(TRUE,I588:K588,0)),E588)</f>
        <v>CCGT</v>
      </c>
      <c r="O588" t="str">
        <f t="shared" si="48"/>
        <v>CCGT_2037</v>
      </c>
      <c r="P588">
        <f t="shared" si="49"/>
        <v>70</v>
      </c>
    </row>
    <row r="589" spans="4:16" x14ac:dyDescent="0.25">
      <c r="D589">
        <v>2038</v>
      </c>
      <c r="E589" t="s">
        <v>123</v>
      </c>
      <c r="F589" t="s">
        <v>175</v>
      </c>
      <c r="G589">
        <v>70</v>
      </c>
      <c r="I589">
        <f t="shared" si="50"/>
        <v>0</v>
      </c>
      <c r="J589">
        <f t="shared" si="50"/>
        <v>0</v>
      </c>
      <c r="K589">
        <f t="shared" si="50"/>
        <v>0</v>
      </c>
      <c r="M589" t="str" cm="1">
        <f t="array" ref="M589">IFERROR(INDEX($I$2:$K$2,0,MATCH(TRUE,I589:K589,0)),E589)</f>
        <v>CCGT</v>
      </c>
      <c r="O589" t="str">
        <f t="shared" si="48"/>
        <v>CCGT_2038</v>
      </c>
      <c r="P589">
        <f t="shared" si="49"/>
        <v>70</v>
      </c>
    </row>
    <row r="590" spans="4:16" x14ac:dyDescent="0.25">
      <c r="D590">
        <v>2039</v>
      </c>
      <c r="E590" t="s">
        <v>123</v>
      </c>
      <c r="F590" t="s">
        <v>175</v>
      </c>
      <c r="G590">
        <v>70</v>
      </c>
      <c r="I590">
        <f t="shared" si="50"/>
        <v>0</v>
      </c>
      <c r="J590">
        <f t="shared" si="50"/>
        <v>0</v>
      </c>
      <c r="K590">
        <f t="shared" si="50"/>
        <v>0</v>
      </c>
      <c r="M590" t="str" cm="1">
        <f t="array" ref="M590">IFERROR(INDEX($I$2:$K$2,0,MATCH(TRUE,I590:K590,0)),E590)</f>
        <v>CCGT</v>
      </c>
      <c r="O590" t="str">
        <f t="shared" si="48"/>
        <v>CCGT_2039</v>
      </c>
      <c r="P590">
        <f t="shared" si="49"/>
        <v>70</v>
      </c>
    </row>
    <row r="591" spans="4:16" x14ac:dyDescent="0.25">
      <c r="D591">
        <v>2040</v>
      </c>
      <c r="E591" t="s">
        <v>123</v>
      </c>
      <c r="F591" t="s">
        <v>175</v>
      </c>
      <c r="G591">
        <v>70</v>
      </c>
      <c r="I591">
        <f t="shared" si="50"/>
        <v>0</v>
      </c>
      <c r="J591">
        <f t="shared" si="50"/>
        <v>0</v>
      </c>
      <c r="K591">
        <f t="shared" si="50"/>
        <v>0</v>
      </c>
      <c r="M591" t="str" cm="1">
        <f t="array" ref="M591">IFERROR(INDEX($I$2:$K$2,0,MATCH(TRUE,I591:K591,0)),E591)</f>
        <v>CCGT</v>
      </c>
      <c r="O591" t="str">
        <f t="shared" si="48"/>
        <v>CCGT_2040</v>
      </c>
      <c r="P591">
        <f t="shared" si="49"/>
        <v>70</v>
      </c>
    </row>
    <row r="592" spans="4:16" x14ac:dyDescent="0.25">
      <c r="D592">
        <v>2021</v>
      </c>
      <c r="E592" t="s">
        <v>123</v>
      </c>
      <c r="F592" t="s">
        <v>176</v>
      </c>
      <c r="G592">
        <v>444</v>
      </c>
      <c r="I592">
        <f t="shared" si="50"/>
        <v>0</v>
      </c>
      <c r="J592">
        <f t="shared" si="50"/>
        <v>0</v>
      </c>
      <c r="K592">
        <f t="shared" si="50"/>
        <v>0</v>
      </c>
      <c r="M592" t="str" cm="1">
        <f t="array" ref="M592">IFERROR(INDEX($I$2:$K$2,0,MATCH(TRUE,I592:K592,0)),E592)</f>
        <v>CCGT</v>
      </c>
      <c r="O592" t="str">
        <f t="shared" si="48"/>
        <v>CCGT_2021</v>
      </c>
      <c r="P592">
        <f t="shared" si="49"/>
        <v>444</v>
      </c>
    </row>
    <row r="593" spans="4:16" x14ac:dyDescent="0.25">
      <c r="D593">
        <v>2022</v>
      </c>
      <c r="E593" t="s">
        <v>123</v>
      </c>
      <c r="F593" t="s">
        <v>176</v>
      </c>
      <c r="G593">
        <v>444</v>
      </c>
      <c r="I593">
        <f t="shared" si="50"/>
        <v>0</v>
      </c>
      <c r="J593">
        <f t="shared" si="50"/>
        <v>0</v>
      </c>
      <c r="K593">
        <f t="shared" si="50"/>
        <v>0</v>
      </c>
      <c r="M593" t="str" cm="1">
        <f t="array" ref="M593">IFERROR(INDEX($I$2:$K$2,0,MATCH(TRUE,I593:K593,0)),E593)</f>
        <v>CCGT</v>
      </c>
      <c r="O593" t="str">
        <f t="shared" si="48"/>
        <v>CCGT_2022</v>
      </c>
      <c r="P593">
        <f t="shared" si="49"/>
        <v>444</v>
      </c>
    </row>
    <row r="594" spans="4:16" x14ac:dyDescent="0.25">
      <c r="D594">
        <v>2023</v>
      </c>
      <c r="E594" t="s">
        <v>123</v>
      </c>
      <c r="F594" t="s">
        <v>176</v>
      </c>
      <c r="G594">
        <v>444</v>
      </c>
      <c r="I594">
        <f t="shared" si="50"/>
        <v>0</v>
      </c>
      <c r="J594">
        <f t="shared" si="50"/>
        <v>0</v>
      </c>
      <c r="K594">
        <f t="shared" si="50"/>
        <v>0</v>
      </c>
      <c r="M594" t="str" cm="1">
        <f t="array" ref="M594">IFERROR(INDEX($I$2:$K$2,0,MATCH(TRUE,I594:K594,0)),E594)</f>
        <v>CCGT</v>
      </c>
      <c r="O594" t="str">
        <f t="shared" si="48"/>
        <v>CCGT_2023</v>
      </c>
      <c r="P594">
        <f t="shared" si="49"/>
        <v>444</v>
      </c>
    </row>
    <row r="595" spans="4:16" x14ac:dyDescent="0.25">
      <c r="D595">
        <v>2024</v>
      </c>
      <c r="E595" t="s">
        <v>123</v>
      </c>
      <c r="F595" t="s">
        <v>176</v>
      </c>
      <c r="G595">
        <v>444</v>
      </c>
      <c r="I595">
        <f t="shared" si="50"/>
        <v>0</v>
      </c>
      <c r="J595">
        <f t="shared" si="50"/>
        <v>0</v>
      </c>
      <c r="K595">
        <f t="shared" si="50"/>
        <v>0</v>
      </c>
      <c r="M595" t="str" cm="1">
        <f t="array" ref="M595">IFERROR(INDEX($I$2:$K$2,0,MATCH(TRUE,I595:K595,0)),E595)</f>
        <v>CCGT</v>
      </c>
      <c r="O595" t="str">
        <f t="shared" si="48"/>
        <v>CCGT_2024</v>
      </c>
      <c r="P595">
        <f t="shared" si="49"/>
        <v>444</v>
      </c>
    </row>
    <row r="596" spans="4:16" x14ac:dyDescent="0.25">
      <c r="D596">
        <v>2025</v>
      </c>
      <c r="E596" t="s">
        <v>123</v>
      </c>
      <c r="F596" t="s">
        <v>176</v>
      </c>
      <c r="G596">
        <v>444</v>
      </c>
      <c r="I596">
        <f t="shared" si="50"/>
        <v>0</v>
      </c>
      <c r="J596">
        <f t="shared" si="50"/>
        <v>0</v>
      </c>
      <c r="K596">
        <f t="shared" si="50"/>
        <v>0</v>
      </c>
      <c r="M596" t="str" cm="1">
        <f t="array" ref="M596">IFERROR(INDEX($I$2:$K$2,0,MATCH(TRUE,I596:K596,0)),E596)</f>
        <v>CCGT</v>
      </c>
      <c r="O596" t="str">
        <f t="shared" si="48"/>
        <v>CCGT_2025</v>
      </c>
      <c r="P596">
        <f t="shared" si="49"/>
        <v>444</v>
      </c>
    </row>
    <row r="597" spans="4:16" x14ac:dyDescent="0.25">
      <c r="D597">
        <v>2026</v>
      </c>
      <c r="E597" t="s">
        <v>123</v>
      </c>
      <c r="F597" t="s">
        <v>176</v>
      </c>
      <c r="G597">
        <v>444</v>
      </c>
      <c r="I597">
        <f t="shared" si="50"/>
        <v>0</v>
      </c>
      <c r="J597">
        <f t="shared" si="50"/>
        <v>0</v>
      </c>
      <c r="K597">
        <f t="shared" si="50"/>
        <v>0</v>
      </c>
      <c r="M597" t="str" cm="1">
        <f t="array" ref="M597">IFERROR(INDEX($I$2:$K$2,0,MATCH(TRUE,I597:K597,0)),E597)</f>
        <v>CCGT</v>
      </c>
      <c r="O597" t="str">
        <f t="shared" si="48"/>
        <v>CCGT_2026</v>
      </c>
      <c r="P597">
        <f t="shared" si="49"/>
        <v>444</v>
      </c>
    </row>
    <row r="598" spans="4:16" x14ac:dyDescent="0.25">
      <c r="D598">
        <v>2027</v>
      </c>
      <c r="E598" t="s">
        <v>123</v>
      </c>
      <c r="F598" t="s">
        <v>176</v>
      </c>
      <c r="G598">
        <v>444</v>
      </c>
      <c r="I598">
        <f t="shared" si="50"/>
        <v>0</v>
      </c>
      <c r="J598">
        <f t="shared" si="50"/>
        <v>0</v>
      </c>
      <c r="K598">
        <f t="shared" si="50"/>
        <v>0</v>
      </c>
      <c r="M598" t="str" cm="1">
        <f t="array" ref="M598">IFERROR(INDEX($I$2:$K$2,0,MATCH(TRUE,I598:K598,0)),E598)</f>
        <v>CCGT</v>
      </c>
      <c r="O598" t="str">
        <f t="shared" si="48"/>
        <v>CCGT_2027</v>
      </c>
      <c r="P598">
        <f t="shared" si="49"/>
        <v>444</v>
      </c>
    </row>
    <row r="599" spans="4:16" x14ac:dyDescent="0.25">
      <c r="D599">
        <v>2028</v>
      </c>
      <c r="E599" t="s">
        <v>123</v>
      </c>
      <c r="F599" t="s">
        <v>176</v>
      </c>
      <c r="G599">
        <v>444</v>
      </c>
      <c r="I599">
        <f t="shared" si="50"/>
        <v>0</v>
      </c>
      <c r="J599">
        <f t="shared" si="50"/>
        <v>0</v>
      </c>
      <c r="K599">
        <f t="shared" si="50"/>
        <v>0</v>
      </c>
      <c r="M599" t="str" cm="1">
        <f t="array" ref="M599">IFERROR(INDEX($I$2:$K$2,0,MATCH(TRUE,I599:K599,0)),E599)</f>
        <v>CCGT</v>
      </c>
      <c r="O599" t="str">
        <f t="shared" si="48"/>
        <v>CCGT_2028</v>
      </c>
      <c r="P599">
        <f t="shared" si="49"/>
        <v>444</v>
      </c>
    </row>
    <row r="600" spans="4:16" x14ac:dyDescent="0.25">
      <c r="D600">
        <v>2029</v>
      </c>
      <c r="E600" t="s">
        <v>123</v>
      </c>
      <c r="F600" t="s">
        <v>176</v>
      </c>
      <c r="G600">
        <v>444</v>
      </c>
      <c r="I600">
        <f t="shared" si="50"/>
        <v>0</v>
      </c>
      <c r="J600">
        <f t="shared" si="50"/>
        <v>0</v>
      </c>
      <c r="K600">
        <f t="shared" si="50"/>
        <v>0</v>
      </c>
      <c r="M600" t="str" cm="1">
        <f t="array" ref="M600">IFERROR(INDEX($I$2:$K$2,0,MATCH(TRUE,I600:K600,0)),E600)</f>
        <v>CCGT</v>
      </c>
      <c r="O600" t="str">
        <f t="shared" si="48"/>
        <v>CCGT_2029</v>
      </c>
      <c r="P600">
        <f t="shared" si="49"/>
        <v>444</v>
      </c>
    </row>
    <row r="601" spans="4:16" x14ac:dyDescent="0.25">
      <c r="D601">
        <v>2030</v>
      </c>
      <c r="E601" t="s">
        <v>123</v>
      </c>
      <c r="F601" t="s">
        <v>176</v>
      </c>
      <c r="G601">
        <v>444</v>
      </c>
      <c r="I601">
        <f t="shared" si="50"/>
        <v>0</v>
      </c>
      <c r="J601">
        <f t="shared" si="50"/>
        <v>0</v>
      </c>
      <c r="K601">
        <f t="shared" si="50"/>
        <v>0</v>
      </c>
      <c r="M601" t="str" cm="1">
        <f t="array" ref="M601">IFERROR(INDEX($I$2:$K$2,0,MATCH(TRUE,I601:K601,0)),E601)</f>
        <v>CCGT</v>
      </c>
      <c r="O601" t="str">
        <f t="shared" si="48"/>
        <v>CCGT_2030</v>
      </c>
      <c r="P601">
        <f t="shared" si="49"/>
        <v>444</v>
      </c>
    </row>
    <row r="602" spans="4:16" x14ac:dyDescent="0.25">
      <c r="D602">
        <v>2031</v>
      </c>
      <c r="E602" t="s">
        <v>123</v>
      </c>
      <c r="F602" t="s">
        <v>176</v>
      </c>
      <c r="G602">
        <v>444</v>
      </c>
      <c r="I602">
        <f t="shared" si="50"/>
        <v>0</v>
      </c>
      <c r="J602">
        <f t="shared" si="50"/>
        <v>0</v>
      </c>
      <c r="K602">
        <f t="shared" si="50"/>
        <v>0</v>
      </c>
      <c r="M602" t="str" cm="1">
        <f t="array" ref="M602">IFERROR(INDEX($I$2:$K$2,0,MATCH(TRUE,I602:K602,0)),E602)</f>
        <v>CCGT</v>
      </c>
      <c r="O602" t="str">
        <f t="shared" si="48"/>
        <v>CCGT_2031</v>
      </c>
      <c r="P602">
        <f t="shared" si="49"/>
        <v>444</v>
      </c>
    </row>
    <row r="603" spans="4:16" x14ac:dyDescent="0.25">
      <c r="D603">
        <v>2032</v>
      </c>
      <c r="E603" t="s">
        <v>123</v>
      </c>
      <c r="F603" t="s">
        <v>176</v>
      </c>
      <c r="G603">
        <v>444</v>
      </c>
      <c r="I603">
        <f t="shared" si="50"/>
        <v>0</v>
      </c>
      <c r="J603">
        <f t="shared" si="50"/>
        <v>0</v>
      </c>
      <c r="K603">
        <f t="shared" si="50"/>
        <v>0</v>
      </c>
      <c r="M603" t="str" cm="1">
        <f t="array" ref="M603">IFERROR(INDEX($I$2:$K$2,0,MATCH(TRUE,I603:K603,0)),E603)</f>
        <v>CCGT</v>
      </c>
      <c r="O603" t="str">
        <f t="shared" si="48"/>
        <v>CCGT_2032</v>
      </c>
      <c r="P603">
        <f t="shared" si="49"/>
        <v>444</v>
      </c>
    </row>
    <row r="604" spans="4:16" x14ac:dyDescent="0.25">
      <c r="D604">
        <v>2033</v>
      </c>
      <c r="E604" t="s">
        <v>123</v>
      </c>
      <c r="F604" t="s">
        <v>176</v>
      </c>
      <c r="G604">
        <v>444</v>
      </c>
      <c r="I604">
        <f t="shared" ref="I604:K623" si="51">IFERROR(FIND(I$2,$E604,1)&gt;0,0)</f>
        <v>0</v>
      </c>
      <c r="J604">
        <f t="shared" si="51"/>
        <v>0</v>
      </c>
      <c r="K604">
        <f t="shared" si="51"/>
        <v>0</v>
      </c>
      <c r="M604" t="str" cm="1">
        <f t="array" ref="M604">IFERROR(INDEX($I$2:$K$2,0,MATCH(TRUE,I604:K604,0)),E604)</f>
        <v>CCGT</v>
      </c>
      <c r="O604" t="str">
        <f t="shared" si="48"/>
        <v>CCGT_2033</v>
      </c>
      <c r="P604">
        <f t="shared" si="49"/>
        <v>444</v>
      </c>
    </row>
    <row r="605" spans="4:16" x14ac:dyDescent="0.25">
      <c r="D605">
        <v>2034</v>
      </c>
      <c r="E605" t="s">
        <v>123</v>
      </c>
      <c r="F605" t="s">
        <v>176</v>
      </c>
      <c r="G605">
        <v>444</v>
      </c>
      <c r="I605">
        <f t="shared" si="51"/>
        <v>0</v>
      </c>
      <c r="J605">
        <f t="shared" si="51"/>
        <v>0</v>
      </c>
      <c r="K605">
        <f t="shared" si="51"/>
        <v>0</v>
      </c>
      <c r="M605" t="str" cm="1">
        <f t="array" ref="M605">IFERROR(INDEX($I$2:$K$2,0,MATCH(TRUE,I605:K605,0)),E605)</f>
        <v>CCGT</v>
      </c>
      <c r="O605" t="str">
        <f t="shared" si="48"/>
        <v>CCGT_2034</v>
      </c>
      <c r="P605">
        <f t="shared" si="49"/>
        <v>444</v>
      </c>
    </row>
    <row r="606" spans="4:16" x14ac:dyDescent="0.25">
      <c r="D606">
        <v>2035</v>
      </c>
      <c r="E606" t="s">
        <v>123</v>
      </c>
      <c r="F606" t="s">
        <v>176</v>
      </c>
      <c r="G606">
        <v>444</v>
      </c>
      <c r="I606">
        <f t="shared" si="51"/>
        <v>0</v>
      </c>
      <c r="J606">
        <f t="shared" si="51"/>
        <v>0</v>
      </c>
      <c r="K606">
        <f t="shared" si="51"/>
        <v>0</v>
      </c>
      <c r="M606" t="str" cm="1">
        <f t="array" ref="M606">IFERROR(INDEX($I$2:$K$2,0,MATCH(TRUE,I606:K606,0)),E606)</f>
        <v>CCGT</v>
      </c>
      <c r="O606" t="str">
        <f t="shared" si="48"/>
        <v>CCGT_2035</v>
      </c>
      <c r="P606">
        <f t="shared" si="49"/>
        <v>444</v>
      </c>
    </row>
    <row r="607" spans="4:16" x14ac:dyDescent="0.25">
      <c r="D607">
        <v>2036</v>
      </c>
      <c r="E607" t="s">
        <v>123</v>
      </c>
      <c r="F607" t="s">
        <v>176</v>
      </c>
      <c r="G607">
        <v>444</v>
      </c>
      <c r="I607">
        <f t="shared" si="51"/>
        <v>0</v>
      </c>
      <c r="J607">
        <f t="shared" si="51"/>
        <v>0</v>
      </c>
      <c r="K607">
        <f t="shared" si="51"/>
        <v>0</v>
      </c>
      <c r="M607" t="str" cm="1">
        <f t="array" ref="M607">IFERROR(INDEX($I$2:$K$2,0,MATCH(TRUE,I607:K607,0)),E607)</f>
        <v>CCGT</v>
      </c>
      <c r="O607" t="str">
        <f t="shared" si="48"/>
        <v>CCGT_2036</v>
      </c>
      <c r="P607">
        <f t="shared" si="49"/>
        <v>444</v>
      </c>
    </row>
    <row r="608" spans="4:16" x14ac:dyDescent="0.25">
      <c r="D608">
        <v>2037</v>
      </c>
      <c r="E608" t="s">
        <v>123</v>
      </c>
      <c r="F608" t="s">
        <v>176</v>
      </c>
      <c r="G608">
        <v>444</v>
      </c>
      <c r="I608">
        <f t="shared" si="51"/>
        <v>0</v>
      </c>
      <c r="J608">
        <f t="shared" si="51"/>
        <v>0</v>
      </c>
      <c r="K608">
        <f t="shared" si="51"/>
        <v>0</v>
      </c>
      <c r="M608" t="str" cm="1">
        <f t="array" ref="M608">IFERROR(INDEX($I$2:$K$2,0,MATCH(TRUE,I608:K608,0)),E608)</f>
        <v>CCGT</v>
      </c>
      <c r="O608" t="str">
        <f t="shared" si="48"/>
        <v>CCGT_2037</v>
      </c>
      <c r="P608">
        <f t="shared" si="49"/>
        <v>444</v>
      </c>
    </row>
    <row r="609" spans="4:16" x14ac:dyDescent="0.25">
      <c r="D609">
        <v>2038</v>
      </c>
      <c r="E609" t="s">
        <v>123</v>
      </c>
      <c r="F609" t="s">
        <v>176</v>
      </c>
      <c r="G609">
        <v>444</v>
      </c>
      <c r="I609">
        <f t="shared" si="51"/>
        <v>0</v>
      </c>
      <c r="J609">
        <f t="shared" si="51"/>
        <v>0</v>
      </c>
      <c r="K609">
        <f t="shared" si="51"/>
        <v>0</v>
      </c>
      <c r="M609" t="str" cm="1">
        <f t="array" ref="M609">IFERROR(INDEX($I$2:$K$2,0,MATCH(TRUE,I609:K609,0)),E609)</f>
        <v>CCGT</v>
      </c>
      <c r="O609" t="str">
        <f t="shared" si="48"/>
        <v>CCGT_2038</v>
      </c>
      <c r="P609">
        <f t="shared" si="49"/>
        <v>444</v>
      </c>
    </row>
    <row r="610" spans="4:16" x14ac:dyDescent="0.25">
      <c r="D610">
        <v>2039</v>
      </c>
      <c r="E610" t="s">
        <v>123</v>
      </c>
      <c r="F610" t="s">
        <v>176</v>
      </c>
      <c r="G610">
        <v>444</v>
      </c>
      <c r="I610">
        <f t="shared" si="51"/>
        <v>0</v>
      </c>
      <c r="J610">
        <f t="shared" si="51"/>
        <v>0</v>
      </c>
      <c r="K610">
        <f t="shared" si="51"/>
        <v>0</v>
      </c>
      <c r="M610" t="str" cm="1">
        <f t="array" ref="M610">IFERROR(INDEX($I$2:$K$2,0,MATCH(TRUE,I610:K610,0)),E610)</f>
        <v>CCGT</v>
      </c>
      <c r="O610" t="str">
        <f t="shared" si="48"/>
        <v>CCGT_2039</v>
      </c>
      <c r="P610">
        <f t="shared" si="49"/>
        <v>444</v>
      </c>
    </row>
    <row r="611" spans="4:16" x14ac:dyDescent="0.25">
      <c r="D611">
        <v>2040</v>
      </c>
      <c r="E611" t="s">
        <v>123</v>
      </c>
      <c r="F611" t="s">
        <v>176</v>
      </c>
      <c r="G611">
        <v>444</v>
      </c>
      <c r="I611">
        <f t="shared" si="51"/>
        <v>0</v>
      </c>
      <c r="J611">
        <f t="shared" si="51"/>
        <v>0</v>
      </c>
      <c r="K611">
        <f t="shared" si="51"/>
        <v>0</v>
      </c>
      <c r="M611" t="str" cm="1">
        <f t="array" ref="M611">IFERROR(INDEX($I$2:$K$2,0,MATCH(TRUE,I611:K611,0)),E611)</f>
        <v>CCGT</v>
      </c>
      <c r="O611" t="str">
        <f t="shared" si="48"/>
        <v>CCGT_2040</v>
      </c>
      <c r="P611">
        <f t="shared" si="49"/>
        <v>444</v>
      </c>
    </row>
    <row r="612" spans="4:16" x14ac:dyDescent="0.25">
      <c r="D612">
        <v>2021</v>
      </c>
      <c r="E612" t="s">
        <v>123</v>
      </c>
      <c r="F612" t="s">
        <v>177</v>
      </c>
      <c r="G612">
        <v>94.5</v>
      </c>
      <c r="I612">
        <f t="shared" si="51"/>
        <v>0</v>
      </c>
      <c r="J612">
        <f t="shared" si="51"/>
        <v>0</v>
      </c>
      <c r="K612">
        <f t="shared" si="51"/>
        <v>0</v>
      </c>
      <c r="M612" t="str" cm="1">
        <f t="array" ref="M612">IFERROR(INDEX($I$2:$K$2,0,MATCH(TRUE,I612:K612,0)),E612)</f>
        <v>CCGT</v>
      </c>
      <c r="O612" t="str">
        <f t="shared" si="48"/>
        <v>CCGT_2021</v>
      </c>
      <c r="P612">
        <f t="shared" si="49"/>
        <v>94.5</v>
      </c>
    </row>
    <row r="613" spans="4:16" x14ac:dyDescent="0.25">
      <c r="D613">
        <v>2022</v>
      </c>
      <c r="E613" t="s">
        <v>123</v>
      </c>
      <c r="F613" t="s">
        <v>177</v>
      </c>
      <c r="G613">
        <v>94.5</v>
      </c>
      <c r="I613">
        <f t="shared" si="51"/>
        <v>0</v>
      </c>
      <c r="J613">
        <f t="shared" si="51"/>
        <v>0</v>
      </c>
      <c r="K613">
        <f t="shared" si="51"/>
        <v>0</v>
      </c>
      <c r="M613" t="str" cm="1">
        <f t="array" ref="M613">IFERROR(INDEX($I$2:$K$2,0,MATCH(TRUE,I613:K613,0)),E613)</f>
        <v>CCGT</v>
      </c>
      <c r="O613" t="str">
        <f t="shared" si="48"/>
        <v>CCGT_2022</v>
      </c>
      <c r="P613">
        <f t="shared" si="49"/>
        <v>94.5</v>
      </c>
    </row>
    <row r="614" spans="4:16" x14ac:dyDescent="0.25">
      <c r="D614">
        <v>2023</v>
      </c>
      <c r="E614" t="s">
        <v>123</v>
      </c>
      <c r="F614" t="s">
        <v>177</v>
      </c>
      <c r="G614">
        <v>94.5</v>
      </c>
      <c r="I614">
        <f t="shared" si="51"/>
        <v>0</v>
      </c>
      <c r="J614">
        <f t="shared" si="51"/>
        <v>0</v>
      </c>
      <c r="K614">
        <f t="shared" si="51"/>
        <v>0</v>
      </c>
      <c r="M614" t="str" cm="1">
        <f t="array" ref="M614">IFERROR(INDEX($I$2:$K$2,0,MATCH(TRUE,I614:K614,0)),E614)</f>
        <v>CCGT</v>
      </c>
      <c r="O614" t="str">
        <f t="shared" si="48"/>
        <v>CCGT_2023</v>
      </c>
      <c r="P614">
        <f t="shared" si="49"/>
        <v>94.5</v>
      </c>
    </row>
    <row r="615" spans="4:16" x14ac:dyDescent="0.25">
      <c r="D615">
        <v>2024</v>
      </c>
      <c r="E615" t="s">
        <v>123</v>
      </c>
      <c r="F615" t="s">
        <v>177</v>
      </c>
      <c r="G615">
        <v>94.5</v>
      </c>
      <c r="I615">
        <f t="shared" si="51"/>
        <v>0</v>
      </c>
      <c r="J615">
        <f t="shared" si="51"/>
        <v>0</v>
      </c>
      <c r="K615">
        <f t="shared" si="51"/>
        <v>0</v>
      </c>
      <c r="M615" t="str" cm="1">
        <f t="array" ref="M615">IFERROR(INDEX($I$2:$K$2,0,MATCH(TRUE,I615:K615,0)),E615)</f>
        <v>CCGT</v>
      </c>
      <c r="O615" t="str">
        <f t="shared" si="48"/>
        <v>CCGT_2024</v>
      </c>
      <c r="P615">
        <f t="shared" si="49"/>
        <v>94.5</v>
      </c>
    </row>
    <row r="616" spans="4:16" x14ac:dyDescent="0.25">
      <c r="D616">
        <v>2025</v>
      </c>
      <c r="E616" t="s">
        <v>123</v>
      </c>
      <c r="F616" t="s">
        <v>177</v>
      </c>
      <c r="G616">
        <v>94.5</v>
      </c>
      <c r="I616">
        <f t="shared" si="51"/>
        <v>0</v>
      </c>
      <c r="J616">
        <f t="shared" si="51"/>
        <v>0</v>
      </c>
      <c r="K616">
        <f t="shared" si="51"/>
        <v>0</v>
      </c>
      <c r="M616" t="str" cm="1">
        <f t="array" ref="M616">IFERROR(INDEX($I$2:$K$2,0,MATCH(TRUE,I616:K616,0)),E616)</f>
        <v>CCGT</v>
      </c>
      <c r="O616" t="str">
        <f t="shared" si="48"/>
        <v>CCGT_2025</v>
      </c>
      <c r="P616">
        <f t="shared" si="49"/>
        <v>94.5</v>
      </c>
    </row>
    <row r="617" spans="4:16" x14ac:dyDescent="0.25">
      <c r="D617">
        <v>2026</v>
      </c>
      <c r="E617" t="s">
        <v>123</v>
      </c>
      <c r="F617" t="s">
        <v>177</v>
      </c>
      <c r="G617">
        <v>94.5</v>
      </c>
      <c r="I617">
        <f t="shared" si="51"/>
        <v>0</v>
      </c>
      <c r="J617">
        <f t="shared" si="51"/>
        <v>0</v>
      </c>
      <c r="K617">
        <f t="shared" si="51"/>
        <v>0</v>
      </c>
      <c r="M617" t="str" cm="1">
        <f t="array" ref="M617">IFERROR(INDEX($I$2:$K$2,0,MATCH(TRUE,I617:K617,0)),E617)</f>
        <v>CCGT</v>
      </c>
      <c r="O617" t="str">
        <f t="shared" si="48"/>
        <v>CCGT_2026</v>
      </c>
      <c r="P617">
        <f t="shared" si="49"/>
        <v>94.5</v>
      </c>
    </row>
    <row r="618" spans="4:16" x14ac:dyDescent="0.25">
      <c r="D618">
        <v>2027</v>
      </c>
      <c r="E618" t="s">
        <v>123</v>
      </c>
      <c r="F618" t="s">
        <v>177</v>
      </c>
      <c r="G618">
        <v>94.5</v>
      </c>
      <c r="I618">
        <f t="shared" si="51"/>
        <v>0</v>
      </c>
      <c r="J618">
        <f t="shared" si="51"/>
        <v>0</v>
      </c>
      <c r="K618">
        <f t="shared" si="51"/>
        <v>0</v>
      </c>
      <c r="M618" t="str" cm="1">
        <f t="array" ref="M618">IFERROR(INDEX($I$2:$K$2,0,MATCH(TRUE,I618:K618,0)),E618)</f>
        <v>CCGT</v>
      </c>
      <c r="O618" t="str">
        <f t="shared" si="48"/>
        <v>CCGT_2027</v>
      </c>
      <c r="P618">
        <f t="shared" si="49"/>
        <v>94.5</v>
      </c>
    </row>
    <row r="619" spans="4:16" x14ac:dyDescent="0.25">
      <c r="D619">
        <v>2028</v>
      </c>
      <c r="E619" t="s">
        <v>123</v>
      </c>
      <c r="F619" t="s">
        <v>177</v>
      </c>
      <c r="G619">
        <v>94.5</v>
      </c>
      <c r="I619">
        <f t="shared" si="51"/>
        <v>0</v>
      </c>
      <c r="J619">
        <f t="shared" si="51"/>
        <v>0</v>
      </c>
      <c r="K619">
        <f t="shared" si="51"/>
        <v>0</v>
      </c>
      <c r="M619" t="str" cm="1">
        <f t="array" ref="M619">IFERROR(INDEX($I$2:$K$2,0,MATCH(TRUE,I619:K619,0)),E619)</f>
        <v>CCGT</v>
      </c>
      <c r="O619" t="str">
        <f t="shared" si="48"/>
        <v>CCGT_2028</v>
      </c>
      <c r="P619">
        <f t="shared" si="49"/>
        <v>94.5</v>
      </c>
    </row>
    <row r="620" spans="4:16" x14ac:dyDescent="0.25">
      <c r="D620">
        <v>2029</v>
      </c>
      <c r="E620" t="s">
        <v>123</v>
      </c>
      <c r="F620" t="s">
        <v>177</v>
      </c>
      <c r="G620">
        <v>94.5</v>
      </c>
      <c r="I620">
        <f t="shared" si="51"/>
        <v>0</v>
      </c>
      <c r="J620">
        <f t="shared" si="51"/>
        <v>0</v>
      </c>
      <c r="K620">
        <f t="shared" si="51"/>
        <v>0</v>
      </c>
      <c r="M620" t="str" cm="1">
        <f t="array" ref="M620">IFERROR(INDEX($I$2:$K$2,0,MATCH(TRUE,I620:K620,0)),E620)</f>
        <v>CCGT</v>
      </c>
      <c r="O620" t="str">
        <f t="shared" si="48"/>
        <v>CCGT_2029</v>
      </c>
      <c r="P620">
        <f t="shared" si="49"/>
        <v>94.5</v>
      </c>
    </row>
    <row r="621" spans="4:16" x14ac:dyDescent="0.25">
      <c r="D621">
        <v>2030</v>
      </c>
      <c r="E621" t="s">
        <v>123</v>
      </c>
      <c r="F621" t="s">
        <v>177</v>
      </c>
      <c r="G621">
        <v>94.5</v>
      </c>
      <c r="I621">
        <f t="shared" si="51"/>
        <v>0</v>
      </c>
      <c r="J621">
        <f t="shared" si="51"/>
        <v>0</v>
      </c>
      <c r="K621">
        <f t="shared" si="51"/>
        <v>0</v>
      </c>
      <c r="M621" t="str" cm="1">
        <f t="array" ref="M621">IFERROR(INDEX($I$2:$K$2,0,MATCH(TRUE,I621:K621,0)),E621)</f>
        <v>CCGT</v>
      </c>
      <c r="O621" t="str">
        <f t="shared" si="48"/>
        <v>CCGT_2030</v>
      </c>
      <c r="P621">
        <f t="shared" si="49"/>
        <v>94.5</v>
      </c>
    </row>
    <row r="622" spans="4:16" x14ac:dyDescent="0.25">
      <c r="D622">
        <v>2031</v>
      </c>
      <c r="E622" t="s">
        <v>123</v>
      </c>
      <c r="F622" t="s">
        <v>177</v>
      </c>
      <c r="G622">
        <v>94.5</v>
      </c>
      <c r="I622">
        <f t="shared" si="51"/>
        <v>0</v>
      </c>
      <c r="J622">
        <f t="shared" si="51"/>
        <v>0</v>
      </c>
      <c r="K622">
        <f t="shared" si="51"/>
        <v>0</v>
      </c>
      <c r="M622" t="str" cm="1">
        <f t="array" ref="M622">IFERROR(INDEX($I$2:$K$2,0,MATCH(TRUE,I622:K622,0)),E622)</f>
        <v>CCGT</v>
      </c>
      <c r="O622" t="str">
        <f t="shared" si="48"/>
        <v>CCGT_2031</v>
      </c>
      <c r="P622">
        <f t="shared" si="49"/>
        <v>94.5</v>
      </c>
    </row>
    <row r="623" spans="4:16" x14ac:dyDescent="0.25">
      <c r="D623">
        <v>2032</v>
      </c>
      <c r="E623" t="s">
        <v>123</v>
      </c>
      <c r="F623" t="s">
        <v>177</v>
      </c>
      <c r="G623">
        <v>94.5</v>
      </c>
      <c r="I623">
        <f t="shared" si="51"/>
        <v>0</v>
      </c>
      <c r="J623">
        <f t="shared" si="51"/>
        <v>0</v>
      </c>
      <c r="K623">
        <f t="shared" si="51"/>
        <v>0</v>
      </c>
      <c r="M623" t="str" cm="1">
        <f t="array" ref="M623">IFERROR(INDEX($I$2:$K$2,0,MATCH(TRUE,I623:K623,0)),E623)</f>
        <v>CCGT</v>
      </c>
      <c r="O623" t="str">
        <f t="shared" si="48"/>
        <v>CCGT_2032</v>
      </c>
      <c r="P623">
        <f t="shared" si="49"/>
        <v>94.5</v>
      </c>
    </row>
    <row r="624" spans="4:16" x14ac:dyDescent="0.25">
      <c r="D624">
        <v>2033</v>
      </c>
      <c r="E624" t="s">
        <v>123</v>
      </c>
      <c r="F624" t="s">
        <v>177</v>
      </c>
      <c r="G624">
        <v>94.5</v>
      </c>
      <c r="I624">
        <f t="shared" ref="I624:K643" si="52">IFERROR(FIND(I$2,$E624,1)&gt;0,0)</f>
        <v>0</v>
      </c>
      <c r="J624">
        <f t="shared" si="52"/>
        <v>0</v>
      </c>
      <c r="K624">
        <f t="shared" si="52"/>
        <v>0</v>
      </c>
      <c r="M624" t="str" cm="1">
        <f t="array" ref="M624">IFERROR(INDEX($I$2:$K$2,0,MATCH(TRUE,I624:K624,0)),E624)</f>
        <v>CCGT</v>
      </c>
      <c r="O624" t="str">
        <f t="shared" si="48"/>
        <v>CCGT_2033</v>
      </c>
      <c r="P624">
        <f t="shared" si="49"/>
        <v>94.5</v>
      </c>
    </row>
    <row r="625" spans="4:16" x14ac:dyDescent="0.25">
      <c r="D625">
        <v>2034</v>
      </c>
      <c r="E625" t="s">
        <v>123</v>
      </c>
      <c r="F625" t="s">
        <v>177</v>
      </c>
      <c r="G625">
        <v>94.5</v>
      </c>
      <c r="I625">
        <f t="shared" si="52"/>
        <v>0</v>
      </c>
      <c r="J625">
        <f t="shared" si="52"/>
        <v>0</v>
      </c>
      <c r="K625">
        <f t="shared" si="52"/>
        <v>0</v>
      </c>
      <c r="M625" t="str" cm="1">
        <f t="array" ref="M625">IFERROR(INDEX($I$2:$K$2,0,MATCH(TRUE,I625:K625,0)),E625)</f>
        <v>CCGT</v>
      </c>
      <c r="O625" t="str">
        <f t="shared" si="48"/>
        <v>CCGT_2034</v>
      </c>
      <c r="P625">
        <f t="shared" si="49"/>
        <v>94.5</v>
      </c>
    </row>
    <row r="626" spans="4:16" x14ac:dyDescent="0.25">
      <c r="D626">
        <v>2035</v>
      </c>
      <c r="E626" t="s">
        <v>123</v>
      </c>
      <c r="F626" t="s">
        <v>177</v>
      </c>
      <c r="G626">
        <v>94.5</v>
      </c>
      <c r="I626">
        <f t="shared" si="52"/>
        <v>0</v>
      </c>
      <c r="J626">
        <f t="shared" si="52"/>
        <v>0</v>
      </c>
      <c r="K626">
        <f t="shared" si="52"/>
        <v>0</v>
      </c>
      <c r="M626" t="str" cm="1">
        <f t="array" ref="M626">IFERROR(INDEX($I$2:$K$2,0,MATCH(TRUE,I626:K626,0)),E626)</f>
        <v>CCGT</v>
      </c>
      <c r="O626" t="str">
        <f t="shared" si="48"/>
        <v>CCGT_2035</v>
      </c>
      <c r="P626">
        <f t="shared" si="49"/>
        <v>94.5</v>
      </c>
    </row>
    <row r="627" spans="4:16" x14ac:dyDescent="0.25">
      <c r="D627">
        <v>2036</v>
      </c>
      <c r="E627" t="s">
        <v>123</v>
      </c>
      <c r="F627" t="s">
        <v>177</v>
      </c>
      <c r="G627">
        <v>94.5</v>
      </c>
      <c r="I627">
        <f t="shared" si="52"/>
        <v>0</v>
      </c>
      <c r="J627">
        <f t="shared" si="52"/>
        <v>0</v>
      </c>
      <c r="K627">
        <f t="shared" si="52"/>
        <v>0</v>
      </c>
      <c r="M627" t="str" cm="1">
        <f t="array" ref="M627">IFERROR(INDEX($I$2:$K$2,0,MATCH(TRUE,I627:K627,0)),E627)</f>
        <v>CCGT</v>
      </c>
      <c r="O627" t="str">
        <f t="shared" si="48"/>
        <v>CCGT_2036</v>
      </c>
      <c r="P627">
        <f t="shared" si="49"/>
        <v>94.5</v>
      </c>
    </row>
    <row r="628" spans="4:16" x14ac:dyDescent="0.25">
      <c r="D628">
        <v>2037</v>
      </c>
      <c r="E628" t="s">
        <v>123</v>
      </c>
      <c r="F628" t="s">
        <v>177</v>
      </c>
      <c r="G628">
        <v>94.5</v>
      </c>
      <c r="I628">
        <f t="shared" si="52"/>
        <v>0</v>
      </c>
      <c r="J628">
        <f t="shared" si="52"/>
        <v>0</v>
      </c>
      <c r="K628">
        <f t="shared" si="52"/>
        <v>0</v>
      </c>
      <c r="M628" t="str" cm="1">
        <f t="array" ref="M628">IFERROR(INDEX($I$2:$K$2,0,MATCH(TRUE,I628:K628,0)),E628)</f>
        <v>CCGT</v>
      </c>
      <c r="O628" t="str">
        <f t="shared" si="48"/>
        <v>CCGT_2037</v>
      </c>
      <c r="P628">
        <f t="shared" si="49"/>
        <v>94.5</v>
      </c>
    </row>
    <row r="629" spans="4:16" x14ac:dyDescent="0.25">
      <c r="D629">
        <v>2038</v>
      </c>
      <c r="E629" t="s">
        <v>123</v>
      </c>
      <c r="F629" t="s">
        <v>177</v>
      </c>
      <c r="G629">
        <v>94.5</v>
      </c>
      <c r="I629">
        <f t="shared" si="52"/>
        <v>0</v>
      </c>
      <c r="J629">
        <f t="shared" si="52"/>
        <v>0</v>
      </c>
      <c r="K629">
        <f t="shared" si="52"/>
        <v>0</v>
      </c>
      <c r="M629" t="str" cm="1">
        <f t="array" ref="M629">IFERROR(INDEX($I$2:$K$2,0,MATCH(TRUE,I629:K629,0)),E629)</f>
        <v>CCGT</v>
      </c>
      <c r="O629" t="str">
        <f t="shared" si="48"/>
        <v>CCGT_2038</v>
      </c>
      <c r="P629">
        <f t="shared" si="49"/>
        <v>94.5</v>
      </c>
    </row>
    <row r="630" spans="4:16" x14ac:dyDescent="0.25">
      <c r="D630">
        <v>2039</v>
      </c>
      <c r="E630" t="s">
        <v>123</v>
      </c>
      <c r="F630" t="s">
        <v>177</v>
      </c>
      <c r="G630">
        <v>94.5</v>
      </c>
      <c r="I630">
        <f t="shared" si="52"/>
        <v>0</v>
      </c>
      <c r="J630">
        <f t="shared" si="52"/>
        <v>0</v>
      </c>
      <c r="K630">
        <f t="shared" si="52"/>
        <v>0</v>
      </c>
      <c r="M630" t="str" cm="1">
        <f t="array" ref="M630">IFERROR(INDEX($I$2:$K$2,0,MATCH(TRUE,I630:K630,0)),E630)</f>
        <v>CCGT</v>
      </c>
      <c r="O630" t="str">
        <f t="shared" si="48"/>
        <v>CCGT_2039</v>
      </c>
      <c r="P630">
        <f t="shared" si="49"/>
        <v>94.5</v>
      </c>
    </row>
    <row r="631" spans="4:16" x14ac:dyDescent="0.25">
      <c r="D631">
        <v>2040</v>
      </c>
      <c r="E631" t="s">
        <v>123</v>
      </c>
      <c r="F631" t="s">
        <v>177</v>
      </c>
      <c r="G631">
        <v>94.5</v>
      </c>
      <c r="I631">
        <f t="shared" si="52"/>
        <v>0</v>
      </c>
      <c r="J631">
        <f t="shared" si="52"/>
        <v>0</v>
      </c>
      <c r="K631">
        <f t="shared" si="52"/>
        <v>0</v>
      </c>
      <c r="M631" t="str" cm="1">
        <f t="array" ref="M631">IFERROR(INDEX($I$2:$K$2,0,MATCH(TRUE,I631:K631,0)),E631)</f>
        <v>CCGT</v>
      </c>
      <c r="O631" t="str">
        <f t="shared" si="48"/>
        <v>CCGT_2040</v>
      </c>
      <c r="P631">
        <f t="shared" si="49"/>
        <v>94.5</v>
      </c>
    </row>
    <row r="632" spans="4:16" x14ac:dyDescent="0.25">
      <c r="D632">
        <v>2021</v>
      </c>
      <c r="E632" t="s">
        <v>123</v>
      </c>
      <c r="F632" t="s">
        <v>178</v>
      </c>
      <c r="G632">
        <v>74</v>
      </c>
      <c r="I632">
        <f t="shared" si="52"/>
        <v>0</v>
      </c>
      <c r="J632">
        <f t="shared" si="52"/>
        <v>0</v>
      </c>
      <c r="K632">
        <f t="shared" si="52"/>
        <v>0</v>
      </c>
      <c r="M632" t="str" cm="1">
        <f t="array" ref="M632">IFERROR(INDEX($I$2:$K$2,0,MATCH(TRUE,I632:K632,0)),E632)</f>
        <v>CCGT</v>
      </c>
      <c r="O632" t="str">
        <f t="shared" si="48"/>
        <v>CCGT_2021</v>
      </c>
      <c r="P632">
        <f t="shared" si="49"/>
        <v>74</v>
      </c>
    </row>
    <row r="633" spans="4:16" x14ac:dyDescent="0.25">
      <c r="D633">
        <v>2022</v>
      </c>
      <c r="E633" t="s">
        <v>123</v>
      </c>
      <c r="F633" t="s">
        <v>178</v>
      </c>
      <c r="G633">
        <v>74</v>
      </c>
      <c r="I633">
        <f t="shared" si="52"/>
        <v>0</v>
      </c>
      <c r="J633">
        <f t="shared" si="52"/>
        <v>0</v>
      </c>
      <c r="K633">
        <f t="shared" si="52"/>
        <v>0</v>
      </c>
      <c r="M633" t="str" cm="1">
        <f t="array" ref="M633">IFERROR(INDEX($I$2:$K$2,0,MATCH(TRUE,I633:K633,0)),E633)</f>
        <v>CCGT</v>
      </c>
      <c r="O633" t="str">
        <f t="shared" si="48"/>
        <v>CCGT_2022</v>
      </c>
      <c r="P633">
        <f t="shared" si="49"/>
        <v>74</v>
      </c>
    </row>
    <row r="634" spans="4:16" x14ac:dyDescent="0.25">
      <c r="D634">
        <v>2023</v>
      </c>
      <c r="E634" t="s">
        <v>123</v>
      </c>
      <c r="F634" t="s">
        <v>178</v>
      </c>
      <c r="G634">
        <v>74</v>
      </c>
      <c r="I634">
        <f t="shared" si="52"/>
        <v>0</v>
      </c>
      <c r="J634">
        <f t="shared" si="52"/>
        <v>0</v>
      </c>
      <c r="K634">
        <f t="shared" si="52"/>
        <v>0</v>
      </c>
      <c r="M634" t="str" cm="1">
        <f t="array" ref="M634">IFERROR(INDEX($I$2:$K$2,0,MATCH(TRUE,I634:K634,0)),E634)</f>
        <v>CCGT</v>
      </c>
      <c r="O634" t="str">
        <f t="shared" si="48"/>
        <v>CCGT_2023</v>
      </c>
      <c r="P634">
        <f t="shared" si="49"/>
        <v>74</v>
      </c>
    </row>
    <row r="635" spans="4:16" x14ac:dyDescent="0.25">
      <c r="D635">
        <v>2024</v>
      </c>
      <c r="E635" t="s">
        <v>123</v>
      </c>
      <c r="F635" t="s">
        <v>178</v>
      </c>
      <c r="G635">
        <v>74</v>
      </c>
      <c r="I635">
        <f t="shared" si="52"/>
        <v>0</v>
      </c>
      <c r="J635">
        <f t="shared" si="52"/>
        <v>0</v>
      </c>
      <c r="K635">
        <f t="shared" si="52"/>
        <v>0</v>
      </c>
      <c r="M635" t="str" cm="1">
        <f t="array" ref="M635">IFERROR(INDEX($I$2:$K$2,0,MATCH(TRUE,I635:K635,0)),E635)</f>
        <v>CCGT</v>
      </c>
      <c r="O635" t="str">
        <f t="shared" si="48"/>
        <v>CCGT_2024</v>
      </c>
      <c r="P635">
        <f t="shared" si="49"/>
        <v>74</v>
      </c>
    </row>
    <row r="636" spans="4:16" x14ac:dyDescent="0.25">
      <c r="D636">
        <v>2025</v>
      </c>
      <c r="E636" t="s">
        <v>123</v>
      </c>
      <c r="F636" t="s">
        <v>178</v>
      </c>
      <c r="G636">
        <v>74</v>
      </c>
      <c r="I636">
        <f t="shared" si="52"/>
        <v>0</v>
      </c>
      <c r="J636">
        <f t="shared" si="52"/>
        <v>0</v>
      </c>
      <c r="K636">
        <f t="shared" si="52"/>
        <v>0</v>
      </c>
      <c r="M636" t="str" cm="1">
        <f t="array" ref="M636">IFERROR(INDEX($I$2:$K$2,0,MATCH(TRUE,I636:K636,0)),E636)</f>
        <v>CCGT</v>
      </c>
      <c r="O636" t="str">
        <f t="shared" si="48"/>
        <v>CCGT_2025</v>
      </c>
      <c r="P636">
        <f t="shared" si="49"/>
        <v>74</v>
      </c>
    </row>
    <row r="637" spans="4:16" x14ac:dyDescent="0.25">
      <c r="D637">
        <v>2026</v>
      </c>
      <c r="E637" t="s">
        <v>123</v>
      </c>
      <c r="F637" t="s">
        <v>178</v>
      </c>
      <c r="G637">
        <v>74</v>
      </c>
      <c r="I637">
        <f t="shared" si="52"/>
        <v>0</v>
      </c>
      <c r="J637">
        <f t="shared" si="52"/>
        <v>0</v>
      </c>
      <c r="K637">
        <f t="shared" si="52"/>
        <v>0</v>
      </c>
      <c r="M637" t="str" cm="1">
        <f t="array" ref="M637">IFERROR(INDEX($I$2:$K$2,0,MATCH(TRUE,I637:K637,0)),E637)</f>
        <v>CCGT</v>
      </c>
      <c r="O637" t="str">
        <f t="shared" si="48"/>
        <v>CCGT_2026</v>
      </c>
      <c r="P637">
        <f t="shared" si="49"/>
        <v>74</v>
      </c>
    </row>
    <row r="638" spans="4:16" x14ac:dyDescent="0.25">
      <c r="D638">
        <v>2027</v>
      </c>
      <c r="E638" t="s">
        <v>123</v>
      </c>
      <c r="F638" t="s">
        <v>178</v>
      </c>
      <c r="G638">
        <v>74</v>
      </c>
      <c r="I638">
        <f t="shared" si="52"/>
        <v>0</v>
      </c>
      <c r="J638">
        <f t="shared" si="52"/>
        <v>0</v>
      </c>
      <c r="K638">
        <f t="shared" si="52"/>
        <v>0</v>
      </c>
      <c r="M638" t="str" cm="1">
        <f t="array" ref="M638">IFERROR(INDEX($I$2:$K$2,0,MATCH(TRUE,I638:K638,0)),E638)</f>
        <v>CCGT</v>
      </c>
      <c r="O638" t="str">
        <f t="shared" si="48"/>
        <v>CCGT_2027</v>
      </c>
      <c r="P638">
        <f t="shared" si="49"/>
        <v>74</v>
      </c>
    </row>
    <row r="639" spans="4:16" x14ac:dyDescent="0.25">
      <c r="D639">
        <v>2028</v>
      </c>
      <c r="E639" t="s">
        <v>123</v>
      </c>
      <c r="F639" t="s">
        <v>178</v>
      </c>
      <c r="G639">
        <v>74</v>
      </c>
      <c r="I639">
        <f t="shared" si="52"/>
        <v>0</v>
      </c>
      <c r="J639">
        <f t="shared" si="52"/>
        <v>0</v>
      </c>
      <c r="K639">
        <f t="shared" si="52"/>
        <v>0</v>
      </c>
      <c r="M639" t="str" cm="1">
        <f t="array" ref="M639">IFERROR(INDEX($I$2:$K$2,0,MATCH(TRUE,I639:K639,0)),E639)</f>
        <v>CCGT</v>
      </c>
      <c r="O639" t="str">
        <f t="shared" si="48"/>
        <v>CCGT_2028</v>
      </c>
      <c r="P639">
        <f t="shared" si="49"/>
        <v>74</v>
      </c>
    </row>
    <row r="640" spans="4:16" x14ac:dyDescent="0.25">
      <c r="D640">
        <v>2029</v>
      </c>
      <c r="E640" t="s">
        <v>123</v>
      </c>
      <c r="F640" t="s">
        <v>178</v>
      </c>
      <c r="G640">
        <v>74</v>
      </c>
      <c r="I640">
        <f t="shared" si="52"/>
        <v>0</v>
      </c>
      <c r="J640">
        <f t="shared" si="52"/>
        <v>0</v>
      </c>
      <c r="K640">
        <f t="shared" si="52"/>
        <v>0</v>
      </c>
      <c r="M640" t="str" cm="1">
        <f t="array" ref="M640">IFERROR(INDEX($I$2:$K$2,0,MATCH(TRUE,I640:K640,0)),E640)</f>
        <v>CCGT</v>
      </c>
      <c r="O640" t="str">
        <f t="shared" si="48"/>
        <v>CCGT_2029</v>
      </c>
      <c r="P640">
        <f t="shared" si="49"/>
        <v>74</v>
      </c>
    </row>
    <row r="641" spans="4:16" x14ac:dyDescent="0.25">
      <c r="D641">
        <v>2030</v>
      </c>
      <c r="E641" t="s">
        <v>123</v>
      </c>
      <c r="F641" t="s">
        <v>178</v>
      </c>
      <c r="G641">
        <v>74</v>
      </c>
      <c r="I641">
        <f t="shared" si="52"/>
        <v>0</v>
      </c>
      <c r="J641">
        <f t="shared" si="52"/>
        <v>0</v>
      </c>
      <c r="K641">
        <f t="shared" si="52"/>
        <v>0</v>
      </c>
      <c r="M641" t="str" cm="1">
        <f t="array" ref="M641">IFERROR(INDEX($I$2:$K$2,0,MATCH(TRUE,I641:K641,0)),E641)</f>
        <v>CCGT</v>
      </c>
      <c r="O641" t="str">
        <f t="shared" si="48"/>
        <v>CCGT_2030</v>
      </c>
      <c r="P641">
        <f t="shared" si="49"/>
        <v>74</v>
      </c>
    </row>
    <row r="642" spans="4:16" x14ac:dyDescent="0.25">
      <c r="D642">
        <v>2031</v>
      </c>
      <c r="E642" t="s">
        <v>123</v>
      </c>
      <c r="F642" t="s">
        <v>178</v>
      </c>
      <c r="G642">
        <v>74</v>
      </c>
      <c r="I642">
        <f t="shared" si="52"/>
        <v>0</v>
      </c>
      <c r="J642">
        <f t="shared" si="52"/>
        <v>0</v>
      </c>
      <c r="K642">
        <f t="shared" si="52"/>
        <v>0</v>
      </c>
      <c r="M642" t="str" cm="1">
        <f t="array" ref="M642">IFERROR(INDEX($I$2:$K$2,0,MATCH(TRUE,I642:K642,0)),E642)</f>
        <v>CCGT</v>
      </c>
      <c r="O642" t="str">
        <f t="shared" si="48"/>
        <v>CCGT_2031</v>
      </c>
      <c r="P642">
        <f t="shared" si="49"/>
        <v>74</v>
      </c>
    </row>
    <row r="643" spans="4:16" x14ac:dyDescent="0.25">
      <c r="D643">
        <v>2032</v>
      </c>
      <c r="E643" t="s">
        <v>123</v>
      </c>
      <c r="F643" t="s">
        <v>178</v>
      </c>
      <c r="G643">
        <v>74</v>
      </c>
      <c r="I643">
        <f t="shared" si="52"/>
        <v>0</v>
      </c>
      <c r="J643">
        <f t="shared" si="52"/>
        <v>0</v>
      </c>
      <c r="K643">
        <f t="shared" si="52"/>
        <v>0</v>
      </c>
      <c r="M643" t="str" cm="1">
        <f t="array" ref="M643">IFERROR(INDEX($I$2:$K$2,0,MATCH(TRUE,I643:K643,0)),E643)</f>
        <v>CCGT</v>
      </c>
      <c r="O643" t="str">
        <f t="shared" si="48"/>
        <v>CCGT_2032</v>
      </c>
      <c r="P643">
        <f t="shared" si="49"/>
        <v>74</v>
      </c>
    </row>
    <row r="644" spans="4:16" x14ac:dyDescent="0.25">
      <c r="D644">
        <v>2033</v>
      </c>
      <c r="E644" t="s">
        <v>123</v>
      </c>
      <c r="F644" t="s">
        <v>178</v>
      </c>
      <c r="G644">
        <v>74</v>
      </c>
      <c r="I644">
        <f t="shared" ref="I644:K663" si="53">IFERROR(FIND(I$2,$E644,1)&gt;0,0)</f>
        <v>0</v>
      </c>
      <c r="J644">
        <f t="shared" si="53"/>
        <v>0</v>
      </c>
      <c r="K644">
        <f t="shared" si="53"/>
        <v>0</v>
      </c>
      <c r="M644" t="str" cm="1">
        <f t="array" ref="M644">IFERROR(INDEX($I$2:$K$2,0,MATCH(TRUE,I644:K644,0)),E644)</f>
        <v>CCGT</v>
      </c>
      <c r="O644" t="str">
        <f t="shared" ref="O644:O707" si="54">M644&amp;"_"&amp;D644</f>
        <v>CCGT_2033</v>
      </c>
      <c r="P644">
        <f t="shared" ref="P644:P707" si="55">G644</f>
        <v>74</v>
      </c>
    </row>
    <row r="645" spans="4:16" x14ac:dyDescent="0.25">
      <c r="D645">
        <v>2034</v>
      </c>
      <c r="E645" t="s">
        <v>123</v>
      </c>
      <c r="F645" t="s">
        <v>178</v>
      </c>
      <c r="G645">
        <v>74</v>
      </c>
      <c r="I645">
        <f t="shared" si="53"/>
        <v>0</v>
      </c>
      <c r="J645">
        <f t="shared" si="53"/>
        <v>0</v>
      </c>
      <c r="K645">
        <f t="shared" si="53"/>
        <v>0</v>
      </c>
      <c r="M645" t="str" cm="1">
        <f t="array" ref="M645">IFERROR(INDEX($I$2:$K$2,0,MATCH(TRUE,I645:K645,0)),E645)</f>
        <v>CCGT</v>
      </c>
      <c r="O645" t="str">
        <f t="shared" si="54"/>
        <v>CCGT_2034</v>
      </c>
      <c r="P645">
        <f t="shared" si="55"/>
        <v>74</v>
      </c>
    </row>
    <row r="646" spans="4:16" x14ac:dyDescent="0.25">
      <c r="D646">
        <v>2035</v>
      </c>
      <c r="E646" t="s">
        <v>123</v>
      </c>
      <c r="F646" t="s">
        <v>178</v>
      </c>
      <c r="G646">
        <v>74</v>
      </c>
      <c r="I646">
        <f t="shared" si="53"/>
        <v>0</v>
      </c>
      <c r="J646">
        <f t="shared" si="53"/>
        <v>0</v>
      </c>
      <c r="K646">
        <f t="shared" si="53"/>
        <v>0</v>
      </c>
      <c r="M646" t="str" cm="1">
        <f t="array" ref="M646">IFERROR(INDEX($I$2:$K$2,0,MATCH(TRUE,I646:K646,0)),E646)</f>
        <v>CCGT</v>
      </c>
      <c r="O646" t="str">
        <f t="shared" si="54"/>
        <v>CCGT_2035</v>
      </c>
      <c r="P646">
        <f t="shared" si="55"/>
        <v>74</v>
      </c>
    </row>
    <row r="647" spans="4:16" x14ac:dyDescent="0.25">
      <c r="D647">
        <v>2036</v>
      </c>
      <c r="E647" t="s">
        <v>123</v>
      </c>
      <c r="F647" t="s">
        <v>178</v>
      </c>
      <c r="G647">
        <v>74</v>
      </c>
      <c r="I647">
        <f t="shared" si="53"/>
        <v>0</v>
      </c>
      <c r="J647">
        <f t="shared" si="53"/>
        <v>0</v>
      </c>
      <c r="K647">
        <f t="shared" si="53"/>
        <v>0</v>
      </c>
      <c r="M647" t="str" cm="1">
        <f t="array" ref="M647">IFERROR(INDEX($I$2:$K$2,0,MATCH(TRUE,I647:K647,0)),E647)</f>
        <v>CCGT</v>
      </c>
      <c r="O647" t="str">
        <f t="shared" si="54"/>
        <v>CCGT_2036</v>
      </c>
      <c r="P647">
        <f t="shared" si="55"/>
        <v>74</v>
      </c>
    </row>
    <row r="648" spans="4:16" x14ac:dyDescent="0.25">
      <c r="D648">
        <v>2037</v>
      </c>
      <c r="E648" t="s">
        <v>123</v>
      </c>
      <c r="F648" t="s">
        <v>178</v>
      </c>
      <c r="G648">
        <v>74</v>
      </c>
      <c r="I648">
        <f t="shared" si="53"/>
        <v>0</v>
      </c>
      <c r="J648">
        <f t="shared" si="53"/>
        <v>0</v>
      </c>
      <c r="K648">
        <f t="shared" si="53"/>
        <v>0</v>
      </c>
      <c r="M648" t="str" cm="1">
        <f t="array" ref="M648">IFERROR(INDEX($I$2:$K$2,0,MATCH(TRUE,I648:K648,0)),E648)</f>
        <v>CCGT</v>
      </c>
      <c r="O648" t="str">
        <f t="shared" si="54"/>
        <v>CCGT_2037</v>
      </c>
      <c r="P648">
        <f t="shared" si="55"/>
        <v>74</v>
      </c>
    </row>
    <row r="649" spans="4:16" x14ac:dyDescent="0.25">
      <c r="D649">
        <v>2038</v>
      </c>
      <c r="E649" t="s">
        <v>123</v>
      </c>
      <c r="F649" t="s">
        <v>178</v>
      </c>
      <c r="G649">
        <v>74</v>
      </c>
      <c r="I649">
        <f t="shared" si="53"/>
        <v>0</v>
      </c>
      <c r="J649">
        <f t="shared" si="53"/>
        <v>0</v>
      </c>
      <c r="K649">
        <f t="shared" si="53"/>
        <v>0</v>
      </c>
      <c r="M649" t="str" cm="1">
        <f t="array" ref="M649">IFERROR(INDEX($I$2:$K$2,0,MATCH(TRUE,I649:K649,0)),E649)</f>
        <v>CCGT</v>
      </c>
      <c r="O649" t="str">
        <f t="shared" si="54"/>
        <v>CCGT_2038</v>
      </c>
      <c r="P649">
        <f t="shared" si="55"/>
        <v>74</v>
      </c>
    </row>
    <row r="650" spans="4:16" x14ac:dyDescent="0.25">
      <c r="D650">
        <v>2039</v>
      </c>
      <c r="E650" t="s">
        <v>123</v>
      </c>
      <c r="F650" t="s">
        <v>178</v>
      </c>
      <c r="G650">
        <v>74</v>
      </c>
      <c r="I650">
        <f t="shared" si="53"/>
        <v>0</v>
      </c>
      <c r="J650">
        <f t="shared" si="53"/>
        <v>0</v>
      </c>
      <c r="K650">
        <f t="shared" si="53"/>
        <v>0</v>
      </c>
      <c r="M650" t="str" cm="1">
        <f t="array" ref="M650">IFERROR(INDEX($I$2:$K$2,0,MATCH(TRUE,I650:K650,0)),E650)</f>
        <v>CCGT</v>
      </c>
      <c r="O650" t="str">
        <f t="shared" si="54"/>
        <v>CCGT_2039</v>
      </c>
      <c r="P650">
        <f t="shared" si="55"/>
        <v>74</v>
      </c>
    </row>
    <row r="651" spans="4:16" x14ac:dyDescent="0.25">
      <c r="D651">
        <v>2040</v>
      </c>
      <c r="E651" t="s">
        <v>123</v>
      </c>
      <c r="F651" t="s">
        <v>178</v>
      </c>
      <c r="G651">
        <v>74</v>
      </c>
      <c r="I651">
        <f t="shared" si="53"/>
        <v>0</v>
      </c>
      <c r="J651">
        <f t="shared" si="53"/>
        <v>0</v>
      </c>
      <c r="K651">
        <f t="shared" si="53"/>
        <v>0</v>
      </c>
      <c r="M651" t="str" cm="1">
        <f t="array" ref="M651">IFERROR(INDEX($I$2:$K$2,0,MATCH(TRUE,I651:K651,0)),E651)</f>
        <v>CCGT</v>
      </c>
      <c r="O651" t="str">
        <f t="shared" si="54"/>
        <v>CCGT_2040</v>
      </c>
      <c r="P651">
        <f t="shared" si="55"/>
        <v>74</v>
      </c>
    </row>
    <row r="652" spans="4:16" x14ac:dyDescent="0.25">
      <c r="D652">
        <v>2021</v>
      </c>
      <c r="E652" t="s">
        <v>123</v>
      </c>
      <c r="F652" t="s">
        <v>179</v>
      </c>
      <c r="G652">
        <v>234</v>
      </c>
      <c r="I652">
        <f t="shared" si="53"/>
        <v>0</v>
      </c>
      <c r="J652">
        <f t="shared" si="53"/>
        <v>0</v>
      </c>
      <c r="K652">
        <f t="shared" si="53"/>
        <v>0</v>
      </c>
      <c r="M652" t="str" cm="1">
        <f t="array" ref="M652">IFERROR(INDEX($I$2:$K$2,0,MATCH(TRUE,I652:K652,0)),E652)</f>
        <v>CCGT</v>
      </c>
      <c r="O652" t="str">
        <f t="shared" si="54"/>
        <v>CCGT_2021</v>
      </c>
      <c r="P652">
        <f t="shared" si="55"/>
        <v>234</v>
      </c>
    </row>
    <row r="653" spans="4:16" x14ac:dyDescent="0.25">
      <c r="D653">
        <v>2022</v>
      </c>
      <c r="E653" t="s">
        <v>123</v>
      </c>
      <c r="F653" t="s">
        <v>179</v>
      </c>
      <c r="G653">
        <v>234</v>
      </c>
      <c r="I653">
        <f t="shared" si="53"/>
        <v>0</v>
      </c>
      <c r="J653">
        <f t="shared" si="53"/>
        <v>0</v>
      </c>
      <c r="K653">
        <f t="shared" si="53"/>
        <v>0</v>
      </c>
      <c r="M653" t="str" cm="1">
        <f t="array" ref="M653">IFERROR(INDEX($I$2:$K$2,0,MATCH(TRUE,I653:K653,0)),E653)</f>
        <v>CCGT</v>
      </c>
      <c r="O653" t="str">
        <f t="shared" si="54"/>
        <v>CCGT_2022</v>
      </c>
      <c r="P653">
        <f t="shared" si="55"/>
        <v>234</v>
      </c>
    </row>
    <row r="654" spans="4:16" x14ac:dyDescent="0.25">
      <c r="D654">
        <v>2023</v>
      </c>
      <c r="E654" t="s">
        <v>123</v>
      </c>
      <c r="F654" t="s">
        <v>179</v>
      </c>
      <c r="G654">
        <v>234</v>
      </c>
      <c r="I654">
        <f t="shared" si="53"/>
        <v>0</v>
      </c>
      <c r="J654">
        <f t="shared" si="53"/>
        <v>0</v>
      </c>
      <c r="K654">
        <f t="shared" si="53"/>
        <v>0</v>
      </c>
      <c r="M654" t="str" cm="1">
        <f t="array" ref="M654">IFERROR(INDEX($I$2:$K$2,0,MATCH(TRUE,I654:K654,0)),E654)</f>
        <v>CCGT</v>
      </c>
      <c r="O654" t="str">
        <f t="shared" si="54"/>
        <v>CCGT_2023</v>
      </c>
      <c r="P654">
        <f t="shared" si="55"/>
        <v>234</v>
      </c>
    </row>
    <row r="655" spans="4:16" x14ac:dyDescent="0.25">
      <c r="D655">
        <v>2024</v>
      </c>
      <c r="E655" t="s">
        <v>123</v>
      </c>
      <c r="F655" t="s">
        <v>179</v>
      </c>
      <c r="G655">
        <v>234</v>
      </c>
      <c r="I655">
        <f t="shared" si="53"/>
        <v>0</v>
      </c>
      <c r="J655">
        <f t="shared" si="53"/>
        <v>0</v>
      </c>
      <c r="K655">
        <f t="shared" si="53"/>
        <v>0</v>
      </c>
      <c r="M655" t="str" cm="1">
        <f t="array" ref="M655">IFERROR(INDEX($I$2:$K$2,0,MATCH(TRUE,I655:K655,0)),E655)</f>
        <v>CCGT</v>
      </c>
      <c r="O655" t="str">
        <f t="shared" si="54"/>
        <v>CCGT_2024</v>
      </c>
      <c r="P655">
        <f t="shared" si="55"/>
        <v>234</v>
      </c>
    </row>
    <row r="656" spans="4:16" x14ac:dyDescent="0.25">
      <c r="D656">
        <v>2025</v>
      </c>
      <c r="E656" t="s">
        <v>123</v>
      </c>
      <c r="F656" t="s">
        <v>179</v>
      </c>
      <c r="G656">
        <v>234</v>
      </c>
      <c r="I656">
        <f t="shared" si="53"/>
        <v>0</v>
      </c>
      <c r="J656">
        <f t="shared" si="53"/>
        <v>0</v>
      </c>
      <c r="K656">
        <f t="shared" si="53"/>
        <v>0</v>
      </c>
      <c r="M656" t="str" cm="1">
        <f t="array" ref="M656">IFERROR(INDEX($I$2:$K$2,0,MATCH(TRUE,I656:K656,0)),E656)</f>
        <v>CCGT</v>
      </c>
      <c r="O656" t="str">
        <f t="shared" si="54"/>
        <v>CCGT_2025</v>
      </c>
      <c r="P656">
        <f t="shared" si="55"/>
        <v>234</v>
      </c>
    </row>
    <row r="657" spans="4:16" x14ac:dyDescent="0.25">
      <c r="D657">
        <v>2026</v>
      </c>
      <c r="E657" t="s">
        <v>123</v>
      </c>
      <c r="F657" t="s">
        <v>179</v>
      </c>
      <c r="G657">
        <v>234</v>
      </c>
      <c r="I657">
        <f t="shared" si="53"/>
        <v>0</v>
      </c>
      <c r="J657">
        <f t="shared" si="53"/>
        <v>0</v>
      </c>
      <c r="K657">
        <f t="shared" si="53"/>
        <v>0</v>
      </c>
      <c r="M657" t="str" cm="1">
        <f t="array" ref="M657">IFERROR(INDEX($I$2:$K$2,0,MATCH(TRUE,I657:K657,0)),E657)</f>
        <v>CCGT</v>
      </c>
      <c r="O657" t="str">
        <f t="shared" si="54"/>
        <v>CCGT_2026</v>
      </c>
      <c r="P657">
        <f t="shared" si="55"/>
        <v>234</v>
      </c>
    </row>
    <row r="658" spans="4:16" x14ac:dyDescent="0.25">
      <c r="D658">
        <v>2027</v>
      </c>
      <c r="E658" t="s">
        <v>123</v>
      </c>
      <c r="F658" t="s">
        <v>179</v>
      </c>
      <c r="G658">
        <v>234</v>
      </c>
      <c r="I658">
        <f t="shared" si="53"/>
        <v>0</v>
      </c>
      <c r="J658">
        <f t="shared" si="53"/>
        <v>0</v>
      </c>
      <c r="K658">
        <f t="shared" si="53"/>
        <v>0</v>
      </c>
      <c r="M658" t="str" cm="1">
        <f t="array" ref="M658">IFERROR(INDEX($I$2:$K$2,0,MATCH(TRUE,I658:K658,0)),E658)</f>
        <v>CCGT</v>
      </c>
      <c r="O658" t="str">
        <f t="shared" si="54"/>
        <v>CCGT_2027</v>
      </c>
      <c r="P658">
        <f t="shared" si="55"/>
        <v>234</v>
      </c>
    </row>
    <row r="659" spans="4:16" x14ac:dyDescent="0.25">
      <c r="D659">
        <v>2028</v>
      </c>
      <c r="E659" t="s">
        <v>123</v>
      </c>
      <c r="F659" t="s">
        <v>179</v>
      </c>
      <c r="G659">
        <v>234</v>
      </c>
      <c r="I659">
        <f t="shared" si="53"/>
        <v>0</v>
      </c>
      <c r="J659">
        <f t="shared" si="53"/>
        <v>0</v>
      </c>
      <c r="K659">
        <f t="shared" si="53"/>
        <v>0</v>
      </c>
      <c r="M659" t="str" cm="1">
        <f t="array" ref="M659">IFERROR(INDEX($I$2:$K$2,0,MATCH(TRUE,I659:K659,0)),E659)</f>
        <v>CCGT</v>
      </c>
      <c r="O659" t="str">
        <f t="shared" si="54"/>
        <v>CCGT_2028</v>
      </c>
      <c r="P659">
        <f t="shared" si="55"/>
        <v>234</v>
      </c>
    </row>
    <row r="660" spans="4:16" x14ac:dyDescent="0.25">
      <c r="D660">
        <v>2029</v>
      </c>
      <c r="E660" t="s">
        <v>123</v>
      </c>
      <c r="F660" t="s">
        <v>179</v>
      </c>
      <c r="G660">
        <v>234</v>
      </c>
      <c r="I660">
        <f t="shared" si="53"/>
        <v>0</v>
      </c>
      <c r="J660">
        <f t="shared" si="53"/>
        <v>0</v>
      </c>
      <c r="K660">
        <f t="shared" si="53"/>
        <v>0</v>
      </c>
      <c r="M660" t="str" cm="1">
        <f t="array" ref="M660">IFERROR(INDEX($I$2:$K$2,0,MATCH(TRUE,I660:K660,0)),E660)</f>
        <v>CCGT</v>
      </c>
      <c r="O660" t="str">
        <f t="shared" si="54"/>
        <v>CCGT_2029</v>
      </c>
      <c r="P660">
        <f t="shared" si="55"/>
        <v>234</v>
      </c>
    </row>
    <row r="661" spans="4:16" x14ac:dyDescent="0.25">
      <c r="D661">
        <v>2030</v>
      </c>
      <c r="E661" t="s">
        <v>123</v>
      </c>
      <c r="F661" t="s">
        <v>179</v>
      </c>
      <c r="G661">
        <v>234</v>
      </c>
      <c r="I661">
        <f t="shared" si="53"/>
        <v>0</v>
      </c>
      <c r="J661">
        <f t="shared" si="53"/>
        <v>0</v>
      </c>
      <c r="K661">
        <f t="shared" si="53"/>
        <v>0</v>
      </c>
      <c r="M661" t="str" cm="1">
        <f t="array" ref="M661">IFERROR(INDEX($I$2:$K$2,0,MATCH(TRUE,I661:K661,0)),E661)</f>
        <v>CCGT</v>
      </c>
      <c r="O661" t="str">
        <f t="shared" si="54"/>
        <v>CCGT_2030</v>
      </c>
      <c r="P661">
        <f t="shared" si="55"/>
        <v>234</v>
      </c>
    </row>
    <row r="662" spans="4:16" x14ac:dyDescent="0.25">
      <c r="D662">
        <v>2031</v>
      </c>
      <c r="E662" t="s">
        <v>123</v>
      </c>
      <c r="F662" t="s">
        <v>179</v>
      </c>
      <c r="G662">
        <v>234</v>
      </c>
      <c r="I662">
        <f t="shared" si="53"/>
        <v>0</v>
      </c>
      <c r="J662">
        <f t="shared" si="53"/>
        <v>0</v>
      </c>
      <c r="K662">
        <f t="shared" si="53"/>
        <v>0</v>
      </c>
      <c r="M662" t="str" cm="1">
        <f t="array" ref="M662">IFERROR(INDEX($I$2:$K$2,0,MATCH(TRUE,I662:K662,0)),E662)</f>
        <v>CCGT</v>
      </c>
      <c r="O662" t="str">
        <f t="shared" si="54"/>
        <v>CCGT_2031</v>
      </c>
      <c r="P662">
        <f t="shared" si="55"/>
        <v>234</v>
      </c>
    </row>
    <row r="663" spans="4:16" x14ac:dyDescent="0.25">
      <c r="D663">
        <v>2032</v>
      </c>
      <c r="E663" t="s">
        <v>123</v>
      </c>
      <c r="F663" t="s">
        <v>179</v>
      </c>
      <c r="G663">
        <v>234</v>
      </c>
      <c r="I663">
        <f t="shared" si="53"/>
        <v>0</v>
      </c>
      <c r="J663">
        <f t="shared" si="53"/>
        <v>0</v>
      </c>
      <c r="K663">
        <f t="shared" si="53"/>
        <v>0</v>
      </c>
      <c r="M663" t="str" cm="1">
        <f t="array" ref="M663">IFERROR(INDEX($I$2:$K$2,0,MATCH(TRUE,I663:K663,0)),E663)</f>
        <v>CCGT</v>
      </c>
      <c r="O663" t="str">
        <f t="shared" si="54"/>
        <v>CCGT_2032</v>
      </c>
      <c r="P663">
        <f t="shared" si="55"/>
        <v>234</v>
      </c>
    </row>
    <row r="664" spans="4:16" x14ac:dyDescent="0.25">
      <c r="D664">
        <v>2033</v>
      </c>
      <c r="E664" t="s">
        <v>123</v>
      </c>
      <c r="F664" t="s">
        <v>179</v>
      </c>
      <c r="G664">
        <v>234</v>
      </c>
      <c r="I664">
        <f t="shared" ref="I664:K683" si="56">IFERROR(FIND(I$2,$E664,1)&gt;0,0)</f>
        <v>0</v>
      </c>
      <c r="J664">
        <f t="shared" si="56"/>
        <v>0</v>
      </c>
      <c r="K664">
        <f t="shared" si="56"/>
        <v>0</v>
      </c>
      <c r="M664" t="str" cm="1">
        <f t="array" ref="M664">IFERROR(INDEX($I$2:$K$2,0,MATCH(TRUE,I664:K664,0)),E664)</f>
        <v>CCGT</v>
      </c>
      <c r="O664" t="str">
        <f t="shared" si="54"/>
        <v>CCGT_2033</v>
      </c>
      <c r="P664">
        <f t="shared" si="55"/>
        <v>234</v>
      </c>
    </row>
    <row r="665" spans="4:16" x14ac:dyDescent="0.25">
      <c r="D665">
        <v>2034</v>
      </c>
      <c r="E665" t="s">
        <v>123</v>
      </c>
      <c r="F665" t="s">
        <v>179</v>
      </c>
      <c r="G665">
        <v>234</v>
      </c>
      <c r="I665">
        <f t="shared" si="56"/>
        <v>0</v>
      </c>
      <c r="J665">
        <f t="shared" si="56"/>
        <v>0</v>
      </c>
      <c r="K665">
        <f t="shared" si="56"/>
        <v>0</v>
      </c>
      <c r="M665" t="str" cm="1">
        <f t="array" ref="M665">IFERROR(INDEX($I$2:$K$2,0,MATCH(TRUE,I665:K665,0)),E665)</f>
        <v>CCGT</v>
      </c>
      <c r="O665" t="str">
        <f t="shared" si="54"/>
        <v>CCGT_2034</v>
      </c>
      <c r="P665">
        <f t="shared" si="55"/>
        <v>234</v>
      </c>
    </row>
    <row r="666" spans="4:16" x14ac:dyDescent="0.25">
      <c r="D666">
        <v>2035</v>
      </c>
      <c r="E666" t="s">
        <v>123</v>
      </c>
      <c r="F666" t="s">
        <v>179</v>
      </c>
      <c r="G666">
        <v>234</v>
      </c>
      <c r="I666">
        <f t="shared" si="56"/>
        <v>0</v>
      </c>
      <c r="J666">
        <f t="shared" si="56"/>
        <v>0</v>
      </c>
      <c r="K666">
        <f t="shared" si="56"/>
        <v>0</v>
      </c>
      <c r="M666" t="str" cm="1">
        <f t="array" ref="M666">IFERROR(INDEX($I$2:$K$2,0,MATCH(TRUE,I666:K666,0)),E666)</f>
        <v>CCGT</v>
      </c>
      <c r="O666" t="str">
        <f t="shared" si="54"/>
        <v>CCGT_2035</v>
      </c>
      <c r="P666">
        <f t="shared" si="55"/>
        <v>234</v>
      </c>
    </row>
    <row r="667" spans="4:16" x14ac:dyDescent="0.25">
      <c r="D667">
        <v>2036</v>
      </c>
      <c r="E667" t="s">
        <v>123</v>
      </c>
      <c r="F667" t="s">
        <v>179</v>
      </c>
      <c r="G667">
        <v>234</v>
      </c>
      <c r="I667">
        <f t="shared" si="56"/>
        <v>0</v>
      </c>
      <c r="J667">
        <f t="shared" si="56"/>
        <v>0</v>
      </c>
      <c r="K667">
        <f t="shared" si="56"/>
        <v>0</v>
      </c>
      <c r="M667" t="str" cm="1">
        <f t="array" ref="M667">IFERROR(INDEX($I$2:$K$2,0,MATCH(TRUE,I667:K667,0)),E667)</f>
        <v>CCGT</v>
      </c>
      <c r="O667" t="str">
        <f t="shared" si="54"/>
        <v>CCGT_2036</v>
      </c>
      <c r="P667">
        <f t="shared" si="55"/>
        <v>234</v>
      </c>
    </row>
    <row r="668" spans="4:16" x14ac:dyDescent="0.25">
      <c r="D668">
        <v>2037</v>
      </c>
      <c r="E668" t="s">
        <v>123</v>
      </c>
      <c r="F668" t="s">
        <v>179</v>
      </c>
      <c r="G668">
        <v>234</v>
      </c>
      <c r="I668">
        <f t="shared" si="56"/>
        <v>0</v>
      </c>
      <c r="J668">
        <f t="shared" si="56"/>
        <v>0</v>
      </c>
      <c r="K668">
        <f t="shared" si="56"/>
        <v>0</v>
      </c>
      <c r="M668" t="str" cm="1">
        <f t="array" ref="M668">IFERROR(INDEX($I$2:$K$2,0,MATCH(TRUE,I668:K668,0)),E668)</f>
        <v>CCGT</v>
      </c>
      <c r="O668" t="str">
        <f t="shared" si="54"/>
        <v>CCGT_2037</v>
      </c>
      <c r="P668">
        <f t="shared" si="55"/>
        <v>234</v>
      </c>
    </row>
    <row r="669" spans="4:16" x14ac:dyDescent="0.25">
      <c r="D669">
        <v>2038</v>
      </c>
      <c r="E669" t="s">
        <v>123</v>
      </c>
      <c r="F669" t="s">
        <v>179</v>
      </c>
      <c r="G669">
        <v>234</v>
      </c>
      <c r="I669">
        <f t="shared" si="56"/>
        <v>0</v>
      </c>
      <c r="J669">
        <f t="shared" si="56"/>
        <v>0</v>
      </c>
      <c r="K669">
        <f t="shared" si="56"/>
        <v>0</v>
      </c>
      <c r="M669" t="str" cm="1">
        <f t="array" ref="M669">IFERROR(INDEX($I$2:$K$2,0,MATCH(TRUE,I669:K669,0)),E669)</f>
        <v>CCGT</v>
      </c>
      <c r="O669" t="str">
        <f t="shared" si="54"/>
        <v>CCGT_2038</v>
      </c>
      <c r="P669">
        <f t="shared" si="55"/>
        <v>234</v>
      </c>
    </row>
    <row r="670" spans="4:16" x14ac:dyDescent="0.25">
      <c r="D670">
        <v>2039</v>
      </c>
      <c r="E670" t="s">
        <v>123</v>
      </c>
      <c r="F670" t="s">
        <v>179</v>
      </c>
      <c r="G670">
        <v>234</v>
      </c>
      <c r="I670">
        <f t="shared" si="56"/>
        <v>0</v>
      </c>
      <c r="J670">
        <f t="shared" si="56"/>
        <v>0</v>
      </c>
      <c r="K670">
        <f t="shared" si="56"/>
        <v>0</v>
      </c>
      <c r="M670" t="str" cm="1">
        <f t="array" ref="M670">IFERROR(INDEX($I$2:$K$2,0,MATCH(TRUE,I670:K670,0)),E670)</f>
        <v>CCGT</v>
      </c>
      <c r="O670" t="str">
        <f t="shared" si="54"/>
        <v>CCGT_2039</v>
      </c>
      <c r="P670">
        <f t="shared" si="55"/>
        <v>234</v>
      </c>
    </row>
    <row r="671" spans="4:16" x14ac:dyDescent="0.25">
      <c r="D671">
        <v>2040</v>
      </c>
      <c r="E671" t="s">
        <v>123</v>
      </c>
      <c r="F671" t="s">
        <v>179</v>
      </c>
      <c r="G671">
        <v>234</v>
      </c>
      <c r="I671">
        <f t="shared" si="56"/>
        <v>0</v>
      </c>
      <c r="J671">
        <f t="shared" si="56"/>
        <v>0</v>
      </c>
      <c r="K671">
        <f t="shared" si="56"/>
        <v>0</v>
      </c>
      <c r="M671" t="str" cm="1">
        <f t="array" ref="M671">IFERROR(INDEX($I$2:$K$2,0,MATCH(TRUE,I671:K671,0)),E671)</f>
        <v>CCGT</v>
      </c>
      <c r="O671" t="str">
        <f t="shared" si="54"/>
        <v>CCGT_2040</v>
      </c>
      <c r="P671">
        <f t="shared" si="55"/>
        <v>234</v>
      </c>
    </row>
    <row r="672" spans="4:16" x14ac:dyDescent="0.25">
      <c r="D672">
        <v>2021</v>
      </c>
      <c r="E672" t="s">
        <v>123</v>
      </c>
      <c r="F672" t="s">
        <v>180</v>
      </c>
      <c r="G672">
        <v>78.5</v>
      </c>
      <c r="I672">
        <f t="shared" si="56"/>
        <v>0</v>
      </c>
      <c r="J672">
        <f t="shared" si="56"/>
        <v>0</v>
      </c>
      <c r="K672">
        <f t="shared" si="56"/>
        <v>0</v>
      </c>
      <c r="M672" t="str" cm="1">
        <f t="array" ref="M672">IFERROR(INDEX($I$2:$K$2,0,MATCH(TRUE,I672:K672,0)),E672)</f>
        <v>CCGT</v>
      </c>
      <c r="O672" t="str">
        <f t="shared" si="54"/>
        <v>CCGT_2021</v>
      </c>
      <c r="P672">
        <f t="shared" si="55"/>
        <v>78.5</v>
      </c>
    </row>
    <row r="673" spans="4:16" x14ac:dyDescent="0.25">
      <c r="D673">
        <v>2022</v>
      </c>
      <c r="E673" t="s">
        <v>123</v>
      </c>
      <c r="F673" t="s">
        <v>180</v>
      </c>
      <c r="G673">
        <v>78.5</v>
      </c>
      <c r="I673">
        <f t="shared" si="56"/>
        <v>0</v>
      </c>
      <c r="J673">
        <f t="shared" si="56"/>
        <v>0</v>
      </c>
      <c r="K673">
        <f t="shared" si="56"/>
        <v>0</v>
      </c>
      <c r="M673" t="str" cm="1">
        <f t="array" ref="M673">IFERROR(INDEX($I$2:$K$2,0,MATCH(TRUE,I673:K673,0)),E673)</f>
        <v>CCGT</v>
      </c>
      <c r="O673" t="str">
        <f t="shared" si="54"/>
        <v>CCGT_2022</v>
      </c>
      <c r="P673">
        <f t="shared" si="55"/>
        <v>78.5</v>
      </c>
    </row>
    <row r="674" spans="4:16" x14ac:dyDescent="0.25">
      <c r="D674">
        <v>2023</v>
      </c>
      <c r="E674" t="s">
        <v>123</v>
      </c>
      <c r="F674" t="s">
        <v>180</v>
      </c>
      <c r="G674">
        <v>78.5</v>
      </c>
      <c r="I674">
        <f t="shared" si="56"/>
        <v>0</v>
      </c>
      <c r="J674">
        <f t="shared" si="56"/>
        <v>0</v>
      </c>
      <c r="K674">
        <f t="shared" si="56"/>
        <v>0</v>
      </c>
      <c r="M674" t="str" cm="1">
        <f t="array" ref="M674">IFERROR(INDEX($I$2:$K$2,0,MATCH(TRUE,I674:K674,0)),E674)</f>
        <v>CCGT</v>
      </c>
      <c r="O674" t="str">
        <f t="shared" si="54"/>
        <v>CCGT_2023</v>
      </c>
      <c r="P674">
        <f t="shared" si="55"/>
        <v>78.5</v>
      </c>
    </row>
    <row r="675" spans="4:16" x14ac:dyDescent="0.25">
      <c r="D675">
        <v>2024</v>
      </c>
      <c r="E675" t="s">
        <v>123</v>
      </c>
      <c r="F675" t="s">
        <v>180</v>
      </c>
      <c r="G675">
        <v>78.5</v>
      </c>
      <c r="I675">
        <f t="shared" si="56"/>
        <v>0</v>
      </c>
      <c r="J675">
        <f t="shared" si="56"/>
        <v>0</v>
      </c>
      <c r="K675">
        <f t="shared" si="56"/>
        <v>0</v>
      </c>
      <c r="M675" t="str" cm="1">
        <f t="array" ref="M675">IFERROR(INDEX($I$2:$K$2,0,MATCH(TRUE,I675:K675,0)),E675)</f>
        <v>CCGT</v>
      </c>
      <c r="O675" t="str">
        <f t="shared" si="54"/>
        <v>CCGT_2024</v>
      </c>
      <c r="P675">
        <f t="shared" si="55"/>
        <v>78.5</v>
      </c>
    </row>
    <row r="676" spans="4:16" x14ac:dyDescent="0.25">
      <c r="D676">
        <v>2025</v>
      </c>
      <c r="E676" t="s">
        <v>123</v>
      </c>
      <c r="F676" t="s">
        <v>180</v>
      </c>
      <c r="G676">
        <v>78.5</v>
      </c>
      <c r="I676">
        <f t="shared" si="56"/>
        <v>0</v>
      </c>
      <c r="J676">
        <f t="shared" si="56"/>
        <v>0</v>
      </c>
      <c r="K676">
        <f t="shared" si="56"/>
        <v>0</v>
      </c>
      <c r="M676" t="str" cm="1">
        <f t="array" ref="M676">IFERROR(INDEX($I$2:$K$2,0,MATCH(TRUE,I676:K676,0)),E676)</f>
        <v>CCGT</v>
      </c>
      <c r="O676" t="str">
        <f t="shared" si="54"/>
        <v>CCGT_2025</v>
      </c>
      <c r="P676">
        <f t="shared" si="55"/>
        <v>78.5</v>
      </c>
    </row>
    <row r="677" spans="4:16" x14ac:dyDescent="0.25">
      <c r="D677">
        <v>2026</v>
      </c>
      <c r="E677" t="s">
        <v>123</v>
      </c>
      <c r="F677" t="s">
        <v>180</v>
      </c>
      <c r="G677">
        <v>78.5</v>
      </c>
      <c r="I677">
        <f t="shared" si="56"/>
        <v>0</v>
      </c>
      <c r="J677">
        <f t="shared" si="56"/>
        <v>0</v>
      </c>
      <c r="K677">
        <f t="shared" si="56"/>
        <v>0</v>
      </c>
      <c r="M677" t="str" cm="1">
        <f t="array" ref="M677">IFERROR(INDEX($I$2:$K$2,0,MATCH(TRUE,I677:K677,0)),E677)</f>
        <v>CCGT</v>
      </c>
      <c r="O677" t="str">
        <f t="shared" si="54"/>
        <v>CCGT_2026</v>
      </c>
      <c r="P677">
        <f t="shared" si="55"/>
        <v>78.5</v>
      </c>
    </row>
    <row r="678" spans="4:16" x14ac:dyDescent="0.25">
      <c r="D678">
        <v>2027</v>
      </c>
      <c r="E678" t="s">
        <v>123</v>
      </c>
      <c r="F678" t="s">
        <v>180</v>
      </c>
      <c r="G678">
        <v>78.5</v>
      </c>
      <c r="I678">
        <f t="shared" si="56"/>
        <v>0</v>
      </c>
      <c r="J678">
        <f t="shared" si="56"/>
        <v>0</v>
      </c>
      <c r="K678">
        <f t="shared" si="56"/>
        <v>0</v>
      </c>
      <c r="M678" t="str" cm="1">
        <f t="array" ref="M678">IFERROR(INDEX($I$2:$K$2,0,MATCH(TRUE,I678:K678,0)),E678)</f>
        <v>CCGT</v>
      </c>
      <c r="O678" t="str">
        <f t="shared" si="54"/>
        <v>CCGT_2027</v>
      </c>
      <c r="P678">
        <f t="shared" si="55"/>
        <v>78.5</v>
      </c>
    </row>
    <row r="679" spans="4:16" x14ac:dyDescent="0.25">
      <c r="D679">
        <v>2028</v>
      </c>
      <c r="E679" t="s">
        <v>123</v>
      </c>
      <c r="F679" t="s">
        <v>180</v>
      </c>
      <c r="G679">
        <v>78.5</v>
      </c>
      <c r="I679">
        <f t="shared" si="56"/>
        <v>0</v>
      </c>
      <c r="J679">
        <f t="shared" si="56"/>
        <v>0</v>
      </c>
      <c r="K679">
        <f t="shared" si="56"/>
        <v>0</v>
      </c>
      <c r="M679" t="str" cm="1">
        <f t="array" ref="M679">IFERROR(INDEX($I$2:$K$2,0,MATCH(TRUE,I679:K679,0)),E679)</f>
        <v>CCGT</v>
      </c>
      <c r="O679" t="str">
        <f t="shared" si="54"/>
        <v>CCGT_2028</v>
      </c>
      <c r="P679">
        <f t="shared" si="55"/>
        <v>78.5</v>
      </c>
    </row>
    <row r="680" spans="4:16" x14ac:dyDescent="0.25">
      <c r="D680">
        <v>2029</v>
      </c>
      <c r="E680" t="s">
        <v>123</v>
      </c>
      <c r="F680" t="s">
        <v>180</v>
      </c>
      <c r="G680">
        <v>78.5</v>
      </c>
      <c r="I680">
        <f t="shared" si="56"/>
        <v>0</v>
      </c>
      <c r="J680">
        <f t="shared" si="56"/>
        <v>0</v>
      </c>
      <c r="K680">
        <f t="shared" si="56"/>
        <v>0</v>
      </c>
      <c r="M680" t="str" cm="1">
        <f t="array" ref="M680">IFERROR(INDEX($I$2:$K$2,0,MATCH(TRUE,I680:K680,0)),E680)</f>
        <v>CCGT</v>
      </c>
      <c r="O680" t="str">
        <f t="shared" si="54"/>
        <v>CCGT_2029</v>
      </c>
      <c r="P680">
        <f t="shared" si="55"/>
        <v>78.5</v>
      </c>
    </row>
    <row r="681" spans="4:16" x14ac:dyDescent="0.25">
      <c r="D681">
        <v>2030</v>
      </c>
      <c r="E681" t="s">
        <v>123</v>
      </c>
      <c r="F681" t="s">
        <v>180</v>
      </c>
      <c r="G681">
        <v>78.5</v>
      </c>
      <c r="I681">
        <f t="shared" si="56"/>
        <v>0</v>
      </c>
      <c r="J681">
        <f t="shared" si="56"/>
        <v>0</v>
      </c>
      <c r="K681">
        <f t="shared" si="56"/>
        <v>0</v>
      </c>
      <c r="M681" t="str" cm="1">
        <f t="array" ref="M681">IFERROR(INDEX($I$2:$K$2,0,MATCH(TRUE,I681:K681,0)),E681)</f>
        <v>CCGT</v>
      </c>
      <c r="O681" t="str">
        <f t="shared" si="54"/>
        <v>CCGT_2030</v>
      </c>
      <c r="P681">
        <f t="shared" si="55"/>
        <v>78.5</v>
      </c>
    </row>
    <row r="682" spans="4:16" x14ac:dyDescent="0.25">
      <c r="D682">
        <v>2031</v>
      </c>
      <c r="E682" t="s">
        <v>123</v>
      </c>
      <c r="F682" t="s">
        <v>180</v>
      </c>
      <c r="G682">
        <v>78.5</v>
      </c>
      <c r="I682">
        <f t="shared" si="56"/>
        <v>0</v>
      </c>
      <c r="J682">
        <f t="shared" si="56"/>
        <v>0</v>
      </c>
      <c r="K682">
        <f t="shared" si="56"/>
        <v>0</v>
      </c>
      <c r="M682" t="str" cm="1">
        <f t="array" ref="M682">IFERROR(INDEX($I$2:$K$2,0,MATCH(TRUE,I682:K682,0)),E682)</f>
        <v>CCGT</v>
      </c>
      <c r="O682" t="str">
        <f t="shared" si="54"/>
        <v>CCGT_2031</v>
      </c>
      <c r="P682">
        <f t="shared" si="55"/>
        <v>78.5</v>
      </c>
    </row>
    <row r="683" spans="4:16" x14ac:dyDescent="0.25">
      <c r="D683">
        <v>2032</v>
      </c>
      <c r="E683" t="s">
        <v>123</v>
      </c>
      <c r="F683" t="s">
        <v>180</v>
      </c>
      <c r="G683">
        <v>78.5</v>
      </c>
      <c r="I683">
        <f t="shared" si="56"/>
        <v>0</v>
      </c>
      <c r="J683">
        <f t="shared" si="56"/>
        <v>0</v>
      </c>
      <c r="K683">
        <f t="shared" si="56"/>
        <v>0</v>
      </c>
      <c r="M683" t="str" cm="1">
        <f t="array" ref="M683">IFERROR(INDEX($I$2:$K$2,0,MATCH(TRUE,I683:K683,0)),E683)</f>
        <v>CCGT</v>
      </c>
      <c r="O683" t="str">
        <f t="shared" si="54"/>
        <v>CCGT_2032</v>
      </c>
      <c r="P683">
        <f t="shared" si="55"/>
        <v>78.5</v>
      </c>
    </row>
    <row r="684" spans="4:16" x14ac:dyDescent="0.25">
      <c r="D684">
        <v>2033</v>
      </c>
      <c r="E684" t="s">
        <v>123</v>
      </c>
      <c r="F684" t="s">
        <v>180</v>
      </c>
      <c r="G684">
        <v>78.5</v>
      </c>
      <c r="I684">
        <f t="shared" ref="I684:K703" si="57">IFERROR(FIND(I$2,$E684,1)&gt;0,0)</f>
        <v>0</v>
      </c>
      <c r="J684">
        <f t="shared" si="57"/>
        <v>0</v>
      </c>
      <c r="K684">
        <f t="shared" si="57"/>
        <v>0</v>
      </c>
      <c r="M684" t="str" cm="1">
        <f t="array" ref="M684">IFERROR(INDEX($I$2:$K$2,0,MATCH(TRUE,I684:K684,0)),E684)</f>
        <v>CCGT</v>
      </c>
      <c r="O684" t="str">
        <f t="shared" si="54"/>
        <v>CCGT_2033</v>
      </c>
      <c r="P684">
        <f t="shared" si="55"/>
        <v>78.5</v>
      </c>
    </row>
    <row r="685" spans="4:16" x14ac:dyDescent="0.25">
      <c r="D685">
        <v>2034</v>
      </c>
      <c r="E685" t="s">
        <v>123</v>
      </c>
      <c r="F685" t="s">
        <v>180</v>
      </c>
      <c r="G685">
        <v>78.5</v>
      </c>
      <c r="I685">
        <f t="shared" si="57"/>
        <v>0</v>
      </c>
      <c r="J685">
        <f t="shared" si="57"/>
        <v>0</v>
      </c>
      <c r="K685">
        <f t="shared" si="57"/>
        <v>0</v>
      </c>
      <c r="M685" t="str" cm="1">
        <f t="array" ref="M685">IFERROR(INDEX($I$2:$K$2,0,MATCH(TRUE,I685:K685,0)),E685)</f>
        <v>CCGT</v>
      </c>
      <c r="O685" t="str">
        <f t="shared" si="54"/>
        <v>CCGT_2034</v>
      </c>
      <c r="P685">
        <f t="shared" si="55"/>
        <v>78.5</v>
      </c>
    </row>
    <row r="686" spans="4:16" x14ac:dyDescent="0.25">
      <c r="D686">
        <v>2035</v>
      </c>
      <c r="E686" t="s">
        <v>123</v>
      </c>
      <c r="F686" t="s">
        <v>180</v>
      </c>
      <c r="G686">
        <v>78.5</v>
      </c>
      <c r="I686">
        <f t="shared" si="57"/>
        <v>0</v>
      </c>
      <c r="J686">
        <f t="shared" si="57"/>
        <v>0</v>
      </c>
      <c r="K686">
        <f t="shared" si="57"/>
        <v>0</v>
      </c>
      <c r="M686" t="str" cm="1">
        <f t="array" ref="M686">IFERROR(INDEX($I$2:$K$2,0,MATCH(TRUE,I686:K686,0)),E686)</f>
        <v>CCGT</v>
      </c>
      <c r="O686" t="str">
        <f t="shared" si="54"/>
        <v>CCGT_2035</v>
      </c>
      <c r="P686">
        <f t="shared" si="55"/>
        <v>78.5</v>
      </c>
    </row>
    <row r="687" spans="4:16" x14ac:dyDescent="0.25">
      <c r="D687">
        <v>2036</v>
      </c>
      <c r="E687" t="s">
        <v>123</v>
      </c>
      <c r="F687" t="s">
        <v>180</v>
      </c>
      <c r="G687">
        <v>78.5</v>
      </c>
      <c r="I687">
        <f t="shared" si="57"/>
        <v>0</v>
      </c>
      <c r="J687">
        <f t="shared" si="57"/>
        <v>0</v>
      </c>
      <c r="K687">
        <f t="shared" si="57"/>
        <v>0</v>
      </c>
      <c r="M687" t="str" cm="1">
        <f t="array" ref="M687">IFERROR(INDEX($I$2:$K$2,0,MATCH(TRUE,I687:K687,0)),E687)</f>
        <v>CCGT</v>
      </c>
      <c r="O687" t="str">
        <f t="shared" si="54"/>
        <v>CCGT_2036</v>
      </c>
      <c r="P687">
        <f t="shared" si="55"/>
        <v>78.5</v>
      </c>
    </row>
    <row r="688" spans="4:16" x14ac:dyDescent="0.25">
      <c r="D688">
        <v>2037</v>
      </c>
      <c r="E688" t="s">
        <v>123</v>
      </c>
      <c r="F688" t="s">
        <v>180</v>
      </c>
      <c r="G688">
        <v>78.5</v>
      </c>
      <c r="I688">
        <f t="shared" si="57"/>
        <v>0</v>
      </c>
      <c r="J688">
        <f t="shared" si="57"/>
        <v>0</v>
      </c>
      <c r="K688">
        <f t="shared" si="57"/>
        <v>0</v>
      </c>
      <c r="M688" t="str" cm="1">
        <f t="array" ref="M688">IFERROR(INDEX($I$2:$K$2,0,MATCH(TRUE,I688:K688,0)),E688)</f>
        <v>CCGT</v>
      </c>
      <c r="O688" t="str">
        <f t="shared" si="54"/>
        <v>CCGT_2037</v>
      </c>
      <c r="P688">
        <f t="shared" si="55"/>
        <v>78.5</v>
      </c>
    </row>
    <row r="689" spans="4:16" x14ac:dyDescent="0.25">
      <c r="D689">
        <v>2038</v>
      </c>
      <c r="E689" t="s">
        <v>123</v>
      </c>
      <c r="F689" t="s">
        <v>180</v>
      </c>
      <c r="G689">
        <v>78.5</v>
      </c>
      <c r="I689">
        <f t="shared" si="57"/>
        <v>0</v>
      </c>
      <c r="J689">
        <f t="shared" si="57"/>
        <v>0</v>
      </c>
      <c r="K689">
        <f t="shared" si="57"/>
        <v>0</v>
      </c>
      <c r="M689" t="str" cm="1">
        <f t="array" ref="M689">IFERROR(INDEX($I$2:$K$2,0,MATCH(TRUE,I689:K689,0)),E689)</f>
        <v>CCGT</v>
      </c>
      <c r="O689" t="str">
        <f t="shared" si="54"/>
        <v>CCGT_2038</v>
      </c>
      <c r="P689">
        <f t="shared" si="55"/>
        <v>78.5</v>
      </c>
    </row>
    <row r="690" spans="4:16" x14ac:dyDescent="0.25">
      <c r="D690">
        <v>2039</v>
      </c>
      <c r="E690" t="s">
        <v>123</v>
      </c>
      <c r="F690" t="s">
        <v>180</v>
      </c>
      <c r="G690">
        <v>78.5</v>
      </c>
      <c r="I690">
        <f t="shared" si="57"/>
        <v>0</v>
      </c>
      <c r="J690">
        <f t="shared" si="57"/>
        <v>0</v>
      </c>
      <c r="K690">
        <f t="shared" si="57"/>
        <v>0</v>
      </c>
      <c r="M690" t="str" cm="1">
        <f t="array" ref="M690">IFERROR(INDEX($I$2:$K$2,0,MATCH(TRUE,I690:K690,0)),E690)</f>
        <v>CCGT</v>
      </c>
      <c r="O690" t="str">
        <f t="shared" si="54"/>
        <v>CCGT_2039</v>
      </c>
      <c r="P690">
        <f t="shared" si="55"/>
        <v>78.5</v>
      </c>
    </row>
    <row r="691" spans="4:16" x14ac:dyDescent="0.25">
      <c r="D691">
        <v>2040</v>
      </c>
      <c r="E691" t="s">
        <v>123</v>
      </c>
      <c r="F691" t="s">
        <v>180</v>
      </c>
      <c r="G691">
        <v>78.5</v>
      </c>
      <c r="I691">
        <f t="shared" si="57"/>
        <v>0</v>
      </c>
      <c r="J691">
        <f t="shared" si="57"/>
        <v>0</v>
      </c>
      <c r="K691">
        <f t="shared" si="57"/>
        <v>0</v>
      </c>
      <c r="M691" t="str" cm="1">
        <f t="array" ref="M691">IFERROR(INDEX($I$2:$K$2,0,MATCH(TRUE,I691:K691,0)),E691)</f>
        <v>CCGT</v>
      </c>
      <c r="O691" t="str">
        <f t="shared" si="54"/>
        <v>CCGT_2040</v>
      </c>
      <c r="P691">
        <f t="shared" si="55"/>
        <v>78.5</v>
      </c>
    </row>
    <row r="692" spans="4:16" x14ac:dyDescent="0.25">
      <c r="D692">
        <v>2021</v>
      </c>
      <c r="E692" t="s">
        <v>123</v>
      </c>
      <c r="F692" t="s">
        <v>181</v>
      </c>
      <c r="G692">
        <v>31</v>
      </c>
      <c r="I692">
        <f t="shared" si="57"/>
        <v>0</v>
      </c>
      <c r="J692">
        <f t="shared" si="57"/>
        <v>0</v>
      </c>
      <c r="K692">
        <f t="shared" si="57"/>
        <v>0</v>
      </c>
      <c r="M692" t="str" cm="1">
        <f t="array" ref="M692">IFERROR(INDEX($I$2:$K$2,0,MATCH(TRUE,I692:K692,0)),E692)</f>
        <v>CCGT</v>
      </c>
      <c r="O692" t="str">
        <f t="shared" si="54"/>
        <v>CCGT_2021</v>
      </c>
      <c r="P692">
        <f t="shared" si="55"/>
        <v>31</v>
      </c>
    </row>
    <row r="693" spans="4:16" x14ac:dyDescent="0.25">
      <c r="D693">
        <v>2022</v>
      </c>
      <c r="E693" t="s">
        <v>123</v>
      </c>
      <c r="F693" t="s">
        <v>181</v>
      </c>
      <c r="G693">
        <v>31</v>
      </c>
      <c r="I693">
        <f t="shared" si="57"/>
        <v>0</v>
      </c>
      <c r="J693">
        <f t="shared" si="57"/>
        <v>0</v>
      </c>
      <c r="K693">
        <f t="shared" si="57"/>
        <v>0</v>
      </c>
      <c r="M693" t="str" cm="1">
        <f t="array" ref="M693">IFERROR(INDEX($I$2:$K$2,0,MATCH(TRUE,I693:K693,0)),E693)</f>
        <v>CCGT</v>
      </c>
      <c r="O693" t="str">
        <f t="shared" si="54"/>
        <v>CCGT_2022</v>
      </c>
      <c r="P693">
        <f t="shared" si="55"/>
        <v>31</v>
      </c>
    </row>
    <row r="694" spans="4:16" x14ac:dyDescent="0.25">
      <c r="D694">
        <v>2023</v>
      </c>
      <c r="E694" t="s">
        <v>123</v>
      </c>
      <c r="F694" t="s">
        <v>181</v>
      </c>
      <c r="G694">
        <v>31</v>
      </c>
      <c r="I694">
        <f t="shared" si="57"/>
        <v>0</v>
      </c>
      <c r="J694">
        <f t="shared" si="57"/>
        <v>0</v>
      </c>
      <c r="K694">
        <f t="shared" si="57"/>
        <v>0</v>
      </c>
      <c r="M694" t="str" cm="1">
        <f t="array" ref="M694">IFERROR(INDEX($I$2:$K$2,0,MATCH(TRUE,I694:K694,0)),E694)</f>
        <v>CCGT</v>
      </c>
      <c r="O694" t="str">
        <f t="shared" si="54"/>
        <v>CCGT_2023</v>
      </c>
      <c r="P694">
        <f t="shared" si="55"/>
        <v>31</v>
      </c>
    </row>
    <row r="695" spans="4:16" x14ac:dyDescent="0.25">
      <c r="D695">
        <v>2024</v>
      </c>
      <c r="E695" t="s">
        <v>123</v>
      </c>
      <c r="F695" t="s">
        <v>181</v>
      </c>
      <c r="G695">
        <v>31</v>
      </c>
      <c r="I695">
        <f t="shared" si="57"/>
        <v>0</v>
      </c>
      <c r="J695">
        <f t="shared" si="57"/>
        <v>0</v>
      </c>
      <c r="K695">
        <f t="shared" si="57"/>
        <v>0</v>
      </c>
      <c r="M695" t="str" cm="1">
        <f t="array" ref="M695">IFERROR(INDEX($I$2:$K$2,0,MATCH(TRUE,I695:K695,0)),E695)</f>
        <v>CCGT</v>
      </c>
      <c r="O695" t="str">
        <f t="shared" si="54"/>
        <v>CCGT_2024</v>
      </c>
      <c r="P695">
        <f t="shared" si="55"/>
        <v>31</v>
      </c>
    </row>
    <row r="696" spans="4:16" x14ac:dyDescent="0.25">
      <c r="D696">
        <v>2025</v>
      </c>
      <c r="E696" t="s">
        <v>123</v>
      </c>
      <c r="F696" t="s">
        <v>181</v>
      </c>
      <c r="G696">
        <v>31</v>
      </c>
      <c r="I696">
        <f t="shared" si="57"/>
        <v>0</v>
      </c>
      <c r="J696">
        <f t="shared" si="57"/>
        <v>0</v>
      </c>
      <c r="K696">
        <f t="shared" si="57"/>
        <v>0</v>
      </c>
      <c r="M696" t="str" cm="1">
        <f t="array" ref="M696">IFERROR(INDEX($I$2:$K$2,0,MATCH(TRUE,I696:K696,0)),E696)</f>
        <v>CCGT</v>
      </c>
      <c r="O696" t="str">
        <f t="shared" si="54"/>
        <v>CCGT_2025</v>
      </c>
      <c r="P696">
        <f t="shared" si="55"/>
        <v>31</v>
      </c>
    </row>
    <row r="697" spans="4:16" x14ac:dyDescent="0.25">
      <c r="D697">
        <v>2026</v>
      </c>
      <c r="E697" t="s">
        <v>123</v>
      </c>
      <c r="F697" t="s">
        <v>181</v>
      </c>
      <c r="G697">
        <v>31</v>
      </c>
      <c r="I697">
        <f t="shared" si="57"/>
        <v>0</v>
      </c>
      <c r="J697">
        <f t="shared" si="57"/>
        <v>0</v>
      </c>
      <c r="K697">
        <f t="shared" si="57"/>
        <v>0</v>
      </c>
      <c r="M697" t="str" cm="1">
        <f t="array" ref="M697">IFERROR(INDEX($I$2:$K$2,0,MATCH(TRUE,I697:K697,0)),E697)</f>
        <v>CCGT</v>
      </c>
      <c r="O697" t="str">
        <f t="shared" si="54"/>
        <v>CCGT_2026</v>
      </c>
      <c r="P697">
        <f t="shared" si="55"/>
        <v>31</v>
      </c>
    </row>
    <row r="698" spans="4:16" x14ac:dyDescent="0.25">
      <c r="D698">
        <v>2027</v>
      </c>
      <c r="E698" t="s">
        <v>123</v>
      </c>
      <c r="F698" t="s">
        <v>181</v>
      </c>
      <c r="G698">
        <v>31</v>
      </c>
      <c r="I698">
        <f t="shared" si="57"/>
        <v>0</v>
      </c>
      <c r="J698">
        <f t="shared" si="57"/>
        <v>0</v>
      </c>
      <c r="K698">
        <f t="shared" si="57"/>
        <v>0</v>
      </c>
      <c r="M698" t="str" cm="1">
        <f t="array" ref="M698">IFERROR(INDEX($I$2:$K$2,0,MATCH(TRUE,I698:K698,0)),E698)</f>
        <v>CCGT</v>
      </c>
      <c r="O698" t="str">
        <f t="shared" si="54"/>
        <v>CCGT_2027</v>
      </c>
      <c r="P698">
        <f t="shared" si="55"/>
        <v>31</v>
      </c>
    </row>
    <row r="699" spans="4:16" x14ac:dyDescent="0.25">
      <c r="D699">
        <v>2028</v>
      </c>
      <c r="E699" t="s">
        <v>123</v>
      </c>
      <c r="F699" t="s">
        <v>181</v>
      </c>
      <c r="G699">
        <v>31</v>
      </c>
      <c r="I699">
        <f t="shared" si="57"/>
        <v>0</v>
      </c>
      <c r="J699">
        <f t="shared" si="57"/>
        <v>0</v>
      </c>
      <c r="K699">
        <f t="shared" si="57"/>
        <v>0</v>
      </c>
      <c r="M699" t="str" cm="1">
        <f t="array" ref="M699">IFERROR(INDEX($I$2:$K$2,0,MATCH(TRUE,I699:K699,0)),E699)</f>
        <v>CCGT</v>
      </c>
      <c r="O699" t="str">
        <f t="shared" si="54"/>
        <v>CCGT_2028</v>
      </c>
      <c r="P699">
        <f t="shared" si="55"/>
        <v>31</v>
      </c>
    </row>
    <row r="700" spans="4:16" x14ac:dyDescent="0.25">
      <c r="D700">
        <v>2029</v>
      </c>
      <c r="E700" t="s">
        <v>123</v>
      </c>
      <c r="F700" t="s">
        <v>181</v>
      </c>
      <c r="G700">
        <v>31</v>
      </c>
      <c r="I700">
        <f t="shared" si="57"/>
        <v>0</v>
      </c>
      <c r="J700">
        <f t="shared" si="57"/>
        <v>0</v>
      </c>
      <c r="K700">
        <f t="shared" si="57"/>
        <v>0</v>
      </c>
      <c r="M700" t="str" cm="1">
        <f t="array" ref="M700">IFERROR(INDEX($I$2:$K$2,0,MATCH(TRUE,I700:K700,0)),E700)</f>
        <v>CCGT</v>
      </c>
      <c r="O700" t="str">
        <f t="shared" si="54"/>
        <v>CCGT_2029</v>
      </c>
      <c r="P700">
        <f t="shared" si="55"/>
        <v>31</v>
      </c>
    </row>
    <row r="701" spans="4:16" x14ac:dyDescent="0.25">
      <c r="D701">
        <v>2030</v>
      </c>
      <c r="E701" t="s">
        <v>123</v>
      </c>
      <c r="F701" t="s">
        <v>181</v>
      </c>
      <c r="G701">
        <v>31</v>
      </c>
      <c r="I701">
        <f t="shared" si="57"/>
        <v>0</v>
      </c>
      <c r="J701">
        <f t="shared" si="57"/>
        <v>0</v>
      </c>
      <c r="K701">
        <f t="shared" si="57"/>
        <v>0</v>
      </c>
      <c r="M701" t="str" cm="1">
        <f t="array" ref="M701">IFERROR(INDEX($I$2:$K$2,0,MATCH(TRUE,I701:K701,0)),E701)</f>
        <v>CCGT</v>
      </c>
      <c r="O701" t="str">
        <f t="shared" si="54"/>
        <v>CCGT_2030</v>
      </c>
      <c r="P701">
        <f t="shared" si="55"/>
        <v>31</v>
      </c>
    </row>
    <row r="702" spans="4:16" x14ac:dyDescent="0.25">
      <c r="D702">
        <v>2031</v>
      </c>
      <c r="E702" t="s">
        <v>123</v>
      </c>
      <c r="F702" t="s">
        <v>181</v>
      </c>
      <c r="G702">
        <v>31</v>
      </c>
      <c r="I702">
        <f t="shared" si="57"/>
        <v>0</v>
      </c>
      <c r="J702">
        <f t="shared" si="57"/>
        <v>0</v>
      </c>
      <c r="K702">
        <f t="shared" si="57"/>
        <v>0</v>
      </c>
      <c r="M702" t="str" cm="1">
        <f t="array" ref="M702">IFERROR(INDEX($I$2:$K$2,0,MATCH(TRUE,I702:K702,0)),E702)</f>
        <v>CCGT</v>
      </c>
      <c r="O702" t="str">
        <f t="shared" si="54"/>
        <v>CCGT_2031</v>
      </c>
      <c r="P702">
        <f t="shared" si="55"/>
        <v>31</v>
      </c>
    </row>
    <row r="703" spans="4:16" x14ac:dyDescent="0.25">
      <c r="D703">
        <v>2032</v>
      </c>
      <c r="E703" t="s">
        <v>123</v>
      </c>
      <c r="F703" t="s">
        <v>181</v>
      </c>
      <c r="G703">
        <v>31</v>
      </c>
      <c r="I703">
        <f t="shared" si="57"/>
        <v>0</v>
      </c>
      <c r="J703">
        <f t="shared" si="57"/>
        <v>0</v>
      </c>
      <c r="K703">
        <f t="shared" si="57"/>
        <v>0</v>
      </c>
      <c r="M703" t="str" cm="1">
        <f t="array" ref="M703">IFERROR(INDEX($I$2:$K$2,0,MATCH(TRUE,I703:K703,0)),E703)</f>
        <v>CCGT</v>
      </c>
      <c r="O703" t="str">
        <f t="shared" si="54"/>
        <v>CCGT_2032</v>
      </c>
      <c r="P703">
        <f t="shared" si="55"/>
        <v>31</v>
      </c>
    </row>
    <row r="704" spans="4:16" x14ac:dyDescent="0.25">
      <c r="D704">
        <v>2033</v>
      </c>
      <c r="E704" t="s">
        <v>123</v>
      </c>
      <c r="F704" t="s">
        <v>181</v>
      </c>
      <c r="G704">
        <v>31</v>
      </c>
      <c r="I704">
        <f t="shared" ref="I704:K723" si="58">IFERROR(FIND(I$2,$E704,1)&gt;0,0)</f>
        <v>0</v>
      </c>
      <c r="J704">
        <f t="shared" si="58"/>
        <v>0</v>
      </c>
      <c r="K704">
        <f t="shared" si="58"/>
        <v>0</v>
      </c>
      <c r="M704" t="str" cm="1">
        <f t="array" ref="M704">IFERROR(INDEX($I$2:$K$2,0,MATCH(TRUE,I704:K704,0)),E704)</f>
        <v>CCGT</v>
      </c>
      <c r="O704" t="str">
        <f t="shared" si="54"/>
        <v>CCGT_2033</v>
      </c>
      <c r="P704">
        <f t="shared" si="55"/>
        <v>31</v>
      </c>
    </row>
    <row r="705" spans="4:16" x14ac:dyDescent="0.25">
      <c r="D705">
        <v>2034</v>
      </c>
      <c r="E705" t="s">
        <v>123</v>
      </c>
      <c r="F705" t="s">
        <v>181</v>
      </c>
      <c r="G705">
        <v>31</v>
      </c>
      <c r="I705">
        <f t="shared" si="58"/>
        <v>0</v>
      </c>
      <c r="J705">
        <f t="shared" si="58"/>
        <v>0</v>
      </c>
      <c r="K705">
        <f t="shared" si="58"/>
        <v>0</v>
      </c>
      <c r="M705" t="str" cm="1">
        <f t="array" ref="M705">IFERROR(INDEX($I$2:$K$2,0,MATCH(TRUE,I705:K705,0)),E705)</f>
        <v>CCGT</v>
      </c>
      <c r="O705" t="str">
        <f t="shared" si="54"/>
        <v>CCGT_2034</v>
      </c>
      <c r="P705">
        <f t="shared" si="55"/>
        <v>31</v>
      </c>
    </row>
    <row r="706" spans="4:16" x14ac:dyDescent="0.25">
      <c r="D706">
        <v>2035</v>
      </c>
      <c r="E706" t="s">
        <v>123</v>
      </c>
      <c r="F706" t="s">
        <v>181</v>
      </c>
      <c r="G706">
        <v>31</v>
      </c>
      <c r="I706">
        <f t="shared" si="58"/>
        <v>0</v>
      </c>
      <c r="J706">
        <f t="shared" si="58"/>
        <v>0</v>
      </c>
      <c r="K706">
        <f t="shared" si="58"/>
        <v>0</v>
      </c>
      <c r="M706" t="str" cm="1">
        <f t="array" ref="M706">IFERROR(INDEX($I$2:$K$2,0,MATCH(TRUE,I706:K706,0)),E706)</f>
        <v>CCGT</v>
      </c>
      <c r="O706" t="str">
        <f t="shared" si="54"/>
        <v>CCGT_2035</v>
      </c>
      <c r="P706">
        <f t="shared" si="55"/>
        <v>31</v>
      </c>
    </row>
    <row r="707" spans="4:16" x14ac:dyDescent="0.25">
      <c r="D707">
        <v>2036</v>
      </c>
      <c r="E707" t="s">
        <v>123</v>
      </c>
      <c r="F707" t="s">
        <v>181</v>
      </c>
      <c r="G707">
        <v>31</v>
      </c>
      <c r="I707">
        <f t="shared" si="58"/>
        <v>0</v>
      </c>
      <c r="J707">
        <f t="shared" si="58"/>
        <v>0</v>
      </c>
      <c r="K707">
        <f t="shared" si="58"/>
        <v>0</v>
      </c>
      <c r="M707" t="str" cm="1">
        <f t="array" ref="M707">IFERROR(INDEX($I$2:$K$2,0,MATCH(TRUE,I707:K707,0)),E707)</f>
        <v>CCGT</v>
      </c>
      <c r="O707" t="str">
        <f t="shared" si="54"/>
        <v>CCGT_2036</v>
      </c>
      <c r="P707">
        <f t="shared" si="55"/>
        <v>31</v>
      </c>
    </row>
    <row r="708" spans="4:16" x14ac:dyDescent="0.25">
      <c r="D708">
        <v>2037</v>
      </c>
      <c r="E708" t="s">
        <v>123</v>
      </c>
      <c r="F708" t="s">
        <v>181</v>
      </c>
      <c r="G708">
        <v>31</v>
      </c>
      <c r="I708">
        <f t="shared" si="58"/>
        <v>0</v>
      </c>
      <c r="J708">
        <f t="shared" si="58"/>
        <v>0</v>
      </c>
      <c r="K708">
        <f t="shared" si="58"/>
        <v>0</v>
      </c>
      <c r="M708" t="str" cm="1">
        <f t="array" ref="M708">IFERROR(INDEX($I$2:$K$2,0,MATCH(TRUE,I708:K708,0)),E708)</f>
        <v>CCGT</v>
      </c>
      <c r="O708" t="str">
        <f t="shared" ref="O708:O771" si="59">M708&amp;"_"&amp;D708</f>
        <v>CCGT_2037</v>
      </c>
      <c r="P708">
        <f t="shared" ref="P708:P771" si="60">G708</f>
        <v>31</v>
      </c>
    </row>
    <row r="709" spans="4:16" x14ac:dyDescent="0.25">
      <c r="D709">
        <v>2038</v>
      </c>
      <c r="E709" t="s">
        <v>123</v>
      </c>
      <c r="F709" t="s">
        <v>181</v>
      </c>
      <c r="G709">
        <v>31</v>
      </c>
      <c r="I709">
        <f t="shared" si="58"/>
        <v>0</v>
      </c>
      <c r="J709">
        <f t="shared" si="58"/>
        <v>0</v>
      </c>
      <c r="K709">
        <f t="shared" si="58"/>
        <v>0</v>
      </c>
      <c r="M709" t="str" cm="1">
        <f t="array" ref="M709">IFERROR(INDEX($I$2:$K$2,0,MATCH(TRUE,I709:K709,0)),E709)</f>
        <v>CCGT</v>
      </c>
      <c r="O709" t="str">
        <f t="shared" si="59"/>
        <v>CCGT_2038</v>
      </c>
      <c r="P709">
        <f t="shared" si="60"/>
        <v>31</v>
      </c>
    </row>
    <row r="710" spans="4:16" x14ac:dyDescent="0.25">
      <c r="D710">
        <v>2039</v>
      </c>
      <c r="E710" t="s">
        <v>123</v>
      </c>
      <c r="F710" t="s">
        <v>181</v>
      </c>
      <c r="G710">
        <v>31</v>
      </c>
      <c r="I710">
        <f t="shared" si="58"/>
        <v>0</v>
      </c>
      <c r="J710">
        <f t="shared" si="58"/>
        <v>0</v>
      </c>
      <c r="K710">
        <f t="shared" si="58"/>
        <v>0</v>
      </c>
      <c r="M710" t="str" cm="1">
        <f t="array" ref="M710">IFERROR(INDEX($I$2:$K$2,0,MATCH(TRUE,I710:K710,0)),E710)</f>
        <v>CCGT</v>
      </c>
      <c r="O710" t="str">
        <f t="shared" si="59"/>
        <v>CCGT_2039</v>
      </c>
      <c r="P710">
        <f t="shared" si="60"/>
        <v>31</v>
      </c>
    </row>
    <row r="711" spans="4:16" x14ac:dyDescent="0.25">
      <c r="D711">
        <v>2040</v>
      </c>
      <c r="E711" t="s">
        <v>123</v>
      </c>
      <c r="F711" t="s">
        <v>181</v>
      </c>
      <c r="G711">
        <v>31</v>
      </c>
      <c r="I711">
        <f t="shared" si="58"/>
        <v>0</v>
      </c>
      <c r="J711">
        <f t="shared" si="58"/>
        <v>0</v>
      </c>
      <c r="K711">
        <f t="shared" si="58"/>
        <v>0</v>
      </c>
      <c r="M711" t="str" cm="1">
        <f t="array" ref="M711">IFERROR(INDEX($I$2:$K$2,0,MATCH(TRUE,I711:K711,0)),E711)</f>
        <v>CCGT</v>
      </c>
      <c r="O711" t="str">
        <f t="shared" si="59"/>
        <v>CCGT_2040</v>
      </c>
      <c r="P711">
        <f t="shared" si="60"/>
        <v>31</v>
      </c>
    </row>
    <row r="712" spans="4:16" x14ac:dyDescent="0.25">
      <c r="D712">
        <v>2021</v>
      </c>
      <c r="E712" t="s">
        <v>123</v>
      </c>
      <c r="F712" t="s">
        <v>182</v>
      </c>
      <c r="G712">
        <v>75</v>
      </c>
      <c r="I712">
        <f t="shared" si="58"/>
        <v>0</v>
      </c>
      <c r="J712">
        <f t="shared" si="58"/>
        <v>0</v>
      </c>
      <c r="K712">
        <f t="shared" si="58"/>
        <v>0</v>
      </c>
      <c r="M712" t="str" cm="1">
        <f t="array" ref="M712">IFERROR(INDEX($I$2:$K$2,0,MATCH(TRUE,I712:K712,0)),E712)</f>
        <v>CCGT</v>
      </c>
      <c r="O712" t="str">
        <f t="shared" si="59"/>
        <v>CCGT_2021</v>
      </c>
      <c r="P712">
        <f t="shared" si="60"/>
        <v>75</v>
      </c>
    </row>
    <row r="713" spans="4:16" x14ac:dyDescent="0.25">
      <c r="D713">
        <v>2022</v>
      </c>
      <c r="E713" t="s">
        <v>123</v>
      </c>
      <c r="F713" t="s">
        <v>182</v>
      </c>
      <c r="G713">
        <v>75</v>
      </c>
      <c r="I713">
        <f t="shared" si="58"/>
        <v>0</v>
      </c>
      <c r="J713">
        <f t="shared" si="58"/>
        <v>0</v>
      </c>
      <c r="K713">
        <f t="shared" si="58"/>
        <v>0</v>
      </c>
      <c r="M713" t="str" cm="1">
        <f t="array" ref="M713">IFERROR(INDEX($I$2:$K$2,0,MATCH(TRUE,I713:K713,0)),E713)</f>
        <v>CCGT</v>
      </c>
      <c r="O713" t="str">
        <f t="shared" si="59"/>
        <v>CCGT_2022</v>
      </c>
      <c r="P713">
        <f t="shared" si="60"/>
        <v>75</v>
      </c>
    </row>
    <row r="714" spans="4:16" x14ac:dyDescent="0.25">
      <c r="D714">
        <v>2023</v>
      </c>
      <c r="E714" t="s">
        <v>123</v>
      </c>
      <c r="F714" t="s">
        <v>182</v>
      </c>
      <c r="G714">
        <v>75</v>
      </c>
      <c r="I714">
        <f t="shared" si="58"/>
        <v>0</v>
      </c>
      <c r="J714">
        <f t="shared" si="58"/>
        <v>0</v>
      </c>
      <c r="K714">
        <f t="shared" si="58"/>
        <v>0</v>
      </c>
      <c r="M714" t="str" cm="1">
        <f t="array" ref="M714">IFERROR(INDEX($I$2:$K$2,0,MATCH(TRUE,I714:K714,0)),E714)</f>
        <v>CCGT</v>
      </c>
      <c r="O714" t="str">
        <f t="shared" si="59"/>
        <v>CCGT_2023</v>
      </c>
      <c r="P714">
        <f t="shared" si="60"/>
        <v>75</v>
      </c>
    </row>
    <row r="715" spans="4:16" x14ac:dyDescent="0.25">
      <c r="D715">
        <v>2024</v>
      </c>
      <c r="E715" t="s">
        <v>123</v>
      </c>
      <c r="F715" t="s">
        <v>182</v>
      </c>
      <c r="G715">
        <v>75</v>
      </c>
      <c r="I715">
        <f t="shared" si="58"/>
        <v>0</v>
      </c>
      <c r="J715">
        <f t="shared" si="58"/>
        <v>0</v>
      </c>
      <c r="K715">
        <f t="shared" si="58"/>
        <v>0</v>
      </c>
      <c r="M715" t="str" cm="1">
        <f t="array" ref="M715">IFERROR(INDEX($I$2:$K$2,0,MATCH(TRUE,I715:K715,0)),E715)</f>
        <v>CCGT</v>
      </c>
      <c r="O715" t="str">
        <f t="shared" si="59"/>
        <v>CCGT_2024</v>
      </c>
      <c r="P715">
        <f t="shared" si="60"/>
        <v>75</v>
      </c>
    </row>
    <row r="716" spans="4:16" x14ac:dyDescent="0.25">
      <c r="D716">
        <v>2025</v>
      </c>
      <c r="E716" t="s">
        <v>123</v>
      </c>
      <c r="F716" t="s">
        <v>182</v>
      </c>
      <c r="G716">
        <v>75</v>
      </c>
      <c r="I716">
        <f t="shared" si="58"/>
        <v>0</v>
      </c>
      <c r="J716">
        <f t="shared" si="58"/>
        <v>0</v>
      </c>
      <c r="K716">
        <f t="shared" si="58"/>
        <v>0</v>
      </c>
      <c r="M716" t="str" cm="1">
        <f t="array" ref="M716">IFERROR(INDEX($I$2:$K$2,0,MATCH(TRUE,I716:K716,0)),E716)</f>
        <v>CCGT</v>
      </c>
      <c r="O716" t="str">
        <f t="shared" si="59"/>
        <v>CCGT_2025</v>
      </c>
      <c r="P716">
        <f t="shared" si="60"/>
        <v>75</v>
      </c>
    </row>
    <row r="717" spans="4:16" x14ac:dyDescent="0.25">
      <c r="D717">
        <v>2026</v>
      </c>
      <c r="E717" t="s">
        <v>123</v>
      </c>
      <c r="F717" t="s">
        <v>182</v>
      </c>
      <c r="G717">
        <v>75</v>
      </c>
      <c r="I717">
        <f t="shared" si="58"/>
        <v>0</v>
      </c>
      <c r="J717">
        <f t="shared" si="58"/>
        <v>0</v>
      </c>
      <c r="K717">
        <f t="shared" si="58"/>
        <v>0</v>
      </c>
      <c r="M717" t="str" cm="1">
        <f t="array" ref="M717">IFERROR(INDEX($I$2:$K$2,0,MATCH(TRUE,I717:K717,0)),E717)</f>
        <v>CCGT</v>
      </c>
      <c r="O717" t="str">
        <f t="shared" si="59"/>
        <v>CCGT_2026</v>
      </c>
      <c r="P717">
        <f t="shared" si="60"/>
        <v>75</v>
      </c>
    </row>
    <row r="718" spans="4:16" x14ac:dyDescent="0.25">
      <c r="D718">
        <v>2027</v>
      </c>
      <c r="E718" t="s">
        <v>123</v>
      </c>
      <c r="F718" t="s">
        <v>182</v>
      </c>
      <c r="G718">
        <v>75</v>
      </c>
      <c r="I718">
        <f t="shared" si="58"/>
        <v>0</v>
      </c>
      <c r="J718">
        <f t="shared" si="58"/>
        <v>0</v>
      </c>
      <c r="K718">
        <f t="shared" si="58"/>
        <v>0</v>
      </c>
      <c r="M718" t="str" cm="1">
        <f t="array" ref="M718">IFERROR(INDEX($I$2:$K$2,0,MATCH(TRUE,I718:K718,0)),E718)</f>
        <v>CCGT</v>
      </c>
      <c r="O718" t="str">
        <f t="shared" si="59"/>
        <v>CCGT_2027</v>
      </c>
      <c r="P718">
        <f t="shared" si="60"/>
        <v>75</v>
      </c>
    </row>
    <row r="719" spans="4:16" x14ac:dyDescent="0.25">
      <c r="D719">
        <v>2028</v>
      </c>
      <c r="E719" t="s">
        <v>123</v>
      </c>
      <c r="F719" t="s">
        <v>182</v>
      </c>
      <c r="G719">
        <v>75</v>
      </c>
      <c r="I719">
        <f t="shared" si="58"/>
        <v>0</v>
      </c>
      <c r="J719">
        <f t="shared" si="58"/>
        <v>0</v>
      </c>
      <c r="K719">
        <f t="shared" si="58"/>
        <v>0</v>
      </c>
      <c r="M719" t="str" cm="1">
        <f t="array" ref="M719">IFERROR(INDEX($I$2:$K$2,0,MATCH(TRUE,I719:K719,0)),E719)</f>
        <v>CCGT</v>
      </c>
      <c r="O719" t="str">
        <f t="shared" si="59"/>
        <v>CCGT_2028</v>
      </c>
      <c r="P719">
        <f t="shared" si="60"/>
        <v>75</v>
      </c>
    </row>
    <row r="720" spans="4:16" x14ac:dyDescent="0.25">
      <c r="D720">
        <v>2029</v>
      </c>
      <c r="E720" t="s">
        <v>123</v>
      </c>
      <c r="F720" t="s">
        <v>182</v>
      </c>
      <c r="G720">
        <v>75</v>
      </c>
      <c r="I720">
        <f t="shared" si="58"/>
        <v>0</v>
      </c>
      <c r="J720">
        <f t="shared" si="58"/>
        <v>0</v>
      </c>
      <c r="K720">
        <f t="shared" si="58"/>
        <v>0</v>
      </c>
      <c r="M720" t="str" cm="1">
        <f t="array" ref="M720">IFERROR(INDEX($I$2:$K$2,0,MATCH(TRUE,I720:K720,0)),E720)</f>
        <v>CCGT</v>
      </c>
      <c r="O720" t="str">
        <f t="shared" si="59"/>
        <v>CCGT_2029</v>
      </c>
      <c r="P720">
        <f t="shared" si="60"/>
        <v>75</v>
      </c>
    </row>
    <row r="721" spans="4:16" x14ac:dyDescent="0.25">
      <c r="D721">
        <v>2030</v>
      </c>
      <c r="E721" t="s">
        <v>123</v>
      </c>
      <c r="F721" t="s">
        <v>182</v>
      </c>
      <c r="G721">
        <v>75</v>
      </c>
      <c r="I721">
        <f t="shared" si="58"/>
        <v>0</v>
      </c>
      <c r="J721">
        <f t="shared" si="58"/>
        <v>0</v>
      </c>
      <c r="K721">
        <f t="shared" si="58"/>
        <v>0</v>
      </c>
      <c r="M721" t="str" cm="1">
        <f t="array" ref="M721">IFERROR(INDEX($I$2:$K$2,0,MATCH(TRUE,I721:K721,0)),E721)</f>
        <v>CCGT</v>
      </c>
      <c r="O721" t="str">
        <f t="shared" si="59"/>
        <v>CCGT_2030</v>
      </c>
      <c r="P721">
        <f t="shared" si="60"/>
        <v>75</v>
      </c>
    </row>
    <row r="722" spans="4:16" x14ac:dyDescent="0.25">
      <c r="D722">
        <v>2031</v>
      </c>
      <c r="E722" t="s">
        <v>123</v>
      </c>
      <c r="F722" t="s">
        <v>182</v>
      </c>
      <c r="G722">
        <v>75</v>
      </c>
      <c r="I722">
        <f t="shared" si="58"/>
        <v>0</v>
      </c>
      <c r="J722">
        <f t="shared" si="58"/>
        <v>0</v>
      </c>
      <c r="K722">
        <f t="shared" si="58"/>
        <v>0</v>
      </c>
      <c r="M722" t="str" cm="1">
        <f t="array" ref="M722">IFERROR(INDEX($I$2:$K$2,0,MATCH(TRUE,I722:K722,0)),E722)</f>
        <v>CCGT</v>
      </c>
      <c r="O722" t="str">
        <f t="shared" si="59"/>
        <v>CCGT_2031</v>
      </c>
      <c r="P722">
        <f t="shared" si="60"/>
        <v>75</v>
      </c>
    </row>
    <row r="723" spans="4:16" x14ac:dyDescent="0.25">
      <c r="D723">
        <v>2032</v>
      </c>
      <c r="E723" t="s">
        <v>123</v>
      </c>
      <c r="F723" t="s">
        <v>182</v>
      </c>
      <c r="G723">
        <v>75</v>
      </c>
      <c r="I723">
        <f t="shared" si="58"/>
        <v>0</v>
      </c>
      <c r="J723">
        <f t="shared" si="58"/>
        <v>0</v>
      </c>
      <c r="K723">
        <f t="shared" si="58"/>
        <v>0</v>
      </c>
      <c r="M723" t="str" cm="1">
        <f t="array" ref="M723">IFERROR(INDEX($I$2:$K$2,0,MATCH(TRUE,I723:K723,0)),E723)</f>
        <v>CCGT</v>
      </c>
      <c r="O723" t="str">
        <f t="shared" si="59"/>
        <v>CCGT_2032</v>
      </c>
      <c r="P723">
        <f t="shared" si="60"/>
        <v>75</v>
      </c>
    </row>
    <row r="724" spans="4:16" x14ac:dyDescent="0.25">
      <c r="D724">
        <v>2033</v>
      </c>
      <c r="E724" t="s">
        <v>123</v>
      </c>
      <c r="F724" t="s">
        <v>182</v>
      </c>
      <c r="G724">
        <v>75</v>
      </c>
      <c r="I724">
        <f t="shared" ref="I724:K743" si="61">IFERROR(FIND(I$2,$E724,1)&gt;0,0)</f>
        <v>0</v>
      </c>
      <c r="J724">
        <f t="shared" si="61"/>
        <v>0</v>
      </c>
      <c r="K724">
        <f t="shared" si="61"/>
        <v>0</v>
      </c>
      <c r="M724" t="str" cm="1">
        <f t="array" ref="M724">IFERROR(INDEX($I$2:$K$2,0,MATCH(TRUE,I724:K724,0)),E724)</f>
        <v>CCGT</v>
      </c>
      <c r="O724" t="str">
        <f t="shared" si="59"/>
        <v>CCGT_2033</v>
      </c>
      <c r="P724">
        <f t="shared" si="60"/>
        <v>75</v>
      </c>
    </row>
    <row r="725" spans="4:16" x14ac:dyDescent="0.25">
      <c r="D725">
        <v>2034</v>
      </c>
      <c r="E725" t="s">
        <v>123</v>
      </c>
      <c r="F725" t="s">
        <v>182</v>
      </c>
      <c r="G725">
        <v>75</v>
      </c>
      <c r="I725">
        <f t="shared" si="61"/>
        <v>0</v>
      </c>
      <c r="J725">
        <f t="shared" si="61"/>
        <v>0</v>
      </c>
      <c r="K725">
        <f t="shared" si="61"/>
        <v>0</v>
      </c>
      <c r="M725" t="str" cm="1">
        <f t="array" ref="M725">IFERROR(INDEX($I$2:$K$2,0,MATCH(TRUE,I725:K725,0)),E725)</f>
        <v>CCGT</v>
      </c>
      <c r="O725" t="str">
        <f t="shared" si="59"/>
        <v>CCGT_2034</v>
      </c>
      <c r="P725">
        <f t="shared" si="60"/>
        <v>75</v>
      </c>
    </row>
    <row r="726" spans="4:16" x14ac:dyDescent="0.25">
      <c r="D726">
        <v>2035</v>
      </c>
      <c r="E726" t="s">
        <v>123</v>
      </c>
      <c r="F726" t="s">
        <v>182</v>
      </c>
      <c r="G726">
        <v>75</v>
      </c>
      <c r="I726">
        <f t="shared" si="61"/>
        <v>0</v>
      </c>
      <c r="J726">
        <f t="shared" si="61"/>
        <v>0</v>
      </c>
      <c r="K726">
        <f t="shared" si="61"/>
        <v>0</v>
      </c>
      <c r="M726" t="str" cm="1">
        <f t="array" ref="M726">IFERROR(INDEX($I$2:$K$2,0,MATCH(TRUE,I726:K726,0)),E726)</f>
        <v>CCGT</v>
      </c>
      <c r="O726" t="str">
        <f t="shared" si="59"/>
        <v>CCGT_2035</v>
      </c>
      <c r="P726">
        <f t="shared" si="60"/>
        <v>75</v>
      </c>
    </row>
    <row r="727" spans="4:16" x14ac:dyDescent="0.25">
      <c r="D727">
        <v>2036</v>
      </c>
      <c r="E727" t="s">
        <v>123</v>
      </c>
      <c r="F727" t="s">
        <v>182</v>
      </c>
      <c r="G727">
        <v>75</v>
      </c>
      <c r="I727">
        <f t="shared" si="61"/>
        <v>0</v>
      </c>
      <c r="J727">
        <f t="shared" si="61"/>
        <v>0</v>
      </c>
      <c r="K727">
        <f t="shared" si="61"/>
        <v>0</v>
      </c>
      <c r="M727" t="str" cm="1">
        <f t="array" ref="M727">IFERROR(INDEX($I$2:$K$2,0,MATCH(TRUE,I727:K727,0)),E727)</f>
        <v>CCGT</v>
      </c>
      <c r="O727" t="str">
        <f t="shared" si="59"/>
        <v>CCGT_2036</v>
      </c>
      <c r="P727">
        <f t="shared" si="60"/>
        <v>75</v>
      </c>
    </row>
    <row r="728" spans="4:16" x14ac:dyDescent="0.25">
      <c r="D728">
        <v>2037</v>
      </c>
      <c r="E728" t="s">
        <v>123</v>
      </c>
      <c r="F728" t="s">
        <v>182</v>
      </c>
      <c r="G728">
        <v>75</v>
      </c>
      <c r="I728">
        <f t="shared" si="61"/>
        <v>0</v>
      </c>
      <c r="J728">
        <f t="shared" si="61"/>
        <v>0</v>
      </c>
      <c r="K728">
        <f t="shared" si="61"/>
        <v>0</v>
      </c>
      <c r="M728" t="str" cm="1">
        <f t="array" ref="M728">IFERROR(INDEX($I$2:$K$2,0,MATCH(TRUE,I728:K728,0)),E728)</f>
        <v>CCGT</v>
      </c>
      <c r="O728" t="str">
        <f t="shared" si="59"/>
        <v>CCGT_2037</v>
      </c>
      <c r="P728">
        <f t="shared" si="60"/>
        <v>75</v>
      </c>
    </row>
    <row r="729" spans="4:16" x14ac:dyDescent="0.25">
      <c r="D729">
        <v>2038</v>
      </c>
      <c r="E729" t="s">
        <v>123</v>
      </c>
      <c r="F729" t="s">
        <v>182</v>
      </c>
      <c r="G729">
        <v>75</v>
      </c>
      <c r="I729">
        <f t="shared" si="61"/>
        <v>0</v>
      </c>
      <c r="J729">
        <f t="shared" si="61"/>
        <v>0</v>
      </c>
      <c r="K729">
        <f t="shared" si="61"/>
        <v>0</v>
      </c>
      <c r="M729" t="str" cm="1">
        <f t="array" ref="M729">IFERROR(INDEX($I$2:$K$2,0,MATCH(TRUE,I729:K729,0)),E729)</f>
        <v>CCGT</v>
      </c>
      <c r="O729" t="str">
        <f t="shared" si="59"/>
        <v>CCGT_2038</v>
      </c>
      <c r="P729">
        <f t="shared" si="60"/>
        <v>75</v>
      </c>
    </row>
    <row r="730" spans="4:16" x14ac:dyDescent="0.25">
      <c r="D730">
        <v>2039</v>
      </c>
      <c r="E730" t="s">
        <v>123</v>
      </c>
      <c r="F730" t="s">
        <v>182</v>
      </c>
      <c r="G730">
        <v>75</v>
      </c>
      <c r="I730">
        <f t="shared" si="61"/>
        <v>0</v>
      </c>
      <c r="J730">
        <f t="shared" si="61"/>
        <v>0</v>
      </c>
      <c r="K730">
        <f t="shared" si="61"/>
        <v>0</v>
      </c>
      <c r="M730" t="str" cm="1">
        <f t="array" ref="M730">IFERROR(INDEX($I$2:$K$2,0,MATCH(TRUE,I730:K730,0)),E730)</f>
        <v>CCGT</v>
      </c>
      <c r="O730" t="str">
        <f t="shared" si="59"/>
        <v>CCGT_2039</v>
      </c>
      <c r="P730">
        <f t="shared" si="60"/>
        <v>75</v>
      </c>
    </row>
    <row r="731" spans="4:16" x14ac:dyDescent="0.25">
      <c r="D731">
        <v>2040</v>
      </c>
      <c r="E731" t="s">
        <v>123</v>
      </c>
      <c r="F731" t="s">
        <v>182</v>
      </c>
      <c r="G731">
        <v>75</v>
      </c>
      <c r="I731">
        <f t="shared" si="61"/>
        <v>0</v>
      </c>
      <c r="J731">
        <f t="shared" si="61"/>
        <v>0</v>
      </c>
      <c r="K731">
        <f t="shared" si="61"/>
        <v>0</v>
      </c>
      <c r="M731" t="str" cm="1">
        <f t="array" ref="M731">IFERROR(INDEX($I$2:$K$2,0,MATCH(TRUE,I731:K731,0)),E731)</f>
        <v>CCGT</v>
      </c>
      <c r="O731" t="str">
        <f t="shared" si="59"/>
        <v>CCGT_2040</v>
      </c>
      <c r="P731">
        <f t="shared" si="60"/>
        <v>75</v>
      </c>
    </row>
    <row r="732" spans="4:16" x14ac:dyDescent="0.25">
      <c r="D732">
        <v>2021</v>
      </c>
      <c r="E732" t="s">
        <v>123</v>
      </c>
      <c r="F732" t="s">
        <v>183</v>
      </c>
      <c r="G732">
        <v>47</v>
      </c>
      <c r="I732">
        <f t="shared" si="61"/>
        <v>0</v>
      </c>
      <c r="J732">
        <f t="shared" si="61"/>
        <v>0</v>
      </c>
      <c r="K732">
        <f t="shared" si="61"/>
        <v>0</v>
      </c>
      <c r="M732" t="str" cm="1">
        <f t="array" ref="M732">IFERROR(INDEX($I$2:$K$2,0,MATCH(TRUE,I732:K732,0)),E732)</f>
        <v>CCGT</v>
      </c>
      <c r="O732" t="str">
        <f t="shared" si="59"/>
        <v>CCGT_2021</v>
      </c>
      <c r="P732">
        <f t="shared" si="60"/>
        <v>47</v>
      </c>
    </row>
    <row r="733" spans="4:16" x14ac:dyDescent="0.25">
      <c r="D733">
        <v>2022</v>
      </c>
      <c r="E733" t="s">
        <v>123</v>
      </c>
      <c r="F733" t="s">
        <v>183</v>
      </c>
      <c r="G733">
        <v>47</v>
      </c>
      <c r="I733">
        <f t="shared" si="61"/>
        <v>0</v>
      </c>
      <c r="J733">
        <f t="shared" si="61"/>
        <v>0</v>
      </c>
      <c r="K733">
        <f t="shared" si="61"/>
        <v>0</v>
      </c>
      <c r="M733" t="str" cm="1">
        <f t="array" ref="M733">IFERROR(INDEX($I$2:$K$2,0,MATCH(TRUE,I733:K733,0)),E733)</f>
        <v>CCGT</v>
      </c>
      <c r="O733" t="str">
        <f t="shared" si="59"/>
        <v>CCGT_2022</v>
      </c>
      <c r="P733">
        <f t="shared" si="60"/>
        <v>47</v>
      </c>
    </row>
    <row r="734" spans="4:16" x14ac:dyDescent="0.25">
      <c r="D734">
        <v>2023</v>
      </c>
      <c r="E734" t="s">
        <v>123</v>
      </c>
      <c r="F734" t="s">
        <v>183</v>
      </c>
      <c r="G734">
        <v>47</v>
      </c>
      <c r="I734">
        <f t="shared" si="61"/>
        <v>0</v>
      </c>
      <c r="J734">
        <f t="shared" si="61"/>
        <v>0</v>
      </c>
      <c r="K734">
        <f t="shared" si="61"/>
        <v>0</v>
      </c>
      <c r="M734" t="str" cm="1">
        <f t="array" ref="M734">IFERROR(INDEX($I$2:$K$2,0,MATCH(TRUE,I734:K734,0)),E734)</f>
        <v>CCGT</v>
      </c>
      <c r="O734" t="str">
        <f t="shared" si="59"/>
        <v>CCGT_2023</v>
      </c>
      <c r="P734">
        <f t="shared" si="60"/>
        <v>47</v>
      </c>
    </row>
    <row r="735" spans="4:16" x14ac:dyDescent="0.25">
      <c r="D735">
        <v>2024</v>
      </c>
      <c r="E735" t="s">
        <v>123</v>
      </c>
      <c r="F735" t="s">
        <v>183</v>
      </c>
      <c r="G735">
        <v>47</v>
      </c>
      <c r="I735">
        <f t="shared" si="61"/>
        <v>0</v>
      </c>
      <c r="J735">
        <f t="shared" si="61"/>
        <v>0</v>
      </c>
      <c r="K735">
        <f t="shared" si="61"/>
        <v>0</v>
      </c>
      <c r="M735" t="str" cm="1">
        <f t="array" ref="M735">IFERROR(INDEX($I$2:$K$2,0,MATCH(TRUE,I735:K735,0)),E735)</f>
        <v>CCGT</v>
      </c>
      <c r="O735" t="str">
        <f t="shared" si="59"/>
        <v>CCGT_2024</v>
      </c>
      <c r="P735">
        <f t="shared" si="60"/>
        <v>47</v>
      </c>
    </row>
    <row r="736" spans="4:16" x14ac:dyDescent="0.25">
      <c r="D736">
        <v>2025</v>
      </c>
      <c r="E736" t="s">
        <v>123</v>
      </c>
      <c r="F736" t="s">
        <v>183</v>
      </c>
      <c r="G736">
        <v>47</v>
      </c>
      <c r="I736">
        <f t="shared" si="61"/>
        <v>0</v>
      </c>
      <c r="J736">
        <f t="shared" si="61"/>
        <v>0</v>
      </c>
      <c r="K736">
        <f t="shared" si="61"/>
        <v>0</v>
      </c>
      <c r="M736" t="str" cm="1">
        <f t="array" ref="M736">IFERROR(INDEX($I$2:$K$2,0,MATCH(TRUE,I736:K736,0)),E736)</f>
        <v>CCGT</v>
      </c>
      <c r="O736" t="str">
        <f t="shared" si="59"/>
        <v>CCGT_2025</v>
      </c>
      <c r="P736">
        <f t="shared" si="60"/>
        <v>47</v>
      </c>
    </row>
    <row r="737" spans="4:16" x14ac:dyDescent="0.25">
      <c r="D737">
        <v>2026</v>
      </c>
      <c r="E737" t="s">
        <v>123</v>
      </c>
      <c r="F737" t="s">
        <v>183</v>
      </c>
      <c r="G737">
        <v>47</v>
      </c>
      <c r="I737">
        <f t="shared" si="61"/>
        <v>0</v>
      </c>
      <c r="J737">
        <f t="shared" si="61"/>
        <v>0</v>
      </c>
      <c r="K737">
        <f t="shared" si="61"/>
        <v>0</v>
      </c>
      <c r="M737" t="str" cm="1">
        <f t="array" ref="M737">IFERROR(INDEX($I$2:$K$2,0,MATCH(TRUE,I737:K737,0)),E737)</f>
        <v>CCGT</v>
      </c>
      <c r="O737" t="str">
        <f t="shared" si="59"/>
        <v>CCGT_2026</v>
      </c>
      <c r="P737">
        <f t="shared" si="60"/>
        <v>47</v>
      </c>
    </row>
    <row r="738" spans="4:16" x14ac:dyDescent="0.25">
      <c r="D738">
        <v>2027</v>
      </c>
      <c r="E738" t="s">
        <v>123</v>
      </c>
      <c r="F738" t="s">
        <v>183</v>
      </c>
      <c r="G738">
        <v>47</v>
      </c>
      <c r="I738">
        <f t="shared" si="61"/>
        <v>0</v>
      </c>
      <c r="J738">
        <f t="shared" si="61"/>
        <v>0</v>
      </c>
      <c r="K738">
        <f t="shared" si="61"/>
        <v>0</v>
      </c>
      <c r="M738" t="str" cm="1">
        <f t="array" ref="M738">IFERROR(INDEX($I$2:$K$2,0,MATCH(TRUE,I738:K738,0)),E738)</f>
        <v>CCGT</v>
      </c>
      <c r="O738" t="str">
        <f t="shared" si="59"/>
        <v>CCGT_2027</v>
      </c>
      <c r="P738">
        <f t="shared" si="60"/>
        <v>47</v>
      </c>
    </row>
    <row r="739" spans="4:16" x14ac:dyDescent="0.25">
      <c r="D739">
        <v>2028</v>
      </c>
      <c r="E739" t="s">
        <v>123</v>
      </c>
      <c r="F739" t="s">
        <v>183</v>
      </c>
      <c r="G739">
        <v>47</v>
      </c>
      <c r="I739">
        <f t="shared" si="61"/>
        <v>0</v>
      </c>
      <c r="J739">
        <f t="shared" si="61"/>
        <v>0</v>
      </c>
      <c r="K739">
        <f t="shared" si="61"/>
        <v>0</v>
      </c>
      <c r="M739" t="str" cm="1">
        <f t="array" ref="M739">IFERROR(INDEX($I$2:$K$2,0,MATCH(TRUE,I739:K739,0)),E739)</f>
        <v>CCGT</v>
      </c>
      <c r="O739" t="str">
        <f t="shared" si="59"/>
        <v>CCGT_2028</v>
      </c>
      <c r="P739">
        <f t="shared" si="60"/>
        <v>47</v>
      </c>
    </row>
    <row r="740" spans="4:16" x14ac:dyDescent="0.25">
      <c r="D740">
        <v>2029</v>
      </c>
      <c r="E740" t="s">
        <v>123</v>
      </c>
      <c r="F740" t="s">
        <v>183</v>
      </c>
      <c r="G740">
        <v>47</v>
      </c>
      <c r="I740">
        <f t="shared" si="61"/>
        <v>0</v>
      </c>
      <c r="J740">
        <f t="shared" si="61"/>
        <v>0</v>
      </c>
      <c r="K740">
        <f t="shared" si="61"/>
        <v>0</v>
      </c>
      <c r="M740" t="str" cm="1">
        <f t="array" ref="M740">IFERROR(INDEX($I$2:$K$2,0,MATCH(TRUE,I740:K740,0)),E740)</f>
        <v>CCGT</v>
      </c>
      <c r="O740" t="str">
        <f t="shared" si="59"/>
        <v>CCGT_2029</v>
      </c>
      <c r="P740">
        <f t="shared" si="60"/>
        <v>47</v>
      </c>
    </row>
    <row r="741" spans="4:16" x14ac:dyDescent="0.25">
      <c r="D741">
        <v>2030</v>
      </c>
      <c r="E741" t="s">
        <v>123</v>
      </c>
      <c r="F741" t="s">
        <v>183</v>
      </c>
      <c r="G741">
        <v>47</v>
      </c>
      <c r="I741">
        <f t="shared" si="61"/>
        <v>0</v>
      </c>
      <c r="J741">
        <f t="shared" si="61"/>
        <v>0</v>
      </c>
      <c r="K741">
        <f t="shared" si="61"/>
        <v>0</v>
      </c>
      <c r="M741" t="str" cm="1">
        <f t="array" ref="M741">IFERROR(INDEX($I$2:$K$2,0,MATCH(TRUE,I741:K741,0)),E741)</f>
        <v>CCGT</v>
      </c>
      <c r="O741" t="str">
        <f t="shared" si="59"/>
        <v>CCGT_2030</v>
      </c>
      <c r="P741">
        <f t="shared" si="60"/>
        <v>47</v>
      </c>
    </row>
    <row r="742" spans="4:16" x14ac:dyDescent="0.25">
      <c r="D742">
        <v>2031</v>
      </c>
      <c r="E742" t="s">
        <v>123</v>
      </c>
      <c r="F742" t="s">
        <v>183</v>
      </c>
      <c r="G742">
        <v>47</v>
      </c>
      <c r="I742">
        <f t="shared" si="61"/>
        <v>0</v>
      </c>
      <c r="J742">
        <f t="shared" si="61"/>
        <v>0</v>
      </c>
      <c r="K742">
        <f t="shared" si="61"/>
        <v>0</v>
      </c>
      <c r="M742" t="str" cm="1">
        <f t="array" ref="M742">IFERROR(INDEX($I$2:$K$2,0,MATCH(TRUE,I742:K742,0)),E742)</f>
        <v>CCGT</v>
      </c>
      <c r="O742" t="str">
        <f t="shared" si="59"/>
        <v>CCGT_2031</v>
      </c>
      <c r="P742">
        <f t="shared" si="60"/>
        <v>47</v>
      </c>
    </row>
    <row r="743" spans="4:16" x14ac:dyDescent="0.25">
      <c r="D743">
        <v>2032</v>
      </c>
      <c r="E743" t="s">
        <v>123</v>
      </c>
      <c r="F743" t="s">
        <v>183</v>
      </c>
      <c r="G743">
        <v>47</v>
      </c>
      <c r="I743">
        <f t="shared" si="61"/>
        <v>0</v>
      </c>
      <c r="J743">
        <f t="shared" si="61"/>
        <v>0</v>
      </c>
      <c r="K743">
        <f t="shared" si="61"/>
        <v>0</v>
      </c>
      <c r="M743" t="str" cm="1">
        <f t="array" ref="M743">IFERROR(INDEX($I$2:$K$2,0,MATCH(TRUE,I743:K743,0)),E743)</f>
        <v>CCGT</v>
      </c>
      <c r="O743" t="str">
        <f t="shared" si="59"/>
        <v>CCGT_2032</v>
      </c>
      <c r="P743">
        <f t="shared" si="60"/>
        <v>47</v>
      </c>
    </row>
    <row r="744" spans="4:16" x14ac:dyDescent="0.25">
      <c r="D744">
        <v>2033</v>
      </c>
      <c r="E744" t="s">
        <v>123</v>
      </c>
      <c r="F744" t="s">
        <v>183</v>
      </c>
      <c r="G744">
        <v>47</v>
      </c>
      <c r="I744">
        <f t="shared" ref="I744:K763" si="62">IFERROR(FIND(I$2,$E744,1)&gt;0,0)</f>
        <v>0</v>
      </c>
      <c r="J744">
        <f t="shared" si="62"/>
        <v>0</v>
      </c>
      <c r="K744">
        <f t="shared" si="62"/>
        <v>0</v>
      </c>
      <c r="M744" t="str" cm="1">
        <f t="array" ref="M744">IFERROR(INDEX($I$2:$K$2,0,MATCH(TRUE,I744:K744,0)),E744)</f>
        <v>CCGT</v>
      </c>
      <c r="O744" t="str">
        <f t="shared" si="59"/>
        <v>CCGT_2033</v>
      </c>
      <c r="P744">
        <f t="shared" si="60"/>
        <v>47</v>
      </c>
    </row>
    <row r="745" spans="4:16" x14ac:dyDescent="0.25">
      <c r="D745">
        <v>2034</v>
      </c>
      <c r="E745" t="s">
        <v>123</v>
      </c>
      <c r="F745" t="s">
        <v>183</v>
      </c>
      <c r="G745">
        <v>47</v>
      </c>
      <c r="I745">
        <f t="shared" si="62"/>
        <v>0</v>
      </c>
      <c r="J745">
        <f t="shared" si="62"/>
        <v>0</v>
      </c>
      <c r="K745">
        <f t="shared" si="62"/>
        <v>0</v>
      </c>
      <c r="M745" t="str" cm="1">
        <f t="array" ref="M745">IFERROR(INDEX($I$2:$K$2,0,MATCH(TRUE,I745:K745,0)),E745)</f>
        <v>CCGT</v>
      </c>
      <c r="O745" t="str">
        <f t="shared" si="59"/>
        <v>CCGT_2034</v>
      </c>
      <c r="P745">
        <f t="shared" si="60"/>
        <v>47</v>
      </c>
    </row>
    <row r="746" spans="4:16" x14ac:dyDescent="0.25">
      <c r="D746">
        <v>2035</v>
      </c>
      <c r="E746" t="s">
        <v>123</v>
      </c>
      <c r="F746" t="s">
        <v>183</v>
      </c>
      <c r="G746">
        <v>47</v>
      </c>
      <c r="I746">
        <f t="shared" si="62"/>
        <v>0</v>
      </c>
      <c r="J746">
        <f t="shared" si="62"/>
        <v>0</v>
      </c>
      <c r="K746">
        <f t="shared" si="62"/>
        <v>0</v>
      </c>
      <c r="M746" t="str" cm="1">
        <f t="array" ref="M746">IFERROR(INDEX($I$2:$K$2,0,MATCH(TRUE,I746:K746,0)),E746)</f>
        <v>CCGT</v>
      </c>
      <c r="O746" t="str">
        <f t="shared" si="59"/>
        <v>CCGT_2035</v>
      </c>
      <c r="P746">
        <f t="shared" si="60"/>
        <v>47</v>
      </c>
    </row>
    <row r="747" spans="4:16" x14ac:dyDescent="0.25">
      <c r="D747">
        <v>2036</v>
      </c>
      <c r="E747" t="s">
        <v>123</v>
      </c>
      <c r="F747" t="s">
        <v>183</v>
      </c>
      <c r="G747">
        <v>47</v>
      </c>
      <c r="I747">
        <f t="shared" si="62"/>
        <v>0</v>
      </c>
      <c r="J747">
        <f t="shared" si="62"/>
        <v>0</v>
      </c>
      <c r="K747">
        <f t="shared" si="62"/>
        <v>0</v>
      </c>
      <c r="M747" t="str" cm="1">
        <f t="array" ref="M747">IFERROR(INDEX($I$2:$K$2,0,MATCH(TRUE,I747:K747,0)),E747)</f>
        <v>CCGT</v>
      </c>
      <c r="O747" t="str">
        <f t="shared" si="59"/>
        <v>CCGT_2036</v>
      </c>
      <c r="P747">
        <f t="shared" si="60"/>
        <v>47</v>
      </c>
    </row>
    <row r="748" spans="4:16" x14ac:dyDescent="0.25">
      <c r="D748">
        <v>2037</v>
      </c>
      <c r="E748" t="s">
        <v>123</v>
      </c>
      <c r="F748" t="s">
        <v>183</v>
      </c>
      <c r="G748">
        <v>47</v>
      </c>
      <c r="I748">
        <f t="shared" si="62"/>
        <v>0</v>
      </c>
      <c r="J748">
        <f t="shared" si="62"/>
        <v>0</v>
      </c>
      <c r="K748">
        <f t="shared" si="62"/>
        <v>0</v>
      </c>
      <c r="M748" t="str" cm="1">
        <f t="array" ref="M748">IFERROR(INDEX($I$2:$K$2,0,MATCH(TRUE,I748:K748,0)),E748)</f>
        <v>CCGT</v>
      </c>
      <c r="O748" t="str">
        <f t="shared" si="59"/>
        <v>CCGT_2037</v>
      </c>
      <c r="P748">
        <f t="shared" si="60"/>
        <v>47</v>
      </c>
    </row>
    <row r="749" spans="4:16" x14ac:dyDescent="0.25">
      <c r="D749">
        <v>2038</v>
      </c>
      <c r="E749" t="s">
        <v>123</v>
      </c>
      <c r="F749" t="s">
        <v>183</v>
      </c>
      <c r="G749">
        <v>47</v>
      </c>
      <c r="I749">
        <f t="shared" si="62"/>
        <v>0</v>
      </c>
      <c r="J749">
        <f t="shared" si="62"/>
        <v>0</v>
      </c>
      <c r="K749">
        <f t="shared" si="62"/>
        <v>0</v>
      </c>
      <c r="M749" t="str" cm="1">
        <f t="array" ref="M749">IFERROR(INDEX($I$2:$K$2,0,MATCH(TRUE,I749:K749,0)),E749)</f>
        <v>CCGT</v>
      </c>
      <c r="O749" t="str">
        <f t="shared" si="59"/>
        <v>CCGT_2038</v>
      </c>
      <c r="P749">
        <f t="shared" si="60"/>
        <v>47</v>
      </c>
    </row>
    <row r="750" spans="4:16" x14ac:dyDescent="0.25">
      <c r="D750">
        <v>2039</v>
      </c>
      <c r="E750" t="s">
        <v>123</v>
      </c>
      <c r="F750" t="s">
        <v>183</v>
      </c>
      <c r="G750">
        <v>47</v>
      </c>
      <c r="I750">
        <f t="shared" si="62"/>
        <v>0</v>
      </c>
      <c r="J750">
        <f t="shared" si="62"/>
        <v>0</v>
      </c>
      <c r="K750">
        <f t="shared" si="62"/>
        <v>0</v>
      </c>
      <c r="M750" t="str" cm="1">
        <f t="array" ref="M750">IFERROR(INDEX($I$2:$K$2,0,MATCH(TRUE,I750:K750,0)),E750)</f>
        <v>CCGT</v>
      </c>
      <c r="O750" t="str">
        <f t="shared" si="59"/>
        <v>CCGT_2039</v>
      </c>
      <c r="P750">
        <f t="shared" si="60"/>
        <v>47</v>
      </c>
    </row>
    <row r="751" spans="4:16" x14ac:dyDescent="0.25">
      <c r="D751">
        <v>2040</v>
      </c>
      <c r="E751" t="s">
        <v>123</v>
      </c>
      <c r="F751" t="s">
        <v>183</v>
      </c>
      <c r="G751">
        <v>47</v>
      </c>
      <c r="I751">
        <f t="shared" si="62"/>
        <v>0</v>
      </c>
      <c r="J751">
        <f t="shared" si="62"/>
        <v>0</v>
      </c>
      <c r="K751">
        <f t="shared" si="62"/>
        <v>0</v>
      </c>
      <c r="M751" t="str" cm="1">
        <f t="array" ref="M751">IFERROR(INDEX($I$2:$K$2,0,MATCH(TRUE,I751:K751,0)),E751)</f>
        <v>CCGT</v>
      </c>
      <c r="O751" t="str">
        <f t="shared" si="59"/>
        <v>CCGT_2040</v>
      </c>
      <c r="P751">
        <f t="shared" si="60"/>
        <v>47</v>
      </c>
    </row>
    <row r="752" spans="4:16" x14ac:dyDescent="0.25">
      <c r="D752">
        <v>2021</v>
      </c>
      <c r="E752" t="s">
        <v>123</v>
      </c>
      <c r="F752" t="s">
        <v>184</v>
      </c>
      <c r="G752">
        <v>47</v>
      </c>
      <c r="I752">
        <f t="shared" si="62"/>
        <v>0</v>
      </c>
      <c r="J752">
        <f t="shared" si="62"/>
        <v>0</v>
      </c>
      <c r="K752">
        <f t="shared" si="62"/>
        <v>0</v>
      </c>
      <c r="M752" t="str" cm="1">
        <f t="array" ref="M752">IFERROR(INDEX($I$2:$K$2,0,MATCH(TRUE,I752:K752,0)),E752)</f>
        <v>CCGT</v>
      </c>
      <c r="O752" t="str">
        <f t="shared" si="59"/>
        <v>CCGT_2021</v>
      </c>
      <c r="P752">
        <f t="shared" si="60"/>
        <v>47</v>
      </c>
    </row>
    <row r="753" spans="4:16" x14ac:dyDescent="0.25">
      <c r="D753">
        <v>2022</v>
      </c>
      <c r="E753" t="s">
        <v>123</v>
      </c>
      <c r="F753" t="s">
        <v>184</v>
      </c>
      <c r="G753">
        <v>47</v>
      </c>
      <c r="I753">
        <f t="shared" si="62"/>
        <v>0</v>
      </c>
      <c r="J753">
        <f t="shared" si="62"/>
        <v>0</v>
      </c>
      <c r="K753">
        <f t="shared" si="62"/>
        <v>0</v>
      </c>
      <c r="M753" t="str" cm="1">
        <f t="array" ref="M753">IFERROR(INDEX($I$2:$K$2,0,MATCH(TRUE,I753:K753,0)),E753)</f>
        <v>CCGT</v>
      </c>
      <c r="O753" t="str">
        <f t="shared" si="59"/>
        <v>CCGT_2022</v>
      </c>
      <c r="P753">
        <f t="shared" si="60"/>
        <v>47</v>
      </c>
    </row>
    <row r="754" spans="4:16" x14ac:dyDescent="0.25">
      <c r="D754">
        <v>2023</v>
      </c>
      <c r="E754" t="s">
        <v>123</v>
      </c>
      <c r="F754" t="s">
        <v>184</v>
      </c>
      <c r="G754">
        <v>47</v>
      </c>
      <c r="I754">
        <f t="shared" si="62"/>
        <v>0</v>
      </c>
      <c r="J754">
        <f t="shared" si="62"/>
        <v>0</v>
      </c>
      <c r="K754">
        <f t="shared" si="62"/>
        <v>0</v>
      </c>
      <c r="M754" t="str" cm="1">
        <f t="array" ref="M754">IFERROR(INDEX($I$2:$K$2,0,MATCH(TRUE,I754:K754,0)),E754)</f>
        <v>CCGT</v>
      </c>
      <c r="O754" t="str">
        <f t="shared" si="59"/>
        <v>CCGT_2023</v>
      </c>
      <c r="P754">
        <f t="shared" si="60"/>
        <v>47</v>
      </c>
    </row>
    <row r="755" spans="4:16" x14ac:dyDescent="0.25">
      <c r="D755">
        <v>2024</v>
      </c>
      <c r="E755" t="s">
        <v>123</v>
      </c>
      <c r="F755" t="s">
        <v>184</v>
      </c>
      <c r="G755">
        <v>47</v>
      </c>
      <c r="I755">
        <f t="shared" si="62"/>
        <v>0</v>
      </c>
      <c r="J755">
        <f t="shared" si="62"/>
        <v>0</v>
      </c>
      <c r="K755">
        <f t="shared" si="62"/>
        <v>0</v>
      </c>
      <c r="M755" t="str" cm="1">
        <f t="array" ref="M755">IFERROR(INDEX($I$2:$K$2,0,MATCH(TRUE,I755:K755,0)),E755)</f>
        <v>CCGT</v>
      </c>
      <c r="O755" t="str">
        <f t="shared" si="59"/>
        <v>CCGT_2024</v>
      </c>
      <c r="P755">
        <f t="shared" si="60"/>
        <v>47</v>
      </c>
    </row>
    <row r="756" spans="4:16" x14ac:dyDescent="0.25">
      <c r="D756">
        <v>2025</v>
      </c>
      <c r="E756" t="s">
        <v>123</v>
      </c>
      <c r="F756" t="s">
        <v>184</v>
      </c>
      <c r="G756">
        <v>47</v>
      </c>
      <c r="I756">
        <f t="shared" si="62"/>
        <v>0</v>
      </c>
      <c r="J756">
        <f t="shared" si="62"/>
        <v>0</v>
      </c>
      <c r="K756">
        <f t="shared" si="62"/>
        <v>0</v>
      </c>
      <c r="M756" t="str" cm="1">
        <f t="array" ref="M756">IFERROR(INDEX($I$2:$K$2,0,MATCH(TRUE,I756:K756,0)),E756)</f>
        <v>CCGT</v>
      </c>
      <c r="O756" t="str">
        <f t="shared" si="59"/>
        <v>CCGT_2025</v>
      </c>
      <c r="P756">
        <f t="shared" si="60"/>
        <v>47</v>
      </c>
    </row>
    <row r="757" spans="4:16" x14ac:dyDescent="0.25">
      <c r="D757">
        <v>2026</v>
      </c>
      <c r="E757" t="s">
        <v>123</v>
      </c>
      <c r="F757" t="s">
        <v>184</v>
      </c>
      <c r="G757">
        <v>47</v>
      </c>
      <c r="I757">
        <f t="shared" si="62"/>
        <v>0</v>
      </c>
      <c r="J757">
        <f t="shared" si="62"/>
        <v>0</v>
      </c>
      <c r="K757">
        <f t="shared" si="62"/>
        <v>0</v>
      </c>
      <c r="M757" t="str" cm="1">
        <f t="array" ref="M757">IFERROR(INDEX($I$2:$K$2,0,MATCH(TRUE,I757:K757,0)),E757)</f>
        <v>CCGT</v>
      </c>
      <c r="O757" t="str">
        <f t="shared" si="59"/>
        <v>CCGT_2026</v>
      </c>
      <c r="P757">
        <f t="shared" si="60"/>
        <v>47</v>
      </c>
    </row>
    <row r="758" spans="4:16" x14ac:dyDescent="0.25">
      <c r="D758">
        <v>2027</v>
      </c>
      <c r="E758" t="s">
        <v>123</v>
      </c>
      <c r="F758" t="s">
        <v>184</v>
      </c>
      <c r="G758">
        <v>47</v>
      </c>
      <c r="I758">
        <f t="shared" si="62"/>
        <v>0</v>
      </c>
      <c r="J758">
        <f t="shared" si="62"/>
        <v>0</v>
      </c>
      <c r="K758">
        <f t="shared" si="62"/>
        <v>0</v>
      </c>
      <c r="M758" t="str" cm="1">
        <f t="array" ref="M758">IFERROR(INDEX($I$2:$K$2,0,MATCH(TRUE,I758:K758,0)),E758)</f>
        <v>CCGT</v>
      </c>
      <c r="O758" t="str">
        <f t="shared" si="59"/>
        <v>CCGT_2027</v>
      </c>
      <c r="P758">
        <f t="shared" si="60"/>
        <v>47</v>
      </c>
    </row>
    <row r="759" spans="4:16" x14ac:dyDescent="0.25">
      <c r="D759">
        <v>2028</v>
      </c>
      <c r="E759" t="s">
        <v>123</v>
      </c>
      <c r="F759" t="s">
        <v>184</v>
      </c>
      <c r="G759">
        <v>47</v>
      </c>
      <c r="I759">
        <f t="shared" si="62"/>
        <v>0</v>
      </c>
      <c r="J759">
        <f t="shared" si="62"/>
        <v>0</v>
      </c>
      <c r="K759">
        <f t="shared" si="62"/>
        <v>0</v>
      </c>
      <c r="M759" t="str" cm="1">
        <f t="array" ref="M759">IFERROR(INDEX($I$2:$K$2,0,MATCH(TRUE,I759:K759,0)),E759)</f>
        <v>CCGT</v>
      </c>
      <c r="O759" t="str">
        <f t="shared" si="59"/>
        <v>CCGT_2028</v>
      </c>
      <c r="P759">
        <f t="shared" si="60"/>
        <v>47</v>
      </c>
    </row>
    <row r="760" spans="4:16" x14ac:dyDescent="0.25">
      <c r="D760">
        <v>2029</v>
      </c>
      <c r="E760" t="s">
        <v>123</v>
      </c>
      <c r="F760" t="s">
        <v>184</v>
      </c>
      <c r="G760">
        <v>47</v>
      </c>
      <c r="I760">
        <f t="shared" si="62"/>
        <v>0</v>
      </c>
      <c r="J760">
        <f t="shared" si="62"/>
        <v>0</v>
      </c>
      <c r="K760">
        <f t="shared" si="62"/>
        <v>0</v>
      </c>
      <c r="M760" t="str" cm="1">
        <f t="array" ref="M760">IFERROR(INDEX($I$2:$K$2,0,MATCH(TRUE,I760:K760,0)),E760)</f>
        <v>CCGT</v>
      </c>
      <c r="O760" t="str">
        <f t="shared" si="59"/>
        <v>CCGT_2029</v>
      </c>
      <c r="P760">
        <f t="shared" si="60"/>
        <v>47</v>
      </c>
    </row>
    <row r="761" spans="4:16" x14ac:dyDescent="0.25">
      <c r="D761">
        <v>2030</v>
      </c>
      <c r="E761" t="s">
        <v>123</v>
      </c>
      <c r="F761" t="s">
        <v>184</v>
      </c>
      <c r="G761">
        <v>47</v>
      </c>
      <c r="I761">
        <f t="shared" si="62"/>
        <v>0</v>
      </c>
      <c r="J761">
        <f t="shared" si="62"/>
        <v>0</v>
      </c>
      <c r="K761">
        <f t="shared" si="62"/>
        <v>0</v>
      </c>
      <c r="M761" t="str" cm="1">
        <f t="array" ref="M761">IFERROR(INDEX($I$2:$K$2,0,MATCH(TRUE,I761:K761,0)),E761)</f>
        <v>CCGT</v>
      </c>
      <c r="O761" t="str">
        <f t="shared" si="59"/>
        <v>CCGT_2030</v>
      </c>
      <c r="P761">
        <f t="shared" si="60"/>
        <v>47</v>
      </c>
    </row>
    <row r="762" spans="4:16" x14ac:dyDescent="0.25">
      <c r="D762">
        <v>2031</v>
      </c>
      <c r="E762" t="s">
        <v>123</v>
      </c>
      <c r="F762" t="s">
        <v>184</v>
      </c>
      <c r="G762">
        <v>47</v>
      </c>
      <c r="I762">
        <f t="shared" si="62"/>
        <v>0</v>
      </c>
      <c r="J762">
        <f t="shared" si="62"/>
        <v>0</v>
      </c>
      <c r="K762">
        <f t="shared" si="62"/>
        <v>0</v>
      </c>
      <c r="M762" t="str" cm="1">
        <f t="array" ref="M762">IFERROR(INDEX($I$2:$K$2,0,MATCH(TRUE,I762:K762,0)),E762)</f>
        <v>CCGT</v>
      </c>
      <c r="O762" t="str">
        <f t="shared" si="59"/>
        <v>CCGT_2031</v>
      </c>
      <c r="P762">
        <f t="shared" si="60"/>
        <v>47</v>
      </c>
    </row>
    <row r="763" spans="4:16" x14ac:dyDescent="0.25">
      <c r="D763">
        <v>2032</v>
      </c>
      <c r="E763" t="s">
        <v>123</v>
      </c>
      <c r="F763" t="s">
        <v>184</v>
      </c>
      <c r="G763">
        <v>47</v>
      </c>
      <c r="I763">
        <f t="shared" si="62"/>
        <v>0</v>
      </c>
      <c r="J763">
        <f t="shared" si="62"/>
        <v>0</v>
      </c>
      <c r="K763">
        <f t="shared" si="62"/>
        <v>0</v>
      </c>
      <c r="M763" t="str" cm="1">
        <f t="array" ref="M763">IFERROR(INDEX($I$2:$K$2,0,MATCH(TRUE,I763:K763,0)),E763)</f>
        <v>CCGT</v>
      </c>
      <c r="O763" t="str">
        <f t="shared" si="59"/>
        <v>CCGT_2032</v>
      </c>
      <c r="P763">
        <f t="shared" si="60"/>
        <v>47</v>
      </c>
    </row>
    <row r="764" spans="4:16" x14ac:dyDescent="0.25">
      <c r="D764">
        <v>2033</v>
      </c>
      <c r="E764" t="s">
        <v>123</v>
      </c>
      <c r="F764" t="s">
        <v>184</v>
      </c>
      <c r="G764">
        <v>47</v>
      </c>
      <c r="I764">
        <f t="shared" ref="I764:K783" si="63">IFERROR(FIND(I$2,$E764,1)&gt;0,0)</f>
        <v>0</v>
      </c>
      <c r="J764">
        <f t="shared" si="63"/>
        <v>0</v>
      </c>
      <c r="K764">
        <f t="shared" si="63"/>
        <v>0</v>
      </c>
      <c r="M764" t="str" cm="1">
        <f t="array" ref="M764">IFERROR(INDEX($I$2:$K$2,0,MATCH(TRUE,I764:K764,0)),E764)</f>
        <v>CCGT</v>
      </c>
      <c r="O764" t="str">
        <f t="shared" si="59"/>
        <v>CCGT_2033</v>
      </c>
      <c r="P764">
        <f t="shared" si="60"/>
        <v>47</v>
      </c>
    </row>
    <row r="765" spans="4:16" x14ac:dyDescent="0.25">
      <c r="D765">
        <v>2034</v>
      </c>
      <c r="E765" t="s">
        <v>123</v>
      </c>
      <c r="F765" t="s">
        <v>184</v>
      </c>
      <c r="G765">
        <v>47</v>
      </c>
      <c r="I765">
        <f t="shared" si="63"/>
        <v>0</v>
      </c>
      <c r="J765">
        <f t="shared" si="63"/>
        <v>0</v>
      </c>
      <c r="K765">
        <f t="shared" si="63"/>
        <v>0</v>
      </c>
      <c r="M765" t="str" cm="1">
        <f t="array" ref="M765">IFERROR(INDEX($I$2:$K$2,0,MATCH(TRUE,I765:K765,0)),E765)</f>
        <v>CCGT</v>
      </c>
      <c r="O765" t="str">
        <f t="shared" si="59"/>
        <v>CCGT_2034</v>
      </c>
      <c r="P765">
        <f t="shared" si="60"/>
        <v>47</v>
      </c>
    </row>
    <row r="766" spans="4:16" x14ac:dyDescent="0.25">
      <c r="D766">
        <v>2035</v>
      </c>
      <c r="E766" t="s">
        <v>123</v>
      </c>
      <c r="F766" t="s">
        <v>184</v>
      </c>
      <c r="G766">
        <v>47</v>
      </c>
      <c r="I766">
        <f t="shared" si="63"/>
        <v>0</v>
      </c>
      <c r="J766">
        <f t="shared" si="63"/>
        <v>0</v>
      </c>
      <c r="K766">
        <f t="shared" si="63"/>
        <v>0</v>
      </c>
      <c r="M766" t="str" cm="1">
        <f t="array" ref="M766">IFERROR(INDEX($I$2:$K$2,0,MATCH(TRUE,I766:K766,0)),E766)</f>
        <v>CCGT</v>
      </c>
      <c r="O766" t="str">
        <f t="shared" si="59"/>
        <v>CCGT_2035</v>
      </c>
      <c r="P766">
        <f t="shared" si="60"/>
        <v>47</v>
      </c>
    </row>
    <row r="767" spans="4:16" x14ac:dyDescent="0.25">
      <c r="D767">
        <v>2036</v>
      </c>
      <c r="E767" t="s">
        <v>123</v>
      </c>
      <c r="F767" t="s">
        <v>184</v>
      </c>
      <c r="G767">
        <v>47</v>
      </c>
      <c r="I767">
        <f t="shared" si="63"/>
        <v>0</v>
      </c>
      <c r="J767">
        <f t="shared" si="63"/>
        <v>0</v>
      </c>
      <c r="K767">
        <f t="shared" si="63"/>
        <v>0</v>
      </c>
      <c r="M767" t="str" cm="1">
        <f t="array" ref="M767">IFERROR(INDEX($I$2:$K$2,0,MATCH(TRUE,I767:K767,0)),E767)</f>
        <v>CCGT</v>
      </c>
      <c r="O767" t="str">
        <f t="shared" si="59"/>
        <v>CCGT_2036</v>
      </c>
      <c r="P767">
        <f t="shared" si="60"/>
        <v>47</v>
      </c>
    </row>
    <row r="768" spans="4:16" x14ac:dyDescent="0.25">
      <c r="D768">
        <v>2037</v>
      </c>
      <c r="E768" t="s">
        <v>123</v>
      </c>
      <c r="F768" t="s">
        <v>184</v>
      </c>
      <c r="G768">
        <v>47</v>
      </c>
      <c r="I768">
        <f t="shared" si="63"/>
        <v>0</v>
      </c>
      <c r="J768">
        <f t="shared" si="63"/>
        <v>0</v>
      </c>
      <c r="K768">
        <f t="shared" si="63"/>
        <v>0</v>
      </c>
      <c r="M768" t="str" cm="1">
        <f t="array" ref="M768">IFERROR(INDEX($I$2:$K$2,0,MATCH(TRUE,I768:K768,0)),E768)</f>
        <v>CCGT</v>
      </c>
      <c r="O768" t="str">
        <f t="shared" si="59"/>
        <v>CCGT_2037</v>
      </c>
      <c r="P768">
        <f t="shared" si="60"/>
        <v>47</v>
      </c>
    </row>
    <row r="769" spans="4:16" x14ac:dyDescent="0.25">
      <c r="D769">
        <v>2038</v>
      </c>
      <c r="E769" t="s">
        <v>123</v>
      </c>
      <c r="F769" t="s">
        <v>184</v>
      </c>
      <c r="G769">
        <v>47</v>
      </c>
      <c r="I769">
        <f t="shared" si="63"/>
        <v>0</v>
      </c>
      <c r="J769">
        <f t="shared" si="63"/>
        <v>0</v>
      </c>
      <c r="K769">
        <f t="shared" si="63"/>
        <v>0</v>
      </c>
      <c r="M769" t="str" cm="1">
        <f t="array" ref="M769">IFERROR(INDEX($I$2:$K$2,0,MATCH(TRUE,I769:K769,0)),E769)</f>
        <v>CCGT</v>
      </c>
      <c r="O769" t="str">
        <f t="shared" si="59"/>
        <v>CCGT_2038</v>
      </c>
      <c r="P769">
        <f t="shared" si="60"/>
        <v>47</v>
      </c>
    </row>
    <row r="770" spans="4:16" x14ac:dyDescent="0.25">
      <c r="D770">
        <v>2039</v>
      </c>
      <c r="E770" t="s">
        <v>123</v>
      </c>
      <c r="F770" t="s">
        <v>184</v>
      </c>
      <c r="G770">
        <v>47</v>
      </c>
      <c r="I770">
        <f t="shared" si="63"/>
        <v>0</v>
      </c>
      <c r="J770">
        <f t="shared" si="63"/>
        <v>0</v>
      </c>
      <c r="K770">
        <f t="shared" si="63"/>
        <v>0</v>
      </c>
      <c r="M770" t="str" cm="1">
        <f t="array" ref="M770">IFERROR(INDEX($I$2:$K$2,0,MATCH(TRUE,I770:K770,0)),E770)</f>
        <v>CCGT</v>
      </c>
      <c r="O770" t="str">
        <f t="shared" si="59"/>
        <v>CCGT_2039</v>
      </c>
      <c r="P770">
        <f t="shared" si="60"/>
        <v>47</v>
      </c>
    </row>
    <row r="771" spans="4:16" x14ac:dyDescent="0.25">
      <c r="D771">
        <v>2040</v>
      </c>
      <c r="E771" t="s">
        <v>123</v>
      </c>
      <c r="F771" t="s">
        <v>184</v>
      </c>
      <c r="G771">
        <v>47</v>
      </c>
      <c r="I771">
        <f t="shared" si="63"/>
        <v>0</v>
      </c>
      <c r="J771">
        <f t="shared" si="63"/>
        <v>0</v>
      </c>
      <c r="K771">
        <f t="shared" si="63"/>
        <v>0</v>
      </c>
      <c r="M771" t="str" cm="1">
        <f t="array" ref="M771">IFERROR(INDEX($I$2:$K$2,0,MATCH(TRUE,I771:K771,0)),E771)</f>
        <v>CCGT</v>
      </c>
      <c r="O771" t="str">
        <f t="shared" si="59"/>
        <v>CCGT_2040</v>
      </c>
      <c r="P771">
        <f t="shared" si="60"/>
        <v>47</v>
      </c>
    </row>
    <row r="772" spans="4:16" x14ac:dyDescent="0.25">
      <c r="D772">
        <v>2021</v>
      </c>
      <c r="E772" t="s">
        <v>123</v>
      </c>
      <c r="F772" t="s">
        <v>185</v>
      </c>
      <c r="G772">
        <v>58</v>
      </c>
      <c r="I772">
        <f t="shared" si="63"/>
        <v>0</v>
      </c>
      <c r="J772">
        <f t="shared" si="63"/>
        <v>0</v>
      </c>
      <c r="K772">
        <f t="shared" si="63"/>
        <v>0</v>
      </c>
      <c r="M772" t="str" cm="1">
        <f t="array" ref="M772">IFERROR(INDEX($I$2:$K$2,0,MATCH(TRUE,I772:K772,0)),E772)</f>
        <v>CCGT</v>
      </c>
      <c r="O772" t="str">
        <f t="shared" ref="O772:O835" si="64">M772&amp;"_"&amp;D772</f>
        <v>CCGT_2021</v>
      </c>
      <c r="P772">
        <f t="shared" ref="P772:P835" si="65">G772</f>
        <v>58</v>
      </c>
    </row>
    <row r="773" spans="4:16" x14ac:dyDescent="0.25">
      <c r="D773">
        <v>2022</v>
      </c>
      <c r="E773" t="s">
        <v>123</v>
      </c>
      <c r="F773" t="s">
        <v>185</v>
      </c>
      <c r="G773">
        <v>58</v>
      </c>
      <c r="I773">
        <f t="shared" si="63"/>
        <v>0</v>
      </c>
      <c r="J773">
        <f t="shared" si="63"/>
        <v>0</v>
      </c>
      <c r="K773">
        <f t="shared" si="63"/>
        <v>0</v>
      </c>
      <c r="M773" t="str" cm="1">
        <f t="array" ref="M773">IFERROR(INDEX($I$2:$K$2,0,MATCH(TRUE,I773:K773,0)),E773)</f>
        <v>CCGT</v>
      </c>
      <c r="O773" t="str">
        <f t="shared" si="64"/>
        <v>CCGT_2022</v>
      </c>
      <c r="P773">
        <f t="shared" si="65"/>
        <v>58</v>
      </c>
    </row>
    <row r="774" spans="4:16" x14ac:dyDescent="0.25">
      <c r="D774">
        <v>2023</v>
      </c>
      <c r="E774" t="s">
        <v>123</v>
      </c>
      <c r="F774" t="s">
        <v>185</v>
      </c>
      <c r="G774">
        <v>58</v>
      </c>
      <c r="I774">
        <f t="shared" si="63"/>
        <v>0</v>
      </c>
      <c r="J774">
        <f t="shared" si="63"/>
        <v>0</v>
      </c>
      <c r="K774">
        <f t="shared" si="63"/>
        <v>0</v>
      </c>
      <c r="M774" t="str" cm="1">
        <f t="array" ref="M774">IFERROR(INDEX($I$2:$K$2,0,MATCH(TRUE,I774:K774,0)),E774)</f>
        <v>CCGT</v>
      </c>
      <c r="O774" t="str">
        <f t="shared" si="64"/>
        <v>CCGT_2023</v>
      </c>
      <c r="P774">
        <f t="shared" si="65"/>
        <v>58</v>
      </c>
    </row>
    <row r="775" spans="4:16" x14ac:dyDescent="0.25">
      <c r="D775">
        <v>2024</v>
      </c>
      <c r="E775" t="s">
        <v>123</v>
      </c>
      <c r="F775" t="s">
        <v>185</v>
      </c>
      <c r="G775">
        <v>58</v>
      </c>
      <c r="I775">
        <f t="shared" si="63"/>
        <v>0</v>
      </c>
      <c r="J775">
        <f t="shared" si="63"/>
        <v>0</v>
      </c>
      <c r="K775">
        <f t="shared" si="63"/>
        <v>0</v>
      </c>
      <c r="M775" t="str" cm="1">
        <f t="array" ref="M775">IFERROR(INDEX($I$2:$K$2,0,MATCH(TRUE,I775:K775,0)),E775)</f>
        <v>CCGT</v>
      </c>
      <c r="O775" t="str">
        <f t="shared" si="64"/>
        <v>CCGT_2024</v>
      </c>
      <c r="P775">
        <f t="shared" si="65"/>
        <v>58</v>
      </c>
    </row>
    <row r="776" spans="4:16" x14ac:dyDescent="0.25">
      <c r="D776">
        <v>2025</v>
      </c>
      <c r="E776" t="s">
        <v>123</v>
      </c>
      <c r="F776" t="s">
        <v>185</v>
      </c>
      <c r="G776">
        <v>58</v>
      </c>
      <c r="I776">
        <f t="shared" si="63"/>
        <v>0</v>
      </c>
      <c r="J776">
        <f t="shared" si="63"/>
        <v>0</v>
      </c>
      <c r="K776">
        <f t="shared" si="63"/>
        <v>0</v>
      </c>
      <c r="M776" t="str" cm="1">
        <f t="array" ref="M776">IFERROR(INDEX($I$2:$K$2,0,MATCH(TRUE,I776:K776,0)),E776)</f>
        <v>CCGT</v>
      </c>
      <c r="O776" t="str">
        <f t="shared" si="64"/>
        <v>CCGT_2025</v>
      </c>
      <c r="P776">
        <f t="shared" si="65"/>
        <v>58</v>
      </c>
    </row>
    <row r="777" spans="4:16" x14ac:dyDescent="0.25">
      <c r="D777">
        <v>2026</v>
      </c>
      <c r="E777" t="s">
        <v>123</v>
      </c>
      <c r="F777" t="s">
        <v>185</v>
      </c>
      <c r="G777">
        <v>58</v>
      </c>
      <c r="I777">
        <f t="shared" si="63"/>
        <v>0</v>
      </c>
      <c r="J777">
        <f t="shared" si="63"/>
        <v>0</v>
      </c>
      <c r="K777">
        <f t="shared" si="63"/>
        <v>0</v>
      </c>
      <c r="M777" t="str" cm="1">
        <f t="array" ref="M777">IFERROR(INDEX($I$2:$K$2,0,MATCH(TRUE,I777:K777,0)),E777)</f>
        <v>CCGT</v>
      </c>
      <c r="O777" t="str">
        <f t="shared" si="64"/>
        <v>CCGT_2026</v>
      </c>
      <c r="P777">
        <f t="shared" si="65"/>
        <v>58</v>
      </c>
    </row>
    <row r="778" spans="4:16" x14ac:dyDescent="0.25">
      <c r="D778">
        <v>2027</v>
      </c>
      <c r="E778" t="s">
        <v>123</v>
      </c>
      <c r="F778" t="s">
        <v>185</v>
      </c>
      <c r="G778">
        <v>58</v>
      </c>
      <c r="I778">
        <f t="shared" si="63"/>
        <v>0</v>
      </c>
      <c r="J778">
        <f t="shared" si="63"/>
        <v>0</v>
      </c>
      <c r="K778">
        <f t="shared" si="63"/>
        <v>0</v>
      </c>
      <c r="M778" t="str" cm="1">
        <f t="array" ref="M778">IFERROR(INDEX($I$2:$K$2,0,MATCH(TRUE,I778:K778,0)),E778)</f>
        <v>CCGT</v>
      </c>
      <c r="O778" t="str">
        <f t="shared" si="64"/>
        <v>CCGT_2027</v>
      </c>
      <c r="P778">
        <f t="shared" si="65"/>
        <v>58</v>
      </c>
    </row>
    <row r="779" spans="4:16" x14ac:dyDescent="0.25">
      <c r="D779">
        <v>2028</v>
      </c>
      <c r="E779" t="s">
        <v>123</v>
      </c>
      <c r="F779" t="s">
        <v>185</v>
      </c>
      <c r="G779">
        <v>58</v>
      </c>
      <c r="I779">
        <f t="shared" si="63"/>
        <v>0</v>
      </c>
      <c r="J779">
        <f t="shared" si="63"/>
        <v>0</v>
      </c>
      <c r="K779">
        <f t="shared" si="63"/>
        <v>0</v>
      </c>
      <c r="M779" t="str" cm="1">
        <f t="array" ref="M779">IFERROR(INDEX($I$2:$K$2,0,MATCH(TRUE,I779:K779,0)),E779)</f>
        <v>CCGT</v>
      </c>
      <c r="O779" t="str">
        <f t="shared" si="64"/>
        <v>CCGT_2028</v>
      </c>
      <c r="P779">
        <f t="shared" si="65"/>
        <v>58</v>
      </c>
    </row>
    <row r="780" spans="4:16" x14ac:dyDescent="0.25">
      <c r="D780">
        <v>2029</v>
      </c>
      <c r="E780" t="s">
        <v>123</v>
      </c>
      <c r="F780" t="s">
        <v>185</v>
      </c>
      <c r="G780">
        <v>58</v>
      </c>
      <c r="I780">
        <f t="shared" si="63"/>
        <v>0</v>
      </c>
      <c r="J780">
        <f t="shared" si="63"/>
        <v>0</v>
      </c>
      <c r="K780">
        <f t="shared" si="63"/>
        <v>0</v>
      </c>
      <c r="M780" t="str" cm="1">
        <f t="array" ref="M780">IFERROR(INDEX($I$2:$K$2,0,MATCH(TRUE,I780:K780,0)),E780)</f>
        <v>CCGT</v>
      </c>
      <c r="O780" t="str">
        <f t="shared" si="64"/>
        <v>CCGT_2029</v>
      </c>
      <c r="P780">
        <f t="shared" si="65"/>
        <v>58</v>
      </c>
    </row>
    <row r="781" spans="4:16" x14ac:dyDescent="0.25">
      <c r="D781">
        <v>2030</v>
      </c>
      <c r="E781" t="s">
        <v>123</v>
      </c>
      <c r="F781" t="s">
        <v>185</v>
      </c>
      <c r="G781">
        <v>58</v>
      </c>
      <c r="I781">
        <f t="shared" si="63"/>
        <v>0</v>
      </c>
      <c r="J781">
        <f t="shared" si="63"/>
        <v>0</v>
      </c>
      <c r="K781">
        <f t="shared" si="63"/>
        <v>0</v>
      </c>
      <c r="M781" t="str" cm="1">
        <f t="array" ref="M781">IFERROR(INDEX($I$2:$K$2,0,MATCH(TRUE,I781:K781,0)),E781)</f>
        <v>CCGT</v>
      </c>
      <c r="O781" t="str">
        <f t="shared" si="64"/>
        <v>CCGT_2030</v>
      </c>
      <c r="P781">
        <f t="shared" si="65"/>
        <v>58</v>
      </c>
    </row>
    <row r="782" spans="4:16" x14ac:dyDescent="0.25">
      <c r="D782">
        <v>2031</v>
      </c>
      <c r="E782" t="s">
        <v>123</v>
      </c>
      <c r="F782" t="s">
        <v>185</v>
      </c>
      <c r="G782">
        <v>58</v>
      </c>
      <c r="I782">
        <f t="shared" si="63"/>
        <v>0</v>
      </c>
      <c r="J782">
        <f t="shared" si="63"/>
        <v>0</v>
      </c>
      <c r="K782">
        <f t="shared" si="63"/>
        <v>0</v>
      </c>
      <c r="M782" t="str" cm="1">
        <f t="array" ref="M782">IFERROR(INDEX($I$2:$K$2,0,MATCH(TRUE,I782:K782,0)),E782)</f>
        <v>CCGT</v>
      </c>
      <c r="O782" t="str">
        <f t="shared" si="64"/>
        <v>CCGT_2031</v>
      </c>
      <c r="P782">
        <f t="shared" si="65"/>
        <v>58</v>
      </c>
    </row>
    <row r="783" spans="4:16" x14ac:dyDescent="0.25">
      <c r="D783">
        <v>2032</v>
      </c>
      <c r="E783" t="s">
        <v>123</v>
      </c>
      <c r="F783" t="s">
        <v>185</v>
      </c>
      <c r="G783">
        <v>58</v>
      </c>
      <c r="I783">
        <f t="shared" si="63"/>
        <v>0</v>
      </c>
      <c r="J783">
        <f t="shared" si="63"/>
        <v>0</v>
      </c>
      <c r="K783">
        <f t="shared" si="63"/>
        <v>0</v>
      </c>
      <c r="M783" t="str" cm="1">
        <f t="array" ref="M783">IFERROR(INDEX($I$2:$K$2,0,MATCH(TRUE,I783:K783,0)),E783)</f>
        <v>CCGT</v>
      </c>
      <c r="O783" t="str">
        <f t="shared" si="64"/>
        <v>CCGT_2032</v>
      </c>
      <c r="P783">
        <f t="shared" si="65"/>
        <v>58</v>
      </c>
    </row>
    <row r="784" spans="4:16" x14ac:dyDescent="0.25">
      <c r="D784">
        <v>2033</v>
      </c>
      <c r="E784" t="s">
        <v>123</v>
      </c>
      <c r="F784" t="s">
        <v>185</v>
      </c>
      <c r="G784">
        <v>58</v>
      </c>
      <c r="I784">
        <f t="shared" ref="I784:K803" si="66">IFERROR(FIND(I$2,$E784,1)&gt;0,0)</f>
        <v>0</v>
      </c>
      <c r="J784">
        <f t="shared" si="66"/>
        <v>0</v>
      </c>
      <c r="K784">
        <f t="shared" si="66"/>
        <v>0</v>
      </c>
      <c r="M784" t="str" cm="1">
        <f t="array" ref="M784">IFERROR(INDEX($I$2:$K$2,0,MATCH(TRUE,I784:K784,0)),E784)</f>
        <v>CCGT</v>
      </c>
      <c r="O784" t="str">
        <f t="shared" si="64"/>
        <v>CCGT_2033</v>
      </c>
      <c r="P784">
        <f t="shared" si="65"/>
        <v>58</v>
      </c>
    </row>
    <row r="785" spans="4:16" x14ac:dyDescent="0.25">
      <c r="D785">
        <v>2034</v>
      </c>
      <c r="E785" t="s">
        <v>123</v>
      </c>
      <c r="F785" t="s">
        <v>185</v>
      </c>
      <c r="G785">
        <v>58</v>
      </c>
      <c r="I785">
        <f t="shared" si="66"/>
        <v>0</v>
      </c>
      <c r="J785">
        <f t="shared" si="66"/>
        <v>0</v>
      </c>
      <c r="K785">
        <f t="shared" si="66"/>
        <v>0</v>
      </c>
      <c r="M785" t="str" cm="1">
        <f t="array" ref="M785">IFERROR(INDEX($I$2:$K$2,0,MATCH(TRUE,I785:K785,0)),E785)</f>
        <v>CCGT</v>
      </c>
      <c r="O785" t="str">
        <f t="shared" si="64"/>
        <v>CCGT_2034</v>
      </c>
      <c r="P785">
        <f t="shared" si="65"/>
        <v>58</v>
      </c>
    </row>
    <row r="786" spans="4:16" x14ac:dyDescent="0.25">
      <c r="D786">
        <v>2035</v>
      </c>
      <c r="E786" t="s">
        <v>123</v>
      </c>
      <c r="F786" t="s">
        <v>185</v>
      </c>
      <c r="G786">
        <v>58</v>
      </c>
      <c r="I786">
        <f t="shared" si="66"/>
        <v>0</v>
      </c>
      <c r="J786">
        <f t="shared" si="66"/>
        <v>0</v>
      </c>
      <c r="K786">
        <f t="shared" si="66"/>
        <v>0</v>
      </c>
      <c r="M786" t="str" cm="1">
        <f t="array" ref="M786">IFERROR(INDEX($I$2:$K$2,0,MATCH(TRUE,I786:K786,0)),E786)</f>
        <v>CCGT</v>
      </c>
      <c r="O786" t="str">
        <f t="shared" si="64"/>
        <v>CCGT_2035</v>
      </c>
      <c r="P786">
        <f t="shared" si="65"/>
        <v>58</v>
      </c>
    </row>
    <row r="787" spans="4:16" x14ac:dyDescent="0.25">
      <c r="D787">
        <v>2036</v>
      </c>
      <c r="E787" t="s">
        <v>123</v>
      </c>
      <c r="F787" t="s">
        <v>185</v>
      </c>
      <c r="G787">
        <v>58</v>
      </c>
      <c r="I787">
        <f t="shared" si="66"/>
        <v>0</v>
      </c>
      <c r="J787">
        <f t="shared" si="66"/>
        <v>0</v>
      </c>
      <c r="K787">
        <f t="shared" si="66"/>
        <v>0</v>
      </c>
      <c r="M787" t="str" cm="1">
        <f t="array" ref="M787">IFERROR(INDEX($I$2:$K$2,0,MATCH(TRUE,I787:K787,0)),E787)</f>
        <v>CCGT</v>
      </c>
      <c r="O787" t="str">
        <f t="shared" si="64"/>
        <v>CCGT_2036</v>
      </c>
      <c r="P787">
        <f t="shared" si="65"/>
        <v>58</v>
      </c>
    </row>
    <row r="788" spans="4:16" x14ac:dyDescent="0.25">
      <c r="D788">
        <v>2037</v>
      </c>
      <c r="E788" t="s">
        <v>123</v>
      </c>
      <c r="F788" t="s">
        <v>185</v>
      </c>
      <c r="G788">
        <v>58</v>
      </c>
      <c r="I788">
        <f t="shared" si="66"/>
        <v>0</v>
      </c>
      <c r="J788">
        <f t="shared" si="66"/>
        <v>0</v>
      </c>
      <c r="K788">
        <f t="shared" si="66"/>
        <v>0</v>
      </c>
      <c r="M788" t="str" cm="1">
        <f t="array" ref="M788">IFERROR(INDEX($I$2:$K$2,0,MATCH(TRUE,I788:K788,0)),E788)</f>
        <v>CCGT</v>
      </c>
      <c r="O788" t="str">
        <f t="shared" si="64"/>
        <v>CCGT_2037</v>
      </c>
      <c r="P788">
        <f t="shared" si="65"/>
        <v>58</v>
      </c>
    </row>
    <row r="789" spans="4:16" x14ac:dyDescent="0.25">
      <c r="D789">
        <v>2038</v>
      </c>
      <c r="E789" t="s">
        <v>123</v>
      </c>
      <c r="F789" t="s">
        <v>185</v>
      </c>
      <c r="G789">
        <v>58</v>
      </c>
      <c r="I789">
        <f t="shared" si="66"/>
        <v>0</v>
      </c>
      <c r="J789">
        <f t="shared" si="66"/>
        <v>0</v>
      </c>
      <c r="K789">
        <f t="shared" si="66"/>
        <v>0</v>
      </c>
      <c r="M789" t="str" cm="1">
        <f t="array" ref="M789">IFERROR(INDEX($I$2:$K$2,0,MATCH(TRUE,I789:K789,0)),E789)</f>
        <v>CCGT</v>
      </c>
      <c r="O789" t="str">
        <f t="shared" si="64"/>
        <v>CCGT_2038</v>
      </c>
      <c r="P789">
        <f t="shared" si="65"/>
        <v>58</v>
      </c>
    </row>
    <row r="790" spans="4:16" x14ac:dyDescent="0.25">
      <c r="D790">
        <v>2039</v>
      </c>
      <c r="E790" t="s">
        <v>123</v>
      </c>
      <c r="F790" t="s">
        <v>185</v>
      </c>
      <c r="G790">
        <v>58</v>
      </c>
      <c r="I790">
        <f t="shared" si="66"/>
        <v>0</v>
      </c>
      <c r="J790">
        <f t="shared" si="66"/>
        <v>0</v>
      </c>
      <c r="K790">
        <f t="shared" si="66"/>
        <v>0</v>
      </c>
      <c r="M790" t="str" cm="1">
        <f t="array" ref="M790">IFERROR(INDEX($I$2:$K$2,0,MATCH(TRUE,I790:K790,0)),E790)</f>
        <v>CCGT</v>
      </c>
      <c r="O790" t="str">
        <f t="shared" si="64"/>
        <v>CCGT_2039</v>
      </c>
      <c r="P790">
        <f t="shared" si="65"/>
        <v>58</v>
      </c>
    </row>
    <row r="791" spans="4:16" x14ac:dyDescent="0.25">
      <c r="D791">
        <v>2040</v>
      </c>
      <c r="E791" t="s">
        <v>123</v>
      </c>
      <c r="F791" t="s">
        <v>185</v>
      </c>
      <c r="G791">
        <v>58</v>
      </c>
      <c r="I791">
        <f t="shared" si="66"/>
        <v>0</v>
      </c>
      <c r="J791">
        <f t="shared" si="66"/>
        <v>0</v>
      </c>
      <c r="K791">
        <f t="shared" si="66"/>
        <v>0</v>
      </c>
      <c r="M791" t="str" cm="1">
        <f t="array" ref="M791">IFERROR(INDEX($I$2:$K$2,0,MATCH(TRUE,I791:K791,0)),E791)</f>
        <v>CCGT</v>
      </c>
      <c r="O791" t="str">
        <f t="shared" si="64"/>
        <v>CCGT_2040</v>
      </c>
      <c r="P791">
        <f t="shared" si="65"/>
        <v>58</v>
      </c>
    </row>
    <row r="792" spans="4:16" x14ac:dyDescent="0.25">
      <c r="D792">
        <v>2021</v>
      </c>
      <c r="E792" t="s">
        <v>123</v>
      </c>
      <c r="F792" t="s">
        <v>186</v>
      </c>
      <c r="G792">
        <v>130</v>
      </c>
      <c r="I792">
        <f t="shared" si="66"/>
        <v>0</v>
      </c>
      <c r="J792">
        <f t="shared" si="66"/>
        <v>0</v>
      </c>
      <c r="K792">
        <f t="shared" si="66"/>
        <v>0</v>
      </c>
      <c r="M792" t="str" cm="1">
        <f t="array" ref="M792">IFERROR(INDEX($I$2:$K$2,0,MATCH(TRUE,I792:K792,0)),E792)</f>
        <v>CCGT</v>
      </c>
      <c r="O792" t="str">
        <f t="shared" si="64"/>
        <v>CCGT_2021</v>
      </c>
      <c r="P792">
        <f t="shared" si="65"/>
        <v>130</v>
      </c>
    </row>
    <row r="793" spans="4:16" x14ac:dyDescent="0.25">
      <c r="D793">
        <v>2022</v>
      </c>
      <c r="E793" t="s">
        <v>123</v>
      </c>
      <c r="F793" t="s">
        <v>186</v>
      </c>
      <c r="G793">
        <v>130</v>
      </c>
      <c r="I793">
        <f t="shared" si="66"/>
        <v>0</v>
      </c>
      <c r="J793">
        <f t="shared" si="66"/>
        <v>0</v>
      </c>
      <c r="K793">
        <f t="shared" si="66"/>
        <v>0</v>
      </c>
      <c r="M793" t="str" cm="1">
        <f t="array" ref="M793">IFERROR(INDEX($I$2:$K$2,0,MATCH(TRUE,I793:K793,0)),E793)</f>
        <v>CCGT</v>
      </c>
      <c r="O793" t="str">
        <f t="shared" si="64"/>
        <v>CCGT_2022</v>
      </c>
      <c r="P793">
        <f t="shared" si="65"/>
        <v>130</v>
      </c>
    </row>
    <row r="794" spans="4:16" x14ac:dyDescent="0.25">
      <c r="D794">
        <v>2023</v>
      </c>
      <c r="E794" t="s">
        <v>123</v>
      </c>
      <c r="F794" t="s">
        <v>186</v>
      </c>
      <c r="G794">
        <v>130</v>
      </c>
      <c r="I794">
        <f t="shared" si="66"/>
        <v>0</v>
      </c>
      <c r="J794">
        <f t="shared" si="66"/>
        <v>0</v>
      </c>
      <c r="K794">
        <f t="shared" si="66"/>
        <v>0</v>
      </c>
      <c r="M794" t="str" cm="1">
        <f t="array" ref="M794">IFERROR(INDEX($I$2:$K$2,0,MATCH(TRUE,I794:K794,0)),E794)</f>
        <v>CCGT</v>
      </c>
      <c r="O794" t="str">
        <f t="shared" si="64"/>
        <v>CCGT_2023</v>
      </c>
      <c r="P794">
        <f t="shared" si="65"/>
        <v>130</v>
      </c>
    </row>
    <row r="795" spans="4:16" x14ac:dyDescent="0.25">
      <c r="D795">
        <v>2024</v>
      </c>
      <c r="E795" t="s">
        <v>123</v>
      </c>
      <c r="F795" t="s">
        <v>186</v>
      </c>
      <c r="G795">
        <v>130</v>
      </c>
      <c r="I795">
        <f t="shared" si="66"/>
        <v>0</v>
      </c>
      <c r="J795">
        <f t="shared" si="66"/>
        <v>0</v>
      </c>
      <c r="K795">
        <f t="shared" si="66"/>
        <v>0</v>
      </c>
      <c r="M795" t="str" cm="1">
        <f t="array" ref="M795">IFERROR(INDEX($I$2:$K$2,0,MATCH(TRUE,I795:K795,0)),E795)</f>
        <v>CCGT</v>
      </c>
      <c r="O795" t="str">
        <f t="shared" si="64"/>
        <v>CCGT_2024</v>
      </c>
      <c r="P795">
        <f t="shared" si="65"/>
        <v>130</v>
      </c>
    </row>
    <row r="796" spans="4:16" x14ac:dyDescent="0.25">
      <c r="D796">
        <v>2025</v>
      </c>
      <c r="E796" t="s">
        <v>123</v>
      </c>
      <c r="F796" t="s">
        <v>186</v>
      </c>
      <c r="G796">
        <v>130</v>
      </c>
      <c r="I796">
        <f t="shared" si="66"/>
        <v>0</v>
      </c>
      <c r="J796">
        <f t="shared" si="66"/>
        <v>0</v>
      </c>
      <c r="K796">
        <f t="shared" si="66"/>
        <v>0</v>
      </c>
      <c r="M796" t="str" cm="1">
        <f t="array" ref="M796">IFERROR(INDEX($I$2:$K$2,0,MATCH(TRUE,I796:K796,0)),E796)</f>
        <v>CCGT</v>
      </c>
      <c r="O796" t="str">
        <f t="shared" si="64"/>
        <v>CCGT_2025</v>
      </c>
      <c r="P796">
        <f t="shared" si="65"/>
        <v>130</v>
      </c>
    </row>
    <row r="797" spans="4:16" x14ac:dyDescent="0.25">
      <c r="D797">
        <v>2026</v>
      </c>
      <c r="E797" t="s">
        <v>123</v>
      </c>
      <c r="F797" t="s">
        <v>186</v>
      </c>
      <c r="G797">
        <v>130</v>
      </c>
      <c r="I797">
        <f t="shared" si="66"/>
        <v>0</v>
      </c>
      <c r="J797">
        <f t="shared" si="66"/>
        <v>0</v>
      </c>
      <c r="K797">
        <f t="shared" si="66"/>
        <v>0</v>
      </c>
      <c r="M797" t="str" cm="1">
        <f t="array" ref="M797">IFERROR(INDEX($I$2:$K$2,0,MATCH(TRUE,I797:K797,0)),E797)</f>
        <v>CCGT</v>
      </c>
      <c r="O797" t="str">
        <f t="shared" si="64"/>
        <v>CCGT_2026</v>
      </c>
      <c r="P797">
        <f t="shared" si="65"/>
        <v>130</v>
      </c>
    </row>
    <row r="798" spans="4:16" x14ac:dyDescent="0.25">
      <c r="D798">
        <v>2027</v>
      </c>
      <c r="E798" t="s">
        <v>123</v>
      </c>
      <c r="F798" t="s">
        <v>186</v>
      </c>
      <c r="G798">
        <v>130</v>
      </c>
      <c r="I798">
        <f t="shared" si="66"/>
        <v>0</v>
      </c>
      <c r="J798">
        <f t="shared" si="66"/>
        <v>0</v>
      </c>
      <c r="K798">
        <f t="shared" si="66"/>
        <v>0</v>
      </c>
      <c r="M798" t="str" cm="1">
        <f t="array" ref="M798">IFERROR(INDEX($I$2:$K$2,0,MATCH(TRUE,I798:K798,0)),E798)</f>
        <v>CCGT</v>
      </c>
      <c r="O798" t="str">
        <f t="shared" si="64"/>
        <v>CCGT_2027</v>
      </c>
      <c r="P798">
        <f t="shared" si="65"/>
        <v>130</v>
      </c>
    </row>
    <row r="799" spans="4:16" x14ac:dyDescent="0.25">
      <c r="D799">
        <v>2028</v>
      </c>
      <c r="E799" t="s">
        <v>123</v>
      </c>
      <c r="F799" t="s">
        <v>186</v>
      </c>
      <c r="G799">
        <v>130</v>
      </c>
      <c r="I799">
        <f t="shared" si="66"/>
        <v>0</v>
      </c>
      <c r="J799">
        <f t="shared" si="66"/>
        <v>0</v>
      </c>
      <c r="K799">
        <f t="shared" si="66"/>
        <v>0</v>
      </c>
      <c r="M799" t="str" cm="1">
        <f t="array" ref="M799">IFERROR(INDEX($I$2:$K$2,0,MATCH(TRUE,I799:K799,0)),E799)</f>
        <v>CCGT</v>
      </c>
      <c r="O799" t="str">
        <f t="shared" si="64"/>
        <v>CCGT_2028</v>
      </c>
      <c r="P799">
        <f t="shared" si="65"/>
        <v>130</v>
      </c>
    </row>
    <row r="800" spans="4:16" x14ac:dyDescent="0.25">
      <c r="D800">
        <v>2029</v>
      </c>
      <c r="E800" t="s">
        <v>123</v>
      </c>
      <c r="F800" t="s">
        <v>186</v>
      </c>
      <c r="G800">
        <v>130</v>
      </c>
      <c r="I800">
        <f t="shared" si="66"/>
        <v>0</v>
      </c>
      <c r="J800">
        <f t="shared" si="66"/>
        <v>0</v>
      </c>
      <c r="K800">
        <f t="shared" si="66"/>
        <v>0</v>
      </c>
      <c r="M800" t="str" cm="1">
        <f t="array" ref="M800">IFERROR(INDEX($I$2:$K$2,0,MATCH(TRUE,I800:K800,0)),E800)</f>
        <v>CCGT</v>
      </c>
      <c r="O800" t="str">
        <f t="shared" si="64"/>
        <v>CCGT_2029</v>
      </c>
      <c r="P800">
        <f t="shared" si="65"/>
        <v>130</v>
      </c>
    </row>
    <row r="801" spans="4:16" x14ac:dyDescent="0.25">
      <c r="D801">
        <v>2030</v>
      </c>
      <c r="E801" t="s">
        <v>123</v>
      </c>
      <c r="F801" t="s">
        <v>186</v>
      </c>
      <c r="G801">
        <v>130</v>
      </c>
      <c r="I801">
        <f t="shared" si="66"/>
        <v>0</v>
      </c>
      <c r="J801">
        <f t="shared" si="66"/>
        <v>0</v>
      </c>
      <c r="K801">
        <f t="shared" si="66"/>
        <v>0</v>
      </c>
      <c r="M801" t="str" cm="1">
        <f t="array" ref="M801">IFERROR(INDEX($I$2:$K$2,0,MATCH(TRUE,I801:K801,0)),E801)</f>
        <v>CCGT</v>
      </c>
      <c r="O801" t="str">
        <f t="shared" si="64"/>
        <v>CCGT_2030</v>
      </c>
      <c r="P801">
        <f t="shared" si="65"/>
        <v>130</v>
      </c>
    </row>
    <row r="802" spans="4:16" x14ac:dyDescent="0.25">
      <c r="D802">
        <v>2031</v>
      </c>
      <c r="E802" t="s">
        <v>123</v>
      </c>
      <c r="F802" t="s">
        <v>186</v>
      </c>
      <c r="G802">
        <v>130</v>
      </c>
      <c r="I802">
        <f t="shared" si="66"/>
        <v>0</v>
      </c>
      <c r="J802">
        <f t="shared" si="66"/>
        <v>0</v>
      </c>
      <c r="K802">
        <f t="shared" si="66"/>
        <v>0</v>
      </c>
      <c r="M802" t="str" cm="1">
        <f t="array" ref="M802">IFERROR(INDEX($I$2:$K$2,0,MATCH(TRUE,I802:K802,0)),E802)</f>
        <v>CCGT</v>
      </c>
      <c r="O802" t="str">
        <f t="shared" si="64"/>
        <v>CCGT_2031</v>
      </c>
      <c r="P802">
        <f t="shared" si="65"/>
        <v>130</v>
      </c>
    </row>
    <row r="803" spans="4:16" x14ac:dyDescent="0.25">
      <c r="D803">
        <v>2032</v>
      </c>
      <c r="E803" t="s">
        <v>123</v>
      </c>
      <c r="F803" t="s">
        <v>186</v>
      </c>
      <c r="G803">
        <v>130</v>
      </c>
      <c r="I803">
        <f t="shared" si="66"/>
        <v>0</v>
      </c>
      <c r="J803">
        <f t="shared" si="66"/>
        <v>0</v>
      </c>
      <c r="K803">
        <f t="shared" si="66"/>
        <v>0</v>
      </c>
      <c r="M803" t="str" cm="1">
        <f t="array" ref="M803">IFERROR(INDEX($I$2:$K$2,0,MATCH(TRUE,I803:K803,0)),E803)</f>
        <v>CCGT</v>
      </c>
      <c r="O803" t="str">
        <f t="shared" si="64"/>
        <v>CCGT_2032</v>
      </c>
      <c r="P803">
        <f t="shared" si="65"/>
        <v>130</v>
      </c>
    </row>
    <row r="804" spans="4:16" x14ac:dyDescent="0.25">
      <c r="D804">
        <v>2033</v>
      </c>
      <c r="E804" t="s">
        <v>123</v>
      </c>
      <c r="F804" t="s">
        <v>186</v>
      </c>
      <c r="G804">
        <v>130</v>
      </c>
      <c r="I804">
        <f t="shared" ref="I804:K823" si="67">IFERROR(FIND(I$2,$E804,1)&gt;0,0)</f>
        <v>0</v>
      </c>
      <c r="J804">
        <f t="shared" si="67"/>
        <v>0</v>
      </c>
      <c r="K804">
        <f t="shared" si="67"/>
        <v>0</v>
      </c>
      <c r="M804" t="str" cm="1">
        <f t="array" ref="M804">IFERROR(INDEX($I$2:$K$2,0,MATCH(TRUE,I804:K804,0)),E804)</f>
        <v>CCGT</v>
      </c>
      <c r="O804" t="str">
        <f t="shared" si="64"/>
        <v>CCGT_2033</v>
      </c>
      <c r="P804">
        <f t="shared" si="65"/>
        <v>130</v>
      </c>
    </row>
    <row r="805" spans="4:16" x14ac:dyDescent="0.25">
      <c r="D805">
        <v>2034</v>
      </c>
      <c r="E805" t="s">
        <v>123</v>
      </c>
      <c r="F805" t="s">
        <v>186</v>
      </c>
      <c r="G805">
        <v>130</v>
      </c>
      <c r="I805">
        <f t="shared" si="67"/>
        <v>0</v>
      </c>
      <c r="J805">
        <f t="shared" si="67"/>
        <v>0</v>
      </c>
      <c r="K805">
        <f t="shared" si="67"/>
        <v>0</v>
      </c>
      <c r="M805" t="str" cm="1">
        <f t="array" ref="M805">IFERROR(INDEX($I$2:$K$2,0,MATCH(TRUE,I805:K805,0)),E805)</f>
        <v>CCGT</v>
      </c>
      <c r="O805" t="str">
        <f t="shared" si="64"/>
        <v>CCGT_2034</v>
      </c>
      <c r="P805">
        <f t="shared" si="65"/>
        <v>130</v>
      </c>
    </row>
    <row r="806" spans="4:16" x14ac:dyDescent="0.25">
      <c r="D806">
        <v>2035</v>
      </c>
      <c r="E806" t="s">
        <v>123</v>
      </c>
      <c r="F806" t="s">
        <v>186</v>
      </c>
      <c r="G806">
        <v>130</v>
      </c>
      <c r="I806">
        <f t="shared" si="67"/>
        <v>0</v>
      </c>
      <c r="J806">
        <f t="shared" si="67"/>
        <v>0</v>
      </c>
      <c r="K806">
        <f t="shared" si="67"/>
        <v>0</v>
      </c>
      <c r="M806" t="str" cm="1">
        <f t="array" ref="M806">IFERROR(INDEX($I$2:$K$2,0,MATCH(TRUE,I806:K806,0)),E806)</f>
        <v>CCGT</v>
      </c>
      <c r="O806" t="str">
        <f t="shared" si="64"/>
        <v>CCGT_2035</v>
      </c>
      <c r="P806">
        <f t="shared" si="65"/>
        <v>130</v>
      </c>
    </row>
    <row r="807" spans="4:16" x14ac:dyDescent="0.25">
      <c r="D807">
        <v>2036</v>
      </c>
      <c r="E807" t="s">
        <v>123</v>
      </c>
      <c r="F807" t="s">
        <v>186</v>
      </c>
      <c r="G807">
        <v>130</v>
      </c>
      <c r="I807">
        <f t="shared" si="67"/>
        <v>0</v>
      </c>
      <c r="J807">
        <f t="shared" si="67"/>
        <v>0</v>
      </c>
      <c r="K807">
        <f t="shared" si="67"/>
        <v>0</v>
      </c>
      <c r="M807" t="str" cm="1">
        <f t="array" ref="M807">IFERROR(INDEX($I$2:$K$2,0,MATCH(TRUE,I807:K807,0)),E807)</f>
        <v>CCGT</v>
      </c>
      <c r="O807" t="str">
        <f t="shared" si="64"/>
        <v>CCGT_2036</v>
      </c>
      <c r="P807">
        <f t="shared" si="65"/>
        <v>130</v>
      </c>
    </row>
    <row r="808" spans="4:16" x14ac:dyDescent="0.25">
      <c r="D808">
        <v>2037</v>
      </c>
      <c r="E808" t="s">
        <v>123</v>
      </c>
      <c r="F808" t="s">
        <v>186</v>
      </c>
      <c r="G808">
        <v>130</v>
      </c>
      <c r="I808">
        <f t="shared" si="67"/>
        <v>0</v>
      </c>
      <c r="J808">
        <f t="shared" si="67"/>
        <v>0</v>
      </c>
      <c r="K808">
        <f t="shared" si="67"/>
        <v>0</v>
      </c>
      <c r="M808" t="str" cm="1">
        <f t="array" ref="M808">IFERROR(INDEX($I$2:$K$2,0,MATCH(TRUE,I808:K808,0)),E808)</f>
        <v>CCGT</v>
      </c>
      <c r="O808" t="str">
        <f t="shared" si="64"/>
        <v>CCGT_2037</v>
      </c>
      <c r="P808">
        <f t="shared" si="65"/>
        <v>130</v>
      </c>
    </row>
    <row r="809" spans="4:16" x14ac:dyDescent="0.25">
      <c r="D809">
        <v>2038</v>
      </c>
      <c r="E809" t="s">
        <v>123</v>
      </c>
      <c r="F809" t="s">
        <v>186</v>
      </c>
      <c r="G809">
        <v>130</v>
      </c>
      <c r="I809">
        <f t="shared" si="67"/>
        <v>0</v>
      </c>
      <c r="J809">
        <f t="shared" si="67"/>
        <v>0</v>
      </c>
      <c r="K809">
        <f t="shared" si="67"/>
        <v>0</v>
      </c>
      <c r="M809" t="str" cm="1">
        <f t="array" ref="M809">IFERROR(INDEX($I$2:$K$2,0,MATCH(TRUE,I809:K809,0)),E809)</f>
        <v>CCGT</v>
      </c>
      <c r="O809" t="str">
        <f t="shared" si="64"/>
        <v>CCGT_2038</v>
      </c>
      <c r="P809">
        <f t="shared" si="65"/>
        <v>130</v>
      </c>
    </row>
    <row r="810" spans="4:16" x14ac:dyDescent="0.25">
      <c r="D810">
        <v>2039</v>
      </c>
      <c r="E810" t="s">
        <v>123</v>
      </c>
      <c r="F810" t="s">
        <v>186</v>
      </c>
      <c r="G810">
        <v>130</v>
      </c>
      <c r="I810">
        <f t="shared" si="67"/>
        <v>0</v>
      </c>
      <c r="J810">
        <f t="shared" si="67"/>
        <v>0</v>
      </c>
      <c r="K810">
        <f t="shared" si="67"/>
        <v>0</v>
      </c>
      <c r="M810" t="str" cm="1">
        <f t="array" ref="M810">IFERROR(INDEX($I$2:$K$2,0,MATCH(TRUE,I810:K810,0)),E810)</f>
        <v>CCGT</v>
      </c>
      <c r="O810" t="str">
        <f t="shared" si="64"/>
        <v>CCGT_2039</v>
      </c>
      <c r="P810">
        <f t="shared" si="65"/>
        <v>130</v>
      </c>
    </row>
    <row r="811" spans="4:16" x14ac:dyDescent="0.25">
      <c r="D811">
        <v>2040</v>
      </c>
      <c r="E811" t="s">
        <v>123</v>
      </c>
      <c r="F811" t="s">
        <v>186</v>
      </c>
      <c r="G811">
        <v>130</v>
      </c>
      <c r="I811">
        <f t="shared" si="67"/>
        <v>0</v>
      </c>
      <c r="J811">
        <f t="shared" si="67"/>
        <v>0</v>
      </c>
      <c r="K811">
        <f t="shared" si="67"/>
        <v>0</v>
      </c>
      <c r="M811" t="str" cm="1">
        <f t="array" ref="M811">IFERROR(INDEX($I$2:$K$2,0,MATCH(TRUE,I811:K811,0)),E811)</f>
        <v>CCGT</v>
      </c>
      <c r="O811" t="str">
        <f t="shared" si="64"/>
        <v>CCGT_2040</v>
      </c>
      <c r="P811">
        <f t="shared" si="65"/>
        <v>130</v>
      </c>
    </row>
    <row r="812" spans="4:16" x14ac:dyDescent="0.25">
      <c r="D812">
        <v>2021</v>
      </c>
      <c r="E812" t="s">
        <v>123</v>
      </c>
      <c r="F812" t="s">
        <v>187</v>
      </c>
      <c r="G812">
        <v>417</v>
      </c>
      <c r="I812">
        <f t="shared" si="67"/>
        <v>0</v>
      </c>
      <c r="J812">
        <f t="shared" si="67"/>
        <v>0</v>
      </c>
      <c r="K812">
        <f t="shared" si="67"/>
        <v>0</v>
      </c>
      <c r="M812" t="str" cm="1">
        <f t="array" ref="M812">IFERROR(INDEX($I$2:$K$2,0,MATCH(TRUE,I812:K812,0)),E812)</f>
        <v>CCGT</v>
      </c>
      <c r="O812" t="str">
        <f t="shared" si="64"/>
        <v>CCGT_2021</v>
      </c>
      <c r="P812">
        <f t="shared" si="65"/>
        <v>417</v>
      </c>
    </row>
    <row r="813" spans="4:16" x14ac:dyDescent="0.25">
      <c r="D813">
        <v>2022</v>
      </c>
      <c r="E813" t="s">
        <v>123</v>
      </c>
      <c r="F813" t="s">
        <v>187</v>
      </c>
      <c r="G813">
        <v>417</v>
      </c>
      <c r="I813">
        <f t="shared" si="67"/>
        <v>0</v>
      </c>
      <c r="J813">
        <f t="shared" si="67"/>
        <v>0</v>
      </c>
      <c r="K813">
        <f t="shared" si="67"/>
        <v>0</v>
      </c>
      <c r="M813" t="str" cm="1">
        <f t="array" ref="M813">IFERROR(INDEX($I$2:$K$2,0,MATCH(TRUE,I813:K813,0)),E813)</f>
        <v>CCGT</v>
      </c>
      <c r="O813" t="str">
        <f t="shared" si="64"/>
        <v>CCGT_2022</v>
      </c>
      <c r="P813">
        <f t="shared" si="65"/>
        <v>417</v>
      </c>
    </row>
    <row r="814" spans="4:16" x14ac:dyDescent="0.25">
      <c r="D814">
        <v>2023</v>
      </c>
      <c r="E814" t="s">
        <v>123</v>
      </c>
      <c r="F814" t="s">
        <v>187</v>
      </c>
      <c r="G814">
        <v>417</v>
      </c>
      <c r="I814">
        <f t="shared" si="67"/>
        <v>0</v>
      </c>
      <c r="J814">
        <f t="shared" si="67"/>
        <v>0</v>
      </c>
      <c r="K814">
        <f t="shared" si="67"/>
        <v>0</v>
      </c>
      <c r="M814" t="str" cm="1">
        <f t="array" ref="M814">IFERROR(INDEX($I$2:$K$2,0,MATCH(TRUE,I814:K814,0)),E814)</f>
        <v>CCGT</v>
      </c>
      <c r="O814" t="str">
        <f t="shared" si="64"/>
        <v>CCGT_2023</v>
      </c>
      <c r="P814">
        <f t="shared" si="65"/>
        <v>417</v>
      </c>
    </row>
    <row r="815" spans="4:16" x14ac:dyDescent="0.25">
      <c r="D815">
        <v>2024</v>
      </c>
      <c r="E815" t="s">
        <v>123</v>
      </c>
      <c r="F815" t="s">
        <v>187</v>
      </c>
      <c r="G815">
        <v>417</v>
      </c>
      <c r="I815">
        <f t="shared" si="67"/>
        <v>0</v>
      </c>
      <c r="J815">
        <f t="shared" si="67"/>
        <v>0</v>
      </c>
      <c r="K815">
        <f t="shared" si="67"/>
        <v>0</v>
      </c>
      <c r="M815" t="str" cm="1">
        <f t="array" ref="M815">IFERROR(INDEX($I$2:$K$2,0,MATCH(TRUE,I815:K815,0)),E815)</f>
        <v>CCGT</v>
      </c>
      <c r="O815" t="str">
        <f t="shared" si="64"/>
        <v>CCGT_2024</v>
      </c>
      <c r="P815">
        <f t="shared" si="65"/>
        <v>417</v>
      </c>
    </row>
    <row r="816" spans="4:16" x14ac:dyDescent="0.25">
      <c r="D816">
        <v>2025</v>
      </c>
      <c r="E816" t="s">
        <v>123</v>
      </c>
      <c r="F816" t="s">
        <v>187</v>
      </c>
      <c r="G816">
        <v>417</v>
      </c>
      <c r="I816">
        <f t="shared" si="67"/>
        <v>0</v>
      </c>
      <c r="J816">
        <f t="shared" si="67"/>
        <v>0</v>
      </c>
      <c r="K816">
        <f t="shared" si="67"/>
        <v>0</v>
      </c>
      <c r="M816" t="str" cm="1">
        <f t="array" ref="M816">IFERROR(INDEX($I$2:$K$2,0,MATCH(TRUE,I816:K816,0)),E816)</f>
        <v>CCGT</v>
      </c>
      <c r="O816" t="str">
        <f t="shared" si="64"/>
        <v>CCGT_2025</v>
      </c>
      <c r="P816">
        <f t="shared" si="65"/>
        <v>417</v>
      </c>
    </row>
    <row r="817" spans="4:16" x14ac:dyDescent="0.25">
      <c r="D817">
        <v>2026</v>
      </c>
      <c r="E817" t="s">
        <v>123</v>
      </c>
      <c r="F817" t="s">
        <v>187</v>
      </c>
      <c r="G817">
        <v>417</v>
      </c>
      <c r="I817">
        <f t="shared" si="67"/>
        <v>0</v>
      </c>
      <c r="J817">
        <f t="shared" si="67"/>
        <v>0</v>
      </c>
      <c r="K817">
        <f t="shared" si="67"/>
        <v>0</v>
      </c>
      <c r="M817" t="str" cm="1">
        <f t="array" ref="M817">IFERROR(INDEX($I$2:$K$2,0,MATCH(TRUE,I817:K817,0)),E817)</f>
        <v>CCGT</v>
      </c>
      <c r="O817" t="str">
        <f t="shared" si="64"/>
        <v>CCGT_2026</v>
      </c>
      <c r="P817">
        <f t="shared" si="65"/>
        <v>417</v>
      </c>
    </row>
    <row r="818" spans="4:16" x14ac:dyDescent="0.25">
      <c r="D818">
        <v>2027</v>
      </c>
      <c r="E818" t="s">
        <v>123</v>
      </c>
      <c r="F818" t="s">
        <v>187</v>
      </c>
      <c r="G818">
        <v>417</v>
      </c>
      <c r="I818">
        <f t="shared" si="67"/>
        <v>0</v>
      </c>
      <c r="J818">
        <f t="shared" si="67"/>
        <v>0</v>
      </c>
      <c r="K818">
        <f t="shared" si="67"/>
        <v>0</v>
      </c>
      <c r="M818" t="str" cm="1">
        <f t="array" ref="M818">IFERROR(INDEX($I$2:$K$2,0,MATCH(TRUE,I818:K818,0)),E818)</f>
        <v>CCGT</v>
      </c>
      <c r="O818" t="str">
        <f t="shared" si="64"/>
        <v>CCGT_2027</v>
      </c>
      <c r="P818">
        <f t="shared" si="65"/>
        <v>417</v>
      </c>
    </row>
    <row r="819" spans="4:16" x14ac:dyDescent="0.25">
      <c r="D819">
        <v>2028</v>
      </c>
      <c r="E819" t="s">
        <v>123</v>
      </c>
      <c r="F819" t="s">
        <v>187</v>
      </c>
      <c r="G819">
        <v>417</v>
      </c>
      <c r="I819">
        <f t="shared" si="67"/>
        <v>0</v>
      </c>
      <c r="J819">
        <f t="shared" si="67"/>
        <v>0</v>
      </c>
      <c r="K819">
        <f t="shared" si="67"/>
        <v>0</v>
      </c>
      <c r="M819" t="str" cm="1">
        <f t="array" ref="M819">IFERROR(INDEX($I$2:$K$2,0,MATCH(TRUE,I819:K819,0)),E819)</f>
        <v>CCGT</v>
      </c>
      <c r="O819" t="str">
        <f t="shared" si="64"/>
        <v>CCGT_2028</v>
      </c>
      <c r="P819">
        <f t="shared" si="65"/>
        <v>417</v>
      </c>
    </row>
    <row r="820" spans="4:16" x14ac:dyDescent="0.25">
      <c r="D820">
        <v>2029</v>
      </c>
      <c r="E820" t="s">
        <v>123</v>
      </c>
      <c r="F820" t="s">
        <v>187</v>
      </c>
      <c r="G820">
        <v>417</v>
      </c>
      <c r="I820">
        <f t="shared" si="67"/>
        <v>0</v>
      </c>
      <c r="J820">
        <f t="shared" si="67"/>
        <v>0</v>
      </c>
      <c r="K820">
        <f t="shared" si="67"/>
        <v>0</v>
      </c>
      <c r="M820" t="str" cm="1">
        <f t="array" ref="M820">IFERROR(INDEX($I$2:$K$2,0,MATCH(TRUE,I820:K820,0)),E820)</f>
        <v>CCGT</v>
      </c>
      <c r="O820" t="str">
        <f t="shared" si="64"/>
        <v>CCGT_2029</v>
      </c>
      <c r="P820">
        <f t="shared" si="65"/>
        <v>417</v>
      </c>
    </row>
    <row r="821" spans="4:16" x14ac:dyDescent="0.25">
      <c r="D821">
        <v>2030</v>
      </c>
      <c r="E821" t="s">
        <v>123</v>
      </c>
      <c r="F821" t="s">
        <v>187</v>
      </c>
      <c r="G821">
        <v>417</v>
      </c>
      <c r="I821">
        <f t="shared" si="67"/>
        <v>0</v>
      </c>
      <c r="J821">
        <f t="shared" si="67"/>
        <v>0</v>
      </c>
      <c r="K821">
        <f t="shared" si="67"/>
        <v>0</v>
      </c>
      <c r="M821" t="str" cm="1">
        <f t="array" ref="M821">IFERROR(INDEX($I$2:$K$2,0,MATCH(TRUE,I821:K821,0)),E821)</f>
        <v>CCGT</v>
      </c>
      <c r="O821" t="str">
        <f t="shared" si="64"/>
        <v>CCGT_2030</v>
      </c>
      <c r="P821">
        <f t="shared" si="65"/>
        <v>417</v>
      </c>
    </row>
    <row r="822" spans="4:16" x14ac:dyDescent="0.25">
      <c r="D822">
        <v>2031</v>
      </c>
      <c r="E822" t="s">
        <v>123</v>
      </c>
      <c r="F822" t="s">
        <v>187</v>
      </c>
      <c r="G822">
        <v>417</v>
      </c>
      <c r="I822">
        <f t="shared" si="67"/>
        <v>0</v>
      </c>
      <c r="J822">
        <f t="shared" si="67"/>
        <v>0</v>
      </c>
      <c r="K822">
        <f t="shared" si="67"/>
        <v>0</v>
      </c>
      <c r="M822" t="str" cm="1">
        <f t="array" ref="M822">IFERROR(INDEX($I$2:$K$2,0,MATCH(TRUE,I822:K822,0)),E822)</f>
        <v>CCGT</v>
      </c>
      <c r="O822" t="str">
        <f t="shared" si="64"/>
        <v>CCGT_2031</v>
      </c>
      <c r="P822">
        <f t="shared" si="65"/>
        <v>417</v>
      </c>
    </row>
    <row r="823" spans="4:16" x14ac:dyDescent="0.25">
      <c r="D823">
        <v>2032</v>
      </c>
      <c r="E823" t="s">
        <v>123</v>
      </c>
      <c r="F823" t="s">
        <v>187</v>
      </c>
      <c r="G823">
        <v>417</v>
      </c>
      <c r="I823">
        <f t="shared" si="67"/>
        <v>0</v>
      </c>
      <c r="J823">
        <f t="shared" si="67"/>
        <v>0</v>
      </c>
      <c r="K823">
        <f t="shared" si="67"/>
        <v>0</v>
      </c>
      <c r="M823" t="str" cm="1">
        <f t="array" ref="M823">IFERROR(INDEX($I$2:$K$2,0,MATCH(TRUE,I823:K823,0)),E823)</f>
        <v>CCGT</v>
      </c>
      <c r="O823" t="str">
        <f t="shared" si="64"/>
        <v>CCGT_2032</v>
      </c>
      <c r="P823">
        <f t="shared" si="65"/>
        <v>417</v>
      </c>
    </row>
    <row r="824" spans="4:16" x14ac:dyDescent="0.25">
      <c r="D824">
        <v>2033</v>
      </c>
      <c r="E824" t="s">
        <v>123</v>
      </c>
      <c r="F824" t="s">
        <v>187</v>
      </c>
      <c r="G824">
        <v>417</v>
      </c>
      <c r="I824">
        <f t="shared" ref="I824:K843" si="68">IFERROR(FIND(I$2,$E824,1)&gt;0,0)</f>
        <v>0</v>
      </c>
      <c r="J824">
        <f t="shared" si="68"/>
        <v>0</v>
      </c>
      <c r="K824">
        <f t="shared" si="68"/>
        <v>0</v>
      </c>
      <c r="M824" t="str" cm="1">
        <f t="array" ref="M824">IFERROR(INDEX($I$2:$K$2,0,MATCH(TRUE,I824:K824,0)),E824)</f>
        <v>CCGT</v>
      </c>
      <c r="O824" t="str">
        <f t="shared" si="64"/>
        <v>CCGT_2033</v>
      </c>
      <c r="P824">
        <f t="shared" si="65"/>
        <v>417</v>
      </c>
    </row>
    <row r="825" spans="4:16" x14ac:dyDescent="0.25">
      <c r="D825">
        <v>2034</v>
      </c>
      <c r="E825" t="s">
        <v>123</v>
      </c>
      <c r="F825" t="s">
        <v>187</v>
      </c>
      <c r="G825">
        <v>417</v>
      </c>
      <c r="I825">
        <f t="shared" si="68"/>
        <v>0</v>
      </c>
      <c r="J825">
        <f t="shared" si="68"/>
        <v>0</v>
      </c>
      <c r="K825">
        <f t="shared" si="68"/>
        <v>0</v>
      </c>
      <c r="M825" t="str" cm="1">
        <f t="array" ref="M825">IFERROR(INDEX($I$2:$K$2,0,MATCH(TRUE,I825:K825,0)),E825)</f>
        <v>CCGT</v>
      </c>
      <c r="O825" t="str">
        <f t="shared" si="64"/>
        <v>CCGT_2034</v>
      </c>
      <c r="P825">
        <f t="shared" si="65"/>
        <v>417</v>
      </c>
    </row>
    <row r="826" spans="4:16" x14ac:dyDescent="0.25">
      <c r="D826">
        <v>2035</v>
      </c>
      <c r="E826" t="s">
        <v>123</v>
      </c>
      <c r="F826" t="s">
        <v>187</v>
      </c>
      <c r="G826">
        <v>417</v>
      </c>
      <c r="I826">
        <f t="shared" si="68"/>
        <v>0</v>
      </c>
      <c r="J826">
        <f t="shared" si="68"/>
        <v>0</v>
      </c>
      <c r="K826">
        <f t="shared" si="68"/>
        <v>0</v>
      </c>
      <c r="M826" t="str" cm="1">
        <f t="array" ref="M826">IFERROR(INDEX($I$2:$K$2,0,MATCH(TRUE,I826:K826,0)),E826)</f>
        <v>CCGT</v>
      </c>
      <c r="O826" t="str">
        <f t="shared" si="64"/>
        <v>CCGT_2035</v>
      </c>
      <c r="P826">
        <f t="shared" si="65"/>
        <v>417</v>
      </c>
    </row>
    <row r="827" spans="4:16" x14ac:dyDescent="0.25">
      <c r="D827">
        <v>2036</v>
      </c>
      <c r="E827" t="s">
        <v>123</v>
      </c>
      <c r="F827" t="s">
        <v>187</v>
      </c>
      <c r="G827">
        <v>417</v>
      </c>
      <c r="I827">
        <f t="shared" si="68"/>
        <v>0</v>
      </c>
      <c r="J827">
        <f t="shared" si="68"/>
        <v>0</v>
      </c>
      <c r="K827">
        <f t="shared" si="68"/>
        <v>0</v>
      </c>
      <c r="M827" t="str" cm="1">
        <f t="array" ref="M827">IFERROR(INDEX($I$2:$K$2,0,MATCH(TRUE,I827:K827,0)),E827)</f>
        <v>CCGT</v>
      </c>
      <c r="O827" t="str">
        <f t="shared" si="64"/>
        <v>CCGT_2036</v>
      </c>
      <c r="P827">
        <f t="shared" si="65"/>
        <v>417</v>
      </c>
    </row>
    <row r="828" spans="4:16" x14ac:dyDescent="0.25">
      <c r="D828">
        <v>2037</v>
      </c>
      <c r="E828" t="s">
        <v>123</v>
      </c>
      <c r="F828" t="s">
        <v>187</v>
      </c>
      <c r="G828">
        <v>417</v>
      </c>
      <c r="I828">
        <f t="shared" si="68"/>
        <v>0</v>
      </c>
      <c r="J828">
        <f t="shared" si="68"/>
        <v>0</v>
      </c>
      <c r="K828">
        <f t="shared" si="68"/>
        <v>0</v>
      </c>
      <c r="M828" t="str" cm="1">
        <f t="array" ref="M828">IFERROR(INDEX($I$2:$K$2,0,MATCH(TRUE,I828:K828,0)),E828)</f>
        <v>CCGT</v>
      </c>
      <c r="O828" t="str">
        <f t="shared" si="64"/>
        <v>CCGT_2037</v>
      </c>
      <c r="P828">
        <f t="shared" si="65"/>
        <v>417</v>
      </c>
    </row>
    <row r="829" spans="4:16" x14ac:dyDescent="0.25">
      <c r="D829">
        <v>2038</v>
      </c>
      <c r="E829" t="s">
        <v>123</v>
      </c>
      <c r="F829" t="s">
        <v>187</v>
      </c>
      <c r="G829">
        <v>417</v>
      </c>
      <c r="I829">
        <f t="shared" si="68"/>
        <v>0</v>
      </c>
      <c r="J829">
        <f t="shared" si="68"/>
        <v>0</v>
      </c>
      <c r="K829">
        <f t="shared" si="68"/>
        <v>0</v>
      </c>
      <c r="M829" t="str" cm="1">
        <f t="array" ref="M829">IFERROR(INDEX($I$2:$K$2,0,MATCH(TRUE,I829:K829,0)),E829)</f>
        <v>CCGT</v>
      </c>
      <c r="O829" t="str">
        <f t="shared" si="64"/>
        <v>CCGT_2038</v>
      </c>
      <c r="P829">
        <f t="shared" si="65"/>
        <v>417</v>
      </c>
    </row>
    <row r="830" spans="4:16" x14ac:dyDescent="0.25">
      <c r="D830">
        <v>2039</v>
      </c>
      <c r="E830" t="s">
        <v>123</v>
      </c>
      <c r="F830" t="s">
        <v>187</v>
      </c>
      <c r="G830">
        <v>417</v>
      </c>
      <c r="I830">
        <f t="shared" si="68"/>
        <v>0</v>
      </c>
      <c r="J830">
        <f t="shared" si="68"/>
        <v>0</v>
      </c>
      <c r="K830">
        <f t="shared" si="68"/>
        <v>0</v>
      </c>
      <c r="M830" t="str" cm="1">
        <f t="array" ref="M830">IFERROR(INDEX($I$2:$K$2,0,MATCH(TRUE,I830:K830,0)),E830)</f>
        <v>CCGT</v>
      </c>
      <c r="O830" t="str">
        <f t="shared" si="64"/>
        <v>CCGT_2039</v>
      </c>
      <c r="P830">
        <f t="shared" si="65"/>
        <v>417</v>
      </c>
    </row>
    <row r="831" spans="4:16" x14ac:dyDescent="0.25">
      <c r="D831">
        <v>2040</v>
      </c>
      <c r="E831" t="s">
        <v>123</v>
      </c>
      <c r="F831" t="s">
        <v>187</v>
      </c>
      <c r="G831">
        <v>417</v>
      </c>
      <c r="I831">
        <f t="shared" si="68"/>
        <v>0</v>
      </c>
      <c r="J831">
        <f t="shared" si="68"/>
        <v>0</v>
      </c>
      <c r="K831">
        <f t="shared" si="68"/>
        <v>0</v>
      </c>
      <c r="M831" t="str" cm="1">
        <f t="array" ref="M831">IFERROR(INDEX($I$2:$K$2,0,MATCH(TRUE,I831:K831,0)),E831)</f>
        <v>CCGT</v>
      </c>
      <c r="O831" t="str">
        <f t="shared" si="64"/>
        <v>CCGT_2040</v>
      </c>
      <c r="P831">
        <f t="shared" si="65"/>
        <v>417</v>
      </c>
    </row>
    <row r="832" spans="4:16" x14ac:dyDescent="0.25">
      <c r="D832">
        <v>2021</v>
      </c>
      <c r="E832" t="s">
        <v>123</v>
      </c>
      <c r="F832" t="s">
        <v>188</v>
      </c>
      <c r="G832">
        <v>86</v>
      </c>
      <c r="I832">
        <f t="shared" si="68"/>
        <v>0</v>
      </c>
      <c r="J832">
        <f t="shared" si="68"/>
        <v>0</v>
      </c>
      <c r="K832">
        <f t="shared" si="68"/>
        <v>0</v>
      </c>
      <c r="M832" t="str" cm="1">
        <f t="array" ref="M832">IFERROR(INDEX($I$2:$K$2,0,MATCH(TRUE,I832:K832,0)),E832)</f>
        <v>CCGT</v>
      </c>
      <c r="O832" t="str">
        <f t="shared" si="64"/>
        <v>CCGT_2021</v>
      </c>
      <c r="P832">
        <f t="shared" si="65"/>
        <v>86</v>
      </c>
    </row>
    <row r="833" spans="4:16" x14ac:dyDescent="0.25">
      <c r="D833">
        <v>2022</v>
      </c>
      <c r="E833" t="s">
        <v>123</v>
      </c>
      <c r="F833" t="s">
        <v>188</v>
      </c>
      <c r="G833">
        <v>86</v>
      </c>
      <c r="I833">
        <f t="shared" si="68"/>
        <v>0</v>
      </c>
      <c r="J833">
        <f t="shared" si="68"/>
        <v>0</v>
      </c>
      <c r="K833">
        <f t="shared" si="68"/>
        <v>0</v>
      </c>
      <c r="M833" t="str" cm="1">
        <f t="array" ref="M833">IFERROR(INDEX($I$2:$K$2,0,MATCH(TRUE,I833:K833,0)),E833)</f>
        <v>CCGT</v>
      </c>
      <c r="O833" t="str">
        <f t="shared" si="64"/>
        <v>CCGT_2022</v>
      </c>
      <c r="P833">
        <f t="shared" si="65"/>
        <v>86</v>
      </c>
    </row>
    <row r="834" spans="4:16" x14ac:dyDescent="0.25">
      <c r="D834">
        <v>2023</v>
      </c>
      <c r="E834" t="s">
        <v>123</v>
      </c>
      <c r="F834" t="s">
        <v>188</v>
      </c>
      <c r="G834">
        <v>86</v>
      </c>
      <c r="I834">
        <f t="shared" si="68"/>
        <v>0</v>
      </c>
      <c r="J834">
        <f t="shared" si="68"/>
        <v>0</v>
      </c>
      <c r="K834">
        <f t="shared" si="68"/>
        <v>0</v>
      </c>
      <c r="M834" t="str" cm="1">
        <f t="array" ref="M834">IFERROR(INDEX($I$2:$K$2,0,MATCH(TRUE,I834:K834,0)),E834)</f>
        <v>CCGT</v>
      </c>
      <c r="O834" t="str">
        <f t="shared" si="64"/>
        <v>CCGT_2023</v>
      </c>
      <c r="P834">
        <f t="shared" si="65"/>
        <v>86</v>
      </c>
    </row>
    <row r="835" spans="4:16" x14ac:dyDescent="0.25">
      <c r="D835">
        <v>2024</v>
      </c>
      <c r="E835" t="s">
        <v>123</v>
      </c>
      <c r="F835" t="s">
        <v>188</v>
      </c>
      <c r="G835">
        <v>86</v>
      </c>
      <c r="I835">
        <f t="shared" si="68"/>
        <v>0</v>
      </c>
      <c r="J835">
        <f t="shared" si="68"/>
        <v>0</v>
      </c>
      <c r="K835">
        <f t="shared" si="68"/>
        <v>0</v>
      </c>
      <c r="M835" t="str" cm="1">
        <f t="array" ref="M835">IFERROR(INDEX($I$2:$K$2,0,MATCH(TRUE,I835:K835,0)),E835)</f>
        <v>CCGT</v>
      </c>
      <c r="O835" t="str">
        <f t="shared" si="64"/>
        <v>CCGT_2024</v>
      </c>
      <c r="P835">
        <f t="shared" si="65"/>
        <v>86</v>
      </c>
    </row>
    <row r="836" spans="4:16" x14ac:dyDescent="0.25">
      <c r="D836">
        <v>2025</v>
      </c>
      <c r="E836" t="s">
        <v>123</v>
      </c>
      <c r="F836" t="s">
        <v>188</v>
      </c>
      <c r="G836">
        <v>86</v>
      </c>
      <c r="I836">
        <f t="shared" si="68"/>
        <v>0</v>
      </c>
      <c r="J836">
        <f t="shared" si="68"/>
        <v>0</v>
      </c>
      <c r="K836">
        <f t="shared" si="68"/>
        <v>0</v>
      </c>
      <c r="M836" t="str" cm="1">
        <f t="array" ref="M836">IFERROR(INDEX($I$2:$K$2,0,MATCH(TRUE,I836:K836,0)),E836)</f>
        <v>CCGT</v>
      </c>
      <c r="O836" t="str">
        <f t="shared" ref="O836:O899" si="69">M836&amp;"_"&amp;D836</f>
        <v>CCGT_2025</v>
      </c>
      <c r="P836">
        <f t="shared" ref="P836:P899" si="70">G836</f>
        <v>86</v>
      </c>
    </row>
    <row r="837" spans="4:16" x14ac:dyDescent="0.25">
      <c r="D837">
        <v>2026</v>
      </c>
      <c r="E837" t="s">
        <v>123</v>
      </c>
      <c r="F837" t="s">
        <v>188</v>
      </c>
      <c r="G837">
        <v>86</v>
      </c>
      <c r="I837">
        <f t="shared" si="68"/>
        <v>0</v>
      </c>
      <c r="J837">
        <f t="shared" si="68"/>
        <v>0</v>
      </c>
      <c r="K837">
        <f t="shared" si="68"/>
        <v>0</v>
      </c>
      <c r="M837" t="str" cm="1">
        <f t="array" ref="M837">IFERROR(INDEX($I$2:$K$2,0,MATCH(TRUE,I837:K837,0)),E837)</f>
        <v>CCGT</v>
      </c>
      <c r="O837" t="str">
        <f t="shared" si="69"/>
        <v>CCGT_2026</v>
      </c>
      <c r="P837">
        <f t="shared" si="70"/>
        <v>86</v>
      </c>
    </row>
    <row r="838" spans="4:16" x14ac:dyDescent="0.25">
      <c r="D838">
        <v>2027</v>
      </c>
      <c r="E838" t="s">
        <v>123</v>
      </c>
      <c r="F838" t="s">
        <v>188</v>
      </c>
      <c r="G838">
        <v>86</v>
      </c>
      <c r="I838">
        <f t="shared" si="68"/>
        <v>0</v>
      </c>
      <c r="J838">
        <f t="shared" si="68"/>
        <v>0</v>
      </c>
      <c r="K838">
        <f t="shared" si="68"/>
        <v>0</v>
      </c>
      <c r="M838" t="str" cm="1">
        <f t="array" ref="M838">IFERROR(INDEX($I$2:$K$2,0,MATCH(TRUE,I838:K838,0)),E838)</f>
        <v>CCGT</v>
      </c>
      <c r="O838" t="str">
        <f t="shared" si="69"/>
        <v>CCGT_2027</v>
      </c>
      <c r="P838">
        <f t="shared" si="70"/>
        <v>86</v>
      </c>
    </row>
    <row r="839" spans="4:16" x14ac:dyDescent="0.25">
      <c r="D839">
        <v>2028</v>
      </c>
      <c r="E839" t="s">
        <v>123</v>
      </c>
      <c r="F839" t="s">
        <v>188</v>
      </c>
      <c r="G839">
        <v>86</v>
      </c>
      <c r="I839">
        <f t="shared" si="68"/>
        <v>0</v>
      </c>
      <c r="J839">
        <f t="shared" si="68"/>
        <v>0</v>
      </c>
      <c r="K839">
        <f t="shared" si="68"/>
        <v>0</v>
      </c>
      <c r="M839" t="str" cm="1">
        <f t="array" ref="M839">IFERROR(INDEX($I$2:$K$2,0,MATCH(TRUE,I839:K839,0)),E839)</f>
        <v>CCGT</v>
      </c>
      <c r="O839" t="str">
        <f t="shared" si="69"/>
        <v>CCGT_2028</v>
      </c>
      <c r="P839">
        <f t="shared" si="70"/>
        <v>86</v>
      </c>
    </row>
    <row r="840" spans="4:16" x14ac:dyDescent="0.25">
      <c r="D840">
        <v>2029</v>
      </c>
      <c r="E840" t="s">
        <v>123</v>
      </c>
      <c r="F840" t="s">
        <v>188</v>
      </c>
      <c r="G840">
        <v>86</v>
      </c>
      <c r="I840">
        <f t="shared" si="68"/>
        <v>0</v>
      </c>
      <c r="J840">
        <f t="shared" si="68"/>
        <v>0</v>
      </c>
      <c r="K840">
        <f t="shared" si="68"/>
        <v>0</v>
      </c>
      <c r="M840" t="str" cm="1">
        <f t="array" ref="M840">IFERROR(INDEX($I$2:$K$2,0,MATCH(TRUE,I840:K840,0)),E840)</f>
        <v>CCGT</v>
      </c>
      <c r="O840" t="str">
        <f t="shared" si="69"/>
        <v>CCGT_2029</v>
      </c>
      <c r="P840">
        <f t="shared" si="70"/>
        <v>86</v>
      </c>
    </row>
    <row r="841" spans="4:16" x14ac:dyDescent="0.25">
      <c r="D841">
        <v>2030</v>
      </c>
      <c r="E841" t="s">
        <v>123</v>
      </c>
      <c r="F841" t="s">
        <v>188</v>
      </c>
      <c r="G841">
        <v>86</v>
      </c>
      <c r="I841">
        <f t="shared" si="68"/>
        <v>0</v>
      </c>
      <c r="J841">
        <f t="shared" si="68"/>
        <v>0</v>
      </c>
      <c r="K841">
        <f t="shared" si="68"/>
        <v>0</v>
      </c>
      <c r="M841" t="str" cm="1">
        <f t="array" ref="M841">IFERROR(INDEX($I$2:$K$2,0,MATCH(TRUE,I841:K841,0)),E841)</f>
        <v>CCGT</v>
      </c>
      <c r="O841" t="str">
        <f t="shared" si="69"/>
        <v>CCGT_2030</v>
      </c>
      <c r="P841">
        <f t="shared" si="70"/>
        <v>86</v>
      </c>
    </row>
    <row r="842" spans="4:16" x14ac:dyDescent="0.25">
      <c r="D842">
        <v>2031</v>
      </c>
      <c r="E842" t="s">
        <v>123</v>
      </c>
      <c r="F842" t="s">
        <v>188</v>
      </c>
      <c r="G842">
        <v>86</v>
      </c>
      <c r="I842">
        <f t="shared" si="68"/>
        <v>0</v>
      </c>
      <c r="J842">
        <f t="shared" si="68"/>
        <v>0</v>
      </c>
      <c r="K842">
        <f t="shared" si="68"/>
        <v>0</v>
      </c>
      <c r="M842" t="str" cm="1">
        <f t="array" ref="M842">IFERROR(INDEX($I$2:$K$2,0,MATCH(TRUE,I842:K842,0)),E842)</f>
        <v>CCGT</v>
      </c>
      <c r="O842" t="str">
        <f t="shared" si="69"/>
        <v>CCGT_2031</v>
      </c>
      <c r="P842">
        <f t="shared" si="70"/>
        <v>86</v>
      </c>
    </row>
    <row r="843" spans="4:16" x14ac:dyDescent="0.25">
      <c r="D843">
        <v>2032</v>
      </c>
      <c r="E843" t="s">
        <v>123</v>
      </c>
      <c r="F843" t="s">
        <v>188</v>
      </c>
      <c r="G843">
        <v>86</v>
      </c>
      <c r="I843">
        <f t="shared" si="68"/>
        <v>0</v>
      </c>
      <c r="J843">
        <f t="shared" si="68"/>
        <v>0</v>
      </c>
      <c r="K843">
        <f t="shared" si="68"/>
        <v>0</v>
      </c>
      <c r="M843" t="str" cm="1">
        <f t="array" ref="M843">IFERROR(INDEX($I$2:$K$2,0,MATCH(TRUE,I843:K843,0)),E843)</f>
        <v>CCGT</v>
      </c>
      <c r="O843" t="str">
        <f t="shared" si="69"/>
        <v>CCGT_2032</v>
      </c>
      <c r="P843">
        <f t="shared" si="70"/>
        <v>86</v>
      </c>
    </row>
    <row r="844" spans="4:16" x14ac:dyDescent="0.25">
      <c r="D844">
        <v>2033</v>
      </c>
      <c r="E844" t="s">
        <v>123</v>
      </c>
      <c r="F844" t="s">
        <v>188</v>
      </c>
      <c r="G844">
        <v>86</v>
      </c>
      <c r="I844">
        <f t="shared" ref="I844:K863" si="71">IFERROR(FIND(I$2,$E844,1)&gt;0,0)</f>
        <v>0</v>
      </c>
      <c r="J844">
        <f t="shared" si="71"/>
        <v>0</v>
      </c>
      <c r="K844">
        <f t="shared" si="71"/>
        <v>0</v>
      </c>
      <c r="M844" t="str" cm="1">
        <f t="array" ref="M844">IFERROR(INDEX($I$2:$K$2,0,MATCH(TRUE,I844:K844,0)),E844)</f>
        <v>CCGT</v>
      </c>
      <c r="O844" t="str">
        <f t="shared" si="69"/>
        <v>CCGT_2033</v>
      </c>
      <c r="P844">
        <f t="shared" si="70"/>
        <v>86</v>
      </c>
    </row>
    <row r="845" spans="4:16" x14ac:dyDescent="0.25">
      <c r="D845">
        <v>2034</v>
      </c>
      <c r="E845" t="s">
        <v>123</v>
      </c>
      <c r="F845" t="s">
        <v>188</v>
      </c>
      <c r="G845">
        <v>86</v>
      </c>
      <c r="I845">
        <f t="shared" si="71"/>
        <v>0</v>
      </c>
      <c r="J845">
        <f t="shared" si="71"/>
        <v>0</v>
      </c>
      <c r="K845">
        <f t="shared" si="71"/>
        <v>0</v>
      </c>
      <c r="M845" t="str" cm="1">
        <f t="array" ref="M845">IFERROR(INDEX($I$2:$K$2,0,MATCH(TRUE,I845:K845,0)),E845)</f>
        <v>CCGT</v>
      </c>
      <c r="O845" t="str">
        <f t="shared" si="69"/>
        <v>CCGT_2034</v>
      </c>
      <c r="P845">
        <f t="shared" si="70"/>
        <v>86</v>
      </c>
    </row>
    <row r="846" spans="4:16" x14ac:dyDescent="0.25">
      <c r="D846">
        <v>2035</v>
      </c>
      <c r="E846" t="s">
        <v>123</v>
      </c>
      <c r="F846" t="s">
        <v>188</v>
      </c>
      <c r="G846">
        <v>86</v>
      </c>
      <c r="I846">
        <f t="shared" si="71"/>
        <v>0</v>
      </c>
      <c r="J846">
        <f t="shared" si="71"/>
        <v>0</v>
      </c>
      <c r="K846">
        <f t="shared" si="71"/>
        <v>0</v>
      </c>
      <c r="M846" t="str" cm="1">
        <f t="array" ref="M846">IFERROR(INDEX($I$2:$K$2,0,MATCH(TRUE,I846:K846,0)),E846)</f>
        <v>CCGT</v>
      </c>
      <c r="O846" t="str">
        <f t="shared" si="69"/>
        <v>CCGT_2035</v>
      </c>
      <c r="P846">
        <f t="shared" si="70"/>
        <v>86</v>
      </c>
    </row>
    <row r="847" spans="4:16" x14ac:dyDescent="0.25">
      <c r="D847">
        <v>2036</v>
      </c>
      <c r="E847" t="s">
        <v>123</v>
      </c>
      <c r="F847" t="s">
        <v>188</v>
      </c>
      <c r="G847">
        <v>86</v>
      </c>
      <c r="I847">
        <f t="shared" si="71"/>
        <v>0</v>
      </c>
      <c r="J847">
        <f t="shared" si="71"/>
        <v>0</v>
      </c>
      <c r="K847">
        <f t="shared" si="71"/>
        <v>0</v>
      </c>
      <c r="M847" t="str" cm="1">
        <f t="array" ref="M847">IFERROR(INDEX($I$2:$K$2,0,MATCH(TRUE,I847:K847,0)),E847)</f>
        <v>CCGT</v>
      </c>
      <c r="O847" t="str">
        <f t="shared" si="69"/>
        <v>CCGT_2036</v>
      </c>
      <c r="P847">
        <f t="shared" si="70"/>
        <v>86</v>
      </c>
    </row>
    <row r="848" spans="4:16" x14ac:dyDescent="0.25">
      <c r="D848">
        <v>2037</v>
      </c>
      <c r="E848" t="s">
        <v>123</v>
      </c>
      <c r="F848" t="s">
        <v>188</v>
      </c>
      <c r="G848">
        <v>86</v>
      </c>
      <c r="I848">
        <f t="shared" si="71"/>
        <v>0</v>
      </c>
      <c r="J848">
        <f t="shared" si="71"/>
        <v>0</v>
      </c>
      <c r="K848">
        <f t="shared" si="71"/>
        <v>0</v>
      </c>
      <c r="M848" t="str" cm="1">
        <f t="array" ref="M848">IFERROR(INDEX($I$2:$K$2,0,MATCH(TRUE,I848:K848,0)),E848)</f>
        <v>CCGT</v>
      </c>
      <c r="O848" t="str">
        <f t="shared" si="69"/>
        <v>CCGT_2037</v>
      </c>
      <c r="P848">
        <f t="shared" si="70"/>
        <v>86</v>
      </c>
    </row>
    <row r="849" spans="4:16" x14ac:dyDescent="0.25">
      <c r="D849">
        <v>2038</v>
      </c>
      <c r="E849" t="s">
        <v>123</v>
      </c>
      <c r="F849" t="s">
        <v>188</v>
      </c>
      <c r="G849">
        <v>86</v>
      </c>
      <c r="I849">
        <f t="shared" si="71"/>
        <v>0</v>
      </c>
      <c r="J849">
        <f t="shared" si="71"/>
        <v>0</v>
      </c>
      <c r="K849">
        <f t="shared" si="71"/>
        <v>0</v>
      </c>
      <c r="M849" t="str" cm="1">
        <f t="array" ref="M849">IFERROR(INDEX($I$2:$K$2,0,MATCH(TRUE,I849:K849,0)),E849)</f>
        <v>CCGT</v>
      </c>
      <c r="O849" t="str">
        <f t="shared" si="69"/>
        <v>CCGT_2038</v>
      </c>
      <c r="P849">
        <f t="shared" si="70"/>
        <v>86</v>
      </c>
    </row>
    <row r="850" spans="4:16" x14ac:dyDescent="0.25">
      <c r="D850">
        <v>2039</v>
      </c>
      <c r="E850" t="s">
        <v>123</v>
      </c>
      <c r="F850" t="s">
        <v>188</v>
      </c>
      <c r="G850">
        <v>86</v>
      </c>
      <c r="I850">
        <f t="shared" si="71"/>
        <v>0</v>
      </c>
      <c r="J850">
        <f t="shared" si="71"/>
        <v>0</v>
      </c>
      <c r="K850">
        <f t="shared" si="71"/>
        <v>0</v>
      </c>
      <c r="M850" t="str" cm="1">
        <f t="array" ref="M850">IFERROR(INDEX($I$2:$K$2,0,MATCH(TRUE,I850:K850,0)),E850)</f>
        <v>CCGT</v>
      </c>
      <c r="O850" t="str">
        <f t="shared" si="69"/>
        <v>CCGT_2039</v>
      </c>
      <c r="P850">
        <f t="shared" si="70"/>
        <v>86</v>
      </c>
    </row>
    <row r="851" spans="4:16" x14ac:dyDescent="0.25">
      <c r="D851">
        <v>2040</v>
      </c>
      <c r="E851" t="s">
        <v>123</v>
      </c>
      <c r="F851" t="s">
        <v>188</v>
      </c>
      <c r="G851">
        <v>86</v>
      </c>
      <c r="I851">
        <f t="shared" si="71"/>
        <v>0</v>
      </c>
      <c r="J851">
        <f t="shared" si="71"/>
        <v>0</v>
      </c>
      <c r="K851">
        <f t="shared" si="71"/>
        <v>0</v>
      </c>
      <c r="M851" t="str" cm="1">
        <f t="array" ref="M851">IFERROR(INDEX($I$2:$K$2,0,MATCH(TRUE,I851:K851,0)),E851)</f>
        <v>CCGT</v>
      </c>
      <c r="O851" t="str">
        <f t="shared" si="69"/>
        <v>CCGT_2040</v>
      </c>
      <c r="P851">
        <f t="shared" si="70"/>
        <v>86</v>
      </c>
    </row>
    <row r="852" spans="4:16" x14ac:dyDescent="0.25">
      <c r="D852">
        <v>2021</v>
      </c>
      <c r="E852" t="s">
        <v>123</v>
      </c>
      <c r="F852" t="s">
        <v>189</v>
      </c>
      <c r="G852">
        <v>182</v>
      </c>
      <c r="I852">
        <f t="shared" si="71"/>
        <v>0</v>
      </c>
      <c r="J852">
        <f t="shared" si="71"/>
        <v>0</v>
      </c>
      <c r="K852">
        <f t="shared" si="71"/>
        <v>0</v>
      </c>
      <c r="M852" t="str" cm="1">
        <f t="array" ref="M852">IFERROR(INDEX($I$2:$K$2,0,MATCH(TRUE,I852:K852,0)),E852)</f>
        <v>CCGT</v>
      </c>
      <c r="O852" t="str">
        <f t="shared" si="69"/>
        <v>CCGT_2021</v>
      </c>
      <c r="P852">
        <f t="shared" si="70"/>
        <v>182</v>
      </c>
    </row>
    <row r="853" spans="4:16" x14ac:dyDescent="0.25">
      <c r="D853">
        <v>2035</v>
      </c>
      <c r="E853" t="s">
        <v>123</v>
      </c>
      <c r="F853" t="s">
        <v>190</v>
      </c>
      <c r="G853">
        <v>0</v>
      </c>
      <c r="I853">
        <f t="shared" si="71"/>
        <v>0</v>
      </c>
      <c r="J853">
        <f t="shared" si="71"/>
        <v>0</v>
      </c>
      <c r="K853">
        <f t="shared" si="71"/>
        <v>0</v>
      </c>
      <c r="M853" t="str" cm="1">
        <f t="array" ref="M853">IFERROR(INDEX($I$2:$K$2,0,MATCH(TRUE,I853:K853,0)),E853)</f>
        <v>CCGT</v>
      </c>
      <c r="O853" t="str">
        <f t="shared" si="69"/>
        <v>CCGT_2035</v>
      </c>
      <c r="P853">
        <f t="shared" si="70"/>
        <v>0</v>
      </c>
    </row>
    <row r="854" spans="4:16" x14ac:dyDescent="0.25">
      <c r="D854">
        <v>2036</v>
      </c>
      <c r="E854" t="s">
        <v>123</v>
      </c>
      <c r="F854" t="s">
        <v>190</v>
      </c>
      <c r="G854">
        <v>10.7</v>
      </c>
      <c r="I854">
        <f t="shared" si="71"/>
        <v>0</v>
      </c>
      <c r="J854">
        <f t="shared" si="71"/>
        <v>0</v>
      </c>
      <c r="K854">
        <f t="shared" si="71"/>
        <v>0</v>
      </c>
      <c r="M854" t="str" cm="1">
        <f t="array" ref="M854">IFERROR(INDEX($I$2:$K$2,0,MATCH(TRUE,I854:K854,0)),E854)</f>
        <v>CCGT</v>
      </c>
      <c r="O854" t="str">
        <f t="shared" si="69"/>
        <v>CCGT_2036</v>
      </c>
      <c r="P854">
        <f t="shared" si="70"/>
        <v>10.7</v>
      </c>
    </row>
    <row r="855" spans="4:16" x14ac:dyDescent="0.25">
      <c r="D855">
        <v>2037</v>
      </c>
      <c r="E855" t="s">
        <v>123</v>
      </c>
      <c r="F855" t="s">
        <v>190</v>
      </c>
      <c r="G855">
        <v>10.7</v>
      </c>
      <c r="I855">
        <f t="shared" si="71"/>
        <v>0</v>
      </c>
      <c r="J855">
        <f t="shared" si="71"/>
        <v>0</v>
      </c>
      <c r="K855">
        <f t="shared" si="71"/>
        <v>0</v>
      </c>
      <c r="M855" t="str" cm="1">
        <f t="array" ref="M855">IFERROR(INDEX($I$2:$K$2,0,MATCH(TRUE,I855:K855,0)),E855)</f>
        <v>CCGT</v>
      </c>
      <c r="O855" t="str">
        <f t="shared" si="69"/>
        <v>CCGT_2037</v>
      </c>
      <c r="P855">
        <f t="shared" si="70"/>
        <v>10.7</v>
      </c>
    </row>
    <row r="856" spans="4:16" x14ac:dyDescent="0.25">
      <c r="D856">
        <v>2038</v>
      </c>
      <c r="E856" t="s">
        <v>123</v>
      </c>
      <c r="F856" t="s">
        <v>190</v>
      </c>
      <c r="G856">
        <v>10.7</v>
      </c>
      <c r="I856">
        <f t="shared" si="71"/>
        <v>0</v>
      </c>
      <c r="J856">
        <f t="shared" si="71"/>
        <v>0</v>
      </c>
      <c r="K856">
        <f t="shared" si="71"/>
        <v>0</v>
      </c>
      <c r="M856" t="str" cm="1">
        <f t="array" ref="M856">IFERROR(INDEX($I$2:$K$2,0,MATCH(TRUE,I856:K856,0)),E856)</f>
        <v>CCGT</v>
      </c>
      <c r="O856" t="str">
        <f t="shared" si="69"/>
        <v>CCGT_2038</v>
      </c>
      <c r="P856">
        <f t="shared" si="70"/>
        <v>10.7</v>
      </c>
    </row>
    <row r="857" spans="4:16" x14ac:dyDescent="0.25">
      <c r="D857">
        <v>2039</v>
      </c>
      <c r="E857" t="s">
        <v>123</v>
      </c>
      <c r="F857" t="s">
        <v>190</v>
      </c>
      <c r="G857">
        <v>10.7</v>
      </c>
      <c r="I857">
        <f t="shared" si="71"/>
        <v>0</v>
      </c>
      <c r="J857">
        <f t="shared" si="71"/>
        <v>0</v>
      </c>
      <c r="K857">
        <f t="shared" si="71"/>
        <v>0</v>
      </c>
      <c r="M857" t="str" cm="1">
        <f t="array" ref="M857">IFERROR(INDEX($I$2:$K$2,0,MATCH(TRUE,I857:K857,0)),E857)</f>
        <v>CCGT</v>
      </c>
      <c r="O857" t="str">
        <f t="shared" si="69"/>
        <v>CCGT_2039</v>
      </c>
      <c r="P857">
        <f t="shared" si="70"/>
        <v>10.7</v>
      </c>
    </row>
    <row r="858" spans="4:16" x14ac:dyDescent="0.25">
      <c r="D858">
        <v>2040</v>
      </c>
      <c r="E858" t="s">
        <v>123</v>
      </c>
      <c r="F858" t="s">
        <v>190</v>
      </c>
      <c r="G858">
        <v>10.7</v>
      </c>
      <c r="I858">
        <f t="shared" si="71"/>
        <v>0</v>
      </c>
      <c r="J858">
        <f t="shared" si="71"/>
        <v>0</v>
      </c>
      <c r="K858">
        <f t="shared" si="71"/>
        <v>0</v>
      </c>
      <c r="M858" t="str" cm="1">
        <f t="array" ref="M858">IFERROR(INDEX($I$2:$K$2,0,MATCH(TRUE,I858:K858,0)),E858)</f>
        <v>CCGT</v>
      </c>
      <c r="O858" t="str">
        <f t="shared" si="69"/>
        <v>CCGT_2040</v>
      </c>
      <c r="P858">
        <f t="shared" si="70"/>
        <v>10.7</v>
      </c>
    </row>
    <row r="859" spans="4:16" x14ac:dyDescent="0.25">
      <c r="D859">
        <v>2021</v>
      </c>
      <c r="E859" t="s">
        <v>123</v>
      </c>
      <c r="F859" t="s">
        <v>191</v>
      </c>
      <c r="G859">
        <v>167</v>
      </c>
      <c r="I859">
        <f t="shared" si="71"/>
        <v>0</v>
      </c>
      <c r="J859">
        <f t="shared" si="71"/>
        <v>0</v>
      </c>
      <c r="K859">
        <f t="shared" si="71"/>
        <v>0</v>
      </c>
      <c r="M859" t="str" cm="1">
        <f t="array" ref="M859">IFERROR(INDEX($I$2:$K$2,0,MATCH(TRUE,I859:K859,0)),E859)</f>
        <v>CCGT</v>
      </c>
      <c r="O859" t="str">
        <f t="shared" si="69"/>
        <v>CCGT_2021</v>
      </c>
      <c r="P859">
        <f t="shared" si="70"/>
        <v>167</v>
      </c>
    </row>
    <row r="860" spans="4:16" x14ac:dyDescent="0.25">
      <c r="D860">
        <v>2022</v>
      </c>
      <c r="E860" t="s">
        <v>123</v>
      </c>
      <c r="F860" t="s">
        <v>191</v>
      </c>
      <c r="G860">
        <v>167</v>
      </c>
      <c r="I860">
        <f t="shared" si="71"/>
        <v>0</v>
      </c>
      <c r="J860">
        <f t="shared" si="71"/>
        <v>0</v>
      </c>
      <c r="K860">
        <f t="shared" si="71"/>
        <v>0</v>
      </c>
      <c r="M860" t="str" cm="1">
        <f t="array" ref="M860">IFERROR(INDEX($I$2:$K$2,0,MATCH(TRUE,I860:K860,0)),E860)</f>
        <v>CCGT</v>
      </c>
      <c r="O860" t="str">
        <f t="shared" si="69"/>
        <v>CCGT_2022</v>
      </c>
      <c r="P860">
        <f t="shared" si="70"/>
        <v>167</v>
      </c>
    </row>
    <row r="861" spans="4:16" x14ac:dyDescent="0.25">
      <c r="D861">
        <v>2023</v>
      </c>
      <c r="E861" t="s">
        <v>123</v>
      </c>
      <c r="F861" t="s">
        <v>191</v>
      </c>
      <c r="G861">
        <v>167</v>
      </c>
      <c r="I861">
        <f t="shared" si="71"/>
        <v>0</v>
      </c>
      <c r="J861">
        <f t="shared" si="71"/>
        <v>0</v>
      </c>
      <c r="K861">
        <f t="shared" si="71"/>
        <v>0</v>
      </c>
      <c r="M861" t="str" cm="1">
        <f t="array" ref="M861">IFERROR(INDEX($I$2:$K$2,0,MATCH(TRUE,I861:K861,0)),E861)</f>
        <v>CCGT</v>
      </c>
      <c r="O861" t="str">
        <f t="shared" si="69"/>
        <v>CCGT_2023</v>
      </c>
      <c r="P861">
        <f t="shared" si="70"/>
        <v>167</v>
      </c>
    </row>
    <row r="862" spans="4:16" x14ac:dyDescent="0.25">
      <c r="D862">
        <v>2024</v>
      </c>
      <c r="E862" t="s">
        <v>123</v>
      </c>
      <c r="F862" t="s">
        <v>191</v>
      </c>
      <c r="G862">
        <v>167</v>
      </c>
      <c r="I862">
        <f t="shared" si="71"/>
        <v>0</v>
      </c>
      <c r="J862">
        <f t="shared" si="71"/>
        <v>0</v>
      </c>
      <c r="K862">
        <f t="shared" si="71"/>
        <v>0</v>
      </c>
      <c r="M862" t="str" cm="1">
        <f t="array" ref="M862">IFERROR(INDEX($I$2:$K$2,0,MATCH(TRUE,I862:K862,0)),E862)</f>
        <v>CCGT</v>
      </c>
      <c r="O862" t="str">
        <f t="shared" si="69"/>
        <v>CCGT_2024</v>
      </c>
      <c r="P862">
        <f t="shared" si="70"/>
        <v>167</v>
      </c>
    </row>
    <row r="863" spans="4:16" x14ac:dyDescent="0.25">
      <c r="D863">
        <v>2025</v>
      </c>
      <c r="E863" t="s">
        <v>123</v>
      </c>
      <c r="F863" t="s">
        <v>191</v>
      </c>
      <c r="G863">
        <v>167</v>
      </c>
      <c r="I863">
        <f t="shared" si="71"/>
        <v>0</v>
      </c>
      <c r="J863">
        <f t="shared" si="71"/>
        <v>0</v>
      </c>
      <c r="K863">
        <f t="shared" si="71"/>
        <v>0</v>
      </c>
      <c r="M863" t="str" cm="1">
        <f t="array" ref="M863">IFERROR(INDEX($I$2:$K$2,0,MATCH(TRUE,I863:K863,0)),E863)</f>
        <v>CCGT</v>
      </c>
      <c r="O863" t="str">
        <f t="shared" si="69"/>
        <v>CCGT_2025</v>
      </c>
      <c r="P863">
        <f t="shared" si="70"/>
        <v>167</v>
      </c>
    </row>
    <row r="864" spans="4:16" x14ac:dyDescent="0.25">
      <c r="D864">
        <v>2026</v>
      </c>
      <c r="E864" t="s">
        <v>123</v>
      </c>
      <c r="F864" t="s">
        <v>191</v>
      </c>
      <c r="G864">
        <v>167</v>
      </c>
      <c r="I864">
        <f t="shared" ref="I864:K883" si="72">IFERROR(FIND(I$2,$E864,1)&gt;0,0)</f>
        <v>0</v>
      </c>
      <c r="J864">
        <f t="shared" si="72"/>
        <v>0</v>
      </c>
      <c r="K864">
        <f t="shared" si="72"/>
        <v>0</v>
      </c>
      <c r="M864" t="str" cm="1">
        <f t="array" ref="M864">IFERROR(INDEX($I$2:$K$2,0,MATCH(TRUE,I864:K864,0)),E864)</f>
        <v>CCGT</v>
      </c>
      <c r="O864" t="str">
        <f t="shared" si="69"/>
        <v>CCGT_2026</v>
      </c>
      <c r="P864">
        <f t="shared" si="70"/>
        <v>167</v>
      </c>
    </row>
    <row r="865" spans="4:16" x14ac:dyDescent="0.25">
      <c r="D865">
        <v>2027</v>
      </c>
      <c r="E865" t="s">
        <v>123</v>
      </c>
      <c r="F865" t="s">
        <v>191</v>
      </c>
      <c r="G865">
        <v>167</v>
      </c>
      <c r="I865">
        <f t="shared" si="72"/>
        <v>0</v>
      </c>
      <c r="J865">
        <f t="shared" si="72"/>
        <v>0</v>
      </c>
      <c r="K865">
        <f t="shared" si="72"/>
        <v>0</v>
      </c>
      <c r="M865" t="str" cm="1">
        <f t="array" ref="M865">IFERROR(INDEX($I$2:$K$2,0,MATCH(TRUE,I865:K865,0)),E865)</f>
        <v>CCGT</v>
      </c>
      <c r="O865" t="str">
        <f t="shared" si="69"/>
        <v>CCGT_2027</v>
      </c>
      <c r="P865">
        <f t="shared" si="70"/>
        <v>167</v>
      </c>
    </row>
    <row r="866" spans="4:16" x14ac:dyDescent="0.25">
      <c r="D866">
        <v>2028</v>
      </c>
      <c r="E866" t="s">
        <v>123</v>
      </c>
      <c r="F866" t="s">
        <v>191</v>
      </c>
      <c r="G866">
        <v>167</v>
      </c>
      <c r="I866">
        <f t="shared" si="72"/>
        <v>0</v>
      </c>
      <c r="J866">
        <f t="shared" si="72"/>
        <v>0</v>
      </c>
      <c r="K866">
        <f t="shared" si="72"/>
        <v>0</v>
      </c>
      <c r="M866" t="str" cm="1">
        <f t="array" ref="M866">IFERROR(INDEX($I$2:$K$2,0,MATCH(TRUE,I866:K866,0)),E866)</f>
        <v>CCGT</v>
      </c>
      <c r="O866" t="str">
        <f t="shared" si="69"/>
        <v>CCGT_2028</v>
      </c>
      <c r="P866">
        <f t="shared" si="70"/>
        <v>167</v>
      </c>
    </row>
    <row r="867" spans="4:16" x14ac:dyDescent="0.25">
      <c r="D867">
        <v>2029</v>
      </c>
      <c r="E867" t="s">
        <v>123</v>
      </c>
      <c r="F867" t="s">
        <v>191</v>
      </c>
      <c r="G867">
        <v>167</v>
      </c>
      <c r="I867">
        <f t="shared" si="72"/>
        <v>0</v>
      </c>
      <c r="J867">
        <f t="shared" si="72"/>
        <v>0</v>
      </c>
      <c r="K867">
        <f t="shared" si="72"/>
        <v>0</v>
      </c>
      <c r="M867" t="str" cm="1">
        <f t="array" ref="M867">IFERROR(INDEX($I$2:$K$2,0,MATCH(TRUE,I867:K867,0)),E867)</f>
        <v>CCGT</v>
      </c>
      <c r="O867" t="str">
        <f t="shared" si="69"/>
        <v>CCGT_2029</v>
      </c>
      <c r="P867">
        <f t="shared" si="70"/>
        <v>167</v>
      </c>
    </row>
    <row r="868" spans="4:16" x14ac:dyDescent="0.25">
      <c r="D868">
        <v>2030</v>
      </c>
      <c r="E868" t="s">
        <v>123</v>
      </c>
      <c r="F868" t="s">
        <v>191</v>
      </c>
      <c r="G868">
        <v>167</v>
      </c>
      <c r="I868">
        <f t="shared" si="72"/>
        <v>0</v>
      </c>
      <c r="J868">
        <f t="shared" si="72"/>
        <v>0</v>
      </c>
      <c r="K868">
        <f t="shared" si="72"/>
        <v>0</v>
      </c>
      <c r="M868" t="str" cm="1">
        <f t="array" ref="M868">IFERROR(INDEX($I$2:$K$2,0,MATCH(TRUE,I868:K868,0)),E868)</f>
        <v>CCGT</v>
      </c>
      <c r="O868" t="str">
        <f t="shared" si="69"/>
        <v>CCGT_2030</v>
      </c>
      <c r="P868">
        <f t="shared" si="70"/>
        <v>167</v>
      </c>
    </row>
    <row r="869" spans="4:16" x14ac:dyDescent="0.25">
      <c r="D869">
        <v>2031</v>
      </c>
      <c r="E869" t="s">
        <v>123</v>
      </c>
      <c r="F869" t="s">
        <v>191</v>
      </c>
      <c r="G869">
        <v>167</v>
      </c>
      <c r="I869">
        <f t="shared" si="72"/>
        <v>0</v>
      </c>
      <c r="J869">
        <f t="shared" si="72"/>
        <v>0</v>
      </c>
      <c r="K869">
        <f t="shared" si="72"/>
        <v>0</v>
      </c>
      <c r="M869" t="str" cm="1">
        <f t="array" ref="M869">IFERROR(INDEX($I$2:$K$2,0,MATCH(TRUE,I869:K869,0)),E869)</f>
        <v>CCGT</v>
      </c>
      <c r="O869" t="str">
        <f t="shared" si="69"/>
        <v>CCGT_2031</v>
      </c>
      <c r="P869">
        <f t="shared" si="70"/>
        <v>167</v>
      </c>
    </row>
    <row r="870" spans="4:16" x14ac:dyDescent="0.25">
      <c r="D870">
        <v>2032</v>
      </c>
      <c r="E870" t="s">
        <v>123</v>
      </c>
      <c r="F870" t="s">
        <v>191</v>
      </c>
      <c r="G870">
        <v>167</v>
      </c>
      <c r="I870">
        <f t="shared" si="72"/>
        <v>0</v>
      </c>
      <c r="J870">
        <f t="shared" si="72"/>
        <v>0</v>
      </c>
      <c r="K870">
        <f t="shared" si="72"/>
        <v>0</v>
      </c>
      <c r="M870" t="str" cm="1">
        <f t="array" ref="M870">IFERROR(INDEX($I$2:$K$2,0,MATCH(TRUE,I870:K870,0)),E870)</f>
        <v>CCGT</v>
      </c>
      <c r="O870" t="str">
        <f t="shared" si="69"/>
        <v>CCGT_2032</v>
      </c>
      <c r="P870">
        <f t="shared" si="70"/>
        <v>167</v>
      </c>
    </row>
    <row r="871" spans="4:16" x14ac:dyDescent="0.25">
      <c r="D871">
        <v>2033</v>
      </c>
      <c r="E871" t="s">
        <v>123</v>
      </c>
      <c r="F871" t="s">
        <v>191</v>
      </c>
      <c r="G871">
        <v>167</v>
      </c>
      <c r="I871">
        <f t="shared" si="72"/>
        <v>0</v>
      </c>
      <c r="J871">
        <f t="shared" si="72"/>
        <v>0</v>
      </c>
      <c r="K871">
        <f t="shared" si="72"/>
        <v>0</v>
      </c>
      <c r="M871" t="str" cm="1">
        <f t="array" ref="M871">IFERROR(INDEX($I$2:$K$2,0,MATCH(TRUE,I871:K871,0)),E871)</f>
        <v>CCGT</v>
      </c>
      <c r="O871" t="str">
        <f t="shared" si="69"/>
        <v>CCGT_2033</v>
      </c>
      <c r="P871">
        <f t="shared" si="70"/>
        <v>167</v>
      </c>
    </row>
    <row r="872" spans="4:16" x14ac:dyDescent="0.25">
      <c r="D872">
        <v>2034</v>
      </c>
      <c r="E872" t="s">
        <v>123</v>
      </c>
      <c r="F872" t="s">
        <v>191</v>
      </c>
      <c r="G872">
        <v>167</v>
      </c>
      <c r="I872">
        <f t="shared" si="72"/>
        <v>0</v>
      </c>
      <c r="J872">
        <f t="shared" si="72"/>
        <v>0</v>
      </c>
      <c r="K872">
        <f t="shared" si="72"/>
        <v>0</v>
      </c>
      <c r="M872" t="str" cm="1">
        <f t="array" ref="M872">IFERROR(INDEX($I$2:$K$2,0,MATCH(TRUE,I872:K872,0)),E872)</f>
        <v>CCGT</v>
      </c>
      <c r="O872" t="str">
        <f t="shared" si="69"/>
        <v>CCGT_2034</v>
      </c>
      <c r="P872">
        <f t="shared" si="70"/>
        <v>167</v>
      </c>
    </row>
    <row r="873" spans="4:16" x14ac:dyDescent="0.25">
      <c r="D873">
        <v>2035</v>
      </c>
      <c r="E873" t="s">
        <v>123</v>
      </c>
      <c r="F873" t="s">
        <v>191</v>
      </c>
      <c r="G873">
        <v>167</v>
      </c>
      <c r="I873">
        <f t="shared" si="72"/>
        <v>0</v>
      </c>
      <c r="J873">
        <f t="shared" si="72"/>
        <v>0</v>
      </c>
      <c r="K873">
        <f t="shared" si="72"/>
        <v>0</v>
      </c>
      <c r="M873" t="str" cm="1">
        <f t="array" ref="M873">IFERROR(INDEX($I$2:$K$2,0,MATCH(TRUE,I873:K873,0)),E873)</f>
        <v>CCGT</v>
      </c>
      <c r="O873" t="str">
        <f t="shared" si="69"/>
        <v>CCGT_2035</v>
      </c>
      <c r="P873">
        <f t="shared" si="70"/>
        <v>167</v>
      </c>
    </row>
    <row r="874" spans="4:16" x14ac:dyDescent="0.25">
      <c r="D874">
        <v>2036</v>
      </c>
      <c r="E874" t="s">
        <v>123</v>
      </c>
      <c r="F874" t="s">
        <v>191</v>
      </c>
      <c r="G874">
        <v>167</v>
      </c>
      <c r="I874">
        <f t="shared" si="72"/>
        <v>0</v>
      </c>
      <c r="J874">
        <f t="shared" si="72"/>
        <v>0</v>
      </c>
      <c r="K874">
        <f t="shared" si="72"/>
        <v>0</v>
      </c>
      <c r="M874" t="str" cm="1">
        <f t="array" ref="M874">IFERROR(INDEX($I$2:$K$2,0,MATCH(TRUE,I874:K874,0)),E874)</f>
        <v>CCGT</v>
      </c>
      <c r="O874" t="str">
        <f t="shared" si="69"/>
        <v>CCGT_2036</v>
      </c>
      <c r="P874">
        <f t="shared" si="70"/>
        <v>167</v>
      </c>
    </row>
    <row r="875" spans="4:16" x14ac:dyDescent="0.25">
      <c r="D875">
        <v>2037</v>
      </c>
      <c r="E875" t="s">
        <v>123</v>
      </c>
      <c r="F875" t="s">
        <v>191</v>
      </c>
      <c r="G875">
        <v>167</v>
      </c>
      <c r="I875">
        <f t="shared" si="72"/>
        <v>0</v>
      </c>
      <c r="J875">
        <f t="shared" si="72"/>
        <v>0</v>
      </c>
      <c r="K875">
        <f t="shared" si="72"/>
        <v>0</v>
      </c>
      <c r="M875" t="str" cm="1">
        <f t="array" ref="M875">IFERROR(INDEX($I$2:$K$2,0,MATCH(TRUE,I875:K875,0)),E875)</f>
        <v>CCGT</v>
      </c>
      <c r="O875" t="str">
        <f t="shared" si="69"/>
        <v>CCGT_2037</v>
      </c>
      <c r="P875">
        <f t="shared" si="70"/>
        <v>167</v>
      </c>
    </row>
    <row r="876" spans="4:16" x14ac:dyDescent="0.25">
      <c r="D876">
        <v>2038</v>
      </c>
      <c r="E876" t="s">
        <v>123</v>
      </c>
      <c r="F876" t="s">
        <v>191</v>
      </c>
      <c r="G876">
        <v>167</v>
      </c>
      <c r="I876">
        <f t="shared" si="72"/>
        <v>0</v>
      </c>
      <c r="J876">
        <f t="shared" si="72"/>
        <v>0</v>
      </c>
      <c r="K876">
        <f t="shared" si="72"/>
        <v>0</v>
      </c>
      <c r="M876" t="str" cm="1">
        <f t="array" ref="M876">IFERROR(INDEX($I$2:$K$2,0,MATCH(TRUE,I876:K876,0)),E876)</f>
        <v>CCGT</v>
      </c>
      <c r="O876" t="str">
        <f t="shared" si="69"/>
        <v>CCGT_2038</v>
      </c>
      <c r="P876">
        <f t="shared" si="70"/>
        <v>167</v>
      </c>
    </row>
    <row r="877" spans="4:16" x14ac:dyDescent="0.25">
      <c r="D877">
        <v>2039</v>
      </c>
      <c r="E877" t="s">
        <v>123</v>
      </c>
      <c r="F877" t="s">
        <v>191</v>
      </c>
      <c r="G877">
        <v>167</v>
      </c>
      <c r="I877">
        <f t="shared" si="72"/>
        <v>0</v>
      </c>
      <c r="J877">
        <f t="shared" si="72"/>
        <v>0</v>
      </c>
      <c r="K877">
        <f t="shared" si="72"/>
        <v>0</v>
      </c>
      <c r="M877" t="str" cm="1">
        <f t="array" ref="M877">IFERROR(INDEX($I$2:$K$2,0,MATCH(TRUE,I877:K877,0)),E877)</f>
        <v>CCGT</v>
      </c>
      <c r="O877" t="str">
        <f t="shared" si="69"/>
        <v>CCGT_2039</v>
      </c>
      <c r="P877">
        <f t="shared" si="70"/>
        <v>167</v>
      </c>
    </row>
    <row r="878" spans="4:16" x14ac:dyDescent="0.25">
      <c r="D878">
        <v>2040</v>
      </c>
      <c r="E878" t="s">
        <v>123</v>
      </c>
      <c r="F878" t="s">
        <v>191</v>
      </c>
      <c r="G878">
        <v>167</v>
      </c>
      <c r="I878">
        <f t="shared" si="72"/>
        <v>0</v>
      </c>
      <c r="J878">
        <f t="shared" si="72"/>
        <v>0</v>
      </c>
      <c r="K878">
        <f t="shared" si="72"/>
        <v>0</v>
      </c>
      <c r="M878" t="str" cm="1">
        <f t="array" ref="M878">IFERROR(INDEX($I$2:$K$2,0,MATCH(TRUE,I878:K878,0)),E878)</f>
        <v>CCGT</v>
      </c>
      <c r="O878" t="str">
        <f t="shared" si="69"/>
        <v>CCGT_2040</v>
      </c>
      <c r="P878">
        <f t="shared" si="70"/>
        <v>167</v>
      </c>
    </row>
    <row r="879" spans="4:16" x14ac:dyDescent="0.25">
      <c r="D879">
        <v>2021</v>
      </c>
      <c r="E879" t="s">
        <v>123</v>
      </c>
      <c r="F879" t="s">
        <v>192</v>
      </c>
      <c r="G879">
        <v>300</v>
      </c>
      <c r="I879">
        <f t="shared" si="72"/>
        <v>0</v>
      </c>
      <c r="J879">
        <f t="shared" si="72"/>
        <v>0</v>
      </c>
      <c r="K879">
        <f t="shared" si="72"/>
        <v>0</v>
      </c>
      <c r="M879" t="str" cm="1">
        <f t="array" ref="M879">IFERROR(INDEX($I$2:$K$2,0,MATCH(TRUE,I879:K879,0)),E879)</f>
        <v>CCGT</v>
      </c>
      <c r="O879" t="str">
        <f t="shared" si="69"/>
        <v>CCGT_2021</v>
      </c>
      <c r="P879">
        <f t="shared" si="70"/>
        <v>300</v>
      </c>
    </row>
    <row r="880" spans="4:16" x14ac:dyDescent="0.25">
      <c r="D880">
        <v>2022</v>
      </c>
      <c r="E880" t="s">
        <v>123</v>
      </c>
      <c r="F880" t="s">
        <v>192</v>
      </c>
      <c r="G880">
        <v>300</v>
      </c>
      <c r="I880">
        <f t="shared" si="72"/>
        <v>0</v>
      </c>
      <c r="J880">
        <f t="shared" si="72"/>
        <v>0</v>
      </c>
      <c r="K880">
        <f t="shared" si="72"/>
        <v>0</v>
      </c>
      <c r="M880" t="str" cm="1">
        <f t="array" ref="M880">IFERROR(INDEX($I$2:$K$2,0,MATCH(TRUE,I880:K880,0)),E880)</f>
        <v>CCGT</v>
      </c>
      <c r="O880" t="str">
        <f t="shared" si="69"/>
        <v>CCGT_2022</v>
      </c>
      <c r="P880">
        <f t="shared" si="70"/>
        <v>300</v>
      </c>
    </row>
    <row r="881" spans="4:16" x14ac:dyDescent="0.25">
      <c r="D881">
        <v>2023</v>
      </c>
      <c r="E881" t="s">
        <v>123</v>
      </c>
      <c r="F881" t="s">
        <v>192</v>
      </c>
      <c r="G881">
        <v>300</v>
      </c>
      <c r="I881">
        <f t="shared" si="72"/>
        <v>0</v>
      </c>
      <c r="J881">
        <f t="shared" si="72"/>
        <v>0</v>
      </c>
      <c r="K881">
        <f t="shared" si="72"/>
        <v>0</v>
      </c>
      <c r="M881" t="str" cm="1">
        <f t="array" ref="M881">IFERROR(INDEX($I$2:$K$2,0,MATCH(TRUE,I881:K881,0)),E881)</f>
        <v>CCGT</v>
      </c>
      <c r="O881" t="str">
        <f t="shared" si="69"/>
        <v>CCGT_2023</v>
      </c>
      <c r="P881">
        <f t="shared" si="70"/>
        <v>300</v>
      </c>
    </row>
    <row r="882" spans="4:16" x14ac:dyDescent="0.25">
      <c r="D882">
        <v>2024</v>
      </c>
      <c r="E882" t="s">
        <v>123</v>
      </c>
      <c r="F882" t="s">
        <v>192</v>
      </c>
      <c r="G882">
        <v>300</v>
      </c>
      <c r="I882">
        <f t="shared" si="72"/>
        <v>0</v>
      </c>
      <c r="J882">
        <f t="shared" si="72"/>
        <v>0</v>
      </c>
      <c r="K882">
        <f t="shared" si="72"/>
        <v>0</v>
      </c>
      <c r="M882" t="str" cm="1">
        <f t="array" ref="M882">IFERROR(INDEX($I$2:$K$2,0,MATCH(TRUE,I882:K882,0)),E882)</f>
        <v>CCGT</v>
      </c>
      <c r="O882" t="str">
        <f t="shared" si="69"/>
        <v>CCGT_2024</v>
      </c>
      <c r="P882">
        <f t="shared" si="70"/>
        <v>300</v>
      </c>
    </row>
    <row r="883" spans="4:16" x14ac:dyDescent="0.25">
      <c r="D883">
        <v>2025</v>
      </c>
      <c r="E883" t="s">
        <v>123</v>
      </c>
      <c r="F883" t="s">
        <v>192</v>
      </c>
      <c r="G883">
        <v>300</v>
      </c>
      <c r="I883">
        <f t="shared" si="72"/>
        <v>0</v>
      </c>
      <c r="J883">
        <f t="shared" si="72"/>
        <v>0</v>
      </c>
      <c r="K883">
        <f t="shared" si="72"/>
        <v>0</v>
      </c>
      <c r="M883" t="str" cm="1">
        <f t="array" ref="M883">IFERROR(INDEX($I$2:$K$2,0,MATCH(TRUE,I883:K883,0)),E883)</f>
        <v>CCGT</v>
      </c>
      <c r="O883" t="str">
        <f t="shared" si="69"/>
        <v>CCGT_2025</v>
      </c>
      <c r="P883">
        <f t="shared" si="70"/>
        <v>300</v>
      </c>
    </row>
    <row r="884" spans="4:16" x14ac:dyDescent="0.25">
      <c r="D884">
        <v>2026</v>
      </c>
      <c r="E884" t="s">
        <v>123</v>
      </c>
      <c r="F884" t="s">
        <v>192</v>
      </c>
      <c r="G884">
        <v>300</v>
      </c>
      <c r="I884">
        <f t="shared" ref="I884:K903" si="73">IFERROR(FIND(I$2,$E884,1)&gt;0,0)</f>
        <v>0</v>
      </c>
      <c r="J884">
        <f t="shared" si="73"/>
        <v>0</v>
      </c>
      <c r="K884">
        <f t="shared" si="73"/>
        <v>0</v>
      </c>
      <c r="M884" t="str" cm="1">
        <f t="array" ref="M884">IFERROR(INDEX($I$2:$K$2,0,MATCH(TRUE,I884:K884,0)),E884)</f>
        <v>CCGT</v>
      </c>
      <c r="O884" t="str">
        <f t="shared" si="69"/>
        <v>CCGT_2026</v>
      </c>
      <c r="P884">
        <f t="shared" si="70"/>
        <v>300</v>
      </c>
    </row>
    <row r="885" spans="4:16" x14ac:dyDescent="0.25">
      <c r="D885">
        <v>2027</v>
      </c>
      <c r="E885" t="s">
        <v>123</v>
      </c>
      <c r="F885" t="s">
        <v>192</v>
      </c>
      <c r="G885">
        <v>300</v>
      </c>
      <c r="I885">
        <f t="shared" si="73"/>
        <v>0</v>
      </c>
      <c r="J885">
        <f t="shared" si="73"/>
        <v>0</v>
      </c>
      <c r="K885">
        <f t="shared" si="73"/>
        <v>0</v>
      </c>
      <c r="M885" t="str" cm="1">
        <f t="array" ref="M885">IFERROR(INDEX($I$2:$K$2,0,MATCH(TRUE,I885:K885,0)),E885)</f>
        <v>CCGT</v>
      </c>
      <c r="O885" t="str">
        <f t="shared" si="69"/>
        <v>CCGT_2027</v>
      </c>
      <c r="P885">
        <f t="shared" si="70"/>
        <v>300</v>
      </c>
    </row>
    <row r="886" spans="4:16" x14ac:dyDescent="0.25">
      <c r="D886">
        <v>2028</v>
      </c>
      <c r="E886" t="s">
        <v>123</v>
      </c>
      <c r="F886" t="s">
        <v>192</v>
      </c>
      <c r="G886">
        <v>300</v>
      </c>
      <c r="I886">
        <f t="shared" si="73"/>
        <v>0</v>
      </c>
      <c r="J886">
        <f t="shared" si="73"/>
        <v>0</v>
      </c>
      <c r="K886">
        <f t="shared" si="73"/>
        <v>0</v>
      </c>
      <c r="M886" t="str" cm="1">
        <f t="array" ref="M886">IFERROR(INDEX($I$2:$K$2,0,MATCH(TRUE,I886:K886,0)),E886)</f>
        <v>CCGT</v>
      </c>
      <c r="O886" t="str">
        <f t="shared" si="69"/>
        <v>CCGT_2028</v>
      </c>
      <c r="P886">
        <f t="shared" si="70"/>
        <v>300</v>
      </c>
    </row>
    <row r="887" spans="4:16" x14ac:dyDescent="0.25">
      <c r="D887">
        <v>2029</v>
      </c>
      <c r="E887" t="s">
        <v>123</v>
      </c>
      <c r="F887" t="s">
        <v>192</v>
      </c>
      <c r="G887">
        <v>300</v>
      </c>
      <c r="I887">
        <f t="shared" si="73"/>
        <v>0</v>
      </c>
      <c r="J887">
        <f t="shared" si="73"/>
        <v>0</v>
      </c>
      <c r="K887">
        <f t="shared" si="73"/>
        <v>0</v>
      </c>
      <c r="M887" t="str" cm="1">
        <f t="array" ref="M887">IFERROR(INDEX($I$2:$K$2,0,MATCH(TRUE,I887:K887,0)),E887)</f>
        <v>CCGT</v>
      </c>
      <c r="O887" t="str">
        <f t="shared" si="69"/>
        <v>CCGT_2029</v>
      </c>
      <c r="P887">
        <f t="shared" si="70"/>
        <v>300</v>
      </c>
    </row>
    <row r="888" spans="4:16" x14ac:dyDescent="0.25">
      <c r="D888">
        <v>2030</v>
      </c>
      <c r="E888" t="s">
        <v>123</v>
      </c>
      <c r="F888" t="s">
        <v>192</v>
      </c>
      <c r="G888">
        <v>300</v>
      </c>
      <c r="I888">
        <f t="shared" si="73"/>
        <v>0</v>
      </c>
      <c r="J888">
        <f t="shared" si="73"/>
        <v>0</v>
      </c>
      <c r="K888">
        <f t="shared" si="73"/>
        <v>0</v>
      </c>
      <c r="M888" t="str" cm="1">
        <f t="array" ref="M888">IFERROR(INDEX($I$2:$K$2,0,MATCH(TRUE,I888:K888,0)),E888)</f>
        <v>CCGT</v>
      </c>
      <c r="O888" t="str">
        <f t="shared" si="69"/>
        <v>CCGT_2030</v>
      </c>
      <c r="P888">
        <f t="shared" si="70"/>
        <v>300</v>
      </c>
    </row>
    <row r="889" spans="4:16" x14ac:dyDescent="0.25">
      <c r="D889">
        <v>2031</v>
      </c>
      <c r="E889" t="s">
        <v>123</v>
      </c>
      <c r="F889" t="s">
        <v>192</v>
      </c>
      <c r="G889">
        <v>300</v>
      </c>
      <c r="I889">
        <f t="shared" si="73"/>
        <v>0</v>
      </c>
      <c r="J889">
        <f t="shared" si="73"/>
        <v>0</v>
      </c>
      <c r="K889">
        <f t="shared" si="73"/>
        <v>0</v>
      </c>
      <c r="M889" t="str" cm="1">
        <f t="array" ref="M889">IFERROR(INDEX($I$2:$K$2,0,MATCH(TRUE,I889:K889,0)),E889)</f>
        <v>CCGT</v>
      </c>
      <c r="O889" t="str">
        <f t="shared" si="69"/>
        <v>CCGT_2031</v>
      </c>
      <c r="P889">
        <f t="shared" si="70"/>
        <v>300</v>
      </c>
    </row>
    <row r="890" spans="4:16" x14ac:dyDescent="0.25">
      <c r="D890">
        <v>2032</v>
      </c>
      <c r="E890" t="s">
        <v>123</v>
      </c>
      <c r="F890" t="s">
        <v>192</v>
      </c>
      <c r="G890">
        <v>300</v>
      </c>
      <c r="I890">
        <f t="shared" si="73"/>
        <v>0</v>
      </c>
      <c r="J890">
        <f t="shared" si="73"/>
        <v>0</v>
      </c>
      <c r="K890">
        <f t="shared" si="73"/>
        <v>0</v>
      </c>
      <c r="M890" t="str" cm="1">
        <f t="array" ref="M890">IFERROR(INDEX($I$2:$K$2,0,MATCH(TRUE,I890:K890,0)),E890)</f>
        <v>CCGT</v>
      </c>
      <c r="O890" t="str">
        <f t="shared" si="69"/>
        <v>CCGT_2032</v>
      </c>
      <c r="P890">
        <f t="shared" si="70"/>
        <v>300</v>
      </c>
    </row>
    <row r="891" spans="4:16" x14ac:dyDescent="0.25">
      <c r="D891">
        <v>2033</v>
      </c>
      <c r="E891" t="s">
        <v>123</v>
      </c>
      <c r="F891" t="s">
        <v>192</v>
      </c>
      <c r="G891">
        <v>300</v>
      </c>
      <c r="I891">
        <f t="shared" si="73"/>
        <v>0</v>
      </c>
      <c r="J891">
        <f t="shared" si="73"/>
        <v>0</v>
      </c>
      <c r="K891">
        <f t="shared" si="73"/>
        <v>0</v>
      </c>
      <c r="M891" t="str" cm="1">
        <f t="array" ref="M891">IFERROR(INDEX($I$2:$K$2,0,MATCH(TRUE,I891:K891,0)),E891)</f>
        <v>CCGT</v>
      </c>
      <c r="O891" t="str">
        <f t="shared" si="69"/>
        <v>CCGT_2033</v>
      </c>
      <c r="P891">
        <f t="shared" si="70"/>
        <v>300</v>
      </c>
    </row>
    <row r="892" spans="4:16" x14ac:dyDescent="0.25">
      <c r="D892">
        <v>2034</v>
      </c>
      <c r="E892" t="s">
        <v>123</v>
      </c>
      <c r="F892" t="s">
        <v>192</v>
      </c>
      <c r="G892">
        <v>300</v>
      </c>
      <c r="I892">
        <f t="shared" si="73"/>
        <v>0</v>
      </c>
      <c r="J892">
        <f t="shared" si="73"/>
        <v>0</v>
      </c>
      <c r="K892">
        <f t="shared" si="73"/>
        <v>0</v>
      </c>
      <c r="M892" t="str" cm="1">
        <f t="array" ref="M892">IFERROR(INDEX($I$2:$K$2,0,MATCH(TRUE,I892:K892,0)),E892)</f>
        <v>CCGT</v>
      </c>
      <c r="O892" t="str">
        <f t="shared" si="69"/>
        <v>CCGT_2034</v>
      </c>
      <c r="P892">
        <f t="shared" si="70"/>
        <v>300</v>
      </c>
    </row>
    <row r="893" spans="4:16" x14ac:dyDescent="0.25">
      <c r="D893">
        <v>2035</v>
      </c>
      <c r="E893" t="s">
        <v>123</v>
      </c>
      <c r="F893" t="s">
        <v>192</v>
      </c>
      <c r="G893">
        <v>300</v>
      </c>
      <c r="I893">
        <f t="shared" si="73"/>
        <v>0</v>
      </c>
      <c r="J893">
        <f t="shared" si="73"/>
        <v>0</v>
      </c>
      <c r="K893">
        <f t="shared" si="73"/>
        <v>0</v>
      </c>
      <c r="M893" t="str" cm="1">
        <f t="array" ref="M893">IFERROR(INDEX($I$2:$K$2,0,MATCH(TRUE,I893:K893,0)),E893)</f>
        <v>CCGT</v>
      </c>
      <c r="O893" t="str">
        <f t="shared" si="69"/>
        <v>CCGT_2035</v>
      </c>
      <c r="P893">
        <f t="shared" si="70"/>
        <v>300</v>
      </c>
    </row>
    <row r="894" spans="4:16" x14ac:dyDescent="0.25">
      <c r="D894">
        <v>2036</v>
      </c>
      <c r="E894" t="s">
        <v>123</v>
      </c>
      <c r="F894" t="s">
        <v>192</v>
      </c>
      <c r="G894">
        <v>300</v>
      </c>
      <c r="I894">
        <f t="shared" si="73"/>
        <v>0</v>
      </c>
      <c r="J894">
        <f t="shared" si="73"/>
        <v>0</v>
      </c>
      <c r="K894">
        <f t="shared" si="73"/>
        <v>0</v>
      </c>
      <c r="M894" t="str" cm="1">
        <f t="array" ref="M894">IFERROR(INDEX($I$2:$K$2,0,MATCH(TRUE,I894:K894,0)),E894)</f>
        <v>CCGT</v>
      </c>
      <c r="O894" t="str">
        <f t="shared" si="69"/>
        <v>CCGT_2036</v>
      </c>
      <c r="P894">
        <f t="shared" si="70"/>
        <v>300</v>
      </c>
    </row>
    <row r="895" spans="4:16" x14ac:dyDescent="0.25">
      <c r="D895">
        <v>2037</v>
      </c>
      <c r="E895" t="s">
        <v>123</v>
      </c>
      <c r="F895" t="s">
        <v>192</v>
      </c>
      <c r="G895">
        <v>300</v>
      </c>
      <c r="I895">
        <f t="shared" si="73"/>
        <v>0</v>
      </c>
      <c r="J895">
        <f t="shared" si="73"/>
        <v>0</v>
      </c>
      <c r="K895">
        <f t="shared" si="73"/>
        <v>0</v>
      </c>
      <c r="M895" t="str" cm="1">
        <f t="array" ref="M895">IFERROR(INDEX($I$2:$K$2,0,MATCH(TRUE,I895:K895,0)),E895)</f>
        <v>CCGT</v>
      </c>
      <c r="O895" t="str">
        <f t="shared" si="69"/>
        <v>CCGT_2037</v>
      </c>
      <c r="P895">
        <f t="shared" si="70"/>
        <v>300</v>
      </c>
    </row>
    <row r="896" spans="4:16" x14ac:dyDescent="0.25">
      <c r="D896">
        <v>2038</v>
      </c>
      <c r="E896" t="s">
        <v>123</v>
      </c>
      <c r="F896" t="s">
        <v>192</v>
      </c>
      <c r="G896">
        <v>300</v>
      </c>
      <c r="I896">
        <f t="shared" si="73"/>
        <v>0</v>
      </c>
      <c r="J896">
        <f t="shared" si="73"/>
        <v>0</v>
      </c>
      <c r="K896">
        <f t="shared" si="73"/>
        <v>0</v>
      </c>
      <c r="M896" t="str" cm="1">
        <f t="array" ref="M896">IFERROR(INDEX($I$2:$K$2,0,MATCH(TRUE,I896:K896,0)),E896)</f>
        <v>CCGT</v>
      </c>
      <c r="O896" t="str">
        <f t="shared" si="69"/>
        <v>CCGT_2038</v>
      </c>
      <c r="P896">
        <f t="shared" si="70"/>
        <v>300</v>
      </c>
    </row>
    <row r="897" spans="4:16" x14ac:dyDescent="0.25">
      <c r="D897">
        <v>2039</v>
      </c>
      <c r="E897" t="s">
        <v>123</v>
      </c>
      <c r="F897" t="s">
        <v>192</v>
      </c>
      <c r="G897">
        <v>300</v>
      </c>
      <c r="I897">
        <f t="shared" si="73"/>
        <v>0</v>
      </c>
      <c r="J897">
        <f t="shared" si="73"/>
        <v>0</v>
      </c>
      <c r="K897">
        <f t="shared" si="73"/>
        <v>0</v>
      </c>
      <c r="M897" t="str" cm="1">
        <f t="array" ref="M897">IFERROR(INDEX($I$2:$K$2,0,MATCH(TRUE,I897:K897,0)),E897)</f>
        <v>CCGT</v>
      </c>
      <c r="O897" t="str">
        <f t="shared" si="69"/>
        <v>CCGT_2039</v>
      </c>
      <c r="P897">
        <f t="shared" si="70"/>
        <v>300</v>
      </c>
    </row>
    <row r="898" spans="4:16" x14ac:dyDescent="0.25">
      <c r="D898">
        <v>2040</v>
      </c>
      <c r="E898" t="s">
        <v>123</v>
      </c>
      <c r="F898" t="s">
        <v>192</v>
      </c>
      <c r="G898">
        <v>300</v>
      </c>
      <c r="I898">
        <f t="shared" si="73"/>
        <v>0</v>
      </c>
      <c r="J898">
        <f t="shared" si="73"/>
        <v>0</v>
      </c>
      <c r="K898">
        <f t="shared" si="73"/>
        <v>0</v>
      </c>
      <c r="M898" t="str" cm="1">
        <f t="array" ref="M898">IFERROR(INDEX($I$2:$K$2,0,MATCH(TRUE,I898:K898,0)),E898)</f>
        <v>CCGT</v>
      </c>
      <c r="O898" t="str">
        <f t="shared" si="69"/>
        <v>CCGT_2040</v>
      </c>
      <c r="P898">
        <f t="shared" si="70"/>
        <v>300</v>
      </c>
    </row>
    <row r="899" spans="4:16" x14ac:dyDescent="0.25">
      <c r="D899">
        <v>2021</v>
      </c>
      <c r="E899" t="s">
        <v>123</v>
      </c>
      <c r="F899" t="s">
        <v>193</v>
      </c>
      <c r="G899">
        <v>108</v>
      </c>
      <c r="I899">
        <f t="shared" si="73"/>
        <v>0</v>
      </c>
      <c r="J899">
        <f t="shared" si="73"/>
        <v>0</v>
      </c>
      <c r="K899">
        <f t="shared" si="73"/>
        <v>0</v>
      </c>
      <c r="M899" t="str" cm="1">
        <f t="array" ref="M899">IFERROR(INDEX($I$2:$K$2,0,MATCH(TRUE,I899:K899,0)),E899)</f>
        <v>CCGT</v>
      </c>
      <c r="O899" t="str">
        <f t="shared" si="69"/>
        <v>CCGT_2021</v>
      </c>
      <c r="P899">
        <f t="shared" si="70"/>
        <v>108</v>
      </c>
    </row>
    <row r="900" spans="4:16" x14ac:dyDescent="0.25">
      <c r="D900">
        <v>2022</v>
      </c>
      <c r="E900" t="s">
        <v>123</v>
      </c>
      <c r="F900" t="s">
        <v>193</v>
      </c>
      <c r="G900">
        <v>108</v>
      </c>
      <c r="I900">
        <f t="shared" si="73"/>
        <v>0</v>
      </c>
      <c r="J900">
        <f t="shared" si="73"/>
        <v>0</v>
      </c>
      <c r="K900">
        <f t="shared" si="73"/>
        <v>0</v>
      </c>
      <c r="M900" t="str" cm="1">
        <f t="array" ref="M900">IFERROR(INDEX($I$2:$K$2,0,MATCH(TRUE,I900:K900,0)),E900)</f>
        <v>CCGT</v>
      </c>
      <c r="O900" t="str">
        <f t="shared" ref="O900:O963" si="74">M900&amp;"_"&amp;D900</f>
        <v>CCGT_2022</v>
      </c>
      <c r="P900">
        <f t="shared" ref="P900:P963" si="75">G900</f>
        <v>108</v>
      </c>
    </row>
    <row r="901" spans="4:16" x14ac:dyDescent="0.25">
      <c r="D901">
        <v>2023</v>
      </c>
      <c r="E901" t="s">
        <v>123</v>
      </c>
      <c r="F901" t="s">
        <v>193</v>
      </c>
      <c r="G901">
        <v>108</v>
      </c>
      <c r="I901">
        <f t="shared" si="73"/>
        <v>0</v>
      </c>
      <c r="J901">
        <f t="shared" si="73"/>
        <v>0</v>
      </c>
      <c r="K901">
        <f t="shared" si="73"/>
        <v>0</v>
      </c>
      <c r="M901" t="str" cm="1">
        <f t="array" ref="M901">IFERROR(INDEX($I$2:$K$2,0,MATCH(TRUE,I901:K901,0)),E901)</f>
        <v>CCGT</v>
      </c>
      <c r="O901" t="str">
        <f t="shared" si="74"/>
        <v>CCGT_2023</v>
      </c>
      <c r="P901">
        <f t="shared" si="75"/>
        <v>108</v>
      </c>
    </row>
    <row r="902" spans="4:16" x14ac:dyDescent="0.25">
      <c r="D902">
        <v>2024</v>
      </c>
      <c r="E902" t="s">
        <v>123</v>
      </c>
      <c r="F902" t="s">
        <v>193</v>
      </c>
      <c r="G902">
        <v>108</v>
      </c>
      <c r="I902">
        <f t="shared" si="73"/>
        <v>0</v>
      </c>
      <c r="J902">
        <f t="shared" si="73"/>
        <v>0</v>
      </c>
      <c r="K902">
        <f t="shared" si="73"/>
        <v>0</v>
      </c>
      <c r="M902" t="str" cm="1">
        <f t="array" ref="M902">IFERROR(INDEX($I$2:$K$2,0,MATCH(TRUE,I902:K902,0)),E902)</f>
        <v>CCGT</v>
      </c>
      <c r="O902" t="str">
        <f t="shared" si="74"/>
        <v>CCGT_2024</v>
      </c>
      <c r="P902">
        <f t="shared" si="75"/>
        <v>108</v>
      </c>
    </row>
    <row r="903" spans="4:16" x14ac:dyDescent="0.25">
      <c r="D903">
        <v>2025</v>
      </c>
      <c r="E903" t="s">
        <v>123</v>
      </c>
      <c r="F903" t="s">
        <v>193</v>
      </c>
      <c r="G903">
        <v>108</v>
      </c>
      <c r="I903">
        <f t="shared" si="73"/>
        <v>0</v>
      </c>
      <c r="J903">
        <f t="shared" si="73"/>
        <v>0</v>
      </c>
      <c r="K903">
        <f t="shared" si="73"/>
        <v>0</v>
      </c>
      <c r="M903" t="str" cm="1">
        <f t="array" ref="M903">IFERROR(INDEX($I$2:$K$2,0,MATCH(TRUE,I903:K903,0)),E903)</f>
        <v>CCGT</v>
      </c>
      <c r="O903" t="str">
        <f t="shared" si="74"/>
        <v>CCGT_2025</v>
      </c>
      <c r="P903">
        <f t="shared" si="75"/>
        <v>108</v>
      </c>
    </row>
    <row r="904" spans="4:16" x14ac:dyDescent="0.25">
      <c r="D904">
        <v>2026</v>
      </c>
      <c r="E904" t="s">
        <v>123</v>
      </c>
      <c r="F904" t="s">
        <v>193</v>
      </c>
      <c r="G904">
        <v>108</v>
      </c>
      <c r="I904">
        <f t="shared" ref="I904:K923" si="76">IFERROR(FIND(I$2,$E904,1)&gt;0,0)</f>
        <v>0</v>
      </c>
      <c r="J904">
        <f t="shared" si="76"/>
        <v>0</v>
      </c>
      <c r="K904">
        <f t="shared" si="76"/>
        <v>0</v>
      </c>
      <c r="M904" t="str" cm="1">
        <f t="array" ref="M904">IFERROR(INDEX($I$2:$K$2,0,MATCH(TRUE,I904:K904,0)),E904)</f>
        <v>CCGT</v>
      </c>
      <c r="O904" t="str">
        <f t="shared" si="74"/>
        <v>CCGT_2026</v>
      </c>
      <c r="P904">
        <f t="shared" si="75"/>
        <v>108</v>
      </c>
    </row>
    <row r="905" spans="4:16" x14ac:dyDescent="0.25">
      <c r="D905">
        <v>2027</v>
      </c>
      <c r="E905" t="s">
        <v>123</v>
      </c>
      <c r="F905" t="s">
        <v>193</v>
      </c>
      <c r="G905">
        <v>108</v>
      </c>
      <c r="I905">
        <f t="shared" si="76"/>
        <v>0</v>
      </c>
      <c r="J905">
        <f t="shared" si="76"/>
        <v>0</v>
      </c>
      <c r="K905">
        <f t="shared" si="76"/>
        <v>0</v>
      </c>
      <c r="M905" t="str" cm="1">
        <f t="array" ref="M905">IFERROR(INDEX($I$2:$K$2,0,MATCH(TRUE,I905:K905,0)),E905)</f>
        <v>CCGT</v>
      </c>
      <c r="O905" t="str">
        <f t="shared" si="74"/>
        <v>CCGT_2027</v>
      </c>
      <c r="P905">
        <f t="shared" si="75"/>
        <v>108</v>
      </c>
    </row>
    <row r="906" spans="4:16" x14ac:dyDescent="0.25">
      <c r="D906">
        <v>2028</v>
      </c>
      <c r="E906" t="s">
        <v>123</v>
      </c>
      <c r="F906" t="s">
        <v>193</v>
      </c>
      <c r="G906">
        <v>108</v>
      </c>
      <c r="I906">
        <f t="shared" si="76"/>
        <v>0</v>
      </c>
      <c r="J906">
        <f t="shared" si="76"/>
        <v>0</v>
      </c>
      <c r="K906">
        <f t="shared" si="76"/>
        <v>0</v>
      </c>
      <c r="M906" t="str" cm="1">
        <f t="array" ref="M906">IFERROR(INDEX($I$2:$K$2,0,MATCH(TRUE,I906:K906,0)),E906)</f>
        <v>CCGT</v>
      </c>
      <c r="O906" t="str">
        <f t="shared" si="74"/>
        <v>CCGT_2028</v>
      </c>
      <c r="P906">
        <f t="shared" si="75"/>
        <v>108</v>
      </c>
    </row>
    <row r="907" spans="4:16" x14ac:dyDescent="0.25">
      <c r="D907">
        <v>2029</v>
      </c>
      <c r="E907" t="s">
        <v>123</v>
      </c>
      <c r="F907" t="s">
        <v>193</v>
      </c>
      <c r="G907">
        <v>108</v>
      </c>
      <c r="I907">
        <f t="shared" si="76"/>
        <v>0</v>
      </c>
      <c r="J907">
        <f t="shared" si="76"/>
        <v>0</v>
      </c>
      <c r="K907">
        <f t="shared" si="76"/>
        <v>0</v>
      </c>
      <c r="M907" t="str" cm="1">
        <f t="array" ref="M907">IFERROR(INDEX($I$2:$K$2,0,MATCH(TRUE,I907:K907,0)),E907)</f>
        <v>CCGT</v>
      </c>
      <c r="O907" t="str">
        <f t="shared" si="74"/>
        <v>CCGT_2029</v>
      </c>
      <c r="P907">
        <f t="shared" si="75"/>
        <v>108</v>
      </c>
    </row>
    <row r="908" spans="4:16" x14ac:dyDescent="0.25">
      <c r="D908">
        <v>2030</v>
      </c>
      <c r="E908" t="s">
        <v>123</v>
      </c>
      <c r="F908" t="s">
        <v>193</v>
      </c>
      <c r="G908">
        <v>108</v>
      </c>
      <c r="I908">
        <f t="shared" si="76"/>
        <v>0</v>
      </c>
      <c r="J908">
        <f t="shared" si="76"/>
        <v>0</v>
      </c>
      <c r="K908">
        <f t="shared" si="76"/>
        <v>0</v>
      </c>
      <c r="M908" t="str" cm="1">
        <f t="array" ref="M908">IFERROR(INDEX($I$2:$K$2,0,MATCH(TRUE,I908:K908,0)),E908)</f>
        <v>CCGT</v>
      </c>
      <c r="O908" t="str">
        <f t="shared" si="74"/>
        <v>CCGT_2030</v>
      </c>
      <c r="P908">
        <f t="shared" si="75"/>
        <v>108</v>
      </c>
    </row>
    <row r="909" spans="4:16" x14ac:dyDescent="0.25">
      <c r="D909">
        <v>2031</v>
      </c>
      <c r="E909" t="s">
        <v>123</v>
      </c>
      <c r="F909" t="s">
        <v>193</v>
      </c>
      <c r="G909">
        <v>108</v>
      </c>
      <c r="I909">
        <f t="shared" si="76"/>
        <v>0</v>
      </c>
      <c r="J909">
        <f t="shared" si="76"/>
        <v>0</v>
      </c>
      <c r="K909">
        <f t="shared" si="76"/>
        <v>0</v>
      </c>
      <c r="M909" t="str" cm="1">
        <f t="array" ref="M909">IFERROR(INDEX($I$2:$K$2,0,MATCH(TRUE,I909:K909,0)),E909)</f>
        <v>CCGT</v>
      </c>
      <c r="O909" t="str">
        <f t="shared" si="74"/>
        <v>CCGT_2031</v>
      </c>
      <c r="P909">
        <f t="shared" si="75"/>
        <v>108</v>
      </c>
    </row>
    <row r="910" spans="4:16" x14ac:dyDescent="0.25">
      <c r="D910">
        <v>2032</v>
      </c>
      <c r="E910" t="s">
        <v>123</v>
      </c>
      <c r="F910" t="s">
        <v>193</v>
      </c>
      <c r="G910">
        <v>108</v>
      </c>
      <c r="I910">
        <f t="shared" si="76"/>
        <v>0</v>
      </c>
      <c r="J910">
        <f t="shared" si="76"/>
        <v>0</v>
      </c>
      <c r="K910">
        <f t="shared" si="76"/>
        <v>0</v>
      </c>
      <c r="M910" t="str" cm="1">
        <f t="array" ref="M910">IFERROR(INDEX($I$2:$K$2,0,MATCH(TRUE,I910:K910,0)),E910)</f>
        <v>CCGT</v>
      </c>
      <c r="O910" t="str">
        <f t="shared" si="74"/>
        <v>CCGT_2032</v>
      </c>
      <c r="P910">
        <f t="shared" si="75"/>
        <v>108</v>
      </c>
    </row>
    <row r="911" spans="4:16" x14ac:dyDescent="0.25">
      <c r="D911">
        <v>2033</v>
      </c>
      <c r="E911" t="s">
        <v>123</v>
      </c>
      <c r="F911" t="s">
        <v>193</v>
      </c>
      <c r="G911">
        <v>108</v>
      </c>
      <c r="I911">
        <f t="shared" si="76"/>
        <v>0</v>
      </c>
      <c r="J911">
        <f t="shared" si="76"/>
        <v>0</v>
      </c>
      <c r="K911">
        <f t="shared" si="76"/>
        <v>0</v>
      </c>
      <c r="M911" t="str" cm="1">
        <f t="array" ref="M911">IFERROR(INDEX($I$2:$K$2,0,MATCH(TRUE,I911:K911,0)),E911)</f>
        <v>CCGT</v>
      </c>
      <c r="O911" t="str">
        <f t="shared" si="74"/>
        <v>CCGT_2033</v>
      </c>
      <c r="P911">
        <f t="shared" si="75"/>
        <v>108</v>
      </c>
    </row>
    <row r="912" spans="4:16" x14ac:dyDescent="0.25">
      <c r="D912">
        <v>2034</v>
      </c>
      <c r="E912" t="s">
        <v>123</v>
      </c>
      <c r="F912" t="s">
        <v>193</v>
      </c>
      <c r="G912">
        <v>108</v>
      </c>
      <c r="I912">
        <f t="shared" si="76"/>
        <v>0</v>
      </c>
      <c r="J912">
        <f t="shared" si="76"/>
        <v>0</v>
      </c>
      <c r="K912">
        <f t="shared" si="76"/>
        <v>0</v>
      </c>
      <c r="M912" t="str" cm="1">
        <f t="array" ref="M912">IFERROR(INDEX($I$2:$K$2,0,MATCH(TRUE,I912:K912,0)),E912)</f>
        <v>CCGT</v>
      </c>
      <c r="O912" t="str">
        <f t="shared" si="74"/>
        <v>CCGT_2034</v>
      </c>
      <c r="P912">
        <f t="shared" si="75"/>
        <v>108</v>
      </c>
    </row>
    <row r="913" spans="4:16" x14ac:dyDescent="0.25">
      <c r="D913">
        <v>2035</v>
      </c>
      <c r="E913" t="s">
        <v>123</v>
      </c>
      <c r="F913" t="s">
        <v>193</v>
      </c>
      <c r="G913">
        <v>108</v>
      </c>
      <c r="I913">
        <f t="shared" si="76"/>
        <v>0</v>
      </c>
      <c r="J913">
        <f t="shared" si="76"/>
        <v>0</v>
      </c>
      <c r="K913">
        <f t="shared" si="76"/>
        <v>0</v>
      </c>
      <c r="M913" t="str" cm="1">
        <f t="array" ref="M913">IFERROR(INDEX($I$2:$K$2,0,MATCH(TRUE,I913:K913,0)),E913)</f>
        <v>CCGT</v>
      </c>
      <c r="O913" t="str">
        <f t="shared" si="74"/>
        <v>CCGT_2035</v>
      </c>
      <c r="P913">
        <f t="shared" si="75"/>
        <v>108</v>
      </c>
    </row>
    <row r="914" spans="4:16" x14ac:dyDescent="0.25">
      <c r="D914">
        <v>2036</v>
      </c>
      <c r="E914" t="s">
        <v>123</v>
      </c>
      <c r="F914" t="s">
        <v>193</v>
      </c>
      <c r="G914">
        <v>108</v>
      </c>
      <c r="I914">
        <f t="shared" si="76"/>
        <v>0</v>
      </c>
      <c r="J914">
        <f t="shared" si="76"/>
        <v>0</v>
      </c>
      <c r="K914">
        <f t="shared" si="76"/>
        <v>0</v>
      </c>
      <c r="M914" t="str" cm="1">
        <f t="array" ref="M914">IFERROR(INDEX($I$2:$K$2,0,MATCH(TRUE,I914:K914,0)),E914)</f>
        <v>CCGT</v>
      </c>
      <c r="O914" t="str">
        <f t="shared" si="74"/>
        <v>CCGT_2036</v>
      </c>
      <c r="P914">
        <f t="shared" si="75"/>
        <v>108</v>
      </c>
    </row>
    <row r="915" spans="4:16" x14ac:dyDescent="0.25">
      <c r="D915">
        <v>2037</v>
      </c>
      <c r="E915" t="s">
        <v>123</v>
      </c>
      <c r="F915" t="s">
        <v>193</v>
      </c>
      <c r="G915">
        <v>108</v>
      </c>
      <c r="I915">
        <f t="shared" si="76"/>
        <v>0</v>
      </c>
      <c r="J915">
        <f t="shared" si="76"/>
        <v>0</v>
      </c>
      <c r="K915">
        <f t="shared" si="76"/>
        <v>0</v>
      </c>
      <c r="M915" t="str" cm="1">
        <f t="array" ref="M915">IFERROR(INDEX($I$2:$K$2,0,MATCH(TRUE,I915:K915,0)),E915)</f>
        <v>CCGT</v>
      </c>
      <c r="O915" t="str">
        <f t="shared" si="74"/>
        <v>CCGT_2037</v>
      </c>
      <c r="P915">
        <f t="shared" si="75"/>
        <v>108</v>
      </c>
    </row>
    <row r="916" spans="4:16" x14ac:dyDescent="0.25">
      <c r="D916">
        <v>2038</v>
      </c>
      <c r="E916" t="s">
        <v>123</v>
      </c>
      <c r="F916" t="s">
        <v>193</v>
      </c>
      <c r="G916">
        <v>108</v>
      </c>
      <c r="I916">
        <f t="shared" si="76"/>
        <v>0</v>
      </c>
      <c r="J916">
        <f t="shared" si="76"/>
        <v>0</v>
      </c>
      <c r="K916">
        <f t="shared" si="76"/>
        <v>0</v>
      </c>
      <c r="M916" t="str" cm="1">
        <f t="array" ref="M916">IFERROR(INDEX($I$2:$K$2,0,MATCH(TRUE,I916:K916,0)),E916)</f>
        <v>CCGT</v>
      </c>
      <c r="O916" t="str">
        <f t="shared" si="74"/>
        <v>CCGT_2038</v>
      </c>
      <c r="P916">
        <f t="shared" si="75"/>
        <v>108</v>
      </c>
    </row>
    <row r="917" spans="4:16" x14ac:dyDescent="0.25">
      <c r="D917">
        <v>2039</v>
      </c>
      <c r="E917" t="s">
        <v>123</v>
      </c>
      <c r="F917" t="s">
        <v>193</v>
      </c>
      <c r="G917">
        <v>108</v>
      </c>
      <c r="I917">
        <f t="shared" si="76"/>
        <v>0</v>
      </c>
      <c r="J917">
        <f t="shared" si="76"/>
        <v>0</v>
      </c>
      <c r="K917">
        <f t="shared" si="76"/>
        <v>0</v>
      </c>
      <c r="M917" t="str" cm="1">
        <f t="array" ref="M917">IFERROR(INDEX($I$2:$K$2,0,MATCH(TRUE,I917:K917,0)),E917)</f>
        <v>CCGT</v>
      </c>
      <c r="O917" t="str">
        <f t="shared" si="74"/>
        <v>CCGT_2039</v>
      </c>
      <c r="P917">
        <f t="shared" si="75"/>
        <v>108</v>
      </c>
    </row>
    <row r="918" spans="4:16" x14ac:dyDescent="0.25">
      <c r="D918">
        <v>2040</v>
      </c>
      <c r="E918" t="s">
        <v>123</v>
      </c>
      <c r="F918" t="s">
        <v>193</v>
      </c>
      <c r="G918">
        <v>108</v>
      </c>
      <c r="I918">
        <f t="shared" si="76"/>
        <v>0</v>
      </c>
      <c r="J918">
        <f t="shared" si="76"/>
        <v>0</v>
      </c>
      <c r="K918">
        <f t="shared" si="76"/>
        <v>0</v>
      </c>
      <c r="M918" t="str" cm="1">
        <f t="array" ref="M918">IFERROR(INDEX($I$2:$K$2,0,MATCH(TRUE,I918:K918,0)),E918)</f>
        <v>CCGT</v>
      </c>
      <c r="O918" t="str">
        <f t="shared" si="74"/>
        <v>CCGT_2040</v>
      </c>
      <c r="P918">
        <f t="shared" si="75"/>
        <v>108</v>
      </c>
    </row>
    <row r="919" spans="4:16" x14ac:dyDescent="0.25">
      <c r="D919">
        <v>2021</v>
      </c>
      <c r="E919" t="s">
        <v>123</v>
      </c>
      <c r="F919" t="s">
        <v>194</v>
      </c>
      <c r="G919">
        <v>75</v>
      </c>
      <c r="I919">
        <f t="shared" si="76"/>
        <v>0</v>
      </c>
      <c r="J919">
        <f t="shared" si="76"/>
        <v>0</v>
      </c>
      <c r="K919">
        <f t="shared" si="76"/>
        <v>0</v>
      </c>
      <c r="M919" t="str" cm="1">
        <f t="array" ref="M919">IFERROR(INDEX($I$2:$K$2,0,MATCH(TRUE,I919:K919,0)),E919)</f>
        <v>CCGT</v>
      </c>
      <c r="O919" t="str">
        <f t="shared" si="74"/>
        <v>CCGT_2021</v>
      </c>
      <c r="P919">
        <f t="shared" si="75"/>
        <v>75</v>
      </c>
    </row>
    <row r="920" spans="4:16" x14ac:dyDescent="0.25">
      <c r="D920">
        <v>2022</v>
      </c>
      <c r="E920" t="s">
        <v>123</v>
      </c>
      <c r="F920" t="s">
        <v>194</v>
      </c>
      <c r="G920">
        <v>75</v>
      </c>
      <c r="I920">
        <f t="shared" si="76"/>
        <v>0</v>
      </c>
      <c r="J920">
        <f t="shared" si="76"/>
        <v>0</v>
      </c>
      <c r="K920">
        <f t="shared" si="76"/>
        <v>0</v>
      </c>
      <c r="M920" t="str" cm="1">
        <f t="array" ref="M920">IFERROR(INDEX($I$2:$K$2,0,MATCH(TRUE,I920:K920,0)),E920)</f>
        <v>CCGT</v>
      </c>
      <c r="O920" t="str">
        <f t="shared" si="74"/>
        <v>CCGT_2022</v>
      </c>
      <c r="P920">
        <f t="shared" si="75"/>
        <v>75</v>
      </c>
    </row>
    <row r="921" spans="4:16" x14ac:dyDescent="0.25">
      <c r="D921">
        <v>2023</v>
      </c>
      <c r="E921" t="s">
        <v>123</v>
      </c>
      <c r="F921" t="s">
        <v>194</v>
      </c>
      <c r="G921">
        <v>75</v>
      </c>
      <c r="I921">
        <f t="shared" si="76"/>
        <v>0</v>
      </c>
      <c r="J921">
        <f t="shared" si="76"/>
        <v>0</v>
      </c>
      <c r="K921">
        <f t="shared" si="76"/>
        <v>0</v>
      </c>
      <c r="M921" t="str" cm="1">
        <f t="array" ref="M921">IFERROR(INDEX($I$2:$K$2,0,MATCH(TRUE,I921:K921,0)),E921)</f>
        <v>CCGT</v>
      </c>
      <c r="O921" t="str">
        <f t="shared" si="74"/>
        <v>CCGT_2023</v>
      </c>
      <c r="P921">
        <f t="shared" si="75"/>
        <v>75</v>
      </c>
    </row>
    <row r="922" spans="4:16" x14ac:dyDescent="0.25">
      <c r="D922">
        <v>2024</v>
      </c>
      <c r="E922" t="s">
        <v>123</v>
      </c>
      <c r="F922" t="s">
        <v>194</v>
      </c>
      <c r="G922">
        <v>75</v>
      </c>
      <c r="I922">
        <f t="shared" si="76"/>
        <v>0</v>
      </c>
      <c r="J922">
        <f t="shared" si="76"/>
        <v>0</v>
      </c>
      <c r="K922">
        <f t="shared" si="76"/>
        <v>0</v>
      </c>
      <c r="M922" t="str" cm="1">
        <f t="array" ref="M922">IFERROR(INDEX($I$2:$K$2,0,MATCH(TRUE,I922:K922,0)),E922)</f>
        <v>CCGT</v>
      </c>
      <c r="O922" t="str">
        <f t="shared" si="74"/>
        <v>CCGT_2024</v>
      </c>
      <c r="P922">
        <f t="shared" si="75"/>
        <v>75</v>
      </c>
    </row>
    <row r="923" spans="4:16" x14ac:dyDescent="0.25">
      <c r="D923">
        <v>2025</v>
      </c>
      <c r="E923" t="s">
        <v>123</v>
      </c>
      <c r="F923" t="s">
        <v>194</v>
      </c>
      <c r="G923">
        <v>75</v>
      </c>
      <c r="I923">
        <f t="shared" si="76"/>
        <v>0</v>
      </c>
      <c r="J923">
        <f t="shared" si="76"/>
        <v>0</v>
      </c>
      <c r="K923">
        <f t="shared" si="76"/>
        <v>0</v>
      </c>
      <c r="M923" t="str" cm="1">
        <f t="array" ref="M923">IFERROR(INDEX($I$2:$K$2,0,MATCH(TRUE,I923:K923,0)),E923)</f>
        <v>CCGT</v>
      </c>
      <c r="O923" t="str">
        <f t="shared" si="74"/>
        <v>CCGT_2025</v>
      </c>
      <c r="P923">
        <f t="shared" si="75"/>
        <v>75</v>
      </c>
    </row>
    <row r="924" spans="4:16" x14ac:dyDescent="0.25">
      <c r="D924">
        <v>2026</v>
      </c>
      <c r="E924" t="s">
        <v>123</v>
      </c>
      <c r="F924" t="s">
        <v>194</v>
      </c>
      <c r="G924">
        <v>75</v>
      </c>
      <c r="I924">
        <f t="shared" ref="I924:K943" si="77">IFERROR(FIND(I$2,$E924,1)&gt;0,0)</f>
        <v>0</v>
      </c>
      <c r="J924">
        <f t="shared" si="77"/>
        <v>0</v>
      </c>
      <c r="K924">
        <f t="shared" si="77"/>
        <v>0</v>
      </c>
      <c r="M924" t="str" cm="1">
        <f t="array" ref="M924">IFERROR(INDEX($I$2:$K$2,0,MATCH(TRUE,I924:K924,0)),E924)</f>
        <v>CCGT</v>
      </c>
      <c r="O924" t="str">
        <f t="shared" si="74"/>
        <v>CCGT_2026</v>
      </c>
      <c r="P924">
        <f t="shared" si="75"/>
        <v>75</v>
      </c>
    </row>
    <row r="925" spans="4:16" x14ac:dyDescent="0.25">
      <c r="D925">
        <v>2027</v>
      </c>
      <c r="E925" t="s">
        <v>123</v>
      </c>
      <c r="F925" t="s">
        <v>194</v>
      </c>
      <c r="G925">
        <v>75</v>
      </c>
      <c r="I925">
        <f t="shared" si="77"/>
        <v>0</v>
      </c>
      <c r="J925">
        <f t="shared" si="77"/>
        <v>0</v>
      </c>
      <c r="K925">
        <f t="shared" si="77"/>
        <v>0</v>
      </c>
      <c r="M925" t="str" cm="1">
        <f t="array" ref="M925">IFERROR(INDEX($I$2:$K$2,0,MATCH(TRUE,I925:K925,0)),E925)</f>
        <v>CCGT</v>
      </c>
      <c r="O925" t="str">
        <f t="shared" si="74"/>
        <v>CCGT_2027</v>
      </c>
      <c r="P925">
        <f t="shared" si="75"/>
        <v>75</v>
      </c>
    </row>
    <row r="926" spans="4:16" x14ac:dyDescent="0.25">
      <c r="D926">
        <v>2028</v>
      </c>
      <c r="E926" t="s">
        <v>123</v>
      </c>
      <c r="F926" t="s">
        <v>194</v>
      </c>
      <c r="G926">
        <v>75</v>
      </c>
      <c r="I926">
        <f t="shared" si="77"/>
        <v>0</v>
      </c>
      <c r="J926">
        <f t="shared" si="77"/>
        <v>0</v>
      </c>
      <c r="K926">
        <f t="shared" si="77"/>
        <v>0</v>
      </c>
      <c r="M926" t="str" cm="1">
        <f t="array" ref="M926">IFERROR(INDEX($I$2:$K$2,0,MATCH(TRUE,I926:K926,0)),E926)</f>
        <v>CCGT</v>
      </c>
      <c r="O926" t="str">
        <f t="shared" si="74"/>
        <v>CCGT_2028</v>
      </c>
      <c r="P926">
        <f t="shared" si="75"/>
        <v>75</v>
      </c>
    </row>
    <row r="927" spans="4:16" x14ac:dyDescent="0.25">
      <c r="D927">
        <v>2029</v>
      </c>
      <c r="E927" t="s">
        <v>123</v>
      </c>
      <c r="F927" t="s">
        <v>194</v>
      </c>
      <c r="G927">
        <v>75</v>
      </c>
      <c r="I927">
        <f t="shared" si="77"/>
        <v>0</v>
      </c>
      <c r="J927">
        <f t="shared" si="77"/>
        <v>0</v>
      </c>
      <c r="K927">
        <f t="shared" si="77"/>
        <v>0</v>
      </c>
      <c r="M927" t="str" cm="1">
        <f t="array" ref="M927">IFERROR(INDEX($I$2:$K$2,0,MATCH(TRUE,I927:K927,0)),E927)</f>
        <v>CCGT</v>
      </c>
      <c r="O927" t="str">
        <f t="shared" si="74"/>
        <v>CCGT_2029</v>
      </c>
      <c r="P927">
        <f t="shared" si="75"/>
        <v>75</v>
      </c>
    </row>
    <row r="928" spans="4:16" x14ac:dyDescent="0.25">
      <c r="D928">
        <v>2030</v>
      </c>
      <c r="E928" t="s">
        <v>123</v>
      </c>
      <c r="F928" t="s">
        <v>194</v>
      </c>
      <c r="G928">
        <v>75</v>
      </c>
      <c r="I928">
        <f t="shared" si="77"/>
        <v>0</v>
      </c>
      <c r="J928">
        <f t="shared" si="77"/>
        <v>0</v>
      </c>
      <c r="K928">
        <f t="shared" si="77"/>
        <v>0</v>
      </c>
      <c r="M928" t="str" cm="1">
        <f t="array" ref="M928">IFERROR(INDEX($I$2:$K$2,0,MATCH(TRUE,I928:K928,0)),E928)</f>
        <v>CCGT</v>
      </c>
      <c r="O928" t="str">
        <f t="shared" si="74"/>
        <v>CCGT_2030</v>
      </c>
      <c r="P928">
        <f t="shared" si="75"/>
        <v>75</v>
      </c>
    </row>
    <row r="929" spans="4:16" x14ac:dyDescent="0.25">
      <c r="D929">
        <v>2031</v>
      </c>
      <c r="E929" t="s">
        <v>123</v>
      </c>
      <c r="F929" t="s">
        <v>194</v>
      </c>
      <c r="G929">
        <v>75</v>
      </c>
      <c r="I929">
        <f t="shared" si="77"/>
        <v>0</v>
      </c>
      <c r="J929">
        <f t="shared" si="77"/>
        <v>0</v>
      </c>
      <c r="K929">
        <f t="shared" si="77"/>
        <v>0</v>
      </c>
      <c r="M929" t="str" cm="1">
        <f t="array" ref="M929">IFERROR(INDEX($I$2:$K$2,0,MATCH(TRUE,I929:K929,0)),E929)</f>
        <v>CCGT</v>
      </c>
      <c r="O929" t="str">
        <f t="shared" si="74"/>
        <v>CCGT_2031</v>
      </c>
      <c r="P929">
        <f t="shared" si="75"/>
        <v>75</v>
      </c>
    </row>
    <row r="930" spans="4:16" x14ac:dyDescent="0.25">
      <c r="D930">
        <v>2032</v>
      </c>
      <c r="E930" t="s">
        <v>123</v>
      </c>
      <c r="F930" t="s">
        <v>194</v>
      </c>
      <c r="G930">
        <v>75</v>
      </c>
      <c r="I930">
        <f t="shared" si="77"/>
        <v>0</v>
      </c>
      <c r="J930">
        <f t="shared" si="77"/>
        <v>0</v>
      </c>
      <c r="K930">
        <f t="shared" si="77"/>
        <v>0</v>
      </c>
      <c r="M930" t="str" cm="1">
        <f t="array" ref="M930">IFERROR(INDEX($I$2:$K$2,0,MATCH(TRUE,I930:K930,0)),E930)</f>
        <v>CCGT</v>
      </c>
      <c r="O930" t="str">
        <f t="shared" si="74"/>
        <v>CCGT_2032</v>
      </c>
      <c r="P930">
        <f t="shared" si="75"/>
        <v>75</v>
      </c>
    </row>
    <row r="931" spans="4:16" x14ac:dyDescent="0.25">
      <c r="D931">
        <v>2033</v>
      </c>
      <c r="E931" t="s">
        <v>123</v>
      </c>
      <c r="F931" t="s">
        <v>194</v>
      </c>
      <c r="G931">
        <v>75</v>
      </c>
      <c r="I931">
        <f t="shared" si="77"/>
        <v>0</v>
      </c>
      <c r="J931">
        <f t="shared" si="77"/>
        <v>0</v>
      </c>
      <c r="K931">
        <f t="shared" si="77"/>
        <v>0</v>
      </c>
      <c r="M931" t="str" cm="1">
        <f t="array" ref="M931">IFERROR(INDEX($I$2:$K$2,0,MATCH(TRUE,I931:K931,0)),E931)</f>
        <v>CCGT</v>
      </c>
      <c r="O931" t="str">
        <f t="shared" si="74"/>
        <v>CCGT_2033</v>
      </c>
      <c r="P931">
        <f t="shared" si="75"/>
        <v>75</v>
      </c>
    </row>
    <row r="932" spans="4:16" x14ac:dyDescent="0.25">
      <c r="D932">
        <v>2034</v>
      </c>
      <c r="E932" t="s">
        <v>123</v>
      </c>
      <c r="F932" t="s">
        <v>194</v>
      </c>
      <c r="G932">
        <v>75</v>
      </c>
      <c r="I932">
        <f t="shared" si="77"/>
        <v>0</v>
      </c>
      <c r="J932">
        <f t="shared" si="77"/>
        <v>0</v>
      </c>
      <c r="K932">
        <f t="shared" si="77"/>
        <v>0</v>
      </c>
      <c r="M932" t="str" cm="1">
        <f t="array" ref="M932">IFERROR(INDEX($I$2:$K$2,0,MATCH(TRUE,I932:K932,0)),E932)</f>
        <v>CCGT</v>
      </c>
      <c r="O932" t="str">
        <f t="shared" si="74"/>
        <v>CCGT_2034</v>
      </c>
      <c r="P932">
        <f t="shared" si="75"/>
        <v>75</v>
      </c>
    </row>
    <row r="933" spans="4:16" x14ac:dyDescent="0.25">
      <c r="D933">
        <v>2035</v>
      </c>
      <c r="E933" t="s">
        <v>123</v>
      </c>
      <c r="F933" t="s">
        <v>194</v>
      </c>
      <c r="G933">
        <v>75</v>
      </c>
      <c r="I933">
        <f t="shared" si="77"/>
        <v>0</v>
      </c>
      <c r="J933">
        <f t="shared" si="77"/>
        <v>0</v>
      </c>
      <c r="K933">
        <f t="shared" si="77"/>
        <v>0</v>
      </c>
      <c r="M933" t="str" cm="1">
        <f t="array" ref="M933">IFERROR(INDEX($I$2:$K$2,0,MATCH(TRUE,I933:K933,0)),E933)</f>
        <v>CCGT</v>
      </c>
      <c r="O933" t="str">
        <f t="shared" si="74"/>
        <v>CCGT_2035</v>
      </c>
      <c r="P933">
        <f t="shared" si="75"/>
        <v>75</v>
      </c>
    </row>
    <row r="934" spans="4:16" x14ac:dyDescent="0.25">
      <c r="D934">
        <v>2036</v>
      </c>
      <c r="E934" t="s">
        <v>123</v>
      </c>
      <c r="F934" t="s">
        <v>194</v>
      </c>
      <c r="G934">
        <v>75</v>
      </c>
      <c r="I934">
        <f t="shared" si="77"/>
        <v>0</v>
      </c>
      <c r="J934">
        <f t="shared" si="77"/>
        <v>0</v>
      </c>
      <c r="K934">
        <f t="shared" si="77"/>
        <v>0</v>
      </c>
      <c r="M934" t="str" cm="1">
        <f t="array" ref="M934">IFERROR(INDEX($I$2:$K$2,0,MATCH(TRUE,I934:K934,0)),E934)</f>
        <v>CCGT</v>
      </c>
      <c r="O934" t="str">
        <f t="shared" si="74"/>
        <v>CCGT_2036</v>
      </c>
      <c r="P934">
        <f t="shared" si="75"/>
        <v>75</v>
      </c>
    </row>
    <row r="935" spans="4:16" x14ac:dyDescent="0.25">
      <c r="D935">
        <v>2037</v>
      </c>
      <c r="E935" t="s">
        <v>123</v>
      </c>
      <c r="F935" t="s">
        <v>194</v>
      </c>
      <c r="G935">
        <v>75</v>
      </c>
      <c r="I935">
        <f t="shared" si="77"/>
        <v>0</v>
      </c>
      <c r="J935">
        <f t="shared" si="77"/>
        <v>0</v>
      </c>
      <c r="K935">
        <f t="shared" si="77"/>
        <v>0</v>
      </c>
      <c r="M935" t="str" cm="1">
        <f t="array" ref="M935">IFERROR(INDEX($I$2:$K$2,0,MATCH(TRUE,I935:K935,0)),E935)</f>
        <v>CCGT</v>
      </c>
      <c r="O935" t="str">
        <f t="shared" si="74"/>
        <v>CCGT_2037</v>
      </c>
      <c r="P935">
        <f t="shared" si="75"/>
        <v>75</v>
      </c>
    </row>
    <row r="936" spans="4:16" x14ac:dyDescent="0.25">
      <c r="D936">
        <v>2038</v>
      </c>
      <c r="E936" t="s">
        <v>123</v>
      </c>
      <c r="F936" t="s">
        <v>194</v>
      </c>
      <c r="G936">
        <v>75</v>
      </c>
      <c r="I936">
        <f t="shared" si="77"/>
        <v>0</v>
      </c>
      <c r="J936">
        <f t="shared" si="77"/>
        <v>0</v>
      </c>
      <c r="K936">
        <f t="shared" si="77"/>
        <v>0</v>
      </c>
      <c r="M936" t="str" cm="1">
        <f t="array" ref="M936">IFERROR(INDEX($I$2:$K$2,0,MATCH(TRUE,I936:K936,0)),E936)</f>
        <v>CCGT</v>
      </c>
      <c r="O936" t="str">
        <f t="shared" si="74"/>
        <v>CCGT_2038</v>
      </c>
      <c r="P936">
        <f t="shared" si="75"/>
        <v>75</v>
      </c>
    </row>
    <row r="937" spans="4:16" x14ac:dyDescent="0.25">
      <c r="D937">
        <v>2039</v>
      </c>
      <c r="E937" t="s">
        <v>123</v>
      </c>
      <c r="F937" t="s">
        <v>194</v>
      </c>
      <c r="G937">
        <v>75</v>
      </c>
      <c r="I937">
        <f t="shared" si="77"/>
        <v>0</v>
      </c>
      <c r="J937">
        <f t="shared" si="77"/>
        <v>0</v>
      </c>
      <c r="K937">
        <f t="shared" si="77"/>
        <v>0</v>
      </c>
      <c r="M937" t="str" cm="1">
        <f t="array" ref="M937">IFERROR(INDEX($I$2:$K$2,0,MATCH(TRUE,I937:K937,0)),E937)</f>
        <v>CCGT</v>
      </c>
      <c r="O937" t="str">
        <f t="shared" si="74"/>
        <v>CCGT_2039</v>
      </c>
      <c r="P937">
        <f t="shared" si="75"/>
        <v>75</v>
      </c>
    </row>
    <row r="938" spans="4:16" x14ac:dyDescent="0.25">
      <c r="D938">
        <v>2040</v>
      </c>
      <c r="E938" t="s">
        <v>123</v>
      </c>
      <c r="F938" t="s">
        <v>194</v>
      </c>
      <c r="G938">
        <v>75</v>
      </c>
      <c r="I938">
        <f t="shared" si="77"/>
        <v>0</v>
      </c>
      <c r="J938">
        <f t="shared" si="77"/>
        <v>0</v>
      </c>
      <c r="K938">
        <f t="shared" si="77"/>
        <v>0</v>
      </c>
      <c r="M938" t="str" cm="1">
        <f t="array" ref="M938">IFERROR(INDEX($I$2:$K$2,0,MATCH(TRUE,I938:K938,0)),E938)</f>
        <v>CCGT</v>
      </c>
      <c r="O938" t="str">
        <f t="shared" si="74"/>
        <v>CCGT_2040</v>
      </c>
      <c r="P938">
        <f t="shared" si="75"/>
        <v>75</v>
      </c>
    </row>
    <row r="939" spans="4:16" x14ac:dyDescent="0.25">
      <c r="D939">
        <v>2021</v>
      </c>
      <c r="E939" t="s">
        <v>123</v>
      </c>
      <c r="F939" t="s">
        <v>195</v>
      </c>
      <c r="G939">
        <v>70</v>
      </c>
      <c r="I939">
        <f t="shared" si="77"/>
        <v>0</v>
      </c>
      <c r="J939">
        <f t="shared" si="77"/>
        <v>0</v>
      </c>
      <c r="K939">
        <f t="shared" si="77"/>
        <v>0</v>
      </c>
      <c r="M939" t="str" cm="1">
        <f t="array" ref="M939">IFERROR(INDEX($I$2:$K$2,0,MATCH(TRUE,I939:K939,0)),E939)</f>
        <v>CCGT</v>
      </c>
      <c r="O939" t="str">
        <f t="shared" si="74"/>
        <v>CCGT_2021</v>
      </c>
      <c r="P939">
        <f t="shared" si="75"/>
        <v>70</v>
      </c>
    </row>
    <row r="940" spans="4:16" x14ac:dyDescent="0.25">
      <c r="D940">
        <v>2022</v>
      </c>
      <c r="E940" t="s">
        <v>123</v>
      </c>
      <c r="F940" t="s">
        <v>195</v>
      </c>
      <c r="G940">
        <v>70</v>
      </c>
      <c r="I940">
        <f t="shared" si="77"/>
        <v>0</v>
      </c>
      <c r="J940">
        <f t="shared" si="77"/>
        <v>0</v>
      </c>
      <c r="K940">
        <f t="shared" si="77"/>
        <v>0</v>
      </c>
      <c r="M940" t="str" cm="1">
        <f t="array" ref="M940">IFERROR(INDEX($I$2:$K$2,0,MATCH(TRUE,I940:K940,0)),E940)</f>
        <v>CCGT</v>
      </c>
      <c r="O940" t="str">
        <f t="shared" si="74"/>
        <v>CCGT_2022</v>
      </c>
      <c r="P940">
        <f t="shared" si="75"/>
        <v>70</v>
      </c>
    </row>
    <row r="941" spans="4:16" x14ac:dyDescent="0.25">
      <c r="D941">
        <v>2023</v>
      </c>
      <c r="E941" t="s">
        <v>123</v>
      </c>
      <c r="F941" t="s">
        <v>195</v>
      </c>
      <c r="G941">
        <v>70</v>
      </c>
      <c r="I941">
        <f t="shared" si="77"/>
        <v>0</v>
      </c>
      <c r="J941">
        <f t="shared" si="77"/>
        <v>0</v>
      </c>
      <c r="K941">
        <f t="shared" si="77"/>
        <v>0</v>
      </c>
      <c r="M941" t="str" cm="1">
        <f t="array" ref="M941">IFERROR(INDEX($I$2:$K$2,0,MATCH(TRUE,I941:K941,0)),E941)</f>
        <v>CCGT</v>
      </c>
      <c r="O941" t="str">
        <f t="shared" si="74"/>
        <v>CCGT_2023</v>
      </c>
      <c r="P941">
        <f t="shared" si="75"/>
        <v>70</v>
      </c>
    </row>
    <row r="942" spans="4:16" x14ac:dyDescent="0.25">
      <c r="D942">
        <v>2024</v>
      </c>
      <c r="E942" t="s">
        <v>123</v>
      </c>
      <c r="F942" t="s">
        <v>195</v>
      </c>
      <c r="G942">
        <v>70</v>
      </c>
      <c r="I942">
        <f t="shared" si="77"/>
        <v>0</v>
      </c>
      <c r="J942">
        <f t="shared" si="77"/>
        <v>0</v>
      </c>
      <c r="K942">
        <f t="shared" si="77"/>
        <v>0</v>
      </c>
      <c r="M942" t="str" cm="1">
        <f t="array" ref="M942">IFERROR(INDEX($I$2:$K$2,0,MATCH(TRUE,I942:K942,0)),E942)</f>
        <v>CCGT</v>
      </c>
      <c r="O942" t="str">
        <f t="shared" si="74"/>
        <v>CCGT_2024</v>
      </c>
      <c r="P942">
        <f t="shared" si="75"/>
        <v>70</v>
      </c>
    </row>
    <row r="943" spans="4:16" x14ac:dyDescent="0.25">
      <c r="D943">
        <v>2025</v>
      </c>
      <c r="E943" t="s">
        <v>123</v>
      </c>
      <c r="F943" t="s">
        <v>195</v>
      </c>
      <c r="G943">
        <v>70</v>
      </c>
      <c r="I943">
        <f t="shared" si="77"/>
        <v>0</v>
      </c>
      <c r="J943">
        <f t="shared" si="77"/>
        <v>0</v>
      </c>
      <c r="K943">
        <f t="shared" si="77"/>
        <v>0</v>
      </c>
      <c r="M943" t="str" cm="1">
        <f t="array" ref="M943">IFERROR(INDEX($I$2:$K$2,0,MATCH(TRUE,I943:K943,0)),E943)</f>
        <v>CCGT</v>
      </c>
      <c r="O943" t="str">
        <f t="shared" si="74"/>
        <v>CCGT_2025</v>
      </c>
      <c r="P943">
        <f t="shared" si="75"/>
        <v>70</v>
      </c>
    </row>
    <row r="944" spans="4:16" x14ac:dyDescent="0.25">
      <c r="D944">
        <v>2026</v>
      </c>
      <c r="E944" t="s">
        <v>123</v>
      </c>
      <c r="F944" t="s">
        <v>195</v>
      </c>
      <c r="G944">
        <v>70</v>
      </c>
      <c r="I944">
        <f t="shared" ref="I944:K963" si="78">IFERROR(FIND(I$2,$E944,1)&gt;0,0)</f>
        <v>0</v>
      </c>
      <c r="J944">
        <f t="shared" si="78"/>
        <v>0</v>
      </c>
      <c r="K944">
        <f t="shared" si="78"/>
        <v>0</v>
      </c>
      <c r="M944" t="str" cm="1">
        <f t="array" ref="M944">IFERROR(INDEX($I$2:$K$2,0,MATCH(TRUE,I944:K944,0)),E944)</f>
        <v>CCGT</v>
      </c>
      <c r="O944" t="str">
        <f t="shared" si="74"/>
        <v>CCGT_2026</v>
      </c>
      <c r="P944">
        <f t="shared" si="75"/>
        <v>70</v>
      </c>
    </row>
    <row r="945" spans="4:16" x14ac:dyDescent="0.25">
      <c r="D945">
        <v>2027</v>
      </c>
      <c r="E945" t="s">
        <v>123</v>
      </c>
      <c r="F945" t="s">
        <v>195</v>
      </c>
      <c r="G945">
        <v>70</v>
      </c>
      <c r="I945">
        <f t="shared" si="78"/>
        <v>0</v>
      </c>
      <c r="J945">
        <f t="shared" si="78"/>
        <v>0</v>
      </c>
      <c r="K945">
        <f t="shared" si="78"/>
        <v>0</v>
      </c>
      <c r="M945" t="str" cm="1">
        <f t="array" ref="M945">IFERROR(INDEX($I$2:$K$2,0,MATCH(TRUE,I945:K945,0)),E945)</f>
        <v>CCGT</v>
      </c>
      <c r="O945" t="str">
        <f t="shared" si="74"/>
        <v>CCGT_2027</v>
      </c>
      <c r="P945">
        <f t="shared" si="75"/>
        <v>70</v>
      </c>
    </row>
    <row r="946" spans="4:16" x14ac:dyDescent="0.25">
      <c r="D946">
        <v>2028</v>
      </c>
      <c r="E946" t="s">
        <v>123</v>
      </c>
      <c r="F946" t="s">
        <v>195</v>
      </c>
      <c r="G946">
        <v>70</v>
      </c>
      <c r="I946">
        <f t="shared" si="78"/>
        <v>0</v>
      </c>
      <c r="J946">
        <f t="shared" si="78"/>
        <v>0</v>
      </c>
      <c r="K946">
        <f t="shared" si="78"/>
        <v>0</v>
      </c>
      <c r="M946" t="str" cm="1">
        <f t="array" ref="M946">IFERROR(INDEX($I$2:$K$2,0,MATCH(TRUE,I946:K946,0)),E946)</f>
        <v>CCGT</v>
      </c>
      <c r="O946" t="str">
        <f t="shared" si="74"/>
        <v>CCGT_2028</v>
      </c>
      <c r="P946">
        <f t="shared" si="75"/>
        <v>70</v>
      </c>
    </row>
    <row r="947" spans="4:16" x14ac:dyDescent="0.25">
      <c r="D947">
        <v>2029</v>
      </c>
      <c r="E947" t="s">
        <v>123</v>
      </c>
      <c r="F947" t="s">
        <v>195</v>
      </c>
      <c r="G947">
        <v>70</v>
      </c>
      <c r="I947">
        <f t="shared" si="78"/>
        <v>0</v>
      </c>
      <c r="J947">
        <f t="shared" si="78"/>
        <v>0</v>
      </c>
      <c r="K947">
        <f t="shared" si="78"/>
        <v>0</v>
      </c>
      <c r="M947" t="str" cm="1">
        <f t="array" ref="M947">IFERROR(INDEX($I$2:$K$2,0,MATCH(TRUE,I947:K947,0)),E947)</f>
        <v>CCGT</v>
      </c>
      <c r="O947" t="str">
        <f t="shared" si="74"/>
        <v>CCGT_2029</v>
      </c>
      <c r="P947">
        <f t="shared" si="75"/>
        <v>70</v>
      </c>
    </row>
    <row r="948" spans="4:16" x14ac:dyDescent="0.25">
      <c r="D948">
        <v>2030</v>
      </c>
      <c r="E948" t="s">
        <v>123</v>
      </c>
      <c r="F948" t="s">
        <v>195</v>
      </c>
      <c r="G948">
        <v>70</v>
      </c>
      <c r="I948">
        <f t="shared" si="78"/>
        <v>0</v>
      </c>
      <c r="J948">
        <f t="shared" si="78"/>
        <v>0</v>
      </c>
      <c r="K948">
        <f t="shared" si="78"/>
        <v>0</v>
      </c>
      <c r="M948" t="str" cm="1">
        <f t="array" ref="M948">IFERROR(INDEX($I$2:$K$2,0,MATCH(TRUE,I948:K948,0)),E948)</f>
        <v>CCGT</v>
      </c>
      <c r="O948" t="str">
        <f t="shared" si="74"/>
        <v>CCGT_2030</v>
      </c>
      <c r="P948">
        <f t="shared" si="75"/>
        <v>70</v>
      </c>
    </row>
    <row r="949" spans="4:16" x14ac:dyDescent="0.25">
      <c r="D949">
        <v>2031</v>
      </c>
      <c r="E949" t="s">
        <v>123</v>
      </c>
      <c r="F949" t="s">
        <v>195</v>
      </c>
      <c r="G949">
        <v>70</v>
      </c>
      <c r="I949">
        <f t="shared" si="78"/>
        <v>0</v>
      </c>
      <c r="J949">
        <f t="shared" si="78"/>
        <v>0</v>
      </c>
      <c r="K949">
        <f t="shared" si="78"/>
        <v>0</v>
      </c>
      <c r="M949" t="str" cm="1">
        <f t="array" ref="M949">IFERROR(INDEX($I$2:$K$2,0,MATCH(TRUE,I949:K949,0)),E949)</f>
        <v>CCGT</v>
      </c>
      <c r="O949" t="str">
        <f t="shared" si="74"/>
        <v>CCGT_2031</v>
      </c>
      <c r="P949">
        <f t="shared" si="75"/>
        <v>70</v>
      </c>
    </row>
    <row r="950" spans="4:16" x14ac:dyDescent="0.25">
      <c r="D950">
        <v>2032</v>
      </c>
      <c r="E950" t="s">
        <v>123</v>
      </c>
      <c r="F950" t="s">
        <v>195</v>
      </c>
      <c r="G950">
        <v>70</v>
      </c>
      <c r="I950">
        <f t="shared" si="78"/>
        <v>0</v>
      </c>
      <c r="J950">
        <f t="shared" si="78"/>
        <v>0</v>
      </c>
      <c r="K950">
        <f t="shared" si="78"/>
        <v>0</v>
      </c>
      <c r="M950" t="str" cm="1">
        <f t="array" ref="M950">IFERROR(INDEX($I$2:$K$2,0,MATCH(TRUE,I950:K950,0)),E950)</f>
        <v>CCGT</v>
      </c>
      <c r="O950" t="str">
        <f t="shared" si="74"/>
        <v>CCGT_2032</v>
      </c>
      <c r="P950">
        <f t="shared" si="75"/>
        <v>70</v>
      </c>
    </row>
    <row r="951" spans="4:16" x14ac:dyDescent="0.25">
      <c r="D951">
        <v>2033</v>
      </c>
      <c r="E951" t="s">
        <v>123</v>
      </c>
      <c r="F951" t="s">
        <v>195</v>
      </c>
      <c r="G951">
        <v>70</v>
      </c>
      <c r="I951">
        <f t="shared" si="78"/>
        <v>0</v>
      </c>
      <c r="J951">
        <f t="shared" si="78"/>
        <v>0</v>
      </c>
      <c r="K951">
        <f t="shared" si="78"/>
        <v>0</v>
      </c>
      <c r="M951" t="str" cm="1">
        <f t="array" ref="M951">IFERROR(INDEX($I$2:$K$2,0,MATCH(TRUE,I951:K951,0)),E951)</f>
        <v>CCGT</v>
      </c>
      <c r="O951" t="str">
        <f t="shared" si="74"/>
        <v>CCGT_2033</v>
      </c>
      <c r="P951">
        <f t="shared" si="75"/>
        <v>70</v>
      </c>
    </row>
    <row r="952" spans="4:16" x14ac:dyDescent="0.25">
      <c r="D952">
        <v>2034</v>
      </c>
      <c r="E952" t="s">
        <v>123</v>
      </c>
      <c r="F952" t="s">
        <v>195</v>
      </c>
      <c r="G952">
        <v>70</v>
      </c>
      <c r="I952">
        <f t="shared" si="78"/>
        <v>0</v>
      </c>
      <c r="J952">
        <f t="shared" si="78"/>
        <v>0</v>
      </c>
      <c r="K952">
        <f t="shared" si="78"/>
        <v>0</v>
      </c>
      <c r="M952" t="str" cm="1">
        <f t="array" ref="M952">IFERROR(INDEX($I$2:$K$2,0,MATCH(TRUE,I952:K952,0)),E952)</f>
        <v>CCGT</v>
      </c>
      <c r="O952" t="str">
        <f t="shared" si="74"/>
        <v>CCGT_2034</v>
      </c>
      <c r="P952">
        <f t="shared" si="75"/>
        <v>70</v>
      </c>
    </row>
    <row r="953" spans="4:16" x14ac:dyDescent="0.25">
      <c r="D953">
        <v>2035</v>
      </c>
      <c r="E953" t="s">
        <v>123</v>
      </c>
      <c r="F953" t="s">
        <v>195</v>
      </c>
      <c r="G953">
        <v>70</v>
      </c>
      <c r="I953">
        <f t="shared" si="78"/>
        <v>0</v>
      </c>
      <c r="J953">
        <f t="shared" si="78"/>
        <v>0</v>
      </c>
      <c r="K953">
        <f t="shared" si="78"/>
        <v>0</v>
      </c>
      <c r="M953" t="str" cm="1">
        <f t="array" ref="M953">IFERROR(INDEX($I$2:$K$2,0,MATCH(TRUE,I953:K953,0)),E953)</f>
        <v>CCGT</v>
      </c>
      <c r="O953" t="str">
        <f t="shared" si="74"/>
        <v>CCGT_2035</v>
      </c>
      <c r="P953">
        <f t="shared" si="75"/>
        <v>70</v>
      </c>
    </row>
    <row r="954" spans="4:16" x14ac:dyDescent="0.25">
      <c r="D954">
        <v>2036</v>
      </c>
      <c r="E954" t="s">
        <v>123</v>
      </c>
      <c r="F954" t="s">
        <v>195</v>
      </c>
      <c r="G954">
        <v>70</v>
      </c>
      <c r="I954">
        <f t="shared" si="78"/>
        <v>0</v>
      </c>
      <c r="J954">
        <f t="shared" si="78"/>
        <v>0</v>
      </c>
      <c r="K954">
        <f t="shared" si="78"/>
        <v>0</v>
      </c>
      <c r="M954" t="str" cm="1">
        <f t="array" ref="M954">IFERROR(INDEX($I$2:$K$2,0,MATCH(TRUE,I954:K954,0)),E954)</f>
        <v>CCGT</v>
      </c>
      <c r="O954" t="str">
        <f t="shared" si="74"/>
        <v>CCGT_2036</v>
      </c>
      <c r="P954">
        <f t="shared" si="75"/>
        <v>70</v>
      </c>
    </row>
    <row r="955" spans="4:16" x14ac:dyDescent="0.25">
      <c r="D955">
        <v>2037</v>
      </c>
      <c r="E955" t="s">
        <v>123</v>
      </c>
      <c r="F955" t="s">
        <v>195</v>
      </c>
      <c r="G955">
        <v>70</v>
      </c>
      <c r="I955">
        <f t="shared" si="78"/>
        <v>0</v>
      </c>
      <c r="J955">
        <f t="shared" si="78"/>
        <v>0</v>
      </c>
      <c r="K955">
        <f t="shared" si="78"/>
        <v>0</v>
      </c>
      <c r="M955" t="str" cm="1">
        <f t="array" ref="M955">IFERROR(INDEX($I$2:$K$2,0,MATCH(TRUE,I955:K955,0)),E955)</f>
        <v>CCGT</v>
      </c>
      <c r="O955" t="str">
        <f t="shared" si="74"/>
        <v>CCGT_2037</v>
      </c>
      <c r="P955">
        <f t="shared" si="75"/>
        <v>70</v>
      </c>
    </row>
    <row r="956" spans="4:16" x14ac:dyDescent="0.25">
      <c r="D956">
        <v>2038</v>
      </c>
      <c r="E956" t="s">
        <v>123</v>
      </c>
      <c r="F956" t="s">
        <v>195</v>
      </c>
      <c r="G956">
        <v>70</v>
      </c>
      <c r="I956">
        <f t="shared" si="78"/>
        <v>0</v>
      </c>
      <c r="J956">
        <f t="shared" si="78"/>
        <v>0</v>
      </c>
      <c r="K956">
        <f t="shared" si="78"/>
        <v>0</v>
      </c>
      <c r="M956" t="str" cm="1">
        <f t="array" ref="M956">IFERROR(INDEX($I$2:$K$2,0,MATCH(TRUE,I956:K956,0)),E956)</f>
        <v>CCGT</v>
      </c>
      <c r="O956" t="str">
        <f t="shared" si="74"/>
        <v>CCGT_2038</v>
      </c>
      <c r="P956">
        <f t="shared" si="75"/>
        <v>70</v>
      </c>
    </row>
    <row r="957" spans="4:16" x14ac:dyDescent="0.25">
      <c r="D957">
        <v>2039</v>
      </c>
      <c r="E957" t="s">
        <v>123</v>
      </c>
      <c r="F957" t="s">
        <v>195</v>
      </c>
      <c r="G957">
        <v>70</v>
      </c>
      <c r="I957">
        <f t="shared" si="78"/>
        <v>0</v>
      </c>
      <c r="J957">
        <f t="shared" si="78"/>
        <v>0</v>
      </c>
      <c r="K957">
        <f t="shared" si="78"/>
        <v>0</v>
      </c>
      <c r="M957" t="str" cm="1">
        <f t="array" ref="M957">IFERROR(INDEX($I$2:$K$2,0,MATCH(TRUE,I957:K957,0)),E957)</f>
        <v>CCGT</v>
      </c>
      <c r="O957" t="str">
        <f t="shared" si="74"/>
        <v>CCGT_2039</v>
      </c>
      <c r="P957">
        <f t="shared" si="75"/>
        <v>70</v>
      </c>
    </row>
    <row r="958" spans="4:16" x14ac:dyDescent="0.25">
      <c r="D958">
        <v>2040</v>
      </c>
      <c r="E958" t="s">
        <v>123</v>
      </c>
      <c r="F958" t="s">
        <v>195</v>
      </c>
      <c r="G958">
        <v>70</v>
      </c>
      <c r="I958">
        <f t="shared" si="78"/>
        <v>0</v>
      </c>
      <c r="J958">
        <f t="shared" si="78"/>
        <v>0</v>
      </c>
      <c r="K958">
        <f t="shared" si="78"/>
        <v>0</v>
      </c>
      <c r="M958" t="str" cm="1">
        <f t="array" ref="M958">IFERROR(INDEX($I$2:$K$2,0,MATCH(TRUE,I958:K958,0)),E958)</f>
        <v>CCGT</v>
      </c>
      <c r="O958" t="str">
        <f t="shared" si="74"/>
        <v>CCGT_2040</v>
      </c>
      <c r="P958">
        <f t="shared" si="75"/>
        <v>70</v>
      </c>
    </row>
    <row r="959" spans="4:16" x14ac:dyDescent="0.25">
      <c r="D959">
        <v>2021</v>
      </c>
      <c r="E959" t="s">
        <v>123</v>
      </c>
      <c r="F959" t="s">
        <v>196</v>
      </c>
      <c r="G959">
        <v>413</v>
      </c>
      <c r="I959">
        <f t="shared" si="78"/>
        <v>0</v>
      </c>
      <c r="J959">
        <f t="shared" si="78"/>
        <v>0</v>
      </c>
      <c r="K959">
        <f t="shared" si="78"/>
        <v>0</v>
      </c>
      <c r="M959" t="str" cm="1">
        <f t="array" ref="M959">IFERROR(INDEX($I$2:$K$2,0,MATCH(TRUE,I959:K959,0)),E959)</f>
        <v>CCGT</v>
      </c>
      <c r="O959" t="str">
        <f t="shared" si="74"/>
        <v>CCGT_2021</v>
      </c>
      <c r="P959">
        <f t="shared" si="75"/>
        <v>413</v>
      </c>
    </row>
    <row r="960" spans="4:16" x14ac:dyDescent="0.25">
      <c r="D960">
        <v>2022</v>
      </c>
      <c r="E960" t="s">
        <v>123</v>
      </c>
      <c r="F960" t="s">
        <v>196</v>
      </c>
      <c r="G960">
        <v>413</v>
      </c>
      <c r="I960">
        <f t="shared" si="78"/>
        <v>0</v>
      </c>
      <c r="J960">
        <f t="shared" si="78"/>
        <v>0</v>
      </c>
      <c r="K960">
        <f t="shared" si="78"/>
        <v>0</v>
      </c>
      <c r="M960" t="str" cm="1">
        <f t="array" ref="M960">IFERROR(INDEX($I$2:$K$2,0,MATCH(TRUE,I960:K960,0)),E960)</f>
        <v>CCGT</v>
      </c>
      <c r="O960" t="str">
        <f t="shared" si="74"/>
        <v>CCGT_2022</v>
      </c>
      <c r="P960">
        <f t="shared" si="75"/>
        <v>413</v>
      </c>
    </row>
    <row r="961" spans="4:16" x14ac:dyDescent="0.25">
      <c r="D961">
        <v>2023</v>
      </c>
      <c r="E961" t="s">
        <v>123</v>
      </c>
      <c r="F961" t="s">
        <v>196</v>
      </c>
      <c r="G961">
        <v>413</v>
      </c>
      <c r="I961">
        <f t="shared" si="78"/>
        <v>0</v>
      </c>
      <c r="J961">
        <f t="shared" si="78"/>
        <v>0</v>
      </c>
      <c r="K961">
        <f t="shared" si="78"/>
        <v>0</v>
      </c>
      <c r="M961" t="str" cm="1">
        <f t="array" ref="M961">IFERROR(INDEX($I$2:$K$2,0,MATCH(TRUE,I961:K961,0)),E961)</f>
        <v>CCGT</v>
      </c>
      <c r="O961" t="str">
        <f t="shared" si="74"/>
        <v>CCGT_2023</v>
      </c>
      <c r="P961">
        <f t="shared" si="75"/>
        <v>413</v>
      </c>
    </row>
    <row r="962" spans="4:16" x14ac:dyDescent="0.25">
      <c r="D962">
        <v>2024</v>
      </c>
      <c r="E962" t="s">
        <v>123</v>
      </c>
      <c r="F962" t="s">
        <v>196</v>
      </c>
      <c r="G962">
        <v>413</v>
      </c>
      <c r="I962">
        <f t="shared" si="78"/>
        <v>0</v>
      </c>
      <c r="J962">
        <f t="shared" si="78"/>
        <v>0</v>
      </c>
      <c r="K962">
        <f t="shared" si="78"/>
        <v>0</v>
      </c>
      <c r="M962" t="str" cm="1">
        <f t="array" ref="M962">IFERROR(INDEX($I$2:$K$2,0,MATCH(TRUE,I962:K962,0)),E962)</f>
        <v>CCGT</v>
      </c>
      <c r="O962" t="str">
        <f t="shared" si="74"/>
        <v>CCGT_2024</v>
      </c>
      <c r="P962">
        <f t="shared" si="75"/>
        <v>413</v>
      </c>
    </row>
    <row r="963" spans="4:16" x14ac:dyDescent="0.25">
      <c r="D963">
        <v>2025</v>
      </c>
      <c r="E963" t="s">
        <v>123</v>
      </c>
      <c r="F963" t="s">
        <v>196</v>
      </c>
      <c r="G963">
        <v>413</v>
      </c>
      <c r="I963">
        <f t="shared" si="78"/>
        <v>0</v>
      </c>
      <c r="J963">
        <f t="shared" si="78"/>
        <v>0</v>
      </c>
      <c r="K963">
        <f t="shared" si="78"/>
        <v>0</v>
      </c>
      <c r="M963" t="str" cm="1">
        <f t="array" ref="M963">IFERROR(INDEX($I$2:$K$2,0,MATCH(TRUE,I963:K963,0)),E963)</f>
        <v>CCGT</v>
      </c>
      <c r="O963" t="str">
        <f t="shared" si="74"/>
        <v>CCGT_2025</v>
      </c>
      <c r="P963">
        <f t="shared" si="75"/>
        <v>413</v>
      </c>
    </row>
    <row r="964" spans="4:16" x14ac:dyDescent="0.25">
      <c r="D964">
        <v>2026</v>
      </c>
      <c r="E964" t="s">
        <v>123</v>
      </c>
      <c r="F964" t="s">
        <v>196</v>
      </c>
      <c r="G964">
        <v>413</v>
      </c>
      <c r="I964">
        <f t="shared" ref="I964:K983" si="79">IFERROR(FIND(I$2,$E964,1)&gt;0,0)</f>
        <v>0</v>
      </c>
      <c r="J964">
        <f t="shared" si="79"/>
        <v>0</v>
      </c>
      <c r="K964">
        <f t="shared" si="79"/>
        <v>0</v>
      </c>
      <c r="M964" t="str" cm="1">
        <f t="array" ref="M964">IFERROR(INDEX($I$2:$K$2,0,MATCH(TRUE,I964:K964,0)),E964)</f>
        <v>CCGT</v>
      </c>
      <c r="O964" t="str">
        <f t="shared" ref="O964:O1027" si="80">M964&amp;"_"&amp;D964</f>
        <v>CCGT_2026</v>
      </c>
      <c r="P964">
        <f t="shared" ref="P964:P1027" si="81">G964</f>
        <v>413</v>
      </c>
    </row>
    <row r="965" spans="4:16" x14ac:dyDescent="0.25">
      <c r="D965">
        <v>2027</v>
      </c>
      <c r="E965" t="s">
        <v>123</v>
      </c>
      <c r="F965" t="s">
        <v>196</v>
      </c>
      <c r="G965">
        <v>413</v>
      </c>
      <c r="I965">
        <f t="shared" si="79"/>
        <v>0</v>
      </c>
      <c r="J965">
        <f t="shared" si="79"/>
        <v>0</v>
      </c>
      <c r="K965">
        <f t="shared" si="79"/>
        <v>0</v>
      </c>
      <c r="M965" t="str" cm="1">
        <f t="array" ref="M965">IFERROR(INDEX($I$2:$K$2,0,MATCH(TRUE,I965:K965,0)),E965)</f>
        <v>CCGT</v>
      </c>
      <c r="O965" t="str">
        <f t="shared" si="80"/>
        <v>CCGT_2027</v>
      </c>
      <c r="P965">
        <f t="shared" si="81"/>
        <v>413</v>
      </c>
    </row>
    <row r="966" spans="4:16" x14ac:dyDescent="0.25">
      <c r="D966">
        <v>2028</v>
      </c>
      <c r="E966" t="s">
        <v>123</v>
      </c>
      <c r="F966" t="s">
        <v>196</v>
      </c>
      <c r="G966">
        <v>413</v>
      </c>
      <c r="I966">
        <f t="shared" si="79"/>
        <v>0</v>
      </c>
      <c r="J966">
        <f t="shared" si="79"/>
        <v>0</v>
      </c>
      <c r="K966">
        <f t="shared" si="79"/>
        <v>0</v>
      </c>
      <c r="M966" t="str" cm="1">
        <f t="array" ref="M966">IFERROR(INDEX($I$2:$K$2,0,MATCH(TRUE,I966:K966,0)),E966)</f>
        <v>CCGT</v>
      </c>
      <c r="O966" t="str">
        <f t="shared" si="80"/>
        <v>CCGT_2028</v>
      </c>
      <c r="P966">
        <f t="shared" si="81"/>
        <v>413</v>
      </c>
    </row>
    <row r="967" spans="4:16" x14ac:dyDescent="0.25">
      <c r="D967">
        <v>2029</v>
      </c>
      <c r="E967" t="s">
        <v>123</v>
      </c>
      <c r="F967" t="s">
        <v>196</v>
      </c>
      <c r="G967">
        <v>413</v>
      </c>
      <c r="I967">
        <f t="shared" si="79"/>
        <v>0</v>
      </c>
      <c r="J967">
        <f t="shared" si="79"/>
        <v>0</v>
      </c>
      <c r="K967">
        <f t="shared" si="79"/>
        <v>0</v>
      </c>
      <c r="M967" t="str" cm="1">
        <f t="array" ref="M967">IFERROR(INDEX($I$2:$K$2,0,MATCH(TRUE,I967:K967,0)),E967)</f>
        <v>CCGT</v>
      </c>
      <c r="O967" t="str">
        <f t="shared" si="80"/>
        <v>CCGT_2029</v>
      </c>
      <c r="P967">
        <f t="shared" si="81"/>
        <v>413</v>
      </c>
    </row>
    <row r="968" spans="4:16" x14ac:dyDescent="0.25">
      <c r="D968">
        <v>2030</v>
      </c>
      <c r="E968" t="s">
        <v>123</v>
      </c>
      <c r="F968" t="s">
        <v>196</v>
      </c>
      <c r="G968">
        <v>413</v>
      </c>
      <c r="I968">
        <f t="shared" si="79"/>
        <v>0</v>
      </c>
      <c r="J968">
        <f t="shared" si="79"/>
        <v>0</v>
      </c>
      <c r="K968">
        <f t="shared" si="79"/>
        <v>0</v>
      </c>
      <c r="M968" t="str" cm="1">
        <f t="array" ref="M968">IFERROR(INDEX($I$2:$K$2,0,MATCH(TRUE,I968:K968,0)),E968)</f>
        <v>CCGT</v>
      </c>
      <c r="O968" t="str">
        <f t="shared" si="80"/>
        <v>CCGT_2030</v>
      </c>
      <c r="P968">
        <f t="shared" si="81"/>
        <v>413</v>
      </c>
    </row>
    <row r="969" spans="4:16" x14ac:dyDescent="0.25">
      <c r="D969">
        <v>2031</v>
      </c>
      <c r="E969" t="s">
        <v>123</v>
      </c>
      <c r="F969" t="s">
        <v>196</v>
      </c>
      <c r="G969">
        <v>413</v>
      </c>
      <c r="I969">
        <f t="shared" si="79"/>
        <v>0</v>
      </c>
      <c r="J969">
        <f t="shared" si="79"/>
        <v>0</v>
      </c>
      <c r="K969">
        <f t="shared" si="79"/>
        <v>0</v>
      </c>
      <c r="M969" t="str" cm="1">
        <f t="array" ref="M969">IFERROR(INDEX($I$2:$K$2,0,MATCH(TRUE,I969:K969,0)),E969)</f>
        <v>CCGT</v>
      </c>
      <c r="O969" t="str">
        <f t="shared" si="80"/>
        <v>CCGT_2031</v>
      </c>
      <c r="P969">
        <f t="shared" si="81"/>
        <v>413</v>
      </c>
    </row>
    <row r="970" spans="4:16" x14ac:dyDescent="0.25">
      <c r="D970">
        <v>2032</v>
      </c>
      <c r="E970" t="s">
        <v>123</v>
      </c>
      <c r="F970" t="s">
        <v>196</v>
      </c>
      <c r="G970">
        <v>413</v>
      </c>
      <c r="I970">
        <f t="shared" si="79"/>
        <v>0</v>
      </c>
      <c r="J970">
        <f t="shared" si="79"/>
        <v>0</v>
      </c>
      <c r="K970">
        <f t="shared" si="79"/>
        <v>0</v>
      </c>
      <c r="M970" t="str" cm="1">
        <f t="array" ref="M970">IFERROR(INDEX($I$2:$K$2,0,MATCH(TRUE,I970:K970,0)),E970)</f>
        <v>CCGT</v>
      </c>
      <c r="O970" t="str">
        <f t="shared" si="80"/>
        <v>CCGT_2032</v>
      </c>
      <c r="P970">
        <f t="shared" si="81"/>
        <v>413</v>
      </c>
    </row>
    <row r="971" spans="4:16" x14ac:dyDescent="0.25">
      <c r="D971">
        <v>2033</v>
      </c>
      <c r="E971" t="s">
        <v>123</v>
      </c>
      <c r="F971" t="s">
        <v>196</v>
      </c>
      <c r="G971">
        <v>413</v>
      </c>
      <c r="I971">
        <f t="shared" si="79"/>
        <v>0</v>
      </c>
      <c r="J971">
        <f t="shared" si="79"/>
        <v>0</v>
      </c>
      <c r="K971">
        <f t="shared" si="79"/>
        <v>0</v>
      </c>
      <c r="M971" t="str" cm="1">
        <f t="array" ref="M971">IFERROR(INDEX($I$2:$K$2,0,MATCH(TRUE,I971:K971,0)),E971)</f>
        <v>CCGT</v>
      </c>
      <c r="O971" t="str">
        <f t="shared" si="80"/>
        <v>CCGT_2033</v>
      </c>
      <c r="P971">
        <f t="shared" si="81"/>
        <v>413</v>
      </c>
    </row>
    <row r="972" spans="4:16" x14ac:dyDescent="0.25">
      <c r="D972">
        <v>2034</v>
      </c>
      <c r="E972" t="s">
        <v>123</v>
      </c>
      <c r="F972" t="s">
        <v>196</v>
      </c>
      <c r="G972">
        <v>413</v>
      </c>
      <c r="I972">
        <f t="shared" si="79"/>
        <v>0</v>
      </c>
      <c r="J972">
        <f t="shared" si="79"/>
        <v>0</v>
      </c>
      <c r="K972">
        <f t="shared" si="79"/>
        <v>0</v>
      </c>
      <c r="M972" t="str" cm="1">
        <f t="array" ref="M972">IFERROR(INDEX($I$2:$K$2,0,MATCH(TRUE,I972:K972,0)),E972)</f>
        <v>CCGT</v>
      </c>
      <c r="O972" t="str">
        <f t="shared" si="80"/>
        <v>CCGT_2034</v>
      </c>
      <c r="P972">
        <f t="shared" si="81"/>
        <v>413</v>
      </c>
    </row>
    <row r="973" spans="4:16" x14ac:dyDescent="0.25">
      <c r="D973">
        <v>2035</v>
      </c>
      <c r="E973" t="s">
        <v>123</v>
      </c>
      <c r="F973" t="s">
        <v>196</v>
      </c>
      <c r="G973">
        <v>413</v>
      </c>
      <c r="I973">
        <f t="shared" si="79"/>
        <v>0</v>
      </c>
      <c r="J973">
        <f t="shared" si="79"/>
        <v>0</v>
      </c>
      <c r="K973">
        <f t="shared" si="79"/>
        <v>0</v>
      </c>
      <c r="M973" t="str" cm="1">
        <f t="array" ref="M973">IFERROR(INDEX($I$2:$K$2,0,MATCH(TRUE,I973:K973,0)),E973)</f>
        <v>CCGT</v>
      </c>
      <c r="O973" t="str">
        <f t="shared" si="80"/>
        <v>CCGT_2035</v>
      </c>
      <c r="P973">
        <f t="shared" si="81"/>
        <v>413</v>
      </c>
    </row>
    <row r="974" spans="4:16" x14ac:dyDescent="0.25">
      <c r="D974">
        <v>2036</v>
      </c>
      <c r="E974" t="s">
        <v>123</v>
      </c>
      <c r="F974" t="s">
        <v>196</v>
      </c>
      <c r="G974">
        <v>413</v>
      </c>
      <c r="I974">
        <f t="shared" si="79"/>
        <v>0</v>
      </c>
      <c r="J974">
        <f t="shared" si="79"/>
        <v>0</v>
      </c>
      <c r="K974">
        <f t="shared" si="79"/>
        <v>0</v>
      </c>
      <c r="M974" t="str" cm="1">
        <f t="array" ref="M974">IFERROR(INDEX($I$2:$K$2,0,MATCH(TRUE,I974:K974,0)),E974)</f>
        <v>CCGT</v>
      </c>
      <c r="O974" t="str">
        <f t="shared" si="80"/>
        <v>CCGT_2036</v>
      </c>
      <c r="P974">
        <f t="shared" si="81"/>
        <v>413</v>
      </c>
    </row>
    <row r="975" spans="4:16" x14ac:dyDescent="0.25">
      <c r="D975">
        <v>2037</v>
      </c>
      <c r="E975" t="s">
        <v>123</v>
      </c>
      <c r="F975" t="s">
        <v>196</v>
      </c>
      <c r="G975">
        <v>413</v>
      </c>
      <c r="I975">
        <f t="shared" si="79"/>
        <v>0</v>
      </c>
      <c r="J975">
        <f t="shared" si="79"/>
        <v>0</v>
      </c>
      <c r="K975">
        <f t="shared" si="79"/>
        <v>0</v>
      </c>
      <c r="M975" t="str" cm="1">
        <f t="array" ref="M975">IFERROR(INDEX($I$2:$K$2,0,MATCH(TRUE,I975:K975,0)),E975)</f>
        <v>CCGT</v>
      </c>
      <c r="O975" t="str">
        <f t="shared" si="80"/>
        <v>CCGT_2037</v>
      </c>
      <c r="P975">
        <f t="shared" si="81"/>
        <v>413</v>
      </c>
    </row>
    <row r="976" spans="4:16" x14ac:dyDescent="0.25">
      <c r="D976">
        <v>2038</v>
      </c>
      <c r="E976" t="s">
        <v>123</v>
      </c>
      <c r="F976" t="s">
        <v>196</v>
      </c>
      <c r="G976">
        <v>413</v>
      </c>
      <c r="I976">
        <f t="shared" si="79"/>
        <v>0</v>
      </c>
      <c r="J976">
        <f t="shared" si="79"/>
        <v>0</v>
      </c>
      <c r="K976">
        <f t="shared" si="79"/>
        <v>0</v>
      </c>
      <c r="M976" t="str" cm="1">
        <f t="array" ref="M976">IFERROR(INDEX($I$2:$K$2,0,MATCH(TRUE,I976:K976,0)),E976)</f>
        <v>CCGT</v>
      </c>
      <c r="O976" t="str">
        <f t="shared" si="80"/>
        <v>CCGT_2038</v>
      </c>
      <c r="P976">
        <f t="shared" si="81"/>
        <v>413</v>
      </c>
    </row>
    <row r="977" spans="4:16" x14ac:dyDescent="0.25">
      <c r="D977">
        <v>2039</v>
      </c>
      <c r="E977" t="s">
        <v>123</v>
      </c>
      <c r="F977" t="s">
        <v>196</v>
      </c>
      <c r="G977">
        <v>413</v>
      </c>
      <c r="I977">
        <f t="shared" si="79"/>
        <v>0</v>
      </c>
      <c r="J977">
        <f t="shared" si="79"/>
        <v>0</v>
      </c>
      <c r="K977">
        <f t="shared" si="79"/>
        <v>0</v>
      </c>
      <c r="M977" t="str" cm="1">
        <f t="array" ref="M977">IFERROR(INDEX($I$2:$K$2,0,MATCH(TRUE,I977:K977,0)),E977)</f>
        <v>CCGT</v>
      </c>
      <c r="O977" t="str">
        <f t="shared" si="80"/>
        <v>CCGT_2039</v>
      </c>
      <c r="P977">
        <f t="shared" si="81"/>
        <v>413</v>
      </c>
    </row>
    <row r="978" spans="4:16" x14ac:dyDescent="0.25">
      <c r="D978">
        <v>2040</v>
      </c>
      <c r="E978" t="s">
        <v>123</v>
      </c>
      <c r="F978" t="s">
        <v>196</v>
      </c>
      <c r="G978">
        <v>413</v>
      </c>
      <c r="I978">
        <f t="shared" si="79"/>
        <v>0</v>
      </c>
      <c r="J978">
        <f t="shared" si="79"/>
        <v>0</v>
      </c>
      <c r="K978">
        <f t="shared" si="79"/>
        <v>0</v>
      </c>
      <c r="M978" t="str" cm="1">
        <f t="array" ref="M978">IFERROR(INDEX($I$2:$K$2,0,MATCH(TRUE,I978:K978,0)),E978)</f>
        <v>CCGT</v>
      </c>
      <c r="O978" t="str">
        <f t="shared" si="80"/>
        <v>CCGT_2040</v>
      </c>
      <c r="P978">
        <f t="shared" si="81"/>
        <v>413</v>
      </c>
    </row>
    <row r="979" spans="4:16" x14ac:dyDescent="0.25">
      <c r="D979">
        <v>2021</v>
      </c>
      <c r="E979" t="s">
        <v>123</v>
      </c>
      <c r="F979" t="s">
        <v>197</v>
      </c>
      <c r="G979">
        <v>450</v>
      </c>
      <c r="I979">
        <f t="shared" si="79"/>
        <v>0</v>
      </c>
      <c r="J979">
        <f t="shared" si="79"/>
        <v>0</v>
      </c>
      <c r="K979">
        <f t="shared" si="79"/>
        <v>0</v>
      </c>
      <c r="M979" t="str" cm="1">
        <f t="array" ref="M979">IFERROR(INDEX($I$2:$K$2,0,MATCH(TRUE,I979:K979,0)),E979)</f>
        <v>CCGT</v>
      </c>
      <c r="O979" t="str">
        <f t="shared" si="80"/>
        <v>CCGT_2021</v>
      </c>
      <c r="P979">
        <f t="shared" si="81"/>
        <v>450</v>
      </c>
    </row>
    <row r="980" spans="4:16" x14ac:dyDescent="0.25">
      <c r="D980">
        <v>2022</v>
      </c>
      <c r="E980" t="s">
        <v>123</v>
      </c>
      <c r="F980" t="s">
        <v>197</v>
      </c>
      <c r="G980">
        <v>450</v>
      </c>
      <c r="I980">
        <f t="shared" si="79"/>
        <v>0</v>
      </c>
      <c r="J980">
        <f t="shared" si="79"/>
        <v>0</v>
      </c>
      <c r="K980">
        <f t="shared" si="79"/>
        <v>0</v>
      </c>
      <c r="M980" t="str" cm="1">
        <f t="array" ref="M980">IFERROR(INDEX($I$2:$K$2,0,MATCH(TRUE,I980:K980,0)),E980)</f>
        <v>CCGT</v>
      </c>
      <c r="O980" t="str">
        <f t="shared" si="80"/>
        <v>CCGT_2022</v>
      </c>
      <c r="P980">
        <f t="shared" si="81"/>
        <v>450</v>
      </c>
    </row>
    <row r="981" spans="4:16" x14ac:dyDescent="0.25">
      <c r="D981">
        <v>2023</v>
      </c>
      <c r="E981" t="s">
        <v>123</v>
      </c>
      <c r="F981" t="s">
        <v>197</v>
      </c>
      <c r="G981">
        <v>450</v>
      </c>
      <c r="I981">
        <f t="shared" si="79"/>
        <v>0</v>
      </c>
      <c r="J981">
        <f t="shared" si="79"/>
        <v>0</v>
      </c>
      <c r="K981">
        <f t="shared" si="79"/>
        <v>0</v>
      </c>
      <c r="M981" t="str" cm="1">
        <f t="array" ref="M981">IFERROR(INDEX($I$2:$K$2,0,MATCH(TRUE,I981:K981,0)),E981)</f>
        <v>CCGT</v>
      </c>
      <c r="O981" t="str">
        <f t="shared" si="80"/>
        <v>CCGT_2023</v>
      </c>
      <c r="P981">
        <f t="shared" si="81"/>
        <v>450</v>
      </c>
    </row>
    <row r="982" spans="4:16" x14ac:dyDescent="0.25">
      <c r="D982">
        <v>2024</v>
      </c>
      <c r="E982" t="s">
        <v>123</v>
      </c>
      <c r="F982" t="s">
        <v>197</v>
      </c>
      <c r="G982">
        <v>450</v>
      </c>
      <c r="I982">
        <f t="shared" si="79"/>
        <v>0</v>
      </c>
      <c r="J982">
        <f t="shared" si="79"/>
        <v>0</v>
      </c>
      <c r="K982">
        <f t="shared" si="79"/>
        <v>0</v>
      </c>
      <c r="M982" t="str" cm="1">
        <f t="array" ref="M982">IFERROR(INDEX($I$2:$K$2,0,MATCH(TRUE,I982:K982,0)),E982)</f>
        <v>CCGT</v>
      </c>
      <c r="O982" t="str">
        <f t="shared" si="80"/>
        <v>CCGT_2024</v>
      </c>
      <c r="P982">
        <f t="shared" si="81"/>
        <v>450</v>
      </c>
    </row>
    <row r="983" spans="4:16" x14ac:dyDescent="0.25">
      <c r="D983">
        <v>2025</v>
      </c>
      <c r="E983" t="s">
        <v>123</v>
      </c>
      <c r="F983" t="s">
        <v>197</v>
      </c>
      <c r="G983">
        <v>450</v>
      </c>
      <c r="I983">
        <f t="shared" si="79"/>
        <v>0</v>
      </c>
      <c r="J983">
        <f t="shared" si="79"/>
        <v>0</v>
      </c>
      <c r="K983">
        <f t="shared" si="79"/>
        <v>0</v>
      </c>
      <c r="M983" t="str" cm="1">
        <f t="array" ref="M983">IFERROR(INDEX($I$2:$K$2,0,MATCH(TRUE,I983:K983,0)),E983)</f>
        <v>CCGT</v>
      </c>
      <c r="O983" t="str">
        <f t="shared" si="80"/>
        <v>CCGT_2025</v>
      </c>
      <c r="P983">
        <f t="shared" si="81"/>
        <v>450</v>
      </c>
    </row>
    <row r="984" spans="4:16" x14ac:dyDescent="0.25">
      <c r="D984">
        <v>2026</v>
      </c>
      <c r="E984" t="s">
        <v>123</v>
      </c>
      <c r="F984" t="s">
        <v>197</v>
      </c>
      <c r="G984">
        <v>450</v>
      </c>
      <c r="I984">
        <f t="shared" ref="I984:K1003" si="82">IFERROR(FIND(I$2,$E984,1)&gt;0,0)</f>
        <v>0</v>
      </c>
      <c r="J984">
        <f t="shared" si="82"/>
        <v>0</v>
      </c>
      <c r="K984">
        <f t="shared" si="82"/>
        <v>0</v>
      </c>
      <c r="M984" t="str" cm="1">
        <f t="array" ref="M984">IFERROR(INDEX($I$2:$K$2,0,MATCH(TRUE,I984:K984,0)),E984)</f>
        <v>CCGT</v>
      </c>
      <c r="O984" t="str">
        <f t="shared" si="80"/>
        <v>CCGT_2026</v>
      </c>
      <c r="P984">
        <f t="shared" si="81"/>
        <v>450</v>
      </c>
    </row>
    <row r="985" spans="4:16" x14ac:dyDescent="0.25">
      <c r="D985">
        <v>2027</v>
      </c>
      <c r="E985" t="s">
        <v>123</v>
      </c>
      <c r="F985" t="s">
        <v>197</v>
      </c>
      <c r="G985">
        <v>450</v>
      </c>
      <c r="I985">
        <f t="shared" si="82"/>
        <v>0</v>
      </c>
      <c r="J985">
        <f t="shared" si="82"/>
        <v>0</v>
      </c>
      <c r="K985">
        <f t="shared" si="82"/>
        <v>0</v>
      </c>
      <c r="M985" t="str" cm="1">
        <f t="array" ref="M985">IFERROR(INDEX($I$2:$K$2,0,MATCH(TRUE,I985:K985,0)),E985)</f>
        <v>CCGT</v>
      </c>
      <c r="O985" t="str">
        <f t="shared" si="80"/>
        <v>CCGT_2027</v>
      </c>
      <c r="P985">
        <f t="shared" si="81"/>
        <v>450</v>
      </c>
    </row>
    <row r="986" spans="4:16" x14ac:dyDescent="0.25">
      <c r="D986">
        <v>2028</v>
      </c>
      <c r="E986" t="s">
        <v>123</v>
      </c>
      <c r="F986" t="s">
        <v>197</v>
      </c>
      <c r="G986">
        <v>450</v>
      </c>
      <c r="I986">
        <f t="shared" si="82"/>
        <v>0</v>
      </c>
      <c r="J986">
        <f t="shared" si="82"/>
        <v>0</v>
      </c>
      <c r="K986">
        <f t="shared" si="82"/>
        <v>0</v>
      </c>
      <c r="M986" t="str" cm="1">
        <f t="array" ref="M986">IFERROR(INDEX($I$2:$K$2,0,MATCH(TRUE,I986:K986,0)),E986)</f>
        <v>CCGT</v>
      </c>
      <c r="O986" t="str">
        <f t="shared" si="80"/>
        <v>CCGT_2028</v>
      </c>
      <c r="P986">
        <f t="shared" si="81"/>
        <v>450</v>
      </c>
    </row>
    <row r="987" spans="4:16" x14ac:dyDescent="0.25">
      <c r="D987">
        <v>2029</v>
      </c>
      <c r="E987" t="s">
        <v>123</v>
      </c>
      <c r="F987" t="s">
        <v>197</v>
      </c>
      <c r="G987">
        <v>450</v>
      </c>
      <c r="I987">
        <f t="shared" si="82"/>
        <v>0</v>
      </c>
      <c r="J987">
        <f t="shared" si="82"/>
        <v>0</v>
      </c>
      <c r="K987">
        <f t="shared" si="82"/>
        <v>0</v>
      </c>
      <c r="M987" t="str" cm="1">
        <f t="array" ref="M987">IFERROR(INDEX($I$2:$K$2,0,MATCH(TRUE,I987:K987,0)),E987)</f>
        <v>CCGT</v>
      </c>
      <c r="O987" t="str">
        <f t="shared" si="80"/>
        <v>CCGT_2029</v>
      </c>
      <c r="P987">
        <f t="shared" si="81"/>
        <v>450</v>
      </c>
    </row>
    <row r="988" spans="4:16" x14ac:dyDescent="0.25">
      <c r="D988">
        <v>2030</v>
      </c>
      <c r="E988" t="s">
        <v>123</v>
      </c>
      <c r="F988" t="s">
        <v>197</v>
      </c>
      <c r="G988">
        <v>450</v>
      </c>
      <c r="I988">
        <f t="shared" si="82"/>
        <v>0</v>
      </c>
      <c r="J988">
        <f t="shared" si="82"/>
        <v>0</v>
      </c>
      <c r="K988">
        <f t="shared" si="82"/>
        <v>0</v>
      </c>
      <c r="M988" t="str" cm="1">
        <f t="array" ref="M988">IFERROR(INDEX($I$2:$K$2,0,MATCH(TRUE,I988:K988,0)),E988)</f>
        <v>CCGT</v>
      </c>
      <c r="O988" t="str">
        <f t="shared" si="80"/>
        <v>CCGT_2030</v>
      </c>
      <c r="P988">
        <f t="shared" si="81"/>
        <v>450</v>
      </c>
    </row>
    <row r="989" spans="4:16" x14ac:dyDescent="0.25">
      <c r="D989">
        <v>2031</v>
      </c>
      <c r="E989" t="s">
        <v>123</v>
      </c>
      <c r="F989" t="s">
        <v>197</v>
      </c>
      <c r="G989">
        <v>450</v>
      </c>
      <c r="I989">
        <f t="shared" si="82"/>
        <v>0</v>
      </c>
      <c r="J989">
        <f t="shared" si="82"/>
        <v>0</v>
      </c>
      <c r="K989">
        <f t="shared" si="82"/>
        <v>0</v>
      </c>
      <c r="M989" t="str" cm="1">
        <f t="array" ref="M989">IFERROR(INDEX($I$2:$K$2,0,MATCH(TRUE,I989:K989,0)),E989)</f>
        <v>CCGT</v>
      </c>
      <c r="O989" t="str">
        <f t="shared" si="80"/>
        <v>CCGT_2031</v>
      </c>
      <c r="P989">
        <f t="shared" si="81"/>
        <v>450</v>
      </c>
    </row>
    <row r="990" spans="4:16" x14ac:dyDescent="0.25">
      <c r="D990">
        <v>2032</v>
      </c>
      <c r="E990" t="s">
        <v>123</v>
      </c>
      <c r="F990" t="s">
        <v>197</v>
      </c>
      <c r="G990">
        <v>450</v>
      </c>
      <c r="I990">
        <f t="shared" si="82"/>
        <v>0</v>
      </c>
      <c r="J990">
        <f t="shared" si="82"/>
        <v>0</v>
      </c>
      <c r="K990">
        <f t="shared" si="82"/>
        <v>0</v>
      </c>
      <c r="M990" t="str" cm="1">
        <f t="array" ref="M990">IFERROR(INDEX($I$2:$K$2,0,MATCH(TRUE,I990:K990,0)),E990)</f>
        <v>CCGT</v>
      </c>
      <c r="O990" t="str">
        <f t="shared" si="80"/>
        <v>CCGT_2032</v>
      </c>
      <c r="P990">
        <f t="shared" si="81"/>
        <v>450</v>
      </c>
    </row>
    <row r="991" spans="4:16" x14ac:dyDescent="0.25">
      <c r="D991">
        <v>2033</v>
      </c>
      <c r="E991" t="s">
        <v>123</v>
      </c>
      <c r="F991" t="s">
        <v>197</v>
      </c>
      <c r="G991">
        <v>450</v>
      </c>
      <c r="I991">
        <f t="shared" si="82"/>
        <v>0</v>
      </c>
      <c r="J991">
        <f t="shared" si="82"/>
        <v>0</v>
      </c>
      <c r="K991">
        <f t="shared" si="82"/>
        <v>0</v>
      </c>
      <c r="M991" t="str" cm="1">
        <f t="array" ref="M991">IFERROR(INDEX($I$2:$K$2,0,MATCH(TRUE,I991:K991,0)),E991)</f>
        <v>CCGT</v>
      </c>
      <c r="O991" t="str">
        <f t="shared" si="80"/>
        <v>CCGT_2033</v>
      </c>
      <c r="P991">
        <f t="shared" si="81"/>
        <v>450</v>
      </c>
    </row>
    <row r="992" spans="4:16" x14ac:dyDescent="0.25">
      <c r="D992">
        <v>2034</v>
      </c>
      <c r="E992" t="s">
        <v>123</v>
      </c>
      <c r="F992" t="s">
        <v>197</v>
      </c>
      <c r="G992">
        <v>450</v>
      </c>
      <c r="I992">
        <f t="shared" si="82"/>
        <v>0</v>
      </c>
      <c r="J992">
        <f t="shared" si="82"/>
        <v>0</v>
      </c>
      <c r="K992">
        <f t="shared" si="82"/>
        <v>0</v>
      </c>
      <c r="M992" t="str" cm="1">
        <f t="array" ref="M992">IFERROR(INDEX($I$2:$K$2,0,MATCH(TRUE,I992:K992,0)),E992)</f>
        <v>CCGT</v>
      </c>
      <c r="O992" t="str">
        <f t="shared" si="80"/>
        <v>CCGT_2034</v>
      </c>
      <c r="P992">
        <f t="shared" si="81"/>
        <v>450</v>
      </c>
    </row>
    <row r="993" spans="4:16" x14ac:dyDescent="0.25">
      <c r="D993">
        <v>2035</v>
      </c>
      <c r="E993" t="s">
        <v>123</v>
      </c>
      <c r="F993" t="s">
        <v>197</v>
      </c>
      <c r="G993">
        <v>450</v>
      </c>
      <c r="I993">
        <f t="shared" si="82"/>
        <v>0</v>
      </c>
      <c r="J993">
        <f t="shared" si="82"/>
        <v>0</v>
      </c>
      <c r="K993">
        <f t="shared" si="82"/>
        <v>0</v>
      </c>
      <c r="M993" t="str" cm="1">
        <f t="array" ref="M993">IFERROR(INDEX($I$2:$K$2,0,MATCH(TRUE,I993:K993,0)),E993)</f>
        <v>CCGT</v>
      </c>
      <c r="O993" t="str">
        <f t="shared" si="80"/>
        <v>CCGT_2035</v>
      </c>
      <c r="P993">
        <f t="shared" si="81"/>
        <v>450</v>
      </c>
    </row>
    <row r="994" spans="4:16" x14ac:dyDescent="0.25">
      <c r="D994">
        <v>2036</v>
      </c>
      <c r="E994" t="s">
        <v>123</v>
      </c>
      <c r="F994" t="s">
        <v>197</v>
      </c>
      <c r="G994">
        <v>450</v>
      </c>
      <c r="I994">
        <f t="shared" si="82"/>
        <v>0</v>
      </c>
      <c r="J994">
        <f t="shared" si="82"/>
        <v>0</v>
      </c>
      <c r="K994">
        <f t="shared" si="82"/>
        <v>0</v>
      </c>
      <c r="M994" t="str" cm="1">
        <f t="array" ref="M994">IFERROR(INDEX($I$2:$K$2,0,MATCH(TRUE,I994:K994,0)),E994)</f>
        <v>CCGT</v>
      </c>
      <c r="O994" t="str">
        <f t="shared" si="80"/>
        <v>CCGT_2036</v>
      </c>
      <c r="P994">
        <f t="shared" si="81"/>
        <v>450</v>
      </c>
    </row>
    <row r="995" spans="4:16" x14ac:dyDescent="0.25">
      <c r="D995">
        <v>2037</v>
      </c>
      <c r="E995" t="s">
        <v>123</v>
      </c>
      <c r="F995" t="s">
        <v>197</v>
      </c>
      <c r="G995">
        <v>450</v>
      </c>
      <c r="I995">
        <f t="shared" si="82"/>
        <v>0</v>
      </c>
      <c r="J995">
        <f t="shared" si="82"/>
        <v>0</v>
      </c>
      <c r="K995">
        <f t="shared" si="82"/>
        <v>0</v>
      </c>
      <c r="M995" t="str" cm="1">
        <f t="array" ref="M995">IFERROR(INDEX($I$2:$K$2,0,MATCH(TRUE,I995:K995,0)),E995)</f>
        <v>CCGT</v>
      </c>
      <c r="O995" t="str">
        <f t="shared" si="80"/>
        <v>CCGT_2037</v>
      </c>
      <c r="P995">
        <f t="shared" si="81"/>
        <v>450</v>
      </c>
    </row>
    <row r="996" spans="4:16" x14ac:dyDescent="0.25">
      <c r="D996">
        <v>2038</v>
      </c>
      <c r="E996" t="s">
        <v>123</v>
      </c>
      <c r="F996" t="s">
        <v>197</v>
      </c>
      <c r="G996">
        <v>450</v>
      </c>
      <c r="I996">
        <f t="shared" si="82"/>
        <v>0</v>
      </c>
      <c r="J996">
        <f t="shared" si="82"/>
        <v>0</v>
      </c>
      <c r="K996">
        <f t="shared" si="82"/>
        <v>0</v>
      </c>
      <c r="M996" t="str" cm="1">
        <f t="array" ref="M996">IFERROR(INDEX($I$2:$K$2,0,MATCH(TRUE,I996:K996,0)),E996)</f>
        <v>CCGT</v>
      </c>
      <c r="O996" t="str">
        <f t="shared" si="80"/>
        <v>CCGT_2038</v>
      </c>
      <c r="P996">
        <f t="shared" si="81"/>
        <v>450</v>
      </c>
    </row>
    <row r="997" spans="4:16" x14ac:dyDescent="0.25">
      <c r="D997">
        <v>2039</v>
      </c>
      <c r="E997" t="s">
        <v>123</v>
      </c>
      <c r="F997" t="s">
        <v>197</v>
      </c>
      <c r="G997">
        <v>450</v>
      </c>
      <c r="I997">
        <f t="shared" si="82"/>
        <v>0</v>
      </c>
      <c r="J997">
        <f t="shared" si="82"/>
        <v>0</v>
      </c>
      <c r="K997">
        <f t="shared" si="82"/>
        <v>0</v>
      </c>
      <c r="M997" t="str" cm="1">
        <f t="array" ref="M997">IFERROR(INDEX($I$2:$K$2,0,MATCH(TRUE,I997:K997,0)),E997)</f>
        <v>CCGT</v>
      </c>
      <c r="O997" t="str">
        <f t="shared" si="80"/>
        <v>CCGT_2039</v>
      </c>
      <c r="P997">
        <f t="shared" si="81"/>
        <v>450</v>
      </c>
    </row>
    <row r="998" spans="4:16" x14ac:dyDescent="0.25">
      <c r="D998">
        <v>2040</v>
      </c>
      <c r="E998" t="s">
        <v>123</v>
      </c>
      <c r="F998" t="s">
        <v>197</v>
      </c>
      <c r="G998">
        <v>450</v>
      </c>
      <c r="I998">
        <f t="shared" si="82"/>
        <v>0</v>
      </c>
      <c r="J998">
        <f t="shared" si="82"/>
        <v>0</v>
      </c>
      <c r="K998">
        <f t="shared" si="82"/>
        <v>0</v>
      </c>
      <c r="M998" t="str" cm="1">
        <f t="array" ref="M998">IFERROR(INDEX($I$2:$K$2,0,MATCH(TRUE,I998:K998,0)),E998)</f>
        <v>CCGT</v>
      </c>
      <c r="O998" t="str">
        <f t="shared" si="80"/>
        <v>CCGT_2040</v>
      </c>
      <c r="P998">
        <f t="shared" si="81"/>
        <v>450</v>
      </c>
    </row>
    <row r="999" spans="4:16" x14ac:dyDescent="0.25">
      <c r="D999">
        <v>2021</v>
      </c>
      <c r="E999" t="s">
        <v>123</v>
      </c>
      <c r="F999" t="s">
        <v>198</v>
      </c>
      <c r="G999">
        <v>81.8</v>
      </c>
      <c r="I999">
        <f t="shared" si="82"/>
        <v>0</v>
      </c>
      <c r="J999">
        <f t="shared" si="82"/>
        <v>0</v>
      </c>
      <c r="K999">
        <f t="shared" si="82"/>
        <v>0</v>
      </c>
      <c r="M999" t="str" cm="1">
        <f t="array" ref="M999">IFERROR(INDEX($I$2:$K$2,0,MATCH(TRUE,I999:K999,0)),E999)</f>
        <v>CCGT</v>
      </c>
      <c r="O999" t="str">
        <f t="shared" si="80"/>
        <v>CCGT_2021</v>
      </c>
      <c r="P999">
        <f t="shared" si="81"/>
        <v>81.8</v>
      </c>
    </row>
    <row r="1000" spans="4:16" x14ac:dyDescent="0.25">
      <c r="D1000">
        <v>2022</v>
      </c>
      <c r="E1000" t="s">
        <v>123</v>
      </c>
      <c r="F1000" t="s">
        <v>198</v>
      </c>
      <c r="G1000">
        <v>81.8</v>
      </c>
      <c r="I1000">
        <f t="shared" si="82"/>
        <v>0</v>
      </c>
      <c r="J1000">
        <f t="shared" si="82"/>
        <v>0</v>
      </c>
      <c r="K1000">
        <f t="shared" si="82"/>
        <v>0</v>
      </c>
      <c r="M1000" t="str" cm="1">
        <f t="array" ref="M1000">IFERROR(INDEX($I$2:$K$2,0,MATCH(TRUE,I1000:K1000,0)),E1000)</f>
        <v>CCGT</v>
      </c>
      <c r="O1000" t="str">
        <f t="shared" si="80"/>
        <v>CCGT_2022</v>
      </c>
      <c r="P1000">
        <f t="shared" si="81"/>
        <v>81.8</v>
      </c>
    </row>
    <row r="1001" spans="4:16" x14ac:dyDescent="0.25">
      <c r="D1001">
        <v>2023</v>
      </c>
      <c r="E1001" t="s">
        <v>123</v>
      </c>
      <c r="F1001" t="s">
        <v>198</v>
      </c>
      <c r="G1001">
        <v>81.8</v>
      </c>
      <c r="I1001">
        <f t="shared" si="82"/>
        <v>0</v>
      </c>
      <c r="J1001">
        <f t="shared" si="82"/>
        <v>0</v>
      </c>
      <c r="K1001">
        <f t="shared" si="82"/>
        <v>0</v>
      </c>
      <c r="M1001" t="str" cm="1">
        <f t="array" ref="M1001">IFERROR(INDEX($I$2:$K$2,0,MATCH(TRUE,I1001:K1001,0)),E1001)</f>
        <v>CCGT</v>
      </c>
      <c r="O1001" t="str">
        <f t="shared" si="80"/>
        <v>CCGT_2023</v>
      </c>
      <c r="P1001">
        <f t="shared" si="81"/>
        <v>81.8</v>
      </c>
    </row>
    <row r="1002" spans="4:16" x14ac:dyDescent="0.25">
      <c r="D1002">
        <v>2024</v>
      </c>
      <c r="E1002" t="s">
        <v>123</v>
      </c>
      <c r="F1002" t="s">
        <v>198</v>
      </c>
      <c r="G1002">
        <v>81.8</v>
      </c>
      <c r="I1002">
        <f t="shared" si="82"/>
        <v>0</v>
      </c>
      <c r="J1002">
        <f t="shared" si="82"/>
        <v>0</v>
      </c>
      <c r="K1002">
        <f t="shared" si="82"/>
        <v>0</v>
      </c>
      <c r="M1002" t="str" cm="1">
        <f t="array" ref="M1002">IFERROR(INDEX($I$2:$K$2,0,MATCH(TRUE,I1002:K1002,0)),E1002)</f>
        <v>CCGT</v>
      </c>
      <c r="O1002" t="str">
        <f t="shared" si="80"/>
        <v>CCGT_2024</v>
      </c>
      <c r="P1002">
        <f t="shared" si="81"/>
        <v>81.8</v>
      </c>
    </row>
    <row r="1003" spans="4:16" x14ac:dyDescent="0.25">
      <c r="D1003">
        <v>2025</v>
      </c>
      <c r="E1003" t="s">
        <v>123</v>
      </c>
      <c r="F1003" t="s">
        <v>198</v>
      </c>
      <c r="G1003">
        <v>81.8</v>
      </c>
      <c r="I1003">
        <f t="shared" si="82"/>
        <v>0</v>
      </c>
      <c r="J1003">
        <f t="shared" si="82"/>
        <v>0</v>
      </c>
      <c r="K1003">
        <f t="shared" si="82"/>
        <v>0</v>
      </c>
      <c r="M1003" t="str" cm="1">
        <f t="array" ref="M1003">IFERROR(INDEX($I$2:$K$2,0,MATCH(TRUE,I1003:K1003,0)),E1003)</f>
        <v>CCGT</v>
      </c>
      <c r="O1003" t="str">
        <f t="shared" si="80"/>
        <v>CCGT_2025</v>
      </c>
      <c r="P1003">
        <f t="shared" si="81"/>
        <v>81.8</v>
      </c>
    </row>
    <row r="1004" spans="4:16" x14ac:dyDescent="0.25">
      <c r="D1004">
        <v>2026</v>
      </c>
      <c r="E1004" t="s">
        <v>123</v>
      </c>
      <c r="F1004" t="s">
        <v>198</v>
      </c>
      <c r="G1004">
        <v>81.8</v>
      </c>
      <c r="I1004">
        <f t="shared" ref="I1004:K1023" si="83">IFERROR(FIND(I$2,$E1004,1)&gt;0,0)</f>
        <v>0</v>
      </c>
      <c r="J1004">
        <f t="shared" si="83"/>
        <v>0</v>
      </c>
      <c r="K1004">
        <f t="shared" si="83"/>
        <v>0</v>
      </c>
      <c r="M1004" t="str" cm="1">
        <f t="array" ref="M1004">IFERROR(INDEX($I$2:$K$2,0,MATCH(TRUE,I1004:K1004,0)),E1004)</f>
        <v>CCGT</v>
      </c>
      <c r="O1004" t="str">
        <f t="shared" si="80"/>
        <v>CCGT_2026</v>
      </c>
      <c r="P1004">
        <f t="shared" si="81"/>
        <v>81.8</v>
      </c>
    </row>
    <row r="1005" spans="4:16" x14ac:dyDescent="0.25">
      <c r="D1005">
        <v>2027</v>
      </c>
      <c r="E1005" t="s">
        <v>123</v>
      </c>
      <c r="F1005" t="s">
        <v>198</v>
      </c>
      <c r="G1005">
        <v>81.8</v>
      </c>
      <c r="I1005">
        <f t="shared" si="83"/>
        <v>0</v>
      </c>
      <c r="J1005">
        <f t="shared" si="83"/>
        <v>0</v>
      </c>
      <c r="K1005">
        <f t="shared" si="83"/>
        <v>0</v>
      </c>
      <c r="M1005" t="str" cm="1">
        <f t="array" ref="M1005">IFERROR(INDEX($I$2:$K$2,0,MATCH(TRUE,I1005:K1005,0)),E1005)</f>
        <v>CCGT</v>
      </c>
      <c r="O1005" t="str">
        <f t="shared" si="80"/>
        <v>CCGT_2027</v>
      </c>
      <c r="P1005">
        <f t="shared" si="81"/>
        <v>81.8</v>
      </c>
    </row>
    <row r="1006" spans="4:16" x14ac:dyDescent="0.25">
      <c r="D1006">
        <v>2028</v>
      </c>
      <c r="E1006" t="s">
        <v>123</v>
      </c>
      <c r="F1006" t="s">
        <v>198</v>
      </c>
      <c r="G1006">
        <v>81.8</v>
      </c>
      <c r="I1006">
        <f t="shared" si="83"/>
        <v>0</v>
      </c>
      <c r="J1006">
        <f t="shared" si="83"/>
        <v>0</v>
      </c>
      <c r="K1006">
        <f t="shared" si="83"/>
        <v>0</v>
      </c>
      <c r="M1006" t="str" cm="1">
        <f t="array" ref="M1006">IFERROR(INDEX($I$2:$K$2,0,MATCH(TRUE,I1006:K1006,0)),E1006)</f>
        <v>CCGT</v>
      </c>
      <c r="O1006" t="str">
        <f t="shared" si="80"/>
        <v>CCGT_2028</v>
      </c>
      <c r="P1006">
        <f t="shared" si="81"/>
        <v>81.8</v>
      </c>
    </row>
    <row r="1007" spans="4:16" x14ac:dyDescent="0.25">
      <c r="D1007">
        <v>2029</v>
      </c>
      <c r="E1007" t="s">
        <v>123</v>
      </c>
      <c r="F1007" t="s">
        <v>198</v>
      </c>
      <c r="G1007">
        <v>81.8</v>
      </c>
      <c r="I1007">
        <f t="shared" si="83"/>
        <v>0</v>
      </c>
      <c r="J1007">
        <f t="shared" si="83"/>
        <v>0</v>
      </c>
      <c r="K1007">
        <f t="shared" si="83"/>
        <v>0</v>
      </c>
      <c r="M1007" t="str" cm="1">
        <f t="array" ref="M1007">IFERROR(INDEX($I$2:$K$2,0,MATCH(TRUE,I1007:K1007,0)),E1007)</f>
        <v>CCGT</v>
      </c>
      <c r="O1007" t="str">
        <f t="shared" si="80"/>
        <v>CCGT_2029</v>
      </c>
      <c r="P1007">
        <f t="shared" si="81"/>
        <v>81.8</v>
      </c>
    </row>
    <row r="1008" spans="4:16" x14ac:dyDescent="0.25">
      <c r="D1008">
        <v>2030</v>
      </c>
      <c r="E1008" t="s">
        <v>123</v>
      </c>
      <c r="F1008" t="s">
        <v>198</v>
      </c>
      <c r="G1008">
        <v>81.8</v>
      </c>
      <c r="I1008">
        <f t="shared" si="83"/>
        <v>0</v>
      </c>
      <c r="J1008">
        <f t="shared" si="83"/>
        <v>0</v>
      </c>
      <c r="K1008">
        <f t="shared" si="83"/>
        <v>0</v>
      </c>
      <c r="M1008" t="str" cm="1">
        <f t="array" ref="M1008">IFERROR(INDEX($I$2:$K$2,0,MATCH(TRUE,I1008:K1008,0)),E1008)</f>
        <v>CCGT</v>
      </c>
      <c r="O1008" t="str">
        <f t="shared" si="80"/>
        <v>CCGT_2030</v>
      </c>
      <c r="P1008">
        <f t="shared" si="81"/>
        <v>81.8</v>
      </c>
    </row>
    <row r="1009" spans="4:16" x14ac:dyDescent="0.25">
      <c r="D1009">
        <v>2031</v>
      </c>
      <c r="E1009" t="s">
        <v>123</v>
      </c>
      <c r="F1009" t="s">
        <v>198</v>
      </c>
      <c r="G1009">
        <v>81.8</v>
      </c>
      <c r="I1009">
        <f t="shared" si="83"/>
        <v>0</v>
      </c>
      <c r="J1009">
        <f t="shared" si="83"/>
        <v>0</v>
      </c>
      <c r="K1009">
        <f t="shared" si="83"/>
        <v>0</v>
      </c>
      <c r="M1009" t="str" cm="1">
        <f t="array" ref="M1009">IFERROR(INDEX($I$2:$K$2,0,MATCH(TRUE,I1009:K1009,0)),E1009)</f>
        <v>CCGT</v>
      </c>
      <c r="O1009" t="str">
        <f t="shared" si="80"/>
        <v>CCGT_2031</v>
      </c>
      <c r="P1009">
        <f t="shared" si="81"/>
        <v>81.8</v>
      </c>
    </row>
    <row r="1010" spans="4:16" x14ac:dyDescent="0.25">
      <c r="D1010">
        <v>2032</v>
      </c>
      <c r="E1010" t="s">
        <v>123</v>
      </c>
      <c r="F1010" t="s">
        <v>198</v>
      </c>
      <c r="G1010">
        <v>81.8</v>
      </c>
      <c r="I1010">
        <f t="shared" si="83"/>
        <v>0</v>
      </c>
      <c r="J1010">
        <f t="shared" si="83"/>
        <v>0</v>
      </c>
      <c r="K1010">
        <f t="shared" si="83"/>
        <v>0</v>
      </c>
      <c r="M1010" t="str" cm="1">
        <f t="array" ref="M1010">IFERROR(INDEX($I$2:$K$2,0,MATCH(TRUE,I1010:K1010,0)),E1010)</f>
        <v>CCGT</v>
      </c>
      <c r="O1010" t="str">
        <f t="shared" si="80"/>
        <v>CCGT_2032</v>
      </c>
      <c r="P1010">
        <f t="shared" si="81"/>
        <v>81.8</v>
      </c>
    </row>
    <row r="1011" spans="4:16" x14ac:dyDescent="0.25">
      <c r="D1011">
        <v>2033</v>
      </c>
      <c r="E1011" t="s">
        <v>123</v>
      </c>
      <c r="F1011" t="s">
        <v>198</v>
      </c>
      <c r="G1011">
        <v>81.8</v>
      </c>
      <c r="I1011">
        <f t="shared" si="83"/>
        <v>0</v>
      </c>
      <c r="J1011">
        <f t="shared" si="83"/>
        <v>0</v>
      </c>
      <c r="K1011">
        <f t="shared" si="83"/>
        <v>0</v>
      </c>
      <c r="M1011" t="str" cm="1">
        <f t="array" ref="M1011">IFERROR(INDEX($I$2:$K$2,0,MATCH(TRUE,I1011:K1011,0)),E1011)</f>
        <v>CCGT</v>
      </c>
      <c r="O1011" t="str">
        <f t="shared" si="80"/>
        <v>CCGT_2033</v>
      </c>
      <c r="P1011">
        <f t="shared" si="81"/>
        <v>81.8</v>
      </c>
    </row>
    <row r="1012" spans="4:16" x14ac:dyDescent="0.25">
      <c r="D1012">
        <v>2034</v>
      </c>
      <c r="E1012" t="s">
        <v>123</v>
      </c>
      <c r="F1012" t="s">
        <v>198</v>
      </c>
      <c r="G1012">
        <v>81.8</v>
      </c>
      <c r="I1012">
        <f t="shared" si="83"/>
        <v>0</v>
      </c>
      <c r="J1012">
        <f t="shared" si="83"/>
        <v>0</v>
      </c>
      <c r="K1012">
        <f t="shared" si="83"/>
        <v>0</v>
      </c>
      <c r="M1012" t="str" cm="1">
        <f t="array" ref="M1012">IFERROR(INDEX($I$2:$K$2,0,MATCH(TRUE,I1012:K1012,0)),E1012)</f>
        <v>CCGT</v>
      </c>
      <c r="O1012" t="str">
        <f t="shared" si="80"/>
        <v>CCGT_2034</v>
      </c>
      <c r="P1012">
        <f t="shared" si="81"/>
        <v>81.8</v>
      </c>
    </row>
    <row r="1013" spans="4:16" x14ac:dyDescent="0.25">
      <c r="D1013">
        <v>2035</v>
      </c>
      <c r="E1013" t="s">
        <v>123</v>
      </c>
      <c r="F1013" t="s">
        <v>198</v>
      </c>
      <c r="G1013">
        <v>81.8</v>
      </c>
      <c r="I1013">
        <f t="shared" si="83"/>
        <v>0</v>
      </c>
      <c r="J1013">
        <f t="shared" si="83"/>
        <v>0</v>
      </c>
      <c r="K1013">
        <f t="shared" si="83"/>
        <v>0</v>
      </c>
      <c r="M1013" t="str" cm="1">
        <f t="array" ref="M1013">IFERROR(INDEX($I$2:$K$2,0,MATCH(TRUE,I1013:K1013,0)),E1013)</f>
        <v>CCGT</v>
      </c>
      <c r="O1013" t="str">
        <f t="shared" si="80"/>
        <v>CCGT_2035</v>
      </c>
      <c r="P1013">
        <f t="shared" si="81"/>
        <v>81.8</v>
      </c>
    </row>
    <row r="1014" spans="4:16" x14ac:dyDescent="0.25">
      <c r="D1014">
        <v>2036</v>
      </c>
      <c r="E1014" t="s">
        <v>123</v>
      </c>
      <c r="F1014" t="s">
        <v>198</v>
      </c>
      <c r="G1014">
        <v>81.8</v>
      </c>
      <c r="I1014">
        <f t="shared" si="83"/>
        <v>0</v>
      </c>
      <c r="J1014">
        <f t="shared" si="83"/>
        <v>0</v>
      </c>
      <c r="K1014">
        <f t="shared" si="83"/>
        <v>0</v>
      </c>
      <c r="M1014" t="str" cm="1">
        <f t="array" ref="M1014">IFERROR(INDEX($I$2:$K$2,0,MATCH(TRUE,I1014:K1014,0)),E1014)</f>
        <v>CCGT</v>
      </c>
      <c r="O1014" t="str">
        <f t="shared" si="80"/>
        <v>CCGT_2036</v>
      </c>
      <c r="P1014">
        <f t="shared" si="81"/>
        <v>81.8</v>
      </c>
    </row>
    <row r="1015" spans="4:16" x14ac:dyDescent="0.25">
      <c r="D1015">
        <v>2037</v>
      </c>
      <c r="E1015" t="s">
        <v>123</v>
      </c>
      <c r="F1015" t="s">
        <v>198</v>
      </c>
      <c r="G1015">
        <v>81.8</v>
      </c>
      <c r="I1015">
        <f t="shared" si="83"/>
        <v>0</v>
      </c>
      <c r="J1015">
        <f t="shared" si="83"/>
        <v>0</v>
      </c>
      <c r="K1015">
        <f t="shared" si="83"/>
        <v>0</v>
      </c>
      <c r="M1015" t="str" cm="1">
        <f t="array" ref="M1015">IFERROR(INDEX($I$2:$K$2,0,MATCH(TRUE,I1015:K1015,0)),E1015)</f>
        <v>CCGT</v>
      </c>
      <c r="O1015" t="str">
        <f t="shared" si="80"/>
        <v>CCGT_2037</v>
      </c>
      <c r="P1015">
        <f t="shared" si="81"/>
        <v>81.8</v>
      </c>
    </row>
    <row r="1016" spans="4:16" x14ac:dyDescent="0.25">
      <c r="D1016">
        <v>2038</v>
      </c>
      <c r="E1016" t="s">
        <v>123</v>
      </c>
      <c r="F1016" t="s">
        <v>198</v>
      </c>
      <c r="G1016">
        <v>81.8</v>
      </c>
      <c r="I1016">
        <f t="shared" si="83"/>
        <v>0</v>
      </c>
      <c r="J1016">
        <f t="shared" si="83"/>
        <v>0</v>
      </c>
      <c r="K1016">
        <f t="shared" si="83"/>
        <v>0</v>
      </c>
      <c r="M1016" t="str" cm="1">
        <f t="array" ref="M1016">IFERROR(INDEX($I$2:$K$2,0,MATCH(TRUE,I1016:K1016,0)),E1016)</f>
        <v>CCGT</v>
      </c>
      <c r="O1016" t="str">
        <f t="shared" si="80"/>
        <v>CCGT_2038</v>
      </c>
      <c r="P1016">
        <f t="shared" si="81"/>
        <v>81.8</v>
      </c>
    </row>
    <row r="1017" spans="4:16" x14ac:dyDescent="0.25">
      <c r="D1017">
        <v>2039</v>
      </c>
      <c r="E1017" t="s">
        <v>123</v>
      </c>
      <c r="F1017" t="s">
        <v>198</v>
      </c>
      <c r="G1017">
        <v>81.8</v>
      </c>
      <c r="I1017">
        <f t="shared" si="83"/>
        <v>0</v>
      </c>
      <c r="J1017">
        <f t="shared" si="83"/>
        <v>0</v>
      </c>
      <c r="K1017">
        <f t="shared" si="83"/>
        <v>0</v>
      </c>
      <c r="M1017" t="str" cm="1">
        <f t="array" ref="M1017">IFERROR(INDEX($I$2:$K$2,0,MATCH(TRUE,I1017:K1017,0)),E1017)</f>
        <v>CCGT</v>
      </c>
      <c r="O1017" t="str">
        <f t="shared" si="80"/>
        <v>CCGT_2039</v>
      </c>
      <c r="P1017">
        <f t="shared" si="81"/>
        <v>81.8</v>
      </c>
    </row>
    <row r="1018" spans="4:16" x14ac:dyDescent="0.25">
      <c r="D1018">
        <v>2040</v>
      </c>
      <c r="E1018" t="s">
        <v>123</v>
      </c>
      <c r="F1018" t="s">
        <v>198</v>
      </c>
      <c r="G1018">
        <v>81.8</v>
      </c>
      <c r="I1018">
        <f t="shared" si="83"/>
        <v>0</v>
      </c>
      <c r="J1018">
        <f t="shared" si="83"/>
        <v>0</v>
      </c>
      <c r="K1018">
        <f t="shared" si="83"/>
        <v>0</v>
      </c>
      <c r="M1018" t="str" cm="1">
        <f t="array" ref="M1018">IFERROR(INDEX($I$2:$K$2,0,MATCH(TRUE,I1018:K1018,0)),E1018)</f>
        <v>CCGT</v>
      </c>
      <c r="O1018" t="str">
        <f t="shared" si="80"/>
        <v>CCGT_2040</v>
      </c>
      <c r="P1018">
        <f t="shared" si="81"/>
        <v>81.8</v>
      </c>
    </row>
    <row r="1019" spans="4:16" x14ac:dyDescent="0.25">
      <c r="D1019">
        <v>2021</v>
      </c>
      <c r="E1019" t="s">
        <v>123</v>
      </c>
      <c r="F1019" t="s">
        <v>199</v>
      </c>
      <c r="G1019">
        <v>125</v>
      </c>
      <c r="I1019">
        <f t="shared" si="83"/>
        <v>0</v>
      </c>
      <c r="J1019">
        <f t="shared" si="83"/>
        <v>0</v>
      </c>
      <c r="K1019">
        <f t="shared" si="83"/>
        <v>0</v>
      </c>
      <c r="M1019" t="str" cm="1">
        <f t="array" ref="M1019">IFERROR(INDEX($I$2:$K$2,0,MATCH(TRUE,I1019:K1019,0)),E1019)</f>
        <v>CCGT</v>
      </c>
      <c r="O1019" t="str">
        <f t="shared" si="80"/>
        <v>CCGT_2021</v>
      </c>
      <c r="P1019">
        <f t="shared" si="81"/>
        <v>125</v>
      </c>
    </row>
    <row r="1020" spans="4:16" x14ac:dyDescent="0.25">
      <c r="D1020">
        <v>2022</v>
      </c>
      <c r="E1020" t="s">
        <v>123</v>
      </c>
      <c r="F1020" t="s">
        <v>199</v>
      </c>
      <c r="G1020">
        <v>125</v>
      </c>
      <c r="I1020">
        <f t="shared" si="83"/>
        <v>0</v>
      </c>
      <c r="J1020">
        <f t="shared" si="83"/>
        <v>0</v>
      </c>
      <c r="K1020">
        <f t="shared" si="83"/>
        <v>0</v>
      </c>
      <c r="M1020" t="str" cm="1">
        <f t="array" ref="M1020">IFERROR(INDEX($I$2:$K$2,0,MATCH(TRUE,I1020:K1020,0)),E1020)</f>
        <v>CCGT</v>
      </c>
      <c r="O1020" t="str">
        <f t="shared" si="80"/>
        <v>CCGT_2022</v>
      </c>
      <c r="P1020">
        <f t="shared" si="81"/>
        <v>125</v>
      </c>
    </row>
    <row r="1021" spans="4:16" x14ac:dyDescent="0.25">
      <c r="D1021">
        <v>2023</v>
      </c>
      <c r="E1021" t="s">
        <v>123</v>
      </c>
      <c r="F1021" t="s">
        <v>199</v>
      </c>
      <c r="G1021">
        <v>125</v>
      </c>
      <c r="I1021">
        <f t="shared" si="83"/>
        <v>0</v>
      </c>
      <c r="J1021">
        <f t="shared" si="83"/>
        <v>0</v>
      </c>
      <c r="K1021">
        <f t="shared" si="83"/>
        <v>0</v>
      </c>
      <c r="M1021" t="str" cm="1">
        <f t="array" ref="M1021">IFERROR(INDEX($I$2:$K$2,0,MATCH(TRUE,I1021:K1021,0)),E1021)</f>
        <v>CCGT</v>
      </c>
      <c r="O1021" t="str">
        <f t="shared" si="80"/>
        <v>CCGT_2023</v>
      </c>
      <c r="P1021">
        <f t="shared" si="81"/>
        <v>125</v>
      </c>
    </row>
    <row r="1022" spans="4:16" x14ac:dyDescent="0.25">
      <c r="D1022">
        <v>2024</v>
      </c>
      <c r="E1022" t="s">
        <v>123</v>
      </c>
      <c r="F1022" t="s">
        <v>199</v>
      </c>
      <c r="G1022">
        <v>125</v>
      </c>
      <c r="I1022">
        <f t="shared" si="83"/>
        <v>0</v>
      </c>
      <c r="J1022">
        <f t="shared" si="83"/>
        <v>0</v>
      </c>
      <c r="K1022">
        <f t="shared" si="83"/>
        <v>0</v>
      </c>
      <c r="M1022" t="str" cm="1">
        <f t="array" ref="M1022">IFERROR(INDEX($I$2:$K$2,0,MATCH(TRUE,I1022:K1022,0)),E1022)</f>
        <v>CCGT</v>
      </c>
      <c r="O1022" t="str">
        <f t="shared" si="80"/>
        <v>CCGT_2024</v>
      </c>
      <c r="P1022">
        <f t="shared" si="81"/>
        <v>125</v>
      </c>
    </row>
    <row r="1023" spans="4:16" x14ac:dyDescent="0.25">
      <c r="D1023">
        <v>2025</v>
      </c>
      <c r="E1023" t="s">
        <v>123</v>
      </c>
      <c r="F1023" t="s">
        <v>199</v>
      </c>
      <c r="G1023">
        <v>125</v>
      </c>
      <c r="I1023">
        <f t="shared" si="83"/>
        <v>0</v>
      </c>
      <c r="J1023">
        <f t="shared" si="83"/>
        <v>0</v>
      </c>
      <c r="K1023">
        <f t="shared" si="83"/>
        <v>0</v>
      </c>
      <c r="M1023" t="str" cm="1">
        <f t="array" ref="M1023">IFERROR(INDEX($I$2:$K$2,0,MATCH(TRUE,I1023:K1023,0)),E1023)</f>
        <v>CCGT</v>
      </c>
      <c r="O1023" t="str">
        <f t="shared" si="80"/>
        <v>CCGT_2025</v>
      </c>
      <c r="P1023">
        <f t="shared" si="81"/>
        <v>125</v>
      </c>
    </row>
    <row r="1024" spans="4:16" x14ac:dyDescent="0.25">
      <c r="D1024">
        <v>2026</v>
      </c>
      <c r="E1024" t="s">
        <v>123</v>
      </c>
      <c r="F1024" t="s">
        <v>199</v>
      </c>
      <c r="G1024">
        <v>125</v>
      </c>
      <c r="I1024">
        <f t="shared" ref="I1024:K1043" si="84">IFERROR(FIND(I$2,$E1024,1)&gt;0,0)</f>
        <v>0</v>
      </c>
      <c r="J1024">
        <f t="shared" si="84"/>
        <v>0</v>
      </c>
      <c r="K1024">
        <f t="shared" si="84"/>
        <v>0</v>
      </c>
      <c r="M1024" t="str" cm="1">
        <f t="array" ref="M1024">IFERROR(INDEX($I$2:$K$2,0,MATCH(TRUE,I1024:K1024,0)),E1024)</f>
        <v>CCGT</v>
      </c>
      <c r="O1024" t="str">
        <f t="shared" si="80"/>
        <v>CCGT_2026</v>
      </c>
      <c r="P1024">
        <f t="shared" si="81"/>
        <v>125</v>
      </c>
    </row>
    <row r="1025" spans="4:16" x14ac:dyDescent="0.25">
      <c r="D1025">
        <v>2027</v>
      </c>
      <c r="E1025" t="s">
        <v>123</v>
      </c>
      <c r="F1025" t="s">
        <v>199</v>
      </c>
      <c r="G1025">
        <v>125</v>
      </c>
      <c r="I1025">
        <f t="shared" si="84"/>
        <v>0</v>
      </c>
      <c r="J1025">
        <f t="shared" si="84"/>
        <v>0</v>
      </c>
      <c r="K1025">
        <f t="shared" si="84"/>
        <v>0</v>
      </c>
      <c r="M1025" t="str" cm="1">
        <f t="array" ref="M1025">IFERROR(INDEX($I$2:$K$2,0,MATCH(TRUE,I1025:K1025,0)),E1025)</f>
        <v>CCGT</v>
      </c>
      <c r="O1025" t="str">
        <f t="shared" si="80"/>
        <v>CCGT_2027</v>
      </c>
      <c r="P1025">
        <f t="shared" si="81"/>
        <v>125</v>
      </c>
    </row>
    <row r="1026" spans="4:16" x14ac:dyDescent="0.25">
      <c r="D1026">
        <v>2028</v>
      </c>
      <c r="E1026" t="s">
        <v>123</v>
      </c>
      <c r="F1026" t="s">
        <v>199</v>
      </c>
      <c r="G1026">
        <v>125</v>
      </c>
      <c r="I1026">
        <f t="shared" si="84"/>
        <v>0</v>
      </c>
      <c r="J1026">
        <f t="shared" si="84"/>
        <v>0</v>
      </c>
      <c r="K1026">
        <f t="shared" si="84"/>
        <v>0</v>
      </c>
      <c r="M1026" t="str" cm="1">
        <f t="array" ref="M1026">IFERROR(INDEX($I$2:$K$2,0,MATCH(TRUE,I1026:K1026,0)),E1026)</f>
        <v>CCGT</v>
      </c>
      <c r="O1026" t="str">
        <f t="shared" si="80"/>
        <v>CCGT_2028</v>
      </c>
      <c r="P1026">
        <f t="shared" si="81"/>
        <v>125</v>
      </c>
    </row>
    <row r="1027" spans="4:16" x14ac:dyDescent="0.25">
      <c r="D1027">
        <v>2029</v>
      </c>
      <c r="E1027" t="s">
        <v>123</v>
      </c>
      <c r="F1027" t="s">
        <v>199</v>
      </c>
      <c r="G1027">
        <v>125</v>
      </c>
      <c r="I1027">
        <f t="shared" si="84"/>
        <v>0</v>
      </c>
      <c r="J1027">
        <f t="shared" si="84"/>
        <v>0</v>
      </c>
      <c r="K1027">
        <f t="shared" si="84"/>
        <v>0</v>
      </c>
      <c r="M1027" t="str" cm="1">
        <f t="array" ref="M1027">IFERROR(INDEX($I$2:$K$2,0,MATCH(TRUE,I1027:K1027,0)),E1027)</f>
        <v>CCGT</v>
      </c>
      <c r="O1027" t="str">
        <f t="shared" si="80"/>
        <v>CCGT_2029</v>
      </c>
      <c r="P1027">
        <f t="shared" si="81"/>
        <v>125</v>
      </c>
    </row>
    <row r="1028" spans="4:16" x14ac:dyDescent="0.25">
      <c r="D1028">
        <v>2030</v>
      </c>
      <c r="E1028" t="s">
        <v>123</v>
      </c>
      <c r="F1028" t="s">
        <v>199</v>
      </c>
      <c r="G1028">
        <v>125</v>
      </c>
      <c r="I1028">
        <f t="shared" si="84"/>
        <v>0</v>
      </c>
      <c r="J1028">
        <f t="shared" si="84"/>
        <v>0</v>
      </c>
      <c r="K1028">
        <f t="shared" si="84"/>
        <v>0</v>
      </c>
      <c r="M1028" t="str" cm="1">
        <f t="array" ref="M1028">IFERROR(INDEX($I$2:$K$2,0,MATCH(TRUE,I1028:K1028,0)),E1028)</f>
        <v>CCGT</v>
      </c>
      <c r="O1028" t="str">
        <f t="shared" ref="O1028:O1091" si="85">M1028&amp;"_"&amp;D1028</f>
        <v>CCGT_2030</v>
      </c>
      <c r="P1028">
        <f t="shared" ref="P1028:P1091" si="86">G1028</f>
        <v>125</v>
      </c>
    </row>
    <row r="1029" spans="4:16" x14ac:dyDescent="0.25">
      <c r="D1029">
        <v>2031</v>
      </c>
      <c r="E1029" t="s">
        <v>123</v>
      </c>
      <c r="F1029" t="s">
        <v>199</v>
      </c>
      <c r="G1029">
        <v>125</v>
      </c>
      <c r="I1029">
        <f t="shared" si="84"/>
        <v>0</v>
      </c>
      <c r="J1029">
        <f t="shared" si="84"/>
        <v>0</v>
      </c>
      <c r="K1029">
        <f t="shared" si="84"/>
        <v>0</v>
      </c>
      <c r="M1029" t="str" cm="1">
        <f t="array" ref="M1029">IFERROR(INDEX($I$2:$K$2,0,MATCH(TRUE,I1029:K1029,0)),E1029)</f>
        <v>CCGT</v>
      </c>
      <c r="O1029" t="str">
        <f t="shared" si="85"/>
        <v>CCGT_2031</v>
      </c>
      <c r="P1029">
        <f t="shared" si="86"/>
        <v>125</v>
      </c>
    </row>
    <row r="1030" spans="4:16" x14ac:dyDescent="0.25">
      <c r="D1030">
        <v>2032</v>
      </c>
      <c r="E1030" t="s">
        <v>123</v>
      </c>
      <c r="F1030" t="s">
        <v>199</v>
      </c>
      <c r="G1030">
        <v>125</v>
      </c>
      <c r="I1030">
        <f t="shared" si="84"/>
        <v>0</v>
      </c>
      <c r="J1030">
        <f t="shared" si="84"/>
        <v>0</v>
      </c>
      <c r="K1030">
        <f t="shared" si="84"/>
        <v>0</v>
      </c>
      <c r="M1030" t="str" cm="1">
        <f t="array" ref="M1030">IFERROR(INDEX($I$2:$K$2,0,MATCH(TRUE,I1030:K1030,0)),E1030)</f>
        <v>CCGT</v>
      </c>
      <c r="O1030" t="str">
        <f t="shared" si="85"/>
        <v>CCGT_2032</v>
      </c>
      <c r="P1030">
        <f t="shared" si="86"/>
        <v>125</v>
      </c>
    </row>
    <row r="1031" spans="4:16" x14ac:dyDescent="0.25">
      <c r="D1031">
        <v>2033</v>
      </c>
      <c r="E1031" t="s">
        <v>123</v>
      </c>
      <c r="F1031" t="s">
        <v>199</v>
      </c>
      <c r="G1031">
        <v>125</v>
      </c>
      <c r="I1031">
        <f t="shared" si="84"/>
        <v>0</v>
      </c>
      <c r="J1031">
        <f t="shared" si="84"/>
        <v>0</v>
      </c>
      <c r="K1031">
        <f t="shared" si="84"/>
        <v>0</v>
      </c>
      <c r="M1031" t="str" cm="1">
        <f t="array" ref="M1031">IFERROR(INDEX($I$2:$K$2,0,MATCH(TRUE,I1031:K1031,0)),E1031)</f>
        <v>CCGT</v>
      </c>
      <c r="O1031" t="str">
        <f t="shared" si="85"/>
        <v>CCGT_2033</v>
      </c>
      <c r="P1031">
        <f t="shared" si="86"/>
        <v>125</v>
      </c>
    </row>
    <row r="1032" spans="4:16" x14ac:dyDescent="0.25">
      <c r="D1032">
        <v>2034</v>
      </c>
      <c r="E1032" t="s">
        <v>123</v>
      </c>
      <c r="F1032" t="s">
        <v>199</v>
      </c>
      <c r="G1032">
        <v>125</v>
      </c>
      <c r="I1032">
        <f t="shared" si="84"/>
        <v>0</v>
      </c>
      <c r="J1032">
        <f t="shared" si="84"/>
        <v>0</v>
      </c>
      <c r="K1032">
        <f t="shared" si="84"/>
        <v>0</v>
      </c>
      <c r="M1032" t="str" cm="1">
        <f t="array" ref="M1032">IFERROR(INDEX($I$2:$K$2,0,MATCH(TRUE,I1032:K1032,0)),E1032)</f>
        <v>CCGT</v>
      </c>
      <c r="O1032" t="str">
        <f t="shared" si="85"/>
        <v>CCGT_2034</v>
      </c>
      <c r="P1032">
        <f t="shared" si="86"/>
        <v>125</v>
      </c>
    </row>
    <row r="1033" spans="4:16" x14ac:dyDescent="0.25">
      <c r="D1033">
        <v>2035</v>
      </c>
      <c r="E1033" t="s">
        <v>123</v>
      </c>
      <c r="F1033" t="s">
        <v>199</v>
      </c>
      <c r="G1033">
        <v>125</v>
      </c>
      <c r="I1033">
        <f t="shared" si="84"/>
        <v>0</v>
      </c>
      <c r="J1033">
        <f t="shared" si="84"/>
        <v>0</v>
      </c>
      <c r="K1033">
        <f t="shared" si="84"/>
        <v>0</v>
      </c>
      <c r="M1033" t="str" cm="1">
        <f t="array" ref="M1033">IFERROR(INDEX($I$2:$K$2,0,MATCH(TRUE,I1033:K1033,0)),E1033)</f>
        <v>CCGT</v>
      </c>
      <c r="O1033" t="str">
        <f t="shared" si="85"/>
        <v>CCGT_2035</v>
      </c>
      <c r="P1033">
        <f t="shared" si="86"/>
        <v>125</v>
      </c>
    </row>
    <row r="1034" spans="4:16" x14ac:dyDescent="0.25">
      <c r="D1034">
        <v>2036</v>
      </c>
      <c r="E1034" t="s">
        <v>123</v>
      </c>
      <c r="F1034" t="s">
        <v>199</v>
      </c>
      <c r="G1034">
        <v>125</v>
      </c>
      <c r="I1034">
        <f t="shared" si="84"/>
        <v>0</v>
      </c>
      <c r="J1034">
        <f t="shared" si="84"/>
        <v>0</v>
      </c>
      <c r="K1034">
        <f t="shared" si="84"/>
        <v>0</v>
      </c>
      <c r="M1034" t="str" cm="1">
        <f t="array" ref="M1034">IFERROR(INDEX($I$2:$K$2,0,MATCH(TRUE,I1034:K1034,0)),E1034)</f>
        <v>CCGT</v>
      </c>
      <c r="O1034" t="str">
        <f t="shared" si="85"/>
        <v>CCGT_2036</v>
      </c>
      <c r="P1034">
        <f t="shared" si="86"/>
        <v>125</v>
      </c>
    </row>
    <row r="1035" spans="4:16" x14ac:dyDescent="0.25">
      <c r="D1035">
        <v>2037</v>
      </c>
      <c r="E1035" t="s">
        <v>123</v>
      </c>
      <c r="F1035" t="s">
        <v>199</v>
      </c>
      <c r="G1035">
        <v>125</v>
      </c>
      <c r="I1035">
        <f t="shared" si="84"/>
        <v>0</v>
      </c>
      <c r="J1035">
        <f t="shared" si="84"/>
        <v>0</v>
      </c>
      <c r="K1035">
        <f t="shared" si="84"/>
        <v>0</v>
      </c>
      <c r="M1035" t="str" cm="1">
        <f t="array" ref="M1035">IFERROR(INDEX($I$2:$K$2,0,MATCH(TRUE,I1035:K1035,0)),E1035)</f>
        <v>CCGT</v>
      </c>
      <c r="O1035" t="str">
        <f t="shared" si="85"/>
        <v>CCGT_2037</v>
      </c>
      <c r="P1035">
        <f t="shared" si="86"/>
        <v>125</v>
      </c>
    </row>
    <row r="1036" spans="4:16" x14ac:dyDescent="0.25">
      <c r="D1036">
        <v>2038</v>
      </c>
      <c r="E1036" t="s">
        <v>123</v>
      </c>
      <c r="F1036" t="s">
        <v>199</v>
      </c>
      <c r="G1036">
        <v>125</v>
      </c>
      <c r="I1036">
        <f t="shared" si="84"/>
        <v>0</v>
      </c>
      <c r="J1036">
        <f t="shared" si="84"/>
        <v>0</v>
      </c>
      <c r="K1036">
        <f t="shared" si="84"/>
        <v>0</v>
      </c>
      <c r="M1036" t="str" cm="1">
        <f t="array" ref="M1036">IFERROR(INDEX($I$2:$K$2,0,MATCH(TRUE,I1036:K1036,0)),E1036)</f>
        <v>CCGT</v>
      </c>
      <c r="O1036" t="str">
        <f t="shared" si="85"/>
        <v>CCGT_2038</v>
      </c>
      <c r="P1036">
        <f t="shared" si="86"/>
        <v>125</v>
      </c>
    </row>
    <row r="1037" spans="4:16" x14ac:dyDescent="0.25">
      <c r="D1037">
        <v>2039</v>
      </c>
      <c r="E1037" t="s">
        <v>123</v>
      </c>
      <c r="F1037" t="s">
        <v>199</v>
      </c>
      <c r="G1037">
        <v>125</v>
      </c>
      <c r="I1037">
        <f t="shared" si="84"/>
        <v>0</v>
      </c>
      <c r="J1037">
        <f t="shared" si="84"/>
        <v>0</v>
      </c>
      <c r="K1037">
        <f t="shared" si="84"/>
        <v>0</v>
      </c>
      <c r="M1037" t="str" cm="1">
        <f t="array" ref="M1037">IFERROR(INDEX($I$2:$K$2,0,MATCH(TRUE,I1037:K1037,0)),E1037)</f>
        <v>CCGT</v>
      </c>
      <c r="O1037" t="str">
        <f t="shared" si="85"/>
        <v>CCGT_2039</v>
      </c>
      <c r="P1037">
        <f t="shared" si="86"/>
        <v>125</v>
      </c>
    </row>
    <row r="1038" spans="4:16" x14ac:dyDescent="0.25">
      <c r="D1038">
        <v>2040</v>
      </c>
      <c r="E1038" t="s">
        <v>123</v>
      </c>
      <c r="F1038" t="s">
        <v>199</v>
      </c>
      <c r="G1038">
        <v>125</v>
      </c>
      <c r="I1038">
        <f t="shared" si="84"/>
        <v>0</v>
      </c>
      <c r="J1038">
        <f t="shared" si="84"/>
        <v>0</v>
      </c>
      <c r="K1038">
        <f t="shared" si="84"/>
        <v>0</v>
      </c>
      <c r="M1038" t="str" cm="1">
        <f t="array" ref="M1038">IFERROR(INDEX($I$2:$K$2,0,MATCH(TRUE,I1038:K1038,0)),E1038)</f>
        <v>CCGT</v>
      </c>
      <c r="O1038" t="str">
        <f t="shared" si="85"/>
        <v>CCGT_2040</v>
      </c>
      <c r="P1038">
        <f t="shared" si="86"/>
        <v>125</v>
      </c>
    </row>
    <row r="1039" spans="4:16" x14ac:dyDescent="0.25">
      <c r="D1039">
        <v>2021</v>
      </c>
      <c r="E1039" t="s">
        <v>123</v>
      </c>
      <c r="F1039" t="s">
        <v>200</v>
      </c>
      <c r="G1039">
        <v>37</v>
      </c>
      <c r="I1039">
        <f t="shared" si="84"/>
        <v>0</v>
      </c>
      <c r="J1039">
        <f t="shared" si="84"/>
        <v>0</v>
      </c>
      <c r="K1039">
        <f t="shared" si="84"/>
        <v>0</v>
      </c>
      <c r="M1039" t="str" cm="1">
        <f t="array" ref="M1039">IFERROR(INDEX($I$2:$K$2,0,MATCH(TRUE,I1039:K1039,0)),E1039)</f>
        <v>CCGT</v>
      </c>
      <c r="O1039" t="str">
        <f t="shared" si="85"/>
        <v>CCGT_2021</v>
      </c>
      <c r="P1039">
        <f t="shared" si="86"/>
        <v>37</v>
      </c>
    </row>
    <row r="1040" spans="4:16" x14ac:dyDescent="0.25">
      <c r="D1040">
        <v>2022</v>
      </c>
      <c r="E1040" t="s">
        <v>123</v>
      </c>
      <c r="F1040" t="s">
        <v>200</v>
      </c>
      <c r="G1040">
        <v>37</v>
      </c>
      <c r="I1040">
        <f t="shared" si="84"/>
        <v>0</v>
      </c>
      <c r="J1040">
        <f t="shared" si="84"/>
        <v>0</v>
      </c>
      <c r="K1040">
        <f t="shared" si="84"/>
        <v>0</v>
      </c>
      <c r="M1040" t="str" cm="1">
        <f t="array" ref="M1040">IFERROR(INDEX($I$2:$K$2,0,MATCH(TRUE,I1040:K1040,0)),E1040)</f>
        <v>CCGT</v>
      </c>
      <c r="O1040" t="str">
        <f t="shared" si="85"/>
        <v>CCGT_2022</v>
      </c>
      <c r="P1040">
        <f t="shared" si="86"/>
        <v>37</v>
      </c>
    </row>
    <row r="1041" spans="4:16" x14ac:dyDescent="0.25">
      <c r="D1041">
        <v>2023</v>
      </c>
      <c r="E1041" t="s">
        <v>123</v>
      </c>
      <c r="F1041" t="s">
        <v>200</v>
      </c>
      <c r="G1041">
        <v>37</v>
      </c>
      <c r="I1041">
        <f t="shared" si="84"/>
        <v>0</v>
      </c>
      <c r="J1041">
        <f t="shared" si="84"/>
        <v>0</v>
      </c>
      <c r="K1041">
        <f t="shared" si="84"/>
        <v>0</v>
      </c>
      <c r="M1041" t="str" cm="1">
        <f t="array" ref="M1041">IFERROR(INDEX($I$2:$K$2,0,MATCH(TRUE,I1041:K1041,0)),E1041)</f>
        <v>CCGT</v>
      </c>
      <c r="O1041" t="str">
        <f t="shared" si="85"/>
        <v>CCGT_2023</v>
      </c>
      <c r="P1041">
        <f t="shared" si="86"/>
        <v>37</v>
      </c>
    </row>
    <row r="1042" spans="4:16" x14ac:dyDescent="0.25">
      <c r="D1042">
        <v>2024</v>
      </c>
      <c r="E1042" t="s">
        <v>123</v>
      </c>
      <c r="F1042" t="s">
        <v>200</v>
      </c>
      <c r="G1042">
        <v>37</v>
      </c>
      <c r="I1042">
        <f t="shared" si="84"/>
        <v>0</v>
      </c>
      <c r="J1042">
        <f t="shared" si="84"/>
        <v>0</v>
      </c>
      <c r="K1042">
        <f t="shared" si="84"/>
        <v>0</v>
      </c>
      <c r="M1042" t="str" cm="1">
        <f t="array" ref="M1042">IFERROR(INDEX($I$2:$K$2,0,MATCH(TRUE,I1042:K1042,0)),E1042)</f>
        <v>CCGT</v>
      </c>
      <c r="O1042" t="str">
        <f t="shared" si="85"/>
        <v>CCGT_2024</v>
      </c>
      <c r="P1042">
        <f t="shared" si="86"/>
        <v>37</v>
      </c>
    </row>
    <row r="1043" spans="4:16" x14ac:dyDescent="0.25">
      <c r="D1043">
        <v>2025</v>
      </c>
      <c r="E1043" t="s">
        <v>123</v>
      </c>
      <c r="F1043" t="s">
        <v>200</v>
      </c>
      <c r="G1043">
        <v>37</v>
      </c>
      <c r="I1043">
        <f t="shared" si="84"/>
        <v>0</v>
      </c>
      <c r="J1043">
        <f t="shared" si="84"/>
        <v>0</v>
      </c>
      <c r="K1043">
        <f t="shared" si="84"/>
        <v>0</v>
      </c>
      <c r="M1043" t="str" cm="1">
        <f t="array" ref="M1043">IFERROR(INDEX($I$2:$K$2,0,MATCH(TRUE,I1043:K1043,0)),E1043)</f>
        <v>CCGT</v>
      </c>
      <c r="O1043" t="str">
        <f t="shared" si="85"/>
        <v>CCGT_2025</v>
      </c>
      <c r="P1043">
        <f t="shared" si="86"/>
        <v>37</v>
      </c>
    </row>
    <row r="1044" spans="4:16" x14ac:dyDescent="0.25">
      <c r="D1044">
        <v>2026</v>
      </c>
      <c r="E1044" t="s">
        <v>123</v>
      </c>
      <c r="F1044" t="s">
        <v>200</v>
      </c>
      <c r="G1044">
        <v>37</v>
      </c>
      <c r="I1044">
        <f t="shared" ref="I1044:K1063" si="87">IFERROR(FIND(I$2,$E1044,1)&gt;0,0)</f>
        <v>0</v>
      </c>
      <c r="J1044">
        <f t="shared" si="87"/>
        <v>0</v>
      </c>
      <c r="K1044">
        <f t="shared" si="87"/>
        <v>0</v>
      </c>
      <c r="M1044" t="str" cm="1">
        <f t="array" ref="M1044">IFERROR(INDEX($I$2:$K$2,0,MATCH(TRUE,I1044:K1044,0)),E1044)</f>
        <v>CCGT</v>
      </c>
      <c r="O1044" t="str">
        <f t="shared" si="85"/>
        <v>CCGT_2026</v>
      </c>
      <c r="P1044">
        <f t="shared" si="86"/>
        <v>37</v>
      </c>
    </row>
    <row r="1045" spans="4:16" x14ac:dyDescent="0.25">
      <c r="D1045">
        <v>2027</v>
      </c>
      <c r="E1045" t="s">
        <v>123</v>
      </c>
      <c r="F1045" t="s">
        <v>200</v>
      </c>
      <c r="G1045">
        <v>37</v>
      </c>
      <c r="I1045">
        <f t="shared" si="87"/>
        <v>0</v>
      </c>
      <c r="J1045">
        <f t="shared" si="87"/>
        <v>0</v>
      </c>
      <c r="K1045">
        <f t="shared" si="87"/>
        <v>0</v>
      </c>
      <c r="M1045" t="str" cm="1">
        <f t="array" ref="M1045">IFERROR(INDEX($I$2:$K$2,0,MATCH(TRUE,I1045:K1045,0)),E1045)</f>
        <v>CCGT</v>
      </c>
      <c r="O1045" t="str">
        <f t="shared" si="85"/>
        <v>CCGT_2027</v>
      </c>
      <c r="P1045">
        <f t="shared" si="86"/>
        <v>37</v>
      </c>
    </row>
    <row r="1046" spans="4:16" x14ac:dyDescent="0.25">
      <c r="D1046">
        <v>2028</v>
      </c>
      <c r="E1046" t="s">
        <v>123</v>
      </c>
      <c r="F1046" t="s">
        <v>200</v>
      </c>
      <c r="G1046">
        <v>37</v>
      </c>
      <c r="I1046">
        <f t="shared" si="87"/>
        <v>0</v>
      </c>
      <c r="J1046">
        <f t="shared" si="87"/>
        <v>0</v>
      </c>
      <c r="K1046">
        <f t="shared" si="87"/>
        <v>0</v>
      </c>
      <c r="M1046" t="str" cm="1">
        <f t="array" ref="M1046">IFERROR(INDEX($I$2:$K$2,0,MATCH(TRUE,I1046:K1046,0)),E1046)</f>
        <v>CCGT</v>
      </c>
      <c r="O1046" t="str">
        <f t="shared" si="85"/>
        <v>CCGT_2028</v>
      </c>
      <c r="P1046">
        <f t="shared" si="86"/>
        <v>37</v>
      </c>
    </row>
    <row r="1047" spans="4:16" x14ac:dyDescent="0.25">
      <c r="D1047">
        <v>2029</v>
      </c>
      <c r="E1047" t="s">
        <v>123</v>
      </c>
      <c r="F1047" t="s">
        <v>200</v>
      </c>
      <c r="G1047">
        <v>37</v>
      </c>
      <c r="I1047">
        <f t="shared" si="87"/>
        <v>0</v>
      </c>
      <c r="J1047">
        <f t="shared" si="87"/>
        <v>0</v>
      </c>
      <c r="K1047">
        <f t="shared" si="87"/>
        <v>0</v>
      </c>
      <c r="M1047" t="str" cm="1">
        <f t="array" ref="M1047">IFERROR(INDEX($I$2:$K$2,0,MATCH(TRUE,I1047:K1047,0)),E1047)</f>
        <v>CCGT</v>
      </c>
      <c r="O1047" t="str">
        <f t="shared" si="85"/>
        <v>CCGT_2029</v>
      </c>
      <c r="P1047">
        <f t="shared" si="86"/>
        <v>37</v>
      </c>
    </row>
    <row r="1048" spans="4:16" x14ac:dyDescent="0.25">
      <c r="D1048">
        <v>2030</v>
      </c>
      <c r="E1048" t="s">
        <v>123</v>
      </c>
      <c r="F1048" t="s">
        <v>200</v>
      </c>
      <c r="G1048">
        <v>37</v>
      </c>
      <c r="I1048">
        <f t="shared" si="87"/>
        <v>0</v>
      </c>
      <c r="J1048">
        <f t="shared" si="87"/>
        <v>0</v>
      </c>
      <c r="K1048">
        <f t="shared" si="87"/>
        <v>0</v>
      </c>
      <c r="M1048" t="str" cm="1">
        <f t="array" ref="M1048">IFERROR(INDEX($I$2:$K$2,0,MATCH(TRUE,I1048:K1048,0)),E1048)</f>
        <v>CCGT</v>
      </c>
      <c r="O1048" t="str">
        <f t="shared" si="85"/>
        <v>CCGT_2030</v>
      </c>
      <c r="P1048">
        <f t="shared" si="86"/>
        <v>37</v>
      </c>
    </row>
    <row r="1049" spans="4:16" x14ac:dyDescent="0.25">
      <c r="D1049">
        <v>2031</v>
      </c>
      <c r="E1049" t="s">
        <v>123</v>
      </c>
      <c r="F1049" t="s">
        <v>200</v>
      </c>
      <c r="G1049">
        <v>37</v>
      </c>
      <c r="I1049">
        <f t="shared" si="87"/>
        <v>0</v>
      </c>
      <c r="J1049">
        <f t="shared" si="87"/>
        <v>0</v>
      </c>
      <c r="K1049">
        <f t="shared" si="87"/>
        <v>0</v>
      </c>
      <c r="M1049" t="str" cm="1">
        <f t="array" ref="M1049">IFERROR(INDEX($I$2:$K$2,0,MATCH(TRUE,I1049:K1049,0)),E1049)</f>
        <v>CCGT</v>
      </c>
      <c r="O1049" t="str">
        <f t="shared" si="85"/>
        <v>CCGT_2031</v>
      </c>
      <c r="P1049">
        <f t="shared" si="86"/>
        <v>37</v>
      </c>
    </row>
    <row r="1050" spans="4:16" x14ac:dyDescent="0.25">
      <c r="D1050">
        <v>2032</v>
      </c>
      <c r="E1050" t="s">
        <v>123</v>
      </c>
      <c r="F1050" t="s">
        <v>200</v>
      </c>
      <c r="G1050">
        <v>37</v>
      </c>
      <c r="I1050">
        <f t="shared" si="87"/>
        <v>0</v>
      </c>
      <c r="J1050">
        <f t="shared" si="87"/>
        <v>0</v>
      </c>
      <c r="K1050">
        <f t="shared" si="87"/>
        <v>0</v>
      </c>
      <c r="M1050" t="str" cm="1">
        <f t="array" ref="M1050">IFERROR(INDEX($I$2:$K$2,0,MATCH(TRUE,I1050:K1050,0)),E1050)</f>
        <v>CCGT</v>
      </c>
      <c r="O1050" t="str">
        <f t="shared" si="85"/>
        <v>CCGT_2032</v>
      </c>
      <c r="P1050">
        <f t="shared" si="86"/>
        <v>37</v>
      </c>
    </row>
    <row r="1051" spans="4:16" x14ac:dyDescent="0.25">
      <c r="D1051">
        <v>2033</v>
      </c>
      <c r="E1051" t="s">
        <v>123</v>
      </c>
      <c r="F1051" t="s">
        <v>200</v>
      </c>
      <c r="G1051">
        <v>37</v>
      </c>
      <c r="I1051">
        <f t="shared" si="87"/>
        <v>0</v>
      </c>
      <c r="J1051">
        <f t="shared" si="87"/>
        <v>0</v>
      </c>
      <c r="K1051">
        <f t="shared" si="87"/>
        <v>0</v>
      </c>
      <c r="M1051" t="str" cm="1">
        <f t="array" ref="M1051">IFERROR(INDEX($I$2:$K$2,0,MATCH(TRUE,I1051:K1051,0)),E1051)</f>
        <v>CCGT</v>
      </c>
      <c r="O1051" t="str">
        <f t="shared" si="85"/>
        <v>CCGT_2033</v>
      </c>
      <c r="P1051">
        <f t="shared" si="86"/>
        <v>37</v>
      </c>
    </row>
    <row r="1052" spans="4:16" x14ac:dyDescent="0.25">
      <c r="D1052">
        <v>2034</v>
      </c>
      <c r="E1052" t="s">
        <v>123</v>
      </c>
      <c r="F1052" t="s">
        <v>200</v>
      </c>
      <c r="G1052">
        <v>37</v>
      </c>
      <c r="I1052">
        <f t="shared" si="87"/>
        <v>0</v>
      </c>
      <c r="J1052">
        <f t="shared" si="87"/>
        <v>0</v>
      </c>
      <c r="K1052">
        <f t="shared" si="87"/>
        <v>0</v>
      </c>
      <c r="M1052" t="str" cm="1">
        <f t="array" ref="M1052">IFERROR(INDEX($I$2:$K$2,0,MATCH(TRUE,I1052:K1052,0)),E1052)</f>
        <v>CCGT</v>
      </c>
      <c r="O1052" t="str">
        <f t="shared" si="85"/>
        <v>CCGT_2034</v>
      </c>
      <c r="P1052">
        <f t="shared" si="86"/>
        <v>37</v>
      </c>
    </row>
    <row r="1053" spans="4:16" x14ac:dyDescent="0.25">
      <c r="D1053">
        <v>2035</v>
      </c>
      <c r="E1053" t="s">
        <v>123</v>
      </c>
      <c r="F1053" t="s">
        <v>200</v>
      </c>
      <c r="G1053">
        <v>37</v>
      </c>
      <c r="I1053">
        <f t="shared" si="87"/>
        <v>0</v>
      </c>
      <c r="J1053">
        <f t="shared" si="87"/>
        <v>0</v>
      </c>
      <c r="K1053">
        <f t="shared" si="87"/>
        <v>0</v>
      </c>
      <c r="M1053" t="str" cm="1">
        <f t="array" ref="M1053">IFERROR(INDEX($I$2:$K$2,0,MATCH(TRUE,I1053:K1053,0)),E1053)</f>
        <v>CCGT</v>
      </c>
      <c r="O1053" t="str">
        <f t="shared" si="85"/>
        <v>CCGT_2035</v>
      </c>
      <c r="P1053">
        <f t="shared" si="86"/>
        <v>37</v>
      </c>
    </row>
    <row r="1054" spans="4:16" x14ac:dyDescent="0.25">
      <c r="D1054">
        <v>2036</v>
      </c>
      <c r="E1054" t="s">
        <v>123</v>
      </c>
      <c r="F1054" t="s">
        <v>200</v>
      </c>
      <c r="G1054">
        <v>37</v>
      </c>
      <c r="I1054">
        <f t="shared" si="87"/>
        <v>0</v>
      </c>
      <c r="J1054">
        <f t="shared" si="87"/>
        <v>0</v>
      </c>
      <c r="K1054">
        <f t="shared" si="87"/>
        <v>0</v>
      </c>
      <c r="M1054" t="str" cm="1">
        <f t="array" ref="M1054">IFERROR(INDEX($I$2:$K$2,0,MATCH(TRUE,I1054:K1054,0)),E1054)</f>
        <v>CCGT</v>
      </c>
      <c r="O1054" t="str">
        <f t="shared" si="85"/>
        <v>CCGT_2036</v>
      </c>
      <c r="P1054">
        <f t="shared" si="86"/>
        <v>37</v>
      </c>
    </row>
    <row r="1055" spans="4:16" x14ac:dyDescent="0.25">
      <c r="D1055">
        <v>2037</v>
      </c>
      <c r="E1055" t="s">
        <v>123</v>
      </c>
      <c r="F1055" t="s">
        <v>200</v>
      </c>
      <c r="G1055">
        <v>37</v>
      </c>
      <c r="I1055">
        <f t="shared" si="87"/>
        <v>0</v>
      </c>
      <c r="J1055">
        <f t="shared" si="87"/>
        <v>0</v>
      </c>
      <c r="K1055">
        <f t="shared" si="87"/>
        <v>0</v>
      </c>
      <c r="M1055" t="str" cm="1">
        <f t="array" ref="M1055">IFERROR(INDEX($I$2:$K$2,0,MATCH(TRUE,I1055:K1055,0)),E1055)</f>
        <v>CCGT</v>
      </c>
      <c r="O1055" t="str">
        <f t="shared" si="85"/>
        <v>CCGT_2037</v>
      </c>
      <c r="P1055">
        <f t="shared" si="86"/>
        <v>37</v>
      </c>
    </row>
    <row r="1056" spans="4:16" x14ac:dyDescent="0.25">
      <c r="D1056">
        <v>2038</v>
      </c>
      <c r="E1056" t="s">
        <v>123</v>
      </c>
      <c r="F1056" t="s">
        <v>200</v>
      </c>
      <c r="G1056">
        <v>37</v>
      </c>
      <c r="I1056">
        <f t="shared" si="87"/>
        <v>0</v>
      </c>
      <c r="J1056">
        <f t="shared" si="87"/>
        <v>0</v>
      </c>
      <c r="K1056">
        <f t="shared" si="87"/>
        <v>0</v>
      </c>
      <c r="M1056" t="str" cm="1">
        <f t="array" ref="M1056">IFERROR(INDEX($I$2:$K$2,0,MATCH(TRUE,I1056:K1056,0)),E1056)</f>
        <v>CCGT</v>
      </c>
      <c r="O1056" t="str">
        <f t="shared" si="85"/>
        <v>CCGT_2038</v>
      </c>
      <c r="P1056">
        <f t="shared" si="86"/>
        <v>37</v>
      </c>
    </row>
    <row r="1057" spans="4:16" x14ac:dyDescent="0.25">
      <c r="D1057">
        <v>2021</v>
      </c>
      <c r="E1057" t="s">
        <v>123</v>
      </c>
      <c r="F1057" t="s">
        <v>201</v>
      </c>
      <c r="G1057">
        <v>75</v>
      </c>
      <c r="I1057">
        <f t="shared" si="87"/>
        <v>0</v>
      </c>
      <c r="J1057">
        <f t="shared" si="87"/>
        <v>0</v>
      </c>
      <c r="K1057">
        <f t="shared" si="87"/>
        <v>0</v>
      </c>
      <c r="M1057" t="str" cm="1">
        <f t="array" ref="M1057">IFERROR(INDEX($I$2:$K$2,0,MATCH(TRUE,I1057:K1057,0)),E1057)</f>
        <v>CCGT</v>
      </c>
      <c r="O1057" t="str">
        <f t="shared" si="85"/>
        <v>CCGT_2021</v>
      </c>
      <c r="P1057">
        <f t="shared" si="86"/>
        <v>75</v>
      </c>
    </row>
    <row r="1058" spans="4:16" x14ac:dyDescent="0.25">
      <c r="D1058">
        <v>2022</v>
      </c>
      <c r="E1058" t="s">
        <v>123</v>
      </c>
      <c r="F1058" t="s">
        <v>201</v>
      </c>
      <c r="G1058">
        <v>75</v>
      </c>
      <c r="I1058">
        <f t="shared" si="87"/>
        <v>0</v>
      </c>
      <c r="J1058">
        <f t="shared" si="87"/>
        <v>0</v>
      </c>
      <c r="K1058">
        <f t="shared" si="87"/>
        <v>0</v>
      </c>
      <c r="M1058" t="str" cm="1">
        <f t="array" ref="M1058">IFERROR(INDEX($I$2:$K$2,0,MATCH(TRUE,I1058:K1058,0)),E1058)</f>
        <v>CCGT</v>
      </c>
      <c r="O1058" t="str">
        <f t="shared" si="85"/>
        <v>CCGT_2022</v>
      </c>
      <c r="P1058">
        <f t="shared" si="86"/>
        <v>75</v>
      </c>
    </row>
    <row r="1059" spans="4:16" x14ac:dyDescent="0.25">
      <c r="D1059">
        <v>2023</v>
      </c>
      <c r="E1059" t="s">
        <v>123</v>
      </c>
      <c r="F1059" t="s">
        <v>201</v>
      </c>
      <c r="G1059">
        <v>75</v>
      </c>
      <c r="I1059">
        <f t="shared" si="87"/>
        <v>0</v>
      </c>
      <c r="J1059">
        <f t="shared" si="87"/>
        <v>0</v>
      </c>
      <c r="K1059">
        <f t="shared" si="87"/>
        <v>0</v>
      </c>
      <c r="M1059" t="str" cm="1">
        <f t="array" ref="M1059">IFERROR(INDEX($I$2:$K$2,0,MATCH(TRUE,I1059:K1059,0)),E1059)</f>
        <v>CCGT</v>
      </c>
      <c r="O1059" t="str">
        <f t="shared" si="85"/>
        <v>CCGT_2023</v>
      </c>
      <c r="P1059">
        <f t="shared" si="86"/>
        <v>75</v>
      </c>
    </row>
    <row r="1060" spans="4:16" x14ac:dyDescent="0.25">
      <c r="D1060">
        <v>2024</v>
      </c>
      <c r="E1060" t="s">
        <v>123</v>
      </c>
      <c r="F1060" t="s">
        <v>201</v>
      </c>
      <c r="G1060">
        <v>75</v>
      </c>
      <c r="I1060">
        <f t="shared" si="87"/>
        <v>0</v>
      </c>
      <c r="J1060">
        <f t="shared" si="87"/>
        <v>0</v>
      </c>
      <c r="K1060">
        <f t="shared" si="87"/>
        <v>0</v>
      </c>
      <c r="M1060" t="str" cm="1">
        <f t="array" ref="M1060">IFERROR(INDEX($I$2:$K$2,0,MATCH(TRUE,I1060:K1060,0)),E1060)</f>
        <v>CCGT</v>
      </c>
      <c r="O1060" t="str">
        <f t="shared" si="85"/>
        <v>CCGT_2024</v>
      </c>
      <c r="P1060">
        <f t="shared" si="86"/>
        <v>75</v>
      </c>
    </row>
    <row r="1061" spans="4:16" x14ac:dyDescent="0.25">
      <c r="D1061">
        <v>2025</v>
      </c>
      <c r="E1061" t="s">
        <v>123</v>
      </c>
      <c r="F1061" t="s">
        <v>201</v>
      </c>
      <c r="G1061">
        <v>75</v>
      </c>
      <c r="I1061">
        <f t="shared" si="87"/>
        <v>0</v>
      </c>
      <c r="J1061">
        <f t="shared" si="87"/>
        <v>0</v>
      </c>
      <c r="K1061">
        <f t="shared" si="87"/>
        <v>0</v>
      </c>
      <c r="M1061" t="str" cm="1">
        <f t="array" ref="M1061">IFERROR(INDEX($I$2:$K$2,0,MATCH(TRUE,I1061:K1061,0)),E1061)</f>
        <v>CCGT</v>
      </c>
      <c r="O1061" t="str">
        <f t="shared" si="85"/>
        <v>CCGT_2025</v>
      </c>
      <c r="P1061">
        <f t="shared" si="86"/>
        <v>75</v>
      </c>
    </row>
    <row r="1062" spans="4:16" x14ac:dyDescent="0.25">
      <c r="D1062">
        <v>2026</v>
      </c>
      <c r="E1062" t="s">
        <v>123</v>
      </c>
      <c r="F1062" t="s">
        <v>201</v>
      </c>
      <c r="G1062">
        <v>75</v>
      </c>
      <c r="I1062">
        <f t="shared" si="87"/>
        <v>0</v>
      </c>
      <c r="J1062">
        <f t="shared" si="87"/>
        <v>0</v>
      </c>
      <c r="K1062">
        <f t="shared" si="87"/>
        <v>0</v>
      </c>
      <c r="M1062" t="str" cm="1">
        <f t="array" ref="M1062">IFERROR(INDEX($I$2:$K$2,0,MATCH(TRUE,I1062:K1062,0)),E1062)</f>
        <v>CCGT</v>
      </c>
      <c r="O1062" t="str">
        <f t="shared" si="85"/>
        <v>CCGT_2026</v>
      </c>
      <c r="P1062">
        <f t="shared" si="86"/>
        <v>75</v>
      </c>
    </row>
    <row r="1063" spans="4:16" x14ac:dyDescent="0.25">
      <c r="D1063">
        <v>2027</v>
      </c>
      <c r="E1063" t="s">
        <v>123</v>
      </c>
      <c r="F1063" t="s">
        <v>201</v>
      </c>
      <c r="G1063">
        <v>75</v>
      </c>
      <c r="I1063">
        <f t="shared" si="87"/>
        <v>0</v>
      </c>
      <c r="J1063">
        <f t="shared" si="87"/>
        <v>0</v>
      </c>
      <c r="K1063">
        <f t="shared" si="87"/>
        <v>0</v>
      </c>
      <c r="M1063" t="str" cm="1">
        <f t="array" ref="M1063">IFERROR(INDEX($I$2:$K$2,0,MATCH(TRUE,I1063:K1063,0)),E1063)</f>
        <v>CCGT</v>
      </c>
      <c r="O1063" t="str">
        <f t="shared" si="85"/>
        <v>CCGT_2027</v>
      </c>
      <c r="P1063">
        <f t="shared" si="86"/>
        <v>75</v>
      </c>
    </row>
    <row r="1064" spans="4:16" x14ac:dyDescent="0.25">
      <c r="D1064">
        <v>2028</v>
      </c>
      <c r="E1064" t="s">
        <v>123</v>
      </c>
      <c r="F1064" t="s">
        <v>201</v>
      </c>
      <c r="G1064">
        <v>75</v>
      </c>
      <c r="I1064">
        <f t="shared" ref="I1064:K1083" si="88">IFERROR(FIND(I$2,$E1064,1)&gt;0,0)</f>
        <v>0</v>
      </c>
      <c r="J1064">
        <f t="shared" si="88"/>
        <v>0</v>
      </c>
      <c r="K1064">
        <f t="shared" si="88"/>
        <v>0</v>
      </c>
      <c r="M1064" t="str" cm="1">
        <f t="array" ref="M1064">IFERROR(INDEX($I$2:$K$2,0,MATCH(TRUE,I1064:K1064,0)),E1064)</f>
        <v>CCGT</v>
      </c>
      <c r="O1064" t="str">
        <f t="shared" si="85"/>
        <v>CCGT_2028</v>
      </c>
      <c r="P1064">
        <f t="shared" si="86"/>
        <v>75</v>
      </c>
    </row>
    <row r="1065" spans="4:16" x14ac:dyDescent="0.25">
      <c r="D1065">
        <v>2029</v>
      </c>
      <c r="E1065" t="s">
        <v>123</v>
      </c>
      <c r="F1065" t="s">
        <v>201</v>
      </c>
      <c r="G1065">
        <v>75</v>
      </c>
      <c r="I1065">
        <f t="shared" si="88"/>
        <v>0</v>
      </c>
      <c r="J1065">
        <f t="shared" si="88"/>
        <v>0</v>
      </c>
      <c r="K1065">
        <f t="shared" si="88"/>
        <v>0</v>
      </c>
      <c r="M1065" t="str" cm="1">
        <f t="array" ref="M1065">IFERROR(INDEX($I$2:$K$2,0,MATCH(TRUE,I1065:K1065,0)),E1065)</f>
        <v>CCGT</v>
      </c>
      <c r="O1065" t="str">
        <f t="shared" si="85"/>
        <v>CCGT_2029</v>
      </c>
      <c r="P1065">
        <f t="shared" si="86"/>
        <v>75</v>
      </c>
    </row>
    <row r="1066" spans="4:16" x14ac:dyDescent="0.25">
      <c r="D1066">
        <v>2030</v>
      </c>
      <c r="E1066" t="s">
        <v>123</v>
      </c>
      <c r="F1066" t="s">
        <v>201</v>
      </c>
      <c r="G1066">
        <v>75</v>
      </c>
      <c r="I1066">
        <f t="shared" si="88"/>
        <v>0</v>
      </c>
      <c r="J1066">
        <f t="shared" si="88"/>
        <v>0</v>
      </c>
      <c r="K1066">
        <f t="shared" si="88"/>
        <v>0</v>
      </c>
      <c r="M1066" t="str" cm="1">
        <f t="array" ref="M1066">IFERROR(INDEX($I$2:$K$2,0,MATCH(TRUE,I1066:K1066,0)),E1066)</f>
        <v>CCGT</v>
      </c>
      <c r="O1066" t="str">
        <f t="shared" si="85"/>
        <v>CCGT_2030</v>
      </c>
      <c r="P1066">
        <f t="shared" si="86"/>
        <v>75</v>
      </c>
    </row>
    <row r="1067" spans="4:16" x14ac:dyDescent="0.25">
      <c r="D1067">
        <v>2031</v>
      </c>
      <c r="E1067" t="s">
        <v>123</v>
      </c>
      <c r="F1067" t="s">
        <v>201</v>
      </c>
      <c r="G1067">
        <v>75</v>
      </c>
      <c r="I1067">
        <f t="shared" si="88"/>
        <v>0</v>
      </c>
      <c r="J1067">
        <f t="shared" si="88"/>
        <v>0</v>
      </c>
      <c r="K1067">
        <f t="shared" si="88"/>
        <v>0</v>
      </c>
      <c r="M1067" t="str" cm="1">
        <f t="array" ref="M1067">IFERROR(INDEX($I$2:$K$2,0,MATCH(TRUE,I1067:K1067,0)),E1067)</f>
        <v>CCGT</v>
      </c>
      <c r="O1067" t="str">
        <f t="shared" si="85"/>
        <v>CCGT_2031</v>
      </c>
      <c r="P1067">
        <f t="shared" si="86"/>
        <v>75</v>
      </c>
    </row>
    <row r="1068" spans="4:16" x14ac:dyDescent="0.25">
      <c r="D1068">
        <v>2032</v>
      </c>
      <c r="E1068" t="s">
        <v>123</v>
      </c>
      <c r="F1068" t="s">
        <v>201</v>
      </c>
      <c r="G1068">
        <v>75</v>
      </c>
      <c r="I1068">
        <f t="shared" si="88"/>
        <v>0</v>
      </c>
      <c r="J1068">
        <f t="shared" si="88"/>
        <v>0</v>
      </c>
      <c r="K1068">
        <f t="shared" si="88"/>
        <v>0</v>
      </c>
      <c r="M1068" t="str" cm="1">
        <f t="array" ref="M1068">IFERROR(INDEX($I$2:$K$2,0,MATCH(TRUE,I1068:K1068,0)),E1068)</f>
        <v>CCGT</v>
      </c>
      <c r="O1068" t="str">
        <f t="shared" si="85"/>
        <v>CCGT_2032</v>
      </c>
      <c r="P1068">
        <f t="shared" si="86"/>
        <v>75</v>
      </c>
    </row>
    <row r="1069" spans="4:16" x14ac:dyDescent="0.25">
      <c r="D1069">
        <v>2033</v>
      </c>
      <c r="E1069" t="s">
        <v>123</v>
      </c>
      <c r="F1069" t="s">
        <v>201</v>
      </c>
      <c r="G1069">
        <v>75</v>
      </c>
      <c r="I1069">
        <f t="shared" si="88"/>
        <v>0</v>
      </c>
      <c r="J1069">
        <f t="shared" si="88"/>
        <v>0</v>
      </c>
      <c r="K1069">
        <f t="shared" si="88"/>
        <v>0</v>
      </c>
      <c r="M1069" t="str" cm="1">
        <f t="array" ref="M1069">IFERROR(INDEX($I$2:$K$2,0,MATCH(TRUE,I1069:K1069,0)),E1069)</f>
        <v>CCGT</v>
      </c>
      <c r="O1069" t="str">
        <f t="shared" si="85"/>
        <v>CCGT_2033</v>
      </c>
      <c r="P1069">
        <f t="shared" si="86"/>
        <v>75</v>
      </c>
    </row>
    <row r="1070" spans="4:16" x14ac:dyDescent="0.25">
      <c r="D1070">
        <v>2034</v>
      </c>
      <c r="E1070" t="s">
        <v>123</v>
      </c>
      <c r="F1070" t="s">
        <v>201</v>
      </c>
      <c r="G1070">
        <v>75</v>
      </c>
      <c r="I1070">
        <f t="shared" si="88"/>
        <v>0</v>
      </c>
      <c r="J1070">
        <f t="shared" si="88"/>
        <v>0</v>
      </c>
      <c r="K1070">
        <f t="shared" si="88"/>
        <v>0</v>
      </c>
      <c r="M1070" t="str" cm="1">
        <f t="array" ref="M1070">IFERROR(INDEX($I$2:$K$2,0,MATCH(TRUE,I1070:K1070,0)),E1070)</f>
        <v>CCGT</v>
      </c>
      <c r="O1070" t="str">
        <f t="shared" si="85"/>
        <v>CCGT_2034</v>
      </c>
      <c r="P1070">
        <f t="shared" si="86"/>
        <v>75</v>
      </c>
    </row>
    <row r="1071" spans="4:16" x14ac:dyDescent="0.25">
      <c r="D1071">
        <v>2035</v>
      </c>
      <c r="E1071" t="s">
        <v>123</v>
      </c>
      <c r="F1071" t="s">
        <v>201</v>
      </c>
      <c r="G1071">
        <v>75</v>
      </c>
      <c r="I1071">
        <f t="shared" si="88"/>
        <v>0</v>
      </c>
      <c r="J1071">
        <f t="shared" si="88"/>
        <v>0</v>
      </c>
      <c r="K1071">
        <f t="shared" si="88"/>
        <v>0</v>
      </c>
      <c r="M1071" t="str" cm="1">
        <f t="array" ref="M1071">IFERROR(INDEX($I$2:$K$2,0,MATCH(TRUE,I1071:K1071,0)),E1071)</f>
        <v>CCGT</v>
      </c>
      <c r="O1071" t="str">
        <f t="shared" si="85"/>
        <v>CCGT_2035</v>
      </c>
      <c r="P1071">
        <f t="shared" si="86"/>
        <v>75</v>
      </c>
    </row>
    <row r="1072" spans="4:16" x14ac:dyDescent="0.25">
      <c r="D1072">
        <v>2036</v>
      </c>
      <c r="E1072" t="s">
        <v>123</v>
      </c>
      <c r="F1072" t="s">
        <v>201</v>
      </c>
      <c r="G1072">
        <v>75</v>
      </c>
      <c r="I1072">
        <f t="shared" si="88"/>
        <v>0</v>
      </c>
      <c r="J1072">
        <f t="shared" si="88"/>
        <v>0</v>
      </c>
      <c r="K1072">
        <f t="shared" si="88"/>
        <v>0</v>
      </c>
      <c r="M1072" t="str" cm="1">
        <f t="array" ref="M1072">IFERROR(INDEX($I$2:$K$2,0,MATCH(TRUE,I1072:K1072,0)),E1072)</f>
        <v>CCGT</v>
      </c>
      <c r="O1072" t="str">
        <f t="shared" si="85"/>
        <v>CCGT_2036</v>
      </c>
      <c r="P1072">
        <f t="shared" si="86"/>
        <v>75</v>
      </c>
    </row>
    <row r="1073" spans="4:16" x14ac:dyDescent="0.25">
      <c r="D1073">
        <v>2037</v>
      </c>
      <c r="E1073" t="s">
        <v>123</v>
      </c>
      <c r="F1073" t="s">
        <v>201</v>
      </c>
      <c r="G1073">
        <v>75</v>
      </c>
      <c r="I1073">
        <f t="shared" si="88"/>
        <v>0</v>
      </c>
      <c r="J1073">
        <f t="shared" si="88"/>
        <v>0</v>
      </c>
      <c r="K1073">
        <f t="shared" si="88"/>
        <v>0</v>
      </c>
      <c r="M1073" t="str" cm="1">
        <f t="array" ref="M1073">IFERROR(INDEX($I$2:$K$2,0,MATCH(TRUE,I1073:K1073,0)),E1073)</f>
        <v>CCGT</v>
      </c>
      <c r="O1073" t="str">
        <f t="shared" si="85"/>
        <v>CCGT_2037</v>
      </c>
      <c r="P1073">
        <f t="shared" si="86"/>
        <v>75</v>
      </c>
    </row>
    <row r="1074" spans="4:16" x14ac:dyDescent="0.25">
      <c r="D1074">
        <v>2038</v>
      </c>
      <c r="E1074" t="s">
        <v>123</v>
      </c>
      <c r="F1074" t="s">
        <v>201</v>
      </c>
      <c r="G1074">
        <v>75</v>
      </c>
      <c r="I1074">
        <f t="shared" si="88"/>
        <v>0</v>
      </c>
      <c r="J1074">
        <f t="shared" si="88"/>
        <v>0</v>
      </c>
      <c r="K1074">
        <f t="shared" si="88"/>
        <v>0</v>
      </c>
      <c r="M1074" t="str" cm="1">
        <f t="array" ref="M1074">IFERROR(INDEX($I$2:$K$2,0,MATCH(TRUE,I1074:K1074,0)),E1074)</f>
        <v>CCGT</v>
      </c>
      <c r="O1074" t="str">
        <f t="shared" si="85"/>
        <v>CCGT_2038</v>
      </c>
      <c r="P1074">
        <f t="shared" si="86"/>
        <v>75</v>
      </c>
    </row>
    <row r="1075" spans="4:16" x14ac:dyDescent="0.25">
      <c r="D1075">
        <v>2039</v>
      </c>
      <c r="E1075" t="s">
        <v>123</v>
      </c>
      <c r="F1075" t="s">
        <v>201</v>
      </c>
      <c r="G1075">
        <v>75</v>
      </c>
      <c r="I1075">
        <f t="shared" si="88"/>
        <v>0</v>
      </c>
      <c r="J1075">
        <f t="shared" si="88"/>
        <v>0</v>
      </c>
      <c r="K1075">
        <f t="shared" si="88"/>
        <v>0</v>
      </c>
      <c r="M1075" t="str" cm="1">
        <f t="array" ref="M1075">IFERROR(INDEX($I$2:$K$2,0,MATCH(TRUE,I1075:K1075,0)),E1075)</f>
        <v>CCGT</v>
      </c>
      <c r="O1075" t="str">
        <f t="shared" si="85"/>
        <v>CCGT_2039</v>
      </c>
      <c r="P1075">
        <f t="shared" si="86"/>
        <v>75</v>
      </c>
    </row>
    <row r="1076" spans="4:16" x14ac:dyDescent="0.25">
      <c r="D1076">
        <v>2040</v>
      </c>
      <c r="E1076" t="s">
        <v>123</v>
      </c>
      <c r="F1076" t="s">
        <v>201</v>
      </c>
      <c r="G1076">
        <v>75</v>
      </c>
      <c r="I1076">
        <f t="shared" si="88"/>
        <v>0</v>
      </c>
      <c r="J1076">
        <f t="shared" si="88"/>
        <v>0</v>
      </c>
      <c r="K1076">
        <f t="shared" si="88"/>
        <v>0</v>
      </c>
      <c r="M1076" t="str" cm="1">
        <f t="array" ref="M1076">IFERROR(INDEX($I$2:$K$2,0,MATCH(TRUE,I1076:K1076,0)),E1076)</f>
        <v>CCGT</v>
      </c>
      <c r="O1076" t="str">
        <f t="shared" si="85"/>
        <v>CCGT_2040</v>
      </c>
      <c r="P1076">
        <f t="shared" si="86"/>
        <v>75</v>
      </c>
    </row>
    <row r="1077" spans="4:16" x14ac:dyDescent="0.25">
      <c r="D1077">
        <v>2021</v>
      </c>
      <c r="E1077" t="s">
        <v>123</v>
      </c>
      <c r="F1077" t="s">
        <v>202</v>
      </c>
      <c r="G1077">
        <v>75</v>
      </c>
      <c r="I1077">
        <f t="shared" si="88"/>
        <v>0</v>
      </c>
      <c r="J1077">
        <f t="shared" si="88"/>
        <v>0</v>
      </c>
      <c r="K1077">
        <f t="shared" si="88"/>
        <v>0</v>
      </c>
      <c r="M1077" t="str" cm="1">
        <f t="array" ref="M1077">IFERROR(INDEX($I$2:$K$2,0,MATCH(TRUE,I1077:K1077,0)),E1077)</f>
        <v>CCGT</v>
      </c>
      <c r="O1077" t="str">
        <f t="shared" si="85"/>
        <v>CCGT_2021</v>
      </c>
      <c r="P1077">
        <f t="shared" si="86"/>
        <v>75</v>
      </c>
    </row>
    <row r="1078" spans="4:16" x14ac:dyDescent="0.25">
      <c r="D1078">
        <v>2022</v>
      </c>
      <c r="E1078" t="s">
        <v>123</v>
      </c>
      <c r="F1078" t="s">
        <v>202</v>
      </c>
      <c r="G1078">
        <v>75</v>
      </c>
      <c r="I1078">
        <f t="shared" si="88"/>
        <v>0</v>
      </c>
      <c r="J1078">
        <f t="shared" si="88"/>
        <v>0</v>
      </c>
      <c r="K1078">
        <f t="shared" si="88"/>
        <v>0</v>
      </c>
      <c r="M1078" t="str" cm="1">
        <f t="array" ref="M1078">IFERROR(INDEX($I$2:$K$2,0,MATCH(TRUE,I1078:K1078,0)),E1078)</f>
        <v>CCGT</v>
      </c>
      <c r="O1078" t="str">
        <f t="shared" si="85"/>
        <v>CCGT_2022</v>
      </c>
      <c r="P1078">
        <f t="shared" si="86"/>
        <v>75</v>
      </c>
    </row>
    <row r="1079" spans="4:16" x14ac:dyDescent="0.25">
      <c r="D1079">
        <v>2023</v>
      </c>
      <c r="E1079" t="s">
        <v>123</v>
      </c>
      <c r="F1079" t="s">
        <v>202</v>
      </c>
      <c r="G1079">
        <v>75</v>
      </c>
      <c r="I1079">
        <f t="shared" si="88"/>
        <v>0</v>
      </c>
      <c r="J1079">
        <f t="shared" si="88"/>
        <v>0</v>
      </c>
      <c r="K1079">
        <f t="shared" si="88"/>
        <v>0</v>
      </c>
      <c r="M1079" t="str" cm="1">
        <f t="array" ref="M1079">IFERROR(INDEX($I$2:$K$2,0,MATCH(TRUE,I1079:K1079,0)),E1079)</f>
        <v>CCGT</v>
      </c>
      <c r="O1079" t="str">
        <f t="shared" si="85"/>
        <v>CCGT_2023</v>
      </c>
      <c r="P1079">
        <f t="shared" si="86"/>
        <v>75</v>
      </c>
    </row>
    <row r="1080" spans="4:16" x14ac:dyDescent="0.25">
      <c r="D1080">
        <v>2024</v>
      </c>
      <c r="E1080" t="s">
        <v>123</v>
      </c>
      <c r="F1080" t="s">
        <v>202</v>
      </c>
      <c r="G1080">
        <v>75</v>
      </c>
      <c r="I1080">
        <f t="shared" si="88"/>
        <v>0</v>
      </c>
      <c r="J1080">
        <f t="shared" si="88"/>
        <v>0</v>
      </c>
      <c r="K1080">
        <f t="shared" si="88"/>
        <v>0</v>
      </c>
      <c r="M1080" t="str" cm="1">
        <f t="array" ref="M1080">IFERROR(INDEX($I$2:$K$2,0,MATCH(TRUE,I1080:K1080,0)),E1080)</f>
        <v>CCGT</v>
      </c>
      <c r="O1080" t="str">
        <f t="shared" si="85"/>
        <v>CCGT_2024</v>
      </c>
      <c r="P1080">
        <f t="shared" si="86"/>
        <v>75</v>
      </c>
    </row>
    <row r="1081" spans="4:16" x14ac:dyDescent="0.25">
      <c r="D1081">
        <v>2025</v>
      </c>
      <c r="E1081" t="s">
        <v>123</v>
      </c>
      <c r="F1081" t="s">
        <v>202</v>
      </c>
      <c r="G1081">
        <v>75</v>
      </c>
      <c r="I1081">
        <f t="shared" si="88"/>
        <v>0</v>
      </c>
      <c r="J1081">
        <f t="shared" si="88"/>
        <v>0</v>
      </c>
      <c r="K1081">
        <f t="shared" si="88"/>
        <v>0</v>
      </c>
      <c r="M1081" t="str" cm="1">
        <f t="array" ref="M1081">IFERROR(INDEX($I$2:$K$2,0,MATCH(TRUE,I1081:K1081,0)),E1081)</f>
        <v>CCGT</v>
      </c>
      <c r="O1081" t="str">
        <f t="shared" si="85"/>
        <v>CCGT_2025</v>
      </c>
      <c r="P1081">
        <f t="shared" si="86"/>
        <v>75</v>
      </c>
    </row>
    <row r="1082" spans="4:16" x14ac:dyDescent="0.25">
      <c r="D1082">
        <v>2026</v>
      </c>
      <c r="E1082" t="s">
        <v>123</v>
      </c>
      <c r="F1082" t="s">
        <v>202</v>
      </c>
      <c r="G1082">
        <v>75</v>
      </c>
      <c r="I1082">
        <f t="shared" si="88"/>
        <v>0</v>
      </c>
      <c r="J1082">
        <f t="shared" si="88"/>
        <v>0</v>
      </c>
      <c r="K1082">
        <f t="shared" si="88"/>
        <v>0</v>
      </c>
      <c r="M1082" t="str" cm="1">
        <f t="array" ref="M1082">IFERROR(INDEX($I$2:$K$2,0,MATCH(TRUE,I1082:K1082,0)),E1082)</f>
        <v>CCGT</v>
      </c>
      <c r="O1082" t="str">
        <f t="shared" si="85"/>
        <v>CCGT_2026</v>
      </c>
      <c r="P1082">
        <f t="shared" si="86"/>
        <v>75</v>
      </c>
    </row>
    <row r="1083" spans="4:16" x14ac:dyDescent="0.25">
      <c r="D1083">
        <v>2027</v>
      </c>
      <c r="E1083" t="s">
        <v>123</v>
      </c>
      <c r="F1083" t="s">
        <v>202</v>
      </c>
      <c r="G1083">
        <v>75</v>
      </c>
      <c r="I1083">
        <f t="shared" si="88"/>
        <v>0</v>
      </c>
      <c r="J1083">
        <f t="shared" si="88"/>
        <v>0</v>
      </c>
      <c r="K1083">
        <f t="shared" si="88"/>
        <v>0</v>
      </c>
      <c r="M1083" t="str" cm="1">
        <f t="array" ref="M1083">IFERROR(INDEX($I$2:$K$2,0,MATCH(TRUE,I1083:K1083,0)),E1083)</f>
        <v>CCGT</v>
      </c>
      <c r="O1083" t="str">
        <f t="shared" si="85"/>
        <v>CCGT_2027</v>
      </c>
      <c r="P1083">
        <f t="shared" si="86"/>
        <v>75</v>
      </c>
    </row>
    <row r="1084" spans="4:16" x14ac:dyDescent="0.25">
      <c r="D1084">
        <v>2028</v>
      </c>
      <c r="E1084" t="s">
        <v>123</v>
      </c>
      <c r="F1084" t="s">
        <v>202</v>
      </c>
      <c r="G1084">
        <v>75</v>
      </c>
      <c r="I1084">
        <f t="shared" ref="I1084:K1103" si="89">IFERROR(FIND(I$2,$E1084,1)&gt;0,0)</f>
        <v>0</v>
      </c>
      <c r="J1084">
        <f t="shared" si="89"/>
        <v>0</v>
      </c>
      <c r="K1084">
        <f t="shared" si="89"/>
        <v>0</v>
      </c>
      <c r="M1084" t="str" cm="1">
        <f t="array" ref="M1084">IFERROR(INDEX($I$2:$K$2,0,MATCH(TRUE,I1084:K1084,0)),E1084)</f>
        <v>CCGT</v>
      </c>
      <c r="O1084" t="str">
        <f t="shared" si="85"/>
        <v>CCGT_2028</v>
      </c>
      <c r="P1084">
        <f t="shared" si="86"/>
        <v>75</v>
      </c>
    </row>
    <row r="1085" spans="4:16" x14ac:dyDescent="0.25">
      <c r="D1085">
        <v>2029</v>
      </c>
      <c r="E1085" t="s">
        <v>123</v>
      </c>
      <c r="F1085" t="s">
        <v>202</v>
      </c>
      <c r="G1085">
        <v>75</v>
      </c>
      <c r="I1085">
        <f t="shared" si="89"/>
        <v>0</v>
      </c>
      <c r="J1085">
        <f t="shared" si="89"/>
        <v>0</v>
      </c>
      <c r="K1085">
        <f t="shared" si="89"/>
        <v>0</v>
      </c>
      <c r="M1085" t="str" cm="1">
        <f t="array" ref="M1085">IFERROR(INDEX($I$2:$K$2,0,MATCH(TRUE,I1085:K1085,0)),E1085)</f>
        <v>CCGT</v>
      </c>
      <c r="O1085" t="str">
        <f t="shared" si="85"/>
        <v>CCGT_2029</v>
      </c>
      <c r="P1085">
        <f t="shared" si="86"/>
        <v>75</v>
      </c>
    </row>
    <row r="1086" spans="4:16" x14ac:dyDescent="0.25">
      <c r="D1086">
        <v>2030</v>
      </c>
      <c r="E1086" t="s">
        <v>123</v>
      </c>
      <c r="F1086" t="s">
        <v>202</v>
      </c>
      <c r="G1086">
        <v>75</v>
      </c>
      <c r="I1086">
        <f t="shared" si="89"/>
        <v>0</v>
      </c>
      <c r="J1086">
        <f t="shared" si="89"/>
        <v>0</v>
      </c>
      <c r="K1086">
        <f t="shared" si="89"/>
        <v>0</v>
      </c>
      <c r="M1086" t="str" cm="1">
        <f t="array" ref="M1086">IFERROR(INDEX($I$2:$K$2,0,MATCH(TRUE,I1086:K1086,0)),E1086)</f>
        <v>CCGT</v>
      </c>
      <c r="O1086" t="str">
        <f t="shared" si="85"/>
        <v>CCGT_2030</v>
      </c>
      <c r="P1086">
        <f t="shared" si="86"/>
        <v>75</v>
      </c>
    </row>
    <row r="1087" spans="4:16" x14ac:dyDescent="0.25">
      <c r="D1087">
        <v>2031</v>
      </c>
      <c r="E1087" t="s">
        <v>123</v>
      </c>
      <c r="F1087" t="s">
        <v>202</v>
      </c>
      <c r="G1087">
        <v>75</v>
      </c>
      <c r="I1087">
        <f t="shared" si="89"/>
        <v>0</v>
      </c>
      <c r="J1087">
        <f t="shared" si="89"/>
        <v>0</v>
      </c>
      <c r="K1087">
        <f t="shared" si="89"/>
        <v>0</v>
      </c>
      <c r="M1087" t="str" cm="1">
        <f t="array" ref="M1087">IFERROR(INDEX($I$2:$K$2,0,MATCH(TRUE,I1087:K1087,0)),E1087)</f>
        <v>CCGT</v>
      </c>
      <c r="O1087" t="str">
        <f t="shared" si="85"/>
        <v>CCGT_2031</v>
      </c>
      <c r="P1087">
        <f t="shared" si="86"/>
        <v>75</v>
      </c>
    </row>
    <row r="1088" spans="4:16" x14ac:dyDescent="0.25">
      <c r="D1088">
        <v>2032</v>
      </c>
      <c r="E1088" t="s">
        <v>123</v>
      </c>
      <c r="F1088" t="s">
        <v>202</v>
      </c>
      <c r="G1088">
        <v>75</v>
      </c>
      <c r="I1088">
        <f t="shared" si="89"/>
        <v>0</v>
      </c>
      <c r="J1088">
        <f t="shared" si="89"/>
        <v>0</v>
      </c>
      <c r="K1088">
        <f t="shared" si="89"/>
        <v>0</v>
      </c>
      <c r="M1088" t="str" cm="1">
        <f t="array" ref="M1088">IFERROR(INDEX($I$2:$K$2,0,MATCH(TRUE,I1088:K1088,0)),E1088)</f>
        <v>CCGT</v>
      </c>
      <c r="O1088" t="str">
        <f t="shared" si="85"/>
        <v>CCGT_2032</v>
      </c>
      <c r="P1088">
        <f t="shared" si="86"/>
        <v>75</v>
      </c>
    </row>
    <row r="1089" spans="4:16" x14ac:dyDescent="0.25">
      <c r="D1089">
        <v>2033</v>
      </c>
      <c r="E1089" t="s">
        <v>123</v>
      </c>
      <c r="F1089" t="s">
        <v>202</v>
      </c>
      <c r="G1089">
        <v>75</v>
      </c>
      <c r="I1089">
        <f t="shared" si="89"/>
        <v>0</v>
      </c>
      <c r="J1089">
        <f t="shared" si="89"/>
        <v>0</v>
      </c>
      <c r="K1089">
        <f t="shared" si="89"/>
        <v>0</v>
      </c>
      <c r="M1089" t="str" cm="1">
        <f t="array" ref="M1089">IFERROR(INDEX($I$2:$K$2,0,MATCH(TRUE,I1089:K1089,0)),E1089)</f>
        <v>CCGT</v>
      </c>
      <c r="O1089" t="str">
        <f t="shared" si="85"/>
        <v>CCGT_2033</v>
      </c>
      <c r="P1089">
        <f t="shared" si="86"/>
        <v>75</v>
      </c>
    </row>
    <row r="1090" spans="4:16" x14ac:dyDescent="0.25">
      <c r="D1090">
        <v>2034</v>
      </c>
      <c r="E1090" t="s">
        <v>123</v>
      </c>
      <c r="F1090" t="s">
        <v>202</v>
      </c>
      <c r="G1090">
        <v>75</v>
      </c>
      <c r="I1090">
        <f t="shared" si="89"/>
        <v>0</v>
      </c>
      <c r="J1090">
        <f t="shared" si="89"/>
        <v>0</v>
      </c>
      <c r="K1090">
        <f t="shared" si="89"/>
        <v>0</v>
      </c>
      <c r="M1090" t="str" cm="1">
        <f t="array" ref="M1090">IFERROR(INDEX($I$2:$K$2,0,MATCH(TRUE,I1090:K1090,0)),E1090)</f>
        <v>CCGT</v>
      </c>
      <c r="O1090" t="str">
        <f t="shared" si="85"/>
        <v>CCGT_2034</v>
      </c>
      <c r="P1090">
        <f t="shared" si="86"/>
        <v>75</v>
      </c>
    </row>
    <row r="1091" spans="4:16" x14ac:dyDescent="0.25">
      <c r="D1091">
        <v>2035</v>
      </c>
      <c r="E1091" t="s">
        <v>123</v>
      </c>
      <c r="F1091" t="s">
        <v>202</v>
      </c>
      <c r="G1091">
        <v>75</v>
      </c>
      <c r="I1091">
        <f t="shared" si="89"/>
        <v>0</v>
      </c>
      <c r="J1091">
        <f t="shared" si="89"/>
        <v>0</v>
      </c>
      <c r="K1091">
        <f t="shared" si="89"/>
        <v>0</v>
      </c>
      <c r="M1091" t="str" cm="1">
        <f t="array" ref="M1091">IFERROR(INDEX($I$2:$K$2,0,MATCH(TRUE,I1091:K1091,0)),E1091)</f>
        <v>CCGT</v>
      </c>
      <c r="O1091" t="str">
        <f t="shared" si="85"/>
        <v>CCGT_2035</v>
      </c>
      <c r="P1091">
        <f t="shared" si="86"/>
        <v>75</v>
      </c>
    </row>
    <row r="1092" spans="4:16" x14ac:dyDescent="0.25">
      <c r="D1092">
        <v>2036</v>
      </c>
      <c r="E1092" t="s">
        <v>123</v>
      </c>
      <c r="F1092" t="s">
        <v>202</v>
      </c>
      <c r="G1092">
        <v>75</v>
      </c>
      <c r="I1092">
        <f t="shared" si="89"/>
        <v>0</v>
      </c>
      <c r="J1092">
        <f t="shared" si="89"/>
        <v>0</v>
      </c>
      <c r="K1092">
        <f t="shared" si="89"/>
        <v>0</v>
      </c>
      <c r="M1092" t="str" cm="1">
        <f t="array" ref="M1092">IFERROR(INDEX($I$2:$K$2,0,MATCH(TRUE,I1092:K1092,0)),E1092)</f>
        <v>CCGT</v>
      </c>
      <c r="O1092" t="str">
        <f t="shared" ref="O1092:O1155" si="90">M1092&amp;"_"&amp;D1092</f>
        <v>CCGT_2036</v>
      </c>
      <c r="P1092">
        <f t="shared" ref="P1092:P1155" si="91">G1092</f>
        <v>75</v>
      </c>
    </row>
    <row r="1093" spans="4:16" x14ac:dyDescent="0.25">
      <c r="D1093">
        <v>2037</v>
      </c>
      <c r="E1093" t="s">
        <v>123</v>
      </c>
      <c r="F1093" t="s">
        <v>202</v>
      </c>
      <c r="G1093">
        <v>75</v>
      </c>
      <c r="I1093">
        <f t="shared" si="89"/>
        <v>0</v>
      </c>
      <c r="J1093">
        <f t="shared" si="89"/>
        <v>0</v>
      </c>
      <c r="K1093">
        <f t="shared" si="89"/>
        <v>0</v>
      </c>
      <c r="M1093" t="str" cm="1">
        <f t="array" ref="M1093">IFERROR(INDEX($I$2:$K$2,0,MATCH(TRUE,I1093:K1093,0)),E1093)</f>
        <v>CCGT</v>
      </c>
      <c r="O1093" t="str">
        <f t="shared" si="90"/>
        <v>CCGT_2037</v>
      </c>
      <c r="P1093">
        <f t="shared" si="91"/>
        <v>75</v>
      </c>
    </row>
    <row r="1094" spans="4:16" x14ac:dyDescent="0.25">
      <c r="D1094">
        <v>2038</v>
      </c>
      <c r="E1094" t="s">
        <v>123</v>
      </c>
      <c r="F1094" t="s">
        <v>202</v>
      </c>
      <c r="G1094">
        <v>75</v>
      </c>
      <c r="I1094">
        <f t="shared" si="89"/>
        <v>0</v>
      </c>
      <c r="J1094">
        <f t="shared" si="89"/>
        <v>0</v>
      </c>
      <c r="K1094">
        <f t="shared" si="89"/>
        <v>0</v>
      </c>
      <c r="M1094" t="str" cm="1">
        <f t="array" ref="M1094">IFERROR(INDEX($I$2:$K$2,0,MATCH(TRUE,I1094:K1094,0)),E1094)</f>
        <v>CCGT</v>
      </c>
      <c r="O1094" t="str">
        <f t="shared" si="90"/>
        <v>CCGT_2038</v>
      </c>
      <c r="P1094">
        <f t="shared" si="91"/>
        <v>75</v>
      </c>
    </row>
    <row r="1095" spans="4:16" x14ac:dyDescent="0.25">
      <c r="D1095">
        <v>2039</v>
      </c>
      <c r="E1095" t="s">
        <v>123</v>
      </c>
      <c r="F1095" t="s">
        <v>202</v>
      </c>
      <c r="G1095">
        <v>75</v>
      </c>
      <c r="I1095">
        <f t="shared" si="89"/>
        <v>0</v>
      </c>
      <c r="J1095">
        <f t="shared" si="89"/>
        <v>0</v>
      </c>
      <c r="K1095">
        <f t="shared" si="89"/>
        <v>0</v>
      </c>
      <c r="M1095" t="str" cm="1">
        <f t="array" ref="M1095">IFERROR(INDEX($I$2:$K$2,0,MATCH(TRUE,I1095:K1095,0)),E1095)</f>
        <v>CCGT</v>
      </c>
      <c r="O1095" t="str">
        <f t="shared" si="90"/>
        <v>CCGT_2039</v>
      </c>
      <c r="P1095">
        <f t="shared" si="91"/>
        <v>75</v>
      </c>
    </row>
    <row r="1096" spans="4:16" x14ac:dyDescent="0.25">
      <c r="D1096">
        <v>2040</v>
      </c>
      <c r="E1096" t="s">
        <v>123</v>
      </c>
      <c r="F1096" t="s">
        <v>202</v>
      </c>
      <c r="G1096">
        <v>75</v>
      </c>
      <c r="I1096">
        <f t="shared" si="89"/>
        <v>0</v>
      </c>
      <c r="J1096">
        <f t="shared" si="89"/>
        <v>0</v>
      </c>
      <c r="K1096">
        <f t="shared" si="89"/>
        <v>0</v>
      </c>
      <c r="M1096" t="str" cm="1">
        <f t="array" ref="M1096">IFERROR(INDEX($I$2:$K$2,0,MATCH(TRUE,I1096:K1096,0)),E1096)</f>
        <v>CCGT</v>
      </c>
      <c r="O1096" t="str">
        <f t="shared" si="90"/>
        <v>CCGT_2040</v>
      </c>
      <c r="P1096">
        <f t="shared" si="91"/>
        <v>75</v>
      </c>
    </row>
    <row r="1097" spans="4:16" x14ac:dyDescent="0.25">
      <c r="D1097">
        <v>2021</v>
      </c>
      <c r="E1097" t="s">
        <v>123</v>
      </c>
      <c r="F1097" t="s">
        <v>203</v>
      </c>
      <c r="G1097">
        <v>25</v>
      </c>
      <c r="I1097">
        <f t="shared" si="89"/>
        <v>0</v>
      </c>
      <c r="J1097">
        <f t="shared" si="89"/>
        <v>0</v>
      </c>
      <c r="K1097">
        <f t="shared" si="89"/>
        <v>0</v>
      </c>
      <c r="M1097" t="str" cm="1">
        <f t="array" ref="M1097">IFERROR(INDEX($I$2:$K$2,0,MATCH(TRUE,I1097:K1097,0)),E1097)</f>
        <v>CCGT</v>
      </c>
      <c r="O1097" t="str">
        <f t="shared" si="90"/>
        <v>CCGT_2021</v>
      </c>
      <c r="P1097">
        <f t="shared" si="91"/>
        <v>25</v>
      </c>
    </row>
    <row r="1098" spans="4:16" x14ac:dyDescent="0.25">
      <c r="D1098">
        <v>2022</v>
      </c>
      <c r="E1098" t="s">
        <v>123</v>
      </c>
      <c r="F1098" t="s">
        <v>203</v>
      </c>
      <c r="G1098">
        <v>25</v>
      </c>
      <c r="I1098">
        <f t="shared" si="89"/>
        <v>0</v>
      </c>
      <c r="J1098">
        <f t="shared" si="89"/>
        <v>0</v>
      </c>
      <c r="K1098">
        <f t="shared" si="89"/>
        <v>0</v>
      </c>
      <c r="M1098" t="str" cm="1">
        <f t="array" ref="M1098">IFERROR(INDEX($I$2:$K$2,0,MATCH(TRUE,I1098:K1098,0)),E1098)</f>
        <v>CCGT</v>
      </c>
      <c r="O1098" t="str">
        <f t="shared" si="90"/>
        <v>CCGT_2022</v>
      </c>
      <c r="P1098">
        <f t="shared" si="91"/>
        <v>25</v>
      </c>
    </row>
    <row r="1099" spans="4:16" x14ac:dyDescent="0.25">
      <c r="D1099">
        <v>2023</v>
      </c>
      <c r="E1099" t="s">
        <v>123</v>
      </c>
      <c r="F1099" t="s">
        <v>203</v>
      </c>
      <c r="G1099">
        <v>25</v>
      </c>
      <c r="I1099">
        <f t="shared" si="89"/>
        <v>0</v>
      </c>
      <c r="J1099">
        <f t="shared" si="89"/>
        <v>0</v>
      </c>
      <c r="K1099">
        <f t="shared" si="89"/>
        <v>0</v>
      </c>
      <c r="M1099" t="str" cm="1">
        <f t="array" ref="M1099">IFERROR(INDEX($I$2:$K$2,0,MATCH(TRUE,I1099:K1099,0)),E1099)</f>
        <v>CCGT</v>
      </c>
      <c r="O1099" t="str">
        <f t="shared" si="90"/>
        <v>CCGT_2023</v>
      </c>
      <c r="P1099">
        <f t="shared" si="91"/>
        <v>25</v>
      </c>
    </row>
    <row r="1100" spans="4:16" x14ac:dyDescent="0.25">
      <c r="D1100">
        <v>2024</v>
      </c>
      <c r="E1100" t="s">
        <v>123</v>
      </c>
      <c r="F1100" t="s">
        <v>203</v>
      </c>
      <c r="G1100">
        <v>25</v>
      </c>
      <c r="I1100">
        <f t="shared" si="89"/>
        <v>0</v>
      </c>
      <c r="J1100">
        <f t="shared" si="89"/>
        <v>0</v>
      </c>
      <c r="K1100">
        <f t="shared" si="89"/>
        <v>0</v>
      </c>
      <c r="M1100" t="str" cm="1">
        <f t="array" ref="M1100">IFERROR(INDEX($I$2:$K$2,0,MATCH(TRUE,I1100:K1100,0)),E1100)</f>
        <v>CCGT</v>
      </c>
      <c r="O1100" t="str">
        <f t="shared" si="90"/>
        <v>CCGT_2024</v>
      </c>
      <c r="P1100">
        <f t="shared" si="91"/>
        <v>25</v>
      </c>
    </row>
    <row r="1101" spans="4:16" x14ac:dyDescent="0.25">
      <c r="D1101">
        <v>2025</v>
      </c>
      <c r="E1101" t="s">
        <v>123</v>
      </c>
      <c r="F1101" t="s">
        <v>203</v>
      </c>
      <c r="G1101">
        <v>25</v>
      </c>
      <c r="I1101">
        <f t="shared" si="89"/>
        <v>0</v>
      </c>
      <c r="J1101">
        <f t="shared" si="89"/>
        <v>0</v>
      </c>
      <c r="K1101">
        <f t="shared" si="89"/>
        <v>0</v>
      </c>
      <c r="M1101" t="str" cm="1">
        <f t="array" ref="M1101">IFERROR(INDEX($I$2:$K$2,0,MATCH(TRUE,I1101:K1101,0)),E1101)</f>
        <v>CCGT</v>
      </c>
      <c r="O1101" t="str">
        <f t="shared" si="90"/>
        <v>CCGT_2025</v>
      </c>
      <c r="P1101">
        <f t="shared" si="91"/>
        <v>25</v>
      </c>
    </row>
    <row r="1102" spans="4:16" x14ac:dyDescent="0.25">
      <c r="D1102">
        <v>2026</v>
      </c>
      <c r="E1102" t="s">
        <v>123</v>
      </c>
      <c r="F1102" t="s">
        <v>203</v>
      </c>
      <c r="G1102">
        <v>25</v>
      </c>
      <c r="I1102">
        <f t="shared" si="89"/>
        <v>0</v>
      </c>
      <c r="J1102">
        <f t="shared" si="89"/>
        <v>0</v>
      </c>
      <c r="K1102">
        <f t="shared" si="89"/>
        <v>0</v>
      </c>
      <c r="M1102" t="str" cm="1">
        <f t="array" ref="M1102">IFERROR(INDEX($I$2:$K$2,0,MATCH(TRUE,I1102:K1102,0)),E1102)</f>
        <v>CCGT</v>
      </c>
      <c r="O1102" t="str">
        <f t="shared" si="90"/>
        <v>CCGT_2026</v>
      </c>
      <c r="P1102">
        <f t="shared" si="91"/>
        <v>25</v>
      </c>
    </row>
    <row r="1103" spans="4:16" x14ac:dyDescent="0.25">
      <c r="D1103">
        <v>2027</v>
      </c>
      <c r="E1103" t="s">
        <v>123</v>
      </c>
      <c r="F1103" t="s">
        <v>203</v>
      </c>
      <c r="G1103">
        <v>25</v>
      </c>
      <c r="I1103">
        <f t="shared" si="89"/>
        <v>0</v>
      </c>
      <c r="J1103">
        <f t="shared" si="89"/>
        <v>0</v>
      </c>
      <c r="K1103">
        <f t="shared" si="89"/>
        <v>0</v>
      </c>
      <c r="M1103" t="str" cm="1">
        <f t="array" ref="M1103">IFERROR(INDEX($I$2:$K$2,0,MATCH(TRUE,I1103:K1103,0)),E1103)</f>
        <v>CCGT</v>
      </c>
      <c r="O1103" t="str">
        <f t="shared" si="90"/>
        <v>CCGT_2027</v>
      </c>
      <c r="P1103">
        <f t="shared" si="91"/>
        <v>25</v>
      </c>
    </row>
    <row r="1104" spans="4:16" x14ac:dyDescent="0.25">
      <c r="D1104">
        <v>2028</v>
      </c>
      <c r="E1104" t="s">
        <v>123</v>
      </c>
      <c r="F1104" t="s">
        <v>203</v>
      </c>
      <c r="G1104">
        <v>25</v>
      </c>
      <c r="I1104">
        <f t="shared" ref="I1104:K1123" si="92">IFERROR(FIND(I$2,$E1104,1)&gt;0,0)</f>
        <v>0</v>
      </c>
      <c r="J1104">
        <f t="shared" si="92"/>
        <v>0</v>
      </c>
      <c r="K1104">
        <f t="shared" si="92"/>
        <v>0</v>
      </c>
      <c r="M1104" t="str" cm="1">
        <f t="array" ref="M1104">IFERROR(INDEX($I$2:$K$2,0,MATCH(TRUE,I1104:K1104,0)),E1104)</f>
        <v>CCGT</v>
      </c>
      <c r="O1104" t="str">
        <f t="shared" si="90"/>
        <v>CCGT_2028</v>
      </c>
      <c r="P1104">
        <f t="shared" si="91"/>
        <v>25</v>
      </c>
    </row>
    <row r="1105" spans="4:16" x14ac:dyDescent="0.25">
      <c r="D1105">
        <v>2029</v>
      </c>
      <c r="E1105" t="s">
        <v>123</v>
      </c>
      <c r="F1105" t="s">
        <v>203</v>
      </c>
      <c r="G1105">
        <v>25</v>
      </c>
      <c r="I1105">
        <f t="shared" si="92"/>
        <v>0</v>
      </c>
      <c r="J1105">
        <f t="shared" si="92"/>
        <v>0</v>
      </c>
      <c r="K1105">
        <f t="shared" si="92"/>
        <v>0</v>
      </c>
      <c r="M1105" t="str" cm="1">
        <f t="array" ref="M1105">IFERROR(INDEX($I$2:$K$2,0,MATCH(TRUE,I1105:K1105,0)),E1105)</f>
        <v>CCGT</v>
      </c>
      <c r="O1105" t="str">
        <f t="shared" si="90"/>
        <v>CCGT_2029</v>
      </c>
      <c r="P1105">
        <f t="shared" si="91"/>
        <v>25</v>
      </c>
    </row>
    <row r="1106" spans="4:16" x14ac:dyDescent="0.25">
      <c r="D1106">
        <v>2030</v>
      </c>
      <c r="E1106" t="s">
        <v>123</v>
      </c>
      <c r="F1106" t="s">
        <v>203</v>
      </c>
      <c r="G1106">
        <v>25</v>
      </c>
      <c r="I1106">
        <f t="shared" si="92"/>
        <v>0</v>
      </c>
      <c r="J1106">
        <f t="shared" si="92"/>
        <v>0</v>
      </c>
      <c r="K1106">
        <f t="shared" si="92"/>
        <v>0</v>
      </c>
      <c r="M1106" t="str" cm="1">
        <f t="array" ref="M1106">IFERROR(INDEX($I$2:$K$2,0,MATCH(TRUE,I1106:K1106,0)),E1106)</f>
        <v>CCGT</v>
      </c>
      <c r="O1106" t="str">
        <f t="shared" si="90"/>
        <v>CCGT_2030</v>
      </c>
      <c r="P1106">
        <f t="shared" si="91"/>
        <v>25</v>
      </c>
    </row>
    <row r="1107" spans="4:16" x14ac:dyDescent="0.25">
      <c r="D1107">
        <v>2031</v>
      </c>
      <c r="E1107" t="s">
        <v>123</v>
      </c>
      <c r="F1107" t="s">
        <v>203</v>
      </c>
      <c r="G1107">
        <v>25</v>
      </c>
      <c r="I1107">
        <f t="shared" si="92"/>
        <v>0</v>
      </c>
      <c r="J1107">
        <f t="shared" si="92"/>
        <v>0</v>
      </c>
      <c r="K1107">
        <f t="shared" si="92"/>
        <v>0</v>
      </c>
      <c r="M1107" t="str" cm="1">
        <f t="array" ref="M1107">IFERROR(INDEX($I$2:$K$2,0,MATCH(TRUE,I1107:K1107,0)),E1107)</f>
        <v>CCGT</v>
      </c>
      <c r="O1107" t="str">
        <f t="shared" si="90"/>
        <v>CCGT_2031</v>
      </c>
      <c r="P1107">
        <f t="shared" si="91"/>
        <v>25</v>
      </c>
    </row>
    <row r="1108" spans="4:16" x14ac:dyDescent="0.25">
      <c r="D1108">
        <v>2032</v>
      </c>
      <c r="E1108" t="s">
        <v>123</v>
      </c>
      <c r="F1108" t="s">
        <v>203</v>
      </c>
      <c r="G1108">
        <v>25</v>
      </c>
      <c r="I1108">
        <f t="shared" si="92"/>
        <v>0</v>
      </c>
      <c r="J1108">
        <f t="shared" si="92"/>
        <v>0</v>
      </c>
      <c r="K1108">
        <f t="shared" si="92"/>
        <v>0</v>
      </c>
      <c r="M1108" t="str" cm="1">
        <f t="array" ref="M1108">IFERROR(INDEX($I$2:$K$2,0,MATCH(TRUE,I1108:K1108,0)),E1108)</f>
        <v>CCGT</v>
      </c>
      <c r="O1108" t="str">
        <f t="shared" si="90"/>
        <v>CCGT_2032</v>
      </c>
      <c r="P1108">
        <f t="shared" si="91"/>
        <v>25</v>
      </c>
    </row>
    <row r="1109" spans="4:16" x14ac:dyDescent="0.25">
      <c r="D1109">
        <v>2033</v>
      </c>
      <c r="E1109" t="s">
        <v>123</v>
      </c>
      <c r="F1109" t="s">
        <v>203</v>
      </c>
      <c r="G1109">
        <v>25</v>
      </c>
      <c r="I1109">
        <f t="shared" si="92"/>
        <v>0</v>
      </c>
      <c r="J1109">
        <f t="shared" si="92"/>
        <v>0</v>
      </c>
      <c r="K1109">
        <f t="shared" si="92"/>
        <v>0</v>
      </c>
      <c r="M1109" t="str" cm="1">
        <f t="array" ref="M1109">IFERROR(INDEX($I$2:$K$2,0,MATCH(TRUE,I1109:K1109,0)),E1109)</f>
        <v>CCGT</v>
      </c>
      <c r="O1109" t="str">
        <f t="shared" si="90"/>
        <v>CCGT_2033</v>
      </c>
      <c r="P1109">
        <f t="shared" si="91"/>
        <v>25</v>
      </c>
    </row>
    <row r="1110" spans="4:16" x14ac:dyDescent="0.25">
      <c r="D1110">
        <v>2034</v>
      </c>
      <c r="E1110" t="s">
        <v>123</v>
      </c>
      <c r="F1110" t="s">
        <v>203</v>
      </c>
      <c r="G1110">
        <v>25</v>
      </c>
      <c r="I1110">
        <f t="shared" si="92"/>
        <v>0</v>
      </c>
      <c r="J1110">
        <f t="shared" si="92"/>
        <v>0</v>
      </c>
      <c r="K1110">
        <f t="shared" si="92"/>
        <v>0</v>
      </c>
      <c r="M1110" t="str" cm="1">
        <f t="array" ref="M1110">IFERROR(INDEX($I$2:$K$2,0,MATCH(TRUE,I1110:K1110,0)),E1110)</f>
        <v>CCGT</v>
      </c>
      <c r="O1110" t="str">
        <f t="shared" si="90"/>
        <v>CCGT_2034</v>
      </c>
      <c r="P1110">
        <f t="shared" si="91"/>
        <v>25</v>
      </c>
    </row>
    <row r="1111" spans="4:16" x14ac:dyDescent="0.25">
      <c r="D1111">
        <v>2035</v>
      </c>
      <c r="E1111" t="s">
        <v>123</v>
      </c>
      <c r="F1111" t="s">
        <v>203</v>
      </c>
      <c r="G1111">
        <v>25</v>
      </c>
      <c r="I1111">
        <f t="shared" si="92"/>
        <v>0</v>
      </c>
      <c r="J1111">
        <f t="shared" si="92"/>
        <v>0</v>
      </c>
      <c r="K1111">
        <f t="shared" si="92"/>
        <v>0</v>
      </c>
      <c r="M1111" t="str" cm="1">
        <f t="array" ref="M1111">IFERROR(INDEX($I$2:$K$2,0,MATCH(TRUE,I1111:K1111,0)),E1111)</f>
        <v>CCGT</v>
      </c>
      <c r="O1111" t="str">
        <f t="shared" si="90"/>
        <v>CCGT_2035</v>
      </c>
      <c r="P1111">
        <f t="shared" si="91"/>
        <v>25</v>
      </c>
    </row>
    <row r="1112" spans="4:16" x14ac:dyDescent="0.25">
      <c r="D1112">
        <v>2036</v>
      </c>
      <c r="E1112" t="s">
        <v>123</v>
      </c>
      <c r="F1112" t="s">
        <v>203</v>
      </c>
      <c r="G1112">
        <v>25</v>
      </c>
      <c r="I1112">
        <f t="shared" si="92"/>
        <v>0</v>
      </c>
      <c r="J1112">
        <f t="shared" si="92"/>
        <v>0</v>
      </c>
      <c r="K1112">
        <f t="shared" si="92"/>
        <v>0</v>
      </c>
      <c r="M1112" t="str" cm="1">
        <f t="array" ref="M1112">IFERROR(INDEX($I$2:$K$2,0,MATCH(TRUE,I1112:K1112,0)),E1112)</f>
        <v>CCGT</v>
      </c>
      <c r="O1112" t="str">
        <f t="shared" si="90"/>
        <v>CCGT_2036</v>
      </c>
      <c r="P1112">
        <f t="shared" si="91"/>
        <v>25</v>
      </c>
    </row>
    <row r="1113" spans="4:16" x14ac:dyDescent="0.25">
      <c r="D1113">
        <v>2037</v>
      </c>
      <c r="E1113" t="s">
        <v>123</v>
      </c>
      <c r="F1113" t="s">
        <v>203</v>
      </c>
      <c r="G1113">
        <v>25</v>
      </c>
      <c r="I1113">
        <f t="shared" si="92"/>
        <v>0</v>
      </c>
      <c r="J1113">
        <f t="shared" si="92"/>
        <v>0</v>
      </c>
      <c r="K1113">
        <f t="shared" si="92"/>
        <v>0</v>
      </c>
      <c r="M1113" t="str" cm="1">
        <f t="array" ref="M1113">IFERROR(INDEX($I$2:$K$2,0,MATCH(TRUE,I1113:K1113,0)),E1113)</f>
        <v>CCGT</v>
      </c>
      <c r="O1113" t="str">
        <f t="shared" si="90"/>
        <v>CCGT_2037</v>
      </c>
      <c r="P1113">
        <f t="shared" si="91"/>
        <v>25</v>
      </c>
    </row>
    <row r="1114" spans="4:16" x14ac:dyDescent="0.25">
      <c r="D1114">
        <v>2038</v>
      </c>
      <c r="E1114" t="s">
        <v>123</v>
      </c>
      <c r="F1114" t="s">
        <v>203</v>
      </c>
      <c r="G1114">
        <v>25</v>
      </c>
      <c r="I1114">
        <f t="shared" si="92"/>
        <v>0</v>
      </c>
      <c r="J1114">
        <f t="shared" si="92"/>
        <v>0</v>
      </c>
      <c r="K1114">
        <f t="shared" si="92"/>
        <v>0</v>
      </c>
      <c r="M1114" t="str" cm="1">
        <f t="array" ref="M1114">IFERROR(INDEX($I$2:$K$2,0,MATCH(TRUE,I1114:K1114,0)),E1114)</f>
        <v>CCGT</v>
      </c>
      <c r="O1114" t="str">
        <f t="shared" si="90"/>
        <v>CCGT_2038</v>
      </c>
      <c r="P1114">
        <f t="shared" si="91"/>
        <v>25</v>
      </c>
    </row>
    <row r="1115" spans="4:16" x14ac:dyDescent="0.25">
      <c r="D1115">
        <v>2039</v>
      </c>
      <c r="E1115" t="s">
        <v>123</v>
      </c>
      <c r="F1115" t="s">
        <v>203</v>
      </c>
      <c r="G1115">
        <v>25</v>
      </c>
      <c r="I1115">
        <f t="shared" si="92"/>
        <v>0</v>
      </c>
      <c r="J1115">
        <f t="shared" si="92"/>
        <v>0</v>
      </c>
      <c r="K1115">
        <f t="shared" si="92"/>
        <v>0</v>
      </c>
      <c r="M1115" t="str" cm="1">
        <f t="array" ref="M1115">IFERROR(INDEX($I$2:$K$2,0,MATCH(TRUE,I1115:K1115,0)),E1115)</f>
        <v>CCGT</v>
      </c>
      <c r="O1115" t="str">
        <f t="shared" si="90"/>
        <v>CCGT_2039</v>
      </c>
      <c r="P1115">
        <f t="shared" si="91"/>
        <v>25</v>
      </c>
    </row>
    <row r="1116" spans="4:16" x14ac:dyDescent="0.25">
      <c r="D1116">
        <v>2040</v>
      </c>
      <c r="E1116" t="s">
        <v>123</v>
      </c>
      <c r="F1116" t="s">
        <v>203</v>
      </c>
      <c r="G1116">
        <v>25</v>
      </c>
      <c r="I1116">
        <f t="shared" si="92"/>
        <v>0</v>
      </c>
      <c r="J1116">
        <f t="shared" si="92"/>
        <v>0</v>
      </c>
      <c r="K1116">
        <f t="shared" si="92"/>
        <v>0</v>
      </c>
      <c r="M1116" t="str" cm="1">
        <f t="array" ref="M1116">IFERROR(INDEX($I$2:$K$2,0,MATCH(TRUE,I1116:K1116,0)),E1116)</f>
        <v>CCGT</v>
      </c>
      <c r="O1116" t="str">
        <f t="shared" si="90"/>
        <v>CCGT_2040</v>
      </c>
      <c r="P1116">
        <f t="shared" si="91"/>
        <v>25</v>
      </c>
    </row>
    <row r="1117" spans="4:16" x14ac:dyDescent="0.25">
      <c r="D1117">
        <v>2021</v>
      </c>
      <c r="E1117" t="s">
        <v>123</v>
      </c>
      <c r="F1117" t="s">
        <v>204</v>
      </c>
      <c r="G1117">
        <v>127</v>
      </c>
      <c r="I1117">
        <f t="shared" si="92"/>
        <v>0</v>
      </c>
      <c r="J1117">
        <f t="shared" si="92"/>
        <v>0</v>
      </c>
      <c r="K1117">
        <f t="shared" si="92"/>
        <v>0</v>
      </c>
      <c r="M1117" t="str" cm="1">
        <f t="array" ref="M1117">IFERROR(INDEX($I$2:$K$2,0,MATCH(TRUE,I1117:K1117,0)),E1117)</f>
        <v>CCGT</v>
      </c>
      <c r="O1117" t="str">
        <f t="shared" si="90"/>
        <v>CCGT_2021</v>
      </c>
      <c r="P1117">
        <f t="shared" si="91"/>
        <v>127</v>
      </c>
    </row>
    <row r="1118" spans="4:16" x14ac:dyDescent="0.25">
      <c r="D1118">
        <v>2022</v>
      </c>
      <c r="E1118" t="s">
        <v>123</v>
      </c>
      <c r="F1118" t="s">
        <v>204</v>
      </c>
      <c r="G1118">
        <v>127</v>
      </c>
      <c r="I1118">
        <f t="shared" si="92"/>
        <v>0</v>
      </c>
      <c r="J1118">
        <f t="shared" si="92"/>
        <v>0</v>
      </c>
      <c r="K1118">
        <f t="shared" si="92"/>
        <v>0</v>
      </c>
      <c r="M1118" t="str" cm="1">
        <f t="array" ref="M1118">IFERROR(INDEX($I$2:$K$2,0,MATCH(TRUE,I1118:K1118,0)),E1118)</f>
        <v>CCGT</v>
      </c>
      <c r="O1118" t="str">
        <f t="shared" si="90"/>
        <v>CCGT_2022</v>
      </c>
      <c r="P1118">
        <f t="shared" si="91"/>
        <v>127</v>
      </c>
    </row>
    <row r="1119" spans="4:16" x14ac:dyDescent="0.25">
      <c r="D1119">
        <v>2023</v>
      </c>
      <c r="E1119" t="s">
        <v>123</v>
      </c>
      <c r="F1119" t="s">
        <v>204</v>
      </c>
      <c r="G1119">
        <v>127</v>
      </c>
      <c r="I1119">
        <f t="shared" si="92"/>
        <v>0</v>
      </c>
      <c r="J1119">
        <f t="shared" si="92"/>
        <v>0</v>
      </c>
      <c r="K1119">
        <f t="shared" si="92"/>
        <v>0</v>
      </c>
      <c r="M1119" t="str" cm="1">
        <f t="array" ref="M1119">IFERROR(INDEX($I$2:$K$2,0,MATCH(TRUE,I1119:K1119,0)),E1119)</f>
        <v>CCGT</v>
      </c>
      <c r="O1119" t="str">
        <f t="shared" si="90"/>
        <v>CCGT_2023</v>
      </c>
      <c r="P1119">
        <f t="shared" si="91"/>
        <v>127</v>
      </c>
    </row>
    <row r="1120" spans="4:16" x14ac:dyDescent="0.25">
      <c r="D1120">
        <v>2024</v>
      </c>
      <c r="E1120" t="s">
        <v>123</v>
      </c>
      <c r="F1120" t="s">
        <v>204</v>
      </c>
      <c r="G1120">
        <v>127</v>
      </c>
      <c r="I1120">
        <f t="shared" si="92"/>
        <v>0</v>
      </c>
      <c r="J1120">
        <f t="shared" si="92"/>
        <v>0</v>
      </c>
      <c r="K1120">
        <f t="shared" si="92"/>
        <v>0</v>
      </c>
      <c r="M1120" t="str" cm="1">
        <f t="array" ref="M1120">IFERROR(INDEX($I$2:$K$2,0,MATCH(TRUE,I1120:K1120,0)),E1120)</f>
        <v>CCGT</v>
      </c>
      <c r="O1120" t="str">
        <f t="shared" si="90"/>
        <v>CCGT_2024</v>
      </c>
      <c r="P1120">
        <f t="shared" si="91"/>
        <v>127</v>
      </c>
    </row>
    <row r="1121" spans="4:16" x14ac:dyDescent="0.25">
      <c r="D1121">
        <v>2025</v>
      </c>
      <c r="E1121" t="s">
        <v>123</v>
      </c>
      <c r="F1121" t="s">
        <v>204</v>
      </c>
      <c r="G1121">
        <v>127</v>
      </c>
      <c r="I1121">
        <f t="shared" si="92"/>
        <v>0</v>
      </c>
      <c r="J1121">
        <f t="shared" si="92"/>
        <v>0</v>
      </c>
      <c r="K1121">
        <f t="shared" si="92"/>
        <v>0</v>
      </c>
      <c r="M1121" t="str" cm="1">
        <f t="array" ref="M1121">IFERROR(INDEX($I$2:$K$2,0,MATCH(TRUE,I1121:K1121,0)),E1121)</f>
        <v>CCGT</v>
      </c>
      <c r="O1121" t="str">
        <f t="shared" si="90"/>
        <v>CCGT_2025</v>
      </c>
      <c r="P1121">
        <f t="shared" si="91"/>
        <v>127</v>
      </c>
    </row>
    <row r="1122" spans="4:16" x14ac:dyDescent="0.25">
      <c r="D1122">
        <v>2026</v>
      </c>
      <c r="E1122" t="s">
        <v>123</v>
      </c>
      <c r="F1122" t="s">
        <v>204</v>
      </c>
      <c r="G1122">
        <v>127</v>
      </c>
      <c r="I1122">
        <f t="shared" si="92"/>
        <v>0</v>
      </c>
      <c r="J1122">
        <f t="shared" si="92"/>
        <v>0</v>
      </c>
      <c r="K1122">
        <f t="shared" si="92"/>
        <v>0</v>
      </c>
      <c r="M1122" t="str" cm="1">
        <f t="array" ref="M1122">IFERROR(INDEX($I$2:$K$2,0,MATCH(TRUE,I1122:K1122,0)),E1122)</f>
        <v>CCGT</v>
      </c>
      <c r="O1122" t="str">
        <f t="shared" si="90"/>
        <v>CCGT_2026</v>
      </c>
      <c r="P1122">
        <f t="shared" si="91"/>
        <v>127</v>
      </c>
    </row>
    <row r="1123" spans="4:16" x14ac:dyDescent="0.25">
      <c r="D1123">
        <v>2027</v>
      </c>
      <c r="E1123" t="s">
        <v>123</v>
      </c>
      <c r="F1123" t="s">
        <v>204</v>
      </c>
      <c r="G1123">
        <v>127</v>
      </c>
      <c r="I1123">
        <f t="shared" si="92"/>
        <v>0</v>
      </c>
      <c r="J1123">
        <f t="shared" si="92"/>
        <v>0</v>
      </c>
      <c r="K1123">
        <f t="shared" si="92"/>
        <v>0</v>
      </c>
      <c r="M1123" t="str" cm="1">
        <f t="array" ref="M1123">IFERROR(INDEX($I$2:$K$2,0,MATCH(TRUE,I1123:K1123,0)),E1123)</f>
        <v>CCGT</v>
      </c>
      <c r="O1123" t="str">
        <f t="shared" si="90"/>
        <v>CCGT_2027</v>
      </c>
      <c r="P1123">
        <f t="shared" si="91"/>
        <v>127</v>
      </c>
    </row>
    <row r="1124" spans="4:16" x14ac:dyDescent="0.25">
      <c r="D1124">
        <v>2028</v>
      </c>
      <c r="E1124" t="s">
        <v>123</v>
      </c>
      <c r="F1124" t="s">
        <v>204</v>
      </c>
      <c r="G1124">
        <v>127</v>
      </c>
      <c r="I1124">
        <f t="shared" ref="I1124:K1143" si="93">IFERROR(FIND(I$2,$E1124,1)&gt;0,0)</f>
        <v>0</v>
      </c>
      <c r="J1124">
        <f t="shared" si="93"/>
        <v>0</v>
      </c>
      <c r="K1124">
        <f t="shared" si="93"/>
        <v>0</v>
      </c>
      <c r="M1124" t="str" cm="1">
        <f t="array" ref="M1124">IFERROR(INDEX($I$2:$K$2,0,MATCH(TRUE,I1124:K1124,0)),E1124)</f>
        <v>CCGT</v>
      </c>
      <c r="O1124" t="str">
        <f t="shared" si="90"/>
        <v>CCGT_2028</v>
      </c>
      <c r="P1124">
        <f t="shared" si="91"/>
        <v>127</v>
      </c>
    </row>
    <row r="1125" spans="4:16" x14ac:dyDescent="0.25">
      <c r="D1125">
        <v>2029</v>
      </c>
      <c r="E1125" t="s">
        <v>123</v>
      </c>
      <c r="F1125" t="s">
        <v>204</v>
      </c>
      <c r="G1125">
        <v>127</v>
      </c>
      <c r="I1125">
        <f t="shared" si="93"/>
        <v>0</v>
      </c>
      <c r="J1125">
        <f t="shared" si="93"/>
        <v>0</v>
      </c>
      <c r="K1125">
        <f t="shared" si="93"/>
        <v>0</v>
      </c>
      <c r="M1125" t="str" cm="1">
        <f t="array" ref="M1125">IFERROR(INDEX($I$2:$K$2,0,MATCH(TRUE,I1125:K1125,0)),E1125)</f>
        <v>CCGT</v>
      </c>
      <c r="O1125" t="str">
        <f t="shared" si="90"/>
        <v>CCGT_2029</v>
      </c>
      <c r="P1125">
        <f t="shared" si="91"/>
        <v>127</v>
      </c>
    </row>
    <row r="1126" spans="4:16" x14ac:dyDescent="0.25">
      <c r="D1126">
        <v>2030</v>
      </c>
      <c r="E1126" t="s">
        <v>123</v>
      </c>
      <c r="F1126" t="s">
        <v>204</v>
      </c>
      <c r="G1126">
        <v>127</v>
      </c>
      <c r="I1126">
        <f t="shared" si="93"/>
        <v>0</v>
      </c>
      <c r="J1126">
        <f t="shared" si="93"/>
        <v>0</v>
      </c>
      <c r="K1126">
        <f t="shared" si="93"/>
        <v>0</v>
      </c>
      <c r="M1126" t="str" cm="1">
        <f t="array" ref="M1126">IFERROR(INDEX($I$2:$K$2,0,MATCH(TRUE,I1126:K1126,0)),E1126)</f>
        <v>CCGT</v>
      </c>
      <c r="O1126" t="str">
        <f t="shared" si="90"/>
        <v>CCGT_2030</v>
      </c>
      <c r="P1126">
        <f t="shared" si="91"/>
        <v>127</v>
      </c>
    </row>
    <row r="1127" spans="4:16" x14ac:dyDescent="0.25">
      <c r="D1127">
        <v>2031</v>
      </c>
      <c r="E1127" t="s">
        <v>123</v>
      </c>
      <c r="F1127" t="s">
        <v>204</v>
      </c>
      <c r="G1127">
        <v>127</v>
      </c>
      <c r="I1127">
        <f t="shared" si="93"/>
        <v>0</v>
      </c>
      <c r="J1127">
        <f t="shared" si="93"/>
        <v>0</v>
      </c>
      <c r="K1127">
        <f t="shared" si="93"/>
        <v>0</v>
      </c>
      <c r="M1127" t="str" cm="1">
        <f t="array" ref="M1127">IFERROR(INDEX($I$2:$K$2,0,MATCH(TRUE,I1127:K1127,0)),E1127)</f>
        <v>CCGT</v>
      </c>
      <c r="O1127" t="str">
        <f t="shared" si="90"/>
        <v>CCGT_2031</v>
      </c>
      <c r="P1127">
        <f t="shared" si="91"/>
        <v>127</v>
      </c>
    </row>
    <row r="1128" spans="4:16" x14ac:dyDescent="0.25">
      <c r="D1128">
        <v>2032</v>
      </c>
      <c r="E1128" t="s">
        <v>123</v>
      </c>
      <c r="F1128" t="s">
        <v>204</v>
      </c>
      <c r="G1128">
        <v>127</v>
      </c>
      <c r="I1128">
        <f t="shared" si="93"/>
        <v>0</v>
      </c>
      <c r="J1128">
        <f t="shared" si="93"/>
        <v>0</v>
      </c>
      <c r="K1128">
        <f t="shared" si="93"/>
        <v>0</v>
      </c>
      <c r="M1128" t="str" cm="1">
        <f t="array" ref="M1128">IFERROR(INDEX($I$2:$K$2,0,MATCH(TRUE,I1128:K1128,0)),E1128)</f>
        <v>CCGT</v>
      </c>
      <c r="O1128" t="str">
        <f t="shared" si="90"/>
        <v>CCGT_2032</v>
      </c>
      <c r="P1128">
        <f t="shared" si="91"/>
        <v>127</v>
      </c>
    </row>
    <row r="1129" spans="4:16" x14ac:dyDescent="0.25">
      <c r="D1129">
        <v>2033</v>
      </c>
      <c r="E1129" t="s">
        <v>123</v>
      </c>
      <c r="F1129" t="s">
        <v>204</v>
      </c>
      <c r="G1129">
        <v>127</v>
      </c>
      <c r="I1129">
        <f t="shared" si="93"/>
        <v>0</v>
      </c>
      <c r="J1129">
        <f t="shared" si="93"/>
        <v>0</v>
      </c>
      <c r="K1129">
        <f t="shared" si="93"/>
        <v>0</v>
      </c>
      <c r="M1129" t="str" cm="1">
        <f t="array" ref="M1129">IFERROR(INDEX($I$2:$K$2,0,MATCH(TRUE,I1129:K1129,0)),E1129)</f>
        <v>CCGT</v>
      </c>
      <c r="O1129" t="str">
        <f t="shared" si="90"/>
        <v>CCGT_2033</v>
      </c>
      <c r="P1129">
        <f t="shared" si="91"/>
        <v>127</v>
      </c>
    </row>
    <row r="1130" spans="4:16" x14ac:dyDescent="0.25">
      <c r="D1130">
        <v>2034</v>
      </c>
      <c r="E1130" t="s">
        <v>123</v>
      </c>
      <c r="F1130" t="s">
        <v>204</v>
      </c>
      <c r="G1130">
        <v>127</v>
      </c>
      <c r="I1130">
        <f t="shared" si="93"/>
        <v>0</v>
      </c>
      <c r="J1130">
        <f t="shared" si="93"/>
        <v>0</v>
      </c>
      <c r="K1130">
        <f t="shared" si="93"/>
        <v>0</v>
      </c>
      <c r="M1130" t="str" cm="1">
        <f t="array" ref="M1130">IFERROR(INDEX($I$2:$K$2,0,MATCH(TRUE,I1130:K1130,0)),E1130)</f>
        <v>CCGT</v>
      </c>
      <c r="O1130" t="str">
        <f t="shared" si="90"/>
        <v>CCGT_2034</v>
      </c>
      <c r="P1130">
        <f t="shared" si="91"/>
        <v>127</v>
      </c>
    </row>
    <row r="1131" spans="4:16" x14ac:dyDescent="0.25">
      <c r="D1131">
        <v>2035</v>
      </c>
      <c r="E1131" t="s">
        <v>123</v>
      </c>
      <c r="F1131" t="s">
        <v>204</v>
      </c>
      <c r="G1131">
        <v>127</v>
      </c>
      <c r="I1131">
        <f t="shared" si="93"/>
        <v>0</v>
      </c>
      <c r="J1131">
        <f t="shared" si="93"/>
        <v>0</v>
      </c>
      <c r="K1131">
        <f t="shared" si="93"/>
        <v>0</v>
      </c>
      <c r="M1131" t="str" cm="1">
        <f t="array" ref="M1131">IFERROR(INDEX($I$2:$K$2,0,MATCH(TRUE,I1131:K1131,0)),E1131)</f>
        <v>CCGT</v>
      </c>
      <c r="O1131" t="str">
        <f t="shared" si="90"/>
        <v>CCGT_2035</v>
      </c>
      <c r="P1131">
        <f t="shared" si="91"/>
        <v>127</v>
      </c>
    </row>
    <row r="1132" spans="4:16" x14ac:dyDescent="0.25">
      <c r="D1132">
        <v>2036</v>
      </c>
      <c r="E1132" t="s">
        <v>123</v>
      </c>
      <c r="F1132" t="s">
        <v>204</v>
      </c>
      <c r="G1132">
        <v>127</v>
      </c>
      <c r="I1132">
        <f t="shared" si="93"/>
        <v>0</v>
      </c>
      <c r="J1132">
        <f t="shared" si="93"/>
        <v>0</v>
      </c>
      <c r="K1132">
        <f t="shared" si="93"/>
        <v>0</v>
      </c>
      <c r="M1132" t="str" cm="1">
        <f t="array" ref="M1132">IFERROR(INDEX($I$2:$K$2,0,MATCH(TRUE,I1132:K1132,0)),E1132)</f>
        <v>CCGT</v>
      </c>
      <c r="O1132" t="str">
        <f t="shared" si="90"/>
        <v>CCGT_2036</v>
      </c>
      <c r="P1132">
        <f t="shared" si="91"/>
        <v>127</v>
      </c>
    </row>
    <row r="1133" spans="4:16" x14ac:dyDescent="0.25">
      <c r="D1133">
        <v>2037</v>
      </c>
      <c r="E1133" t="s">
        <v>123</v>
      </c>
      <c r="F1133" t="s">
        <v>204</v>
      </c>
      <c r="G1133">
        <v>127</v>
      </c>
      <c r="I1133">
        <f t="shared" si="93"/>
        <v>0</v>
      </c>
      <c r="J1133">
        <f t="shared" si="93"/>
        <v>0</v>
      </c>
      <c r="K1133">
        <f t="shared" si="93"/>
        <v>0</v>
      </c>
      <c r="M1133" t="str" cm="1">
        <f t="array" ref="M1133">IFERROR(INDEX($I$2:$K$2,0,MATCH(TRUE,I1133:K1133,0)),E1133)</f>
        <v>CCGT</v>
      </c>
      <c r="O1133" t="str">
        <f t="shared" si="90"/>
        <v>CCGT_2037</v>
      </c>
      <c r="P1133">
        <f t="shared" si="91"/>
        <v>127</v>
      </c>
    </row>
    <row r="1134" spans="4:16" x14ac:dyDescent="0.25">
      <c r="D1134">
        <v>2038</v>
      </c>
      <c r="E1134" t="s">
        <v>123</v>
      </c>
      <c r="F1134" t="s">
        <v>204</v>
      </c>
      <c r="G1134">
        <v>127</v>
      </c>
      <c r="I1134">
        <f t="shared" si="93"/>
        <v>0</v>
      </c>
      <c r="J1134">
        <f t="shared" si="93"/>
        <v>0</v>
      </c>
      <c r="K1134">
        <f t="shared" si="93"/>
        <v>0</v>
      </c>
      <c r="M1134" t="str" cm="1">
        <f t="array" ref="M1134">IFERROR(INDEX($I$2:$K$2,0,MATCH(TRUE,I1134:K1134,0)),E1134)</f>
        <v>CCGT</v>
      </c>
      <c r="O1134" t="str">
        <f t="shared" si="90"/>
        <v>CCGT_2038</v>
      </c>
      <c r="P1134">
        <f t="shared" si="91"/>
        <v>127</v>
      </c>
    </row>
    <row r="1135" spans="4:16" x14ac:dyDescent="0.25">
      <c r="D1135">
        <v>2039</v>
      </c>
      <c r="E1135" t="s">
        <v>123</v>
      </c>
      <c r="F1135" t="s">
        <v>204</v>
      </c>
      <c r="G1135">
        <v>127</v>
      </c>
      <c r="I1135">
        <f t="shared" si="93"/>
        <v>0</v>
      </c>
      <c r="J1135">
        <f t="shared" si="93"/>
        <v>0</v>
      </c>
      <c r="K1135">
        <f t="shared" si="93"/>
        <v>0</v>
      </c>
      <c r="M1135" t="str" cm="1">
        <f t="array" ref="M1135">IFERROR(INDEX($I$2:$K$2,0,MATCH(TRUE,I1135:K1135,0)),E1135)</f>
        <v>CCGT</v>
      </c>
      <c r="O1135" t="str">
        <f t="shared" si="90"/>
        <v>CCGT_2039</v>
      </c>
      <c r="P1135">
        <f t="shared" si="91"/>
        <v>127</v>
      </c>
    </row>
    <row r="1136" spans="4:16" x14ac:dyDescent="0.25">
      <c r="D1136">
        <v>2040</v>
      </c>
      <c r="E1136" t="s">
        <v>123</v>
      </c>
      <c r="F1136" t="s">
        <v>204</v>
      </c>
      <c r="G1136">
        <v>127</v>
      </c>
      <c r="I1136">
        <f t="shared" si="93"/>
        <v>0</v>
      </c>
      <c r="J1136">
        <f t="shared" si="93"/>
        <v>0</v>
      </c>
      <c r="K1136">
        <f t="shared" si="93"/>
        <v>0</v>
      </c>
      <c r="M1136" t="str" cm="1">
        <f t="array" ref="M1136">IFERROR(INDEX($I$2:$K$2,0,MATCH(TRUE,I1136:K1136,0)),E1136)</f>
        <v>CCGT</v>
      </c>
      <c r="O1136" t="str">
        <f t="shared" si="90"/>
        <v>CCGT_2040</v>
      </c>
      <c r="P1136">
        <f t="shared" si="91"/>
        <v>127</v>
      </c>
    </row>
    <row r="1137" spans="4:16" x14ac:dyDescent="0.25">
      <c r="D1137">
        <v>2021</v>
      </c>
      <c r="E1137" t="s">
        <v>123</v>
      </c>
      <c r="F1137" t="s">
        <v>205</v>
      </c>
      <c r="G1137">
        <v>122</v>
      </c>
      <c r="I1137">
        <f t="shared" si="93"/>
        <v>0</v>
      </c>
      <c r="J1137">
        <f t="shared" si="93"/>
        <v>0</v>
      </c>
      <c r="K1137">
        <f t="shared" si="93"/>
        <v>0</v>
      </c>
      <c r="M1137" t="str" cm="1">
        <f t="array" ref="M1137">IFERROR(INDEX($I$2:$K$2,0,MATCH(TRUE,I1137:K1137,0)),E1137)</f>
        <v>CCGT</v>
      </c>
      <c r="O1137" t="str">
        <f t="shared" si="90"/>
        <v>CCGT_2021</v>
      </c>
      <c r="P1137">
        <f t="shared" si="91"/>
        <v>122</v>
      </c>
    </row>
    <row r="1138" spans="4:16" x14ac:dyDescent="0.25">
      <c r="D1138">
        <v>2022</v>
      </c>
      <c r="E1138" t="s">
        <v>123</v>
      </c>
      <c r="F1138" t="s">
        <v>205</v>
      </c>
      <c r="G1138">
        <v>122</v>
      </c>
      <c r="I1138">
        <f t="shared" si="93"/>
        <v>0</v>
      </c>
      <c r="J1138">
        <f t="shared" si="93"/>
        <v>0</v>
      </c>
      <c r="K1138">
        <f t="shared" si="93"/>
        <v>0</v>
      </c>
      <c r="M1138" t="str" cm="1">
        <f t="array" ref="M1138">IFERROR(INDEX($I$2:$K$2,0,MATCH(TRUE,I1138:K1138,0)),E1138)</f>
        <v>CCGT</v>
      </c>
      <c r="O1138" t="str">
        <f t="shared" si="90"/>
        <v>CCGT_2022</v>
      </c>
      <c r="P1138">
        <f t="shared" si="91"/>
        <v>122</v>
      </c>
    </row>
    <row r="1139" spans="4:16" x14ac:dyDescent="0.25">
      <c r="D1139">
        <v>2023</v>
      </c>
      <c r="E1139" t="s">
        <v>123</v>
      </c>
      <c r="F1139" t="s">
        <v>205</v>
      </c>
      <c r="G1139">
        <v>122</v>
      </c>
      <c r="I1139">
        <f t="shared" si="93"/>
        <v>0</v>
      </c>
      <c r="J1139">
        <f t="shared" si="93"/>
        <v>0</v>
      </c>
      <c r="K1139">
        <f t="shared" si="93"/>
        <v>0</v>
      </c>
      <c r="M1139" t="str" cm="1">
        <f t="array" ref="M1139">IFERROR(INDEX($I$2:$K$2,0,MATCH(TRUE,I1139:K1139,0)),E1139)</f>
        <v>CCGT</v>
      </c>
      <c r="O1139" t="str">
        <f t="shared" si="90"/>
        <v>CCGT_2023</v>
      </c>
      <c r="P1139">
        <f t="shared" si="91"/>
        <v>122</v>
      </c>
    </row>
    <row r="1140" spans="4:16" x14ac:dyDescent="0.25">
      <c r="D1140">
        <v>2024</v>
      </c>
      <c r="E1140" t="s">
        <v>123</v>
      </c>
      <c r="F1140" t="s">
        <v>205</v>
      </c>
      <c r="G1140">
        <v>122</v>
      </c>
      <c r="I1140">
        <f t="shared" si="93"/>
        <v>0</v>
      </c>
      <c r="J1140">
        <f t="shared" si="93"/>
        <v>0</v>
      </c>
      <c r="K1140">
        <f t="shared" si="93"/>
        <v>0</v>
      </c>
      <c r="M1140" t="str" cm="1">
        <f t="array" ref="M1140">IFERROR(INDEX($I$2:$K$2,0,MATCH(TRUE,I1140:K1140,0)),E1140)</f>
        <v>CCGT</v>
      </c>
      <c r="O1140" t="str">
        <f t="shared" si="90"/>
        <v>CCGT_2024</v>
      </c>
      <c r="P1140">
        <f t="shared" si="91"/>
        <v>122</v>
      </c>
    </row>
    <row r="1141" spans="4:16" x14ac:dyDescent="0.25">
      <c r="D1141">
        <v>2025</v>
      </c>
      <c r="E1141" t="s">
        <v>123</v>
      </c>
      <c r="F1141" t="s">
        <v>205</v>
      </c>
      <c r="G1141">
        <v>122</v>
      </c>
      <c r="I1141">
        <f t="shared" si="93"/>
        <v>0</v>
      </c>
      <c r="J1141">
        <f t="shared" si="93"/>
        <v>0</v>
      </c>
      <c r="K1141">
        <f t="shared" si="93"/>
        <v>0</v>
      </c>
      <c r="M1141" t="str" cm="1">
        <f t="array" ref="M1141">IFERROR(INDEX($I$2:$K$2,0,MATCH(TRUE,I1141:K1141,0)),E1141)</f>
        <v>CCGT</v>
      </c>
      <c r="O1141" t="str">
        <f t="shared" si="90"/>
        <v>CCGT_2025</v>
      </c>
      <c r="P1141">
        <f t="shared" si="91"/>
        <v>122</v>
      </c>
    </row>
    <row r="1142" spans="4:16" x14ac:dyDescent="0.25">
      <c r="D1142">
        <v>2026</v>
      </c>
      <c r="E1142" t="s">
        <v>123</v>
      </c>
      <c r="F1142" t="s">
        <v>205</v>
      </c>
      <c r="G1142">
        <v>122</v>
      </c>
      <c r="I1142">
        <f t="shared" si="93"/>
        <v>0</v>
      </c>
      <c r="J1142">
        <f t="shared" si="93"/>
        <v>0</v>
      </c>
      <c r="K1142">
        <f t="shared" si="93"/>
        <v>0</v>
      </c>
      <c r="M1142" t="str" cm="1">
        <f t="array" ref="M1142">IFERROR(INDEX($I$2:$K$2,0,MATCH(TRUE,I1142:K1142,0)),E1142)</f>
        <v>CCGT</v>
      </c>
      <c r="O1142" t="str">
        <f t="shared" si="90"/>
        <v>CCGT_2026</v>
      </c>
      <c r="P1142">
        <f t="shared" si="91"/>
        <v>122</v>
      </c>
    </row>
    <row r="1143" spans="4:16" x14ac:dyDescent="0.25">
      <c r="D1143">
        <v>2027</v>
      </c>
      <c r="E1143" t="s">
        <v>123</v>
      </c>
      <c r="F1143" t="s">
        <v>205</v>
      </c>
      <c r="G1143">
        <v>122</v>
      </c>
      <c r="I1143">
        <f t="shared" si="93"/>
        <v>0</v>
      </c>
      <c r="J1143">
        <f t="shared" si="93"/>
        <v>0</v>
      </c>
      <c r="K1143">
        <f t="shared" si="93"/>
        <v>0</v>
      </c>
      <c r="M1143" t="str" cm="1">
        <f t="array" ref="M1143">IFERROR(INDEX($I$2:$K$2,0,MATCH(TRUE,I1143:K1143,0)),E1143)</f>
        <v>CCGT</v>
      </c>
      <c r="O1143" t="str">
        <f t="shared" si="90"/>
        <v>CCGT_2027</v>
      </c>
      <c r="P1143">
        <f t="shared" si="91"/>
        <v>122</v>
      </c>
    </row>
    <row r="1144" spans="4:16" x14ac:dyDescent="0.25">
      <c r="D1144">
        <v>2028</v>
      </c>
      <c r="E1144" t="s">
        <v>123</v>
      </c>
      <c r="F1144" t="s">
        <v>205</v>
      </c>
      <c r="G1144">
        <v>122</v>
      </c>
      <c r="I1144">
        <f t="shared" ref="I1144:K1163" si="94">IFERROR(FIND(I$2,$E1144,1)&gt;0,0)</f>
        <v>0</v>
      </c>
      <c r="J1144">
        <f t="shared" si="94"/>
        <v>0</v>
      </c>
      <c r="K1144">
        <f t="shared" si="94"/>
        <v>0</v>
      </c>
      <c r="M1144" t="str" cm="1">
        <f t="array" ref="M1144">IFERROR(INDEX($I$2:$K$2,0,MATCH(TRUE,I1144:K1144,0)),E1144)</f>
        <v>CCGT</v>
      </c>
      <c r="O1144" t="str">
        <f t="shared" si="90"/>
        <v>CCGT_2028</v>
      </c>
      <c r="P1144">
        <f t="shared" si="91"/>
        <v>122</v>
      </c>
    </row>
    <row r="1145" spans="4:16" x14ac:dyDescent="0.25">
      <c r="D1145">
        <v>2029</v>
      </c>
      <c r="E1145" t="s">
        <v>123</v>
      </c>
      <c r="F1145" t="s">
        <v>205</v>
      </c>
      <c r="G1145">
        <v>122</v>
      </c>
      <c r="I1145">
        <f t="shared" si="94"/>
        <v>0</v>
      </c>
      <c r="J1145">
        <f t="shared" si="94"/>
        <v>0</v>
      </c>
      <c r="K1145">
        <f t="shared" si="94"/>
        <v>0</v>
      </c>
      <c r="M1145" t="str" cm="1">
        <f t="array" ref="M1145">IFERROR(INDEX($I$2:$K$2,0,MATCH(TRUE,I1145:K1145,0)),E1145)</f>
        <v>CCGT</v>
      </c>
      <c r="O1145" t="str">
        <f t="shared" si="90"/>
        <v>CCGT_2029</v>
      </c>
      <c r="P1145">
        <f t="shared" si="91"/>
        <v>122</v>
      </c>
    </row>
    <row r="1146" spans="4:16" x14ac:dyDescent="0.25">
      <c r="D1146">
        <v>2030</v>
      </c>
      <c r="E1146" t="s">
        <v>123</v>
      </c>
      <c r="F1146" t="s">
        <v>205</v>
      </c>
      <c r="G1146">
        <v>122</v>
      </c>
      <c r="I1146">
        <f t="shared" si="94"/>
        <v>0</v>
      </c>
      <c r="J1146">
        <f t="shared" si="94"/>
        <v>0</v>
      </c>
      <c r="K1146">
        <f t="shared" si="94"/>
        <v>0</v>
      </c>
      <c r="M1146" t="str" cm="1">
        <f t="array" ref="M1146">IFERROR(INDEX($I$2:$K$2,0,MATCH(TRUE,I1146:K1146,0)),E1146)</f>
        <v>CCGT</v>
      </c>
      <c r="O1146" t="str">
        <f t="shared" si="90"/>
        <v>CCGT_2030</v>
      </c>
      <c r="P1146">
        <f t="shared" si="91"/>
        <v>122</v>
      </c>
    </row>
    <row r="1147" spans="4:16" x14ac:dyDescent="0.25">
      <c r="D1147">
        <v>2031</v>
      </c>
      <c r="E1147" t="s">
        <v>123</v>
      </c>
      <c r="F1147" t="s">
        <v>205</v>
      </c>
      <c r="G1147">
        <v>122</v>
      </c>
      <c r="I1147">
        <f t="shared" si="94"/>
        <v>0</v>
      </c>
      <c r="J1147">
        <f t="shared" si="94"/>
        <v>0</v>
      </c>
      <c r="K1147">
        <f t="shared" si="94"/>
        <v>0</v>
      </c>
      <c r="M1147" t="str" cm="1">
        <f t="array" ref="M1147">IFERROR(INDEX($I$2:$K$2,0,MATCH(TRUE,I1147:K1147,0)),E1147)</f>
        <v>CCGT</v>
      </c>
      <c r="O1147" t="str">
        <f t="shared" si="90"/>
        <v>CCGT_2031</v>
      </c>
      <c r="P1147">
        <f t="shared" si="91"/>
        <v>122</v>
      </c>
    </row>
    <row r="1148" spans="4:16" x14ac:dyDescent="0.25">
      <c r="D1148">
        <v>2032</v>
      </c>
      <c r="E1148" t="s">
        <v>123</v>
      </c>
      <c r="F1148" t="s">
        <v>205</v>
      </c>
      <c r="G1148">
        <v>122</v>
      </c>
      <c r="I1148">
        <f t="shared" si="94"/>
        <v>0</v>
      </c>
      <c r="J1148">
        <f t="shared" si="94"/>
        <v>0</v>
      </c>
      <c r="K1148">
        <f t="shared" si="94"/>
        <v>0</v>
      </c>
      <c r="M1148" t="str" cm="1">
        <f t="array" ref="M1148">IFERROR(INDEX($I$2:$K$2,0,MATCH(TRUE,I1148:K1148,0)),E1148)</f>
        <v>CCGT</v>
      </c>
      <c r="O1148" t="str">
        <f t="shared" si="90"/>
        <v>CCGT_2032</v>
      </c>
      <c r="P1148">
        <f t="shared" si="91"/>
        <v>122</v>
      </c>
    </row>
    <row r="1149" spans="4:16" x14ac:dyDescent="0.25">
      <c r="D1149">
        <v>2033</v>
      </c>
      <c r="E1149" t="s">
        <v>123</v>
      </c>
      <c r="F1149" t="s">
        <v>205</v>
      </c>
      <c r="G1149">
        <v>122</v>
      </c>
      <c r="I1149">
        <f t="shared" si="94"/>
        <v>0</v>
      </c>
      <c r="J1149">
        <f t="shared" si="94"/>
        <v>0</v>
      </c>
      <c r="K1149">
        <f t="shared" si="94"/>
        <v>0</v>
      </c>
      <c r="M1149" t="str" cm="1">
        <f t="array" ref="M1149">IFERROR(INDEX($I$2:$K$2,0,MATCH(TRUE,I1149:K1149,0)),E1149)</f>
        <v>CCGT</v>
      </c>
      <c r="O1149" t="str">
        <f t="shared" si="90"/>
        <v>CCGT_2033</v>
      </c>
      <c r="P1149">
        <f t="shared" si="91"/>
        <v>122</v>
      </c>
    </row>
    <row r="1150" spans="4:16" x14ac:dyDescent="0.25">
      <c r="D1150">
        <v>2034</v>
      </c>
      <c r="E1150" t="s">
        <v>123</v>
      </c>
      <c r="F1150" t="s">
        <v>205</v>
      </c>
      <c r="G1150">
        <v>122</v>
      </c>
      <c r="I1150">
        <f t="shared" si="94"/>
        <v>0</v>
      </c>
      <c r="J1150">
        <f t="shared" si="94"/>
        <v>0</v>
      </c>
      <c r="K1150">
        <f t="shared" si="94"/>
        <v>0</v>
      </c>
      <c r="M1150" t="str" cm="1">
        <f t="array" ref="M1150">IFERROR(INDEX($I$2:$K$2,0,MATCH(TRUE,I1150:K1150,0)),E1150)</f>
        <v>CCGT</v>
      </c>
      <c r="O1150" t="str">
        <f t="shared" si="90"/>
        <v>CCGT_2034</v>
      </c>
      <c r="P1150">
        <f t="shared" si="91"/>
        <v>122</v>
      </c>
    </row>
    <row r="1151" spans="4:16" x14ac:dyDescent="0.25">
      <c r="D1151">
        <v>2035</v>
      </c>
      <c r="E1151" t="s">
        <v>123</v>
      </c>
      <c r="F1151" t="s">
        <v>205</v>
      </c>
      <c r="G1151">
        <v>122</v>
      </c>
      <c r="I1151">
        <f t="shared" si="94"/>
        <v>0</v>
      </c>
      <c r="J1151">
        <f t="shared" si="94"/>
        <v>0</v>
      </c>
      <c r="K1151">
        <f t="shared" si="94"/>
        <v>0</v>
      </c>
      <c r="M1151" t="str" cm="1">
        <f t="array" ref="M1151">IFERROR(INDEX($I$2:$K$2,0,MATCH(TRUE,I1151:K1151,0)),E1151)</f>
        <v>CCGT</v>
      </c>
      <c r="O1151" t="str">
        <f t="shared" si="90"/>
        <v>CCGT_2035</v>
      </c>
      <c r="P1151">
        <f t="shared" si="91"/>
        <v>122</v>
      </c>
    </row>
    <row r="1152" spans="4:16" x14ac:dyDescent="0.25">
      <c r="D1152">
        <v>2036</v>
      </c>
      <c r="E1152" t="s">
        <v>123</v>
      </c>
      <c r="F1152" t="s">
        <v>205</v>
      </c>
      <c r="G1152">
        <v>122</v>
      </c>
      <c r="I1152">
        <f t="shared" si="94"/>
        <v>0</v>
      </c>
      <c r="J1152">
        <f t="shared" si="94"/>
        <v>0</v>
      </c>
      <c r="K1152">
        <f t="shared" si="94"/>
        <v>0</v>
      </c>
      <c r="M1152" t="str" cm="1">
        <f t="array" ref="M1152">IFERROR(INDEX($I$2:$K$2,0,MATCH(TRUE,I1152:K1152,0)),E1152)</f>
        <v>CCGT</v>
      </c>
      <c r="O1152" t="str">
        <f t="shared" si="90"/>
        <v>CCGT_2036</v>
      </c>
      <c r="P1152">
        <f t="shared" si="91"/>
        <v>122</v>
      </c>
    </row>
    <row r="1153" spans="4:16" x14ac:dyDescent="0.25">
      <c r="D1153">
        <v>2037</v>
      </c>
      <c r="E1153" t="s">
        <v>123</v>
      </c>
      <c r="F1153" t="s">
        <v>205</v>
      </c>
      <c r="G1153">
        <v>122</v>
      </c>
      <c r="I1153">
        <f t="shared" si="94"/>
        <v>0</v>
      </c>
      <c r="J1153">
        <f t="shared" si="94"/>
        <v>0</v>
      </c>
      <c r="K1153">
        <f t="shared" si="94"/>
        <v>0</v>
      </c>
      <c r="M1153" t="str" cm="1">
        <f t="array" ref="M1153">IFERROR(INDEX($I$2:$K$2,0,MATCH(TRUE,I1153:K1153,0)),E1153)</f>
        <v>CCGT</v>
      </c>
      <c r="O1153" t="str">
        <f t="shared" si="90"/>
        <v>CCGT_2037</v>
      </c>
      <c r="P1153">
        <f t="shared" si="91"/>
        <v>122</v>
      </c>
    </row>
    <row r="1154" spans="4:16" x14ac:dyDescent="0.25">
      <c r="D1154">
        <v>2038</v>
      </c>
      <c r="E1154" t="s">
        <v>123</v>
      </c>
      <c r="F1154" t="s">
        <v>205</v>
      </c>
      <c r="G1154">
        <v>122</v>
      </c>
      <c r="I1154">
        <f t="shared" si="94"/>
        <v>0</v>
      </c>
      <c r="J1154">
        <f t="shared" si="94"/>
        <v>0</v>
      </c>
      <c r="K1154">
        <f t="shared" si="94"/>
        <v>0</v>
      </c>
      <c r="M1154" t="str" cm="1">
        <f t="array" ref="M1154">IFERROR(INDEX($I$2:$K$2,0,MATCH(TRUE,I1154:K1154,0)),E1154)</f>
        <v>CCGT</v>
      </c>
      <c r="O1154" t="str">
        <f t="shared" si="90"/>
        <v>CCGT_2038</v>
      </c>
      <c r="P1154">
        <f t="shared" si="91"/>
        <v>122</v>
      </c>
    </row>
    <row r="1155" spans="4:16" x14ac:dyDescent="0.25">
      <c r="D1155">
        <v>2039</v>
      </c>
      <c r="E1155" t="s">
        <v>123</v>
      </c>
      <c r="F1155" t="s">
        <v>205</v>
      </c>
      <c r="G1155">
        <v>122</v>
      </c>
      <c r="I1155">
        <f t="shared" si="94"/>
        <v>0</v>
      </c>
      <c r="J1155">
        <f t="shared" si="94"/>
        <v>0</v>
      </c>
      <c r="K1155">
        <f t="shared" si="94"/>
        <v>0</v>
      </c>
      <c r="M1155" t="str" cm="1">
        <f t="array" ref="M1155">IFERROR(INDEX($I$2:$K$2,0,MATCH(TRUE,I1155:K1155,0)),E1155)</f>
        <v>CCGT</v>
      </c>
      <c r="O1155" t="str">
        <f t="shared" si="90"/>
        <v>CCGT_2039</v>
      </c>
      <c r="P1155">
        <f t="shared" si="91"/>
        <v>122</v>
      </c>
    </row>
    <row r="1156" spans="4:16" x14ac:dyDescent="0.25">
      <c r="D1156">
        <v>2040</v>
      </c>
      <c r="E1156" t="s">
        <v>123</v>
      </c>
      <c r="F1156" t="s">
        <v>205</v>
      </c>
      <c r="G1156">
        <v>122</v>
      </c>
      <c r="I1156">
        <f t="shared" si="94"/>
        <v>0</v>
      </c>
      <c r="J1156">
        <f t="shared" si="94"/>
        <v>0</v>
      </c>
      <c r="K1156">
        <f t="shared" si="94"/>
        <v>0</v>
      </c>
      <c r="M1156" t="str" cm="1">
        <f t="array" ref="M1156">IFERROR(INDEX($I$2:$K$2,0,MATCH(TRUE,I1156:K1156,0)),E1156)</f>
        <v>CCGT</v>
      </c>
      <c r="O1156" t="str">
        <f t="shared" ref="O1156:O1219" si="95">M1156&amp;"_"&amp;D1156</f>
        <v>CCGT_2040</v>
      </c>
      <c r="P1156">
        <f t="shared" ref="P1156:P1219" si="96">G1156</f>
        <v>122</v>
      </c>
    </row>
    <row r="1157" spans="4:16" x14ac:dyDescent="0.25">
      <c r="D1157">
        <v>2021</v>
      </c>
      <c r="E1157" t="s">
        <v>123</v>
      </c>
      <c r="F1157" t="s">
        <v>206</v>
      </c>
      <c r="G1157">
        <v>66</v>
      </c>
      <c r="I1157">
        <f t="shared" si="94"/>
        <v>0</v>
      </c>
      <c r="J1157">
        <f t="shared" si="94"/>
        <v>0</v>
      </c>
      <c r="K1157">
        <f t="shared" si="94"/>
        <v>0</v>
      </c>
      <c r="M1157" t="str" cm="1">
        <f t="array" ref="M1157">IFERROR(INDEX($I$2:$K$2,0,MATCH(TRUE,I1157:K1157,0)),E1157)</f>
        <v>CCGT</v>
      </c>
      <c r="O1157" t="str">
        <f t="shared" si="95"/>
        <v>CCGT_2021</v>
      </c>
      <c r="P1157">
        <f t="shared" si="96"/>
        <v>66</v>
      </c>
    </row>
    <row r="1158" spans="4:16" x14ac:dyDescent="0.25">
      <c r="D1158">
        <v>2022</v>
      </c>
      <c r="E1158" t="s">
        <v>123</v>
      </c>
      <c r="F1158" t="s">
        <v>206</v>
      </c>
      <c r="G1158">
        <v>66</v>
      </c>
      <c r="I1158">
        <f t="shared" si="94"/>
        <v>0</v>
      </c>
      <c r="J1158">
        <f t="shared" si="94"/>
        <v>0</v>
      </c>
      <c r="K1158">
        <f t="shared" si="94"/>
        <v>0</v>
      </c>
      <c r="M1158" t="str" cm="1">
        <f t="array" ref="M1158">IFERROR(INDEX($I$2:$K$2,0,MATCH(TRUE,I1158:K1158,0)),E1158)</f>
        <v>CCGT</v>
      </c>
      <c r="O1158" t="str">
        <f t="shared" si="95"/>
        <v>CCGT_2022</v>
      </c>
      <c r="P1158">
        <f t="shared" si="96"/>
        <v>66</v>
      </c>
    </row>
    <row r="1159" spans="4:16" x14ac:dyDescent="0.25">
      <c r="D1159">
        <v>2023</v>
      </c>
      <c r="E1159" t="s">
        <v>123</v>
      </c>
      <c r="F1159" t="s">
        <v>206</v>
      </c>
      <c r="G1159">
        <v>66</v>
      </c>
      <c r="I1159">
        <f t="shared" si="94"/>
        <v>0</v>
      </c>
      <c r="J1159">
        <f t="shared" si="94"/>
        <v>0</v>
      </c>
      <c r="K1159">
        <f t="shared" si="94"/>
        <v>0</v>
      </c>
      <c r="M1159" t="str" cm="1">
        <f t="array" ref="M1159">IFERROR(INDEX($I$2:$K$2,0,MATCH(TRUE,I1159:K1159,0)),E1159)</f>
        <v>CCGT</v>
      </c>
      <c r="O1159" t="str">
        <f t="shared" si="95"/>
        <v>CCGT_2023</v>
      </c>
      <c r="P1159">
        <f t="shared" si="96"/>
        <v>66</v>
      </c>
    </row>
    <row r="1160" spans="4:16" x14ac:dyDescent="0.25">
      <c r="D1160">
        <v>2024</v>
      </c>
      <c r="E1160" t="s">
        <v>123</v>
      </c>
      <c r="F1160" t="s">
        <v>206</v>
      </c>
      <c r="G1160">
        <v>66</v>
      </c>
      <c r="I1160">
        <f t="shared" si="94"/>
        <v>0</v>
      </c>
      <c r="J1160">
        <f t="shared" si="94"/>
        <v>0</v>
      </c>
      <c r="K1160">
        <f t="shared" si="94"/>
        <v>0</v>
      </c>
      <c r="M1160" t="str" cm="1">
        <f t="array" ref="M1160">IFERROR(INDEX($I$2:$K$2,0,MATCH(TRUE,I1160:K1160,0)),E1160)</f>
        <v>CCGT</v>
      </c>
      <c r="O1160" t="str">
        <f t="shared" si="95"/>
        <v>CCGT_2024</v>
      </c>
      <c r="P1160">
        <f t="shared" si="96"/>
        <v>66</v>
      </c>
    </row>
    <row r="1161" spans="4:16" x14ac:dyDescent="0.25">
      <c r="D1161">
        <v>2025</v>
      </c>
      <c r="E1161" t="s">
        <v>123</v>
      </c>
      <c r="F1161" t="s">
        <v>206</v>
      </c>
      <c r="G1161">
        <v>66</v>
      </c>
      <c r="I1161">
        <f t="shared" si="94"/>
        <v>0</v>
      </c>
      <c r="J1161">
        <f t="shared" si="94"/>
        <v>0</v>
      </c>
      <c r="K1161">
        <f t="shared" si="94"/>
        <v>0</v>
      </c>
      <c r="M1161" t="str" cm="1">
        <f t="array" ref="M1161">IFERROR(INDEX($I$2:$K$2,0,MATCH(TRUE,I1161:K1161,0)),E1161)</f>
        <v>CCGT</v>
      </c>
      <c r="O1161" t="str">
        <f t="shared" si="95"/>
        <v>CCGT_2025</v>
      </c>
      <c r="P1161">
        <f t="shared" si="96"/>
        <v>66</v>
      </c>
    </row>
    <row r="1162" spans="4:16" x14ac:dyDescent="0.25">
      <c r="D1162">
        <v>2026</v>
      </c>
      <c r="E1162" t="s">
        <v>123</v>
      </c>
      <c r="F1162" t="s">
        <v>206</v>
      </c>
      <c r="G1162">
        <v>66</v>
      </c>
      <c r="I1162">
        <f t="shared" si="94"/>
        <v>0</v>
      </c>
      <c r="J1162">
        <f t="shared" si="94"/>
        <v>0</v>
      </c>
      <c r="K1162">
        <f t="shared" si="94"/>
        <v>0</v>
      </c>
      <c r="M1162" t="str" cm="1">
        <f t="array" ref="M1162">IFERROR(INDEX($I$2:$K$2,0,MATCH(TRUE,I1162:K1162,0)),E1162)</f>
        <v>CCGT</v>
      </c>
      <c r="O1162" t="str">
        <f t="shared" si="95"/>
        <v>CCGT_2026</v>
      </c>
      <c r="P1162">
        <f t="shared" si="96"/>
        <v>66</v>
      </c>
    </row>
    <row r="1163" spans="4:16" x14ac:dyDescent="0.25">
      <c r="D1163">
        <v>2027</v>
      </c>
      <c r="E1163" t="s">
        <v>123</v>
      </c>
      <c r="F1163" t="s">
        <v>206</v>
      </c>
      <c r="G1163">
        <v>66</v>
      </c>
      <c r="I1163">
        <f t="shared" si="94"/>
        <v>0</v>
      </c>
      <c r="J1163">
        <f t="shared" si="94"/>
        <v>0</v>
      </c>
      <c r="K1163">
        <f t="shared" si="94"/>
        <v>0</v>
      </c>
      <c r="M1163" t="str" cm="1">
        <f t="array" ref="M1163">IFERROR(INDEX($I$2:$K$2,0,MATCH(TRUE,I1163:K1163,0)),E1163)</f>
        <v>CCGT</v>
      </c>
      <c r="O1163" t="str">
        <f t="shared" si="95"/>
        <v>CCGT_2027</v>
      </c>
      <c r="P1163">
        <f t="shared" si="96"/>
        <v>66</v>
      </c>
    </row>
    <row r="1164" spans="4:16" x14ac:dyDescent="0.25">
      <c r="D1164">
        <v>2028</v>
      </c>
      <c r="E1164" t="s">
        <v>123</v>
      </c>
      <c r="F1164" t="s">
        <v>206</v>
      </c>
      <c r="G1164">
        <v>66</v>
      </c>
      <c r="I1164">
        <f t="shared" ref="I1164:K1183" si="97">IFERROR(FIND(I$2,$E1164,1)&gt;0,0)</f>
        <v>0</v>
      </c>
      <c r="J1164">
        <f t="shared" si="97"/>
        <v>0</v>
      </c>
      <c r="K1164">
        <f t="shared" si="97"/>
        <v>0</v>
      </c>
      <c r="M1164" t="str" cm="1">
        <f t="array" ref="M1164">IFERROR(INDEX($I$2:$K$2,0,MATCH(TRUE,I1164:K1164,0)),E1164)</f>
        <v>CCGT</v>
      </c>
      <c r="O1164" t="str">
        <f t="shared" si="95"/>
        <v>CCGT_2028</v>
      </c>
      <c r="P1164">
        <f t="shared" si="96"/>
        <v>66</v>
      </c>
    </row>
    <row r="1165" spans="4:16" x14ac:dyDescent="0.25">
      <c r="D1165">
        <v>2029</v>
      </c>
      <c r="E1165" t="s">
        <v>123</v>
      </c>
      <c r="F1165" t="s">
        <v>206</v>
      </c>
      <c r="G1165">
        <v>66</v>
      </c>
      <c r="I1165">
        <f t="shared" si="97"/>
        <v>0</v>
      </c>
      <c r="J1165">
        <f t="shared" si="97"/>
        <v>0</v>
      </c>
      <c r="K1165">
        <f t="shared" si="97"/>
        <v>0</v>
      </c>
      <c r="M1165" t="str" cm="1">
        <f t="array" ref="M1165">IFERROR(INDEX($I$2:$K$2,0,MATCH(TRUE,I1165:K1165,0)),E1165)</f>
        <v>CCGT</v>
      </c>
      <c r="O1165" t="str">
        <f t="shared" si="95"/>
        <v>CCGT_2029</v>
      </c>
      <c r="P1165">
        <f t="shared" si="96"/>
        <v>66</v>
      </c>
    </row>
    <row r="1166" spans="4:16" x14ac:dyDescent="0.25">
      <c r="D1166">
        <v>2030</v>
      </c>
      <c r="E1166" t="s">
        <v>123</v>
      </c>
      <c r="F1166" t="s">
        <v>206</v>
      </c>
      <c r="G1166">
        <v>66</v>
      </c>
      <c r="I1166">
        <f t="shared" si="97"/>
        <v>0</v>
      </c>
      <c r="J1166">
        <f t="shared" si="97"/>
        <v>0</v>
      </c>
      <c r="K1166">
        <f t="shared" si="97"/>
        <v>0</v>
      </c>
      <c r="M1166" t="str" cm="1">
        <f t="array" ref="M1166">IFERROR(INDEX($I$2:$K$2,0,MATCH(TRUE,I1166:K1166,0)),E1166)</f>
        <v>CCGT</v>
      </c>
      <c r="O1166" t="str">
        <f t="shared" si="95"/>
        <v>CCGT_2030</v>
      </c>
      <c r="P1166">
        <f t="shared" si="96"/>
        <v>66</v>
      </c>
    </row>
    <row r="1167" spans="4:16" x14ac:dyDescent="0.25">
      <c r="D1167">
        <v>2031</v>
      </c>
      <c r="E1167" t="s">
        <v>123</v>
      </c>
      <c r="F1167" t="s">
        <v>206</v>
      </c>
      <c r="G1167">
        <v>66</v>
      </c>
      <c r="I1167">
        <f t="shared" si="97"/>
        <v>0</v>
      </c>
      <c r="J1167">
        <f t="shared" si="97"/>
        <v>0</v>
      </c>
      <c r="K1167">
        <f t="shared" si="97"/>
        <v>0</v>
      </c>
      <c r="M1167" t="str" cm="1">
        <f t="array" ref="M1167">IFERROR(INDEX($I$2:$K$2,0,MATCH(TRUE,I1167:K1167,0)),E1167)</f>
        <v>CCGT</v>
      </c>
      <c r="O1167" t="str">
        <f t="shared" si="95"/>
        <v>CCGT_2031</v>
      </c>
      <c r="P1167">
        <f t="shared" si="96"/>
        <v>66</v>
      </c>
    </row>
    <row r="1168" spans="4:16" x14ac:dyDescent="0.25">
      <c r="D1168">
        <v>2032</v>
      </c>
      <c r="E1168" t="s">
        <v>123</v>
      </c>
      <c r="F1168" t="s">
        <v>206</v>
      </c>
      <c r="G1168">
        <v>66</v>
      </c>
      <c r="I1168">
        <f t="shared" si="97"/>
        <v>0</v>
      </c>
      <c r="J1168">
        <f t="shared" si="97"/>
        <v>0</v>
      </c>
      <c r="K1168">
        <f t="shared" si="97"/>
        <v>0</v>
      </c>
      <c r="M1168" t="str" cm="1">
        <f t="array" ref="M1168">IFERROR(INDEX($I$2:$K$2,0,MATCH(TRUE,I1168:K1168,0)),E1168)</f>
        <v>CCGT</v>
      </c>
      <c r="O1168" t="str">
        <f t="shared" si="95"/>
        <v>CCGT_2032</v>
      </c>
      <c r="P1168">
        <f t="shared" si="96"/>
        <v>66</v>
      </c>
    </row>
    <row r="1169" spans="4:16" x14ac:dyDescent="0.25">
      <c r="D1169">
        <v>2033</v>
      </c>
      <c r="E1169" t="s">
        <v>123</v>
      </c>
      <c r="F1169" t="s">
        <v>206</v>
      </c>
      <c r="G1169">
        <v>66</v>
      </c>
      <c r="I1169">
        <f t="shared" si="97"/>
        <v>0</v>
      </c>
      <c r="J1169">
        <f t="shared" si="97"/>
        <v>0</v>
      </c>
      <c r="K1169">
        <f t="shared" si="97"/>
        <v>0</v>
      </c>
      <c r="M1169" t="str" cm="1">
        <f t="array" ref="M1169">IFERROR(INDEX($I$2:$K$2,0,MATCH(TRUE,I1169:K1169,0)),E1169)</f>
        <v>CCGT</v>
      </c>
      <c r="O1169" t="str">
        <f t="shared" si="95"/>
        <v>CCGT_2033</v>
      </c>
      <c r="P1169">
        <f t="shared" si="96"/>
        <v>66</v>
      </c>
    </row>
    <row r="1170" spans="4:16" x14ac:dyDescent="0.25">
      <c r="D1170">
        <v>2034</v>
      </c>
      <c r="E1170" t="s">
        <v>123</v>
      </c>
      <c r="F1170" t="s">
        <v>206</v>
      </c>
      <c r="G1170">
        <v>66</v>
      </c>
      <c r="I1170">
        <f t="shared" si="97"/>
        <v>0</v>
      </c>
      <c r="J1170">
        <f t="shared" si="97"/>
        <v>0</v>
      </c>
      <c r="K1170">
        <f t="shared" si="97"/>
        <v>0</v>
      </c>
      <c r="M1170" t="str" cm="1">
        <f t="array" ref="M1170">IFERROR(INDEX($I$2:$K$2,0,MATCH(TRUE,I1170:K1170,0)),E1170)</f>
        <v>CCGT</v>
      </c>
      <c r="O1170" t="str">
        <f t="shared" si="95"/>
        <v>CCGT_2034</v>
      </c>
      <c r="P1170">
        <f t="shared" si="96"/>
        <v>66</v>
      </c>
    </row>
    <row r="1171" spans="4:16" x14ac:dyDescent="0.25">
      <c r="D1171">
        <v>2035</v>
      </c>
      <c r="E1171" t="s">
        <v>123</v>
      </c>
      <c r="F1171" t="s">
        <v>206</v>
      </c>
      <c r="G1171">
        <v>66</v>
      </c>
      <c r="I1171">
        <f t="shared" si="97"/>
        <v>0</v>
      </c>
      <c r="J1171">
        <f t="shared" si="97"/>
        <v>0</v>
      </c>
      <c r="K1171">
        <f t="shared" si="97"/>
        <v>0</v>
      </c>
      <c r="M1171" t="str" cm="1">
        <f t="array" ref="M1171">IFERROR(INDEX($I$2:$K$2,0,MATCH(TRUE,I1171:K1171,0)),E1171)</f>
        <v>CCGT</v>
      </c>
      <c r="O1171" t="str">
        <f t="shared" si="95"/>
        <v>CCGT_2035</v>
      </c>
      <c r="P1171">
        <f t="shared" si="96"/>
        <v>66</v>
      </c>
    </row>
    <row r="1172" spans="4:16" x14ac:dyDescent="0.25">
      <c r="D1172">
        <v>2036</v>
      </c>
      <c r="E1172" t="s">
        <v>123</v>
      </c>
      <c r="F1172" t="s">
        <v>206</v>
      </c>
      <c r="G1172">
        <v>66</v>
      </c>
      <c r="I1172">
        <f t="shared" si="97"/>
        <v>0</v>
      </c>
      <c r="J1172">
        <f t="shared" si="97"/>
        <v>0</v>
      </c>
      <c r="K1172">
        <f t="shared" si="97"/>
        <v>0</v>
      </c>
      <c r="M1172" t="str" cm="1">
        <f t="array" ref="M1172">IFERROR(INDEX($I$2:$K$2,0,MATCH(TRUE,I1172:K1172,0)),E1172)</f>
        <v>CCGT</v>
      </c>
      <c r="O1172" t="str">
        <f t="shared" si="95"/>
        <v>CCGT_2036</v>
      </c>
      <c r="P1172">
        <f t="shared" si="96"/>
        <v>66</v>
      </c>
    </row>
    <row r="1173" spans="4:16" x14ac:dyDescent="0.25">
      <c r="D1173">
        <v>2037</v>
      </c>
      <c r="E1173" t="s">
        <v>123</v>
      </c>
      <c r="F1173" t="s">
        <v>206</v>
      </c>
      <c r="G1173">
        <v>66</v>
      </c>
      <c r="I1173">
        <f t="shared" si="97"/>
        <v>0</v>
      </c>
      <c r="J1173">
        <f t="shared" si="97"/>
        <v>0</v>
      </c>
      <c r="K1173">
        <f t="shared" si="97"/>
        <v>0</v>
      </c>
      <c r="M1173" t="str" cm="1">
        <f t="array" ref="M1173">IFERROR(INDEX($I$2:$K$2,0,MATCH(TRUE,I1173:K1173,0)),E1173)</f>
        <v>CCGT</v>
      </c>
      <c r="O1173" t="str">
        <f t="shared" si="95"/>
        <v>CCGT_2037</v>
      </c>
      <c r="P1173">
        <f t="shared" si="96"/>
        <v>66</v>
      </c>
    </row>
    <row r="1174" spans="4:16" x14ac:dyDescent="0.25">
      <c r="D1174">
        <v>2038</v>
      </c>
      <c r="E1174" t="s">
        <v>123</v>
      </c>
      <c r="F1174" t="s">
        <v>206</v>
      </c>
      <c r="G1174">
        <v>66</v>
      </c>
      <c r="I1174">
        <f t="shared" si="97"/>
        <v>0</v>
      </c>
      <c r="J1174">
        <f t="shared" si="97"/>
        <v>0</v>
      </c>
      <c r="K1174">
        <f t="shared" si="97"/>
        <v>0</v>
      </c>
      <c r="M1174" t="str" cm="1">
        <f t="array" ref="M1174">IFERROR(INDEX($I$2:$K$2,0,MATCH(TRUE,I1174:K1174,0)),E1174)</f>
        <v>CCGT</v>
      </c>
      <c r="O1174" t="str">
        <f t="shared" si="95"/>
        <v>CCGT_2038</v>
      </c>
      <c r="P1174">
        <f t="shared" si="96"/>
        <v>66</v>
      </c>
    </row>
    <row r="1175" spans="4:16" x14ac:dyDescent="0.25">
      <c r="D1175">
        <v>2039</v>
      </c>
      <c r="E1175" t="s">
        <v>123</v>
      </c>
      <c r="F1175" t="s">
        <v>206</v>
      </c>
      <c r="G1175">
        <v>66</v>
      </c>
      <c r="I1175">
        <f t="shared" si="97"/>
        <v>0</v>
      </c>
      <c r="J1175">
        <f t="shared" si="97"/>
        <v>0</v>
      </c>
      <c r="K1175">
        <f t="shared" si="97"/>
        <v>0</v>
      </c>
      <c r="M1175" t="str" cm="1">
        <f t="array" ref="M1175">IFERROR(INDEX($I$2:$K$2,0,MATCH(TRUE,I1175:K1175,0)),E1175)</f>
        <v>CCGT</v>
      </c>
      <c r="O1175" t="str">
        <f t="shared" si="95"/>
        <v>CCGT_2039</v>
      </c>
      <c r="P1175">
        <f t="shared" si="96"/>
        <v>66</v>
      </c>
    </row>
    <row r="1176" spans="4:16" x14ac:dyDescent="0.25">
      <c r="D1176">
        <v>2040</v>
      </c>
      <c r="E1176" t="s">
        <v>123</v>
      </c>
      <c r="F1176" t="s">
        <v>206</v>
      </c>
      <c r="G1176">
        <v>66</v>
      </c>
      <c r="I1176">
        <f t="shared" si="97"/>
        <v>0</v>
      </c>
      <c r="J1176">
        <f t="shared" si="97"/>
        <v>0</v>
      </c>
      <c r="K1176">
        <f t="shared" si="97"/>
        <v>0</v>
      </c>
      <c r="M1176" t="str" cm="1">
        <f t="array" ref="M1176">IFERROR(INDEX($I$2:$K$2,0,MATCH(TRUE,I1176:K1176,0)),E1176)</f>
        <v>CCGT</v>
      </c>
      <c r="O1176" t="str">
        <f t="shared" si="95"/>
        <v>CCGT_2040</v>
      </c>
      <c r="P1176">
        <f t="shared" si="96"/>
        <v>66</v>
      </c>
    </row>
    <row r="1177" spans="4:16" x14ac:dyDescent="0.25">
      <c r="D1177">
        <v>2021</v>
      </c>
      <c r="E1177" t="s">
        <v>123</v>
      </c>
      <c r="F1177" t="s">
        <v>207</v>
      </c>
      <c r="G1177">
        <v>38</v>
      </c>
      <c r="I1177">
        <f t="shared" si="97"/>
        <v>0</v>
      </c>
      <c r="J1177">
        <f t="shared" si="97"/>
        <v>0</v>
      </c>
      <c r="K1177">
        <f t="shared" si="97"/>
        <v>0</v>
      </c>
      <c r="M1177" t="str" cm="1">
        <f t="array" ref="M1177">IFERROR(INDEX($I$2:$K$2,0,MATCH(TRUE,I1177:K1177,0)),E1177)</f>
        <v>CCGT</v>
      </c>
      <c r="O1177" t="str">
        <f t="shared" si="95"/>
        <v>CCGT_2021</v>
      </c>
      <c r="P1177">
        <f t="shared" si="96"/>
        <v>38</v>
      </c>
    </row>
    <row r="1178" spans="4:16" x14ac:dyDescent="0.25">
      <c r="D1178">
        <v>2022</v>
      </c>
      <c r="E1178" t="s">
        <v>123</v>
      </c>
      <c r="F1178" t="s">
        <v>207</v>
      </c>
      <c r="G1178">
        <v>38</v>
      </c>
      <c r="I1178">
        <f t="shared" si="97"/>
        <v>0</v>
      </c>
      <c r="J1178">
        <f t="shared" si="97"/>
        <v>0</v>
      </c>
      <c r="K1178">
        <f t="shared" si="97"/>
        <v>0</v>
      </c>
      <c r="M1178" t="str" cm="1">
        <f t="array" ref="M1178">IFERROR(INDEX($I$2:$K$2,0,MATCH(TRUE,I1178:K1178,0)),E1178)</f>
        <v>CCGT</v>
      </c>
      <c r="O1178" t="str">
        <f t="shared" si="95"/>
        <v>CCGT_2022</v>
      </c>
      <c r="P1178">
        <f t="shared" si="96"/>
        <v>38</v>
      </c>
    </row>
    <row r="1179" spans="4:16" x14ac:dyDescent="0.25">
      <c r="D1179">
        <v>2023</v>
      </c>
      <c r="E1179" t="s">
        <v>123</v>
      </c>
      <c r="F1179" t="s">
        <v>207</v>
      </c>
      <c r="G1179">
        <v>38</v>
      </c>
      <c r="I1179">
        <f t="shared" si="97"/>
        <v>0</v>
      </c>
      <c r="J1179">
        <f t="shared" si="97"/>
        <v>0</v>
      </c>
      <c r="K1179">
        <f t="shared" si="97"/>
        <v>0</v>
      </c>
      <c r="M1179" t="str" cm="1">
        <f t="array" ref="M1179">IFERROR(INDEX($I$2:$K$2,0,MATCH(TRUE,I1179:K1179,0)),E1179)</f>
        <v>CCGT</v>
      </c>
      <c r="O1179" t="str">
        <f t="shared" si="95"/>
        <v>CCGT_2023</v>
      </c>
      <c r="P1179">
        <f t="shared" si="96"/>
        <v>38</v>
      </c>
    </row>
    <row r="1180" spans="4:16" x14ac:dyDescent="0.25">
      <c r="D1180">
        <v>2024</v>
      </c>
      <c r="E1180" t="s">
        <v>123</v>
      </c>
      <c r="F1180" t="s">
        <v>207</v>
      </c>
      <c r="G1180">
        <v>38</v>
      </c>
      <c r="I1180">
        <f t="shared" si="97"/>
        <v>0</v>
      </c>
      <c r="J1180">
        <f t="shared" si="97"/>
        <v>0</v>
      </c>
      <c r="K1180">
        <f t="shared" si="97"/>
        <v>0</v>
      </c>
      <c r="M1180" t="str" cm="1">
        <f t="array" ref="M1180">IFERROR(INDEX($I$2:$K$2,0,MATCH(TRUE,I1180:K1180,0)),E1180)</f>
        <v>CCGT</v>
      </c>
      <c r="O1180" t="str">
        <f t="shared" si="95"/>
        <v>CCGT_2024</v>
      </c>
      <c r="P1180">
        <f t="shared" si="96"/>
        <v>38</v>
      </c>
    </row>
    <row r="1181" spans="4:16" x14ac:dyDescent="0.25">
      <c r="D1181">
        <v>2025</v>
      </c>
      <c r="E1181" t="s">
        <v>123</v>
      </c>
      <c r="F1181" t="s">
        <v>207</v>
      </c>
      <c r="G1181">
        <v>38</v>
      </c>
      <c r="I1181">
        <f t="shared" si="97"/>
        <v>0</v>
      </c>
      <c r="J1181">
        <f t="shared" si="97"/>
        <v>0</v>
      </c>
      <c r="K1181">
        <f t="shared" si="97"/>
        <v>0</v>
      </c>
      <c r="M1181" t="str" cm="1">
        <f t="array" ref="M1181">IFERROR(INDEX($I$2:$K$2,0,MATCH(TRUE,I1181:K1181,0)),E1181)</f>
        <v>CCGT</v>
      </c>
      <c r="O1181" t="str">
        <f t="shared" si="95"/>
        <v>CCGT_2025</v>
      </c>
      <c r="P1181">
        <f t="shared" si="96"/>
        <v>38</v>
      </c>
    </row>
    <row r="1182" spans="4:16" x14ac:dyDescent="0.25">
      <c r="D1182">
        <v>2026</v>
      </c>
      <c r="E1182" t="s">
        <v>123</v>
      </c>
      <c r="F1182" t="s">
        <v>207</v>
      </c>
      <c r="G1182">
        <v>38</v>
      </c>
      <c r="I1182">
        <f t="shared" si="97"/>
        <v>0</v>
      </c>
      <c r="J1182">
        <f t="shared" si="97"/>
        <v>0</v>
      </c>
      <c r="K1182">
        <f t="shared" si="97"/>
        <v>0</v>
      </c>
      <c r="M1182" t="str" cm="1">
        <f t="array" ref="M1182">IFERROR(INDEX($I$2:$K$2,0,MATCH(TRUE,I1182:K1182,0)),E1182)</f>
        <v>CCGT</v>
      </c>
      <c r="O1182" t="str">
        <f t="shared" si="95"/>
        <v>CCGT_2026</v>
      </c>
      <c r="P1182">
        <f t="shared" si="96"/>
        <v>38</v>
      </c>
    </row>
    <row r="1183" spans="4:16" x14ac:dyDescent="0.25">
      <c r="D1183">
        <v>2027</v>
      </c>
      <c r="E1183" t="s">
        <v>123</v>
      </c>
      <c r="F1183" t="s">
        <v>207</v>
      </c>
      <c r="G1183">
        <v>38</v>
      </c>
      <c r="I1183">
        <f t="shared" si="97"/>
        <v>0</v>
      </c>
      <c r="J1183">
        <f t="shared" si="97"/>
        <v>0</v>
      </c>
      <c r="K1183">
        <f t="shared" si="97"/>
        <v>0</v>
      </c>
      <c r="M1183" t="str" cm="1">
        <f t="array" ref="M1183">IFERROR(INDEX($I$2:$K$2,0,MATCH(TRUE,I1183:K1183,0)),E1183)</f>
        <v>CCGT</v>
      </c>
      <c r="O1183" t="str">
        <f t="shared" si="95"/>
        <v>CCGT_2027</v>
      </c>
      <c r="P1183">
        <f t="shared" si="96"/>
        <v>38</v>
      </c>
    </row>
    <row r="1184" spans="4:16" x14ac:dyDescent="0.25">
      <c r="D1184">
        <v>2028</v>
      </c>
      <c r="E1184" t="s">
        <v>123</v>
      </c>
      <c r="F1184" t="s">
        <v>207</v>
      </c>
      <c r="G1184">
        <v>38</v>
      </c>
      <c r="I1184">
        <f t="shared" ref="I1184:K1203" si="98">IFERROR(FIND(I$2,$E1184,1)&gt;0,0)</f>
        <v>0</v>
      </c>
      <c r="J1184">
        <f t="shared" si="98"/>
        <v>0</v>
      </c>
      <c r="K1184">
        <f t="shared" si="98"/>
        <v>0</v>
      </c>
      <c r="M1184" t="str" cm="1">
        <f t="array" ref="M1184">IFERROR(INDEX($I$2:$K$2,0,MATCH(TRUE,I1184:K1184,0)),E1184)</f>
        <v>CCGT</v>
      </c>
      <c r="O1184" t="str">
        <f t="shared" si="95"/>
        <v>CCGT_2028</v>
      </c>
      <c r="P1184">
        <f t="shared" si="96"/>
        <v>38</v>
      </c>
    </row>
    <row r="1185" spans="4:16" x14ac:dyDescent="0.25">
      <c r="D1185">
        <v>2029</v>
      </c>
      <c r="E1185" t="s">
        <v>123</v>
      </c>
      <c r="F1185" t="s">
        <v>207</v>
      </c>
      <c r="G1185">
        <v>38</v>
      </c>
      <c r="I1185">
        <f t="shared" si="98"/>
        <v>0</v>
      </c>
      <c r="J1185">
        <f t="shared" si="98"/>
        <v>0</v>
      </c>
      <c r="K1185">
        <f t="shared" si="98"/>
        <v>0</v>
      </c>
      <c r="M1185" t="str" cm="1">
        <f t="array" ref="M1185">IFERROR(INDEX($I$2:$K$2,0,MATCH(TRUE,I1185:K1185,0)),E1185)</f>
        <v>CCGT</v>
      </c>
      <c r="O1185" t="str">
        <f t="shared" si="95"/>
        <v>CCGT_2029</v>
      </c>
      <c r="P1185">
        <f t="shared" si="96"/>
        <v>38</v>
      </c>
    </row>
    <row r="1186" spans="4:16" x14ac:dyDescent="0.25">
      <c r="D1186">
        <v>2030</v>
      </c>
      <c r="E1186" t="s">
        <v>123</v>
      </c>
      <c r="F1186" t="s">
        <v>207</v>
      </c>
      <c r="G1186">
        <v>38</v>
      </c>
      <c r="I1186">
        <f t="shared" si="98"/>
        <v>0</v>
      </c>
      <c r="J1186">
        <f t="shared" si="98"/>
        <v>0</v>
      </c>
      <c r="K1186">
        <f t="shared" si="98"/>
        <v>0</v>
      </c>
      <c r="M1186" t="str" cm="1">
        <f t="array" ref="M1186">IFERROR(INDEX($I$2:$K$2,0,MATCH(TRUE,I1186:K1186,0)),E1186)</f>
        <v>CCGT</v>
      </c>
      <c r="O1186" t="str">
        <f t="shared" si="95"/>
        <v>CCGT_2030</v>
      </c>
      <c r="P1186">
        <f t="shared" si="96"/>
        <v>38</v>
      </c>
    </row>
    <row r="1187" spans="4:16" x14ac:dyDescent="0.25">
      <c r="D1187">
        <v>2031</v>
      </c>
      <c r="E1187" t="s">
        <v>123</v>
      </c>
      <c r="F1187" t="s">
        <v>207</v>
      </c>
      <c r="G1187">
        <v>38</v>
      </c>
      <c r="I1187">
        <f t="shared" si="98"/>
        <v>0</v>
      </c>
      <c r="J1187">
        <f t="shared" si="98"/>
        <v>0</v>
      </c>
      <c r="K1187">
        <f t="shared" si="98"/>
        <v>0</v>
      </c>
      <c r="M1187" t="str" cm="1">
        <f t="array" ref="M1187">IFERROR(INDEX($I$2:$K$2,0,MATCH(TRUE,I1187:K1187,0)),E1187)</f>
        <v>CCGT</v>
      </c>
      <c r="O1187" t="str">
        <f t="shared" si="95"/>
        <v>CCGT_2031</v>
      </c>
      <c r="P1187">
        <f t="shared" si="96"/>
        <v>38</v>
      </c>
    </row>
    <row r="1188" spans="4:16" x14ac:dyDescent="0.25">
      <c r="D1188">
        <v>2032</v>
      </c>
      <c r="E1188" t="s">
        <v>123</v>
      </c>
      <c r="F1188" t="s">
        <v>207</v>
      </c>
      <c r="G1188">
        <v>38</v>
      </c>
      <c r="I1188">
        <f t="shared" si="98"/>
        <v>0</v>
      </c>
      <c r="J1188">
        <f t="shared" si="98"/>
        <v>0</v>
      </c>
      <c r="K1188">
        <f t="shared" si="98"/>
        <v>0</v>
      </c>
      <c r="M1188" t="str" cm="1">
        <f t="array" ref="M1188">IFERROR(INDEX($I$2:$K$2,0,MATCH(TRUE,I1188:K1188,0)),E1188)</f>
        <v>CCGT</v>
      </c>
      <c r="O1188" t="str">
        <f t="shared" si="95"/>
        <v>CCGT_2032</v>
      </c>
      <c r="P1188">
        <f t="shared" si="96"/>
        <v>38</v>
      </c>
    </row>
    <row r="1189" spans="4:16" x14ac:dyDescent="0.25">
      <c r="D1189">
        <v>2033</v>
      </c>
      <c r="E1189" t="s">
        <v>123</v>
      </c>
      <c r="F1189" t="s">
        <v>207</v>
      </c>
      <c r="G1189">
        <v>38</v>
      </c>
      <c r="I1189">
        <f t="shared" si="98"/>
        <v>0</v>
      </c>
      <c r="J1189">
        <f t="shared" si="98"/>
        <v>0</v>
      </c>
      <c r="K1189">
        <f t="shared" si="98"/>
        <v>0</v>
      </c>
      <c r="M1189" t="str" cm="1">
        <f t="array" ref="M1189">IFERROR(INDEX($I$2:$K$2,0,MATCH(TRUE,I1189:K1189,0)),E1189)</f>
        <v>CCGT</v>
      </c>
      <c r="O1189" t="str">
        <f t="shared" si="95"/>
        <v>CCGT_2033</v>
      </c>
      <c r="P1189">
        <f t="shared" si="96"/>
        <v>38</v>
      </c>
    </row>
    <row r="1190" spans="4:16" x14ac:dyDescent="0.25">
      <c r="D1190">
        <v>2034</v>
      </c>
      <c r="E1190" t="s">
        <v>123</v>
      </c>
      <c r="F1190" t="s">
        <v>207</v>
      </c>
      <c r="G1190">
        <v>38</v>
      </c>
      <c r="I1190">
        <f t="shared" si="98"/>
        <v>0</v>
      </c>
      <c r="J1190">
        <f t="shared" si="98"/>
        <v>0</v>
      </c>
      <c r="K1190">
        <f t="shared" si="98"/>
        <v>0</v>
      </c>
      <c r="M1190" t="str" cm="1">
        <f t="array" ref="M1190">IFERROR(INDEX($I$2:$K$2,0,MATCH(TRUE,I1190:K1190,0)),E1190)</f>
        <v>CCGT</v>
      </c>
      <c r="O1190" t="str">
        <f t="shared" si="95"/>
        <v>CCGT_2034</v>
      </c>
      <c r="P1190">
        <f t="shared" si="96"/>
        <v>38</v>
      </c>
    </row>
    <row r="1191" spans="4:16" x14ac:dyDescent="0.25">
      <c r="D1191">
        <v>2035</v>
      </c>
      <c r="E1191" t="s">
        <v>123</v>
      </c>
      <c r="F1191" t="s">
        <v>207</v>
      </c>
      <c r="G1191">
        <v>38</v>
      </c>
      <c r="I1191">
        <f t="shared" si="98"/>
        <v>0</v>
      </c>
      <c r="J1191">
        <f t="shared" si="98"/>
        <v>0</v>
      </c>
      <c r="K1191">
        <f t="shared" si="98"/>
        <v>0</v>
      </c>
      <c r="M1191" t="str" cm="1">
        <f t="array" ref="M1191">IFERROR(INDEX($I$2:$K$2,0,MATCH(TRUE,I1191:K1191,0)),E1191)</f>
        <v>CCGT</v>
      </c>
      <c r="O1191" t="str">
        <f t="shared" si="95"/>
        <v>CCGT_2035</v>
      </c>
      <c r="P1191">
        <f t="shared" si="96"/>
        <v>38</v>
      </c>
    </row>
    <row r="1192" spans="4:16" x14ac:dyDescent="0.25">
      <c r="D1192">
        <v>2036</v>
      </c>
      <c r="E1192" t="s">
        <v>123</v>
      </c>
      <c r="F1192" t="s">
        <v>207</v>
      </c>
      <c r="G1192">
        <v>38</v>
      </c>
      <c r="I1192">
        <f t="shared" si="98"/>
        <v>0</v>
      </c>
      <c r="J1192">
        <f t="shared" si="98"/>
        <v>0</v>
      </c>
      <c r="K1192">
        <f t="shared" si="98"/>
        <v>0</v>
      </c>
      <c r="M1192" t="str" cm="1">
        <f t="array" ref="M1192">IFERROR(INDEX($I$2:$K$2,0,MATCH(TRUE,I1192:K1192,0)),E1192)</f>
        <v>CCGT</v>
      </c>
      <c r="O1192" t="str">
        <f t="shared" si="95"/>
        <v>CCGT_2036</v>
      </c>
      <c r="P1192">
        <f t="shared" si="96"/>
        <v>38</v>
      </c>
    </row>
    <row r="1193" spans="4:16" x14ac:dyDescent="0.25">
      <c r="D1193">
        <v>2037</v>
      </c>
      <c r="E1193" t="s">
        <v>123</v>
      </c>
      <c r="F1193" t="s">
        <v>207</v>
      </c>
      <c r="G1193">
        <v>38</v>
      </c>
      <c r="I1193">
        <f t="shared" si="98"/>
        <v>0</v>
      </c>
      <c r="J1193">
        <f t="shared" si="98"/>
        <v>0</v>
      </c>
      <c r="K1193">
        <f t="shared" si="98"/>
        <v>0</v>
      </c>
      <c r="M1193" t="str" cm="1">
        <f t="array" ref="M1193">IFERROR(INDEX($I$2:$K$2,0,MATCH(TRUE,I1193:K1193,0)),E1193)</f>
        <v>CCGT</v>
      </c>
      <c r="O1193" t="str">
        <f t="shared" si="95"/>
        <v>CCGT_2037</v>
      </c>
      <c r="P1193">
        <f t="shared" si="96"/>
        <v>38</v>
      </c>
    </row>
    <row r="1194" spans="4:16" x14ac:dyDescent="0.25">
      <c r="D1194">
        <v>2038</v>
      </c>
      <c r="E1194" t="s">
        <v>123</v>
      </c>
      <c r="F1194" t="s">
        <v>207</v>
      </c>
      <c r="G1194">
        <v>38</v>
      </c>
      <c r="I1194">
        <f t="shared" si="98"/>
        <v>0</v>
      </c>
      <c r="J1194">
        <f t="shared" si="98"/>
        <v>0</v>
      </c>
      <c r="K1194">
        <f t="shared" si="98"/>
        <v>0</v>
      </c>
      <c r="M1194" t="str" cm="1">
        <f t="array" ref="M1194">IFERROR(INDEX($I$2:$K$2,0,MATCH(TRUE,I1194:K1194,0)),E1194)</f>
        <v>CCGT</v>
      </c>
      <c r="O1194" t="str">
        <f t="shared" si="95"/>
        <v>CCGT_2038</v>
      </c>
      <c r="P1194">
        <f t="shared" si="96"/>
        <v>38</v>
      </c>
    </row>
    <row r="1195" spans="4:16" x14ac:dyDescent="0.25">
      <c r="D1195">
        <v>2039</v>
      </c>
      <c r="E1195" t="s">
        <v>123</v>
      </c>
      <c r="F1195" t="s">
        <v>207</v>
      </c>
      <c r="G1195">
        <v>38</v>
      </c>
      <c r="I1195">
        <f t="shared" si="98"/>
        <v>0</v>
      </c>
      <c r="J1195">
        <f t="shared" si="98"/>
        <v>0</v>
      </c>
      <c r="K1195">
        <f t="shared" si="98"/>
        <v>0</v>
      </c>
      <c r="M1195" t="str" cm="1">
        <f t="array" ref="M1195">IFERROR(INDEX($I$2:$K$2,0,MATCH(TRUE,I1195:K1195,0)),E1195)</f>
        <v>CCGT</v>
      </c>
      <c r="O1195" t="str">
        <f t="shared" si="95"/>
        <v>CCGT_2039</v>
      </c>
      <c r="P1195">
        <f t="shared" si="96"/>
        <v>38</v>
      </c>
    </row>
    <row r="1196" spans="4:16" x14ac:dyDescent="0.25">
      <c r="D1196">
        <v>2040</v>
      </c>
      <c r="E1196" t="s">
        <v>123</v>
      </c>
      <c r="F1196" t="s">
        <v>207</v>
      </c>
      <c r="G1196">
        <v>38</v>
      </c>
      <c r="I1196">
        <f t="shared" si="98"/>
        <v>0</v>
      </c>
      <c r="J1196">
        <f t="shared" si="98"/>
        <v>0</v>
      </c>
      <c r="K1196">
        <f t="shared" si="98"/>
        <v>0</v>
      </c>
      <c r="M1196" t="str" cm="1">
        <f t="array" ref="M1196">IFERROR(INDEX($I$2:$K$2,0,MATCH(TRUE,I1196:K1196,0)),E1196)</f>
        <v>CCGT</v>
      </c>
      <c r="O1196" t="str">
        <f t="shared" si="95"/>
        <v>CCGT_2040</v>
      </c>
      <c r="P1196">
        <f t="shared" si="96"/>
        <v>38</v>
      </c>
    </row>
    <row r="1197" spans="4:16" x14ac:dyDescent="0.25">
      <c r="D1197">
        <v>2021</v>
      </c>
      <c r="E1197" t="s">
        <v>123</v>
      </c>
      <c r="F1197" t="s">
        <v>208</v>
      </c>
      <c r="G1197">
        <v>149.69999999999999</v>
      </c>
      <c r="I1197">
        <f t="shared" si="98"/>
        <v>0</v>
      </c>
      <c r="J1197">
        <f t="shared" si="98"/>
        <v>0</v>
      </c>
      <c r="K1197">
        <f t="shared" si="98"/>
        <v>0</v>
      </c>
      <c r="M1197" t="str" cm="1">
        <f t="array" ref="M1197">IFERROR(INDEX($I$2:$K$2,0,MATCH(TRUE,I1197:K1197,0)),E1197)</f>
        <v>CCGT</v>
      </c>
      <c r="O1197" t="str">
        <f t="shared" si="95"/>
        <v>CCGT_2021</v>
      </c>
      <c r="P1197">
        <f t="shared" si="96"/>
        <v>149.69999999999999</v>
      </c>
    </row>
    <row r="1198" spans="4:16" x14ac:dyDescent="0.25">
      <c r="D1198">
        <v>2022</v>
      </c>
      <c r="E1198" t="s">
        <v>123</v>
      </c>
      <c r="F1198" t="s">
        <v>208</v>
      </c>
      <c r="G1198">
        <v>149.69999999999999</v>
      </c>
      <c r="I1198">
        <f t="shared" si="98"/>
        <v>0</v>
      </c>
      <c r="J1198">
        <f t="shared" si="98"/>
        <v>0</v>
      </c>
      <c r="K1198">
        <f t="shared" si="98"/>
        <v>0</v>
      </c>
      <c r="M1198" t="str" cm="1">
        <f t="array" ref="M1198">IFERROR(INDEX($I$2:$K$2,0,MATCH(TRUE,I1198:K1198,0)),E1198)</f>
        <v>CCGT</v>
      </c>
      <c r="O1198" t="str">
        <f t="shared" si="95"/>
        <v>CCGT_2022</v>
      </c>
      <c r="P1198">
        <f t="shared" si="96"/>
        <v>149.69999999999999</v>
      </c>
    </row>
    <row r="1199" spans="4:16" x14ac:dyDescent="0.25">
      <c r="D1199">
        <v>2023</v>
      </c>
      <c r="E1199" t="s">
        <v>123</v>
      </c>
      <c r="F1199" t="s">
        <v>208</v>
      </c>
      <c r="G1199">
        <v>149.69999999999999</v>
      </c>
      <c r="I1199">
        <f t="shared" si="98"/>
        <v>0</v>
      </c>
      <c r="J1199">
        <f t="shared" si="98"/>
        <v>0</v>
      </c>
      <c r="K1199">
        <f t="shared" si="98"/>
        <v>0</v>
      </c>
      <c r="M1199" t="str" cm="1">
        <f t="array" ref="M1199">IFERROR(INDEX($I$2:$K$2,0,MATCH(TRUE,I1199:K1199,0)),E1199)</f>
        <v>CCGT</v>
      </c>
      <c r="O1199" t="str">
        <f t="shared" si="95"/>
        <v>CCGT_2023</v>
      </c>
      <c r="P1199">
        <f t="shared" si="96"/>
        <v>149.69999999999999</v>
      </c>
    </row>
    <row r="1200" spans="4:16" x14ac:dyDescent="0.25">
      <c r="D1200">
        <v>2024</v>
      </c>
      <c r="E1200" t="s">
        <v>123</v>
      </c>
      <c r="F1200" t="s">
        <v>208</v>
      </c>
      <c r="G1200">
        <v>149.69999999999999</v>
      </c>
      <c r="I1200">
        <f t="shared" si="98"/>
        <v>0</v>
      </c>
      <c r="J1200">
        <f t="shared" si="98"/>
        <v>0</v>
      </c>
      <c r="K1200">
        <f t="shared" si="98"/>
        <v>0</v>
      </c>
      <c r="M1200" t="str" cm="1">
        <f t="array" ref="M1200">IFERROR(INDEX($I$2:$K$2,0,MATCH(TRUE,I1200:K1200,0)),E1200)</f>
        <v>CCGT</v>
      </c>
      <c r="O1200" t="str">
        <f t="shared" si="95"/>
        <v>CCGT_2024</v>
      </c>
      <c r="P1200">
        <f t="shared" si="96"/>
        <v>149.69999999999999</v>
      </c>
    </row>
    <row r="1201" spans="4:16" x14ac:dyDescent="0.25">
      <c r="D1201">
        <v>2025</v>
      </c>
      <c r="E1201" t="s">
        <v>123</v>
      </c>
      <c r="F1201" t="s">
        <v>208</v>
      </c>
      <c r="G1201">
        <v>149.69999999999999</v>
      </c>
      <c r="I1201">
        <f t="shared" si="98"/>
        <v>0</v>
      </c>
      <c r="J1201">
        <f t="shared" si="98"/>
        <v>0</v>
      </c>
      <c r="K1201">
        <f t="shared" si="98"/>
        <v>0</v>
      </c>
      <c r="M1201" t="str" cm="1">
        <f t="array" ref="M1201">IFERROR(INDEX($I$2:$K$2,0,MATCH(TRUE,I1201:K1201,0)),E1201)</f>
        <v>CCGT</v>
      </c>
      <c r="O1201" t="str">
        <f t="shared" si="95"/>
        <v>CCGT_2025</v>
      </c>
      <c r="P1201">
        <f t="shared" si="96"/>
        <v>149.69999999999999</v>
      </c>
    </row>
    <row r="1202" spans="4:16" x14ac:dyDescent="0.25">
      <c r="D1202">
        <v>2026</v>
      </c>
      <c r="E1202" t="s">
        <v>123</v>
      </c>
      <c r="F1202" t="s">
        <v>208</v>
      </c>
      <c r="G1202">
        <v>149.69999999999999</v>
      </c>
      <c r="I1202">
        <f t="shared" si="98"/>
        <v>0</v>
      </c>
      <c r="J1202">
        <f t="shared" si="98"/>
        <v>0</v>
      </c>
      <c r="K1202">
        <f t="shared" si="98"/>
        <v>0</v>
      </c>
      <c r="M1202" t="str" cm="1">
        <f t="array" ref="M1202">IFERROR(INDEX($I$2:$K$2,0,MATCH(TRUE,I1202:K1202,0)),E1202)</f>
        <v>CCGT</v>
      </c>
      <c r="O1202" t="str">
        <f t="shared" si="95"/>
        <v>CCGT_2026</v>
      </c>
      <c r="P1202">
        <f t="shared" si="96"/>
        <v>149.69999999999999</v>
      </c>
    </row>
    <row r="1203" spans="4:16" x14ac:dyDescent="0.25">
      <c r="D1203">
        <v>2027</v>
      </c>
      <c r="E1203" t="s">
        <v>123</v>
      </c>
      <c r="F1203" t="s">
        <v>208</v>
      </c>
      <c r="G1203">
        <v>149.69999999999999</v>
      </c>
      <c r="I1203">
        <f t="shared" si="98"/>
        <v>0</v>
      </c>
      <c r="J1203">
        <f t="shared" si="98"/>
        <v>0</v>
      </c>
      <c r="K1203">
        <f t="shared" si="98"/>
        <v>0</v>
      </c>
      <c r="M1203" t="str" cm="1">
        <f t="array" ref="M1203">IFERROR(INDEX($I$2:$K$2,0,MATCH(TRUE,I1203:K1203,0)),E1203)</f>
        <v>CCGT</v>
      </c>
      <c r="O1203" t="str">
        <f t="shared" si="95"/>
        <v>CCGT_2027</v>
      </c>
      <c r="P1203">
        <f t="shared" si="96"/>
        <v>149.69999999999999</v>
      </c>
    </row>
    <row r="1204" spans="4:16" x14ac:dyDescent="0.25">
      <c r="D1204">
        <v>2028</v>
      </c>
      <c r="E1204" t="s">
        <v>123</v>
      </c>
      <c r="F1204" t="s">
        <v>208</v>
      </c>
      <c r="G1204">
        <v>149.69999999999999</v>
      </c>
      <c r="I1204">
        <f t="shared" ref="I1204:K1223" si="99">IFERROR(FIND(I$2,$E1204,1)&gt;0,0)</f>
        <v>0</v>
      </c>
      <c r="J1204">
        <f t="shared" si="99"/>
        <v>0</v>
      </c>
      <c r="K1204">
        <f t="shared" si="99"/>
        <v>0</v>
      </c>
      <c r="M1204" t="str" cm="1">
        <f t="array" ref="M1204">IFERROR(INDEX($I$2:$K$2,0,MATCH(TRUE,I1204:K1204,0)),E1204)</f>
        <v>CCGT</v>
      </c>
      <c r="O1204" t="str">
        <f t="shared" si="95"/>
        <v>CCGT_2028</v>
      </c>
      <c r="P1204">
        <f t="shared" si="96"/>
        <v>149.69999999999999</v>
      </c>
    </row>
    <row r="1205" spans="4:16" x14ac:dyDescent="0.25">
      <c r="D1205">
        <v>2029</v>
      </c>
      <c r="E1205" t="s">
        <v>123</v>
      </c>
      <c r="F1205" t="s">
        <v>208</v>
      </c>
      <c r="G1205">
        <v>149.69999999999999</v>
      </c>
      <c r="I1205">
        <f t="shared" si="99"/>
        <v>0</v>
      </c>
      <c r="J1205">
        <f t="shared" si="99"/>
        <v>0</v>
      </c>
      <c r="K1205">
        <f t="shared" si="99"/>
        <v>0</v>
      </c>
      <c r="M1205" t="str" cm="1">
        <f t="array" ref="M1205">IFERROR(INDEX($I$2:$K$2,0,MATCH(TRUE,I1205:K1205,0)),E1205)</f>
        <v>CCGT</v>
      </c>
      <c r="O1205" t="str">
        <f t="shared" si="95"/>
        <v>CCGT_2029</v>
      </c>
      <c r="P1205">
        <f t="shared" si="96"/>
        <v>149.69999999999999</v>
      </c>
    </row>
    <row r="1206" spans="4:16" x14ac:dyDescent="0.25">
      <c r="D1206">
        <v>2030</v>
      </c>
      <c r="E1206" t="s">
        <v>123</v>
      </c>
      <c r="F1206" t="s">
        <v>208</v>
      </c>
      <c r="G1206">
        <v>149.69999999999999</v>
      </c>
      <c r="I1206">
        <f t="shared" si="99"/>
        <v>0</v>
      </c>
      <c r="J1206">
        <f t="shared" si="99"/>
        <v>0</v>
      </c>
      <c r="K1206">
        <f t="shared" si="99"/>
        <v>0</v>
      </c>
      <c r="M1206" t="str" cm="1">
        <f t="array" ref="M1206">IFERROR(INDEX($I$2:$K$2,0,MATCH(TRUE,I1206:K1206,0)),E1206)</f>
        <v>CCGT</v>
      </c>
      <c r="O1206" t="str">
        <f t="shared" si="95"/>
        <v>CCGT_2030</v>
      </c>
      <c r="P1206">
        <f t="shared" si="96"/>
        <v>149.69999999999999</v>
      </c>
    </row>
    <row r="1207" spans="4:16" x14ac:dyDescent="0.25">
      <c r="D1207">
        <v>2031</v>
      </c>
      <c r="E1207" t="s">
        <v>123</v>
      </c>
      <c r="F1207" t="s">
        <v>208</v>
      </c>
      <c r="G1207">
        <v>149.69999999999999</v>
      </c>
      <c r="I1207">
        <f t="shared" si="99"/>
        <v>0</v>
      </c>
      <c r="J1207">
        <f t="shared" si="99"/>
        <v>0</v>
      </c>
      <c r="K1207">
        <f t="shared" si="99"/>
        <v>0</v>
      </c>
      <c r="M1207" t="str" cm="1">
        <f t="array" ref="M1207">IFERROR(INDEX($I$2:$K$2,0,MATCH(TRUE,I1207:K1207,0)),E1207)</f>
        <v>CCGT</v>
      </c>
      <c r="O1207" t="str">
        <f t="shared" si="95"/>
        <v>CCGT_2031</v>
      </c>
      <c r="P1207">
        <f t="shared" si="96"/>
        <v>149.69999999999999</v>
      </c>
    </row>
    <row r="1208" spans="4:16" x14ac:dyDescent="0.25">
      <c r="D1208">
        <v>2032</v>
      </c>
      <c r="E1208" t="s">
        <v>123</v>
      </c>
      <c r="F1208" t="s">
        <v>208</v>
      </c>
      <c r="G1208">
        <v>149.69999999999999</v>
      </c>
      <c r="I1208">
        <f t="shared" si="99"/>
        <v>0</v>
      </c>
      <c r="J1208">
        <f t="shared" si="99"/>
        <v>0</v>
      </c>
      <c r="K1208">
        <f t="shared" si="99"/>
        <v>0</v>
      </c>
      <c r="M1208" t="str" cm="1">
        <f t="array" ref="M1208">IFERROR(INDEX($I$2:$K$2,0,MATCH(TRUE,I1208:K1208,0)),E1208)</f>
        <v>CCGT</v>
      </c>
      <c r="O1208" t="str">
        <f t="shared" si="95"/>
        <v>CCGT_2032</v>
      </c>
      <c r="P1208">
        <f t="shared" si="96"/>
        <v>149.69999999999999</v>
      </c>
    </row>
    <row r="1209" spans="4:16" x14ac:dyDescent="0.25">
      <c r="D1209">
        <v>2033</v>
      </c>
      <c r="E1209" t="s">
        <v>123</v>
      </c>
      <c r="F1209" t="s">
        <v>208</v>
      </c>
      <c r="G1209">
        <v>149.69999999999999</v>
      </c>
      <c r="I1209">
        <f t="shared" si="99"/>
        <v>0</v>
      </c>
      <c r="J1209">
        <f t="shared" si="99"/>
        <v>0</v>
      </c>
      <c r="K1209">
        <f t="shared" si="99"/>
        <v>0</v>
      </c>
      <c r="M1209" t="str" cm="1">
        <f t="array" ref="M1209">IFERROR(INDEX($I$2:$K$2,0,MATCH(TRUE,I1209:K1209,0)),E1209)</f>
        <v>CCGT</v>
      </c>
      <c r="O1209" t="str">
        <f t="shared" si="95"/>
        <v>CCGT_2033</v>
      </c>
      <c r="P1209">
        <f t="shared" si="96"/>
        <v>149.69999999999999</v>
      </c>
    </row>
    <row r="1210" spans="4:16" x14ac:dyDescent="0.25">
      <c r="D1210">
        <v>2034</v>
      </c>
      <c r="E1210" t="s">
        <v>123</v>
      </c>
      <c r="F1210" t="s">
        <v>208</v>
      </c>
      <c r="G1210">
        <v>149.69999999999999</v>
      </c>
      <c r="I1210">
        <f t="shared" si="99"/>
        <v>0</v>
      </c>
      <c r="J1210">
        <f t="shared" si="99"/>
        <v>0</v>
      </c>
      <c r="K1210">
        <f t="shared" si="99"/>
        <v>0</v>
      </c>
      <c r="M1210" t="str" cm="1">
        <f t="array" ref="M1210">IFERROR(INDEX($I$2:$K$2,0,MATCH(TRUE,I1210:K1210,0)),E1210)</f>
        <v>CCGT</v>
      </c>
      <c r="O1210" t="str">
        <f t="shared" si="95"/>
        <v>CCGT_2034</v>
      </c>
      <c r="P1210">
        <f t="shared" si="96"/>
        <v>149.69999999999999</v>
      </c>
    </row>
    <row r="1211" spans="4:16" x14ac:dyDescent="0.25">
      <c r="D1211">
        <v>2035</v>
      </c>
      <c r="E1211" t="s">
        <v>123</v>
      </c>
      <c r="F1211" t="s">
        <v>208</v>
      </c>
      <c r="G1211">
        <v>149.69999999999999</v>
      </c>
      <c r="I1211">
        <f t="shared" si="99"/>
        <v>0</v>
      </c>
      <c r="J1211">
        <f t="shared" si="99"/>
        <v>0</v>
      </c>
      <c r="K1211">
        <f t="shared" si="99"/>
        <v>0</v>
      </c>
      <c r="M1211" t="str" cm="1">
        <f t="array" ref="M1211">IFERROR(INDEX($I$2:$K$2,0,MATCH(TRUE,I1211:K1211,0)),E1211)</f>
        <v>CCGT</v>
      </c>
      <c r="O1211" t="str">
        <f t="shared" si="95"/>
        <v>CCGT_2035</v>
      </c>
      <c r="P1211">
        <f t="shared" si="96"/>
        <v>149.69999999999999</v>
      </c>
    </row>
    <row r="1212" spans="4:16" x14ac:dyDescent="0.25">
      <c r="D1212">
        <v>2036</v>
      </c>
      <c r="E1212" t="s">
        <v>123</v>
      </c>
      <c r="F1212" t="s">
        <v>208</v>
      </c>
      <c r="G1212">
        <v>149.69999999999999</v>
      </c>
      <c r="I1212">
        <f t="shared" si="99"/>
        <v>0</v>
      </c>
      <c r="J1212">
        <f t="shared" si="99"/>
        <v>0</v>
      </c>
      <c r="K1212">
        <f t="shared" si="99"/>
        <v>0</v>
      </c>
      <c r="M1212" t="str" cm="1">
        <f t="array" ref="M1212">IFERROR(INDEX($I$2:$K$2,0,MATCH(TRUE,I1212:K1212,0)),E1212)</f>
        <v>CCGT</v>
      </c>
      <c r="O1212" t="str">
        <f t="shared" si="95"/>
        <v>CCGT_2036</v>
      </c>
      <c r="P1212">
        <f t="shared" si="96"/>
        <v>149.69999999999999</v>
      </c>
    </row>
    <row r="1213" spans="4:16" x14ac:dyDescent="0.25">
      <c r="D1213">
        <v>2037</v>
      </c>
      <c r="E1213" t="s">
        <v>123</v>
      </c>
      <c r="F1213" t="s">
        <v>208</v>
      </c>
      <c r="G1213">
        <v>149.69999999999999</v>
      </c>
      <c r="I1213">
        <f t="shared" si="99"/>
        <v>0</v>
      </c>
      <c r="J1213">
        <f t="shared" si="99"/>
        <v>0</v>
      </c>
      <c r="K1213">
        <f t="shared" si="99"/>
        <v>0</v>
      </c>
      <c r="M1213" t="str" cm="1">
        <f t="array" ref="M1213">IFERROR(INDEX($I$2:$K$2,0,MATCH(TRUE,I1213:K1213,0)),E1213)</f>
        <v>CCGT</v>
      </c>
      <c r="O1213" t="str">
        <f t="shared" si="95"/>
        <v>CCGT_2037</v>
      </c>
      <c r="P1213">
        <f t="shared" si="96"/>
        <v>149.69999999999999</v>
      </c>
    </row>
    <row r="1214" spans="4:16" x14ac:dyDescent="0.25">
      <c r="D1214">
        <v>2038</v>
      </c>
      <c r="E1214" t="s">
        <v>123</v>
      </c>
      <c r="F1214" t="s">
        <v>208</v>
      </c>
      <c r="G1214">
        <v>149.69999999999999</v>
      </c>
      <c r="I1214">
        <f t="shared" si="99"/>
        <v>0</v>
      </c>
      <c r="J1214">
        <f t="shared" si="99"/>
        <v>0</v>
      </c>
      <c r="K1214">
        <f t="shared" si="99"/>
        <v>0</v>
      </c>
      <c r="M1214" t="str" cm="1">
        <f t="array" ref="M1214">IFERROR(INDEX($I$2:$K$2,0,MATCH(TRUE,I1214:K1214,0)),E1214)</f>
        <v>CCGT</v>
      </c>
      <c r="O1214" t="str">
        <f t="shared" si="95"/>
        <v>CCGT_2038</v>
      </c>
      <c r="P1214">
        <f t="shared" si="96"/>
        <v>149.69999999999999</v>
      </c>
    </row>
    <row r="1215" spans="4:16" x14ac:dyDescent="0.25">
      <c r="D1215">
        <v>2039</v>
      </c>
      <c r="E1215" t="s">
        <v>123</v>
      </c>
      <c r="F1215" t="s">
        <v>208</v>
      </c>
      <c r="G1215">
        <v>149.69999999999999</v>
      </c>
      <c r="I1215">
        <f t="shared" si="99"/>
        <v>0</v>
      </c>
      <c r="J1215">
        <f t="shared" si="99"/>
        <v>0</v>
      </c>
      <c r="K1215">
        <f t="shared" si="99"/>
        <v>0</v>
      </c>
      <c r="M1215" t="str" cm="1">
        <f t="array" ref="M1215">IFERROR(INDEX($I$2:$K$2,0,MATCH(TRUE,I1215:K1215,0)),E1215)</f>
        <v>CCGT</v>
      </c>
      <c r="O1215" t="str">
        <f t="shared" si="95"/>
        <v>CCGT_2039</v>
      </c>
      <c r="P1215">
        <f t="shared" si="96"/>
        <v>149.69999999999999</v>
      </c>
    </row>
    <row r="1216" spans="4:16" x14ac:dyDescent="0.25">
      <c r="D1216">
        <v>2040</v>
      </c>
      <c r="E1216" t="s">
        <v>123</v>
      </c>
      <c r="F1216" t="s">
        <v>208</v>
      </c>
      <c r="G1216">
        <v>149.69999999999999</v>
      </c>
      <c r="I1216">
        <f t="shared" si="99"/>
        <v>0</v>
      </c>
      <c r="J1216">
        <f t="shared" si="99"/>
        <v>0</v>
      </c>
      <c r="K1216">
        <f t="shared" si="99"/>
        <v>0</v>
      </c>
      <c r="M1216" t="str" cm="1">
        <f t="array" ref="M1216">IFERROR(INDEX($I$2:$K$2,0,MATCH(TRUE,I1216:K1216,0)),E1216)</f>
        <v>CCGT</v>
      </c>
      <c r="O1216" t="str">
        <f t="shared" si="95"/>
        <v>CCGT_2040</v>
      </c>
      <c r="P1216">
        <f t="shared" si="96"/>
        <v>149.69999999999999</v>
      </c>
    </row>
    <row r="1217" spans="4:16" x14ac:dyDescent="0.25">
      <c r="D1217">
        <v>2021</v>
      </c>
      <c r="E1217" t="s">
        <v>123</v>
      </c>
      <c r="F1217" t="s">
        <v>209</v>
      </c>
      <c r="G1217">
        <v>578</v>
      </c>
      <c r="I1217">
        <f t="shared" si="99"/>
        <v>0</v>
      </c>
      <c r="J1217">
        <f t="shared" si="99"/>
        <v>0</v>
      </c>
      <c r="K1217">
        <f t="shared" si="99"/>
        <v>0</v>
      </c>
      <c r="M1217" t="str" cm="1">
        <f t="array" ref="M1217">IFERROR(INDEX($I$2:$K$2,0,MATCH(TRUE,I1217:K1217,0)),E1217)</f>
        <v>CCGT</v>
      </c>
      <c r="O1217" t="str">
        <f t="shared" si="95"/>
        <v>CCGT_2021</v>
      </c>
      <c r="P1217">
        <f t="shared" si="96"/>
        <v>578</v>
      </c>
    </row>
    <row r="1218" spans="4:16" x14ac:dyDescent="0.25">
      <c r="D1218">
        <v>2022</v>
      </c>
      <c r="E1218" t="s">
        <v>123</v>
      </c>
      <c r="F1218" t="s">
        <v>209</v>
      </c>
      <c r="G1218">
        <v>578</v>
      </c>
      <c r="I1218">
        <f t="shared" si="99"/>
        <v>0</v>
      </c>
      <c r="J1218">
        <f t="shared" si="99"/>
        <v>0</v>
      </c>
      <c r="K1218">
        <f t="shared" si="99"/>
        <v>0</v>
      </c>
      <c r="M1218" t="str" cm="1">
        <f t="array" ref="M1218">IFERROR(INDEX($I$2:$K$2,0,MATCH(TRUE,I1218:K1218,0)),E1218)</f>
        <v>CCGT</v>
      </c>
      <c r="O1218" t="str">
        <f t="shared" si="95"/>
        <v>CCGT_2022</v>
      </c>
      <c r="P1218">
        <f t="shared" si="96"/>
        <v>578</v>
      </c>
    </row>
    <row r="1219" spans="4:16" x14ac:dyDescent="0.25">
      <c r="D1219">
        <v>2023</v>
      </c>
      <c r="E1219" t="s">
        <v>123</v>
      </c>
      <c r="F1219" t="s">
        <v>209</v>
      </c>
      <c r="G1219">
        <v>578</v>
      </c>
      <c r="I1219">
        <f t="shared" si="99"/>
        <v>0</v>
      </c>
      <c r="J1219">
        <f t="shared" si="99"/>
        <v>0</v>
      </c>
      <c r="K1219">
        <f t="shared" si="99"/>
        <v>0</v>
      </c>
      <c r="M1219" t="str" cm="1">
        <f t="array" ref="M1219">IFERROR(INDEX($I$2:$K$2,0,MATCH(TRUE,I1219:K1219,0)),E1219)</f>
        <v>CCGT</v>
      </c>
      <c r="O1219" t="str">
        <f t="shared" si="95"/>
        <v>CCGT_2023</v>
      </c>
      <c r="P1219">
        <f t="shared" si="96"/>
        <v>578</v>
      </c>
    </row>
    <row r="1220" spans="4:16" x14ac:dyDescent="0.25">
      <c r="D1220">
        <v>2024</v>
      </c>
      <c r="E1220" t="s">
        <v>123</v>
      </c>
      <c r="F1220" t="s">
        <v>209</v>
      </c>
      <c r="G1220">
        <v>578</v>
      </c>
      <c r="I1220">
        <f t="shared" si="99"/>
        <v>0</v>
      </c>
      <c r="J1220">
        <f t="shared" si="99"/>
        <v>0</v>
      </c>
      <c r="K1220">
        <f t="shared" si="99"/>
        <v>0</v>
      </c>
      <c r="M1220" t="str" cm="1">
        <f t="array" ref="M1220">IFERROR(INDEX($I$2:$K$2,0,MATCH(TRUE,I1220:K1220,0)),E1220)</f>
        <v>CCGT</v>
      </c>
      <c r="O1220" t="str">
        <f t="shared" ref="O1220:O1283" si="100">M1220&amp;"_"&amp;D1220</f>
        <v>CCGT_2024</v>
      </c>
      <c r="P1220">
        <f t="shared" ref="P1220:P1283" si="101">G1220</f>
        <v>578</v>
      </c>
    </row>
    <row r="1221" spans="4:16" x14ac:dyDescent="0.25">
      <c r="D1221">
        <v>2025</v>
      </c>
      <c r="E1221" t="s">
        <v>123</v>
      </c>
      <c r="F1221" t="s">
        <v>209</v>
      </c>
      <c r="G1221">
        <v>578</v>
      </c>
      <c r="I1221">
        <f t="shared" si="99"/>
        <v>0</v>
      </c>
      <c r="J1221">
        <f t="shared" si="99"/>
        <v>0</v>
      </c>
      <c r="K1221">
        <f t="shared" si="99"/>
        <v>0</v>
      </c>
      <c r="M1221" t="str" cm="1">
        <f t="array" ref="M1221">IFERROR(INDEX($I$2:$K$2,0,MATCH(TRUE,I1221:K1221,0)),E1221)</f>
        <v>CCGT</v>
      </c>
      <c r="O1221" t="str">
        <f t="shared" si="100"/>
        <v>CCGT_2025</v>
      </c>
      <c r="P1221">
        <f t="shared" si="101"/>
        <v>578</v>
      </c>
    </row>
    <row r="1222" spans="4:16" x14ac:dyDescent="0.25">
      <c r="D1222">
        <v>2026</v>
      </c>
      <c r="E1222" t="s">
        <v>123</v>
      </c>
      <c r="F1222" t="s">
        <v>209</v>
      </c>
      <c r="G1222">
        <v>578</v>
      </c>
      <c r="I1222">
        <f t="shared" si="99"/>
        <v>0</v>
      </c>
      <c r="J1222">
        <f t="shared" si="99"/>
        <v>0</v>
      </c>
      <c r="K1222">
        <f t="shared" si="99"/>
        <v>0</v>
      </c>
      <c r="M1222" t="str" cm="1">
        <f t="array" ref="M1222">IFERROR(INDEX($I$2:$K$2,0,MATCH(TRUE,I1222:K1222,0)),E1222)</f>
        <v>CCGT</v>
      </c>
      <c r="O1222" t="str">
        <f t="shared" si="100"/>
        <v>CCGT_2026</v>
      </c>
      <c r="P1222">
        <f t="shared" si="101"/>
        <v>578</v>
      </c>
    </row>
    <row r="1223" spans="4:16" x14ac:dyDescent="0.25">
      <c r="D1223">
        <v>2027</v>
      </c>
      <c r="E1223" t="s">
        <v>123</v>
      </c>
      <c r="F1223" t="s">
        <v>209</v>
      </c>
      <c r="G1223">
        <v>578</v>
      </c>
      <c r="I1223">
        <f t="shared" si="99"/>
        <v>0</v>
      </c>
      <c r="J1223">
        <f t="shared" si="99"/>
        <v>0</v>
      </c>
      <c r="K1223">
        <f t="shared" si="99"/>
        <v>0</v>
      </c>
      <c r="M1223" t="str" cm="1">
        <f t="array" ref="M1223">IFERROR(INDEX($I$2:$K$2,0,MATCH(TRUE,I1223:K1223,0)),E1223)</f>
        <v>CCGT</v>
      </c>
      <c r="O1223" t="str">
        <f t="shared" si="100"/>
        <v>CCGT_2027</v>
      </c>
      <c r="P1223">
        <f t="shared" si="101"/>
        <v>578</v>
      </c>
    </row>
    <row r="1224" spans="4:16" x14ac:dyDescent="0.25">
      <c r="D1224">
        <v>2028</v>
      </c>
      <c r="E1224" t="s">
        <v>123</v>
      </c>
      <c r="F1224" t="s">
        <v>209</v>
      </c>
      <c r="G1224">
        <v>578</v>
      </c>
      <c r="I1224">
        <f t="shared" ref="I1224:K1243" si="102">IFERROR(FIND(I$2,$E1224,1)&gt;0,0)</f>
        <v>0</v>
      </c>
      <c r="J1224">
        <f t="shared" si="102"/>
        <v>0</v>
      </c>
      <c r="K1224">
        <f t="shared" si="102"/>
        <v>0</v>
      </c>
      <c r="M1224" t="str" cm="1">
        <f t="array" ref="M1224">IFERROR(INDEX($I$2:$K$2,0,MATCH(TRUE,I1224:K1224,0)),E1224)</f>
        <v>CCGT</v>
      </c>
      <c r="O1224" t="str">
        <f t="shared" si="100"/>
        <v>CCGT_2028</v>
      </c>
      <c r="P1224">
        <f t="shared" si="101"/>
        <v>578</v>
      </c>
    </row>
    <row r="1225" spans="4:16" x14ac:dyDescent="0.25">
      <c r="D1225">
        <v>2029</v>
      </c>
      <c r="E1225" t="s">
        <v>123</v>
      </c>
      <c r="F1225" t="s">
        <v>209</v>
      </c>
      <c r="G1225">
        <v>578</v>
      </c>
      <c r="I1225">
        <f t="shared" si="102"/>
        <v>0</v>
      </c>
      <c r="J1225">
        <f t="shared" si="102"/>
        <v>0</v>
      </c>
      <c r="K1225">
        <f t="shared" si="102"/>
        <v>0</v>
      </c>
      <c r="M1225" t="str" cm="1">
        <f t="array" ref="M1225">IFERROR(INDEX($I$2:$K$2,0,MATCH(TRUE,I1225:K1225,0)),E1225)</f>
        <v>CCGT</v>
      </c>
      <c r="O1225" t="str">
        <f t="shared" si="100"/>
        <v>CCGT_2029</v>
      </c>
      <c r="P1225">
        <f t="shared" si="101"/>
        <v>578</v>
      </c>
    </row>
    <row r="1226" spans="4:16" x14ac:dyDescent="0.25">
      <c r="D1226">
        <v>2030</v>
      </c>
      <c r="E1226" t="s">
        <v>123</v>
      </c>
      <c r="F1226" t="s">
        <v>209</v>
      </c>
      <c r="G1226">
        <v>578</v>
      </c>
      <c r="I1226">
        <f t="shared" si="102"/>
        <v>0</v>
      </c>
      <c r="J1226">
        <f t="shared" si="102"/>
        <v>0</v>
      </c>
      <c r="K1226">
        <f t="shared" si="102"/>
        <v>0</v>
      </c>
      <c r="M1226" t="str" cm="1">
        <f t="array" ref="M1226">IFERROR(INDEX($I$2:$K$2,0,MATCH(TRUE,I1226:K1226,0)),E1226)</f>
        <v>CCGT</v>
      </c>
      <c r="O1226" t="str">
        <f t="shared" si="100"/>
        <v>CCGT_2030</v>
      </c>
      <c r="P1226">
        <f t="shared" si="101"/>
        <v>578</v>
      </c>
    </row>
    <row r="1227" spans="4:16" x14ac:dyDescent="0.25">
      <c r="D1227">
        <v>2031</v>
      </c>
      <c r="E1227" t="s">
        <v>123</v>
      </c>
      <c r="F1227" t="s">
        <v>209</v>
      </c>
      <c r="G1227">
        <v>578</v>
      </c>
      <c r="I1227">
        <f t="shared" si="102"/>
        <v>0</v>
      </c>
      <c r="J1227">
        <f t="shared" si="102"/>
        <v>0</v>
      </c>
      <c r="K1227">
        <f t="shared" si="102"/>
        <v>0</v>
      </c>
      <c r="M1227" t="str" cm="1">
        <f t="array" ref="M1227">IFERROR(INDEX($I$2:$K$2,0,MATCH(TRUE,I1227:K1227,0)),E1227)</f>
        <v>CCGT</v>
      </c>
      <c r="O1227" t="str">
        <f t="shared" si="100"/>
        <v>CCGT_2031</v>
      </c>
      <c r="P1227">
        <f t="shared" si="101"/>
        <v>578</v>
      </c>
    </row>
    <row r="1228" spans="4:16" x14ac:dyDescent="0.25">
      <c r="D1228">
        <v>2032</v>
      </c>
      <c r="E1228" t="s">
        <v>123</v>
      </c>
      <c r="F1228" t="s">
        <v>209</v>
      </c>
      <c r="G1228">
        <v>578</v>
      </c>
      <c r="I1228">
        <f t="shared" si="102"/>
        <v>0</v>
      </c>
      <c r="J1228">
        <f t="shared" si="102"/>
        <v>0</v>
      </c>
      <c r="K1228">
        <f t="shared" si="102"/>
        <v>0</v>
      </c>
      <c r="M1228" t="str" cm="1">
        <f t="array" ref="M1228">IFERROR(INDEX($I$2:$K$2,0,MATCH(TRUE,I1228:K1228,0)),E1228)</f>
        <v>CCGT</v>
      </c>
      <c r="O1228" t="str">
        <f t="shared" si="100"/>
        <v>CCGT_2032</v>
      </c>
      <c r="P1228">
        <f t="shared" si="101"/>
        <v>578</v>
      </c>
    </row>
    <row r="1229" spans="4:16" x14ac:dyDescent="0.25">
      <c r="D1229">
        <v>2033</v>
      </c>
      <c r="E1229" t="s">
        <v>123</v>
      </c>
      <c r="F1229" t="s">
        <v>209</v>
      </c>
      <c r="G1229">
        <v>578</v>
      </c>
      <c r="I1229">
        <f t="shared" si="102"/>
        <v>0</v>
      </c>
      <c r="J1229">
        <f t="shared" si="102"/>
        <v>0</v>
      </c>
      <c r="K1229">
        <f t="shared" si="102"/>
        <v>0</v>
      </c>
      <c r="M1229" t="str" cm="1">
        <f t="array" ref="M1229">IFERROR(INDEX($I$2:$K$2,0,MATCH(TRUE,I1229:K1229,0)),E1229)</f>
        <v>CCGT</v>
      </c>
      <c r="O1229" t="str">
        <f t="shared" si="100"/>
        <v>CCGT_2033</v>
      </c>
      <c r="P1229">
        <f t="shared" si="101"/>
        <v>578</v>
      </c>
    </row>
    <row r="1230" spans="4:16" x14ac:dyDescent="0.25">
      <c r="D1230">
        <v>2034</v>
      </c>
      <c r="E1230" t="s">
        <v>123</v>
      </c>
      <c r="F1230" t="s">
        <v>209</v>
      </c>
      <c r="G1230">
        <v>578</v>
      </c>
      <c r="I1230">
        <f t="shared" si="102"/>
        <v>0</v>
      </c>
      <c r="J1230">
        <f t="shared" si="102"/>
        <v>0</v>
      </c>
      <c r="K1230">
        <f t="shared" si="102"/>
        <v>0</v>
      </c>
      <c r="M1230" t="str" cm="1">
        <f t="array" ref="M1230">IFERROR(INDEX($I$2:$K$2,0,MATCH(TRUE,I1230:K1230,0)),E1230)</f>
        <v>CCGT</v>
      </c>
      <c r="O1230" t="str">
        <f t="shared" si="100"/>
        <v>CCGT_2034</v>
      </c>
      <c r="P1230">
        <f t="shared" si="101"/>
        <v>578</v>
      </c>
    </row>
    <row r="1231" spans="4:16" x14ac:dyDescent="0.25">
      <c r="D1231">
        <v>2035</v>
      </c>
      <c r="E1231" t="s">
        <v>123</v>
      </c>
      <c r="F1231" t="s">
        <v>209</v>
      </c>
      <c r="G1231">
        <v>578</v>
      </c>
      <c r="I1231">
        <f t="shared" si="102"/>
        <v>0</v>
      </c>
      <c r="J1231">
        <f t="shared" si="102"/>
        <v>0</v>
      </c>
      <c r="K1231">
        <f t="shared" si="102"/>
        <v>0</v>
      </c>
      <c r="M1231" t="str" cm="1">
        <f t="array" ref="M1231">IFERROR(INDEX($I$2:$K$2,0,MATCH(TRUE,I1231:K1231,0)),E1231)</f>
        <v>CCGT</v>
      </c>
      <c r="O1231" t="str">
        <f t="shared" si="100"/>
        <v>CCGT_2035</v>
      </c>
      <c r="P1231">
        <f t="shared" si="101"/>
        <v>578</v>
      </c>
    </row>
    <row r="1232" spans="4:16" x14ac:dyDescent="0.25">
      <c r="D1232">
        <v>2036</v>
      </c>
      <c r="E1232" t="s">
        <v>123</v>
      </c>
      <c r="F1232" t="s">
        <v>209</v>
      </c>
      <c r="G1232">
        <v>578</v>
      </c>
      <c r="I1232">
        <f t="shared" si="102"/>
        <v>0</v>
      </c>
      <c r="J1232">
        <f t="shared" si="102"/>
        <v>0</v>
      </c>
      <c r="K1232">
        <f t="shared" si="102"/>
        <v>0</v>
      </c>
      <c r="M1232" t="str" cm="1">
        <f t="array" ref="M1232">IFERROR(INDEX($I$2:$K$2,0,MATCH(TRUE,I1232:K1232,0)),E1232)</f>
        <v>CCGT</v>
      </c>
      <c r="O1232" t="str">
        <f t="shared" si="100"/>
        <v>CCGT_2036</v>
      </c>
      <c r="P1232">
        <f t="shared" si="101"/>
        <v>578</v>
      </c>
    </row>
    <row r="1233" spans="4:16" x14ac:dyDescent="0.25">
      <c r="D1233">
        <v>2037</v>
      </c>
      <c r="E1233" t="s">
        <v>123</v>
      </c>
      <c r="F1233" t="s">
        <v>209</v>
      </c>
      <c r="G1233">
        <v>578</v>
      </c>
      <c r="I1233">
        <f t="shared" si="102"/>
        <v>0</v>
      </c>
      <c r="J1233">
        <f t="shared" si="102"/>
        <v>0</v>
      </c>
      <c r="K1233">
        <f t="shared" si="102"/>
        <v>0</v>
      </c>
      <c r="M1233" t="str" cm="1">
        <f t="array" ref="M1233">IFERROR(INDEX($I$2:$K$2,0,MATCH(TRUE,I1233:K1233,0)),E1233)</f>
        <v>CCGT</v>
      </c>
      <c r="O1233" t="str">
        <f t="shared" si="100"/>
        <v>CCGT_2037</v>
      </c>
      <c r="P1233">
        <f t="shared" si="101"/>
        <v>578</v>
      </c>
    </row>
    <row r="1234" spans="4:16" x14ac:dyDescent="0.25">
      <c r="D1234">
        <v>2038</v>
      </c>
      <c r="E1234" t="s">
        <v>123</v>
      </c>
      <c r="F1234" t="s">
        <v>209</v>
      </c>
      <c r="G1234">
        <v>578</v>
      </c>
      <c r="I1234">
        <f t="shared" si="102"/>
        <v>0</v>
      </c>
      <c r="J1234">
        <f t="shared" si="102"/>
        <v>0</v>
      </c>
      <c r="K1234">
        <f t="shared" si="102"/>
        <v>0</v>
      </c>
      <c r="M1234" t="str" cm="1">
        <f t="array" ref="M1234">IFERROR(INDEX($I$2:$K$2,0,MATCH(TRUE,I1234:K1234,0)),E1234)</f>
        <v>CCGT</v>
      </c>
      <c r="O1234" t="str">
        <f t="shared" si="100"/>
        <v>CCGT_2038</v>
      </c>
      <c r="P1234">
        <f t="shared" si="101"/>
        <v>578</v>
      </c>
    </row>
    <row r="1235" spans="4:16" x14ac:dyDescent="0.25">
      <c r="D1235">
        <v>2039</v>
      </c>
      <c r="E1235" t="s">
        <v>123</v>
      </c>
      <c r="F1235" t="s">
        <v>209</v>
      </c>
      <c r="G1235">
        <v>578</v>
      </c>
      <c r="I1235">
        <f t="shared" si="102"/>
        <v>0</v>
      </c>
      <c r="J1235">
        <f t="shared" si="102"/>
        <v>0</v>
      </c>
      <c r="K1235">
        <f t="shared" si="102"/>
        <v>0</v>
      </c>
      <c r="M1235" t="str" cm="1">
        <f t="array" ref="M1235">IFERROR(INDEX($I$2:$K$2,0,MATCH(TRUE,I1235:K1235,0)),E1235)</f>
        <v>CCGT</v>
      </c>
      <c r="O1235" t="str">
        <f t="shared" si="100"/>
        <v>CCGT_2039</v>
      </c>
      <c r="P1235">
        <f t="shared" si="101"/>
        <v>578</v>
      </c>
    </row>
    <row r="1236" spans="4:16" x14ac:dyDescent="0.25">
      <c r="D1236">
        <v>2040</v>
      </c>
      <c r="E1236" t="s">
        <v>123</v>
      </c>
      <c r="F1236" t="s">
        <v>209</v>
      </c>
      <c r="G1236">
        <v>578</v>
      </c>
      <c r="I1236">
        <f t="shared" si="102"/>
        <v>0</v>
      </c>
      <c r="J1236">
        <f t="shared" si="102"/>
        <v>0</v>
      </c>
      <c r="K1236">
        <f t="shared" si="102"/>
        <v>0</v>
      </c>
      <c r="M1236" t="str" cm="1">
        <f t="array" ref="M1236">IFERROR(INDEX($I$2:$K$2,0,MATCH(TRUE,I1236:K1236,0)),E1236)</f>
        <v>CCGT</v>
      </c>
      <c r="O1236" t="str">
        <f t="shared" si="100"/>
        <v>CCGT_2040</v>
      </c>
      <c r="P1236">
        <f t="shared" si="101"/>
        <v>578</v>
      </c>
    </row>
    <row r="1237" spans="4:16" x14ac:dyDescent="0.25">
      <c r="D1237">
        <v>2021</v>
      </c>
      <c r="E1237" t="s">
        <v>123</v>
      </c>
      <c r="F1237" t="s">
        <v>210</v>
      </c>
      <c r="G1237">
        <v>846</v>
      </c>
      <c r="I1237">
        <f t="shared" si="102"/>
        <v>0</v>
      </c>
      <c r="J1237">
        <f t="shared" si="102"/>
        <v>0</v>
      </c>
      <c r="K1237">
        <f t="shared" si="102"/>
        <v>0</v>
      </c>
      <c r="M1237" t="str" cm="1">
        <f t="array" ref="M1237">IFERROR(INDEX($I$2:$K$2,0,MATCH(TRUE,I1237:K1237,0)),E1237)</f>
        <v>CCGT</v>
      </c>
      <c r="O1237" t="str">
        <f t="shared" si="100"/>
        <v>CCGT_2021</v>
      </c>
      <c r="P1237">
        <f t="shared" si="101"/>
        <v>846</v>
      </c>
    </row>
    <row r="1238" spans="4:16" x14ac:dyDescent="0.25">
      <c r="D1238">
        <v>2022</v>
      </c>
      <c r="E1238" t="s">
        <v>123</v>
      </c>
      <c r="F1238" t="s">
        <v>210</v>
      </c>
      <c r="G1238">
        <v>846</v>
      </c>
      <c r="I1238">
        <f t="shared" si="102"/>
        <v>0</v>
      </c>
      <c r="J1238">
        <f t="shared" si="102"/>
        <v>0</v>
      </c>
      <c r="K1238">
        <f t="shared" si="102"/>
        <v>0</v>
      </c>
      <c r="M1238" t="str" cm="1">
        <f t="array" ref="M1238">IFERROR(INDEX($I$2:$K$2,0,MATCH(TRUE,I1238:K1238,0)),E1238)</f>
        <v>CCGT</v>
      </c>
      <c r="O1238" t="str">
        <f t="shared" si="100"/>
        <v>CCGT_2022</v>
      </c>
      <c r="P1238">
        <f t="shared" si="101"/>
        <v>846</v>
      </c>
    </row>
    <row r="1239" spans="4:16" x14ac:dyDescent="0.25">
      <c r="D1239">
        <v>2023</v>
      </c>
      <c r="E1239" t="s">
        <v>123</v>
      </c>
      <c r="F1239" t="s">
        <v>210</v>
      </c>
      <c r="G1239">
        <v>846</v>
      </c>
      <c r="I1239">
        <f t="shared" si="102"/>
        <v>0</v>
      </c>
      <c r="J1239">
        <f t="shared" si="102"/>
        <v>0</v>
      </c>
      <c r="K1239">
        <f t="shared" si="102"/>
        <v>0</v>
      </c>
      <c r="M1239" t="str" cm="1">
        <f t="array" ref="M1239">IFERROR(INDEX($I$2:$K$2,0,MATCH(TRUE,I1239:K1239,0)),E1239)</f>
        <v>CCGT</v>
      </c>
      <c r="O1239" t="str">
        <f t="shared" si="100"/>
        <v>CCGT_2023</v>
      </c>
      <c r="P1239">
        <f t="shared" si="101"/>
        <v>846</v>
      </c>
    </row>
    <row r="1240" spans="4:16" x14ac:dyDescent="0.25">
      <c r="D1240">
        <v>2024</v>
      </c>
      <c r="E1240" t="s">
        <v>123</v>
      </c>
      <c r="F1240" t="s">
        <v>210</v>
      </c>
      <c r="G1240">
        <v>846</v>
      </c>
      <c r="I1240">
        <f t="shared" si="102"/>
        <v>0</v>
      </c>
      <c r="J1240">
        <f t="shared" si="102"/>
        <v>0</v>
      </c>
      <c r="K1240">
        <f t="shared" si="102"/>
        <v>0</v>
      </c>
      <c r="M1240" t="str" cm="1">
        <f t="array" ref="M1240">IFERROR(INDEX($I$2:$K$2,0,MATCH(TRUE,I1240:K1240,0)),E1240)</f>
        <v>CCGT</v>
      </c>
      <c r="O1240" t="str">
        <f t="shared" si="100"/>
        <v>CCGT_2024</v>
      </c>
      <c r="P1240">
        <f t="shared" si="101"/>
        <v>846</v>
      </c>
    </row>
    <row r="1241" spans="4:16" x14ac:dyDescent="0.25">
      <c r="D1241">
        <v>2025</v>
      </c>
      <c r="E1241" t="s">
        <v>123</v>
      </c>
      <c r="F1241" t="s">
        <v>210</v>
      </c>
      <c r="G1241">
        <v>846</v>
      </c>
      <c r="I1241">
        <f t="shared" si="102"/>
        <v>0</v>
      </c>
      <c r="J1241">
        <f t="shared" si="102"/>
        <v>0</v>
      </c>
      <c r="K1241">
        <f t="shared" si="102"/>
        <v>0</v>
      </c>
      <c r="M1241" t="str" cm="1">
        <f t="array" ref="M1241">IFERROR(INDEX($I$2:$K$2,0,MATCH(TRUE,I1241:K1241,0)),E1241)</f>
        <v>CCGT</v>
      </c>
      <c r="O1241" t="str">
        <f t="shared" si="100"/>
        <v>CCGT_2025</v>
      </c>
      <c r="P1241">
        <f t="shared" si="101"/>
        <v>846</v>
      </c>
    </row>
    <row r="1242" spans="4:16" x14ac:dyDescent="0.25">
      <c r="D1242">
        <v>2026</v>
      </c>
      <c r="E1242" t="s">
        <v>123</v>
      </c>
      <c r="F1242" t="s">
        <v>210</v>
      </c>
      <c r="G1242">
        <v>846</v>
      </c>
      <c r="I1242">
        <f t="shared" si="102"/>
        <v>0</v>
      </c>
      <c r="J1242">
        <f t="shared" si="102"/>
        <v>0</v>
      </c>
      <c r="K1242">
        <f t="shared" si="102"/>
        <v>0</v>
      </c>
      <c r="M1242" t="str" cm="1">
        <f t="array" ref="M1242">IFERROR(INDEX($I$2:$K$2,0,MATCH(TRUE,I1242:K1242,0)),E1242)</f>
        <v>CCGT</v>
      </c>
      <c r="O1242" t="str">
        <f t="shared" si="100"/>
        <v>CCGT_2026</v>
      </c>
      <c r="P1242">
        <f t="shared" si="101"/>
        <v>846</v>
      </c>
    </row>
    <row r="1243" spans="4:16" x14ac:dyDescent="0.25">
      <c r="D1243">
        <v>2027</v>
      </c>
      <c r="E1243" t="s">
        <v>123</v>
      </c>
      <c r="F1243" t="s">
        <v>210</v>
      </c>
      <c r="G1243">
        <v>846</v>
      </c>
      <c r="I1243">
        <f t="shared" si="102"/>
        <v>0</v>
      </c>
      <c r="J1243">
        <f t="shared" si="102"/>
        <v>0</v>
      </c>
      <c r="K1243">
        <f t="shared" si="102"/>
        <v>0</v>
      </c>
      <c r="M1243" t="str" cm="1">
        <f t="array" ref="M1243">IFERROR(INDEX($I$2:$K$2,0,MATCH(TRUE,I1243:K1243,0)),E1243)</f>
        <v>CCGT</v>
      </c>
      <c r="O1243" t="str">
        <f t="shared" si="100"/>
        <v>CCGT_2027</v>
      </c>
      <c r="P1243">
        <f t="shared" si="101"/>
        <v>846</v>
      </c>
    </row>
    <row r="1244" spans="4:16" x14ac:dyDescent="0.25">
      <c r="D1244">
        <v>2028</v>
      </c>
      <c r="E1244" t="s">
        <v>123</v>
      </c>
      <c r="F1244" t="s">
        <v>210</v>
      </c>
      <c r="G1244">
        <v>846</v>
      </c>
      <c r="I1244">
        <f t="shared" ref="I1244:K1263" si="103">IFERROR(FIND(I$2,$E1244,1)&gt;0,0)</f>
        <v>0</v>
      </c>
      <c r="J1244">
        <f t="shared" si="103"/>
        <v>0</v>
      </c>
      <c r="K1244">
        <f t="shared" si="103"/>
        <v>0</v>
      </c>
      <c r="M1244" t="str" cm="1">
        <f t="array" ref="M1244">IFERROR(INDEX($I$2:$K$2,0,MATCH(TRUE,I1244:K1244,0)),E1244)</f>
        <v>CCGT</v>
      </c>
      <c r="O1244" t="str">
        <f t="shared" si="100"/>
        <v>CCGT_2028</v>
      </c>
      <c r="P1244">
        <f t="shared" si="101"/>
        <v>846</v>
      </c>
    </row>
    <row r="1245" spans="4:16" x14ac:dyDescent="0.25">
      <c r="D1245">
        <v>2029</v>
      </c>
      <c r="E1245" t="s">
        <v>123</v>
      </c>
      <c r="F1245" t="s">
        <v>210</v>
      </c>
      <c r="G1245">
        <v>846</v>
      </c>
      <c r="I1245">
        <f t="shared" si="103"/>
        <v>0</v>
      </c>
      <c r="J1245">
        <f t="shared" si="103"/>
        <v>0</v>
      </c>
      <c r="K1245">
        <f t="shared" si="103"/>
        <v>0</v>
      </c>
      <c r="M1245" t="str" cm="1">
        <f t="array" ref="M1245">IFERROR(INDEX($I$2:$K$2,0,MATCH(TRUE,I1245:K1245,0)),E1245)</f>
        <v>CCGT</v>
      </c>
      <c r="O1245" t="str">
        <f t="shared" si="100"/>
        <v>CCGT_2029</v>
      </c>
      <c r="P1245">
        <f t="shared" si="101"/>
        <v>846</v>
      </c>
    </row>
    <row r="1246" spans="4:16" x14ac:dyDescent="0.25">
      <c r="D1246">
        <v>2030</v>
      </c>
      <c r="E1246" t="s">
        <v>123</v>
      </c>
      <c r="F1246" t="s">
        <v>210</v>
      </c>
      <c r="G1246">
        <v>846</v>
      </c>
      <c r="I1246">
        <f t="shared" si="103"/>
        <v>0</v>
      </c>
      <c r="J1246">
        <f t="shared" si="103"/>
        <v>0</v>
      </c>
      <c r="K1246">
        <f t="shared" si="103"/>
        <v>0</v>
      </c>
      <c r="M1246" t="str" cm="1">
        <f t="array" ref="M1246">IFERROR(INDEX($I$2:$K$2,0,MATCH(TRUE,I1246:K1246,0)),E1246)</f>
        <v>CCGT</v>
      </c>
      <c r="O1246" t="str">
        <f t="shared" si="100"/>
        <v>CCGT_2030</v>
      </c>
      <c r="P1246">
        <f t="shared" si="101"/>
        <v>846</v>
      </c>
    </row>
    <row r="1247" spans="4:16" x14ac:dyDescent="0.25">
      <c r="D1247">
        <v>2031</v>
      </c>
      <c r="E1247" t="s">
        <v>123</v>
      </c>
      <c r="F1247" t="s">
        <v>210</v>
      </c>
      <c r="G1247">
        <v>846</v>
      </c>
      <c r="I1247">
        <f t="shared" si="103"/>
        <v>0</v>
      </c>
      <c r="J1247">
        <f t="shared" si="103"/>
        <v>0</v>
      </c>
      <c r="K1247">
        <f t="shared" si="103"/>
        <v>0</v>
      </c>
      <c r="M1247" t="str" cm="1">
        <f t="array" ref="M1247">IFERROR(INDEX($I$2:$K$2,0,MATCH(TRUE,I1247:K1247,0)),E1247)</f>
        <v>CCGT</v>
      </c>
      <c r="O1247" t="str">
        <f t="shared" si="100"/>
        <v>CCGT_2031</v>
      </c>
      <c r="P1247">
        <f t="shared" si="101"/>
        <v>846</v>
      </c>
    </row>
    <row r="1248" spans="4:16" x14ac:dyDescent="0.25">
      <c r="D1248">
        <v>2032</v>
      </c>
      <c r="E1248" t="s">
        <v>123</v>
      </c>
      <c r="F1248" t="s">
        <v>210</v>
      </c>
      <c r="G1248">
        <v>846</v>
      </c>
      <c r="I1248">
        <f t="shared" si="103"/>
        <v>0</v>
      </c>
      <c r="J1248">
        <f t="shared" si="103"/>
        <v>0</v>
      </c>
      <c r="K1248">
        <f t="shared" si="103"/>
        <v>0</v>
      </c>
      <c r="M1248" t="str" cm="1">
        <f t="array" ref="M1248">IFERROR(INDEX($I$2:$K$2,0,MATCH(TRUE,I1248:K1248,0)),E1248)</f>
        <v>CCGT</v>
      </c>
      <c r="O1248" t="str">
        <f t="shared" si="100"/>
        <v>CCGT_2032</v>
      </c>
      <c r="P1248">
        <f t="shared" si="101"/>
        <v>846</v>
      </c>
    </row>
    <row r="1249" spans="4:16" x14ac:dyDescent="0.25">
      <c r="D1249">
        <v>2033</v>
      </c>
      <c r="E1249" t="s">
        <v>123</v>
      </c>
      <c r="F1249" t="s">
        <v>210</v>
      </c>
      <c r="G1249">
        <v>846</v>
      </c>
      <c r="I1249">
        <f t="shared" si="103"/>
        <v>0</v>
      </c>
      <c r="J1249">
        <f t="shared" si="103"/>
        <v>0</v>
      </c>
      <c r="K1249">
        <f t="shared" si="103"/>
        <v>0</v>
      </c>
      <c r="M1249" t="str" cm="1">
        <f t="array" ref="M1249">IFERROR(INDEX($I$2:$K$2,0,MATCH(TRUE,I1249:K1249,0)),E1249)</f>
        <v>CCGT</v>
      </c>
      <c r="O1249" t="str">
        <f t="shared" si="100"/>
        <v>CCGT_2033</v>
      </c>
      <c r="P1249">
        <f t="shared" si="101"/>
        <v>846</v>
      </c>
    </row>
    <row r="1250" spans="4:16" x14ac:dyDescent="0.25">
      <c r="D1250">
        <v>2034</v>
      </c>
      <c r="E1250" t="s">
        <v>123</v>
      </c>
      <c r="F1250" t="s">
        <v>210</v>
      </c>
      <c r="G1250">
        <v>846</v>
      </c>
      <c r="I1250">
        <f t="shared" si="103"/>
        <v>0</v>
      </c>
      <c r="J1250">
        <f t="shared" si="103"/>
        <v>0</v>
      </c>
      <c r="K1250">
        <f t="shared" si="103"/>
        <v>0</v>
      </c>
      <c r="M1250" t="str" cm="1">
        <f t="array" ref="M1250">IFERROR(INDEX($I$2:$K$2,0,MATCH(TRUE,I1250:K1250,0)),E1250)</f>
        <v>CCGT</v>
      </c>
      <c r="O1250" t="str">
        <f t="shared" si="100"/>
        <v>CCGT_2034</v>
      </c>
      <c r="P1250">
        <f t="shared" si="101"/>
        <v>846</v>
      </c>
    </row>
    <row r="1251" spans="4:16" x14ac:dyDescent="0.25">
      <c r="D1251">
        <v>2035</v>
      </c>
      <c r="E1251" t="s">
        <v>123</v>
      </c>
      <c r="F1251" t="s">
        <v>210</v>
      </c>
      <c r="G1251">
        <v>846</v>
      </c>
      <c r="I1251">
        <f t="shared" si="103"/>
        <v>0</v>
      </c>
      <c r="J1251">
        <f t="shared" si="103"/>
        <v>0</v>
      </c>
      <c r="K1251">
        <f t="shared" si="103"/>
        <v>0</v>
      </c>
      <c r="M1251" t="str" cm="1">
        <f t="array" ref="M1251">IFERROR(INDEX($I$2:$K$2,0,MATCH(TRUE,I1251:K1251,0)),E1251)</f>
        <v>CCGT</v>
      </c>
      <c r="O1251" t="str">
        <f t="shared" si="100"/>
        <v>CCGT_2035</v>
      </c>
      <c r="P1251">
        <f t="shared" si="101"/>
        <v>846</v>
      </c>
    </row>
    <row r="1252" spans="4:16" x14ac:dyDescent="0.25">
      <c r="D1252">
        <v>2036</v>
      </c>
      <c r="E1252" t="s">
        <v>123</v>
      </c>
      <c r="F1252" t="s">
        <v>210</v>
      </c>
      <c r="G1252">
        <v>846</v>
      </c>
      <c r="I1252">
        <f t="shared" si="103"/>
        <v>0</v>
      </c>
      <c r="J1252">
        <f t="shared" si="103"/>
        <v>0</v>
      </c>
      <c r="K1252">
        <f t="shared" si="103"/>
        <v>0</v>
      </c>
      <c r="M1252" t="str" cm="1">
        <f t="array" ref="M1252">IFERROR(INDEX($I$2:$K$2,0,MATCH(TRUE,I1252:K1252,0)),E1252)</f>
        <v>CCGT</v>
      </c>
      <c r="O1252" t="str">
        <f t="shared" si="100"/>
        <v>CCGT_2036</v>
      </c>
      <c r="P1252">
        <f t="shared" si="101"/>
        <v>846</v>
      </c>
    </row>
    <row r="1253" spans="4:16" x14ac:dyDescent="0.25">
      <c r="D1253">
        <v>2037</v>
      </c>
      <c r="E1253" t="s">
        <v>123</v>
      </c>
      <c r="F1253" t="s">
        <v>210</v>
      </c>
      <c r="G1253">
        <v>846</v>
      </c>
      <c r="I1253">
        <f t="shared" si="103"/>
        <v>0</v>
      </c>
      <c r="J1253">
        <f t="shared" si="103"/>
        <v>0</v>
      </c>
      <c r="K1253">
        <f t="shared" si="103"/>
        <v>0</v>
      </c>
      <c r="M1253" t="str" cm="1">
        <f t="array" ref="M1253">IFERROR(INDEX($I$2:$K$2,0,MATCH(TRUE,I1253:K1253,0)),E1253)</f>
        <v>CCGT</v>
      </c>
      <c r="O1253" t="str">
        <f t="shared" si="100"/>
        <v>CCGT_2037</v>
      </c>
      <c r="P1253">
        <f t="shared" si="101"/>
        <v>846</v>
      </c>
    </row>
    <row r="1254" spans="4:16" x14ac:dyDescent="0.25">
      <c r="D1254">
        <v>2038</v>
      </c>
      <c r="E1254" t="s">
        <v>123</v>
      </c>
      <c r="F1254" t="s">
        <v>210</v>
      </c>
      <c r="G1254">
        <v>846</v>
      </c>
      <c r="I1254">
        <f t="shared" si="103"/>
        <v>0</v>
      </c>
      <c r="J1254">
        <f t="shared" si="103"/>
        <v>0</v>
      </c>
      <c r="K1254">
        <f t="shared" si="103"/>
        <v>0</v>
      </c>
      <c r="M1254" t="str" cm="1">
        <f t="array" ref="M1254">IFERROR(INDEX($I$2:$K$2,0,MATCH(TRUE,I1254:K1254,0)),E1254)</f>
        <v>CCGT</v>
      </c>
      <c r="O1254" t="str">
        <f t="shared" si="100"/>
        <v>CCGT_2038</v>
      </c>
      <c r="P1254">
        <f t="shared" si="101"/>
        <v>846</v>
      </c>
    </row>
    <row r="1255" spans="4:16" x14ac:dyDescent="0.25">
      <c r="D1255">
        <v>2039</v>
      </c>
      <c r="E1255" t="s">
        <v>123</v>
      </c>
      <c r="F1255" t="s">
        <v>210</v>
      </c>
      <c r="G1255">
        <v>846</v>
      </c>
      <c r="I1255">
        <f t="shared" si="103"/>
        <v>0</v>
      </c>
      <c r="J1255">
        <f t="shared" si="103"/>
        <v>0</v>
      </c>
      <c r="K1255">
        <f t="shared" si="103"/>
        <v>0</v>
      </c>
      <c r="M1255" t="str" cm="1">
        <f t="array" ref="M1255">IFERROR(INDEX($I$2:$K$2,0,MATCH(TRUE,I1255:K1255,0)),E1255)</f>
        <v>CCGT</v>
      </c>
      <c r="O1255" t="str">
        <f t="shared" si="100"/>
        <v>CCGT_2039</v>
      </c>
      <c r="P1255">
        <f t="shared" si="101"/>
        <v>846</v>
      </c>
    </row>
    <row r="1256" spans="4:16" x14ac:dyDescent="0.25">
      <c r="D1256">
        <v>2040</v>
      </c>
      <c r="E1256" t="s">
        <v>123</v>
      </c>
      <c r="F1256" t="s">
        <v>210</v>
      </c>
      <c r="G1256">
        <v>846</v>
      </c>
      <c r="I1256">
        <f t="shared" si="103"/>
        <v>0</v>
      </c>
      <c r="J1256">
        <f t="shared" si="103"/>
        <v>0</v>
      </c>
      <c r="K1256">
        <f t="shared" si="103"/>
        <v>0</v>
      </c>
      <c r="M1256" t="str" cm="1">
        <f t="array" ref="M1256">IFERROR(INDEX($I$2:$K$2,0,MATCH(TRUE,I1256:K1256,0)),E1256)</f>
        <v>CCGT</v>
      </c>
      <c r="O1256" t="str">
        <f t="shared" si="100"/>
        <v>CCGT_2040</v>
      </c>
      <c r="P1256">
        <f t="shared" si="101"/>
        <v>846</v>
      </c>
    </row>
    <row r="1257" spans="4:16" x14ac:dyDescent="0.25">
      <c r="D1257">
        <v>2021</v>
      </c>
      <c r="E1257" t="s">
        <v>123</v>
      </c>
      <c r="F1257" t="s">
        <v>211</v>
      </c>
      <c r="G1257">
        <v>160</v>
      </c>
      <c r="I1257">
        <f t="shared" si="103"/>
        <v>0</v>
      </c>
      <c r="J1257">
        <f t="shared" si="103"/>
        <v>0</v>
      </c>
      <c r="K1257">
        <f t="shared" si="103"/>
        <v>0</v>
      </c>
      <c r="M1257" t="str" cm="1">
        <f t="array" ref="M1257">IFERROR(INDEX($I$2:$K$2,0,MATCH(TRUE,I1257:K1257,0)),E1257)</f>
        <v>CCGT</v>
      </c>
      <c r="O1257" t="str">
        <f t="shared" si="100"/>
        <v>CCGT_2021</v>
      </c>
      <c r="P1257">
        <f t="shared" si="101"/>
        <v>160</v>
      </c>
    </row>
    <row r="1258" spans="4:16" x14ac:dyDescent="0.25">
      <c r="D1258">
        <v>2022</v>
      </c>
      <c r="E1258" t="s">
        <v>123</v>
      </c>
      <c r="F1258" t="s">
        <v>211</v>
      </c>
      <c r="G1258">
        <v>160</v>
      </c>
      <c r="I1258">
        <f t="shared" si="103"/>
        <v>0</v>
      </c>
      <c r="J1258">
        <f t="shared" si="103"/>
        <v>0</v>
      </c>
      <c r="K1258">
        <f t="shared" si="103"/>
        <v>0</v>
      </c>
      <c r="M1258" t="str" cm="1">
        <f t="array" ref="M1258">IFERROR(INDEX($I$2:$K$2,0,MATCH(TRUE,I1258:K1258,0)),E1258)</f>
        <v>CCGT</v>
      </c>
      <c r="O1258" t="str">
        <f t="shared" si="100"/>
        <v>CCGT_2022</v>
      </c>
      <c r="P1258">
        <f t="shared" si="101"/>
        <v>160</v>
      </c>
    </row>
    <row r="1259" spans="4:16" x14ac:dyDescent="0.25">
      <c r="D1259">
        <v>2023</v>
      </c>
      <c r="E1259" t="s">
        <v>123</v>
      </c>
      <c r="F1259" t="s">
        <v>211</v>
      </c>
      <c r="G1259">
        <v>160</v>
      </c>
      <c r="I1259">
        <f t="shared" si="103"/>
        <v>0</v>
      </c>
      <c r="J1259">
        <f t="shared" si="103"/>
        <v>0</v>
      </c>
      <c r="K1259">
        <f t="shared" si="103"/>
        <v>0</v>
      </c>
      <c r="M1259" t="str" cm="1">
        <f t="array" ref="M1259">IFERROR(INDEX($I$2:$K$2,0,MATCH(TRUE,I1259:K1259,0)),E1259)</f>
        <v>CCGT</v>
      </c>
      <c r="O1259" t="str">
        <f t="shared" si="100"/>
        <v>CCGT_2023</v>
      </c>
      <c r="P1259">
        <f t="shared" si="101"/>
        <v>160</v>
      </c>
    </row>
    <row r="1260" spans="4:16" x14ac:dyDescent="0.25">
      <c r="D1260">
        <v>2024</v>
      </c>
      <c r="E1260" t="s">
        <v>123</v>
      </c>
      <c r="F1260" t="s">
        <v>211</v>
      </c>
      <c r="G1260">
        <v>160</v>
      </c>
      <c r="I1260">
        <f t="shared" si="103"/>
        <v>0</v>
      </c>
      <c r="J1260">
        <f t="shared" si="103"/>
        <v>0</v>
      </c>
      <c r="K1260">
        <f t="shared" si="103"/>
        <v>0</v>
      </c>
      <c r="M1260" t="str" cm="1">
        <f t="array" ref="M1260">IFERROR(INDEX($I$2:$K$2,0,MATCH(TRUE,I1260:K1260,0)),E1260)</f>
        <v>CCGT</v>
      </c>
      <c r="O1260" t="str">
        <f t="shared" si="100"/>
        <v>CCGT_2024</v>
      </c>
      <c r="P1260">
        <f t="shared" si="101"/>
        <v>160</v>
      </c>
    </row>
    <row r="1261" spans="4:16" x14ac:dyDescent="0.25">
      <c r="D1261">
        <v>2025</v>
      </c>
      <c r="E1261" t="s">
        <v>123</v>
      </c>
      <c r="F1261" t="s">
        <v>211</v>
      </c>
      <c r="G1261">
        <v>160</v>
      </c>
      <c r="I1261">
        <f t="shared" si="103"/>
        <v>0</v>
      </c>
      <c r="J1261">
        <f t="shared" si="103"/>
        <v>0</v>
      </c>
      <c r="K1261">
        <f t="shared" si="103"/>
        <v>0</v>
      </c>
      <c r="M1261" t="str" cm="1">
        <f t="array" ref="M1261">IFERROR(INDEX($I$2:$K$2,0,MATCH(TRUE,I1261:K1261,0)),E1261)</f>
        <v>CCGT</v>
      </c>
      <c r="O1261" t="str">
        <f t="shared" si="100"/>
        <v>CCGT_2025</v>
      </c>
      <c r="P1261">
        <f t="shared" si="101"/>
        <v>160</v>
      </c>
    </row>
    <row r="1262" spans="4:16" x14ac:dyDescent="0.25">
      <c r="D1262">
        <v>2026</v>
      </c>
      <c r="E1262" t="s">
        <v>123</v>
      </c>
      <c r="F1262" t="s">
        <v>211</v>
      </c>
      <c r="G1262">
        <v>160</v>
      </c>
      <c r="I1262">
        <f t="shared" si="103"/>
        <v>0</v>
      </c>
      <c r="J1262">
        <f t="shared" si="103"/>
        <v>0</v>
      </c>
      <c r="K1262">
        <f t="shared" si="103"/>
        <v>0</v>
      </c>
      <c r="M1262" t="str" cm="1">
        <f t="array" ref="M1262">IFERROR(INDEX($I$2:$K$2,0,MATCH(TRUE,I1262:K1262,0)),E1262)</f>
        <v>CCGT</v>
      </c>
      <c r="O1262" t="str">
        <f t="shared" si="100"/>
        <v>CCGT_2026</v>
      </c>
      <c r="P1262">
        <f t="shared" si="101"/>
        <v>160</v>
      </c>
    </row>
    <row r="1263" spans="4:16" x14ac:dyDescent="0.25">
      <c r="D1263">
        <v>2027</v>
      </c>
      <c r="E1263" t="s">
        <v>123</v>
      </c>
      <c r="F1263" t="s">
        <v>211</v>
      </c>
      <c r="G1263">
        <v>160</v>
      </c>
      <c r="I1263">
        <f t="shared" si="103"/>
        <v>0</v>
      </c>
      <c r="J1263">
        <f t="shared" si="103"/>
        <v>0</v>
      </c>
      <c r="K1263">
        <f t="shared" si="103"/>
        <v>0</v>
      </c>
      <c r="M1263" t="str" cm="1">
        <f t="array" ref="M1263">IFERROR(INDEX($I$2:$K$2,0,MATCH(TRUE,I1263:K1263,0)),E1263)</f>
        <v>CCGT</v>
      </c>
      <c r="O1263" t="str">
        <f t="shared" si="100"/>
        <v>CCGT_2027</v>
      </c>
      <c r="P1263">
        <f t="shared" si="101"/>
        <v>160</v>
      </c>
    </row>
    <row r="1264" spans="4:16" x14ac:dyDescent="0.25">
      <c r="D1264">
        <v>2028</v>
      </c>
      <c r="E1264" t="s">
        <v>123</v>
      </c>
      <c r="F1264" t="s">
        <v>211</v>
      </c>
      <c r="G1264">
        <v>160</v>
      </c>
      <c r="I1264">
        <f t="shared" ref="I1264:K1283" si="104">IFERROR(FIND(I$2,$E1264,1)&gt;0,0)</f>
        <v>0</v>
      </c>
      <c r="J1264">
        <f t="shared" si="104"/>
        <v>0</v>
      </c>
      <c r="K1264">
        <f t="shared" si="104"/>
        <v>0</v>
      </c>
      <c r="M1264" t="str" cm="1">
        <f t="array" ref="M1264">IFERROR(INDEX($I$2:$K$2,0,MATCH(TRUE,I1264:K1264,0)),E1264)</f>
        <v>CCGT</v>
      </c>
      <c r="O1264" t="str">
        <f t="shared" si="100"/>
        <v>CCGT_2028</v>
      </c>
      <c r="P1264">
        <f t="shared" si="101"/>
        <v>160</v>
      </c>
    </row>
    <row r="1265" spans="4:16" x14ac:dyDescent="0.25">
      <c r="D1265">
        <v>2029</v>
      </c>
      <c r="E1265" t="s">
        <v>123</v>
      </c>
      <c r="F1265" t="s">
        <v>211</v>
      </c>
      <c r="G1265">
        <v>160</v>
      </c>
      <c r="I1265">
        <f t="shared" si="104"/>
        <v>0</v>
      </c>
      <c r="J1265">
        <f t="shared" si="104"/>
        <v>0</v>
      </c>
      <c r="K1265">
        <f t="shared" si="104"/>
        <v>0</v>
      </c>
      <c r="M1265" t="str" cm="1">
        <f t="array" ref="M1265">IFERROR(INDEX($I$2:$K$2,0,MATCH(TRUE,I1265:K1265,0)),E1265)</f>
        <v>CCGT</v>
      </c>
      <c r="O1265" t="str">
        <f t="shared" si="100"/>
        <v>CCGT_2029</v>
      </c>
      <c r="P1265">
        <f t="shared" si="101"/>
        <v>160</v>
      </c>
    </row>
    <row r="1266" spans="4:16" x14ac:dyDescent="0.25">
      <c r="D1266">
        <v>2030</v>
      </c>
      <c r="E1266" t="s">
        <v>123</v>
      </c>
      <c r="F1266" t="s">
        <v>211</v>
      </c>
      <c r="G1266">
        <v>160</v>
      </c>
      <c r="I1266">
        <f t="shared" si="104"/>
        <v>0</v>
      </c>
      <c r="J1266">
        <f t="shared" si="104"/>
        <v>0</v>
      </c>
      <c r="K1266">
        <f t="shared" si="104"/>
        <v>0</v>
      </c>
      <c r="M1266" t="str" cm="1">
        <f t="array" ref="M1266">IFERROR(INDEX($I$2:$K$2,0,MATCH(TRUE,I1266:K1266,0)),E1266)</f>
        <v>CCGT</v>
      </c>
      <c r="O1266" t="str">
        <f t="shared" si="100"/>
        <v>CCGT_2030</v>
      </c>
      <c r="P1266">
        <f t="shared" si="101"/>
        <v>160</v>
      </c>
    </row>
    <row r="1267" spans="4:16" x14ac:dyDescent="0.25">
      <c r="D1267">
        <v>2031</v>
      </c>
      <c r="E1267" t="s">
        <v>123</v>
      </c>
      <c r="F1267" t="s">
        <v>211</v>
      </c>
      <c r="G1267">
        <v>160</v>
      </c>
      <c r="I1267">
        <f t="shared" si="104"/>
        <v>0</v>
      </c>
      <c r="J1267">
        <f t="shared" si="104"/>
        <v>0</v>
      </c>
      <c r="K1267">
        <f t="shared" si="104"/>
        <v>0</v>
      </c>
      <c r="M1267" t="str" cm="1">
        <f t="array" ref="M1267">IFERROR(INDEX($I$2:$K$2,0,MATCH(TRUE,I1267:K1267,0)),E1267)</f>
        <v>CCGT</v>
      </c>
      <c r="O1267" t="str">
        <f t="shared" si="100"/>
        <v>CCGT_2031</v>
      </c>
      <c r="P1267">
        <f t="shared" si="101"/>
        <v>160</v>
      </c>
    </row>
    <row r="1268" spans="4:16" x14ac:dyDescent="0.25">
      <c r="D1268">
        <v>2032</v>
      </c>
      <c r="E1268" t="s">
        <v>123</v>
      </c>
      <c r="F1268" t="s">
        <v>211</v>
      </c>
      <c r="G1268">
        <v>160</v>
      </c>
      <c r="I1268">
        <f t="shared" si="104"/>
        <v>0</v>
      </c>
      <c r="J1268">
        <f t="shared" si="104"/>
        <v>0</v>
      </c>
      <c r="K1268">
        <f t="shared" si="104"/>
        <v>0</v>
      </c>
      <c r="M1268" t="str" cm="1">
        <f t="array" ref="M1268">IFERROR(INDEX($I$2:$K$2,0,MATCH(TRUE,I1268:K1268,0)),E1268)</f>
        <v>CCGT</v>
      </c>
      <c r="O1268" t="str">
        <f t="shared" si="100"/>
        <v>CCGT_2032</v>
      </c>
      <c r="P1268">
        <f t="shared" si="101"/>
        <v>160</v>
      </c>
    </row>
    <row r="1269" spans="4:16" x14ac:dyDescent="0.25">
      <c r="D1269">
        <v>2033</v>
      </c>
      <c r="E1269" t="s">
        <v>123</v>
      </c>
      <c r="F1269" t="s">
        <v>211</v>
      </c>
      <c r="G1269">
        <v>160</v>
      </c>
      <c r="I1269">
        <f t="shared" si="104"/>
        <v>0</v>
      </c>
      <c r="J1269">
        <f t="shared" si="104"/>
        <v>0</v>
      </c>
      <c r="K1269">
        <f t="shared" si="104"/>
        <v>0</v>
      </c>
      <c r="M1269" t="str" cm="1">
        <f t="array" ref="M1269">IFERROR(INDEX($I$2:$K$2,0,MATCH(TRUE,I1269:K1269,0)),E1269)</f>
        <v>CCGT</v>
      </c>
      <c r="O1269" t="str">
        <f t="shared" si="100"/>
        <v>CCGT_2033</v>
      </c>
      <c r="P1269">
        <f t="shared" si="101"/>
        <v>160</v>
      </c>
    </row>
    <row r="1270" spans="4:16" x14ac:dyDescent="0.25">
      <c r="D1270">
        <v>2034</v>
      </c>
      <c r="E1270" t="s">
        <v>123</v>
      </c>
      <c r="F1270" t="s">
        <v>211</v>
      </c>
      <c r="G1270">
        <v>160</v>
      </c>
      <c r="I1270">
        <f t="shared" si="104"/>
        <v>0</v>
      </c>
      <c r="J1270">
        <f t="shared" si="104"/>
        <v>0</v>
      </c>
      <c r="K1270">
        <f t="shared" si="104"/>
        <v>0</v>
      </c>
      <c r="M1270" t="str" cm="1">
        <f t="array" ref="M1270">IFERROR(INDEX($I$2:$K$2,0,MATCH(TRUE,I1270:K1270,0)),E1270)</f>
        <v>CCGT</v>
      </c>
      <c r="O1270" t="str">
        <f t="shared" si="100"/>
        <v>CCGT_2034</v>
      </c>
      <c r="P1270">
        <f t="shared" si="101"/>
        <v>160</v>
      </c>
    </row>
    <row r="1271" spans="4:16" x14ac:dyDescent="0.25">
      <c r="D1271">
        <v>2035</v>
      </c>
      <c r="E1271" t="s">
        <v>123</v>
      </c>
      <c r="F1271" t="s">
        <v>211</v>
      </c>
      <c r="G1271">
        <v>160</v>
      </c>
      <c r="I1271">
        <f t="shared" si="104"/>
        <v>0</v>
      </c>
      <c r="J1271">
        <f t="shared" si="104"/>
        <v>0</v>
      </c>
      <c r="K1271">
        <f t="shared" si="104"/>
        <v>0</v>
      </c>
      <c r="M1271" t="str" cm="1">
        <f t="array" ref="M1271">IFERROR(INDEX($I$2:$K$2,0,MATCH(TRUE,I1271:K1271,0)),E1271)</f>
        <v>CCGT</v>
      </c>
      <c r="O1271" t="str">
        <f t="shared" si="100"/>
        <v>CCGT_2035</v>
      </c>
      <c r="P1271">
        <f t="shared" si="101"/>
        <v>160</v>
      </c>
    </row>
    <row r="1272" spans="4:16" x14ac:dyDescent="0.25">
      <c r="D1272">
        <v>2036</v>
      </c>
      <c r="E1272" t="s">
        <v>123</v>
      </c>
      <c r="F1272" t="s">
        <v>211</v>
      </c>
      <c r="G1272">
        <v>160</v>
      </c>
      <c r="I1272">
        <f t="shared" si="104"/>
        <v>0</v>
      </c>
      <c r="J1272">
        <f t="shared" si="104"/>
        <v>0</v>
      </c>
      <c r="K1272">
        <f t="shared" si="104"/>
        <v>0</v>
      </c>
      <c r="M1272" t="str" cm="1">
        <f t="array" ref="M1272">IFERROR(INDEX($I$2:$K$2,0,MATCH(TRUE,I1272:K1272,0)),E1272)</f>
        <v>CCGT</v>
      </c>
      <c r="O1272" t="str">
        <f t="shared" si="100"/>
        <v>CCGT_2036</v>
      </c>
      <c r="P1272">
        <f t="shared" si="101"/>
        <v>160</v>
      </c>
    </row>
    <row r="1273" spans="4:16" x14ac:dyDescent="0.25">
      <c r="D1273">
        <v>2037</v>
      </c>
      <c r="E1273" t="s">
        <v>123</v>
      </c>
      <c r="F1273" t="s">
        <v>211</v>
      </c>
      <c r="G1273">
        <v>160</v>
      </c>
      <c r="I1273">
        <f t="shared" si="104"/>
        <v>0</v>
      </c>
      <c r="J1273">
        <f t="shared" si="104"/>
        <v>0</v>
      </c>
      <c r="K1273">
        <f t="shared" si="104"/>
        <v>0</v>
      </c>
      <c r="M1273" t="str" cm="1">
        <f t="array" ref="M1273">IFERROR(INDEX($I$2:$K$2,0,MATCH(TRUE,I1273:K1273,0)),E1273)</f>
        <v>CCGT</v>
      </c>
      <c r="O1273" t="str">
        <f t="shared" si="100"/>
        <v>CCGT_2037</v>
      </c>
      <c r="P1273">
        <f t="shared" si="101"/>
        <v>160</v>
      </c>
    </row>
    <row r="1274" spans="4:16" x14ac:dyDescent="0.25">
      <c r="D1274">
        <v>2038</v>
      </c>
      <c r="E1274" t="s">
        <v>123</v>
      </c>
      <c r="F1274" t="s">
        <v>211</v>
      </c>
      <c r="G1274">
        <v>160</v>
      </c>
      <c r="I1274">
        <f t="shared" si="104"/>
        <v>0</v>
      </c>
      <c r="J1274">
        <f t="shared" si="104"/>
        <v>0</v>
      </c>
      <c r="K1274">
        <f t="shared" si="104"/>
        <v>0</v>
      </c>
      <c r="M1274" t="str" cm="1">
        <f t="array" ref="M1274">IFERROR(INDEX($I$2:$K$2,0,MATCH(TRUE,I1274:K1274,0)),E1274)</f>
        <v>CCGT</v>
      </c>
      <c r="O1274" t="str">
        <f t="shared" si="100"/>
        <v>CCGT_2038</v>
      </c>
      <c r="P1274">
        <f t="shared" si="101"/>
        <v>160</v>
      </c>
    </row>
    <row r="1275" spans="4:16" x14ac:dyDescent="0.25">
      <c r="D1275">
        <v>2039</v>
      </c>
      <c r="E1275" t="s">
        <v>123</v>
      </c>
      <c r="F1275" t="s">
        <v>211</v>
      </c>
      <c r="G1275">
        <v>160</v>
      </c>
      <c r="I1275">
        <f t="shared" si="104"/>
        <v>0</v>
      </c>
      <c r="J1275">
        <f t="shared" si="104"/>
        <v>0</v>
      </c>
      <c r="K1275">
        <f t="shared" si="104"/>
        <v>0</v>
      </c>
      <c r="M1275" t="str" cm="1">
        <f t="array" ref="M1275">IFERROR(INDEX($I$2:$K$2,0,MATCH(TRUE,I1275:K1275,0)),E1275)</f>
        <v>CCGT</v>
      </c>
      <c r="O1275" t="str">
        <f t="shared" si="100"/>
        <v>CCGT_2039</v>
      </c>
      <c r="P1275">
        <f t="shared" si="101"/>
        <v>160</v>
      </c>
    </row>
    <row r="1276" spans="4:16" x14ac:dyDescent="0.25">
      <c r="D1276">
        <v>2040</v>
      </c>
      <c r="E1276" t="s">
        <v>123</v>
      </c>
      <c r="F1276" t="s">
        <v>211</v>
      </c>
      <c r="G1276">
        <v>160</v>
      </c>
      <c r="I1276">
        <f t="shared" si="104"/>
        <v>0</v>
      </c>
      <c r="J1276">
        <f t="shared" si="104"/>
        <v>0</v>
      </c>
      <c r="K1276">
        <f t="shared" si="104"/>
        <v>0</v>
      </c>
      <c r="M1276" t="str" cm="1">
        <f t="array" ref="M1276">IFERROR(INDEX($I$2:$K$2,0,MATCH(TRUE,I1276:K1276,0)),E1276)</f>
        <v>CCGT</v>
      </c>
      <c r="O1276" t="str">
        <f t="shared" si="100"/>
        <v>CCGT_2040</v>
      </c>
      <c r="P1276">
        <f t="shared" si="101"/>
        <v>160</v>
      </c>
    </row>
    <row r="1277" spans="4:16" x14ac:dyDescent="0.25">
      <c r="D1277">
        <v>2021</v>
      </c>
      <c r="E1277" t="s">
        <v>123</v>
      </c>
      <c r="F1277" t="s">
        <v>212</v>
      </c>
      <c r="G1277">
        <v>100</v>
      </c>
      <c r="I1277">
        <f t="shared" si="104"/>
        <v>0</v>
      </c>
      <c r="J1277">
        <f t="shared" si="104"/>
        <v>0</v>
      </c>
      <c r="K1277">
        <f t="shared" si="104"/>
        <v>0</v>
      </c>
      <c r="M1277" t="str" cm="1">
        <f t="array" ref="M1277">IFERROR(INDEX($I$2:$K$2,0,MATCH(TRUE,I1277:K1277,0)),E1277)</f>
        <v>CCGT</v>
      </c>
      <c r="O1277" t="str">
        <f t="shared" si="100"/>
        <v>CCGT_2021</v>
      </c>
      <c r="P1277">
        <f t="shared" si="101"/>
        <v>100</v>
      </c>
    </row>
    <row r="1278" spans="4:16" x14ac:dyDescent="0.25">
      <c r="D1278">
        <v>2022</v>
      </c>
      <c r="E1278" t="s">
        <v>123</v>
      </c>
      <c r="F1278" t="s">
        <v>212</v>
      </c>
      <c r="G1278">
        <v>100</v>
      </c>
      <c r="I1278">
        <f t="shared" si="104"/>
        <v>0</v>
      </c>
      <c r="J1278">
        <f t="shared" si="104"/>
        <v>0</v>
      </c>
      <c r="K1278">
        <f t="shared" si="104"/>
        <v>0</v>
      </c>
      <c r="M1278" t="str" cm="1">
        <f t="array" ref="M1278">IFERROR(INDEX($I$2:$K$2,0,MATCH(TRUE,I1278:K1278,0)),E1278)</f>
        <v>CCGT</v>
      </c>
      <c r="O1278" t="str">
        <f t="shared" si="100"/>
        <v>CCGT_2022</v>
      </c>
      <c r="P1278">
        <f t="shared" si="101"/>
        <v>100</v>
      </c>
    </row>
    <row r="1279" spans="4:16" x14ac:dyDescent="0.25">
      <c r="D1279">
        <v>2023</v>
      </c>
      <c r="E1279" t="s">
        <v>123</v>
      </c>
      <c r="F1279" t="s">
        <v>212</v>
      </c>
      <c r="G1279">
        <v>100</v>
      </c>
      <c r="I1279">
        <f t="shared" si="104"/>
        <v>0</v>
      </c>
      <c r="J1279">
        <f t="shared" si="104"/>
        <v>0</v>
      </c>
      <c r="K1279">
        <f t="shared" si="104"/>
        <v>0</v>
      </c>
      <c r="M1279" t="str" cm="1">
        <f t="array" ref="M1279">IFERROR(INDEX($I$2:$K$2,0,MATCH(TRUE,I1279:K1279,0)),E1279)</f>
        <v>CCGT</v>
      </c>
      <c r="O1279" t="str">
        <f t="shared" si="100"/>
        <v>CCGT_2023</v>
      </c>
      <c r="P1279">
        <f t="shared" si="101"/>
        <v>100</v>
      </c>
    </row>
    <row r="1280" spans="4:16" x14ac:dyDescent="0.25">
      <c r="D1280">
        <v>2024</v>
      </c>
      <c r="E1280" t="s">
        <v>123</v>
      </c>
      <c r="F1280" t="s">
        <v>212</v>
      </c>
      <c r="G1280">
        <v>100</v>
      </c>
      <c r="I1280">
        <f t="shared" si="104"/>
        <v>0</v>
      </c>
      <c r="J1280">
        <f t="shared" si="104"/>
        <v>0</v>
      </c>
      <c r="K1280">
        <f t="shared" si="104"/>
        <v>0</v>
      </c>
      <c r="M1280" t="str" cm="1">
        <f t="array" ref="M1280">IFERROR(INDEX($I$2:$K$2,0,MATCH(TRUE,I1280:K1280,0)),E1280)</f>
        <v>CCGT</v>
      </c>
      <c r="O1280" t="str">
        <f t="shared" si="100"/>
        <v>CCGT_2024</v>
      </c>
      <c r="P1280">
        <f t="shared" si="101"/>
        <v>100</v>
      </c>
    </row>
    <row r="1281" spans="4:16" x14ac:dyDescent="0.25">
      <c r="D1281">
        <v>2025</v>
      </c>
      <c r="E1281" t="s">
        <v>123</v>
      </c>
      <c r="F1281" t="s">
        <v>212</v>
      </c>
      <c r="G1281">
        <v>100</v>
      </c>
      <c r="I1281">
        <f t="shared" si="104"/>
        <v>0</v>
      </c>
      <c r="J1281">
        <f t="shared" si="104"/>
        <v>0</v>
      </c>
      <c r="K1281">
        <f t="shared" si="104"/>
        <v>0</v>
      </c>
      <c r="M1281" t="str" cm="1">
        <f t="array" ref="M1281">IFERROR(INDEX($I$2:$K$2,0,MATCH(TRUE,I1281:K1281,0)),E1281)</f>
        <v>CCGT</v>
      </c>
      <c r="O1281" t="str">
        <f t="shared" si="100"/>
        <v>CCGT_2025</v>
      </c>
      <c r="P1281">
        <f t="shared" si="101"/>
        <v>100</v>
      </c>
    </row>
    <row r="1282" spans="4:16" x14ac:dyDescent="0.25">
      <c r="D1282">
        <v>2026</v>
      </c>
      <c r="E1282" t="s">
        <v>123</v>
      </c>
      <c r="F1282" t="s">
        <v>212</v>
      </c>
      <c r="G1282">
        <v>100</v>
      </c>
      <c r="I1282">
        <f t="shared" si="104"/>
        <v>0</v>
      </c>
      <c r="J1282">
        <f t="shared" si="104"/>
        <v>0</v>
      </c>
      <c r="K1282">
        <f t="shared" si="104"/>
        <v>0</v>
      </c>
      <c r="M1282" t="str" cm="1">
        <f t="array" ref="M1282">IFERROR(INDEX($I$2:$K$2,0,MATCH(TRUE,I1282:K1282,0)),E1282)</f>
        <v>CCGT</v>
      </c>
      <c r="O1282" t="str">
        <f t="shared" si="100"/>
        <v>CCGT_2026</v>
      </c>
      <c r="P1282">
        <f t="shared" si="101"/>
        <v>100</v>
      </c>
    </row>
    <row r="1283" spans="4:16" x14ac:dyDescent="0.25">
      <c r="D1283">
        <v>2027</v>
      </c>
      <c r="E1283" t="s">
        <v>123</v>
      </c>
      <c r="F1283" t="s">
        <v>212</v>
      </c>
      <c r="G1283">
        <v>100</v>
      </c>
      <c r="I1283">
        <f t="shared" si="104"/>
        <v>0</v>
      </c>
      <c r="J1283">
        <f t="shared" si="104"/>
        <v>0</v>
      </c>
      <c r="K1283">
        <f t="shared" si="104"/>
        <v>0</v>
      </c>
      <c r="M1283" t="str" cm="1">
        <f t="array" ref="M1283">IFERROR(INDEX($I$2:$K$2,0,MATCH(TRUE,I1283:K1283,0)),E1283)</f>
        <v>CCGT</v>
      </c>
      <c r="O1283" t="str">
        <f t="shared" si="100"/>
        <v>CCGT_2027</v>
      </c>
      <c r="P1283">
        <f t="shared" si="101"/>
        <v>100</v>
      </c>
    </row>
    <row r="1284" spans="4:16" x14ac:dyDescent="0.25">
      <c r="D1284">
        <v>2028</v>
      </c>
      <c r="E1284" t="s">
        <v>123</v>
      </c>
      <c r="F1284" t="s">
        <v>212</v>
      </c>
      <c r="G1284">
        <v>100</v>
      </c>
      <c r="I1284">
        <f t="shared" ref="I1284:K1303" si="105">IFERROR(FIND(I$2,$E1284,1)&gt;0,0)</f>
        <v>0</v>
      </c>
      <c r="J1284">
        <f t="shared" si="105"/>
        <v>0</v>
      </c>
      <c r="K1284">
        <f t="shared" si="105"/>
        <v>0</v>
      </c>
      <c r="M1284" t="str" cm="1">
        <f t="array" ref="M1284">IFERROR(INDEX($I$2:$K$2,0,MATCH(TRUE,I1284:K1284,0)),E1284)</f>
        <v>CCGT</v>
      </c>
      <c r="O1284" t="str">
        <f t="shared" ref="O1284:O1347" si="106">M1284&amp;"_"&amp;D1284</f>
        <v>CCGT_2028</v>
      </c>
      <c r="P1284">
        <f t="shared" ref="P1284:P1347" si="107">G1284</f>
        <v>100</v>
      </c>
    </row>
    <row r="1285" spans="4:16" x14ac:dyDescent="0.25">
      <c r="D1285">
        <v>2029</v>
      </c>
      <c r="E1285" t="s">
        <v>123</v>
      </c>
      <c r="F1285" t="s">
        <v>212</v>
      </c>
      <c r="G1285">
        <v>100</v>
      </c>
      <c r="I1285">
        <f t="shared" si="105"/>
        <v>0</v>
      </c>
      <c r="J1285">
        <f t="shared" si="105"/>
        <v>0</v>
      </c>
      <c r="K1285">
        <f t="shared" si="105"/>
        <v>0</v>
      </c>
      <c r="M1285" t="str" cm="1">
        <f t="array" ref="M1285">IFERROR(INDEX($I$2:$K$2,0,MATCH(TRUE,I1285:K1285,0)),E1285)</f>
        <v>CCGT</v>
      </c>
      <c r="O1285" t="str">
        <f t="shared" si="106"/>
        <v>CCGT_2029</v>
      </c>
      <c r="P1285">
        <f t="shared" si="107"/>
        <v>100</v>
      </c>
    </row>
    <row r="1286" spans="4:16" x14ac:dyDescent="0.25">
      <c r="D1286">
        <v>2030</v>
      </c>
      <c r="E1286" t="s">
        <v>123</v>
      </c>
      <c r="F1286" t="s">
        <v>212</v>
      </c>
      <c r="G1286">
        <v>100</v>
      </c>
      <c r="I1286">
        <f t="shared" si="105"/>
        <v>0</v>
      </c>
      <c r="J1286">
        <f t="shared" si="105"/>
        <v>0</v>
      </c>
      <c r="K1286">
        <f t="shared" si="105"/>
        <v>0</v>
      </c>
      <c r="M1286" t="str" cm="1">
        <f t="array" ref="M1286">IFERROR(INDEX($I$2:$K$2,0,MATCH(TRUE,I1286:K1286,0)),E1286)</f>
        <v>CCGT</v>
      </c>
      <c r="O1286" t="str">
        <f t="shared" si="106"/>
        <v>CCGT_2030</v>
      </c>
      <c r="P1286">
        <f t="shared" si="107"/>
        <v>100</v>
      </c>
    </row>
    <row r="1287" spans="4:16" x14ac:dyDescent="0.25">
      <c r="D1287">
        <v>2031</v>
      </c>
      <c r="E1287" t="s">
        <v>123</v>
      </c>
      <c r="F1287" t="s">
        <v>212</v>
      </c>
      <c r="G1287">
        <v>100</v>
      </c>
      <c r="I1287">
        <f t="shared" si="105"/>
        <v>0</v>
      </c>
      <c r="J1287">
        <f t="shared" si="105"/>
        <v>0</v>
      </c>
      <c r="K1287">
        <f t="shared" si="105"/>
        <v>0</v>
      </c>
      <c r="M1287" t="str" cm="1">
        <f t="array" ref="M1287">IFERROR(INDEX($I$2:$K$2,0,MATCH(TRUE,I1287:K1287,0)),E1287)</f>
        <v>CCGT</v>
      </c>
      <c r="O1287" t="str">
        <f t="shared" si="106"/>
        <v>CCGT_2031</v>
      </c>
      <c r="P1287">
        <f t="shared" si="107"/>
        <v>100</v>
      </c>
    </row>
    <row r="1288" spans="4:16" x14ac:dyDescent="0.25">
      <c r="D1288">
        <v>2032</v>
      </c>
      <c r="E1288" t="s">
        <v>123</v>
      </c>
      <c r="F1288" t="s">
        <v>212</v>
      </c>
      <c r="G1288">
        <v>100</v>
      </c>
      <c r="I1288">
        <f t="shared" si="105"/>
        <v>0</v>
      </c>
      <c r="J1288">
        <f t="shared" si="105"/>
        <v>0</v>
      </c>
      <c r="K1288">
        <f t="shared" si="105"/>
        <v>0</v>
      </c>
      <c r="M1288" t="str" cm="1">
        <f t="array" ref="M1288">IFERROR(INDEX($I$2:$K$2,0,MATCH(TRUE,I1288:K1288,0)),E1288)</f>
        <v>CCGT</v>
      </c>
      <c r="O1288" t="str">
        <f t="shared" si="106"/>
        <v>CCGT_2032</v>
      </c>
      <c r="P1288">
        <f t="shared" si="107"/>
        <v>100</v>
      </c>
    </row>
    <row r="1289" spans="4:16" x14ac:dyDescent="0.25">
      <c r="D1289">
        <v>2033</v>
      </c>
      <c r="E1289" t="s">
        <v>123</v>
      </c>
      <c r="F1289" t="s">
        <v>212</v>
      </c>
      <c r="G1289">
        <v>100</v>
      </c>
      <c r="I1289">
        <f t="shared" si="105"/>
        <v>0</v>
      </c>
      <c r="J1289">
        <f t="shared" si="105"/>
        <v>0</v>
      </c>
      <c r="K1289">
        <f t="shared" si="105"/>
        <v>0</v>
      </c>
      <c r="M1289" t="str" cm="1">
        <f t="array" ref="M1289">IFERROR(INDEX($I$2:$K$2,0,MATCH(TRUE,I1289:K1289,0)),E1289)</f>
        <v>CCGT</v>
      </c>
      <c r="O1289" t="str">
        <f t="shared" si="106"/>
        <v>CCGT_2033</v>
      </c>
      <c r="P1289">
        <f t="shared" si="107"/>
        <v>100</v>
      </c>
    </row>
    <row r="1290" spans="4:16" x14ac:dyDescent="0.25">
      <c r="D1290">
        <v>2034</v>
      </c>
      <c r="E1290" t="s">
        <v>123</v>
      </c>
      <c r="F1290" t="s">
        <v>212</v>
      </c>
      <c r="G1290">
        <v>100</v>
      </c>
      <c r="I1290">
        <f t="shared" si="105"/>
        <v>0</v>
      </c>
      <c r="J1290">
        <f t="shared" si="105"/>
        <v>0</v>
      </c>
      <c r="K1290">
        <f t="shared" si="105"/>
        <v>0</v>
      </c>
      <c r="M1290" t="str" cm="1">
        <f t="array" ref="M1290">IFERROR(INDEX($I$2:$K$2,0,MATCH(TRUE,I1290:K1290,0)),E1290)</f>
        <v>CCGT</v>
      </c>
      <c r="O1290" t="str">
        <f t="shared" si="106"/>
        <v>CCGT_2034</v>
      </c>
      <c r="P1290">
        <f t="shared" si="107"/>
        <v>100</v>
      </c>
    </row>
    <row r="1291" spans="4:16" x14ac:dyDescent="0.25">
      <c r="D1291">
        <v>2035</v>
      </c>
      <c r="E1291" t="s">
        <v>123</v>
      </c>
      <c r="F1291" t="s">
        <v>212</v>
      </c>
      <c r="G1291">
        <v>100</v>
      </c>
      <c r="I1291">
        <f t="shared" si="105"/>
        <v>0</v>
      </c>
      <c r="J1291">
        <f t="shared" si="105"/>
        <v>0</v>
      </c>
      <c r="K1291">
        <f t="shared" si="105"/>
        <v>0</v>
      </c>
      <c r="M1291" t="str" cm="1">
        <f t="array" ref="M1291">IFERROR(INDEX($I$2:$K$2,0,MATCH(TRUE,I1291:K1291,0)),E1291)</f>
        <v>CCGT</v>
      </c>
      <c r="O1291" t="str">
        <f t="shared" si="106"/>
        <v>CCGT_2035</v>
      </c>
      <c r="P1291">
        <f t="shared" si="107"/>
        <v>100</v>
      </c>
    </row>
    <row r="1292" spans="4:16" x14ac:dyDescent="0.25">
      <c r="D1292">
        <v>2036</v>
      </c>
      <c r="E1292" t="s">
        <v>123</v>
      </c>
      <c r="F1292" t="s">
        <v>212</v>
      </c>
      <c r="G1292">
        <v>100</v>
      </c>
      <c r="I1292">
        <f t="shared" si="105"/>
        <v>0</v>
      </c>
      <c r="J1292">
        <f t="shared" si="105"/>
        <v>0</v>
      </c>
      <c r="K1292">
        <f t="shared" si="105"/>
        <v>0</v>
      </c>
      <c r="M1292" t="str" cm="1">
        <f t="array" ref="M1292">IFERROR(INDEX($I$2:$K$2,0,MATCH(TRUE,I1292:K1292,0)),E1292)</f>
        <v>CCGT</v>
      </c>
      <c r="O1292" t="str">
        <f t="shared" si="106"/>
        <v>CCGT_2036</v>
      </c>
      <c r="P1292">
        <f t="shared" si="107"/>
        <v>100</v>
      </c>
    </row>
    <row r="1293" spans="4:16" x14ac:dyDescent="0.25">
      <c r="D1293">
        <v>2037</v>
      </c>
      <c r="E1293" t="s">
        <v>123</v>
      </c>
      <c r="F1293" t="s">
        <v>212</v>
      </c>
      <c r="G1293">
        <v>100</v>
      </c>
      <c r="I1293">
        <f t="shared" si="105"/>
        <v>0</v>
      </c>
      <c r="J1293">
        <f t="shared" si="105"/>
        <v>0</v>
      </c>
      <c r="K1293">
        <f t="shared" si="105"/>
        <v>0</v>
      </c>
      <c r="M1293" t="str" cm="1">
        <f t="array" ref="M1293">IFERROR(INDEX($I$2:$K$2,0,MATCH(TRUE,I1293:K1293,0)),E1293)</f>
        <v>CCGT</v>
      </c>
      <c r="O1293" t="str">
        <f t="shared" si="106"/>
        <v>CCGT_2037</v>
      </c>
      <c r="P1293">
        <f t="shared" si="107"/>
        <v>100</v>
      </c>
    </row>
    <row r="1294" spans="4:16" x14ac:dyDescent="0.25">
      <c r="D1294">
        <v>2038</v>
      </c>
      <c r="E1294" t="s">
        <v>123</v>
      </c>
      <c r="F1294" t="s">
        <v>212</v>
      </c>
      <c r="G1294">
        <v>100</v>
      </c>
      <c r="I1294">
        <f t="shared" si="105"/>
        <v>0</v>
      </c>
      <c r="J1294">
        <f t="shared" si="105"/>
        <v>0</v>
      </c>
      <c r="K1294">
        <f t="shared" si="105"/>
        <v>0</v>
      </c>
      <c r="M1294" t="str" cm="1">
        <f t="array" ref="M1294">IFERROR(INDEX($I$2:$K$2,0,MATCH(TRUE,I1294:K1294,0)),E1294)</f>
        <v>CCGT</v>
      </c>
      <c r="O1294" t="str">
        <f t="shared" si="106"/>
        <v>CCGT_2038</v>
      </c>
      <c r="P1294">
        <f t="shared" si="107"/>
        <v>100</v>
      </c>
    </row>
    <row r="1295" spans="4:16" x14ac:dyDescent="0.25">
      <c r="D1295">
        <v>2039</v>
      </c>
      <c r="E1295" t="s">
        <v>123</v>
      </c>
      <c r="F1295" t="s">
        <v>212</v>
      </c>
      <c r="G1295">
        <v>100</v>
      </c>
      <c r="I1295">
        <f t="shared" si="105"/>
        <v>0</v>
      </c>
      <c r="J1295">
        <f t="shared" si="105"/>
        <v>0</v>
      </c>
      <c r="K1295">
        <f t="shared" si="105"/>
        <v>0</v>
      </c>
      <c r="M1295" t="str" cm="1">
        <f t="array" ref="M1295">IFERROR(INDEX($I$2:$K$2,0,MATCH(TRUE,I1295:K1295,0)),E1295)</f>
        <v>CCGT</v>
      </c>
      <c r="O1295" t="str">
        <f t="shared" si="106"/>
        <v>CCGT_2039</v>
      </c>
      <c r="P1295">
        <f t="shared" si="107"/>
        <v>100</v>
      </c>
    </row>
    <row r="1296" spans="4:16" x14ac:dyDescent="0.25">
      <c r="D1296">
        <v>2040</v>
      </c>
      <c r="E1296" t="s">
        <v>123</v>
      </c>
      <c r="F1296" t="s">
        <v>212</v>
      </c>
      <c r="G1296">
        <v>100</v>
      </c>
      <c r="I1296">
        <f t="shared" si="105"/>
        <v>0</v>
      </c>
      <c r="J1296">
        <f t="shared" si="105"/>
        <v>0</v>
      </c>
      <c r="K1296">
        <f t="shared" si="105"/>
        <v>0</v>
      </c>
      <c r="M1296" t="str" cm="1">
        <f t="array" ref="M1296">IFERROR(INDEX($I$2:$K$2,0,MATCH(TRUE,I1296:K1296,0)),E1296)</f>
        <v>CCGT</v>
      </c>
      <c r="O1296" t="str">
        <f t="shared" si="106"/>
        <v>CCGT_2040</v>
      </c>
      <c r="P1296">
        <f t="shared" si="107"/>
        <v>100</v>
      </c>
    </row>
    <row r="1297" spans="4:16" x14ac:dyDescent="0.25">
      <c r="D1297">
        <v>2021</v>
      </c>
      <c r="E1297" t="s">
        <v>123</v>
      </c>
      <c r="F1297" t="s">
        <v>213</v>
      </c>
      <c r="G1297">
        <v>595</v>
      </c>
      <c r="I1297">
        <f t="shared" si="105"/>
        <v>0</v>
      </c>
      <c r="J1297">
        <f t="shared" si="105"/>
        <v>0</v>
      </c>
      <c r="K1297">
        <f t="shared" si="105"/>
        <v>0</v>
      </c>
      <c r="M1297" t="str" cm="1">
        <f t="array" ref="M1297">IFERROR(INDEX($I$2:$K$2,0,MATCH(TRUE,I1297:K1297,0)),E1297)</f>
        <v>CCGT</v>
      </c>
      <c r="O1297" t="str">
        <f t="shared" si="106"/>
        <v>CCGT_2021</v>
      </c>
      <c r="P1297">
        <f t="shared" si="107"/>
        <v>595</v>
      </c>
    </row>
    <row r="1298" spans="4:16" x14ac:dyDescent="0.25">
      <c r="D1298">
        <v>2022</v>
      </c>
      <c r="E1298" t="s">
        <v>123</v>
      </c>
      <c r="F1298" t="s">
        <v>213</v>
      </c>
      <c r="G1298">
        <v>595</v>
      </c>
      <c r="I1298">
        <f t="shared" si="105"/>
        <v>0</v>
      </c>
      <c r="J1298">
        <f t="shared" si="105"/>
        <v>0</v>
      </c>
      <c r="K1298">
        <f t="shared" si="105"/>
        <v>0</v>
      </c>
      <c r="M1298" t="str" cm="1">
        <f t="array" ref="M1298">IFERROR(INDEX($I$2:$K$2,0,MATCH(TRUE,I1298:K1298,0)),E1298)</f>
        <v>CCGT</v>
      </c>
      <c r="O1298" t="str">
        <f t="shared" si="106"/>
        <v>CCGT_2022</v>
      </c>
      <c r="P1298">
        <f t="shared" si="107"/>
        <v>595</v>
      </c>
    </row>
    <row r="1299" spans="4:16" x14ac:dyDescent="0.25">
      <c r="D1299">
        <v>2023</v>
      </c>
      <c r="E1299" t="s">
        <v>123</v>
      </c>
      <c r="F1299" t="s">
        <v>213</v>
      </c>
      <c r="G1299">
        <v>595</v>
      </c>
      <c r="I1299">
        <f t="shared" si="105"/>
        <v>0</v>
      </c>
      <c r="J1299">
        <f t="shared" si="105"/>
        <v>0</v>
      </c>
      <c r="K1299">
        <f t="shared" si="105"/>
        <v>0</v>
      </c>
      <c r="M1299" t="str" cm="1">
        <f t="array" ref="M1299">IFERROR(INDEX($I$2:$K$2,0,MATCH(TRUE,I1299:K1299,0)),E1299)</f>
        <v>CCGT</v>
      </c>
      <c r="O1299" t="str">
        <f t="shared" si="106"/>
        <v>CCGT_2023</v>
      </c>
      <c r="P1299">
        <f t="shared" si="107"/>
        <v>595</v>
      </c>
    </row>
    <row r="1300" spans="4:16" x14ac:dyDescent="0.25">
      <c r="D1300">
        <v>2024</v>
      </c>
      <c r="E1300" t="s">
        <v>123</v>
      </c>
      <c r="F1300" t="s">
        <v>213</v>
      </c>
      <c r="G1300">
        <v>595</v>
      </c>
      <c r="I1300">
        <f t="shared" si="105"/>
        <v>0</v>
      </c>
      <c r="J1300">
        <f t="shared" si="105"/>
        <v>0</v>
      </c>
      <c r="K1300">
        <f t="shared" si="105"/>
        <v>0</v>
      </c>
      <c r="M1300" t="str" cm="1">
        <f t="array" ref="M1300">IFERROR(INDEX($I$2:$K$2,0,MATCH(TRUE,I1300:K1300,0)),E1300)</f>
        <v>CCGT</v>
      </c>
      <c r="O1300" t="str">
        <f t="shared" si="106"/>
        <v>CCGT_2024</v>
      </c>
      <c r="P1300">
        <f t="shared" si="107"/>
        <v>595</v>
      </c>
    </row>
    <row r="1301" spans="4:16" x14ac:dyDescent="0.25">
      <c r="D1301">
        <v>2025</v>
      </c>
      <c r="E1301" t="s">
        <v>123</v>
      </c>
      <c r="F1301" t="s">
        <v>213</v>
      </c>
      <c r="G1301">
        <v>595</v>
      </c>
      <c r="I1301">
        <f t="shared" si="105"/>
        <v>0</v>
      </c>
      <c r="J1301">
        <f t="shared" si="105"/>
        <v>0</v>
      </c>
      <c r="K1301">
        <f t="shared" si="105"/>
        <v>0</v>
      </c>
      <c r="M1301" t="str" cm="1">
        <f t="array" ref="M1301">IFERROR(INDEX($I$2:$K$2,0,MATCH(TRUE,I1301:K1301,0)),E1301)</f>
        <v>CCGT</v>
      </c>
      <c r="O1301" t="str">
        <f t="shared" si="106"/>
        <v>CCGT_2025</v>
      </c>
      <c r="P1301">
        <f t="shared" si="107"/>
        <v>595</v>
      </c>
    </row>
    <row r="1302" spans="4:16" x14ac:dyDescent="0.25">
      <c r="D1302">
        <v>2026</v>
      </c>
      <c r="E1302" t="s">
        <v>123</v>
      </c>
      <c r="F1302" t="s">
        <v>213</v>
      </c>
      <c r="G1302">
        <v>595</v>
      </c>
      <c r="I1302">
        <f t="shared" si="105"/>
        <v>0</v>
      </c>
      <c r="J1302">
        <f t="shared" si="105"/>
        <v>0</v>
      </c>
      <c r="K1302">
        <f t="shared" si="105"/>
        <v>0</v>
      </c>
      <c r="M1302" t="str" cm="1">
        <f t="array" ref="M1302">IFERROR(INDEX($I$2:$K$2,0,MATCH(TRUE,I1302:K1302,0)),E1302)</f>
        <v>CCGT</v>
      </c>
      <c r="O1302" t="str">
        <f t="shared" si="106"/>
        <v>CCGT_2026</v>
      </c>
      <c r="P1302">
        <f t="shared" si="107"/>
        <v>595</v>
      </c>
    </row>
    <row r="1303" spans="4:16" x14ac:dyDescent="0.25">
      <c r="D1303">
        <v>2027</v>
      </c>
      <c r="E1303" t="s">
        <v>123</v>
      </c>
      <c r="F1303" t="s">
        <v>213</v>
      </c>
      <c r="G1303">
        <v>595</v>
      </c>
      <c r="I1303">
        <f t="shared" si="105"/>
        <v>0</v>
      </c>
      <c r="J1303">
        <f t="shared" si="105"/>
        <v>0</v>
      </c>
      <c r="K1303">
        <f t="shared" si="105"/>
        <v>0</v>
      </c>
      <c r="M1303" t="str" cm="1">
        <f t="array" ref="M1303">IFERROR(INDEX($I$2:$K$2,0,MATCH(TRUE,I1303:K1303,0)),E1303)</f>
        <v>CCGT</v>
      </c>
      <c r="O1303" t="str">
        <f t="shared" si="106"/>
        <v>CCGT_2027</v>
      </c>
      <c r="P1303">
        <f t="shared" si="107"/>
        <v>595</v>
      </c>
    </row>
    <row r="1304" spans="4:16" x14ac:dyDescent="0.25">
      <c r="D1304">
        <v>2028</v>
      </c>
      <c r="E1304" t="s">
        <v>123</v>
      </c>
      <c r="F1304" t="s">
        <v>213</v>
      </c>
      <c r="G1304">
        <v>595</v>
      </c>
      <c r="I1304">
        <f t="shared" ref="I1304:K1323" si="108">IFERROR(FIND(I$2,$E1304,1)&gt;0,0)</f>
        <v>0</v>
      </c>
      <c r="J1304">
        <f t="shared" si="108"/>
        <v>0</v>
      </c>
      <c r="K1304">
        <f t="shared" si="108"/>
        <v>0</v>
      </c>
      <c r="M1304" t="str" cm="1">
        <f t="array" ref="M1304">IFERROR(INDEX($I$2:$K$2,0,MATCH(TRUE,I1304:K1304,0)),E1304)</f>
        <v>CCGT</v>
      </c>
      <c r="O1304" t="str">
        <f t="shared" si="106"/>
        <v>CCGT_2028</v>
      </c>
      <c r="P1304">
        <f t="shared" si="107"/>
        <v>595</v>
      </c>
    </row>
    <row r="1305" spans="4:16" x14ac:dyDescent="0.25">
      <c r="D1305">
        <v>2029</v>
      </c>
      <c r="E1305" t="s">
        <v>123</v>
      </c>
      <c r="F1305" t="s">
        <v>213</v>
      </c>
      <c r="G1305">
        <v>595</v>
      </c>
      <c r="I1305">
        <f t="shared" si="108"/>
        <v>0</v>
      </c>
      <c r="J1305">
        <f t="shared" si="108"/>
        <v>0</v>
      </c>
      <c r="K1305">
        <f t="shared" si="108"/>
        <v>0</v>
      </c>
      <c r="M1305" t="str" cm="1">
        <f t="array" ref="M1305">IFERROR(INDEX($I$2:$K$2,0,MATCH(TRUE,I1305:K1305,0)),E1305)</f>
        <v>CCGT</v>
      </c>
      <c r="O1305" t="str">
        <f t="shared" si="106"/>
        <v>CCGT_2029</v>
      </c>
      <c r="P1305">
        <f t="shared" si="107"/>
        <v>595</v>
      </c>
    </row>
    <row r="1306" spans="4:16" x14ac:dyDescent="0.25">
      <c r="D1306">
        <v>2030</v>
      </c>
      <c r="E1306" t="s">
        <v>123</v>
      </c>
      <c r="F1306" t="s">
        <v>213</v>
      </c>
      <c r="G1306">
        <v>595</v>
      </c>
      <c r="I1306">
        <f t="shared" si="108"/>
        <v>0</v>
      </c>
      <c r="J1306">
        <f t="shared" si="108"/>
        <v>0</v>
      </c>
      <c r="K1306">
        <f t="shared" si="108"/>
        <v>0</v>
      </c>
      <c r="M1306" t="str" cm="1">
        <f t="array" ref="M1306">IFERROR(INDEX($I$2:$K$2,0,MATCH(TRUE,I1306:K1306,0)),E1306)</f>
        <v>CCGT</v>
      </c>
      <c r="O1306" t="str">
        <f t="shared" si="106"/>
        <v>CCGT_2030</v>
      </c>
      <c r="P1306">
        <f t="shared" si="107"/>
        <v>595</v>
      </c>
    </row>
    <row r="1307" spans="4:16" x14ac:dyDescent="0.25">
      <c r="D1307">
        <v>2031</v>
      </c>
      <c r="E1307" t="s">
        <v>123</v>
      </c>
      <c r="F1307" t="s">
        <v>213</v>
      </c>
      <c r="G1307">
        <v>595</v>
      </c>
      <c r="I1307">
        <f t="shared" si="108"/>
        <v>0</v>
      </c>
      <c r="J1307">
        <f t="shared" si="108"/>
        <v>0</v>
      </c>
      <c r="K1307">
        <f t="shared" si="108"/>
        <v>0</v>
      </c>
      <c r="M1307" t="str" cm="1">
        <f t="array" ref="M1307">IFERROR(INDEX($I$2:$K$2,0,MATCH(TRUE,I1307:K1307,0)),E1307)</f>
        <v>CCGT</v>
      </c>
      <c r="O1307" t="str">
        <f t="shared" si="106"/>
        <v>CCGT_2031</v>
      </c>
      <c r="P1307">
        <f t="shared" si="107"/>
        <v>595</v>
      </c>
    </row>
    <row r="1308" spans="4:16" x14ac:dyDescent="0.25">
      <c r="D1308">
        <v>2032</v>
      </c>
      <c r="E1308" t="s">
        <v>123</v>
      </c>
      <c r="F1308" t="s">
        <v>213</v>
      </c>
      <c r="G1308">
        <v>595</v>
      </c>
      <c r="I1308">
        <f t="shared" si="108"/>
        <v>0</v>
      </c>
      <c r="J1308">
        <f t="shared" si="108"/>
        <v>0</v>
      </c>
      <c r="K1308">
        <f t="shared" si="108"/>
        <v>0</v>
      </c>
      <c r="M1308" t="str" cm="1">
        <f t="array" ref="M1308">IFERROR(INDEX($I$2:$K$2,0,MATCH(TRUE,I1308:K1308,0)),E1308)</f>
        <v>CCGT</v>
      </c>
      <c r="O1308" t="str">
        <f t="shared" si="106"/>
        <v>CCGT_2032</v>
      </c>
      <c r="P1308">
        <f t="shared" si="107"/>
        <v>595</v>
      </c>
    </row>
    <row r="1309" spans="4:16" x14ac:dyDescent="0.25">
      <c r="D1309">
        <v>2033</v>
      </c>
      <c r="E1309" t="s">
        <v>123</v>
      </c>
      <c r="F1309" t="s">
        <v>213</v>
      </c>
      <c r="G1309">
        <v>595</v>
      </c>
      <c r="I1309">
        <f t="shared" si="108"/>
        <v>0</v>
      </c>
      <c r="J1309">
        <f t="shared" si="108"/>
        <v>0</v>
      </c>
      <c r="K1309">
        <f t="shared" si="108"/>
        <v>0</v>
      </c>
      <c r="M1309" t="str" cm="1">
        <f t="array" ref="M1309">IFERROR(INDEX($I$2:$K$2,0,MATCH(TRUE,I1309:K1309,0)),E1309)</f>
        <v>CCGT</v>
      </c>
      <c r="O1309" t="str">
        <f t="shared" si="106"/>
        <v>CCGT_2033</v>
      </c>
      <c r="P1309">
        <f t="shared" si="107"/>
        <v>595</v>
      </c>
    </row>
    <row r="1310" spans="4:16" x14ac:dyDescent="0.25">
      <c r="D1310">
        <v>2034</v>
      </c>
      <c r="E1310" t="s">
        <v>123</v>
      </c>
      <c r="F1310" t="s">
        <v>213</v>
      </c>
      <c r="G1310">
        <v>595</v>
      </c>
      <c r="I1310">
        <f t="shared" si="108"/>
        <v>0</v>
      </c>
      <c r="J1310">
        <f t="shared" si="108"/>
        <v>0</v>
      </c>
      <c r="K1310">
        <f t="shared" si="108"/>
        <v>0</v>
      </c>
      <c r="M1310" t="str" cm="1">
        <f t="array" ref="M1310">IFERROR(INDEX($I$2:$K$2,0,MATCH(TRUE,I1310:K1310,0)),E1310)</f>
        <v>CCGT</v>
      </c>
      <c r="O1310" t="str">
        <f t="shared" si="106"/>
        <v>CCGT_2034</v>
      </c>
      <c r="P1310">
        <f t="shared" si="107"/>
        <v>595</v>
      </c>
    </row>
    <row r="1311" spans="4:16" x14ac:dyDescent="0.25">
      <c r="D1311">
        <v>2035</v>
      </c>
      <c r="E1311" t="s">
        <v>123</v>
      </c>
      <c r="F1311" t="s">
        <v>213</v>
      </c>
      <c r="G1311">
        <v>595</v>
      </c>
      <c r="I1311">
        <f t="shared" si="108"/>
        <v>0</v>
      </c>
      <c r="J1311">
        <f t="shared" si="108"/>
        <v>0</v>
      </c>
      <c r="K1311">
        <f t="shared" si="108"/>
        <v>0</v>
      </c>
      <c r="M1311" t="str" cm="1">
        <f t="array" ref="M1311">IFERROR(INDEX($I$2:$K$2,0,MATCH(TRUE,I1311:K1311,0)),E1311)</f>
        <v>CCGT</v>
      </c>
      <c r="O1311" t="str">
        <f t="shared" si="106"/>
        <v>CCGT_2035</v>
      </c>
      <c r="P1311">
        <f t="shared" si="107"/>
        <v>595</v>
      </c>
    </row>
    <row r="1312" spans="4:16" x14ac:dyDescent="0.25">
      <c r="D1312">
        <v>2036</v>
      </c>
      <c r="E1312" t="s">
        <v>123</v>
      </c>
      <c r="F1312" t="s">
        <v>213</v>
      </c>
      <c r="G1312">
        <v>595</v>
      </c>
      <c r="I1312">
        <f t="shared" si="108"/>
        <v>0</v>
      </c>
      <c r="J1312">
        <f t="shared" si="108"/>
        <v>0</v>
      </c>
      <c r="K1312">
        <f t="shared" si="108"/>
        <v>0</v>
      </c>
      <c r="M1312" t="str" cm="1">
        <f t="array" ref="M1312">IFERROR(INDEX($I$2:$K$2,0,MATCH(TRUE,I1312:K1312,0)),E1312)</f>
        <v>CCGT</v>
      </c>
      <c r="O1312" t="str">
        <f t="shared" si="106"/>
        <v>CCGT_2036</v>
      </c>
      <c r="P1312">
        <f t="shared" si="107"/>
        <v>595</v>
      </c>
    </row>
    <row r="1313" spans="4:16" x14ac:dyDescent="0.25">
      <c r="D1313">
        <v>2037</v>
      </c>
      <c r="E1313" t="s">
        <v>123</v>
      </c>
      <c r="F1313" t="s">
        <v>213</v>
      </c>
      <c r="G1313">
        <v>595</v>
      </c>
      <c r="I1313">
        <f t="shared" si="108"/>
        <v>0</v>
      </c>
      <c r="J1313">
        <f t="shared" si="108"/>
        <v>0</v>
      </c>
      <c r="K1313">
        <f t="shared" si="108"/>
        <v>0</v>
      </c>
      <c r="M1313" t="str" cm="1">
        <f t="array" ref="M1313">IFERROR(INDEX($I$2:$K$2,0,MATCH(TRUE,I1313:K1313,0)),E1313)</f>
        <v>CCGT</v>
      </c>
      <c r="O1313" t="str">
        <f t="shared" si="106"/>
        <v>CCGT_2037</v>
      </c>
      <c r="P1313">
        <f t="shared" si="107"/>
        <v>595</v>
      </c>
    </row>
    <row r="1314" spans="4:16" x14ac:dyDescent="0.25">
      <c r="D1314">
        <v>2038</v>
      </c>
      <c r="E1314" t="s">
        <v>123</v>
      </c>
      <c r="F1314" t="s">
        <v>213</v>
      </c>
      <c r="G1314">
        <v>595</v>
      </c>
      <c r="I1314">
        <f t="shared" si="108"/>
        <v>0</v>
      </c>
      <c r="J1314">
        <f t="shared" si="108"/>
        <v>0</v>
      </c>
      <c r="K1314">
        <f t="shared" si="108"/>
        <v>0</v>
      </c>
      <c r="M1314" t="str" cm="1">
        <f t="array" ref="M1314">IFERROR(INDEX($I$2:$K$2,0,MATCH(TRUE,I1314:K1314,0)),E1314)</f>
        <v>CCGT</v>
      </c>
      <c r="O1314" t="str">
        <f t="shared" si="106"/>
        <v>CCGT_2038</v>
      </c>
      <c r="P1314">
        <f t="shared" si="107"/>
        <v>595</v>
      </c>
    </row>
    <row r="1315" spans="4:16" x14ac:dyDescent="0.25">
      <c r="D1315">
        <v>2039</v>
      </c>
      <c r="E1315" t="s">
        <v>123</v>
      </c>
      <c r="F1315" t="s">
        <v>213</v>
      </c>
      <c r="G1315">
        <v>595</v>
      </c>
      <c r="I1315">
        <f t="shared" si="108"/>
        <v>0</v>
      </c>
      <c r="J1315">
        <f t="shared" si="108"/>
        <v>0</v>
      </c>
      <c r="K1315">
        <f t="shared" si="108"/>
        <v>0</v>
      </c>
      <c r="M1315" t="str" cm="1">
        <f t="array" ref="M1315">IFERROR(INDEX($I$2:$K$2,0,MATCH(TRUE,I1315:K1315,0)),E1315)</f>
        <v>CCGT</v>
      </c>
      <c r="O1315" t="str">
        <f t="shared" si="106"/>
        <v>CCGT_2039</v>
      </c>
      <c r="P1315">
        <f t="shared" si="107"/>
        <v>595</v>
      </c>
    </row>
    <row r="1316" spans="4:16" x14ac:dyDescent="0.25">
      <c r="D1316">
        <v>2040</v>
      </c>
      <c r="E1316" t="s">
        <v>123</v>
      </c>
      <c r="F1316" t="s">
        <v>213</v>
      </c>
      <c r="G1316">
        <v>595</v>
      </c>
      <c r="I1316">
        <f t="shared" si="108"/>
        <v>0</v>
      </c>
      <c r="J1316">
        <f t="shared" si="108"/>
        <v>0</v>
      </c>
      <c r="K1316">
        <f t="shared" si="108"/>
        <v>0</v>
      </c>
      <c r="M1316" t="str" cm="1">
        <f t="array" ref="M1316">IFERROR(INDEX($I$2:$K$2,0,MATCH(TRUE,I1316:K1316,0)),E1316)</f>
        <v>CCGT</v>
      </c>
      <c r="O1316" t="str">
        <f t="shared" si="106"/>
        <v>CCGT_2040</v>
      </c>
      <c r="P1316">
        <f t="shared" si="107"/>
        <v>595</v>
      </c>
    </row>
    <row r="1317" spans="4:16" x14ac:dyDescent="0.25">
      <c r="D1317">
        <v>2021</v>
      </c>
      <c r="E1317" t="s">
        <v>123</v>
      </c>
      <c r="F1317" t="s">
        <v>214</v>
      </c>
      <c r="G1317">
        <v>52</v>
      </c>
      <c r="I1317">
        <f t="shared" si="108"/>
        <v>0</v>
      </c>
      <c r="J1317">
        <f t="shared" si="108"/>
        <v>0</v>
      </c>
      <c r="K1317">
        <f t="shared" si="108"/>
        <v>0</v>
      </c>
      <c r="M1317" t="str" cm="1">
        <f t="array" ref="M1317">IFERROR(INDEX($I$2:$K$2,0,MATCH(TRUE,I1317:K1317,0)),E1317)</f>
        <v>CCGT</v>
      </c>
      <c r="O1317" t="str">
        <f t="shared" si="106"/>
        <v>CCGT_2021</v>
      </c>
      <c r="P1317">
        <f t="shared" si="107"/>
        <v>52</v>
      </c>
    </row>
    <row r="1318" spans="4:16" x14ac:dyDescent="0.25">
      <c r="D1318">
        <v>2022</v>
      </c>
      <c r="E1318" t="s">
        <v>123</v>
      </c>
      <c r="F1318" t="s">
        <v>214</v>
      </c>
      <c r="G1318">
        <v>52</v>
      </c>
      <c r="I1318">
        <f t="shared" si="108"/>
        <v>0</v>
      </c>
      <c r="J1318">
        <f t="shared" si="108"/>
        <v>0</v>
      </c>
      <c r="K1318">
        <f t="shared" si="108"/>
        <v>0</v>
      </c>
      <c r="M1318" t="str" cm="1">
        <f t="array" ref="M1318">IFERROR(INDEX($I$2:$K$2,0,MATCH(TRUE,I1318:K1318,0)),E1318)</f>
        <v>CCGT</v>
      </c>
      <c r="O1318" t="str">
        <f t="shared" si="106"/>
        <v>CCGT_2022</v>
      </c>
      <c r="P1318">
        <f t="shared" si="107"/>
        <v>52</v>
      </c>
    </row>
    <row r="1319" spans="4:16" x14ac:dyDescent="0.25">
      <c r="D1319">
        <v>2023</v>
      </c>
      <c r="E1319" t="s">
        <v>123</v>
      </c>
      <c r="F1319" t="s">
        <v>214</v>
      </c>
      <c r="G1319">
        <v>52</v>
      </c>
      <c r="I1319">
        <f t="shared" si="108"/>
        <v>0</v>
      </c>
      <c r="J1319">
        <f t="shared" si="108"/>
        <v>0</v>
      </c>
      <c r="K1319">
        <f t="shared" si="108"/>
        <v>0</v>
      </c>
      <c r="M1319" t="str" cm="1">
        <f t="array" ref="M1319">IFERROR(INDEX($I$2:$K$2,0,MATCH(TRUE,I1319:K1319,0)),E1319)</f>
        <v>CCGT</v>
      </c>
      <c r="O1319" t="str">
        <f t="shared" si="106"/>
        <v>CCGT_2023</v>
      </c>
      <c r="P1319">
        <f t="shared" si="107"/>
        <v>52</v>
      </c>
    </row>
    <row r="1320" spans="4:16" x14ac:dyDescent="0.25">
      <c r="D1320">
        <v>2024</v>
      </c>
      <c r="E1320" t="s">
        <v>123</v>
      </c>
      <c r="F1320" t="s">
        <v>214</v>
      </c>
      <c r="G1320">
        <v>52</v>
      </c>
      <c r="I1320">
        <f t="shared" si="108"/>
        <v>0</v>
      </c>
      <c r="J1320">
        <f t="shared" si="108"/>
        <v>0</v>
      </c>
      <c r="K1320">
        <f t="shared" si="108"/>
        <v>0</v>
      </c>
      <c r="M1320" t="str" cm="1">
        <f t="array" ref="M1320">IFERROR(INDEX($I$2:$K$2,0,MATCH(TRUE,I1320:K1320,0)),E1320)</f>
        <v>CCGT</v>
      </c>
      <c r="O1320" t="str">
        <f t="shared" si="106"/>
        <v>CCGT_2024</v>
      </c>
      <c r="P1320">
        <f t="shared" si="107"/>
        <v>52</v>
      </c>
    </row>
    <row r="1321" spans="4:16" x14ac:dyDescent="0.25">
      <c r="D1321">
        <v>2025</v>
      </c>
      <c r="E1321" t="s">
        <v>123</v>
      </c>
      <c r="F1321" t="s">
        <v>214</v>
      </c>
      <c r="G1321">
        <v>52</v>
      </c>
      <c r="I1321">
        <f t="shared" si="108"/>
        <v>0</v>
      </c>
      <c r="J1321">
        <f t="shared" si="108"/>
        <v>0</v>
      </c>
      <c r="K1321">
        <f t="shared" si="108"/>
        <v>0</v>
      </c>
      <c r="M1321" t="str" cm="1">
        <f t="array" ref="M1321">IFERROR(INDEX($I$2:$K$2,0,MATCH(TRUE,I1321:K1321,0)),E1321)</f>
        <v>CCGT</v>
      </c>
      <c r="O1321" t="str">
        <f t="shared" si="106"/>
        <v>CCGT_2025</v>
      </c>
      <c r="P1321">
        <f t="shared" si="107"/>
        <v>52</v>
      </c>
    </row>
    <row r="1322" spans="4:16" x14ac:dyDescent="0.25">
      <c r="D1322">
        <v>2026</v>
      </c>
      <c r="E1322" t="s">
        <v>123</v>
      </c>
      <c r="F1322" t="s">
        <v>214</v>
      </c>
      <c r="G1322">
        <v>52</v>
      </c>
      <c r="I1322">
        <f t="shared" si="108"/>
        <v>0</v>
      </c>
      <c r="J1322">
        <f t="shared" si="108"/>
        <v>0</v>
      </c>
      <c r="K1322">
        <f t="shared" si="108"/>
        <v>0</v>
      </c>
      <c r="M1322" t="str" cm="1">
        <f t="array" ref="M1322">IFERROR(INDEX($I$2:$K$2,0,MATCH(TRUE,I1322:K1322,0)),E1322)</f>
        <v>CCGT</v>
      </c>
      <c r="O1322" t="str">
        <f t="shared" si="106"/>
        <v>CCGT_2026</v>
      </c>
      <c r="P1322">
        <f t="shared" si="107"/>
        <v>52</v>
      </c>
    </row>
    <row r="1323" spans="4:16" x14ac:dyDescent="0.25">
      <c r="D1323">
        <v>2027</v>
      </c>
      <c r="E1323" t="s">
        <v>123</v>
      </c>
      <c r="F1323" t="s">
        <v>214</v>
      </c>
      <c r="G1323">
        <v>52</v>
      </c>
      <c r="I1323">
        <f t="shared" si="108"/>
        <v>0</v>
      </c>
      <c r="J1323">
        <f t="shared" si="108"/>
        <v>0</v>
      </c>
      <c r="K1323">
        <f t="shared" si="108"/>
        <v>0</v>
      </c>
      <c r="M1323" t="str" cm="1">
        <f t="array" ref="M1323">IFERROR(INDEX($I$2:$K$2,0,MATCH(TRUE,I1323:K1323,0)),E1323)</f>
        <v>CCGT</v>
      </c>
      <c r="O1323" t="str">
        <f t="shared" si="106"/>
        <v>CCGT_2027</v>
      </c>
      <c r="P1323">
        <f t="shared" si="107"/>
        <v>52</v>
      </c>
    </row>
    <row r="1324" spans="4:16" x14ac:dyDescent="0.25">
      <c r="D1324">
        <v>2028</v>
      </c>
      <c r="E1324" t="s">
        <v>123</v>
      </c>
      <c r="F1324" t="s">
        <v>214</v>
      </c>
      <c r="G1324">
        <v>52</v>
      </c>
      <c r="I1324">
        <f t="shared" ref="I1324:K1343" si="109">IFERROR(FIND(I$2,$E1324,1)&gt;0,0)</f>
        <v>0</v>
      </c>
      <c r="J1324">
        <f t="shared" si="109"/>
        <v>0</v>
      </c>
      <c r="K1324">
        <f t="shared" si="109"/>
        <v>0</v>
      </c>
      <c r="M1324" t="str" cm="1">
        <f t="array" ref="M1324">IFERROR(INDEX($I$2:$K$2,0,MATCH(TRUE,I1324:K1324,0)),E1324)</f>
        <v>CCGT</v>
      </c>
      <c r="O1324" t="str">
        <f t="shared" si="106"/>
        <v>CCGT_2028</v>
      </c>
      <c r="P1324">
        <f t="shared" si="107"/>
        <v>52</v>
      </c>
    </row>
    <row r="1325" spans="4:16" x14ac:dyDescent="0.25">
      <c r="D1325">
        <v>2029</v>
      </c>
      <c r="E1325" t="s">
        <v>123</v>
      </c>
      <c r="F1325" t="s">
        <v>214</v>
      </c>
      <c r="G1325">
        <v>52</v>
      </c>
      <c r="I1325">
        <f t="shared" si="109"/>
        <v>0</v>
      </c>
      <c r="J1325">
        <f t="shared" si="109"/>
        <v>0</v>
      </c>
      <c r="K1325">
        <f t="shared" si="109"/>
        <v>0</v>
      </c>
      <c r="M1325" t="str" cm="1">
        <f t="array" ref="M1325">IFERROR(INDEX($I$2:$K$2,0,MATCH(TRUE,I1325:K1325,0)),E1325)</f>
        <v>CCGT</v>
      </c>
      <c r="O1325" t="str">
        <f t="shared" si="106"/>
        <v>CCGT_2029</v>
      </c>
      <c r="P1325">
        <f t="shared" si="107"/>
        <v>52</v>
      </c>
    </row>
    <row r="1326" spans="4:16" x14ac:dyDescent="0.25">
      <c r="D1326">
        <v>2030</v>
      </c>
      <c r="E1326" t="s">
        <v>123</v>
      </c>
      <c r="F1326" t="s">
        <v>214</v>
      </c>
      <c r="G1326">
        <v>52</v>
      </c>
      <c r="I1326">
        <f t="shared" si="109"/>
        <v>0</v>
      </c>
      <c r="J1326">
        <f t="shared" si="109"/>
        <v>0</v>
      </c>
      <c r="K1326">
        <f t="shared" si="109"/>
        <v>0</v>
      </c>
      <c r="M1326" t="str" cm="1">
        <f t="array" ref="M1326">IFERROR(INDEX($I$2:$K$2,0,MATCH(TRUE,I1326:K1326,0)),E1326)</f>
        <v>CCGT</v>
      </c>
      <c r="O1326" t="str">
        <f t="shared" si="106"/>
        <v>CCGT_2030</v>
      </c>
      <c r="P1326">
        <f t="shared" si="107"/>
        <v>52</v>
      </c>
    </row>
    <row r="1327" spans="4:16" x14ac:dyDescent="0.25">
      <c r="D1327">
        <v>2031</v>
      </c>
      <c r="E1327" t="s">
        <v>123</v>
      </c>
      <c r="F1327" t="s">
        <v>214</v>
      </c>
      <c r="G1327">
        <v>52</v>
      </c>
      <c r="I1327">
        <f t="shared" si="109"/>
        <v>0</v>
      </c>
      <c r="J1327">
        <f t="shared" si="109"/>
        <v>0</v>
      </c>
      <c r="K1327">
        <f t="shared" si="109"/>
        <v>0</v>
      </c>
      <c r="M1327" t="str" cm="1">
        <f t="array" ref="M1327">IFERROR(INDEX($I$2:$K$2,0,MATCH(TRUE,I1327:K1327,0)),E1327)</f>
        <v>CCGT</v>
      </c>
      <c r="O1327" t="str">
        <f t="shared" si="106"/>
        <v>CCGT_2031</v>
      </c>
      <c r="P1327">
        <f t="shared" si="107"/>
        <v>52</v>
      </c>
    </row>
    <row r="1328" spans="4:16" x14ac:dyDescent="0.25">
      <c r="D1328">
        <v>2032</v>
      </c>
      <c r="E1328" t="s">
        <v>123</v>
      </c>
      <c r="F1328" t="s">
        <v>214</v>
      </c>
      <c r="G1328">
        <v>52</v>
      </c>
      <c r="I1328">
        <f t="shared" si="109"/>
        <v>0</v>
      </c>
      <c r="J1328">
        <f t="shared" si="109"/>
        <v>0</v>
      </c>
      <c r="K1328">
        <f t="shared" si="109"/>
        <v>0</v>
      </c>
      <c r="M1328" t="str" cm="1">
        <f t="array" ref="M1328">IFERROR(INDEX($I$2:$K$2,0,MATCH(TRUE,I1328:K1328,0)),E1328)</f>
        <v>CCGT</v>
      </c>
      <c r="O1328" t="str">
        <f t="shared" si="106"/>
        <v>CCGT_2032</v>
      </c>
      <c r="P1328">
        <f t="shared" si="107"/>
        <v>52</v>
      </c>
    </row>
    <row r="1329" spans="4:16" x14ac:dyDescent="0.25">
      <c r="D1329">
        <v>2033</v>
      </c>
      <c r="E1329" t="s">
        <v>123</v>
      </c>
      <c r="F1329" t="s">
        <v>214</v>
      </c>
      <c r="G1329">
        <v>52</v>
      </c>
      <c r="I1329">
        <f t="shared" si="109"/>
        <v>0</v>
      </c>
      <c r="J1329">
        <f t="shared" si="109"/>
        <v>0</v>
      </c>
      <c r="K1329">
        <f t="shared" si="109"/>
        <v>0</v>
      </c>
      <c r="M1329" t="str" cm="1">
        <f t="array" ref="M1329">IFERROR(INDEX($I$2:$K$2,0,MATCH(TRUE,I1329:K1329,0)),E1329)</f>
        <v>CCGT</v>
      </c>
      <c r="O1329" t="str">
        <f t="shared" si="106"/>
        <v>CCGT_2033</v>
      </c>
      <c r="P1329">
        <f t="shared" si="107"/>
        <v>52</v>
      </c>
    </row>
    <row r="1330" spans="4:16" x14ac:dyDescent="0.25">
      <c r="D1330">
        <v>2034</v>
      </c>
      <c r="E1330" t="s">
        <v>123</v>
      </c>
      <c r="F1330" t="s">
        <v>214</v>
      </c>
      <c r="G1330">
        <v>52</v>
      </c>
      <c r="I1330">
        <f t="shared" si="109"/>
        <v>0</v>
      </c>
      <c r="J1330">
        <f t="shared" si="109"/>
        <v>0</v>
      </c>
      <c r="K1330">
        <f t="shared" si="109"/>
        <v>0</v>
      </c>
      <c r="M1330" t="str" cm="1">
        <f t="array" ref="M1330">IFERROR(INDEX($I$2:$K$2,0,MATCH(TRUE,I1330:K1330,0)),E1330)</f>
        <v>CCGT</v>
      </c>
      <c r="O1330" t="str">
        <f t="shared" si="106"/>
        <v>CCGT_2034</v>
      </c>
      <c r="P1330">
        <f t="shared" si="107"/>
        <v>52</v>
      </c>
    </row>
    <row r="1331" spans="4:16" x14ac:dyDescent="0.25">
      <c r="D1331">
        <v>2035</v>
      </c>
      <c r="E1331" t="s">
        <v>123</v>
      </c>
      <c r="F1331" t="s">
        <v>214</v>
      </c>
      <c r="G1331">
        <v>52</v>
      </c>
      <c r="I1331">
        <f t="shared" si="109"/>
        <v>0</v>
      </c>
      <c r="J1331">
        <f t="shared" si="109"/>
        <v>0</v>
      </c>
      <c r="K1331">
        <f t="shared" si="109"/>
        <v>0</v>
      </c>
      <c r="M1331" t="str" cm="1">
        <f t="array" ref="M1331">IFERROR(INDEX($I$2:$K$2,0,MATCH(TRUE,I1331:K1331,0)),E1331)</f>
        <v>CCGT</v>
      </c>
      <c r="O1331" t="str">
        <f t="shared" si="106"/>
        <v>CCGT_2035</v>
      </c>
      <c r="P1331">
        <f t="shared" si="107"/>
        <v>52</v>
      </c>
    </row>
    <row r="1332" spans="4:16" x14ac:dyDescent="0.25">
      <c r="D1332">
        <v>2036</v>
      </c>
      <c r="E1332" t="s">
        <v>123</v>
      </c>
      <c r="F1332" t="s">
        <v>214</v>
      </c>
      <c r="G1332">
        <v>52</v>
      </c>
      <c r="I1332">
        <f t="shared" si="109"/>
        <v>0</v>
      </c>
      <c r="J1332">
        <f t="shared" si="109"/>
        <v>0</v>
      </c>
      <c r="K1332">
        <f t="shared" si="109"/>
        <v>0</v>
      </c>
      <c r="M1332" t="str" cm="1">
        <f t="array" ref="M1332">IFERROR(INDEX($I$2:$K$2,0,MATCH(TRUE,I1332:K1332,0)),E1332)</f>
        <v>CCGT</v>
      </c>
      <c r="O1332" t="str">
        <f t="shared" si="106"/>
        <v>CCGT_2036</v>
      </c>
      <c r="P1332">
        <f t="shared" si="107"/>
        <v>52</v>
      </c>
    </row>
    <row r="1333" spans="4:16" x14ac:dyDescent="0.25">
      <c r="D1333">
        <v>2037</v>
      </c>
      <c r="E1333" t="s">
        <v>123</v>
      </c>
      <c r="F1333" t="s">
        <v>214</v>
      </c>
      <c r="G1333">
        <v>52</v>
      </c>
      <c r="I1333">
        <f t="shared" si="109"/>
        <v>0</v>
      </c>
      <c r="J1333">
        <f t="shared" si="109"/>
        <v>0</v>
      </c>
      <c r="K1333">
        <f t="shared" si="109"/>
        <v>0</v>
      </c>
      <c r="M1333" t="str" cm="1">
        <f t="array" ref="M1333">IFERROR(INDEX($I$2:$K$2,0,MATCH(TRUE,I1333:K1333,0)),E1333)</f>
        <v>CCGT</v>
      </c>
      <c r="O1333" t="str">
        <f t="shared" si="106"/>
        <v>CCGT_2037</v>
      </c>
      <c r="P1333">
        <f t="shared" si="107"/>
        <v>52</v>
      </c>
    </row>
    <row r="1334" spans="4:16" x14ac:dyDescent="0.25">
      <c r="D1334">
        <v>2038</v>
      </c>
      <c r="E1334" t="s">
        <v>123</v>
      </c>
      <c r="F1334" t="s">
        <v>214</v>
      </c>
      <c r="G1334">
        <v>52</v>
      </c>
      <c r="I1334">
        <f t="shared" si="109"/>
        <v>0</v>
      </c>
      <c r="J1334">
        <f t="shared" si="109"/>
        <v>0</v>
      </c>
      <c r="K1334">
        <f t="shared" si="109"/>
        <v>0</v>
      </c>
      <c r="M1334" t="str" cm="1">
        <f t="array" ref="M1334">IFERROR(INDEX($I$2:$K$2,0,MATCH(TRUE,I1334:K1334,0)),E1334)</f>
        <v>CCGT</v>
      </c>
      <c r="O1334" t="str">
        <f t="shared" si="106"/>
        <v>CCGT_2038</v>
      </c>
      <c r="P1334">
        <f t="shared" si="107"/>
        <v>52</v>
      </c>
    </row>
    <row r="1335" spans="4:16" x14ac:dyDescent="0.25">
      <c r="D1335">
        <v>2039</v>
      </c>
      <c r="E1335" t="s">
        <v>123</v>
      </c>
      <c r="F1335" t="s">
        <v>214</v>
      </c>
      <c r="G1335">
        <v>52</v>
      </c>
      <c r="I1335">
        <f t="shared" si="109"/>
        <v>0</v>
      </c>
      <c r="J1335">
        <f t="shared" si="109"/>
        <v>0</v>
      </c>
      <c r="K1335">
        <f t="shared" si="109"/>
        <v>0</v>
      </c>
      <c r="M1335" t="str" cm="1">
        <f t="array" ref="M1335">IFERROR(INDEX($I$2:$K$2,0,MATCH(TRUE,I1335:K1335,0)),E1335)</f>
        <v>CCGT</v>
      </c>
      <c r="O1335" t="str">
        <f t="shared" si="106"/>
        <v>CCGT_2039</v>
      </c>
      <c r="P1335">
        <f t="shared" si="107"/>
        <v>52</v>
      </c>
    </row>
    <row r="1336" spans="4:16" x14ac:dyDescent="0.25">
      <c r="D1336">
        <v>2040</v>
      </c>
      <c r="E1336" t="s">
        <v>123</v>
      </c>
      <c r="F1336" t="s">
        <v>214</v>
      </c>
      <c r="G1336">
        <v>52</v>
      </c>
      <c r="I1336">
        <f t="shared" si="109"/>
        <v>0</v>
      </c>
      <c r="J1336">
        <f t="shared" si="109"/>
        <v>0</v>
      </c>
      <c r="K1336">
        <f t="shared" si="109"/>
        <v>0</v>
      </c>
      <c r="M1336" t="str" cm="1">
        <f t="array" ref="M1336">IFERROR(INDEX($I$2:$K$2,0,MATCH(TRUE,I1336:K1336,0)),E1336)</f>
        <v>CCGT</v>
      </c>
      <c r="O1336" t="str">
        <f t="shared" si="106"/>
        <v>CCGT_2040</v>
      </c>
      <c r="P1336">
        <f t="shared" si="107"/>
        <v>52</v>
      </c>
    </row>
    <row r="1337" spans="4:16" x14ac:dyDescent="0.25">
      <c r="D1337">
        <v>2021</v>
      </c>
      <c r="E1337" t="s">
        <v>123</v>
      </c>
      <c r="F1337" t="s">
        <v>215</v>
      </c>
      <c r="G1337">
        <v>398</v>
      </c>
      <c r="I1337">
        <f t="shared" si="109"/>
        <v>0</v>
      </c>
      <c r="J1337">
        <f t="shared" si="109"/>
        <v>0</v>
      </c>
      <c r="K1337">
        <f t="shared" si="109"/>
        <v>0</v>
      </c>
      <c r="M1337" t="str" cm="1">
        <f t="array" ref="M1337">IFERROR(INDEX($I$2:$K$2,0,MATCH(TRUE,I1337:K1337,0)),E1337)</f>
        <v>CCGT</v>
      </c>
      <c r="O1337" t="str">
        <f t="shared" si="106"/>
        <v>CCGT_2021</v>
      </c>
      <c r="P1337">
        <f t="shared" si="107"/>
        <v>398</v>
      </c>
    </row>
    <row r="1338" spans="4:16" x14ac:dyDescent="0.25">
      <c r="D1338">
        <v>2022</v>
      </c>
      <c r="E1338" t="s">
        <v>123</v>
      </c>
      <c r="F1338" t="s">
        <v>215</v>
      </c>
      <c r="G1338">
        <v>398</v>
      </c>
      <c r="I1338">
        <f t="shared" si="109"/>
        <v>0</v>
      </c>
      <c r="J1338">
        <f t="shared" si="109"/>
        <v>0</v>
      </c>
      <c r="K1338">
        <f t="shared" si="109"/>
        <v>0</v>
      </c>
      <c r="M1338" t="str" cm="1">
        <f t="array" ref="M1338">IFERROR(INDEX($I$2:$K$2,0,MATCH(TRUE,I1338:K1338,0)),E1338)</f>
        <v>CCGT</v>
      </c>
      <c r="O1338" t="str">
        <f t="shared" si="106"/>
        <v>CCGT_2022</v>
      </c>
      <c r="P1338">
        <f t="shared" si="107"/>
        <v>398</v>
      </c>
    </row>
    <row r="1339" spans="4:16" x14ac:dyDescent="0.25">
      <c r="D1339">
        <v>2023</v>
      </c>
      <c r="E1339" t="s">
        <v>123</v>
      </c>
      <c r="F1339" t="s">
        <v>215</v>
      </c>
      <c r="G1339">
        <v>398</v>
      </c>
      <c r="I1339">
        <f t="shared" si="109"/>
        <v>0</v>
      </c>
      <c r="J1339">
        <f t="shared" si="109"/>
        <v>0</v>
      </c>
      <c r="K1339">
        <f t="shared" si="109"/>
        <v>0</v>
      </c>
      <c r="M1339" t="str" cm="1">
        <f t="array" ref="M1339">IFERROR(INDEX($I$2:$K$2,0,MATCH(TRUE,I1339:K1339,0)),E1339)</f>
        <v>CCGT</v>
      </c>
      <c r="O1339" t="str">
        <f t="shared" si="106"/>
        <v>CCGT_2023</v>
      </c>
      <c r="P1339">
        <f t="shared" si="107"/>
        <v>398</v>
      </c>
    </row>
    <row r="1340" spans="4:16" x14ac:dyDescent="0.25">
      <c r="D1340">
        <v>2024</v>
      </c>
      <c r="E1340" t="s">
        <v>123</v>
      </c>
      <c r="F1340" t="s">
        <v>215</v>
      </c>
      <c r="G1340">
        <v>398</v>
      </c>
      <c r="I1340">
        <f t="shared" si="109"/>
        <v>0</v>
      </c>
      <c r="J1340">
        <f t="shared" si="109"/>
        <v>0</v>
      </c>
      <c r="K1340">
        <f t="shared" si="109"/>
        <v>0</v>
      </c>
      <c r="M1340" t="str" cm="1">
        <f t="array" ref="M1340">IFERROR(INDEX($I$2:$K$2,0,MATCH(TRUE,I1340:K1340,0)),E1340)</f>
        <v>CCGT</v>
      </c>
      <c r="O1340" t="str">
        <f t="shared" si="106"/>
        <v>CCGT_2024</v>
      </c>
      <c r="P1340">
        <f t="shared" si="107"/>
        <v>398</v>
      </c>
    </row>
    <row r="1341" spans="4:16" x14ac:dyDescent="0.25">
      <c r="D1341">
        <v>2025</v>
      </c>
      <c r="E1341" t="s">
        <v>123</v>
      </c>
      <c r="F1341" t="s">
        <v>215</v>
      </c>
      <c r="G1341">
        <v>398</v>
      </c>
      <c r="I1341">
        <f t="shared" si="109"/>
        <v>0</v>
      </c>
      <c r="J1341">
        <f t="shared" si="109"/>
        <v>0</v>
      </c>
      <c r="K1341">
        <f t="shared" si="109"/>
        <v>0</v>
      </c>
      <c r="M1341" t="str" cm="1">
        <f t="array" ref="M1341">IFERROR(INDEX($I$2:$K$2,0,MATCH(TRUE,I1341:K1341,0)),E1341)</f>
        <v>CCGT</v>
      </c>
      <c r="O1341" t="str">
        <f t="shared" si="106"/>
        <v>CCGT_2025</v>
      </c>
      <c r="P1341">
        <f t="shared" si="107"/>
        <v>398</v>
      </c>
    </row>
    <row r="1342" spans="4:16" x14ac:dyDescent="0.25">
      <c r="D1342">
        <v>2026</v>
      </c>
      <c r="E1342" t="s">
        <v>123</v>
      </c>
      <c r="F1342" t="s">
        <v>215</v>
      </c>
      <c r="G1342">
        <v>398</v>
      </c>
      <c r="I1342">
        <f t="shared" si="109"/>
        <v>0</v>
      </c>
      <c r="J1342">
        <f t="shared" si="109"/>
        <v>0</v>
      </c>
      <c r="K1342">
        <f t="shared" si="109"/>
        <v>0</v>
      </c>
      <c r="M1342" t="str" cm="1">
        <f t="array" ref="M1342">IFERROR(INDEX($I$2:$K$2,0,MATCH(TRUE,I1342:K1342,0)),E1342)</f>
        <v>CCGT</v>
      </c>
      <c r="O1342" t="str">
        <f t="shared" si="106"/>
        <v>CCGT_2026</v>
      </c>
      <c r="P1342">
        <f t="shared" si="107"/>
        <v>398</v>
      </c>
    </row>
    <row r="1343" spans="4:16" x14ac:dyDescent="0.25">
      <c r="D1343">
        <v>2027</v>
      </c>
      <c r="E1343" t="s">
        <v>123</v>
      </c>
      <c r="F1343" t="s">
        <v>215</v>
      </c>
      <c r="G1343">
        <v>398</v>
      </c>
      <c r="I1343">
        <f t="shared" si="109"/>
        <v>0</v>
      </c>
      <c r="J1343">
        <f t="shared" si="109"/>
        <v>0</v>
      </c>
      <c r="K1343">
        <f t="shared" si="109"/>
        <v>0</v>
      </c>
      <c r="M1343" t="str" cm="1">
        <f t="array" ref="M1343">IFERROR(INDEX($I$2:$K$2,0,MATCH(TRUE,I1343:K1343,0)),E1343)</f>
        <v>CCGT</v>
      </c>
      <c r="O1343" t="str">
        <f t="shared" si="106"/>
        <v>CCGT_2027</v>
      </c>
      <c r="P1343">
        <f t="shared" si="107"/>
        <v>398</v>
      </c>
    </row>
    <row r="1344" spans="4:16" x14ac:dyDescent="0.25">
      <c r="D1344">
        <v>2028</v>
      </c>
      <c r="E1344" t="s">
        <v>123</v>
      </c>
      <c r="F1344" t="s">
        <v>215</v>
      </c>
      <c r="G1344">
        <v>398</v>
      </c>
      <c r="I1344">
        <f t="shared" ref="I1344:K1428" si="110">IFERROR(FIND(I$2,$E1344,1)&gt;0,0)</f>
        <v>0</v>
      </c>
      <c r="J1344">
        <f t="shared" si="110"/>
        <v>0</v>
      </c>
      <c r="K1344">
        <f t="shared" si="110"/>
        <v>0</v>
      </c>
      <c r="M1344" t="str" cm="1">
        <f t="array" ref="M1344">IFERROR(INDEX($I$2:$K$2,0,MATCH(TRUE,I1344:K1344,0)),E1344)</f>
        <v>CCGT</v>
      </c>
      <c r="O1344" t="str">
        <f t="shared" si="106"/>
        <v>CCGT_2028</v>
      </c>
      <c r="P1344">
        <f t="shared" si="107"/>
        <v>398</v>
      </c>
    </row>
    <row r="1345" spans="4:16" x14ac:dyDescent="0.25">
      <c r="D1345">
        <v>2029</v>
      </c>
      <c r="E1345" t="s">
        <v>123</v>
      </c>
      <c r="F1345" t="s">
        <v>215</v>
      </c>
      <c r="G1345">
        <v>398</v>
      </c>
      <c r="I1345">
        <f t="shared" si="110"/>
        <v>0</v>
      </c>
      <c r="J1345">
        <f t="shared" si="110"/>
        <v>0</v>
      </c>
      <c r="K1345">
        <f t="shared" si="110"/>
        <v>0</v>
      </c>
      <c r="M1345" t="str" cm="1">
        <f t="array" ref="M1345">IFERROR(INDEX($I$2:$K$2,0,MATCH(TRUE,I1345:K1345,0)),E1345)</f>
        <v>CCGT</v>
      </c>
      <c r="O1345" t="str">
        <f t="shared" si="106"/>
        <v>CCGT_2029</v>
      </c>
      <c r="P1345">
        <f t="shared" si="107"/>
        <v>398</v>
      </c>
    </row>
    <row r="1346" spans="4:16" x14ac:dyDescent="0.25">
      <c r="D1346">
        <v>2030</v>
      </c>
      <c r="E1346" t="s">
        <v>123</v>
      </c>
      <c r="F1346" t="s">
        <v>215</v>
      </c>
      <c r="G1346">
        <v>398</v>
      </c>
      <c r="I1346">
        <f t="shared" si="110"/>
        <v>0</v>
      </c>
      <c r="J1346">
        <f t="shared" si="110"/>
        <v>0</v>
      </c>
      <c r="K1346">
        <f t="shared" si="110"/>
        <v>0</v>
      </c>
      <c r="M1346" t="str" cm="1">
        <f t="array" ref="M1346">IFERROR(INDEX($I$2:$K$2,0,MATCH(TRUE,I1346:K1346,0)),E1346)</f>
        <v>CCGT</v>
      </c>
      <c r="O1346" t="str">
        <f t="shared" si="106"/>
        <v>CCGT_2030</v>
      </c>
      <c r="P1346">
        <f t="shared" si="107"/>
        <v>398</v>
      </c>
    </row>
    <row r="1347" spans="4:16" x14ac:dyDescent="0.25">
      <c r="D1347">
        <v>2031</v>
      </c>
      <c r="E1347" t="s">
        <v>123</v>
      </c>
      <c r="F1347" t="s">
        <v>215</v>
      </c>
      <c r="G1347">
        <v>398</v>
      </c>
      <c r="I1347">
        <f t="shared" si="110"/>
        <v>0</v>
      </c>
      <c r="J1347">
        <f t="shared" si="110"/>
        <v>0</v>
      </c>
      <c r="K1347">
        <f t="shared" si="110"/>
        <v>0</v>
      </c>
      <c r="M1347" t="str" cm="1">
        <f t="array" ref="M1347">IFERROR(INDEX($I$2:$K$2,0,MATCH(TRUE,I1347:K1347,0)),E1347)</f>
        <v>CCGT</v>
      </c>
      <c r="O1347" t="str">
        <f t="shared" si="106"/>
        <v>CCGT_2031</v>
      </c>
      <c r="P1347">
        <f t="shared" si="107"/>
        <v>398</v>
      </c>
    </row>
    <row r="1348" spans="4:16" x14ac:dyDescent="0.25">
      <c r="D1348">
        <v>2032</v>
      </c>
      <c r="E1348" t="s">
        <v>123</v>
      </c>
      <c r="F1348" t="s">
        <v>215</v>
      </c>
      <c r="G1348">
        <v>398</v>
      </c>
      <c r="I1348">
        <f t="shared" si="110"/>
        <v>0</v>
      </c>
      <c r="J1348">
        <f t="shared" si="110"/>
        <v>0</v>
      </c>
      <c r="K1348">
        <f t="shared" si="110"/>
        <v>0</v>
      </c>
      <c r="M1348" t="str" cm="1">
        <f t="array" ref="M1348">IFERROR(INDEX($I$2:$K$2,0,MATCH(TRUE,I1348:K1348,0)),E1348)</f>
        <v>CCGT</v>
      </c>
      <c r="O1348" t="str">
        <f t="shared" ref="O1348:O1362" si="111">M1348&amp;"_"&amp;D1348</f>
        <v>CCGT_2032</v>
      </c>
      <c r="P1348">
        <f t="shared" ref="P1348:P1362" si="112">G1348</f>
        <v>398</v>
      </c>
    </row>
    <row r="1349" spans="4:16" x14ac:dyDescent="0.25">
      <c r="D1349">
        <v>2033</v>
      </c>
      <c r="E1349" t="s">
        <v>123</v>
      </c>
      <c r="F1349" t="s">
        <v>215</v>
      </c>
      <c r="G1349">
        <v>398</v>
      </c>
      <c r="I1349">
        <f t="shared" si="110"/>
        <v>0</v>
      </c>
      <c r="J1349">
        <f t="shared" si="110"/>
        <v>0</v>
      </c>
      <c r="K1349">
        <f t="shared" si="110"/>
        <v>0</v>
      </c>
      <c r="M1349" t="str" cm="1">
        <f t="array" ref="M1349">IFERROR(INDEX($I$2:$K$2,0,MATCH(TRUE,I1349:K1349,0)),E1349)</f>
        <v>CCGT</v>
      </c>
      <c r="O1349" t="str">
        <f t="shared" si="111"/>
        <v>CCGT_2033</v>
      </c>
      <c r="P1349">
        <f t="shared" si="112"/>
        <v>398</v>
      </c>
    </row>
    <row r="1350" spans="4:16" x14ac:dyDescent="0.25">
      <c r="D1350">
        <v>2034</v>
      </c>
      <c r="E1350" t="s">
        <v>123</v>
      </c>
      <c r="F1350" t="s">
        <v>215</v>
      </c>
      <c r="G1350">
        <v>398</v>
      </c>
      <c r="I1350">
        <f t="shared" si="110"/>
        <v>0</v>
      </c>
      <c r="J1350">
        <f t="shared" si="110"/>
        <v>0</v>
      </c>
      <c r="K1350">
        <f t="shared" si="110"/>
        <v>0</v>
      </c>
      <c r="M1350" t="str" cm="1">
        <f t="array" ref="M1350">IFERROR(INDEX($I$2:$K$2,0,MATCH(TRUE,I1350:K1350,0)),E1350)</f>
        <v>CCGT</v>
      </c>
      <c r="O1350" t="str">
        <f t="shared" si="111"/>
        <v>CCGT_2034</v>
      </c>
      <c r="P1350">
        <f t="shared" si="112"/>
        <v>398</v>
      </c>
    </row>
    <row r="1351" spans="4:16" x14ac:dyDescent="0.25">
      <c r="D1351">
        <v>2035</v>
      </c>
      <c r="E1351" t="s">
        <v>123</v>
      </c>
      <c r="F1351" t="s">
        <v>215</v>
      </c>
      <c r="G1351">
        <v>398</v>
      </c>
      <c r="I1351">
        <f t="shared" si="110"/>
        <v>0</v>
      </c>
      <c r="J1351">
        <f t="shared" si="110"/>
        <v>0</v>
      </c>
      <c r="K1351">
        <f t="shared" si="110"/>
        <v>0</v>
      </c>
      <c r="M1351" t="str" cm="1">
        <f t="array" ref="M1351">IFERROR(INDEX($I$2:$K$2,0,MATCH(TRUE,I1351:K1351,0)),E1351)</f>
        <v>CCGT</v>
      </c>
      <c r="O1351" t="str">
        <f t="shared" si="111"/>
        <v>CCGT_2035</v>
      </c>
      <c r="P1351">
        <f t="shared" si="112"/>
        <v>398</v>
      </c>
    </row>
    <row r="1352" spans="4:16" x14ac:dyDescent="0.25">
      <c r="D1352">
        <v>2036</v>
      </c>
      <c r="E1352" t="s">
        <v>123</v>
      </c>
      <c r="F1352" t="s">
        <v>215</v>
      </c>
      <c r="G1352">
        <v>398</v>
      </c>
      <c r="I1352">
        <f t="shared" si="110"/>
        <v>0</v>
      </c>
      <c r="J1352">
        <f t="shared" si="110"/>
        <v>0</v>
      </c>
      <c r="K1352">
        <f t="shared" si="110"/>
        <v>0</v>
      </c>
      <c r="M1352" t="str" cm="1">
        <f t="array" ref="M1352">IFERROR(INDEX($I$2:$K$2,0,MATCH(TRUE,I1352:K1352,0)),E1352)</f>
        <v>CCGT</v>
      </c>
      <c r="O1352" t="str">
        <f t="shared" si="111"/>
        <v>CCGT_2036</v>
      </c>
      <c r="P1352">
        <f t="shared" si="112"/>
        <v>398</v>
      </c>
    </row>
    <row r="1353" spans="4:16" x14ac:dyDescent="0.25">
      <c r="D1353">
        <v>2037</v>
      </c>
      <c r="E1353" t="s">
        <v>123</v>
      </c>
      <c r="F1353" t="s">
        <v>215</v>
      </c>
      <c r="G1353">
        <v>398</v>
      </c>
      <c r="I1353">
        <f t="shared" si="110"/>
        <v>0</v>
      </c>
      <c r="J1353">
        <f t="shared" si="110"/>
        <v>0</v>
      </c>
      <c r="K1353">
        <f t="shared" si="110"/>
        <v>0</v>
      </c>
      <c r="M1353" t="str" cm="1">
        <f t="array" ref="M1353">IFERROR(INDEX($I$2:$K$2,0,MATCH(TRUE,I1353:K1353,0)),E1353)</f>
        <v>CCGT</v>
      </c>
      <c r="O1353" t="str">
        <f t="shared" si="111"/>
        <v>CCGT_2037</v>
      </c>
      <c r="P1353">
        <f t="shared" si="112"/>
        <v>398</v>
      </c>
    </row>
    <row r="1354" spans="4:16" x14ac:dyDescent="0.25">
      <c r="D1354">
        <v>2038</v>
      </c>
      <c r="E1354" t="s">
        <v>123</v>
      </c>
      <c r="F1354" t="s">
        <v>215</v>
      </c>
      <c r="G1354">
        <v>398</v>
      </c>
      <c r="I1354">
        <f t="shared" si="110"/>
        <v>0</v>
      </c>
      <c r="J1354">
        <f t="shared" si="110"/>
        <v>0</v>
      </c>
      <c r="K1354">
        <f t="shared" si="110"/>
        <v>0</v>
      </c>
      <c r="M1354" t="str" cm="1">
        <f t="array" ref="M1354">IFERROR(INDEX($I$2:$K$2,0,MATCH(TRUE,I1354:K1354,0)),E1354)</f>
        <v>CCGT</v>
      </c>
      <c r="O1354" t="str">
        <f t="shared" si="111"/>
        <v>CCGT_2038</v>
      </c>
      <c r="P1354">
        <f t="shared" si="112"/>
        <v>398</v>
      </c>
    </row>
    <row r="1355" spans="4:16" x14ac:dyDescent="0.25">
      <c r="D1355">
        <v>2039</v>
      </c>
      <c r="E1355" t="s">
        <v>123</v>
      </c>
      <c r="F1355" t="s">
        <v>215</v>
      </c>
      <c r="G1355">
        <v>398</v>
      </c>
      <c r="I1355">
        <f t="shared" si="110"/>
        <v>0</v>
      </c>
      <c r="J1355">
        <f t="shared" si="110"/>
        <v>0</v>
      </c>
      <c r="K1355">
        <f t="shared" si="110"/>
        <v>0</v>
      </c>
      <c r="M1355" t="str" cm="1">
        <f t="array" ref="M1355">IFERROR(INDEX($I$2:$K$2,0,MATCH(TRUE,I1355:K1355,0)),E1355)</f>
        <v>CCGT</v>
      </c>
      <c r="O1355" t="str">
        <f t="shared" si="111"/>
        <v>CCGT_2039</v>
      </c>
      <c r="P1355">
        <f t="shared" si="112"/>
        <v>398</v>
      </c>
    </row>
    <row r="1356" spans="4:16" x14ac:dyDescent="0.25">
      <c r="D1356">
        <v>2040</v>
      </c>
      <c r="E1356" t="s">
        <v>123</v>
      </c>
      <c r="F1356" t="s">
        <v>215</v>
      </c>
      <c r="G1356">
        <v>398</v>
      </c>
      <c r="I1356">
        <f t="shared" si="110"/>
        <v>0</v>
      </c>
      <c r="J1356">
        <f t="shared" si="110"/>
        <v>0</v>
      </c>
      <c r="K1356">
        <f t="shared" si="110"/>
        <v>0</v>
      </c>
      <c r="M1356" t="str" cm="1">
        <f t="array" ref="M1356">IFERROR(INDEX($I$2:$K$2,0,MATCH(TRUE,I1356:K1356,0)),E1356)</f>
        <v>CCGT</v>
      </c>
      <c r="O1356" t="str">
        <f t="shared" si="111"/>
        <v>CCGT_2040</v>
      </c>
      <c r="P1356">
        <f t="shared" si="112"/>
        <v>398</v>
      </c>
    </row>
    <row r="1357" spans="4:16" x14ac:dyDescent="0.25">
      <c r="D1357">
        <v>2021</v>
      </c>
      <c r="E1357" t="s">
        <v>123</v>
      </c>
      <c r="F1357" t="s">
        <v>216</v>
      </c>
      <c r="G1357">
        <v>108</v>
      </c>
      <c r="I1357">
        <f t="shared" si="110"/>
        <v>0</v>
      </c>
      <c r="J1357">
        <f t="shared" si="110"/>
        <v>0</v>
      </c>
      <c r="K1357">
        <f t="shared" si="110"/>
        <v>0</v>
      </c>
      <c r="M1357" t="str" cm="1">
        <f t="array" ref="M1357">IFERROR(INDEX($I$2:$K$2,0,MATCH(TRUE,I1357:K1357,0)),E1357)</f>
        <v>CCGT</v>
      </c>
      <c r="O1357" t="str">
        <f t="shared" si="111"/>
        <v>CCGT_2021</v>
      </c>
      <c r="P1357">
        <f t="shared" si="112"/>
        <v>108</v>
      </c>
    </row>
    <row r="1358" spans="4:16" x14ac:dyDescent="0.25">
      <c r="D1358">
        <v>2022</v>
      </c>
      <c r="E1358" t="s">
        <v>123</v>
      </c>
      <c r="F1358" t="s">
        <v>216</v>
      </c>
      <c r="G1358">
        <v>108</v>
      </c>
      <c r="I1358">
        <f t="shared" si="110"/>
        <v>0</v>
      </c>
      <c r="J1358">
        <f t="shared" si="110"/>
        <v>0</v>
      </c>
      <c r="K1358">
        <f t="shared" si="110"/>
        <v>0</v>
      </c>
      <c r="M1358" t="str" cm="1">
        <f t="array" ref="M1358">IFERROR(INDEX($I$2:$K$2,0,MATCH(TRUE,I1358:K1358,0)),E1358)</f>
        <v>CCGT</v>
      </c>
      <c r="O1358" t="str">
        <f t="shared" si="111"/>
        <v>CCGT_2022</v>
      </c>
      <c r="P1358">
        <f t="shared" si="112"/>
        <v>108</v>
      </c>
    </row>
    <row r="1359" spans="4:16" x14ac:dyDescent="0.25">
      <c r="D1359">
        <v>2023</v>
      </c>
      <c r="E1359" t="s">
        <v>123</v>
      </c>
      <c r="F1359" t="s">
        <v>216</v>
      </c>
      <c r="G1359">
        <v>108</v>
      </c>
      <c r="I1359">
        <f t="shared" si="110"/>
        <v>0</v>
      </c>
      <c r="J1359">
        <f t="shared" si="110"/>
        <v>0</v>
      </c>
      <c r="K1359">
        <f t="shared" si="110"/>
        <v>0</v>
      </c>
      <c r="M1359" t="str" cm="1">
        <f t="array" ref="M1359">IFERROR(INDEX($I$2:$K$2,0,MATCH(TRUE,I1359:K1359,0)),E1359)</f>
        <v>CCGT</v>
      </c>
      <c r="O1359" t="str">
        <f t="shared" si="111"/>
        <v>CCGT_2023</v>
      </c>
      <c r="P1359">
        <f t="shared" si="112"/>
        <v>108</v>
      </c>
    </row>
    <row r="1360" spans="4:16" x14ac:dyDescent="0.25">
      <c r="D1360">
        <v>2024</v>
      </c>
      <c r="E1360" t="s">
        <v>123</v>
      </c>
      <c r="F1360" t="s">
        <v>216</v>
      </c>
      <c r="G1360">
        <v>108</v>
      </c>
      <c r="I1360">
        <f t="shared" si="110"/>
        <v>0</v>
      </c>
      <c r="J1360">
        <f t="shared" si="110"/>
        <v>0</v>
      </c>
      <c r="K1360">
        <f t="shared" si="110"/>
        <v>0</v>
      </c>
      <c r="M1360" t="str" cm="1">
        <f t="array" ref="M1360">IFERROR(INDEX($I$2:$K$2,0,MATCH(TRUE,I1360:K1360,0)),E1360)</f>
        <v>CCGT</v>
      </c>
      <c r="O1360" t="str">
        <f t="shared" si="111"/>
        <v>CCGT_2024</v>
      </c>
      <c r="P1360">
        <f t="shared" si="112"/>
        <v>108</v>
      </c>
    </row>
    <row r="1361" spans="4:16" x14ac:dyDescent="0.25">
      <c r="D1361">
        <v>2025</v>
      </c>
      <c r="E1361" t="s">
        <v>123</v>
      </c>
      <c r="F1361" t="s">
        <v>216</v>
      </c>
      <c r="G1361">
        <v>108</v>
      </c>
      <c r="I1361">
        <f t="shared" si="110"/>
        <v>0</v>
      </c>
      <c r="J1361">
        <f t="shared" si="110"/>
        <v>0</v>
      </c>
      <c r="K1361">
        <f t="shared" si="110"/>
        <v>0</v>
      </c>
      <c r="M1361" t="str" cm="1">
        <f t="array" ref="M1361">IFERROR(INDEX($I$2:$K$2,0,MATCH(TRUE,I1361:K1361,0)),E1361)</f>
        <v>CCGT</v>
      </c>
      <c r="O1361" t="str">
        <f t="shared" si="111"/>
        <v>CCGT_2025</v>
      </c>
      <c r="P1361">
        <f t="shared" si="112"/>
        <v>108</v>
      </c>
    </row>
    <row r="1362" spans="4:16" x14ac:dyDescent="0.25">
      <c r="D1362">
        <v>2026</v>
      </c>
      <c r="E1362" t="s">
        <v>123</v>
      </c>
      <c r="F1362" t="s">
        <v>216</v>
      </c>
      <c r="G1362">
        <v>108</v>
      </c>
      <c r="I1362">
        <f t="shared" si="110"/>
        <v>0</v>
      </c>
      <c r="J1362">
        <f t="shared" si="110"/>
        <v>0</v>
      </c>
      <c r="K1362">
        <f t="shared" si="110"/>
        <v>0</v>
      </c>
      <c r="M1362" t="str" cm="1">
        <f t="array" ref="M1362">IFERROR(INDEX($I$2:$K$2,0,MATCH(TRUE,I1362:K1362,0)),E1362)</f>
        <v>CCGT</v>
      </c>
      <c r="O1362" t="str">
        <f t="shared" si="111"/>
        <v>CCGT_2026</v>
      </c>
      <c r="P1362">
        <f t="shared" si="112"/>
        <v>108</v>
      </c>
    </row>
    <row r="1363" spans="4:16" x14ac:dyDescent="0.25">
      <c r="D1363">
        <v>2027</v>
      </c>
      <c r="E1363" t="s">
        <v>123</v>
      </c>
      <c r="F1363" t="s">
        <v>216</v>
      </c>
      <c r="G1363">
        <v>108</v>
      </c>
      <c r="I1363">
        <f t="shared" si="110"/>
        <v>0</v>
      </c>
      <c r="J1363">
        <f t="shared" si="110"/>
        <v>0</v>
      </c>
      <c r="K1363">
        <f t="shared" si="110"/>
        <v>0</v>
      </c>
      <c r="M1363" t="str" cm="1">
        <f t="array" ref="M1363">IFERROR(INDEX($I$2:$K$2,0,MATCH(TRUE,I1363:K1363,0)),E1363)</f>
        <v>CCGT</v>
      </c>
      <c r="O1363" t="str">
        <f t="shared" ref="O1363:O1426" si="113">M1363&amp;"_"&amp;D1363</f>
        <v>CCGT_2027</v>
      </c>
      <c r="P1363">
        <f t="shared" ref="P1363:P1426" si="114">G1363</f>
        <v>108</v>
      </c>
    </row>
    <row r="1364" spans="4:16" x14ac:dyDescent="0.25">
      <c r="D1364">
        <v>2028</v>
      </c>
      <c r="E1364" t="s">
        <v>123</v>
      </c>
      <c r="F1364" t="s">
        <v>216</v>
      </c>
      <c r="G1364">
        <v>108</v>
      </c>
      <c r="I1364">
        <f t="shared" si="110"/>
        <v>0</v>
      </c>
      <c r="J1364">
        <f t="shared" si="110"/>
        <v>0</v>
      </c>
      <c r="K1364">
        <f t="shared" si="110"/>
        <v>0</v>
      </c>
      <c r="M1364" t="str" cm="1">
        <f t="array" ref="M1364">IFERROR(INDEX($I$2:$K$2,0,MATCH(TRUE,I1364:K1364,0)),E1364)</f>
        <v>CCGT</v>
      </c>
      <c r="O1364" t="str">
        <f t="shared" si="113"/>
        <v>CCGT_2028</v>
      </c>
      <c r="P1364">
        <f t="shared" si="114"/>
        <v>108</v>
      </c>
    </row>
    <row r="1365" spans="4:16" x14ac:dyDescent="0.25">
      <c r="D1365">
        <v>2029</v>
      </c>
      <c r="E1365" t="s">
        <v>123</v>
      </c>
      <c r="F1365" t="s">
        <v>216</v>
      </c>
      <c r="G1365">
        <v>108</v>
      </c>
      <c r="I1365">
        <f t="shared" si="110"/>
        <v>0</v>
      </c>
      <c r="J1365">
        <f t="shared" si="110"/>
        <v>0</v>
      </c>
      <c r="K1365">
        <f t="shared" si="110"/>
        <v>0</v>
      </c>
      <c r="M1365" t="str" cm="1">
        <f t="array" ref="M1365">IFERROR(INDEX($I$2:$K$2,0,MATCH(TRUE,I1365:K1365,0)),E1365)</f>
        <v>CCGT</v>
      </c>
      <c r="O1365" t="str">
        <f t="shared" si="113"/>
        <v>CCGT_2029</v>
      </c>
      <c r="P1365">
        <f t="shared" si="114"/>
        <v>108</v>
      </c>
    </row>
    <row r="1366" spans="4:16" x14ac:dyDescent="0.25">
      <c r="D1366">
        <v>2030</v>
      </c>
      <c r="E1366" t="s">
        <v>123</v>
      </c>
      <c r="F1366" t="s">
        <v>216</v>
      </c>
      <c r="G1366">
        <v>108</v>
      </c>
      <c r="I1366">
        <f t="shared" si="110"/>
        <v>0</v>
      </c>
      <c r="J1366">
        <f t="shared" si="110"/>
        <v>0</v>
      </c>
      <c r="K1366">
        <f t="shared" si="110"/>
        <v>0</v>
      </c>
      <c r="M1366" t="str" cm="1">
        <f t="array" ref="M1366">IFERROR(INDEX($I$2:$K$2,0,MATCH(TRUE,I1366:K1366,0)),E1366)</f>
        <v>CCGT</v>
      </c>
      <c r="O1366" t="str">
        <f t="shared" si="113"/>
        <v>CCGT_2030</v>
      </c>
      <c r="P1366">
        <f t="shared" si="114"/>
        <v>108</v>
      </c>
    </row>
    <row r="1367" spans="4:16" x14ac:dyDescent="0.25">
      <c r="D1367">
        <v>2031</v>
      </c>
      <c r="E1367" t="s">
        <v>123</v>
      </c>
      <c r="F1367" t="s">
        <v>216</v>
      </c>
      <c r="G1367">
        <v>108</v>
      </c>
      <c r="I1367">
        <f t="shared" si="110"/>
        <v>0</v>
      </c>
      <c r="J1367">
        <f t="shared" si="110"/>
        <v>0</v>
      </c>
      <c r="K1367">
        <f t="shared" si="110"/>
        <v>0</v>
      </c>
      <c r="M1367" t="str" cm="1">
        <f t="array" ref="M1367">IFERROR(INDEX($I$2:$K$2,0,MATCH(TRUE,I1367:K1367,0)),E1367)</f>
        <v>CCGT</v>
      </c>
      <c r="O1367" t="str">
        <f t="shared" si="113"/>
        <v>CCGT_2031</v>
      </c>
      <c r="P1367">
        <f t="shared" si="114"/>
        <v>108</v>
      </c>
    </row>
    <row r="1368" spans="4:16" x14ac:dyDescent="0.25">
      <c r="D1368">
        <v>2032</v>
      </c>
      <c r="E1368" t="s">
        <v>123</v>
      </c>
      <c r="F1368" t="s">
        <v>216</v>
      </c>
      <c r="G1368">
        <v>108</v>
      </c>
      <c r="I1368">
        <f t="shared" si="110"/>
        <v>0</v>
      </c>
      <c r="J1368">
        <f t="shared" si="110"/>
        <v>0</v>
      </c>
      <c r="K1368">
        <f t="shared" si="110"/>
        <v>0</v>
      </c>
      <c r="M1368" t="str" cm="1">
        <f t="array" ref="M1368">IFERROR(INDEX($I$2:$K$2,0,MATCH(TRUE,I1368:K1368,0)),E1368)</f>
        <v>CCGT</v>
      </c>
      <c r="O1368" t="str">
        <f t="shared" si="113"/>
        <v>CCGT_2032</v>
      </c>
      <c r="P1368">
        <f t="shared" si="114"/>
        <v>108</v>
      </c>
    </row>
    <row r="1369" spans="4:16" x14ac:dyDescent="0.25">
      <c r="D1369">
        <v>2033</v>
      </c>
      <c r="E1369" t="s">
        <v>123</v>
      </c>
      <c r="F1369" t="s">
        <v>216</v>
      </c>
      <c r="G1369">
        <v>108</v>
      </c>
      <c r="I1369">
        <f t="shared" si="110"/>
        <v>0</v>
      </c>
      <c r="J1369">
        <f t="shared" si="110"/>
        <v>0</v>
      </c>
      <c r="K1369">
        <f t="shared" si="110"/>
        <v>0</v>
      </c>
      <c r="M1369" t="str" cm="1">
        <f t="array" ref="M1369">IFERROR(INDEX($I$2:$K$2,0,MATCH(TRUE,I1369:K1369,0)),E1369)</f>
        <v>CCGT</v>
      </c>
      <c r="O1369" t="str">
        <f t="shared" si="113"/>
        <v>CCGT_2033</v>
      </c>
      <c r="P1369">
        <f t="shared" si="114"/>
        <v>108</v>
      </c>
    </row>
    <row r="1370" spans="4:16" x14ac:dyDescent="0.25">
      <c r="D1370">
        <v>2034</v>
      </c>
      <c r="E1370" t="s">
        <v>123</v>
      </c>
      <c r="F1370" t="s">
        <v>216</v>
      </c>
      <c r="G1370">
        <v>108</v>
      </c>
      <c r="I1370">
        <f t="shared" si="110"/>
        <v>0</v>
      </c>
      <c r="J1370">
        <f t="shared" si="110"/>
        <v>0</v>
      </c>
      <c r="K1370">
        <f t="shared" si="110"/>
        <v>0</v>
      </c>
      <c r="M1370" t="str" cm="1">
        <f t="array" ref="M1370">IFERROR(INDEX($I$2:$K$2,0,MATCH(TRUE,I1370:K1370,0)),E1370)</f>
        <v>CCGT</v>
      </c>
      <c r="O1370" t="str">
        <f t="shared" si="113"/>
        <v>CCGT_2034</v>
      </c>
      <c r="P1370">
        <f t="shared" si="114"/>
        <v>108</v>
      </c>
    </row>
    <row r="1371" spans="4:16" x14ac:dyDescent="0.25">
      <c r="D1371">
        <v>2035</v>
      </c>
      <c r="E1371" t="s">
        <v>123</v>
      </c>
      <c r="F1371" t="s">
        <v>216</v>
      </c>
      <c r="G1371">
        <v>108</v>
      </c>
      <c r="I1371">
        <f t="shared" si="110"/>
        <v>0</v>
      </c>
      <c r="J1371">
        <f t="shared" si="110"/>
        <v>0</v>
      </c>
      <c r="K1371">
        <f t="shared" si="110"/>
        <v>0</v>
      </c>
      <c r="M1371" t="str" cm="1">
        <f t="array" ref="M1371">IFERROR(INDEX($I$2:$K$2,0,MATCH(TRUE,I1371:K1371,0)),E1371)</f>
        <v>CCGT</v>
      </c>
      <c r="O1371" t="str">
        <f t="shared" si="113"/>
        <v>CCGT_2035</v>
      </c>
      <c r="P1371">
        <f t="shared" si="114"/>
        <v>108</v>
      </c>
    </row>
    <row r="1372" spans="4:16" x14ac:dyDescent="0.25">
      <c r="D1372">
        <v>2036</v>
      </c>
      <c r="E1372" t="s">
        <v>123</v>
      </c>
      <c r="F1372" t="s">
        <v>216</v>
      </c>
      <c r="G1372">
        <v>108</v>
      </c>
      <c r="I1372">
        <f t="shared" si="110"/>
        <v>0</v>
      </c>
      <c r="J1372">
        <f t="shared" si="110"/>
        <v>0</v>
      </c>
      <c r="K1372">
        <f t="shared" si="110"/>
        <v>0</v>
      </c>
      <c r="M1372" t="str" cm="1">
        <f t="array" ref="M1372">IFERROR(INDEX($I$2:$K$2,0,MATCH(TRUE,I1372:K1372,0)),E1372)</f>
        <v>CCGT</v>
      </c>
      <c r="O1372" t="str">
        <f t="shared" si="113"/>
        <v>CCGT_2036</v>
      </c>
      <c r="P1372">
        <f t="shared" si="114"/>
        <v>108</v>
      </c>
    </row>
    <row r="1373" spans="4:16" x14ac:dyDescent="0.25">
      <c r="D1373">
        <v>2037</v>
      </c>
      <c r="E1373" t="s">
        <v>123</v>
      </c>
      <c r="F1373" t="s">
        <v>216</v>
      </c>
      <c r="G1373">
        <v>108</v>
      </c>
      <c r="I1373">
        <f t="shared" si="110"/>
        <v>0</v>
      </c>
      <c r="J1373">
        <f t="shared" si="110"/>
        <v>0</v>
      </c>
      <c r="K1373">
        <f t="shared" si="110"/>
        <v>0</v>
      </c>
      <c r="M1373" t="str" cm="1">
        <f t="array" ref="M1373">IFERROR(INDEX($I$2:$K$2,0,MATCH(TRUE,I1373:K1373,0)),E1373)</f>
        <v>CCGT</v>
      </c>
      <c r="O1373" t="str">
        <f t="shared" si="113"/>
        <v>CCGT_2037</v>
      </c>
      <c r="P1373">
        <f t="shared" si="114"/>
        <v>108</v>
      </c>
    </row>
    <row r="1374" spans="4:16" x14ac:dyDescent="0.25">
      <c r="D1374">
        <v>2038</v>
      </c>
      <c r="E1374" t="s">
        <v>123</v>
      </c>
      <c r="F1374" t="s">
        <v>216</v>
      </c>
      <c r="G1374">
        <v>108</v>
      </c>
      <c r="I1374">
        <f t="shared" si="110"/>
        <v>0</v>
      </c>
      <c r="J1374">
        <f t="shared" si="110"/>
        <v>0</v>
      </c>
      <c r="K1374">
        <f t="shared" si="110"/>
        <v>0</v>
      </c>
      <c r="M1374" t="str" cm="1">
        <f t="array" ref="M1374">IFERROR(INDEX($I$2:$K$2,0,MATCH(TRUE,I1374:K1374,0)),E1374)</f>
        <v>CCGT</v>
      </c>
      <c r="O1374" t="str">
        <f t="shared" si="113"/>
        <v>CCGT_2038</v>
      </c>
      <c r="P1374">
        <f t="shared" si="114"/>
        <v>108</v>
      </c>
    </row>
    <row r="1375" spans="4:16" x14ac:dyDescent="0.25">
      <c r="D1375">
        <v>2039</v>
      </c>
      <c r="E1375" t="s">
        <v>123</v>
      </c>
      <c r="F1375" t="s">
        <v>216</v>
      </c>
      <c r="G1375">
        <v>108</v>
      </c>
      <c r="I1375">
        <f t="shared" si="110"/>
        <v>0</v>
      </c>
      <c r="J1375">
        <f t="shared" si="110"/>
        <v>0</v>
      </c>
      <c r="K1375">
        <f t="shared" si="110"/>
        <v>0</v>
      </c>
      <c r="M1375" t="str" cm="1">
        <f t="array" ref="M1375">IFERROR(INDEX($I$2:$K$2,0,MATCH(TRUE,I1375:K1375,0)),E1375)</f>
        <v>CCGT</v>
      </c>
      <c r="O1375" t="str">
        <f t="shared" si="113"/>
        <v>CCGT_2039</v>
      </c>
      <c r="P1375">
        <f t="shared" si="114"/>
        <v>108</v>
      </c>
    </row>
    <row r="1376" spans="4:16" x14ac:dyDescent="0.25">
      <c r="D1376">
        <v>2040</v>
      </c>
      <c r="E1376" t="s">
        <v>123</v>
      </c>
      <c r="F1376" t="s">
        <v>216</v>
      </c>
      <c r="G1376">
        <v>108</v>
      </c>
      <c r="I1376">
        <f t="shared" si="110"/>
        <v>0</v>
      </c>
      <c r="J1376">
        <f t="shared" si="110"/>
        <v>0</v>
      </c>
      <c r="K1376">
        <f t="shared" si="110"/>
        <v>0</v>
      </c>
      <c r="M1376" t="str" cm="1">
        <f t="array" ref="M1376">IFERROR(INDEX($I$2:$K$2,0,MATCH(TRUE,I1376:K1376,0)),E1376)</f>
        <v>CCGT</v>
      </c>
      <c r="O1376" t="str">
        <f t="shared" si="113"/>
        <v>CCGT_2040</v>
      </c>
      <c r="P1376">
        <f t="shared" si="114"/>
        <v>108</v>
      </c>
    </row>
    <row r="1377" spans="4:16" x14ac:dyDescent="0.25">
      <c r="D1377">
        <v>2021</v>
      </c>
      <c r="E1377" t="s">
        <v>123</v>
      </c>
      <c r="F1377" t="s">
        <v>217</v>
      </c>
      <c r="G1377">
        <v>66</v>
      </c>
      <c r="I1377">
        <f t="shared" si="110"/>
        <v>0</v>
      </c>
      <c r="J1377">
        <f t="shared" si="110"/>
        <v>0</v>
      </c>
      <c r="K1377">
        <f t="shared" si="110"/>
        <v>0</v>
      </c>
      <c r="M1377" t="str" cm="1">
        <f t="array" ref="M1377">IFERROR(INDEX($I$2:$K$2,0,MATCH(TRUE,I1377:K1377,0)),E1377)</f>
        <v>CCGT</v>
      </c>
      <c r="O1377" t="str">
        <f t="shared" si="113"/>
        <v>CCGT_2021</v>
      </c>
      <c r="P1377">
        <f t="shared" si="114"/>
        <v>66</v>
      </c>
    </row>
    <row r="1378" spans="4:16" x14ac:dyDescent="0.25">
      <c r="D1378">
        <v>2022</v>
      </c>
      <c r="E1378" t="s">
        <v>123</v>
      </c>
      <c r="F1378" t="s">
        <v>217</v>
      </c>
      <c r="G1378">
        <v>66</v>
      </c>
      <c r="I1378">
        <f t="shared" si="110"/>
        <v>0</v>
      </c>
      <c r="J1378">
        <f t="shared" si="110"/>
        <v>0</v>
      </c>
      <c r="K1378">
        <f t="shared" si="110"/>
        <v>0</v>
      </c>
      <c r="M1378" t="str" cm="1">
        <f t="array" ref="M1378">IFERROR(INDEX($I$2:$K$2,0,MATCH(TRUE,I1378:K1378,0)),E1378)</f>
        <v>CCGT</v>
      </c>
      <c r="O1378" t="str">
        <f t="shared" si="113"/>
        <v>CCGT_2022</v>
      </c>
      <c r="P1378">
        <f t="shared" si="114"/>
        <v>66</v>
      </c>
    </row>
    <row r="1379" spans="4:16" x14ac:dyDescent="0.25">
      <c r="D1379">
        <v>2023</v>
      </c>
      <c r="E1379" t="s">
        <v>123</v>
      </c>
      <c r="F1379" t="s">
        <v>217</v>
      </c>
      <c r="G1379">
        <v>66</v>
      </c>
      <c r="I1379">
        <f t="shared" si="110"/>
        <v>0</v>
      </c>
      <c r="J1379">
        <f t="shared" si="110"/>
        <v>0</v>
      </c>
      <c r="K1379">
        <f t="shared" si="110"/>
        <v>0</v>
      </c>
      <c r="M1379" t="str" cm="1">
        <f t="array" ref="M1379">IFERROR(INDEX($I$2:$K$2,0,MATCH(TRUE,I1379:K1379,0)),E1379)</f>
        <v>CCGT</v>
      </c>
      <c r="O1379" t="str">
        <f t="shared" si="113"/>
        <v>CCGT_2023</v>
      </c>
      <c r="P1379">
        <f t="shared" si="114"/>
        <v>66</v>
      </c>
    </row>
    <row r="1380" spans="4:16" x14ac:dyDescent="0.25">
      <c r="D1380">
        <v>2024</v>
      </c>
      <c r="E1380" t="s">
        <v>123</v>
      </c>
      <c r="F1380" t="s">
        <v>217</v>
      </c>
      <c r="G1380">
        <v>66</v>
      </c>
      <c r="I1380">
        <f t="shared" si="110"/>
        <v>0</v>
      </c>
      <c r="J1380">
        <f t="shared" si="110"/>
        <v>0</v>
      </c>
      <c r="K1380">
        <f t="shared" si="110"/>
        <v>0</v>
      </c>
      <c r="M1380" t="str" cm="1">
        <f t="array" ref="M1380">IFERROR(INDEX($I$2:$K$2,0,MATCH(TRUE,I1380:K1380,0)),E1380)</f>
        <v>CCGT</v>
      </c>
      <c r="O1380" t="str">
        <f t="shared" si="113"/>
        <v>CCGT_2024</v>
      </c>
      <c r="P1380">
        <f t="shared" si="114"/>
        <v>66</v>
      </c>
    </row>
    <row r="1381" spans="4:16" x14ac:dyDescent="0.25">
      <c r="D1381">
        <v>2025</v>
      </c>
      <c r="E1381" t="s">
        <v>123</v>
      </c>
      <c r="F1381" t="s">
        <v>217</v>
      </c>
      <c r="G1381">
        <v>66</v>
      </c>
      <c r="I1381">
        <f t="shared" si="110"/>
        <v>0</v>
      </c>
      <c r="J1381">
        <f t="shared" si="110"/>
        <v>0</v>
      </c>
      <c r="K1381">
        <f t="shared" si="110"/>
        <v>0</v>
      </c>
      <c r="M1381" t="str" cm="1">
        <f t="array" ref="M1381">IFERROR(INDEX($I$2:$K$2,0,MATCH(TRUE,I1381:K1381,0)),E1381)</f>
        <v>CCGT</v>
      </c>
      <c r="O1381" t="str">
        <f t="shared" si="113"/>
        <v>CCGT_2025</v>
      </c>
      <c r="P1381">
        <f t="shared" si="114"/>
        <v>66</v>
      </c>
    </row>
    <row r="1382" spans="4:16" x14ac:dyDescent="0.25">
      <c r="D1382">
        <v>2026</v>
      </c>
      <c r="E1382" t="s">
        <v>123</v>
      </c>
      <c r="F1382" t="s">
        <v>217</v>
      </c>
      <c r="G1382">
        <v>66</v>
      </c>
      <c r="I1382">
        <f t="shared" si="110"/>
        <v>0</v>
      </c>
      <c r="J1382">
        <f t="shared" si="110"/>
        <v>0</v>
      </c>
      <c r="K1382">
        <f t="shared" si="110"/>
        <v>0</v>
      </c>
      <c r="M1382" t="str" cm="1">
        <f t="array" ref="M1382">IFERROR(INDEX($I$2:$K$2,0,MATCH(TRUE,I1382:K1382,0)),E1382)</f>
        <v>CCGT</v>
      </c>
      <c r="O1382" t="str">
        <f t="shared" si="113"/>
        <v>CCGT_2026</v>
      </c>
      <c r="P1382">
        <f t="shared" si="114"/>
        <v>66</v>
      </c>
    </row>
    <row r="1383" spans="4:16" x14ac:dyDescent="0.25">
      <c r="D1383">
        <v>2027</v>
      </c>
      <c r="E1383" t="s">
        <v>123</v>
      </c>
      <c r="F1383" t="s">
        <v>217</v>
      </c>
      <c r="G1383">
        <v>66</v>
      </c>
      <c r="I1383">
        <f t="shared" si="110"/>
        <v>0</v>
      </c>
      <c r="J1383">
        <f t="shared" si="110"/>
        <v>0</v>
      </c>
      <c r="K1383">
        <f t="shared" si="110"/>
        <v>0</v>
      </c>
      <c r="M1383" t="str" cm="1">
        <f t="array" ref="M1383">IFERROR(INDEX($I$2:$K$2,0,MATCH(TRUE,I1383:K1383,0)),E1383)</f>
        <v>CCGT</v>
      </c>
      <c r="O1383" t="str">
        <f t="shared" si="113"/>
        <v>CCGT_2027</v>
      </c>
      <c r="P1383">
        <f t="shared" si="114"/>
        <v>66</v>
      </c>
    </row>
    <row r="1384" spans="4:16" x14ac:dyDescent="0.25">
      <c r="D1384">
        <v>2028</v>
      </c>
      <c r="E1384" t="s">
        <v>123</v>
      </c>
      <c r="F1384" t="s">
        <v>217</v>
      </c>
      <c r="G1384">
        <v>66</v>
      </c>
      <c r="I1384">
        <f t="shared" si="110"/>
        <v>0</v>
      </c>
      <c r="J1384">
        <f t="shared" si="110"/>
        <v>0</v>
      </c>
      <c r="K1384">
        <f t="shared" si="110"/>
        <v>0</v>
      </c>
      <c r="M1384" t="str" cm="1">
        <f t="array" ref="M1384">IFERROR(INDEX($I$2:$K$2,0,MATCH(TRUE,I1384:K1384,0)),E1384)</f>
        <v>CCGT</v>
      </c>
      <c r="O1384" t="str">
        <f t="shared" si="113"/>
        <v>CCGT_2028</v>
      </c>
      <c r="P1384">
        <f t="shared" si="114"/>
        <v>66</v>
      </c>
    </row>
    <row r="1385" spans="4:16" x14ac:dyDescent="0.25">
      <c r="D1385">
        <v>2029</v>
      </c>
      <c r="E1385" t="s">
        <v>123</v>
      </c>
      <c r="F1385" t="s">
        <v>217</v>
      </c>
      <c r="G1385">
        <v>66</v>
      </c>
      <c r="I1385">
        <f t="shared" si="110"/>
        <v>0</v>
      </c>
      <c r="J1385">
        <f t="shared" si="110"/>
        <v>0</v>
      </c>
      <c r="K1385">
        <f t="shared" si="110"/>
        <v>0</v>
      </c>
      <c r="M1385" t="str" cm="1">
        <f t="array" ref="M1385">IFERROR(INDEX($I$2:$K$2,0,MATCH(TRUE,I1385:K1385,0)),E1385)</f>
        <v>CCGT</v>
      </c>
      <c r="O1385" t="str">
        <f t="shared" si="113"/>
        <v>CCGT_2029</v>
      </c>
      <c r="P1385">
        <f t="shared" si="114"/>
        <v>66</v>
      </c>
    </row>
    <row r="1386" spans="4:16" x14ac:dyDescent="0.25">
      <c r="D1386">
        <v>2030</v>
      </c>
      <c r="E1386" t="s">
        <v>123</v>
      </c>
      <c r="F1386" t="s">
        <v>217</v>
      </c>
      <c r="G1386">
        <v>66</v>
      </c>
      <c r="I1386">
        <f t="shared" si="110"/>
        <v>0</v>
      </c>
      <c r="J1386">
        <f t="shared" si="110"/>
        <v>0</v>
      </c>
      <c r="K1386">
        <f t="shared" si="110"/>
        <v>0</v>
      </c>
      <c r="M1386" t="str" cm="1">
        <f t="array" ref="M1386">IFERROR(INDEX($I$2:$K$2,0,MATCH(TRUE,I1386:K1386,0)),E1386)</f>
        <v>CCGT</v>
      </c>
      <c r="O1386" t="str">
        <f t="shared" si="113"/>
        <v>CCGT_2030</v>
      </c>
      <c r="P1386">
        <f t="shared" si="114"/>
        <v>66</v>
      </c>
    </row>
    <row r="1387" spans="4:16" x14ac:dyDescent="0.25">
      <c r="D1387">
        <v>2031</v>
      </c>
      <c r="E1387" t="s">
        <v>123</v>
      </c>
      <c r="F1387" t="s">
        <v>217</v>
      </c>
      <c r="G1387">
        <v>66</v>
      </c>
      <c r="I1387">
        <f t="shared" si="110"/>
        <v>0</v>
      </c>
      <c r="J1387">
        <f t="shared" si="110"/>
        <v>0</v>
      </c>
      <c r="K1387">
        <f t="shared" si="110"/>
        <v>0</v>
      </c>
      <c r="M1387" t="str" cm="1">
        <f t="array" ref="M1387">IFERROR(INDEX($I$2:$K$2,0,MATCH(TRUE,I1387:K1387,0)),E1387)</f>
        <v>CCGT</v>
      </c>
      <c r="O1387" t="str">
        <f t="shared" si="113"/>
        <v>CCGT_2031</v>
      </c>
      <c r="P1387">
        <f t="shared" si="114"/>
        <v>66</v>
      </c>
    </row>
    <row r="1388" spans="4:16" x14ac:dyDescent="0.25">
      <c r="D1388">
        <v>2032</v>
      </c>
      <c r="E1388" t="s">
        <v>123</v>
      </c>
      <c r="F1388" t="s">
        <v>217</v>
      </c>
      <c r="G1388">
        <v>66</v>
      </c>
      <c r="I1388">
        <f t="shared" si="110"/>
        <v>0</v>
      </c>
      <c r="J1388">
        <f t="shared" si="110"/>
        <v>0</v>
      </c>
      <c r="K1388">
        <f t="shared" si="110"/>
        <v>0</v>
      </c>
      <c r="M1388" t="str" cm="1">
        <f t="array" ref="M1388">IFERROR(INDEX($I$2:$K$2,0,MATCH(TRUE,I1388:K1388,0)),E1388)</f>
        <v>CCGT</v>
      </c>
      <c r="O1388" t="str">
        <f t="shared" si="113"/>
        <v>CCGT_2032</v>
      </c>
      <c r="P1388">
        <f t="shared" si="114"/>
        <v>66</v>
      </c>
    </row>
    <row r="1389" spans="4:16" x14ac:dyDescent="0.25">
      <c r="D1389">
        <v>2033</v>
      </c>
      <c r="E1389" t="s">
        <v>123</v>
      </c>
      <c r="F1389" t="s">
        <v>217</v>
      </c>
      <c r="G1389">
        <v>66</v>
      </c>
      <c r="I1389">
        <f t="shared" si="110"/>
        <v>0</v>
      </c>
      <c r="J1389">
        <f t="shared" si="110"/>
        <v>0</v>
      </c>
      <c r="K1389">
        <f t="shared" si="110"/>
        <v>0</v>
      </c>
      <c r="M1389" t="str" cm="1">
        <f t="array" ref="M1389">IFERROR(INDEX($I$2:$K$2,0,MATCH(TRUE,I1389:K1389,0)),E1389)</f>
        <v>CCGT</v>
      </c>
      <c r="O1389" t="str">
        <f t="shared" si="113"/>
        <v>CCGT_2033</v>
      </c>
      <c r="P1389">
        <f t="shared" si="114"/>
        <v>66</v>
      </c>
    </row>
    <row r="1390" spans="4:16" x14ac:dyDescent="0.25">
      <c r="D1390">
        <v>2034</v>
      </c>
      <c r="E1390" t="s">
        <v>123</v>
      </c>
      <c r="F1390" t="s">
        <v>217</v>
      </c>
      <c r="G1390">
        <v>66</v>
      </c>
      <c r="I1390">
        <f t="shared" si="110"/>
        <v>0</v>
      </c>
      <c r="J1390">
        <f t="shared" si="110"/>
        <v>0</v>
      </c>
      <c r="K1390">
        <f t="shared" si="110"/>
        <v>0</v>
      </c>
      <c r="M1390" t="str" cm="1">
        <f t="array" ref="M1390">IFERROR(INDEX($I$2:$K$2,0,MATCH(TRUE,I1390:K1390,0)),E1390)</f>
        <v>CCGT</v>
      </c>
      <c r="O1390" t="str">
        <f t="shared" si="113"/>
        <v>CCGT_2034</v>
      </c>
      <c r="P1390">
        <f t="shared" si="114"/>
        <v>66</v>
      </c>
    </row>
    <row r="1391" spans="4:16" x14ac:dyDescent="0.25">
      <c r="D1391">
        <v>2035</v>
      </c>
      <c r="E1391" t="s">
        <v>123</v>
      </c>
      <c r="F1391" t="s">
        <v>217</v>
      </c>
      <c r="G1391">
        <v>66</v>
      </c>
      <c r="I1391">
        <f t="shared" si="110"/>
        <v>0</v>
      </c>
      <c r="J1391">
        <f t="shared" si="110"/>
        <v>0</v>
      </c>
      <c r="K1391">
        <f t="shared" si="110"/>
        <v>0</v>
      </c>
      <c r="M1391" t="str" cm="1">
        <f t="array" ref="M1391">IFERROR(INDEX($I$2:$K$2,0,MATCH(TRUE,I1391:K1391,0)),E1391)</f>
        <v>CCGT</v>
      </c>
      <c r="O1391" t="str">
        <f t="shared" si="113"/>
        <v>CCGT_2035</v>
      </c>
      <c r="P1391">
        <f t="shared" si="114"/>
        <v>66</v>
      </c>
    </row>
    <row r="1392" spans="4:16" x14ac:dyDescent="0.25">
      <c r="D1392">
        <v>2036</v>
      </c>
      <c r="E1392" t="s">
        <v>123</v>
      </c>
      <c r="F1392" t="s">
        <v>217</v>
      </c>
      <c r="G1392">
        <v>66</v>
      </c>
      <c r="I1392">
        <f t="shared" si="110"/>
        <v>0</v>
      </c>
      <c r="J1392">
        <f t="shared" si="110"/>
        <v>0</v>
      </c>
      <c r="K1392">
        <f t="shared" si="110"/>
        <v>0</v>
      </c>
      <c r="M1392" t="str" cm="1">
        <f t="array" ref="M1392">IFERROR(INDEX($I$2:$K$2,0,MATCH(TRUE,I1392:K1392,0)),E1392)</f>
        <v>CCGT</v>
      </c>
      <c r="O1392" t="str">
        <f t="shared" si="113"/>
        <v>CCGT_2036</v>
      </c>
      <c r="P1392">
        <f t="shared" si="114"/>
        <v>66</v>
      </c>
    </row>
    <row r="1393" spans="4:16" x14ac:dyDescent="0.25">
      <c r="D1393">
        <v>2037</v>
      </c>
      <c r="E1393" t="s">
        <v>123</v>
      </c>
      <c r="F1393" t="s">
        <v>217</v>
      </c>
      <c r="G1393">
        <v>66</v>
      </c>
      <c r="I1393">
        <f t="shared" si="110"/>
        <v>0</v>
      </c>
      <c r="J1393">
        <f t="shared" si="110"/>
        <v>0</v>
      </c>
      <c r="K1393">
        <f t="shared" si="110"/>
        <v>0</v>
      </c>
      <c r="M1393" t="str" cm="1">
        <f t="array" ref="M1393">IFERROR(INDEX($I$2:$K$2,0,MATCH(TRUE,I1393:K1393,0)),E1393)</f>
        <v>CCGT</v>
      </c>
      <c r="O1393" t="str">
        <f t="shared" si="113"/>
        <v>CCGT_2037</v>
      </c>
      <c r="P1393">
        <f t="shared" si="114"/>
        <v>66</v>
      </c>
    </row>
    <row r="1394" spans="4:16" x14ac:dyDescent="0.25">
      <c r="D1394">
        <v>2038</v>
      </c>
      <c r="E1394" t="s">
        <v>123</v>
      </c>
      <c r="F1394" t="s">
        <v>217</v>
      </c>
      <c r="G1394">
        <v>66</v>
      </c>
      <c r="I1394">
        <f t="shared" si="110"/>
        <v>0</v>
      </c>
      <c r="J1394">
        <f t="shared" si="110"/>
        <v>0</v>
      </c>
      <c r="K1394">
        <f t="shared" si="110"/>
        <v>0</v>
      </c>
      <c r="M1394" t="str" cm="1">
        <f t="array" ref="M1394">IFERROR(INDEX($I$2:$K$2,0,MATCH(TRUE,I1394:K1394,0)),E1394)</f>
        <v>CCGT</v>
      </c>
      <c r="O1394" t="str">
        <f t="shared" si="113"/>
        <v>CCGT_2038</v>
      </c>
      <c r="P1394">
        <f t="shared" si="114"/>
        <v>66</v>
      </c>
    </row>
    <row r="1395" spans="4:16" x14ac:dyDescent="0.25">
      <c r="D1395">
        <v>2039</v>
      </c>
      <c r="E1395" t="s">
        <v>123</v>
      </c>
      <c r="F1395" t="s">
        <v>217</v>
      </c>
      <c r="G1395">
        <v>66</v>
      </c>
      <c r="I1395">
        <f t="shared" si="110"/>
        <v>0</v>
      </c>
      <c r="J1395">
        <f t="shared" si="110"/>
        <v>0</v>
      </c>
      <c r="K1395">
        <f t="shared" si="110"/>
        <v>0</v>
      </c>
      <c r="M1395" t="str" cm="1">
        <f t="array" ref="M1395">IFERROR(INDEX($I$2:$K$2,0,MATCH(TRUE,I1395:K1395,0)),E1395)</f>
        <v>CCGT</v>
      </c>
      <c r="O1395" t="str">
        <f t="shared" si="113"/>
        <v>CCGT_2039</v>
      </c>
      <c r="P1395">
        <f t="shared" si="114"/>
        <v>66</v>
      </c>
    </row>
    <row r="1396" spans="4:16" x14ac:dyDescent="0.25">
      <c r="D1396">
        <v>2040</v>
      </c>
      <c r="E1396" t="s">
        <v>123</v>
      </c>
      <c r="F1396" t="s">
        <v>217</v>
      </c>
      <c r="G1396">
        <v>66</v>
      </c>
      <c r="I1396">
        <f t="shared" si="110"/>
        <v>0</v>
      </c>
      <c r="J1396">
        <f t="shared" si="110"/>
        <v>0</v>
      </c>
      <c r="K1396">
        <f t="shared" si="110"/>
        <v>0</v>
      </c>
      <c r="M1396" t="str" cm="1">
        <f t="array" ref="M1396">IFERROR(INDEX($I$2:$K$2,0,MATCH(TRUE,I1396:K1396,0)),E1396)</f>
        <v>CCGT</v>
      </c>
      <c r="O1396" t="str">
        <f t="shared" si="113"/>
        <v>CCGT_2040</v>
      </c>
      <c r="P1396">
        <f t="shared" si="114"/>
        <v>66</v>
      </c>
    </row>
    <row r="1397" spans="4:16" x14ac:dyDescent="0.25">
      <c r="D1397">
        <v>2021</v>
      </c>
      <c r="E1397" t="s">
        <v>123</v>
      </c>
      <c r="F1397" t="s">
        <v>218</v>
      </c>
      <c r="G1397">
        <v>450</v>
      </c>
      <c r="I1397">
        <f t="shared" si="110"/>
        <v>0</v>
      </c>
      <c r="J1397">
        <f t="shared" si="110"/>
        <v>0</v>
      </c>
      <c r="K1397">
        <f t="shared" si="110"/>
        <v>0</v>
      </c>
      <c r="M1397" t="str" cm="1">
        <f t="array" ref="M1397">IFERROR(INDEX($I$2:$K$2,0,MATCH(TRUE,I1397:K1397,0)),E1397)</f>
        <v>CCGT</v>
      </c>
      <c r="O1397" t="str">
        <f t="shared" si="113"/>
        <v>CCGT_2021</v>
      </c>
      <c r="P1397">
        <f t="shared" si="114"/>
        <v>450</v>
      </c>
    </row>
    <row r="1398" spans="4:16" x14ac:dyDescent="0.25">
      <c r="D1398">
        <v>2022</v>
      </c>
      <c r="E1398" t="s">
        <v>123</v>
      </c>
      <c r="F1398" t="s">
        <v>218</v>
      </c>
      <c r="G1398">
        <v>450</v>
      </c>
      <c r="I1398">
        <f t="shared" si="110"/>
        <v>0</v>
      </c>
      <c r="J1398">
        <f t="shared" si="110"/>
        <v>0</v>
      </c>
      <c r="K1398">
        <f t="shared" si="110"/>
        <v>0</v>
      </c>
      <c r="M1398" t="str" cm="1">
        <f t="array" ref="M1398">IFERROR(INDEX($I$2:$K$2,0,MATCH(TRUE,I1398:K1398,0)),E1398)</f>
        <v>CCGT</v>
      </c>
      <c r="O1398" t="str">
        <f t="shared" si="113"/>
        <v>CCGT_2022</v>
      </c>
      <c r="P1398">
        <f t="shared" si="114"/>
        <v>450</v>
      </c>
    </row>
    <row r="1399" spans="4:16" x14ac:dyDescent="0.25">
      <c r="D1399">
        <v>2023</v>
      </c>
      <c r="E1399" t="s">
        <v>123</v>
      </c>
      <c r="F1399" t="s">
        <v>218</v>
      </c>
      <c r="G1399">
        <v>450</v>
      </c>
      <c r="I1399">
        <f t="shared" si="110"/>
        <v>0</v>
      </c>
      <c r="J1399">
        <f t="shared" si="110"/>
        <v>0</v>
      </c>
      <c r="K1399">
        <f t="shared" si="110"/>
        <v>0</v>
      </c>
      <c r="M1399" t="str" cm="1">
        <f t="array" ref="M1399">IFERROR(INDEX($I$2:$K$2,0,MATCH(TRUE,I1399:K1399,0)),E1399)</f>
        <v>CCGT</v>
      </c>
      <c r="O1399" t="str">
        <f t="shared" si="113"/>
        <v>CCGT_2023</v>
      </c>
      <c r="P1399">
        <f t="shared" si="114"/>
        <v>450</v>
      </c>
    </row>
    <row r="1400" spans="4:16" x14ac:dyDescent="0.25">
      <c r="D1400">
        <v>2024</v>
      </c>
      <c r="E1400" t="s">
        <v>123</v>
      </c>
      <c r="F1400" t="s">
        <v>218</v>
      </c>
      <c r="G1400">
        <v>450</v>
      </c>
      <c r="I1400">
        <f t="shared" si="110"/>
        <v>0</v>
      </c>
      <c r="J1400">
        <f t="shared" si="110"/>
        <v>0</v>
      </c>
      <c r="K1400">
        <f t="shared" si="110"/>
        <v>0</v>
      </c>
      <c r="M1400" t="str" cm="1">
        <f t="array" ref="M1400">IFERROR(INDEX($I$2:$K$2,0,MATCH(TRUE,I1400:K1400,0)),E1400)</f>
        <v>CCGT</v>
      </c>
      <c r="O1400" t="str">
        <f t="shared" si="113"/>
        <v>CCGT_2024</v>
      </c>
      <c r="P1400">
        <f t="shared" si="114"/>
        <v>450</v>
      </c>
    </row>
    <row r="1401" spans="4:16" x14ac:dyDescent="0.25">
      <c r="D1401">
        <v>2025</v>
      </c>
      <c r="E1401" t="s">
        <v>123</v>
      </c>
      <c r="F1401" t="s">
        <v>218</v>
      </c>
      <c r="G1401">
        <v>450</v>
      </c>
      <c r="I1401">
        <f t="shared" si="110"/>
        <v>0</v>
      </c>
      <c r="J1401">
        <f t="shared" si="110"/>
        <v>0</v>
      </c>
      <c r="K1401">
        <f t="shared" si="110"/>
        <v>0</v>
      </c>
      <c r="M1401" t="str" cm="1">
        <f t="array" ref="M1401">IFERROR(INDEX($I$2:$K$2,0,MATCH(TRUE,I1401:K1401,0)),E1401)</f>
        <v>CCGT</v>
      </c>
      <c r="O1401" t="str">
        <f t="shared" si="113"/>
        <v>CCGT_2025</v>
      </c>
      <c r="P1401">
        <f t="shared" si="114"/>
        <v>450</v>
      </c>
    </row>
    <row r="1402" spans="4:16" x14ac:dyDescent="0.25">
      <c r="D1402">
        <v>2026</v>
      </c>
      <c r="E1402" t="s">
        <v>123</v>
      </c>
      <c r="F1402" t="s">
        <v>218</v>
      </c>
      <c r="G1402">
        <v>450</v>
      </c>
      <c r="I1402">
        <f t="shared" si="110"/>
        <v>0</v>
      </c>
      <c r="J1402">
        <f t="shared" si="110"/>
        <v>0</v>
      </c>
      <c r="K1402">
        <f t="shared" si="110"/>
        <v>0</v>
      </c>
      <c r="M1402" t="str" cm="1">
        <f t="array" ref="M1402">IFERROR(INDEX($I$2:$K$2,0,MATCH(TRUE,I1402:K1402,0)),E1402)</f>
        <v>CCGT</v>
      </c>
      <c r="O1402" t="str">
        <f t="shared" si="113"/>
        <v>CCGT_2026</v>
      </c>
      <c r="P1402">
        <f t="shared" si="114"/>
        <v>450</v>
      </c>
    </row>
    <row r="1403" spans="4:16" x14ac:dyDescent="0.25">
      <c r="D1403">
        <v>2027</v>
      </c>
      <c r="E1403" t="s">
        <v>123</v>
      </c>
      <c r="F1403" t="s">
        <v>218</v>
      </c>
      <c r="G1403">
        <v>450</v>
      </c>
      <c r="I1403">
        <f t="shared" si="110"/>
        <v>0</v>
      </c>
      <c r="J1403">
        <f t="shared" si="110"/>
        <v>0</v>
      </c>
      <c r="K1403">
        <f t="shared" si="110"/>
        <v>0</v>
      </c>
      <c r="M1403" t="str" cm="1">
        <f t="array" ref="M1403">IFERROR(INDEX($I$2:$K$2,0,MATCH(TRUE,I1403:K1403,0)),E1403)</f>
        <v>CCGT</v>
      </c>
      <c r="O1403" t="str">
        <f t="shared" si="113"/>
        <v>CCGT_2027</v>
      </c>
      <c r="P1403">
        <f t="shared" si="114"/>
        <v>450</v>
      </c>
    </row>
    <row r="1404" spans="4:16" x14ac:dyDescent="0.25">
      <c r="D1404">
        <v>2028</v>
      </c>
      <c r="E1404" t="s">
        <v>123</v>
      </c>
      <c r="F1404" t="s">
        <v>218</v>
      </c>
      <c r="G1404">
        <v>450</v>
      </c>
      <c r="I1404">
        <f t="shared" si="110"/>
        <v>0</v>
      </c>
      <c r="J1404">
        <f t="shared" si="110"/>
        <v>0</v>
      </c>
      <c r="K1404">
        <f t="shared" si="110"/>
        <v>0</v>
      </c>
      <c r="M1404" t="str" cm="1">
        <f t="array" ref="M1404">IFERROR(INDEX($I$2:$K$2,0,MATCH(TRUE,I1404:K1404,0)),E1404)</f>
        <v>CCGT</v>
      </c>
      <c r="O1404" t="str">
        <f t="shared" si="113"/>
        <v>CCGT_2028</v>
      </c>
      <c r="P1404">
        <f t="shared" si="114"/>
        <v>450</v>
      </c>
    </row>
    <row r="1405" spans="4:16" x14ac:dyDescent="0.25">
      <c r="D1405">
        <v>2029</v>
      </c>
      <c r="E1405" t="s">
        <v>123</v>
      </c>
      <c r="F1405" t="s">
        <v>218</v>
      </c>
      <c r="G1405">
        <v>450</v>
      </c>
      <c r="I1405">
        <f t="shared" si="110"/>
        <v>0</v>
      </c>
      <c r="J1405">
        <f t="shared" si="110"/>
        <v>0</v>
      </c>
      <c r="K1405">
        <f t="shared" si="110"/>
        <v>0</v>
      </c>
      <c r="M1405" t="str" cm="1">
        <f t="array" ref="M1405">IFERROR(INDEX($I$2:$K$2,0,MATCH(TRUE,I1405:K1405,0)),E1405)</f>
        <v>CCGT</v>
      </c>
      <c r="O1405" t="str">
        <f t="shared" si="113"/>
        <v>CCGT_2029</v>
      </c>
      <c r="P1405">
        <f t="shared" si="114"/>
        <v>450</v>
      </c>
    </row>
    <row r="1406" spans="4:16" x14ac:dyDescent="0.25">
      <c r="D1406">
        <v>2030</v>
      </c>
      <c r="E1406" t="s">
        <v>123</v>
      </c>
      <c r="F1406" t="s">
        <v>218</v>
      </c>
      <c r="G1406">
        <v>450</v>
      </c>
      <c r="I1406">
        <f t="shared" si="110"/>
        <v>0</v>
      </c>
      <c r="J1406">
        <f t="shared" si="110"/>
        <v>0</v>
      </c>
      <c r="K1406">
        <f t="shared" si="110"/>
        <v>0</v>
      </c>
      <c r="M1406" t="str" cm="1">
        <f t="array" ref="M1406">IFERROR(INDEX($I$2:$K$2,0,MATCH(TRUE,I1406:K1406,0)),E1406)</f>
        <v>CCGT</v>
      </c>
      <c r="O1406" t="str">
        <f t="shared" si="113"/>
        <v>CCGT_2030</v>
      </c>
      <c r="P1406">
        <f t="shared" si="114"/>
        <v>450</v>
      </c>
    </row>
    <row r="1407" spans="4:16" x14ac:dyDescent="0.25">
      <c r="D1407">
        <v>2031</v>
      </c>
      <c r="E1407" t="s">
        <v>123</v>
      </c>
      <c r="F1407" t="s">
        <v>218</v>
      </c>
      <c r="G1407">
        <v>450</v>
      </c>
      <c r="I1407">
        <f t="shared" si="110"/>
        <v>0</v>
      </c>
      <c r="J1407">
        <f t="shared" si="110"/>
        <v>0</v>
      </c>
      <c r="K1407">
        <f t="shared" si="110"/>
        <v>0</v>
      </c>
      <c r="M1407" t="str" cm="1">
        <f t="array" ref="M1407">IFERROR(INDEX($I$2:$K$2,0,MATCH(TRUE,I1407:K1407,0)),E1407)</f>
        <v>CCGT</v>
      </c>
      <c r="O1407" t="str">
        <f t="shared" si="113"/>
        <v>CCGT_2031</v>
      </c>
      <c r="P1407">
        <f t="shared" si="114"/>
        <v>450</v>
      </c>
    </row>
    <row r="1408" spans="4:16" x14ac:dyDescent="0.25">
      <c r="D1408">
        <v>2032</v>
      </c>
      <c r="E1408" t="s">
        <v>123</v>
      </c>
      <c r="F1408" t="s">
        <v>218</v>
      </c>
      <c r="G1408">
        <v>450</v>
      </c>
      <c r="I1408">
        <f t="shared" si="110"/>
        <v>0</v>
      </c>
      <c r="J1408">
        <f t="shared" si="110"/>
        <v>0</v>
      </c>
      <c r="K1408">
        <f t="shared" si="110"/>
        <v>0</v>
      </c>
      <c r="M1408" t="str" cm="1">
        <f t="array" ref="M1408">IFERROR(INDEX($I$2:$K$2,0,MATCH(TRUE,I1408:K1408,0)),E1408)</f>
        <v>CCGT</v>
      </c>
      <c r="O1408" t="str">
        <f t="shared" si="113"/>
        <v>CCGT_2032</v>
      </c>
      <c r="P1408">
        <f t="shared" si="114"/>
        <v>450</v>
      </c>
    </row>
    <row r="1409" spans="4:16" x14ac:dyDescent="0.25">
      <c r="D1409">
        <v>2033</v>
      </c>
      <c r="E1409" t="s">
        <v>123</v>
      </c>
      <c r="F1409" t="s">
        <v>218</v>
      </c>
      <c r="G1409">
        <v>450</v>
      </c>
      <c r="I1409">
        <f t="shared" si="110"/>
        <v>0</v>
      </c>
      <c r="J1409">
        <f t="shared" si="110"/>
        <v>0</v>
      </c>
      <c r="K1409">
        <f t="shared" si="110"/>
        <v>0</v>
      </c>
      <c r="M1409" t="str" cm="1">
        <f t="array" ref="M1409">IFERROR(INDEX($I$2:$K$2,0,MATCH(TRUE,I1409:K1409,0)),E1409)</f>
        <v>CCGT</v>
      </c>
      <c r="O1409" t="str">
        <f t="shared" si="113"/>
        <v>CCGT_2033</v>
      </c>
      <c r="P1409">
        <f t="shared" si="114"/>
        <v>450</v>
      </c>
    </row>
    <row r="1410" spans="4:16" x14ac:dyDescent="0.25">
      <c r="D1410">
        <v>2034</v>
      </c>
      <c r="E1410" t="s">
        <v>123</v>
      </c>
      <c r="F1410" t="s">
        <v>218</v>
      </c>
      <c r="G1410">
        <v>450</v>
      </c>
      <c r="I1410">
        <f t="shared" si="110"/>
        <v>0</v>
      </c>
      <c r="J1410">
        <f t="shared" si="110"/>
        <v>0</v>
      </c>
      <c r="K1410">
        <f t="shared" si="110"/>
        <v>0</v>
      </c>
      <c r="M1410" t="str" cm="1">
        <f t="array" ref="M1410">IFERROR(INDEX($I$2:$K$2,0,MATCH(TRUE,I1410:K1410,0)),E1410)</f>
        <v>CCGT</v>
      </c>
      <c r="O1410" t="str">
        <f t="shared" si="113"/>
        <v>CCGT_2034</v>
      </c>
      <c r="P1410">
        <f t="shared" si="114"/>
        <v>450</v>
      </c>
    </row>
    <row r="1411" spans="4:16" x14ac:dyDescent="0.25">
      <c r="D1411">
        <v>2035</v>
      </c>
      <c r="E1411" t="s">
        <v>123</v>
      </c>
      <c r="F1411" t="s">
        <v>218</v>
      </c>
      <c r="G1411">
        <v>450</v>
      </c>
      <c r="I1411">
        <f t="shared" si="110"/>
        <v>0</v>
      </c>
      <c r="J1411">
        <f t="shared" si="110"/>
        <v>0</v>
      </c>
      <c r="K1411">
        <f t="shared" si="110"/>
        <v>0</v>
      </c>
      <c r="M1411" t="str" cm="1">
        <f t="array" ref="M1411">IFERROR(INDEX($I$2:$K$2,0,MATCH(TRUE,I1411:K1411,0)),E1411)</f>
        <v>CCGT</v>
      </c>
      <c r="O1411" t="str">
        <f t="shared" si="113"/>
        <v>CCGT_2035</v>
      </c>
      <c r="P1411">
        <f t="shared" si="114"/>
        <v>450</v>
      </c>
    </row>
    <row r="1412" spans="4:16" x14ac:dyDescent="0.25">
      <c r="D1412">
        <v>2036</v>
      </c>
      <c r="E1412" t="s">
        <v>123</v>
      </c>
      <c r="F1412" t="s">
        <v>218</v>
      </c>
      <c r="G1412">
        <v>450</v>
      </c>
      <c r="I1412">
        <f t="shared" si="110"/>
        <v>0</v>
      </c>
      <c r="J1412">
        <f t="shared" si="110"/>
        <v>0</v>
      </c>
      <c r="K1412">
        <f t="shared" si="110"/>
        <v>0</v>
      </c>
      <c r="M1412" t="str" cm="1">
        <f t="array" ref="M1412">IFERROR(INDEX($I$2:$K$2,0,MATCH(TRUE,I1412:K1412,0)),E1412)</f>
        <v>CCGT</v>
      </c>
      <c r="O1412" t="str">
        <f t="shared" si="113"/>
        <v>CCGT_2036</v>
      </c>
      <c r="P1412">
        <f t="shared" si="114"/>
        <v>450</v>
      </c>
    </row>
    <row r="1413" spans="4:16" x14ac:dyDescent="0.25">
      <c r="D1413">
        <v>2037</v>
      </c>
      <c r="E1413" t="s">
        <v>123</v>
      </c>
      <c r="F1413" t="s">
        <v>218</v>
      </c>
      <c r="G1413">
        <v>450</v>
      </c>
      <c r="I1413">
        <f t="shared" si="110"/>
        <v>0</v>
      </c>
      <c r="J1413">
        <f t="shared" si="110"/>
        <v>0</v>
      </c>
      <c r="K1413">
        <f t="shared" si="110"/>
        <v>0</v>
      </c>
      <c r="M1413" t="str" cm="1">
        <f t="array" ref="M1413">IFERROR(INDEX($I$2:$K$2,0,MATCH(TRUE,I1413:K1413,0)),E1413)</f>
        <v>CCGT</v>
      </c>
      <c r="O1413" t="str">
        <f t="shared" si="113"/>
        <v>CCGT_2037</v>
      </c>
      <c r="P1413">
        <f t="shared" si="114"/>
        <v>450</v>
      </c>
    </row>
    <row r="1414" spans="4:16" x14ac:dyDescent="0.25">
      <c r="D1414">
        <v>2038</v>
      </c>
      <c r="E1414" t="s">
        <v>123</v>
      </c>
      <c r="F1414" t="s">
        <v>218</v>
      </c>
      <c r="G1414">
        <v>450</v>
      </c>
      <c r="I1414">
        <f t="shared" si="110"/>
        <v>0</v>
      </c>
      <c r="J1414">
        <f t="shared" si="110"/>
        <v>0</v>
      </c>
      <c r="K1414">
        <f t="shared" si="110"/>
        <v>0</v>
      </c>
      <c r="M1414" t="str" cm="1">
        <f t="array" ref="M1414">IFERROR(INDEX($I$2:$K$2,0,MATCH(TRUE,I1414:K1414,0)),E1414)</f>
        <v>CCGT</v>
      </c>
      <c r="O1414" t="str">
        <f t="shared" si="113"/>
        <v>CCGT_2038</v>
      </c>
      <c r="P1414">
        <f t="shared" si="114"/>
        <v>450</v>
      </c>
    </row>
    <row r="1415" spans="4:16" x14ac:dyDescent="0.25">
      <c r="D1415">
        <v>2039</v>
      </c>
      <c r="E1415" t="s">
        <v>123</v>
      </c>
      <c r="F1415" t="s">
        <v>218</v>
      </c>
      <c r="G1415">
        <v>450</v>
      </c>
      <c r="I1415">
        <f t="shared" si="110"/>
        <v>0</v>
      </c>
      <c r="J1415">
        <f t="shared" si="110"/>
        <v>0</v>
      </c>
      <c r="K1415">
        <f t="shared" si="110"/>
        <v>0</v>
      </c>
      <c r="M1415" t="str" cm="1">
        <f t="array" ref="M1415">IFERROR(INDEX($I$2:$K$2,0,MATCH(TRUE,I1415:K1415,0)),E1415)</f>
        <v>CCGT</v>
      </c>
      <c r="O1415" t="str">
        <f t="shared" si="113"/>
        <v>CCGT_2039</v>
      </c>
      <c r="P1415">
        <f t="shared" si="114"/>
        <v>450</v>
      </c>
    </row>
    <row r="1416" spans="4:16" x14ac:dyDescent="0.25">
      <c r="D1416">
        <v>2040</v>
      </c>
      <c r="E1416" t="s">
        <v>123</v>
      </c>
      <c r="F1416" t="s">
        <v>218</v>
      </c>
      <c r="G1416">
        <v>450</v>
      </c>
      <c r="I1416">
        <f t="shared" si="110"/>
        <v>0</v>
      </c>
      <c r="J1416">
        <f t="shared" si="110"/>
        <v>0</v>
      </c>
      <c r="K1416">
        <f t="shared" si="110"/>
        <v>0</v>
      </c>
      <c r="M1416" t="str" cm="1">
        <f t="array" ref="M1416">IFERROR(INDEX($I$2:$K$2,0,MATCH(TRUE,I1416:K1416,0)),E1416)</f>
        <v>CCGT</v>
      </c>
      <c r="O1416" t="str">
        <f t="shared" si="113"/>
        <v>CCGT_2040</v>
      </c>
      <c r="P1416">
        <f t="shared" si="114"/>
        <v>450</v>
      </c>
    </row>
    <row r="1417" spans="4:16" x14ac:dyDescent="0.25">
      <c r="D1417">
        <v>2021</v>
      </c>
      <c r="E1417" t="s">
        <v>123</v>
      </c>
      <c r="F1417" t="s">
        <v>219</v>
      </c>
      <c r="G1417">
        <v>265</v>
      </c>
      <c r="I1417">
        <f t="shared" si="110"/>
        <v>0</v>
      </c>
      <c r="J1417">
        <f t="shared" si="110"/>
        <v>0</v>
      </c>
      <c r="K1417">
        <f t="shared" si="110"/>
        <v>0</v>
      </c>
      <c r="M1417" t="str" cm="1">
        <f t="array" ref="M1417">IFERROR(INDEX($I$2:$K$2,0,MATCH(TRUE,I1417:K1417,0)),E1417)</f>
        <v>CCGT</v>
      </c>
      <c r="O1417" t="str">
        <f t="shared" si="113"/>
        <v>CCGT_2021</v>
      </c>
      <c r="P1417">
        <f t="shared" si="114"/>
        <v>265</v>
      </c>
    </row>
    <row r="1418" spans="4:16" x14ac:dyDescent="0.25">
      <c r="D1418">
        <v>2022</v>
      </c>
      <c r="E1418" t="s">
        <v>123</v>
      </c>
      <c r="F1418" t="s">
        <v>219</v>
      </c>
      <c r="G1418">
        <v>265</v>
      </c>
      <c r="I1418">
        <f t="shared" si="110"/>
        <v>0</v>
      </c>
      <c r="J1418">
        <f t="shared" si="110"/>
        <v>0</v>
      </c>
      <c r="K1418">
        <f t="shared" si="110"/>
        <v>0</v>
      </c>
      <c r="M1418" t="str" cm="1">
        <f t="array" ref="M1418">IFERROR(INDEX($I$2:$K$2,0,MATCH(TRUE,I1418:K1418,0)),E1418)</f>
        <v>CCGT</v>
      </c>
      <c r="O1418" t="str">
        <f t="shared" si="113"/>
        <v>CCGT_2022</v>
      </c>
      <c r="P1418">
        <f t="shared" si="114"/>
        <v>265</v>
      </c>
    </row>
    <row r="1419" spans="4:16" x14ac:dyDescent="0.25">
      <c r="D1419">
        <v>2023</v>
      </c>
      <c r="E1419" t="s">
        <v>123</v>
      </c>
      <c r="F1419" t="s">
        <v>219</v>
      </c>
      <c r="G1419">
        <v>265</v>
      </c>
      <c r="I1419">
        <f t="shared" si="110"/>
        <v>0</v>
      </c>
      <c r="J1419">
        <f t="shared" si="110"/>
        <v>0</v>
      </c>
      <c r="K1419">
        <f t="shared" si="110"/>
        <v>0</v>
      </c>
      <c r="M1419" t="str" cm="1">
        <f t="array" ref="M1419">IFERROR(INDEX($I$2:$K$2,0,MATCH(TRUE,I1419:K1419,0)),E1419)</f>
        <v>CCGT</v>
      </c>
      <c r="O1419" t="str">
        <f t="shared" si="113"/>
        <v>CCGT_2023</v>
      </c>
      <c r="P1419">
        <f t="shared" si="114"/>
        <v>265</v>
      </c>
    </row>
    <row r="1420" spans="4:16" x14ac:dyDescent="0.25">
      <c r="D1420">
        <v>2024</v>
      </c>
      <c r="E1420" t="s">
        <v>123</v>
      </c>
      <c r="F1420" t="s">
        <v>219</v>
      </c>
      <c r="G1420">
        <v>265</v>
      </c>
      <c r="I1420">
        <f t="shared" si="110"/>
        <v>0</v>
      </c>
      <c r="J1420">
        <f t="shared" si="110"/>
        <v>0</v>
      </c>
      <c r="K1420">
        <f t="shared" si="110"/>
        <v>0</v>
      </c>
      <c r="M1420" t="str" cm="1">
        <f t="array" ref="M1420">IFERROR(INDEX($I$2:$K$2,0,MATCH(TRUE,I1420:K1420,0)),E1420)</f>
        <v>CCGT</v>
      </c>
      <c r="O1420" t="str">
        <f t="shared" si="113"/>
        <v>CCGT_2024</v>
      </c>
      <c r="P1420">
        <f t="shared" si="114"/>
        <v>265</v>
      </c>
    </row>
    <row r="1421" spans="4:16" x14ac:dyDescent="0.25">
      <c r="D1421">
        <v>2025</v>
      </c>
      <c r="E1421" t="s">
        <v>123</v>
      </c>
      <c r="F1421" t="s">
        <v>219</v>
      </c>
      <c r="G1421">
        <v>265</v>
      </c>
      <c r="I1421">
        <f t="shared" si="110"/>
        <v>0</v>
      </c>
      <c r="J1421">
        <f t="shared" si="110"/>
        <v>0</v>
      </c>
      <c r="K1421">
        <f t="shared" si="110"/>
        <v>0</v>
      </c>
      <c r="M1421" t="str" cm="1">
        <f t="array" ref="M1421">IFERROR(INDEX($I$2:$K$2,0,MATCH(TRUE,I1421:K1421,0)),E1421)</f>
        <v>CCGT</v>
      </c>
      <c r="O1421" t="str">
        <f t="shared" si="113"/>
        <v>CCGT_2025</v>
      </c>
      <c r="P1421">
        <f t="shared" si="114"/>
        <v>265</v>
      </c>
    </row>
    <row r="1422" spans="4:16" x14ac:dyDescent="0.25">
      <c r="D1422">
        <v>2026</v>
      </c>
      <c r="E1422" t="s">
        <v>123</v>
      </c>
      <c r="F1422" t="s">
        <v>219</v>
      </c>
      <c r="G1422">
        <v>265</v>
      </c>
      <c r="I1422">
        <f t="shared" si="110"/>
        <v>0</v>
      </c>
      <c r="J1422">
        <f t="shared" si="110"/>
        <v>0</v>
      </c>
      <c r="K1422">
        <f t="shared" si="110"/>
        <v>0</v>
      </c>
      <c r="M1422" t="str" cm="1">
        <f t="array" ref="M1422">IFERROR(INDEX($I$2:$K$2,0,MATCH(TRUE,I1422:K1422,0)),E1422)</f>
        <v>CCGT</v>
      </c>
      <c r="O1422" t="str">
        <f t="shared" si="113"/>
        <v>CCGT_2026</v>
      </c>
      <c r="P1422">
        <f t="shared" si="114"/>
        <v>265</v>
      </c>
    </row>
    <row r="1423" spans="4:16" x14ac:dyDescent="0.25">
      <c r="D1423">
        <v>2027</v>
      </c>
      <c r="E1423" t="s">
        <v>123</v>
      </c>
      <c r="F1423" t="s">
        <v>219</v>
      </c>
      <c r="G1423">
        <v>265</v>
      </c>
      <c r="I1423">
        <f t="shared" si="110"/>
        <v>0</v>
      </c>
      <c r="J1423">
        <f t="shared" si="110"/>
        <v>0</v>
      </c>
      <c r="K1423">
        <f t="shared" si="110"/>
        <v>0</v>
      </c>
      <c r="M1423" t="str" cm="1">
        <f t="array" ref="M1423">IFERROR(INDEX($I$2:$K$2,0,MATCH(TRUE,I1423:K1423,0)),E1423)</f>
        <v>CCGT</v>
      </c>
      <c r="O1423" t="str">
        <f t="shared" si="113"/>
        <v>CCGT_2027</v>
      </c>
      <c r="P1423">
        <f t="shared" si="114"/>
        <v>265</v>
      </c>
    </row>
    <row r="1424" spans="4:16" x14ac:dyDescent="0.25">
      <c r="D1424">
        <v>2028</v>
      </c>
      <c r="E1424" t="s">
        <v>123</v>
      </c>
      <c r="F1424" t="s">
        <v>219</v>
      </c>
      <c r="G1424">
        <v>265</v>
      </c>
      <c r="I1424">
        <f t="shared" si="110"/>
        <v>0</v>
      </c>
      <c r="J1424">
        <f t="shared" si="110"/>
        <v>0</v>
      </c>
      <c r="K1424">
        <f t="shared" si="110"/>
        <v>0</v>
      </c>
      <c r="M1424" t="str" cm="1">
        <f t="array" ref="M1424">IFERROR(INDEX($I$2:$K$2,0,MATCH(TRUE,I1424:K1424,0)),E1424)</f>
        <v>CCGT</v>
      </c>
      <c r="O1424" t="str">
        <f t="shared" si="113"/>
        <v>CCGT_2028</v>
      </c>
      <c r="P1424">
        <f t="shared" si="114"/>
        <v>265</v>
      </c>
    </row>
    <row r="1425" spans="4:16" x14ac:dyDescent="0.25">
      <c r="D1425">
        <v>2029</v>
      </c>
      <c r="E1425" t="s">
        <v>123</v>
      </c>
      <c r="F1425" t="s">
        <v>219</v>
      </c>
      <c r="G1425">
        <v>265</v>
      </c>
      <c r="I1425">
        <f t="shared" si="110"/>
        <v>0</v>
      </c>
      <c r="J1425">
        <f t="shared" si="110"/>
        <v>0</v>
      </c>
      <c r="K1425">
        <f t="shared" si="110"/>
        <v>0</v>
      </c>
      <c r="M1425" t="str" cm="1">
        <f t="array" ref="M1425">IFERROR(INDEX($I$2:$K$2,0,MATCH(TRUE,I1425:K1425,0)),E1425)</f>
        <v>CCGT</v>
      </c>
      <c r="O1425" t="str">
        <f t="shared" si="113"/>
        <v>CCGT_2029</v>
      </c>
      <c r="P1425">
        <f t="shared" si="114"/>
        <v>265</v>
      </c>
    </row>
    <row r="1426" spans="4:16" x14ac:dyDescent="0.25">
      <c r="D1426">
        <v>2030</v>
      </c>
      <c r="E1426" t="s">
        <v>123</v>
      </c>
      <c r="F1426" t="s">
        <v>219</v>
      </c>
      <c r="G1426">
        <v>265</v>
      </c>
      <c r="I1426">
        <f t="shared" si="110"/>
        <v>0</v>
      </c>
      <c r="J1426">
        <f t="shared" si="110"/>
        <v>0</v>
      </c>
      <c r="K1426">
        <f t="shared" si="110"/>
        <v>0</v>
      </c>
      <c r="M1426" t="str" cm="1">
        <f t="array" ref="M1426">IFERROR(INDEX($I$2:$K$2,0,MATCH(TRUE,I1426:K1426,0)),E1426)</f>
        <v>CCGT</v>
      </c>
      <c r="O1426" t="str">
        <f t="shared" si="113"/>
        <v>CCGT_2030</v>
      </c>
      <c r="P1426">
        <f t="shared" si="114"/>
        <v>265</v>
      </c>
    </row>
    <row r="1427" spans="4:16" x14ac:dyDescent="0.25">
      <c r="D1427">
        <v>2031</v>
      </c>
      <c r="E1427" t="s">
        <v>123</v>
      </c>
      <c r="F1427" t="s">
        <v>219</v>
      </c>
      <c r="G1427">
        <v>265</v>
      </c>
      <c r="I1427">
        <f t="shared" si="110"/>
        <v>0</v>
      </c>
      <c r="J1427">
        <f t="shared" si="110"/>
        <v>0</v>
      </c>
      <c r="K1427">
        <f t="shared" si="110"/>
        <v>0</v>
      </c>
      <c r="M1427" t="str" cm="1">
        <f t="array" ref="M1427">IFERROR(INDEX($I$2:$K$2,0,MATCH(TRUE,I1427:K1427,0)),E1427)</f>
        <v>CCGT</v>
      </c>
      <c r="O1427" t="str">
        <f t="shared" ref="O1427:O1490" si="115">M1427&amp;"_"&amp;D1427</f>
        <v>CCGT_2031</v>
      </c>
      <c r="P1427">
        <f t="shared" ref="P1427:P1490" si="116">G1427</f>
        <v>265</v>
      </c>
    </row>
    <row r="1428" spans="4:16" x14ac:dyDescent="0.25">
      <c r="D1428">
        <v>2032</v>
      </c>
      <c r="E1428" t="s">
        <v>123</v>
      </c>
      <c r="F1428" t="s">
        <v>219</v>
      </c>
      <c r="G1428">
        <v>265</v>
      </c>
      <c r="I1428">
        <f t="shared" si="110"/>
        <v>0</v>
      </c>
      <c r="J1428">
        <f t="shared" si="110"/>
        <v>0</v>
      </c>
      <c r="K1428">
        <f t="shared" si="110"/>
        <v>0</v>
      </c>
      <c r="M1428" t="str" cm="1">
        <f t="array" ref="M1428">IFERROR(INDEX($I$2:$K$2,0,MATCH(TRUE,I1428:K1428,0)),E1428)</f>
        <v>CCGT</v>
      </c>
      <c r="O1428" t="str">
        <f t="shared" si="115"/>
        <v>CCGT_2032</v>
      </c>
      <c r="P1428">
        <f t="shared" si="116"/>
        <v>265</v>
      </c>
    </row>
    <row r="1429" spans="4:16" x14ac:dyDescent="0.25">
      <c r="D1429">
        <v>2033</v>
      </c>
      <c r="E1429" t="s">
        <v>123</v>
      </c>
      <c r="F1429" t="s">
        <v>219</v>
      </c>
      <c r="G1429">
        <v>265</v>
      </c>
      <c r="I1429">
        <f t="shared" ref="I1429:K1492" si="117">IFERROR(FIND(I$2,$E1429,1)&gt;0,0)</f>
        <v>0</v>
      </c>
      <c r="J1429">
        <f t="shared" si="117"/>
        <v>0</v>
      </c>
      <c r="K1429">
        <f t="shared" si="117"/>
        <v>0</v>
      </c>
      <c r="M1429" t="str" cm="1">
        <f t="array" ref="M1429">IFERROR(INDEX($I$2:$K$2,0,MATCH(TRUE,I1429:K1429,0)),E1429)</f>
        <v>CCGT</v>
      </c>
      <c r="O1429" t="str">
        <f t="shared" si="115"/>
        <v>CCGT_2033</v>
      </c>
      <c r="P1429">
        <f t="shared" si="116"/>
        <v>265</v>
      </c>
    </row>
    <row r="1430" spans="4:16" x14ac:dyDescent="0.25">
      <c r="D1430">
        <v>2034</v>
      </c>
      <c r="E1430" t="s">
        <v>123</v>
      </c>
      <c r="F1430" t="s">
        <v>219</v>
      </c>
      <c r="G1430">
        <v>265</v>
      </c>
      <c r="I1430">
        <f t="shared" si="117"/>
        <v>0</v>
      </c>
      <c r="J1430">
        <f t="shared" si="117"/>
        <v>0</v>
      </c>
      <c r="K1430">
        <f t="shared" si="117"/>
        <v>0</v>
      </c>
      <c r="M1430" t="str" cm="1">
        <f t="array" ref="M1430">IFERROR(INDEX($I$2:$K$2,0,MATCH(TRUE,I1430:K1430,0)),E1430)</f>
        <v>CCGT</v>
      </c>
      <c r="O1430" t="str">
        <f t="shared" si="115"/>
        <v>CCGT_2034</v>
      </c>
      <c r="P1430">
        <f t="shared" si="116"/>
        <v>265</v>
      </c>
    </row>
    <row r="1431" spans="4:16" x14ac:dyDescent="0.25">
      <c r="D1431">
        <v>2035</v>
      </c>
      <c r="E1431" t="s">
        <v>123</v>
      </c>
      <c r="F1431" t="s">
        <v>219</v>
      </c>
      <c r="G1431">
        <v>265</v>
      </c>
      <c r="I1431">
        <f t="shared" si="117"/>
        <v>0</v>
      </c>
      <c r="J1431">
        <f t="shared" si="117"/>
        <v>0</v>
      </c>
      <c r="K1431">
        <f t="shared" si="117"/>
        <v>0</v>
      </c>
      <c r="M1431" t="str" cm="1">
        <f t="array" ref="M1431">IFERROR(INDEX($I$2:$K$2,0,MATCH(TRUE,I1431:K1431,0)),E1431)</f>
        <v>CCGT</v>
      </c>
      <c r="O1431" t="str">
        <f t="shared" si="115"/>
        <v>CCGT_2035</v>
      </c>
      <c r="P1431">
        <f t="shared" si="116"/>
        <v>265</v>
      </c>
    </row>
    <row r="1432" spans="4:16" x14ac:dyDescent="0.25">
      <c r="D1432">
        <v>2036</v>
      </c>
      <c r="E1432" t="s">
        <v>123</v>
      </c>
      <c r="F1432" t="s">
        <v>219</v>
      </c>
      <c r="G1432">
        <v>265</v>
      </c>
      <c r="I1432">
        <f t="shared" si="117"/>
        <v>0</v>
      </c>
      <c r="J1432">
        <f t="shared" si="117"/>
        <v>0</v>
      </c>
      <c r="K1432">
        <f t="shared" si="117"/>
        <v>0</v>
      </c>
      <c r="M1432" t="str" cm="1">
        <f t="array" ref="M1432">IFERROR(INDEX($I$2:$K$2,0,MATCH(TRUE,I1432:K1432,0)),E1432)</f>
        <v>CCGT</v>
      </c>
      <c r="O1432" t="str">
        <f t="shared" si="115"/>
        <v>CCGT_2036</v>
      </c>
      <c r="P1432">
        <f t="shared" si="116"/>
        <v>265</v>
      </c>
    </row>
    <row r="1433" spans="4:16" x14ac:dyDescent="0.25">
      <c r="D1433">
        <v>2037</v>
      </c>
      <c r="E1433" t="s">
        <v>123</v>
      </c>
      <c r="F1433" t="s">
        <v>219</v>
      </c>
      <c r="G1433">
        <v>265</v>
      </c>
      <c r="I1433">
        <f t="shared" si="117"/>
        <v>0</v>
      </c>
      <c r="J1433">
        <f t="shared" si="117"/>
        <v>0</v>
      </c>
      <c r="K1433">
        <f t="shared" si="117"/>
        <v>0</v>
      </c>
      <c r="M1433" t="str" cm="1">
        <f t="array" ref="M1433">IFERROR(INDEX($I$2:$K$2,0,MATCH(TRUE,I1433:K1433,0)),E1433)</f>
        <v>CCGT</v>
      </c>
      <c r="O1433" t="str">
        <f t="shared" si="115"/>
        <v>CCGT_2037</v>
      </c>
      <c r="P1433">
        <f t="shared" si="116"/>
        <v>265</v>
      </c>
    </row>
    <row r="1434" spans="4:16" x14ac:dyDescent="0.25">
      <c r="D1434">
        <v>2038</v>
      </c>
      <c r="E1434" t="s">
        <v>123</v>
      </c>
      <c r="F1434" t="s">
        <v>219</v>
      </c>
      <c r="G1434">
        <v>265</v>
      </c>
      <c r="I1434">
        <f t="shared" si="117"/>
        <v>0</v>
      </c>
      <c r="J1434">
        <f t="shared" si="117"/>
        <v>0</v>
      </c>
      <c r="K1434">
        <f t="shared" si="117"/>
        <v>0</v>
      </c>
      <c r="M1434" t="str" cm="1">
        <f t="array" ref="M1434">IFERROR(INDEX($I$2:$K$2,0,MATCH(TRUE,I1434:K1434,0)),E1434)</f>
        <v>CCGT</v>
      </c>
      <c r="O1434" t="str">
        <f t="shared" si="115"/>
        <v>CCGT_2038</v>
      </c>
      <c r="P1434">
        <f t="shared" si="116"/>
        <v>265</v>
      </c>
    </row>
    <row r="1435" spans="4:16" x14ac:dyDescent="0.25">
      <c r="D1435">
        <v>2039</v>
      </c>
      <c r="E1435" t="s">
        <v>123</v>
      </c>
      <c r="F1435" t="s">
        <v>219</v>
      </c>
      <c r="G1435">
        <v>265</v>
      </c>
      <c r="I1435">
        <f t="shared" si="117"/>
        <v>0</v>
      </c>
      <c r="J1435">
        <f t="shared" si="117"/>
        <v>0</v>
      </c>
      <c r="K1435">
        <f t="shared" si="117"/>
        <v>0</v>
      </c>
      <c r="M1435" t="str" cm="1">
        <f t="array" ref="M1435">IFERROR(INDEX($I$2:$K$2,0,MATCH(TRUE,I1435:K1435,0)),E1435)</f>
        <v>CCGT</v>
      </c>
      <c r="O1435" t="str">
        <f t="shared" si="115"/>
        <v>CCGT_2039</v>
      </c>
      <c r="P1435">
        <f t="shared" si="116"/>
        <v>265</v>
      </c>
    </row>
    <row r="1436" spans="4:16" x14ac:dyDescent="0.25">
      <c r="D1436">
        <v>2040</v>
      </c>
      <c r="E1436" t="s">
        <v>123</v>
      </c>
      <c r="F1436" t="s">
        <v>219</v>
      </c>
      <c r="G1436">
        <v>265</v>
      </c>
      <c r="I1436">
        <f t="shared" si="117"/>
        <v>0</v>
      </c>
      <c r="J1436">
        <f t="shared" si="117"/>
        <v>0</v>
      </c>
      <c r="K1436">
        <f t="shared" si="117"/>
        <v>0</v>
      </c>
      <c r="M1436" t="str" cm="1">
        <f t="array" ref="M1436">IFERROR(INDEX($I$2:$K$2,0,MATCH(TRUE,I1436:K1436,0)),E1436)</f>
        <v>CCGT</v>
      </c>
      <c r="O1436" t="str">
        <f t="shared" si="115"/>
        <v>CCGT_2040</v>
      </c>
      <c r="P1436">
        <f t="shared" si="116"/>
        <v>265</v>
      </c>
    </row>
    <row r="1437" spans="4:16" x14ac:dyDescent="0.25">
      <c r="D1437">
        <v>2021</v>
      </c>
      <c r="E1437" t="s">
        <v>123</v>
      </c>
      <c r="F1437" t="s">
        <v>220</v>
      </c>
      <c r="G1437">
        <v>64</v>
      </c>
      <c r="I1437">
        <f t="shared" si="117"/>
        <v>0</v>
      </c>
      <c r="J1437">
        <f t="shared" si="117"/>
        <v>0</v>
      </c>
      <c r="K1437">
        <f t="shared" si="117"/>
        <v>0</v>
      </c>
      <c r="M1437" t="str" cm="1">
        <f t="array" ref="M1437">IFERROR(INDEX($I$2:$K$2,0,MATCH(TRUE,I1437:K1437,0)),E1437)</f>
        <v>CCGT</v>
      </c>
      <c r="O1437" t="str">
        <f t="shared" si="115"/>
        <v>CCGT_2021</v>
      </c>
      <c r="P1437">
        <f t="shared" si="116"/>
        <v>64</v>
      </c>
    </row>
    <row r="1438" spans="4:16" x14ac:dyDescent="0.25">
      <c r="D1438">
        <v>2022</v>
      </c>
      <c r="E1438" t="s">
        <v>123</v>
      </c>
      <c r="F1438" t="s">
        <v>220</v>
      </c>
      <c r="G1438">
        <v>64</v>
      </c>
      <c r="I1438">
        <f t="shared" si="117"/>
        <v>0</v>
      </c>
      <c r="J1438">
        <f t="shared" si="117"/>
        <v>0</v>
      </c>
      <c r="K1438">
        <f t="shared" si="117"/>
        <v>0</v>
      </c>
      <c r="M1438" t="str" cm="1">
        <f t="array" ref="M1438">IFERROR(INDEX($I$2:$K$2,0,MATCH(TRUE,I1438:K1438,0)),E1438)</f>
        <v>CCGT</v>
      </c>
      <c r="O1438" t="str">
        <f t="shared" si="115"/>
        <v>CCGT_2022</v>
      </c>
      <c r="P1438">
        <f t="shared" si="116"/>
        <v>64</v>
      </c>
    </row>
    <row r="1439" spans="4:16" x14ac:dyDescent="0.25">
      <c r="D1439">
        <v>2023</v>
      </c>
      <c r="E1439" t="s">
        <v>123</v>
      </c>
      <c r="F1439" t="s">
        <v>220</v>
      </c>
      <c r="G1439">
        <v>64</v>
      </c>
      <c r="I1439">
        <f t="shared" si="117"/>
        <v>0</v>
      </c>
      <c r="J1439">
        <f t="shared" si="117"/>
        <v>0</v>
      </c>
      <c r="K1439">
        <f t="shared" si="117"/>
        <v>0</v>
      </c>
      <c r="M1439" t="str" cm="1">
        <f t="array" ref="M1439">IFERROR(INDEX($I$2:$K$2,0,MATCH(TRUE,I1439:K1439,0)),E1439)</f>
        <v>CCGT</v>
      </c>
      <c r="O1439" t="str">
        <f t="shared" si="115"/>
        <v>CCGT_2023</v>
      </c>
      <c r="P1439">
        <f t="shared" si="116"/>
        <v>64</v>
      </c>
    </row>
    <row r="1440" spans="4:16" x14ac:dyDescent="0.25">
      <c r="D1440">
        <v>2024</v>
      </c>
      <c r="E1440" t="s">
        <v>123</v>
      </c>
      <c r="F1440" t="s">
        <v>220</v>
      </c>
      <c r="G1440">
        <v>64</v>
      </c>
      <c r="I1440">
        <f t="shared" si="117"/>
        <v>0</v>
      </c>
      <c r="J1440">
        <f t="shared" si="117"/>
        <v>0</v>
      </c>
      <c r="K1440">
        <f t="shared" si="117"/>
        <v>0</v>
      </c>
      <c r="M1440" t="str" cm="1">
        <f t="array" ref="M1440">IFERROR(INDEX($I$2:$K$2,0,MATCH(TRUE,I1440:K1440,0)),E1440)</f>
        <v>CCGT</v>
      </c>
      <c r="O1440" t="str">
        <f t="shared" si="115"/>
        <v>CCGT_2024</v>
      </c>
      <c r="P1440">
        <f t="shared" si="116"/>
        <v>64</v>
      </c>
    </row>
    <row r="1441" spans="4:16" x14ac:dyDescent="0.25">
      <c r="D1441">
        <v>2025</v>
      </c>
      <c r="E1441" t="s">
        <v>123</v>
      </c>
      <c r="F1441" t="s">
        <v>220</v>
      </c>
      <c r="G1441">
        <v>64</v>
      </c>
      <c r="I1441">
        <f t="shared" si="117"/>
        <v>0</v>
      </c>
      <c r="J1441">
        <f t="shared" si="117"/>
        <v>0</v>
      </c>
      <c r="K1441">
        <f t="shared" si="117"/>
        <v>0</v>
      </c>
      <c r="M1441" t="str" cm="1">
        <f t="array" ref="M1441">IFERROR(INDEX($I$2:$K$2,0,MATCH(TRUE,I1441:K1441,0)),E1441)</f>
        <v>CCGT</v>
      </c>
      <c r="O1441" t="str">
        <f t="shared" si="115"/>
        <v>CCGT_2025</v>
      </c>
      <c r="P1441">
        <f t="shared" si="116"/>
        <v>64</v>
      </c>
    </row>
    <row r="1442" spans="4:16" x14ac:dyDescent="0.25">
      <c r="D1442">
        <v>2026</v>
      </c>
      <c r="E1442" t="s">
        <v>123</v>
      </c>
      <c r="F1442" t="s">
        <v>220</v>
      </c>
      <c r="G1442">
        <v>64</v>
      </c>
      <c r="I1442">
        <f t="shared" si="117"/>
        <v>0</v>
      </c>
      <c r="J1442">
        <f t="shared" si="117"/>
        <v>0</v>
      </c>
      <c r="K1442">
        <f t="shared" si="117"/>
        <v>0</v>
      </c>
      <c r="M1442" t="str" cm="1">
        <f t="array" ref="M1442">IFERROR(INDEX($I$2:$K$2,0,MATCH(TRUE,I1442:K1442,0)),E1442)</f>
        <v>CCGT</v>
      </c>
      <c r="O1442" t="str">
        <f t="shared" si="115"/>
        <v>CCGT_2026</v>
      </c>
      <c r="P1442">
        <f t="shared" si="116"/>
        <v>64</v>
      </c>
    </row>
    <row r="1443" spans="4:16" x14ac:dyDescent="0.25">
      <c r="D1443">
        <v>2027</v>
      </c>
      <c r="E1443" t="s">
        <v>123</v>
      </c>
      <c r="F1443" t="s">
        <v>220</v>
      </c>
      <c r="G1443">
        <v>64</v>
      </c>
      <c r="I1443">
        <f t="shared" si="117"/>
        <v>0</v>
      </c>
      <c r="J1443">
        <f t="shared" si="117"/>
        <v>0</v>
      </c>
      <c r="K1443">
        <f t="shared" si="117"/>
        <v>0</v>
      </c>
      <c r="M1443" t="str" cm="1">
        <f t="array" ref="M1443">IFERROR(INDEX($I$2:$K$2,0,MATCH(TRUE,I1443:K1443,0)),E1443)</f>
        <v>CCGT</v>
      </c>
      <c r="O1443" t="str">
        <f t="shared" si="115"/>
        <v>CCGT_2027</v>
      </c>
      <c r="P1443">
        <f t="shared" si="116"/>
        <v>64</v>
      </c>
    </row>
    <row r="1444" spans="4:16" x14ac:dyDescent="0.25">
      <c r="D1444">
        <v>2028</v>
      </c>
      <c r="E1444" t="s">
        <v>123</v>
      </c>
      <c r="F1444" t="s">
        <v>220</v>
      </c>
      <c r="G1444">
        <v>64</v>
      </c>
      <c r="I1444">
        <f t="shared" si="117"/>
        <v>0</v>
      </c>
      <c r="J1444">
        <f t="shared" si="117"/>
        <v>0</v>
      </c>
      <c r="K1444">
        <f t="shared" si="117"/>
        <v>0</v>
      </c>
      <c r="M1444" t="str" cm="1">
        <f t="array" ref="M1444">IFERROR(INDEX($I$2:$K$2,0,MATCH(TRUE,I1444:K1444,0)),E1444)</f>
        <v>CCGT</v>
      </c>
      <c r="O1444" t="str">
        <f t="shared" si="115"/>
        <v>CCGT_2028</v>
      </c>
      <c r="P1444">
        <f t="shared" si="116"/>
        <v>64</v>
      </c>
    </row>
    <row r="1445" spans="4:16" x14ac:dyDescent="0.25">
      <c r="D1445">
        <v>2029</v>
      </c>
      <c r="E1445" t="s">
        <v>123</v>
      </c>
      <c r="F1445" t="s">
        <v>220</v>
      </c>
      <c r="G1445">
        <v>64</v>
      </c>
      <c r="I1445">
        <f t="shared" si="117"/>
        <v>0</v>
      </c>
      <c r="J1445">
        <f t="shared" si="117"/>
        <v>0</v>
      </c>
      <c r="K1445">
        <f t="shared" si="117"/>
        <v>0</v>
      </c>
      <c r="M1445" t="str" cm="1">
        <f t="array" ref="M1445">IFERROR(INDEX($I$2:$K$2,0,MATCH(TRUE,I1445:K1445,0)),E1445)</f>
        <v>CCGT</v>
      </c>
      <c r="O1445" t="str">
        <f t="shared" si="115"/>
        <v>CCGT_2029</v>
      </c>
      <c r="P1445">
        <f t="shared" si="116"/>
        <v>64</v>
      </c>
    </row>
    <row r="1446" spans="4:16" x14ac:dyDescent="0.25">
      <c r="D1446">
        <v>2030</v>
      </c>
      <c r="E1446" t="s">
        <v>123</v>
      </c>
      <c r="F1446" t="s">
        <v>220</v>
      </c>
      <c r="G1446">
        <v>64</v>
      </c>
      <c r="I1446">
        <f t="shared" si="117"/>
        <v>0</v>
      </c>
      <c r="J1446">
        <f t="shared" si="117"/>
        <v>0</v>
      </c>
      <c r="K1446">
        <f t="shared" si="117"/>
        <v>0</v>
      </c>
      <c r="M1446" t="str" cm="1">
        <f t="array" ref="M1446">IFERROR(INDEX($I$2:$K$2,0,MATCH(TRUE,I1446:K1446,0)),E1446)</f>
        <v>CCGT</v>
      </c>
      <c r="O1446" t="str">
        <f t="shared" si="115"/>
        <v>CCGT_2030</v>
      </c>
      <c r="P1446">
        <f t="shared" si="116"/>
        <v>64</v>
      </c>
    </row>
    <row r="1447" spans="4:16" x14ac:dyDescent="0.25">
      <c r="D1447">
        <v>2031</v>
      </c>
      <c r="E1447" t="s">
        <v>123</v>
      </c>
      <c r="F1447" t="s">
        <v>220</v>
      </c>
      <c r="G1447">
        <v>64</v>
      </c>
      <c r="I1447">
        <f t="shared" si="117"/>
        <v>0</v>
      </c>
      <c r="J1447">
        <f t="shared" si="117"/>
        <v>0</v>
      </c>
      <c r="K1447">
        <f t="shared" si="117"/>
        <v>0</v>
      </c>
      <c r="M1447" t="str" cm="1">
        <f t="array" ref="M1447">IFERROR(INDEX($I$2:$K$2,0,MATCH(TRUE,I1447:K1447,0)),E1447)</f>
        <v>CCGT</v>
      </c>
      <c r="O1447" t="str">
        <f t="shared" si="115"/>
        <v>CCGT_2031</v>
      </c>
      <c r="P1447">
        <f t="shared" si="116"/>
        <v>64</v>
      </c>
    </row>
    <row r="1448" spans="4:16" x14ac:dyDescent="0.25">
      <c r="D1448">
        <v>2032</v>
      </c>
      <c r="E1448" t="s">
        <v>123</v>
      </c>
      <c r="F1448" t="s">
        <v>220</v>
      </c>
      <c r="G1448">
        <v>64</v>
      </c>
      <c r="I1448">
        <f t="shared" si="117"/>
        <v>0</v>
      </c>
      <c r="J1448">
        <f t="shared" si="117"/>
        <v>0</v>
      </c>
      <c r="K1448">
        <f t="shared" si="117"/>
        <v>0</v>
      </c>
      <c r="M1448" t="str" cm="1">
        <f t="array" ref="M1448">IFERROR(INDEX($I$2:$K$2,0,MATCH(TRUE,I1448:K1448,0)),E1448)</f>
        <v>CCGT</v>
      </c>
      <c r="O1448" t="str">
        <f t="shared" si="115"/>
        <v>CCGT_2032</v>
      </c>
      <c r="P1448">
        <f t="shared" si="116"/>
        <v>64</v>
      </c>
    </row>
    <row r="1449" spans="4:16" x14ac:dyDescent="0.25">
      <c r="D1449">
        <v>2033</v>
      </c>
      <c r="E1449" t="s">
        <v>123</v>
      </c>
      <c r="F1449" t="s">
        <v>220</v>
      </c>
      <c r="G1449">
        <v>64</v>
      </c>
      <c r="I1449">
        <f t="shared" si="117"/>
        <v>0</v>
      </c>
      <c r="J1449">
        <f t="shared" si="117"/>
        <v>0</v>
      </c>
      <c r="K1449">
        <f t="shared" si="117"/>
        <v>0</v>
      </c>
      <c r="M1449" t="str" cm="1">
        <f t="array" ref="M1449">IFERROR(INDEX($I$2:$K$2,0,MATCH(TRUE,I1449:K1449,0)),E1449)</f>
        <v>CCGT</v>
      </c>
      <c r="O1449" t="str">
        <f t="shared" si="115"/>
        <v>CCGT_2033</v>
      </c>
      <c r="P1449">
        <f t="shared" si="116"/>
        <v>64</v>
      </c>
    </row>
    <row r="1450" spans="4:16" x14ac:dyDescent="0.25">
      <c r="D1450">
        <v>2034</v>
      </c>
      <c r="E1450" t="s">
        <v>123</v>
      </c>
      <c r="F1450" t="s">
        <v>220</v>
      </c>
      <c r="G1450">
        <v>64</v>
      </c>
      <c r="I1450">
        <f t="shared" si="117"/>
        <v>0</v>
      </c>
      <c r="J1450">
        <f t="shared" si="117"/>
        <v>0</v>
      </c>
      <c r="K1450">
        <f t="shared" si="117"/>
        <v>0</v>
      </c>
      <c r="M1450" t="str" cm="1">
        <f t="array" ref="M1450">IFERROR(INDEX($I$2:$K$2,0,MATCH(TRUE,I1450:K1450,0)),E1450)</f>
        <v>CCGT</v>
      </c>
      <c r="O1450" t="str">
        <f t="shared" si="115"/>
        <v>CCGT_2034</v>
      </c>
      <c r="P1450">
        <f t="shared" si="116"/>
        <v>64</v>
      </c>
    </row>
    <row r="1451" spans="4:16" x14ac:dyDescent="0.25">
      <c r="D1451">
        <v>2035</v>
      </c>
      <c r="E1451" t="s">
        <v>123</v>
      </c>
      <c r="F1451" t="s">
        <v>220</v>
      </c>
      <c r="G1451">
        <v>64</v>
      </c>
      <c r="I1451">
        <f t="shared" si="117"/>
        <v>0</v>
      </c>
      <c r="J1451">
        <f t="shared" si="117"/>
        <v>0</v>
      </c>
      <c r="K1451">
        <f t="shared" si="117"/>
        <v>0</v>
      </c>
      <c r="M1451" t="str" cm="1">
        <f t="array" ref="M1451">IFERROR(INDEX($I$2:$K$2,0,MATCH(TRUE,I1451:K1451,0)),E1451)</f>
        <v>CCGT</v>
      </c>
      <c r="O1451" t="str">
        <f t="shared" si="115"/>
        <v>CCGT_2035</v>
      </c>
      <c r="P1451">
        <f t="shared" si="116"/>
        <v>64</v>
      </c>
    </row>
    <row r="1452" spans="4:16" x14ac:dyDescent="0.25">
      <c r="D1452">
        <v>2036</v>
      </c>
      <c r="E1452" t="s">
        <v>123</v>
      </c>
      <c r="F1452" t="s">
        <v>220</v>
      </c>
      <c r="G1452">
        <v>64</v>
      </c>
      <c r="I1452">
        <f t="shared" si="117"/>
        <v>0</v>
      </c>
      <c r="J1452">
        <f t="shared" si="117"/>
        <v>0</v>
      </c>
      <c r="K1452">
        <f t="shared" si="117"/>
        <v>0</v>
      </c>
      <c r="M1452" t="str" cm="1">
        <f t="array" ref="M1452">IFERROR(INDEX($I$2:$K$2,0,MATCH(TRUE,I1452:K1452,0)),E1452)</f>
        <v>CCGT</v>
      </c>
      <c r="O1452" t="str">
        <f t="shared" si="115"/>
        <v>CCGT_2036</v>
      </c>
      <c r="P1452">
        <f t="shared" si="116"/>
        <v>64</v>
      </c>
    </row>
    <row r="1453" spans="4:16" x14ac:dyDescent="0.25">
      <c r="D1453">
        <v>2037</v>
      </c>
      <c r="E1453" t="s">
        <v>123</v>
      </c>
      <c r="F1453" t="s">
        <v>220</v>
      </c>
      <c r="G1453">
        <v>64</v>
      </c>
      <c r="I1453">
        <f t="shared" si="117"/>
        <v>0</v>
      </c>
      <c r="J1453">
        <f t="shared" si="117"/>
        <v>0</v>
      </c>
      <c r="K1453">
        <f t="shared" si="117"/>
        <v>0</v>
      </c>
      <c r="M1453" t="str" cm="1">
        <f t="array" ref="M1453">IFERROR(INDEX($I$2:$K$2,0,MATCH(TRUE,I1453:K1453,0)),E1453)</f>
        <v>CCGT</v>
      </c>
      <c r="O1453" t="str">
        <f t="shared" si="115"/>
        <v>CCGT_2037</v>
      </c>
      <c r="P1453">
        <f t="shared" si="116"/>
        <v>64</v>
      </c>
    </row>
    <row r="1454" spans="4:16" x14ac:dyDescent="0.25">
      <c r="D1454">
        <v>2038</v>
      </c>
      <c r="E1454" t="s">
        <v>123</v>
      </c>
      <c r="F1454" t="s">
        <v>220</v>
      </c>
      <c r="G1454">
        <v>64</v>
      </c>
      <c r="I1454">
        <f t="shared" si="117"/>
        <v>0</v>
      </c>
      <c r="J1454">
        <f t="shared" si="117"/>
        <v>0</v>
      </c>
      <c r="K1454">
        <f t="shared" si="117"/>
        <v>0</v>
      </c>
      <c r="M1454" t="str" cm="1">
        <f t="array" ref="M1454">IFERROR(INDEX($I$2:$K$2,0,MATCH(TRUE,I1454:K1454,0)),E1454)</f>
        <v>CCGT</v>
      </c>
      <c r="O1454" t="str">
        <f t="shared" si="115"/>
        <v>CCGT_2038</v>
      </c>
      <c r="P1454">
        <f t="shared" si="116"/>
        <v>64</v>
      </c>
    </row>
    <row r="1455" spans="4:16" x14ac:dyDescent="0.25">
      <c r="D1455">
        <v>2039</v>
      </c>
      <c r="E1455" t="s">
        <v>123</v>
      </c>
      <c r="F1455" t="s">
        <v>220</v>
      </c>
      <c r="G1455">
        <v>64</v>
      </c>
      <c r="I1455">
        <f t="shared" si="117"/>
        <v>0</v>
      </c>
      <c r="J1455">
        <f t="shared" si="117"/>
        <v>0</v>
      </c>
      <c r="K1455">
        <f t="shared" si="117"/>
        <v>0</v>
      </c>
      <c r="M1455" t="str" cm="1">
        <f t="array" ref="M1455">IFERROR(INDEX($I$2:$K$2,0,MATCH(TRUE,I1455:K1455,0)),E1455)</f>
        <v>CCGT</v>
      </c>
      <c r="O1455" t="str">
        <f t="shared" si="115"/>
        <v>CCGT_2039</v>
      </c>
      <c r="P1455">
        <f t="shared" si="116"/>
        <v>64</v>
      </c>
    </row>
    <row r="1456" spans="4:16" x14ac:dyDescent="0.25">
      <c r="D1456">
        <v>2040</v>
      </c>
      <c r="E1456" t="s">
        <v>123</v>
      </c>
      <c r="F1456" t="s">
        <v>220</v>
      </c>
      <c r="G1456">
        <v>64</v>
      </c>
      <c r="I1456">
        <f t="shared" si="117"/>
        <v>0</v>
      </c>
      <c r="J1456">
        <f t="shared" si="117"/>
        <v>0</v>
      </c>
      <c r="K1456">
        <f t="shared" si="117"/>
        <v>0</v>
      </c>
      <c r="M1456" t="str" cm="1">
        <f t="array" ref="M1456">IFERROR(INDEX($I$2:$K$2,0,MATCH(TRUE,I1456:K1456,0)),E1456)</f>
        <v>CCGT</v>
      </c>
      <c r="O1456" t="str">
        <f t="shared" si="115"/>
        <v>CCGT_2040</v>
      </c>
      <c r="P1456">
        <f t="shared" si="116"/>
        <v>64</v>
      </c>
    </row>
    <row r="1457" spans="4:16" x14ac:dyDescent="0.25">
      <c r="D1457">
        <v>2021</v>
      </c>
      <c r="E1457" t="s">
        <v>123</v>
      </c>
      <c r="F1457" t="s">
        <v>221</v>
      </c>
      <c r="G1457">
        <v>97.9</v>
      </c>
      <c r="I1457">
        <f t="shared" si="117"/>
        <v>0</v>
      </c>
      <c r="J1457">
        <f t="shared" si="117"/>
        <v>0</v>
      </c>
      <c r="K1457">
        <f t="shared" si="117"/>
        <v>0</v>
      </c>
      <c r="M1457" t="str" cm="1">
        <f t="array" ref="M1457">IFERROR(INDEX($I$2:$K$2,0,MATCH(TRUE,I1457:K1457,0)),E1457)</f>
        <v>CCGT</v>
      </c>
      <c r="O1457" t="str">
        <f t="shared" si="115"/>
        <v>CCGT_2021</v>
      </c>
      <c r="P1457">
        <f t="shared" si="116"/>
        <v>97.9</v>
      </c>
    </row>
    <row r="1458" spans="4:16" x14ac:dyDescent="0.25">
      <c r="D1458">
        <v>2022</v>
      </c>
      <c r="E1458" t="s">
        <v>123</v>
      </c>
      <c r="F1458" t="s">
        <v>221</v>
      </c>
      <c r="G1458">
        <v>97.9</v>
      </c>
      <c r="I1458">
        <f t="shared" si="117"/>
        <v>0</v>
      </c>
      <c r="J1458">
        <f t="shared" si="117"/>
        <v>0</v>
      </c>
      <c r="K1458">
        <f t="shared" si="117"/>
        <v>0</v>
      </c>
      <c r="M1458" t="str" cm="1">
        <f t="array" ref="M1458">IFERROR(INDEX($I$2:$K$2,0,MATCH(TRUE,I1458:K1458,0)),E1458)</f>
        <v>CCGT</v>
      </c>
      <c r="O1458" t="str">
        <f t="shared" si="115"/>
        <v>CCGT_2022</v>
      </c>
      <c r="P1458">
        <f t="shared" si="116"/>
        <v>97.9</v>
      </c>
    </row>
    <row r="1459" spans="4:16" x14ac:dyDescent="0.25">
      <c r="D1459">
        <v>2023</v>
      </c>
      <c r="E1459" t="s">
        <v>123</v>
      </c>
      <c r="F1459" t="s">
        <v>221</v>
      </c>
      <c r="G1459">
        <v>97.9</v>
      </c>
      <c r="I1459">
        <f t="shared" si="117"/>
        <v>0</v>
      </c>
      <c r="J1459">
        <f t="shared" si="117"/>
        <v>0</v>
      </c>
      <c r="K1459">
        <f t="shared" si="117"/>
        <v>0</v>
      </c>
      <c r="M1459" t="str" cm="1">
        <f t="array" ref="M1459">IFERROR(INDEX($I$2:$K$2,0,MATCH(TRUE,I1459:K1459,0)),E1459)</f>
        <v>CCGT</v>
      </c>
      <c r="O1459" t="str">
        <f t="shared" si="115"/>
        <v>CCGT_2023</v>
      </c>
      <c r="P1459">
        <f t="shared" si="116"/>
        <v>97.9</v>
      </c>
    </row>
    <row r="1460" spans="4:16" x14ac:dyDescent="0.25">
      <c r="D1460">
        <v>2024</v>
      </c>
      <c r="E1460" t="s">
        <v>123</v>
      </c>
      <c r="F1460" t="s">
        <v>221</v>
      </c>
      <c r="G1460">
        <v>97.9</v>
      </c>
      <c r="I1460">
        <f t="shared" si="117"/>
        <v>0</v>
      </c>
      <c r="J1460">
        <f t="shared" si="117"/>
        <v>0</v>
      </c>
      <c r="K1460">
        <f t="shared" si="117"/>
        <v>0</v>
      </c>
      <c r="M1460" t="str" cm="1">
        <f t="array" ref="M1460">IFERROR(INDEX($I$2:$K$2,0,MATCH(TRUE,I1460:K1460,0)),E1460)</f>
        <v>CCGT</v>
      </c>
      <c r="O1460" t="str">
        <f t="shared" si="115"/>
        <v>CCGT_2024</v>
      </c>
      <c r="P1460">
        <f t="shared" si="116"/>
        <v>97.9</v>
      </c>
    </row>
    <row r="1461" spans="4:16" x14ac:dyDescent="0.25">
      <c r="D1461">
        <v>2025</v>
      </c>
      <c r="E1461" t="s">
        <v>123</v>
      </c>
      <c r="F1461" t="s">
        <v>221</v>
      </c>
      <c r="G1461">
        <v>97.9</v>
      </c>
      <c r="I1461">
        <f t="shared" si="117"/>
        <v>0</v>
      </c>
      <c r="J1461">
        <f t="shared" si="117"/>
        <v>0</v>
      </c>
      <c r="K1461">
        <f t="shared" si="117"/>
        <v>0</v>
      </c>
      <c r="M1461" t="str" cm="1">
        <f t="array" ref="M1461">IFERROR(INDEX($I$2:$K$2,0,MATCH(TRUE,I1461:K1461,0)),E1461)</f>
        <v>CCGT</v>
      </c>
      <c r="O1461" t="str">
        <f t="shared" si="115"/>
        <v>CCGT_2025</v>
      </c>
      <c r="P1461">
        <f t="shared" si="116"/>
        <v>97.9</v>
      </c>
    </row>
    <row r="1462" spans="4:16" x14ac:dyDescent="0.25">
      <c r="D1462">
        <v>2026</v>
      </c>
      <c r="E1462" t="s">
        <v>123</v>
      </c>
      <c r="F1462" t="s">
        <v>221</v>
      </c>
      <c r="G1462">
        <v>97.9</v>
      </c>
      <c r="I1462">
        <f t="shared" si="117"/>
        <v>0</v>
      </c>
      <c r="J1462">
        <f t="shared" si="117"/>
        <v>0</v>
      </c>
      <c r="K1462">
        <f t="shared" si="117"/>
        <v>0</v>
      </c>
      <c r="M1462" t="str" cm="1">
        <f t="array" ref="M1462">IFERROR(INDEX($I$2:$K$2,0,MATCH(TRUE,I1462:K1462,0)),E1462)</f>
        <v>CCGT</v>
      </c>
      <c r="O1462" t="str">
        <f t="shared" si="115"/>
        <v>CCGT_2026</v>
      </c>
      <c r="P1462">
        <f t="shared" si="116"/>
        <v>97.9</v>
      </c>
    </row>
    <row r="1463" spans="4:16" x14ac:dyDescent="0.25">
      <c r="D1463">
        <v>2027</v>
      </c>
      <c r="E1463" t="s">
        <v>123</v>
      </c>
      <c r="F1463" t="s">
        <v>221</v>
      </c>
      <c r="G1463">
        <v>97.9</v>
      </c>
      <c r="I1463">
        <f t="shared" si="117"/>
        <v>0</v>
      </c>
      <c r="J1463">
        <f t="shared" si="117"/>
        <v>0</v>
      </c>
      <c r="K1463">
        <f t="shared" si="117"/>
        <v>0</v>
      </c>
      <c r="M1463" t="str" cm="1">
        <f t="array" ref="M1463">IFERROR(INDEX($I$2:$K$2,0,MATCH(TRUE,I1463:K1463,0)),E1463)</f>
        <v>CCGT</v>
      </c>
      <c r="O1463" t="str">
        <f t="shared" si="115"/>
        <v>CCGT_2027</v>
      </c>
      <c r="P1463">
        <f t="shared" si="116"/>
        <v>97.9</v>
      </c>
    </row>
    <row r="1464" spans="4:16" x14ac:dyDescent="0.25">
      <c r="D1464">
        <v>2028</v>
      </c>
      <c r="E1464" t="s">
        <v>123</v>
      </c>
      <c r="F1464" t="s">
        <v>221</v>
      </c>
      <c r="G1464">
        <v>97.9</v>
      </c>
      <c r="I1464">
        <f t="shared" si="117"/>
        <v>0</v>
      </c>
      <c r="J1464">
        <f t="shared" si="117"/>
        <v>0</v>
      </c>
      <c r="K1464">
        <f t="shared" si="117"/>
        <v>0</v>
      </c>
      <c r="M1464" t="str" cm="1">
        <f t="array" ref="M1464">IFERROR(INDEX($I$2:$K$2,0,MATCH(TRUE,I1464:K1464,0)),E1464)</f>
        <v>CCGT</v>
      </c>
      <c r="O1464" t="str">
        <f t="shared" si="115"/>
        <v>CCGT_2028</v>
      </c>
      <c r="P1464">
        <f t="shared" si="116"/>
        <v>97.9</v>
      </c>
    </row>
    <row r="1465" spans="4:16" x14ac:dyDescent="0.25">
      <c r="D1465">
        <v>2029</v>
      </c>
      <c r="E1465" t="s">
        <v>123</v>
      </c>
      <c r="F1465" t="s">
        <v>221</v>
      </c>
      <c r="G1465">
        <v>97.9</v>
      </c>
      <c r="I1465">
        <f t="shared" si="117"/>
        <v>0</v>
      </c>
      <c r="J1465">
        <f t="shared" si="117"/>
        <v>0</v>
      </c>
      <c r="K1465">
        <f t="shared" si="117"/>
        <v>0</v>
      </c>
      <c r="M1465" t="str" cm="1">
        <f t="array" ref="M1465">IFERROR(INDEX($I$2:$K$2,0,MATCH(TRUE,I1465:K1465,0)),E1465)</f>
        <v>CCGT</v>
      </c>
      <c r="O1465" t="str">
        <f t="shared" si="115"/>
        <v>CCGT_2029</v>
      </c>
      <c r="P1465">
        <f t="shared" si="116"/>
        <v>97.9</v>
      </c>
    </row>
    <row r="1466" spans="4:16" x14ac:dyDescent="0.25">
      <c r="D1466">
        <v>2030</v>
      </c>
      <c r="E1466" t="s">
        <v>123</v>
      </c>
      <c r="F1466" t="s">
        <v>221</v>
      </c>
      <c r="G1466">
        <v>97.9</v>
      </c>
      <c r="I1466">
        <f t="shared" si="117"/>
        <v>0</v>
      </c>
      <c r="J1466">
        <f t="shared" si="117"/>
        <v>0</v>
      </c>
      <c r="K1466">
        <f t="shared" si="117"/>
        <v>0</v>
      </c>
      <c r="M1466" t="str" cm="1">
        <f t="array" ref="M1466">IFERROR(INDEX($I$2:$K$2,0,MATCH(TRUE,I1466:K1466,0)),E1466)</f>
        <v>CCGT</v>
      </c>
      <c r="O1466" t="str">
        <f t="shared" si="115"/>
        <v>CCGT_2030</v>
      </c>
      <c r="P1466">
        <f t="shared" si="116"/>
        <v>97.9</v>
      </c>
    </row>
    <row r="1467" spans="4:16" x14ac:dyDescent="0.25">
      <c r="D1467">
        <v>2031</v>
      </c>
      <c r="E1467" t="s">
        <v>123</v>
      </c>
      <c r="F1467" t="s">
        <v>221</v>
      </c>
      <c r="G1467">
        <v>97.9</v>
      </c>
      <c r="I1467">
        <f t="shared" si="117"/>
        <v>0</v>
      </c>
      <c r="J1467">
        <f t="shared" si="117"/>
        <v>0</v>
      </c>
      <c r="K1467">
        <f t="shared" si="117"/>
        <v>0</v>
      </c>
      <c r="M1467" t="str" cm="1">
        <f t="array" ref="M1467">IFERROR(INDEX($I$2:$K$2,0,MATCH(TRUE,I1467:K1467,0)),E1467)</f>
        <v>CCGT</v>
      </c>
      <c r="O1467" t="str">
        <f t="shared" si="115"/>
        <v>CCGT_2031</v>
      </c>
      <c r="P1467">
        <f t="shared" si="116"/>
        <v>97.9</v>
      </c>
    </row>
    <row r="1468" spans="4:16" x14ac:dyDescent="0.25">
      <c r="D1468">
        <v>2032</v>
      </c>
      <c r="E1468" t="s">
        <v>123</v>
      </c>
      <c r="F1468" t="s">
        <v>221</v>
      </c>
      <c r="G1468">
        <v>97.9</v>
      </c>
      <c r="I1468">
        <f t="shared" si="117"/>
        <v>0</v>
      </c>
      <c r="J1468">
        <f t="shared" si="117"/>
        <v>0</v>
      </c>
      <c r="K1468">
        <f t="shared" si="117"/>
        <v>0</v>
      </c>
      <c r="M1468" t="str" cm="1">
        <f t="array" ref="M1468">IFERROR(INDEX($I$2:$K$2,0,MATCH(TRUE,I1468:K1468,0)),E1468)</f>
        <v>CCGT</v>
      </c>
      <c r="O1468" t="str">
        <f t="shared" si="115"/>
        <v>CCGT_2032</v>
      </c>
      <c r="P1468">
        <f t="shared" si="116"/>
        <v>97.9</v>
      </c>
    </row>
    <row r="1469" spans="4:16" x14ac:dyDescent="0.25">
      <c r="D1469">
        <v>2033</v>
      </c>
      <c r="E1469" t="s">
        <v>123</v>
      </c>
      <c r="F1469" t="s">
        <v>221</v>
      </c>
      <c r="G1469">
        <v>97.9</v>
      </c>
      <c r="I1469">
        <f t="shared" si="117"/>
        <v>0</v>
      </c>
      <c r="J1469">
        <f t="shared" si="117"/>
        <v>0</v>
      </c>
      <c r="K1469">
        <f t="shared" si="117"/>
        <v>0</v>
      </c>
      <c r="M1469" t="str" cm="1">
        <f t="array" ref="M1469">IFERROR(INDEX($I$2:$K$2,0,MATCH(TRUE,I1469:K1469,0)),E1469)</f>
        <v>CCGT</v>
      </c>
      <c r="O1469" t="str">
        <f t="shared" si="115"/>
        <v>CCGT_2033</v>
      </c>
      <c r="P1469">
        <f t="shared" si="116"/>
        <v>97.9</v>
      </c>
    </row>
    <row r="1470" spans="4:16" x14ac:dyDescent="0.25">
      <c r="D1470">
        <v>2034</v>
      </c>
      <c r="E1470" t="s">
        <v>123</v>
      </c>
      <c r="F1470" t="s">
        <v>221</v>
      </c>
      <c r="G1470">
        <v>97.9</v>
      </c>
      <c r="I1470">
        <f t="shared" si="117"/>
        <v>0</v>
      </c>
      <c r="J1470">
        <f t="shared" si="117"/>
        <v>0</v>
      </c>
      <c r="K1470">
        <f t="shared" si="117"/>
        <v>0</v>
      </c>
      <c r="M1470" t="str" cm="1">
        <f t="array" ref="M1470">IFERROR(INDEX($I$2:$K$2,0,MATCH(TRUE,I1470:K1470,0)),E1470)</f>
        <v>CCGT</v>
      </c>
      <c r="O1470" t="str">
        <f t="shared" si="115"/>
        <v>CCGT_2034</v>
      </c>
      <c r="P1470">
        <f t="shared" si="116"/>
        <v>97.9</v>
      </c>
    </row>
    <row r="1471" spans="4:16" x14ac:dyDescent="0.25">
      <c r="D1471">
        <v>2035</v>
      </c>
      <c r="E1471" t="s">
        <v>123</v>
      </c>
      <c r="F1471" t="s">
        <v>221</v>
      </c>
      <c r="G1471">
        <v>97.9</v>
      </c>
      <c r="I1471">
        <f t="shared" si="117"/>
        <v>0</v>
      </c>
      <c r="J1471">
        <f t="shared" si="117"/>
        <v>0</v>
      </c>
      <c r="K1471">
        <f t="shared" si="117"/>
        <v>0</v>
      </c>
      <c r="M1471" t="str" cm="1">
        <f t="array" ref="M1471">IFERROR(INDEX($I$2:$K$2,0,MATCH(TRUE,I1471:K1471,0)),E1471)</f>
        <v>CCGT</v>
      </c>
      <c r="O1471" t="str">
        <f t="shared" si="115"/>
        <v>CCGT_2035</v>
      </c>
      <c r="P1471">
        <f t="shared" si="116"/>
        <v>97.9</v>
      </c>
    </row>
    <row r="1472" spans="4:16" x14ac:dyDescent="0.25">
      <c r="D1472">
        <v>2036</v>
      </c>
      <c r="E1472" t="s">
        <v>123</v>
      </c>
      <c r="F1472" t="s">
        <v>221</v>
      </c>
      <c r="G1472">
        <v>97.9</v>
      </c>
      <c r="I1472">
        <f t="shared" si="117"/>
        <v>0</v>
      </c>
      <c r="J1472">
        <f t="shared" si="117"/>
        <v>0</v>
      </c>
      <c r="K1472">
        <f t="shared" si="117"/>
        <v>0</v>
      </c>
      <c r="M1472" t="str" cm="1">
        <f t="array" ref="M1472">IFERROR(INDEX($I$2:$K$2,0,MATCH(TRUE,I1472:K1472,0)),E1472)</f>
        <v>CCGT</v>
      </c>
      <c r="O1472" t="str">
        <f t="shared" si="115"/>
        <v>CCGT_2036</v>
      </c>
      <c r="P1472">
        <f t="shared" si="116"/>
        <v>97.9</v>
      </c>
    </row>
    <row r="1473" spans="4:16" x14ac:dyDescent="0.25">
      <c r="D1473">
        <v>2037</v>
      </c>
      <c r="E1473" t="s">
        <v>123</v>
      </c>
      <c r="F1473" t="s">
        <v>221</v>
      </c>
      <c r="G1473">
        <v>97.9</v>
      </c>
      <c r="I1473">
        <f t="shared" si="117"/>
        <v>0</v>
      </c>
      <c r="J1473">
        <f t="shared" si="117"/>
        <v>0</v>
      </c>
      <c r="K1473">
        <f t="shared" si="117"/>
        <v>0</v>
      </c>
      <c r="M1473" t="str" cm="1">
        <f t="array" ref="M1473">IFERROR(INDEX($I$2:$K$2,0,MATCH(TRUE,I1473:K1473,0)),E1473)</f>
        <v>CCGT</v>
      </c>
      <c r="O1473" t="str">
        <f t="shared" si="115"/>
        <v>CCGT_2037</v>
      </c>
      <c r="P1473">
        <f t="shared" si="116"/>
        <v>97.9</v>
      </c>
    </row>
    <row r="1474" spans="4:16" x14ac:dyDescent="0.25">
      <c r="D1474">
        <v>2038</v>
      </c>
      <c r="E1474" t="s">
        <v>123</v>
      </c>
      <c r="F1474" t="s">
        <v>221</v>
      </c>
      <c r="G1474">
        <v>97.9</v>
      </c>
      <c r="I1474">
        <f t="shared" si="117"/>
        <v>0</v>
      </c>
      <c r="J1474">
        <f t="shared" si="117"/>
        <v>0</v>
      </c>
      <c r="K1474">
        <f t="shared" si="117"/>
        <v>0</v>
      </c>
      <c r="M1474" t="str" cm="1">
        <f t="array" ref="M1474">IFERROR(INDEX($I$2:$K$2,0,MATCH(TRUE,I1474:K1474,0)),E1474)</f>
        <v>CCGT</v>
      </c>
      <c r="O1474" t="str">
        <f t="shared" si="115"/>
        <v>CCGT_2038</v>
      </c>
      <c r="P1474">
        <f t="shared" si="116"/>
        <v>97.9</v>
      </c>
    </row>
    <row r="1475" spans="4:16" x14ac:dyDescent="0.25">
      <c r="D1475">
        <v>2039</v>
      </c>
      <c r="E1475" t="s">
        <v>123</v>
      </c>
      <c r="F1475" t="s">
        <v>221</v>
      </c>
      <c r="G1475">
        <v>97.9</v>
      </c>
      <c r="I1475">
        <f t="shared" si="117"/>
        <v>0</v>
      </c>
      <c r="J1475">
        <f t="shared" si="117"/>
        <v>0</v>
      </c>
      <c r="K1475">
        <f t="shared" si="117"/>
        <v>0</v>
      </c>
      <c r="M1475" t="str" cm="1">
        <f t="array" ref="M1475">IFERROR(INDEX($I$2:$K$2,0,MATCH(TRUE,I1475:K1475,0)),E1475)</f>
        <v>CCGT</v>
      </c>
      <c r="O1475" t="str">
        <f t="shared" si="115"/>
        <v>CCGT_2039</v>
      </c>
      <c r="P1475">
        <f t="shared" si="116"/>
        <v>97.9</v>
      </c>
    </row>
    <row r="1476" spans="4:16" x14ac:dyDescent="0.25">
      <c r="D1476">
        <v>2040</v>
      </c>
      <c r="E1476" t="s">
        <v>123</v>
      </c>
      <c r="F1476" t="s">
        <v>221</v>
      </c>
      <c r="G1476">
        <v>97.9</v>
      </c>
      <c r="I1476">
        <f t="shared" si="117"/>
        <v>0</v>
      </c>
      <c r="J1476">
        <f t="shared" si="117"/>
        <v>0</v>
      </c>
      <c r="K1476">
        <f t="shared" si="117"/>
        <v>0</v>
      </c>
      <c r="M1476" t="str" cm="1">
        <f t="array" ref="M1476">IFERROR(INDEX($I$2:$K$2,0,MATCH(TRUE,I1476:K1476,0)),E1476)</f>
        <v>CCGT</v>
      </c>
      <c r="O1476" t="str">
        <f t="shared" si="115"/>
        <v>CCGT_2040</v>
      </c>
      <c r="P1476">
        <f t="shared" si="116"/>
        <v>97.9</v>
      </c>
    </row>
    <row r="1477" spans="4:16" x14ac:dyDescent="0.25">
      <c r="D1477">
        <v>2021</v>
      </c>
      <c r="E1477" t="s">
        <v>123</v>
      </c>
      <c r="F1477" t="s">
        <v>222</v>
      </c>
      <c r="G1477">
        <v>112.1</v>
      </c>
      <c r="I1477">
        <f t="shared" si="117"/>
        <v>0</v>
      </c>
      <c r="J1477">
        <f t="shared" si="117"/>
        <v>0</v>
      </c>
      <c r="K1477">
        <f t="shared" si="117"/>
        <v>0</v>
      </c>
      <c r="M1477" t="str" cm="1">
        <f t="array" ref="M1477">IFERROR(INDEX($I$2:$K$2,0,MATCH(TRUE,I1477:K1477,0)),E1477)</f>
        <v>CCGT</v>
      </c>
      <c r="O1477" t="str">
        <f t="shared" si="115"/>
        <v>CCGT_2021</v>
      </c>
      <c r="P1477">
        <f t="shared" si="116"/>
        <v>112.1</v>
      </c>
    </row>
    <row r="1478" spans="4:16" x14ac:dyDescent="0.25">
      <c r="D1478">
        <v>2022</v>
      </c>
      <c r="E1478" t="s">
        <v>123</v>
      </c>
      <c r="F1478" t="s">
        <v>222</v>
      </c>
      <c r="G1478">
        <v>112.1</v>
      </c>
      <c r="I1478">
        <f t="shared" si="117"/>
        <v>0</v>
      </c>
      <c r="J1478">
        <f t="shared" si="117"/>
        <v>0</v>
      </c>
      <c r="K1478">
        <f t="shared" si="117"/>
        <v>0</v>
      </c>
      <c r="M1478" t="str" cm="1">
        <f t="array" ref="M1478">IFERROR(INDEX($I$2:$K$2,0,MATCH(TRUE,I1478:K1478,0)),E1478)</f>
        <v>CCGT</v>
      </c>
      <c r="O1478" t="str">
        <f t="shared" si="115"/>
        <v>CCGT_2022</v>
      </c>
      <c r="P1478">
        <f t="shared" si="116"/>
        <v>112.1</v>
      </c>
    </row>
    <row r="1479" spans="4:16" x14ac:dyDescent="0.25">
      <c r="D1479">
        <v>2023</v>
      </c>
      <c r="E1479" t="s">
        <v>123</v>
      </c>
      <c r="F1479" t="s">
        <v>222</v>
      </c>
      <c r="G1479">
        <v>112.1</v>
      </c>
      <c r="I1479">
        <f t="shared" si="117"/>
        <v>0</v>
      </c>
      <c r="J1479">
        <f t="shared" si="117"/>
        <v>0</v>
      </c>
      <c r="K1479">
        <f t="shared" si="117"/>
        <v>0</v>
      </c>
      <c r="M1479" t="str" cm="1">
        <f t="array" ref="M1479">IFERROR(INDEX($I$2:$K$2,0,MATCH(TRUE,I1479:K1479,0)),E1479)</f>
        <v>CCGT</v>
      </c>
      <c r="O1479" t="str">
        <f t="shared" si="115"/>
        <v>CCGT_2023</v>
      </c>
      <c r="P1479">
        <f t="shared" si="116"/>
        <v>112.1</v>
      </c>
    </row>
    <row r="1480" spans="4:16" x14ac:dyDescent="0.25">
      <c r="D1480">
        <v>2024</v>
      </c>
      <c r="E1480" t="s">
        <v>123</v>
      </c>
      <c r="F1480" t="s">
        <v>222</v>
      </c>
      <c r="G1480">
        <v>112.1</v>
      </c>
      <c r="I1480">
        <f t="shared" si="117"/>
        <v>0</v>
      </c>
      <c r="J1480">
        <f t="shared" si="117"/>
        <v>0</v>
      </c>
      <c r="K1480">
        <f t="shared" si="117"/>
        <v>0</v>
      </c>
      <c r="M1480" t="str" cm="1">
        <f t="array" ref="M1480">IFERROR(INDEX($I$2:$K$2,0,MATCH(TRUE,I1480:K1480,0)),E1480)</f>
        <v>CCGT</v>
      </c>
      <c r="O1480" t="str">
        <f t="shared" si="115"/>
        <v>CCGT_2024</v>
      </c>
      <c r="P1480">
        <f t="shared" si="116"/>
        <v>112.1</v>
      </c>
    </row>
    <row r="1481" spans="4:16" x14ac:dyDescent="0.25">
      <c r="D1481">
        <v>2025</v>
      </c>
      <c r="E1481" t="s">
        <v>123</v>
      </c>
      <c r="F1481" t="s">
        <v>222</v>
      </c>
      <c r="G1481">
        <v>112.1</v>
      </c>
      <c r="I1481">
        <f t="shared" si="117"/>
        <v>0</v>
      </c>
      <c r="J1481">
        <f t="shared" si="117"/>
        <v>0</v>
      </c>
      <c r="K1481">
        <f t="shared" si="117"/>
        <v>0</v>
      </c>
      <c r="M1481" t="str" cm="1">
        <f t="array" ref="M1481">IFERROR(INDEX($I$2:$K$2,0,MATCH(TRUE,I1481:K1481,0)),E1481)</f>
        <v>CCGT</v>
      </c>
      <c r="O1481" t="str">
        <f t="shared" si="115"/>
        <v>CCGT_2025</v>
      </c>
      <c r="P1481">
        <f t="shared" si="116"/>
        <v>112.1</v>
      </c>
    </row>
    <row r="1482" spans="4:16" x14ac:dyDescent="0.25">
      <c r="D1482">
        <v>2026</v>
      </c>
      <c r="E1482" t="s">
        <v>123</v>
      </c>
      <c r="F1482" t="s">
        <v>222</v>
      </c>
      <c r="G1482">
        <v>112.1</v>
      </c>
      <c r="I1482">
        <f t="shared" si="117"/>
        <v>0</v>
      </c>
      <c r="J1482">
        <f t="shared" si="117"/>
        <v>0</v>
      </c>
      <c r="K1482">
        <f t="shared" si="117"/>
        <v>0</v>
      </c>
      <c r="M1482" t="str" cm="1">
        <f t="array" ref="M1482">IFERROR(INDEX($I$2:$K$2,0,MATCH(TRUE,I1482:K1482,0)),E1482)</f>
        <v>CCGT</v>
      </c>
      <c r="O1482" t="str">
        <f t="shared" si="115"/>
        <v>CCGT_2026</v>
      </c>
      <c r="P1482">
        <f t="shared" si="116"/>
        <v>112.1</v>
      </c>
    </row>
    <row r="1483" spans="4:16" x14ac:dyDescent="0.25">
      <c r="D1483">
        <v>2027</v>
      </c>
      <c r="E1483" t="s">
        <v>123</v>
      </c>
      <c r="F1483" t="s">
        <v>222</v>
      </c>
      <c r="G1483">
        <v>112.1</v>
      </c>
      <c r="I1483">
        <f t="shared" si="117"/>
        <v>0</v>
      </c>
      <c r="J1483">
        <f t="shared" si="117"/>
        <v>0</v>
      </c>
      <c r="K1483">
        <f t="shared" si="117"/>
        <v>0</v>
      </c>
      <c r="M1483" t="str" cm="1">
        <f t="array" ref="M1483">IFERROR(INDEX($I$2:$K$2,0,MATCH(TRUE,I1483:K1483,0)),E1483)</f>
        <v>CCGT</v>
      </c>
      <c r="O1483" t="str">
        <f t="shared" si="115"/>
        <v>CCGT_2027</v>
      </c>
      <c r="P1483">
        <f t="shared" si="116"/>
        <v>112.1</v>
      </c>
    </row>
    <row r="1484" spans="4:16" x14ac:dyDescent="0.25">
      <c r="D1484">
        <v>2028</v>
      </c>
      <c r="E1484" t="s">
        <v>123</v>
      </c>
      <c r="F1484" t="s">
        <v>222</v>
      </c>
      <c r="G1484">
        <v>112.1</v>
      </c>
      <c r="I1484">
        <f t="shared" si="117"/>
        <v>0</v>
      </c>
      <c r="J1484">
        <f t="shared" si="117"/>
        <v>0</v>
      </c>
      <c r="K1484">
        <f t="shared" si="117"/>
        <v>0</v>
      </c>
      <c r="M1484" t="str" cm="1">
        <f t="array" ref="M1484">IFERROR(INDEX($I$2:$K$2,0,MATCH(TRUE,I1484:K1484,0)),E1484)</f>
        <v>CCGT</v>
      </c>
      <c r="O1484" t="str">
        <f t="shared" si="115"/>
        <v>CCGT_2028</v>
      </c>
      <c r="P1484">
        <f t="shared" si="116"/>
        <v>112.1</v>
      </c>
    </row>
    <row r="1485" spans="4:16" x14ac:dyDescent="0.25">
      <c r="D1485">
        <v>2029</v>
      </c>
      <c r="E1485" t="s">
        <v>123</v>
      </c>
      <c r="F1485" t="s">
        <v>222</v>
      </c>
      <c r="G1485">
        <v>112.1</v>
      </c>
      <c r="I1485">
        <f t="shared" si="117"/>
        <v>0</v>
      </c>
      <c r="J1485">
        <f t="shared" si="117"/>
        <v>0</v>
      </c>
      <c r="K1485">
        <f t="shared" si="117"/>
        <v>0</v>
      </c>
      <c r="M1485" t="str" cm="1">
        <f t="array" ref="M1485">IFERROR(INDEX($I$2:$K$2,0,MATCH(TRUE,I1485:K1485,0)),E1485)</f>
        <v>CCGT</v>
      </c>
      <c r="O1485" t="str">
        <f t="shared" si="115"/>
        <v>CCGT_2029</v>
      </c>
      <c r="P1485">
        <f t="shared" si="116"/>
        <v>112.1</v>
      </c>
    </row>
    <row r="1486" spans="4:16" x14ac:dyDescent="0.25">
      <c r="D1486">
        <v>2030</v>
      </c>
      <c r="E1486" t="s">
        <v>123</v>
      </c>
      <c r="F1486" t="s">
        <v>222</v>
      </c>
      <c r="G1486">
        <v>112.1</v>
      </c>
      <c r="I1486">
        <f t="shared" si="117"/>
        <v>0</v>
      </c>
      <c r="J1486">
        <f t="shared" si="117"/>
        <v>0</v>
      </c>
      <c r="K1486">
        <f t="shared" si="117"/>
        <v>0</v>
      </c>
      <c r="M1486" t="str" cm="1">
        <f t="array" ref="M1486">IFERROR(INDEX($I$2:$K$2,0,MATCH(TRUE,I1486:K1486,0)),E1486)</f>
        <v>CCGT</v>
      </c>
      <c r="O1486" t="str">
        <f t="shared" si="115"/>
        <v>CCGT_2030</v>
      </c>
      <c r="P1486">
        <f t="shared" si="116"/>
        <v>112.1</v>
      </c>
    </row>
    <row r="1487" spans="4:16" x14ac:dyDescent="0.25">
      <c r="D1487">
        <v>2031</v>
      </c>
      <c r="E1487" t="s">
        <v>123</v>
      </c>
      <c r="F1487" t="s">
        <v>222</v>
      </c>
      <c r="G1487">
        <v>112.1</v>
      </c>
      <c r="I1487">
        <f t="shared" si="117"/>
        <v>0</v>
      </c>
      <c r="J1487">
        <f t="shared" si="117"/>
        <v>0</v>
      </c>
      <c r="K1487">
        <f t="shared" si="117"/>
        <v>0</v>
      </c>
      <c r="M1487" t="str" cm="1">
        <f t="array" ref="M1487">IFERROR(INDEX($I$2:$K$2,0,MATCH(TRUE,I1487:K1487,0)),E1487)</f>
        <v>CCGT</v>
      </c>
      <c r="O1487" t="str">
        <f t="shared" si="115"/>
        <v>CCGT_2031</v>
      </c>
      <c r="P1487">
        <f t="shared" si="116"/>
        <v>112.1</v>
      </c>
    </row>
    <row r="1488" spans="4:16" x14ac:dyDescent="0.25">
      <c r="D1488">
        <v>2032</v>
      </c>
      <c r="E1488" t="s">
        <v>123</v>
      </c>
      <c r="F1488" t="s">
        <v>222</v>
      </c>
      <c r="G1488">
        <v>112.1</v>
      </c>
      <c r="I1488">
        <f t="shared" si="117"/>
        <v>0</v>
      </c>
      <c r="J1488">
        <f t="shared" si="117"/>
        <v>0</v>
      </c>
      <c r="K1488">
        <f t="shared" si="117"/>
        <v>0</v>
      </c>
      <c r="M1488" t="str" cm="1">
        <f t="array" ref="M1488">IFERROR(INDEX($I$2:$K$2,0,MATCH(TRUE,I1488:K1488,0)),E1488)</f>
        <v>CCGT</v>
      </c>
      <c r="O1488" t="str">
        <f t="shared" si="115"/>
        <v>CCGT_2032</v>
      </c>
      <c r="P1488">
        <f t="shared" si="116"/>
        <v>112.1</v>
      </c>
    </row>
    <row r="1489" spans="4:16" x14ac:dyDescent="0.25">
      <c r="D1489">
        <v>2033</v>
      </c>
      <c r="E1489" t="s">
        <v>123</v>
      </c>
      <c r="F1489" t="s">
        <v>222</v>
      </c>
      <c r="G1489">
        <v>112.1</v>
      </c>
      <c r="I1489">
        <f t="shared" si="117"/>
        <v>0</v>
      </c>
      <c r="J1489">
        <f t="shared" si="117"/>
        <v>0</v>
      </c>
      <c r="K1489">
        <f t="shared" si="117"/>
        <v>0</v>
      </c>
      <c r="M1489" t="str" cm="1">
        <f t="array" ref="M1489">IFERROR(INDEX($I$2:$K$2,0,MATCH(TRUE,I1489:K1489,0)),E1489)</f>
        <v>CCGT</v>
      </c>
      <c r="O1489" t="str">
        <f t="shared" si="115"/>
        <v>CCGT_2033</v>
      </c>
      <c r="P1489">
        <f t="shared" si="116"/>
        <v>112.1</v>
      </c>
    </row>
    <row r="1490" spans="4:16" x14ac:dyDescent="0.25">
      <c r="D1490">
        <v>2034</v>
      </c>
      <c r="E1490" t="s">
        <v>123</v>
      </c>
      <c r="F1490" t="s">
        <v>222</v>
      </c>
      <c r="G1490">
        <v>112.1</v>
      </c>
      <c r="I1490">
        <f t="shared" si="117"/>
        <v>0</v>
      </c>
      <c r="J1490">
        <f t="shared" si="117"/>
        <v>0</v>
      </c>
      <c r="K1490">
        <f t="shared" si="117"/>
        <v>0</v>
      </c>
      <c r="M1490" t="str" cm="1">
        <f t="array" ref="M1490">IFERROR(INDEX($I$2:$K$2,0,MATCH(TRUE,I1490:K1490,0)),E1490)</f>
        <v>CCGT</v>
      </c>
      <c r="O1490" t="str">
        <f t="shared" si="115"/>
        <v>CCGT_2034</v>
      </c>
      <c r="P1490">
        <f t="shared" si="116"/>
        <v>112.1</v>
      </c>
    </row>
    <row r="1491" spans="4:16" x14ac:dyDescent="0.25">
      <c r="D1491">
        <v>2035</v>
      </c>
      <c r="E1491" t="s">
        <v>123</v>
      </c>
      <c r="F1491" t="s">
        <v>222</v>
      </c>
      <c r="G1491">
        <v>112.1</v>
      </c>
      <c r="I1491">
        <f t="shared" si="117"/>
        <v>0</v>
      </c>
      <c r="J1491">
        <f t="shared" si="117"/>
        <v>0</v>
      </c>
      <c r="K1491">
        <f t="shared" si="117"/>
        <v>0</v>
      </c>
      <c r="M1491" t="str" cm="1">
        <f t="array" ref="M1491">IFERROR(INDEX($I$2:$K$2,0,MATCH(TRUE,I1491:K1491,0)),E1491)</f>
        <v>CCGT</v>
      </c>
      <c r="O1491" t="str">
        <f t="shared" ref="O1491:O1554" si="118">M1491&amp;"_"&amp;D1491</f>
        <v>CCGT_2035</v>
      </c>
      <c r="P1491">
        <f t="shared" ref="P1491:P1554" si="119">G1491</f>
        <v>112.1</v>
      </c>
    </row>
    <row r="1492" spans="4:16" x14ac:dyDescent="0.25">
      <c r="D1492">
        <v>2036</v>
      </c>
      <c r="E1492" t="s">
        <v>123</v>
      </c>
      <c r="F1492" t="s">
        <v>222</v>
      </c>
      <c r="G1492">
        <v>112.1</v>
      </c>
      <c r="I1492">
        <f t="shared" si="117"/>
        <v>0</v>
      </c>
      <c r="J1492">
        <f t="shared" si="117"/>
        <v>0</v>
      </c>
      <c r="K1492">
        <f t="shared" si="117"/>
        <v>0</v>
      </c>
      <c r="M1492" t="str" cm="1">
        <f t="array" ref="M1492">IFERROR(INDEX($I$2:$K$2,0,MATCH(TRUE,I1492:K1492,0)),E1492)</f>
        <v>CCGT</v>
      </c>
      <c r="O1492" t="str">
        <f t="shared" si="118"/>
        <v>CCGT_2036</v>
      </c>
      <c r="P1492">
        <f t="shared" si="119"/>
        <v>112.1</v>
      </c>
    </row>
    <row r="1493" spans="4:16" x14ac:dyDescent="0.25">
      <c r="D1493">
        <v>2037</v>
      </c>
      <c r="E1493" t="s">
        <v>123</v>
      </c>
      <c r="F1493" t="s">
        <v>222</v>
      </c>
      <c r="G1493">
        <v>112.1</v>
      </c>
      <c r="I1493">
        <f t="shared" ref="I1493:K1556" si="120">IFERROR(FIND(I$2,$E1493,1)&gt;0,0)</f>
        <v>0</v>
      </c>
      <c r="J1493">
        <f t="shared" si="120"/>
        <v>0</v>
      </c>
      <c r="K1493">
        <f t="shared" si="120"/>
        <v>0</v>
      </c>
      <c r="M1493" t="str" cm="1">
        <f t="array" ref="M1493">IFERROR(INDEX($I$2:$K$2,0,MATCH(TRUE,I1493:K1493,0)),E1493)</f>
        <v>CCGT</v>
      </c>
      <c r="O1493" t="str">
        <f t="shared" si="118"/>
        <v>CCGT_2037</v>
      </c>
      <c r="P1493">
        <f t="shared" si="119"/>
        <v>112.1</v>
      </c>
    </row>
    <row r="1494" spans="4:16" x14ac:dyDescent="0.25">
      <c r="D1494">
        <v>2038</v>
      </c>
      <c r="E1494" t="s">
        <v>123</v>
      </c>
      <c r="F1494" t="s">
        <v>222</v>
      </c>
      <c r="G1494">
        <v>112.1</v>
      </c>
      <c r="I1494">
        <f t="shared" si="120"/>
        <v>0</v>
      </c>
      <c r="J1494">
        <f t="shared" si="120"/>
        <v>0</v>
      </c>
      <c r="K1494">
        <f t="shared" si="120"/>
        <v>0</v>
      </c>
      <c r="M1494" t="str" cm="1">
        <f t="array" ref="M1494">IFERROR(INDEX($I$2:$K$2,0,MATCH(TRUE,I1494:K1494,0)),E1494)</f>
        <v>CCGT</v>
      </c>
      <c r="O1494" t="str">
        <f t="shared" si="118"/>
        <v>CCGT_2038</v>
      </c>
      <c r="P1494">
        <f t="shared" si="119"/>
        <v>112.1</v>
      </c>
    </row>
    <row r="1495" spans="4:16" x14ac:dyDescent="0.25">
      <c r="D1495">
        <v>2039</v>
      </c>
      <c r="E1495" t="s">
        <v>123</v>
      </c>
      <c r="F1495" t="s">
        <v>222</v>
      </c>
      <c r="G1495">
        <v>112.1</v>
      </c>
      <c r="I1495">
        <f t="shared" si="120"/>
        <v>0</v>
      </c>
      <c r="J1495">
        <f t="shared" si="120"/>
        <v>0</v>
      </c>
      <c r="K1495">
        <f t="shared" si="120"/>
        <v>0</v>
      </c>
      <c r="M1495" t="str" cm="1">
        <f t="array" ref="M1495">IFERROR(INDEX($I$2:$K$2,0,MATCH(TRUE,I1495:K1495,0)),E1495)</f>
        <v>CCGT</v>
      </c>
      <c r="O1495" t="str">
        <f t="shared" si="118"/>
        <v>CCGT_2039</v>
      </c>
      <c r="P1495">
        <f t="shared" si="119"/>
        <v>112.1</v>
      </c>
    </row>
    <row r="1496" spans="4:16" x14ac:dyDescent="0.25">
      <c r="D1496">
        <v>2040</v>
      </c>
      <c r="E1496" t="s">
        <v>123</v>
      </c>
      <c r="F1496" t="s">
        <v>222</v>
      </c>
      <c r="G1496">
        <v>112.1</v>
      </c>
      <c r="I1496">
        <f t="shared" si="120"/>
        <v>0</v>
      </c>
      <c r="J1496">
        <f t="shared" si="120"/>
        <v>0</v>
      </c>
      <c r="K1496">
        <f t="shared" si="120"/>
        <v>0</v>
      </c>
      <c r="M1496" t="str" cm="1">
        <f t="array" ref="M1496">IFERROR(INDEX($I$2:$K$2,0,MATCH(TRUE,I1496:K1496,0)),E1496)</f>
        <v>CCGT</v>
      </c>
      <c r="O1496" t="str">
        <f t="shared" si="118"/>
        <v>CCGT_2040</v>
      </c>
      <c r="P1496">
        <f t="shared" si="119"/>
        <v>112.1</v>
      </c>
    </row>
    <row r="1497" spans="4:16" x14ac:dyDescent="0.25">
      <c r="D1497">
        <v>2021</v>
      </c>
      <c r="E1497" t="s">
        <v>123</v>
      </c>
      <c r="F1497" t="s">
        <v>223</v>
      </c>
      <c r="G1497">
        <v>25.015000000000001</v>
      </c>
      <c r="I1497">
        <f t="shared" si="120"/>
        <v>0</v>
      </c>
      <c r="J1497">
        <f t="shared" si="120"/>
        <v>0</v>
      </c>
      <c r="K1497">
        <f t="shared" si="120"/>
        <v>0</v>
      </c>
      <c r="M1497" t="str" cm="1">
        <f t="array" ref="M1497">IFERROR(INDEX($I$2:$K$2,0,MATCH(TRUE,I1497:K1497,0)),E1497)</f>
        <v>CCGT</v>
      </c>
      <c r="O1497" t="str">
        <f t="shared" si="118"/>
        <v>CCGT_2021</v>
      </c>
      <c r="P1497">
        <f t="shared" si="119"/>
        <v>25.015000000000001</v>
      </c>
    </row>
    <row r="1498" spans="4:16" x14ac:dyDescent="0.25">
      <c r="D1498">
        <v>2022</v>
      </c>
      <c r="E1498" t="s">
        <v>123</v>
      </c>
      <c r="F1498" t="s">
        <v>223</v>
      </c>
      <c r="G1498">
        <v>25.015000000000001</v>
      </c>
      <c r="I1498">
        <f t="shared" si="120"/>
        <v>0</v>
      </c>
      <c r="J1498">
        <f t="shared" si="120"/>
        <v>0</v>
      </c>
      <c r="K1498">
        <f t="shared" si="120"/>
        <v>0</v>
      </c>
      <c r="M1498" t="str" cm="1">
        <f t="array" ref="M1498">IFERROR(INDEX($I$2:$K$2,0,MATCH(TRUE,I1498:K1498,0)),E1498)</f>
        <v>CCGT</v>
      </c>
      <c r="O1498" t="str">
        <f t="shared" si="118"/>
        <v>CCGT_2022</v>
      </c>
      <c r="P1498">
        <f t="shared" si="119"/>
        <v>25.015000000000001</v>
      </c>
    </row>
    <row r="1499" spans="4:16" x14ac:dyDescent="0.25">
      <c r="D1499">
        <v>2023</v>
      </c>
      <c r="E1499" t="s">
        <v>123</v>
      </c>
      <c r="F1499" t="s">
        <v>223</v>
      </c>
      <c r="G1499">
        <v>25.015000000000001</v>
      </c>
      <c r="I1499">
        <f t="shared" si="120"/>
        <v>0</v>
      </c>
      <c r="J1499">
        <f t="shared" si="120"/>
        <v>0</v>
      </c>
      <c r="K1499">
        <f t="shared" si="120"/>
        <v>0</v>
      </c>
      <c r="M1499" t="str" cm="1">
        <f t="array" ref="M1499">IFERROR(INDEX($I$2:$K$2,0,MATCH(TRUE,I1499:K1499,0)),E1499)</f>
        <v>CCGT</v>
      </c>
      <c r="O1499" t="str">
        <f t="shared" si="118"/>
        <v>CCGT_2023</v>
      </c>
      <c r="P1499">
        <f t="shared" si="119"/>
        <v>25.015000000000001</v>
      </c>
    </row>
    <row r="1500" spans="4:16" x14ac:dyDescent="0.25">
      <c r="D1500">
        <v>2024</v>
      </c>
      <c r="E1500" t="s">
        <v>123</v>
      </c>
      <c r="F1500" t="s">
        <v>223</v>
      </c>
      <c r="G1500">
        <v>25.015000000000001</v>
      </c>
      <c r="I1500">
        <f t="shared" si="120"/>
        <v>0</v>
      </c>
      <c r="J1500">
        <f t="shared" si="120"/>
        <v>0</v>
      </c>
      <c r="K1500">
        <f t="shared" si="120"/>
        <v>0</v>
      </c>
      <c r="M1500" t="str" cm="1">
        <f t="array" ref="M1500">IFERROR(INDEX($I$2:$K$2,0,MATCH(TRUE,I1500:K1500,0)),E1500)</f>
        <v>CCGT</v>
      </c>
      <c r="O1500" t="str">
        <f t="shared" si="118"/>
        <v>CCGT_2024</v>
      </c>
      <c r="P1500">
        <f t="shared" si="119"/>
        <v>25.015000000000001</v>
      </c>
    </row>
    <row r="1501" spans="4:16" x14ac:dyDescent="0.25">
      <c r="D1501">
        <v>2025</v>
      </c>
      <c r="E1501" t="s">
        <v>123</v>
      </c>
      <c r="F1501" t="s">
        <v>223</v>
      </c>
      <c r="G1501">
        <v>25.015000000000001</v>
      </c>
      <c r="I1501">
        <f t="shared" si="120"/>
        <v>0</v>
      </c>
      <c r="J1501">
        <f t="shared" si="120"/>
        <v>0</v>
      </c>
      <c r="K1501">
        <f t="shared" si="120"/>
        <v>0</v>
      </c>
      <c r="M1501" t="str" cm="1">
        <f t="array" ref="M1501">IFERROR(INDEX($I$2:$K$2,0,MATCH(TRUE,I1501:K1501,0)),E1501)</f>
        <v>CCGT</v>
      </c>
      <c r="O1501" t="str">
        <f t="shared" si="118"/>
        <v>CCGT_2025</v>
      </c>
      <c r="P1501">
        <f t="shared" si="119"/>
        <v>25.015000000000001</v>
      </c>
    </row>
    <row r="1502" spans="4:16" x14ac:dyDescent="0.25">
      <c r="D1502">
        <v>2026</v>
      </c>
      <c r="E1502" t="s">
        <v>123</v>
      </c>
      <c r="F1502" t="s">
        <v>223</v>
      </c>
      <c r="G1502">
        <v>25.015000000000001</v>
      </c>
      <c r="I1502">
        <f t="shared" si="120"/>
        <v>0</v>
      </c>
      <c r="J1502">
        <f t="shared" si="120"/>
        <v>0</v>
      </c>
      <c r="K1502">
        <f t="shared" si="120"/>
        <v>0</v>
      </c>
      <c r="M1502" t="str" cm="1">
        <f t="array" ref="M1502">IFERROR(INDEX($I$2:$K$2,0,MATCH(TRUE,I1502:K1502,0)),E1502)</f>
        <v>CCGT</v>
      </c>
      <c r="O1502" t="str">
        <f t="shared" si="118"/>
        <v>CCGT_2026</v>
      </c>
      <c r="P1502">
        <f t="shared" si="119"/>
        <v>25.015000000000001</v>
      </c>
    </row>
    <row r="1503" spans="4:16" x14ac:dyDescent="0.25">
      <c r="D1503">
        <v>2027</v>
      </c>
      <c r="E1503" t="s">
        <v>123</v>
      </c>
      <c r="F1503" t="s">
        <v>223</v>
      </c>
      <c r="G1503">
        <v>25.015000000000001</v>
      </c>
      <c r="I1503">
        <f t="shared" si="120"/>
        <v>0</v>
      </c>
      <c r="J1503">
        <f t="shared" si="120"/>
        <v>0</v>
      </c>
      <c r="K1503">
        <f t="shared" si="120"/>
        <v>0</v>
      </c>
      <c r="M1503" t="str" cm="1">
        <f t="array" ref="M1503">IFERROR(INDEX($I$2:$K$2,0,MATCH(TRUE,I1503:K1503,0)),E1503)</f>
        <v>CCGT</v>
      </c>
      <c r="O1503" t="str">
        <f t="shared" si="118"/>
        <v>CCGT_2027</v>
      </c>
      <c r="P1503">
        <f t="shared" si="119"/>
        <v>25.015000000000001</v>
      </c>
    </row>
    <row r="1504" spans="4:16" x14ac:dyDescent="0.25">
      <c r="D1504">
        <v>2028</v>
      </c>
      <c r="E1504" t="s">
        <v>123</v>
      </c>
      <c r="F1504" t="s">
        <v>223</v>
      </c>
      <c r="G1504">
        <v>25.015000000000001</v>
      </c>
      <c r="I1504">
        <f t="shared" si="120"/>
        <v>0</v>
      </c>
      <c r="J1504">
        <f t="shared" si="120"/>
        <v>0</v>
      </c>
      <c r="K1504">
        <f t="shared" si="120"/>
        <v>0</v>
      </c>
      <c r="M1504" t="str" cm="1">
        <f t="array" ref="M1504">IFERROR(INDEX($I$2:$K$2,0,MATCH(TRUE,I1504:K1504,0)),E1504)</f>
        <v>CCGT</v>
      </c>
      <c r="O1504" t="str">
        <f t="shared" si="118"/>
        <v>CCGT_2028</v>
      </c>
      <c r="P1504">
        <f t="shared" si="119"/>
        <v>25.015000000000001</v>
      </c>
    </row>
    <row r="1505" spans="4:16" x14ac:dyDescent="0.25">
      <c r="D1505">
        <v>2029</v>
      </c>
      <c r="E1505" t="s">
        <v>123</v>
      </c>
      <c r="F1505" t="s">
        <v>223</v>
      </c>
      <c r="G1505">
        <v>25.015000000000001</v>
      </c>
      <c r="I1505">
        <f t="shared" si="120"/>
        <v>0</v>
      </c>
      <c r="J1505">
        <f t="shared" si="120"/>
        <v>0</v>
      </c>
      <c r="K1505">
        <f t="shared" si="120"/>
        <v>0</v>
      </c>
      <c r="M1505" t="str" cm="1">
        <f t="array" ref="M1505">IFERROR(INDEX($I$2:$K$2,0,MATCH(TRUE,I1505:K1505,0)),E1505)</f>
        <v>CCGT</v>
      </c>
      <c r="O1505" t="str">
        <f t="shared" si="118"/>
        <v>CCGT_2029</v>
      </c>
      <c r="P1505">
        <f t="shared" si="119"/>
        <v>25.015000000000001</v>
      </c>
    </row>
    <row r="1506" spans="4:16" x14ac:dyDescent="0.25">
      <c r="D1506">
        <v>2030</v>
      </c>
      <c r="E1506" t="s">
        <v>123</v>
      </c>
      <c r="F1506" t="s">
        <v>223</v>
      </c>
      <c r="G1506">
        <v>25.015000000000001</v>
      </c>
      <c r="I1506">
        <f t="shared" si="120"/>
        <v>0</v>
      </c>
      <c r="J1506">
        <f t="shared" si="120"/>
        <v>0</v>
      </c>
      <c r="K1506">
        <f t="shared" si="120"/>
        <v>0</v>
      </c>
      <c r="M1506" t="str" cm="1">
        <f t="array" ref="M1506">IFERROR(INDEX($I$2:$K$2,0,MATCH(TRUE,I1506:K1506,0)),E1506)</f>
        <v>CCGT</v>
      </c>
      <c r="O1506" t="str">
        <f t="shared" si="118"/>
        <v>CCGT_2030</v>
      </c>
      <c r="P1506">
        <f t="shared" si="119"/>
        <v>25.015000000000001</v>
      </c>
    </row>
    <row r="1507" spans="4:16" x14ac:dyDescent="0.25">
      <c r="D1507">
        <v>2031</v>
      </c>
      <c r="E1507" t="s">
        <v>123</v>
      </c>
      <c r="F1507" t="s">
        <v>223</v>
      </c>
      <c r="G1507">
        <v>25.015000000000001</v>
      </c>
      <c r="I1507">
        <f t="shared" si="120"/>
        <v>0</v>
      </c>
      <c r="J1507">
        <f t="shared" si="120"/>
        <v>0</v>
      </c>
      <c r="K1507">
        <f t="shared" si="120"/>
        <v>0</v>
      </c>
      <c r="M1507" t="str" cm="1">
        <f t="array" ref="M1507">IFERROR(INDEX($I$2:$K$2,0,MATCH(TRUE,I1507:K1507,0)),E1507)</f>
        <v>CCGT</v>
      </c>
      <c r="O1507" t="str">
        <f t="shared" si="118"/>
        <v>CCGT_2031</v>
      </c>
      <c r="P1507">
        <f t="shared" si="119"/>
        <v>25.015000000000001</v>
      </c>
    </row>
    <row r="1508" spans="4:16" x14ac:dyDescent="0.25">
      <c r="D1508">
        <v>2032</v>
      </c>
      <c r="E1508" t="s">
        <v>123</v>
      </c>
      <c r="F1508" t="s">
        <v>223</v>
      </c>
      <c r="G1508">
        <v>25.015000000000001</v>
      </c>
      <c r="I1508">
        <f t="shared" si="120"/>
        <v>0</v>
      </c>
      <c r="J1508">
        <f t="shared" si="120"/>
        <v>0</v>
      </c>
      <c r="K1508">
        <f t="shared" si="120"/>
        <v>0</v>
      </c>
      <c r="M1508" t="str" cm="1">
        <f t="array" ref="M1508">IFERROR(INDEX($I$2:$K$2,0,MATCH(TRUE,I1508:K1508,0)),E1508)</f>
        <v>CCGT</v>
      </c>
      <c r="O1508" t="str">
        <f t="shared" si="118"/>
        <v>CCGT_2032</v>
      </c>
      <c r="P1508">
        <f t="shared" si="119"/>
        <v>25.015000000000001</v>
      </c>
    </row>
    <row r="1509" spans="4:16" x14ac:dyDescent="0.25">
      <c r="D1509">
        <v>2033</v>
      </c>
      <c r="E1509" t="s">
        <v>123</v>
      </c>
      <c r="F1509" t="s">
        <v>223</v>
      </c>
      <c r="G1509">
        <v>25.015000000000001</v>
      </c>
      <c r="I1509">
        <f t="shared" si="120"/>
        <v>0</v>
      </c>
      <c r="J1509">
        <f t="shared" si="120"/>
        <v>0</v>
      </c>
      <c r="K1509">
        <f t="shared" si="120"/>
        <v>0</v>
      </c>
      <c r="M1509" t="str" cm="1">
        <f t="array" ref="M1509">IFERROR(INDEX($I$2:$K$2,0,MATCH(TRUE,I1509:K1509,0)),E1509)</f>
        <v>CCGT</v>
      </c>
      <c r="O1509" t="str">
        <f t="shared" si="118"/>
        <v>CCGT_2033</v>
      </c>
      <c r="P1509">
        <f t="shared" si="119"/>
        <v>25.015000000000001</v>
      </c>
    </row>
    <row r="1510" spans="4:16" x14ac:dyDescent="0.25">
      <c r="D1510">
        <v>2034</v>
      </c>
      <c r="E1510" t="s">
        <v>123</v>
      </c>
      <c r="F1510" t="s">
        <v>223</v>
      </c>
      <c r="G1510">
        <v>25.015000000000001</v>
      </c>
      <c r="I1510">
        <f t="shared" si="120"/>
        <v>0</v>
      </c>
      <c r="J1510">
        <f t="shared" si="120"/>
        <v>0</v>
      </c>
      <c r="K1510">
        <f t="shared" si="120"/>
        <v>0</v>
      </c>
      <c r="M1510" t="str" cm="1">
        <f t="array" ref="M1510">IFERROR(INDEX($I$2:$K$2,0,MATCH(TRUE,I1510:K1510,0)),E1510)</f>
        <v>CCGT</v>
      </c>
      <c r="O1510" t="str">
        <f t="shared" si="118"/>
        <v>CCGT_2034</v>
      </c>
      <c r="P1510">
        <f t="shared" si="119"/>
        <v>25.015000000000001</v>
      </c>
    </row>
    <row r="1511" spans="4:16" x14ac:dyDescent="0.25">
      <c r="D1511">
        <v>2035</v>
      </c>
      <c r="E1511" t="s">
        <v>123</v>
      </c>
      <c r="F1511" t="s">
        <v>223</v>
      </c>
      <c r="G1511">
        <v>25.015000000000001</v>
      </c>
      <c r="I1511">
        <f t="shared" si="120"/>
        <v>0</v>
      </c>
      <c r="J1511">
        <f t="shared" si="120"/>
        <v>0</v>
      </c>
      <c r="K1511">
        <f t="shared" si="120"/>
        <v>0</v>
      </c>
      <c r="M1511" t="str" cm="1">
        <f t="array" ref="M1511">IFERROR(INDEX($I$2:$K$2,0,MATCH(TRUE,I1511:K1511,0)),E1511)</f>
        <v>CCGT</v>
      </c>
      <c r="O1511" t="str">
        <f t="shared" si="118"/>
        <v>CCGT_2035</v>
      </c>
      <c r="P1511">
        <f t="shared" si="119"/>
        <v>25.015000000000001</v>
      </c>
    </row>
    <row r="1512" spans="4:16" x14ac:dyDescent="0.25">
      <c r="D1512">
        <v>2036</v>
      </c>
      <c r="E1512" t="s">
        <v>123</v>
      </c>
      <c r="F1512" t="s">
        <v>223</v>
      </c>
      <c r="G1512">
        <v>25.015000000000001</v>
      </c>
      <c r="I1512">
        <f t="shared" si="120"/>
        <v>0</v>
      </c>
      <c r="J1512">
        <f t="shared" si="120"/>
        <v>0</v>
      </c>
      <c r="K1512">
        <f t="shared" si="120"/>
        <v>0</v>
      </c>
      <c r="M1512" t="str" cm="1">
        <f t="array" ref="M1512">IFERROR(INDEX($I$2:$K$2,0,MATCH(TRUE,I1512:K1512,0)),E1512)</f>
        <v>CCGT</v>
      </c>
      <c r="O1512" t="str">
        <f t="shared" si="118"/>
        <v>CCGT_2036</v>
      </c>
      <c r="P1512">
        <f t="shared" si="119"/>
        <v>25.015000000000001</v>
      </c>
    </row>
    <row r="1513" spans="4:16" x14ac:dyDescent="0.25">
      <c r="D1513">
        <v>2037</v>
      </c>
      <c r="E1513" t="s">
        <v>123</v>
      </c>
      <c r="F1513" t="s">
        <v>223</v>
      </c>
      <c r="G1513">
        <v>25.015000000000001</v>
      </c>
      <c r="I1513">
        <f t="shared" si="120"/>
        <v>0</v>
      </c>
      <c r="J1513">
        <f t="shared" si="120"/>
        <v>0</v>
      </c>
      <c r="K1513">
        <f t="shared" si="120"/>
        <v>0</v>
      </c>
      <c r="M1513" t="str" cm="1">
        <f t="array" ref="M1513">IFERROR(INDEX($I$2:$K$2,0,MATCH(TRUE,I1513:K1513,0)),E1513)</f>
        <v>CCGT</v>
      </c>
      <c r="O1513" t="str">
        <f t="shared" si="118"/>
        <v>CCGT_2037</v>
      </c>
      <c r="P1513">
        <f t="shared" si="119"/>
        <v>25.015000000000001</v>
      </c>
    </row>
    <row r="1514" spans="4:16" x14ac:dyDescent="0.25">
      <c r="D1514">
        <v>2038</v>
      </c>
      <c r="E1514" t="s">
        <v>123</v>
      </c>
      <c r="F1514" t="s">
        <v>223</v>
      </c>
      <c r="G1514">
        <v>25.015000000000001</v>
      </c>
      <c r="I1514">
        <f t="shared" si="120"/>
        <v>0</v>
      </c>
      <c r="J1514">
        <f t="shared" si="120"/>
        <v>0</v>
      </c>
      <c r="K1514">
        <f t="shared" si="120"/>
        <v>0</v>
      </c>
      <c r="M1514" t="str" cm="1">
        <f t="array" ref="M1514">IFERROR(INDEX($I$2:$K$2,0,MATCH(TRUE,I1514:K1514,0)),E1514)</f>
        <v>CCGT</v>
      </c>
      <c r="O1514" t="str">
        <f t="shared" si="118"/>
        <v>CCGT_2038</v>
      </c>
      <c r="P1514">
        <f t="shared" si="119"/>
        <v>25.015000000000001</v>
      </c>
    </row>
    <row r="1515" spans="4:16" x14ac:dyDescent="0.25">
      <c r="D1515">
        <v>2039</v>
      </c>
      <c r="E1515" t="s">
        <v>123</v>
      </c>
      <c r="F1515" t="s">
        <v>223</v>
      </c>
      <c r="G1515">
        <v>25.015000000000001</v>
      </c>
      <c r="I1515">
        <f t="shared" si="120"/>
        <v>0</v>
      </c>
      <c r="J1515">
        <f t="shared" si="120"/>
        <v>0</v>
      </c>
      <c r="K1515">
        <f t="shared" si="120"/>
        <v>0</v>
      </c>
      <c r="M1515" t="str" cm="1">
        <f t="array" ref="M1515">IFERROR(INDEX($I$2:$K$2,0,MATCH(TRUE,I1515:K1515,0)),E1515)</f>
        <v>CCGT</v>
      </c>
      <c r="O1515" t="str">
        <f t="shared" si="118"/>
        <v>CCGT_2039</v>
      </c>
      <c r="P1515">
        <f t="shared" si="119"/>
        <v>25.015000000000001</v>
      </c>
    </row>
    <row r="1516" spans="4:16" x14ac:dyDescent="0.25">
      <c r="D1516">
        <v>2040</v>
      </c>
      <c r="E1516" t="s">
        <v>123</v>
      </c>
      <c r="F1516" t="s">
        <v>223</v>
      </c>
      <c r="G1516">
        <v>25.015000000000001</v>
      </c>
      <c r="I1516">
        <f t="shared" si="120"/>
        <v>0</v>
      </c>
      <c r="J1516">
        <f t="shared" si="120"/>
        <v>0</v>
      </c>
      <c r="K1516">
        <f t="shared" si="120"/>
        <v>0</v>
      </c>
      <c r="M1516" t="str" cm="1">
        <f t="array" ref="M1516">IFERROR(INDEX($I$2:$K$2,0,MATCH(TRUE,I1516:K1516,0)),E1516)</f>
        <v>CCGT</v>
      </c>
      <c r="O1516" t="str">
        <f t="shared" si="118"/>
        <v>CCGT_2040</v>
      </c>
      <c r="P1516">
        <f t="shared" si="119"/>
        <v>25.015000000000001</v>
      </c>
    </row>
    <row r="1517" spans="4:16" x14ac:dyDescent="0.25">
      <c r="D1517">
        <v>2021</v>
      </c>
      <c r="E1517" t="s">
        <v>123</v>
      </c>
      <c r="F1517" t="s">
        <v>224</v>
      </c>
      <c r="G1517">
        <v>31</v>
      </c>
      <c r="I1517">
        <f t="shared" si="120"/>
        <v>0</v>
      </c>
      <c r="J1517">
        <f t="shared" si="120"/>
        <v>0</v>
      </c>
      <c r="K1517">
        <f t="shared" si="120"/>
        <v>0</v>
      </c>
      <c r="M1517" t="str" cm="1">
        <f t="array" ref="M1517">IFERROR(INDEX($I$2:$K$2,0,MATCH(TRUE,I1517:K1517,0)),E1517)</f>
        <v>CCGT</v>
      </c>
      <c r="O1517" t="str">
        <f t="shared" si="118"/>
        <v>CCGT_2021</v>
      </c>
      <c r="P1517">
        <f t="shared" si="119"/>
        <v>31</v>
      </c>
    </row>
    <row r="1518" spans="4:16" x14ac:dyDescent="0.25">
      <c r="D1518">
        <v>2022</v>
      </c>
      <c r="E1518" t="s">
        <v>123</v>
      </c>
      <c r="F1518" t="s">
        <v>224</v>
      </c>
      <c r="G1518">
        <v>31</v>
      </c>
      <c r="I1518">
        <f t="shared" si="120"/>
        <v>0</v>
      </c>
      <c r="J1518">
        <f t="shared" si="120"/>
        <v>0</v>
      </c>
      <c r="K1518">
        <f t="shared" si="120"/>
        <v>0</v>
      </c>
      <c r="M1518" t="str" cm="1">
        <f t="array" ref="M1518">IFERROR(INDEX($I$2:$K$2,0,MATCH(TRUE,I1518:K1518,0)),E1518)</f>
        <v>CCGT</v>
      </c>
      <c r="O1518" t="str">
        <f t="shared" si="118"/>
        <v>CCGT_2022</v>
      </c>
      <c r="P1518">
        <f t="shared" si="119"/>
        <v>31</v>
      </c>
    </row>
    <row r="1519" spans="4:16" x14ac:dyDescent="0.25">
      <c r="D1519">
        <v>2023</v>
      </c>
      <c r="E1519" t="s">
        <v>123</v>
      </c>
      <c r="F1519" t="s">
        <v>224</v>
      </c>
      <c r="G1519">
        <v>31</v>
      </c>
      <c r="I1519">
        <f t="shared" si="120"/>
        <v>0</v>
      </c>
      <c r="J1519">
        <f t="shared" si="120"/>
        <v>0</v>
      </c>
      <c r="K1519">
        <f t="shared" si="120"/>
        <v>0</v>
      </c>
      <c r="M1519" t="str" cm="1">
        <f t="array" ref="M1519">IFERROR(INDEX($I$2:$K$2,0,MATCH(TRUE,I1519:K1519,0)),E1519)</f>
        <v>CCGT</v>
      </c>
      <c r="O1519" t="str">
        <f t="shared" si="118"/>
        <v>CCGT_2023</v>
      </c>
      <c r="P1519">
        <f t="shared" si="119"/>
        <v>31</v>
      </c>
    </row>
    <row r="1520" spans="4:16" x14ac:dyDescent="0.25">
      <c r="D1520">
        <v>2024</v>
      </c>
      <c r="E1520" t="s">
        <v>123</v>
      </c>
      <c r="F1520" t="s">
        <v>224</v>
      </c>
      <c r="G1520">
        <v>31</v>
      </c>
      <c r="I1520">
        <f t="shared" si="120"/>
        <v>0</v>
      </c>
      <c r="J1520">
        <f t="shared" si="120"/>
        <v>0</v>
      </c>
      <c r="K1520">
        <f t="shared" si="120"/>
        <v>0</v>
      </c>
      <c r="M1520" t="str" cm="1">
        <f t="array" ref="M1520">IFERROR(INDEX($I$2:$K$2,0,MATCH(TRUE,I1520:K1520,0)),E1520)</f>
        <v>CCGT</v>
      </c>
      <c r="O1520" t="str">
        <f t="shared" si="118"/>
        <v>CCGT_2024</v>
      </c>
      <c r="P1520">
        <f t="shared" si="119"/>
        <v>31</v>
      </c>
    </row>
    <row r="1521" spans="4:16" x14ac:dyDescent="0.25">
      <c r="D1521">
        <v>2025</v>
      </c>
      <c r="E1521" t="s">
        <v>123</v>
      </c>
      <c r="F1521" t="s">
        <v>224</v>
      </c>
      <c r="G1521">
        <v>31</v>
      </c>
      <c r="I1521">
        <f t="shared" si="120"/>
        <v>0</v>
      </c>
      <c r="J1521">
        <f t="shared" si="120"/>
        <v>0</v>
      </c>
      <c r="K1521">
        <f t="shared" si="120"/>
        <v>0</v>
      </c>
      <c r="M1521" t="str" cm="1">
        <f t="array" ref="M1521">IFERROR(INDEX($I$2:$K$2,0,MATCH(TRUE,I1521:K1521,0)),E1521)</f>
        <v>CCGT</v>
      </c>
      <c r="O1521" t="str">
        <f t="shared" si="118"/>
        <v>CCGT_2025</v>
      </c>
      <c r="P1521">
        <f t="shared" si="119"/>
        <v>31</v>
      </c>
    </row>
    <row r="1522" spans="4:16" x14ac:dyDescent="0.25">
      <c r="D1522">
        <v>2026</v>
      </c>
      <c r="E1522" t="s">
        <v>123</v>
      </c>
      <c r="F1522" t="s">
        <v>224</v>
      </c>
      <c r="G1522">
        <v>31</v>
      </c>
      <c r="I1522">
        <f t="shared" si="120"/>
        <v>0</v>
      </c>
      <c r="J1522">
        <f t="shared" si="120"/>
        <v>0</v>
      </c>
      <c r="K1522">
        <f t="shared" si="120"/>
        <v>0</v>
      </c>
      <c r="M1522" t="str" cm="1">
        <f t="array" ref="M1522">IFERROR(INDEX($I$2:$K$2,0,MATCH(TRUE,I1522:K1522,0)),E1522)</f>
        <v>CCGT</v>
      </c>
      <c r="O1522" t="str">
        <f t="shared" si="118"/>
        <v>CCGT_2026</v>
      </c>
      <c r="P1522">
        <f t="shared" si="119"/>
        <v>31</v>
      </c>
    </row>
    <row r="1523" spans="4:16" x14ac:dyDescent="0.25">
      <c r="D1523">
        <v>2027</v>
      </c>
      <c r="E1523" t="s">
        <v>123</v>
      </c>
      <c r="F1523" t="s">
        <v>224</v>
      </c>
      <c r="G1523">
        <v>31</v>
      </c>
      <c r="I1523">
        <f t="shared" si="120"/>
        <v>0</v>
      </c>
      <c r="J1523">
        <f t="shared" si="120"/>
        <v>0</v>
      </c>
      <c r="K1523">
        <f t="shared" si="120"/>
        <v>0</v>
      </c>
      <c r="M1523" t="str" cm="1">
        <f t="array" ref="M1523">IFERROR(INDEX($I$2:$K$2,0,MATCH(TRUE,I1523:K1523,0)),E1523)</f>
        <v>CCGT</v>
      </c>
      <c r="O1523" t="str">
        <f t="shared" si="118"/>
        <v>CCGT_2027</v>
      </c>
      <c r="P1523">
        <f t="shared" si="119"/>
        <v>31</v>
      </c>
    </row>
    <row r="1524" spans="4:16" x14ac:dyDescent="0.25">
      <c r="D1524">
        <v>2028</v>
      </c>
      <c r="E1524" t="s">
        <v>123</v>
      </c>
      <c r="F1524" t="s">
        <v>224</v>
      </c>
      <c r="G1524">
        <v>31</v>
      </c>
      <c r="I1524">
        <f t="shared" si="120"/>
        <v>0</v>
      </c>
      <c r="J1524">
        <f t="shared" si="120"/>
        <v>0</v>
      </c>
      <c r="K1524">
        <f t="shared" si="120"/>
        <v>0</v>
      </c>
      <c r="M1524" t="str" cm="1">
        <f t="array" ref="M1524">IFERROR(INDEX($I$2:$K$2,0,MATCH(TRUE,I1524:K1524,0)),E1524)</f>
        <v>CCGT</v>
      </c>
      <c r="O1524" t="str">
        <f t="shared" si="118"/>
        <v>CCGT_2028</v>
      </c>
      <c r="P1524">
        <f t="shared" si="119"/>
        <v>31</v>
      </c>
    </row>
    <row r="1525" spans="4:16" x14ac:dyDescent="0.25">
      <c r="D1525">
        <v>2029</v>
      </c>
      <c r="E1525" t="s">
        <v>123</v>
      </c>
      <c r="F1525" t="s">
        <v>224</v>
      </c>
      <c r="G1525">
        <v>31</v>
      </c>
      <c r="I1525">
        <f t="shared" si="120"/>
        <v>0</v>
      </c>
      <c r="J1525">
        <f t="shared" si="120"/>
        <v>0</v>
      </c>
      <c r="K1525">
        <f t="shared" si="120"/>
        <v>0</v>
      </c>
      <c r="M1525" t="str" cm="1">
        <f t="array" ref="M1525">IFERROR(INDEX($I$2:$K$2,0,MATCH(TRUE,I1525:K1525,0)),E1525)</f>
        <v>CCGT</v>
      </c>
      <c r="O1525" t="str">
        <f t="shared" si="118"/>
        <v>CCGT_2029</v>
      </c>
      <c r="P1525">
        <f t="shared" si="119"/>
        <v>31</v>
      </c>
    </row>
    <row r="1526" spans="4:16" x14ac:dyDescent="0.25">
      <c r="D1526">
        <v>2030</v>
      </c>
      <c r="E1526" t="s">
        <v>123</v>
      </c>
      <c r="F1526" t="s">
        <v>224</v>
      </c>
      <c r="G1526">
        <v>31</v>
      </c>
      <c r="I1526">
        <f t="shared" si="120"/>
        <v>0</v>
      </c>
      <c r="J1526">
        <f t="shared" si="120"/>
        <v>0</v>
      </c>
      <c r="K1526">
        <f t="shared" si="120"/>
        <v>0</v>
      </c>
      <c r="M1526" t="str" cm="1">
        <f t="array" ref="M1526">IFERROR(INDEX($I$2:$K$2,0,MATCH(TRUE,I1526:K1526,0)),E1526)</f>
        <v>CCGT</v>
      </c>
      <c r="O1526" t="str">
        <f t="shared" si="118"/>
        <v>CCGT_2030</v>
      </c>
      <c r="P1526">
        <f t="shared" si="119"/>
        <v>31</v>
      </c>
    </row>
    <row r="1527" spans="4:16" x14ac:dyDescent="0.25">
      <c r="D1527">
        <v>2031</v>
      </c>
      <c r="E1527" t="s">
        <v>123</v>
      </c>
      <c r="F1527" t="s">
        <v>224</v>
      </c>
      <c r="G1527">
        <v>31</v>
      </c>
      <c r="I1527">
        <f t="shared" si="120"/>
        <v>0</v>
      </c>
      <c r="J1527">
        <f t="shared" si="120"/>
        <v>0</v>
      </c>
      <c r="K1527">
        <f t="shared" si="120"/>
        <v>0</v>
      </c>
      <c r="M1527" t="str" cm="1">
        <f t="array" ref="M1527">IFERROR(INDEX($I$2:$K$2,0,MATCH(TRUE,I1527:K1527,0)),E1527)</f>
        <v>CCGT</v>
      </c>
      <c r="O1527" t="str">
        <f t="shared" si="118"/>
        <v>CCGT_2031</v>
      </c>
      <c r="P1527">
        <f t="shared" si="119"/>
        <v>31</v>
      </c>
    </row>
    <row r="1528" spans="4:16" x14ac:dyDescent="0.25">
      <c r="D1528">
        <v>2032</v>
      </c>
      <c r="E1528" t="s">
        <v>123</v>
      </c>
      <c r="F1528" t="s">
        <v>224</v>
      </c>
      <c r="G1528">
        <v>31</v>
      </c>
      <c r="I1528">
        <f t="shared" si="120"/>
        <v>0</v>
      </c>
      <c r="J1528">
        <f t="shared" si="120"/>
        <v>0</v>
      </c>
      <c r="K1528">
        <f t="shared" si="120"/>
        <v>0</v>
      </c>
      <c r="M1528" t="str" cm="1">
        <f t="array" ref="M1528">IFERROR(INDEX($I$2:$K$2,0,MATCH(TRUE,I1528:K1528,0)),E1528)</f>
        <v>CCGT</v>
      </c>
      <c r="O1528" t="str">
        <f t="shared" si="118"/>
        <v>CCGT_2032</v>
      </c>
      <c r="P1528">
        <f t="shared" si="119"/>
        <v>31</v>
      </c>
    </row>
    <row r="1529" spans="4:16" x14ac:dyDescent="0.25">
      <c r="D1529">
        <v>2033</v>
      </c>
      <c r="E1529" t="s">
        <v>123</v>
      </c>
      <c r="F1529" t="s">
        <v>224</v>
      </c>
      <c r="G1529">
        <v>31</v>
      </c>
      <c r="I1529">
        <f t="shared" si="120"/>
        <v>0</v>
      </c>
      <c r="J1529">
        <f t="shared" si="120"/>
        <v>0</v>
      </c>
      <c r="K1529">
        <f t="shared" si="120"/>
        <v>0</v>
      </c>
      <c r="M1529" t="str" cm="1">
        <f t="array" ref="M1529">IFERROR(INDEX($I$2:$K$2,0,MATCH(TRUE,I1529:K1529,0)),E1529)</f>
        <v>CCGT</v>
      </c>
      <c r="O1529" t="str">
        <f t="shared" si="118"/>
        <v>CCGT_2033</v>
      </c>
      <c r="P1529">
        <f t="shared" si="119"/>
        <v>31</v>
      </c>
    </row>
    <row r="1530" spans="4:16" x14ac:dyDescent="0.25">
      <c r="D1530">
        <v>2034</v>
      </c>
      <c r="E1530" t="s">
        <v>123</v>
      </c>
      <c r="F1530" t="s">
        <v>224</v>
      </c>
      <c r="G1530">
        <v>31</v>
      </c>
      <c r="I1530">
        <f t="shared" si="120"/>
        <v>0</v>
      </c>
      <c r="J1530">
        <f t="shared" si="120"/>
        <v>0</v>
      </c>
      <c r="K1530">
        <f t="shared" si="120"/>
        <v>0</v>
      </c>
      <c r="M1530" t="str" cm="1">
        <f t="array" ref="M1530">IFERROR(INDEX($I$2:$K$2,0,MATCH(TRUE,I1530:K1530,0)),E1530)</f>
        <v>CCGT</v>
      </c>
      <c r="O1530" t="str">
        <f t="shared" si="118"/>
        <v>CCGT_2034</v>
      </c>
      <c r="P1530">
        <f t="shared" si="119"/>
        <v>31</v>
      </c>
    </row>
    <row r="1531" spans="4:16" x14ac:dyDescent="0.25">
      <c r="D1531">
        <v>2035</v>
      </c>
      <c r="E1531" t="s">
        <v>123</v>
      </c>
      <c r="F1531" t="s">
        <v>224</v>
      </c>
      <c r="G1531">
        <v>31</v>
      </c>
      <c r="I1531">
        <f t="shared" si="120"/>
        <v>0</v>
      </c>
      <c r="J1531">
        <f t="shared" si="120"/>
        <v>0</v>
      </c>
      <c r="K1531">
        <f t="shared" si="120"/>
        <v>0</v>
      </c>
      <c r="M1531" t="str" cm="1">
        <f t="array" ref="M1531">IFERROR(INDEX($I$2:$K$2,0,MATCH(TRUE,I1531:K1531,0)),E1531)</f>
        <v>CCGT</v>
      </c>
      <c r="O1531" t="str">
        <f t="shared" si="118"/>
        <v>CCGT_2035</v>
      </c>
      <c r="P1531">
        <f t="shared" si="119"/>
        <v>31</v>
      </c>
    </row>
    <row r="1532" spans="4:16" x14ac:dyDescent="0.25">
      <c r="D1532">
        <v>2036</v>
      </c>
      <c r="E1532" t="s">
        <v>123</v>
      </c>
      <c r="F1532" t="s">
        <v>224</v>
      </c>
      <c r="G1532">
        <v>31</v>
      </c>
      <c r="I1532">
        <f t="shared" si="120"/>
        <v>0</v>
      </c>
      <c r="J1532">
        <f t="shared" si="120"/>
        <v>0</v>
      </c>
      <c r="K1532">
        <f t="shared" si="120"/>
        <v>0</v>
      </c>
      <c r="M1532" t="str" cm="1">
        <f t="array" ref="M1532">IFERROR(INDEX($I$2:$K$2,0,MATCH(TRUE,I1532:K1532,0)),E1532)</f>
        <v>CCGT</v>
      </c>
      <c r="O1532" t="str">
        <f t="shared" si="118"/>
        <v>CCGT_2036</v>
      </c>
      <c r="P1532">
        <f t="shared" si="119"/>
        <v>31</v>
      </c>
    </row>
    <row r="1533" spans="4:16" x14ac:dyDescent="0.25">
      <c r="D1533">
        <v>2037</v>
      </c>
      <c r="E1533" t="s">
        <v>123</v>
      </c>
      <c r="F1533" t="s">
        <v>224</v>
      </c>
      <c r="G1533">
        <v>31</v>
      </c>
      <c r="I1533">
        <f t="shared" si="120"/>
        <v>0</v>
      </c>
      <c r="J1533">
        <f t="shared" si="120"/>
        <v>0</v>
      </c>
      <c r="K1533">
        <f t="shared" si="120"/>
        <v>0</v>
      </c>
      <c r="M1533" t="str" cm="1">
        <f t="array" ref="M1533">IFERROR(INDEX($I$2:$K$2,0,MATCH(TRUE,I1533:K1533,0)),E1533)</f>
        <v>CCGT</v>
      </c>
      <c r="O1533" t="str">
        <f t="shared" si="118"/>
        <v>CCGT_2037</v>
      </c>
      <c r="P1533">
        <f t="shared" si="119"/>
        <v>31</v>
      </c>
    </row>
    <row r="1534" spans="4:16" x14ac:dyDescent="0.25">
      <c r="D1534">
        <v>2038</v>
      </c>
      <c r="E1534" t="s">
        <v>123</v>
      </c>
      <c r="F1534" t="s">
        <v>224</v>
      </c>
      <c r="G1534">
        <v>31</v>
      </c>
      <c r="I1534">
        <f t="shared" si="120"/>
        <v>0</v>
      </c>
      <c r="J1534">
        <f t="shared" si="120"/>
        <v>0</v>
      </c>
      <c r="K1534">
        <f t="shared" si="120"/>
        <v>0</v>
      </c>
      <c r="M1534" t="str" cm="1">
        <f t="array" ref="M1534">IFERROR(INDEX($I$2:$K$2,0,MATCH(TRUE,I1534:K1534,0)),E1534)</f>
        <v>CCGT</v>
      </c>
      <c r="O1534" t="str">
        <f t="shared" si="118"/>
        <v>CCGT_2038</v>
      </c>
      <c r="P1534">
        <f t="shared" si="119"/>
        <v>31</v>
      </c>
    </row>
    <row r="1535" spans="4:16" x14ac:dyDescent="0.25">
      <c r="D1535">
        <v>2039</v>
      </c>
      <c r="E1535" t="s">
        <v>123</v>
      </c>
      <c r="F1535" t="s">
        <v>224</v>
      </c>
      <c r="G1535">
        <v>31</v>
      </c>
      <c r="I1535">
        <f t="shared" si="120"/>
        <v>0</v>
      </c>
      <c r="J1535">
        <f t="shared" si="120"/>
        <v>0</v>
      </c>
      <c r="K1535">
        <f t="shared" si="120"/>
        <v>0</v>
      </c>
      <c r="M1535" t="str" cm="1">
        <f t="array" ref="M1535">IFERROR(INDEX($I$2:$K$2,0,MATCH(TRUE,I1535:K1535,0)),E1535)</f>
        <v>CCGT</v>
      </c>
      <c r="O1535" t="str">
        <f t="shared" si="118"/>
        <v>CCGT_2039</v>
      </c>
      <c r="P1535">
        <f t="shared" si="119"/>
        <v>31</v>
      </c>
    </row>
    <row r="1536" spans="4:16" x14ac:dyDescent="0.25">
      <c r="D1536">
        <v>2040</v>
      </c>
      <c r="E1536" t="s">
        <v>123</v>
      </c>
      <c r="F1536" t="s">
        <v>224</v>
      </c>
      <c r="G1536">
        <v>31</v>
      </c>
      <c r="I1536">
        <f t="shared" si="120"/>
        <v>0</v>
      </c>
      <c r="J1536">
        <f t="shared" si="120"/>
        <v>0</v>
      </c>
      <c r="K1536">
        <f t="shared" si="120"/>
        <v>0</v>
      </c>
      <c r="M1536" t="str" cm="1">
        <f t="array" ref="M1536">IFERROR(INDEX($I$2:$K$2,0,MATCH(TRUE,I1536:K1536,0)),E1536)</f>
        <v>CCGT</v>
      </c>
      <c r="O1536" t="str">
        <f t="shared" si="118"/>
        <v>CCGT_2040</v>
      </c>
      <c r="P1536">
        <f t="shared" si="119"/>
        <v>31</v>
      </c>
    </row>
    <row r="1537" spans="4:16" x14ac:dyDescent="0.25">
      <c r="D1537">
        <v>2021</v>
      </c>
      <c r="E1537" t="s">
        <v>123</v>
      </c>
      <c r="F1537" t="s">
        <v>225</v>
      </c>
      <c r="G1537">
        <v>40</v>
      </c>
      <c r="I1537">
        <f t="shared" si="120"/>
        <v>0</v>
      </c>
      <c r="J1537">
        <f t="shared" si="120"/>
        <v>0</v>
      </c>
      <c r="K1537">
        <f t="shared" si="120"/>
        <v>0</v>
      </c>
      <c r="M1537" t="str" cm="1">
        <f t="array" ref="M1537">IFERROR(INDEX($I$2:$K$2,0,MATCH(TRUE,I1537:K1537,0)),E1537)</f>
        <v>CCGT</v>
      </c>
      <c r="O1537" t="str">
        <f t="shared" si="118"/>
        <v>CCGT_2021</v>
      </c>
      <c r="P1537">
        <f t="shared" si="119"/>
        <v>40</v>
      </c>
    </row>
    <row r="1538" spans="4:16" x14ac:dyDescent="0.25">
      <c r="D1538">
        <v>2022</v>
      </c>
      <c r="E1538" t="s">
        <v>123</v>
      </c>
      <c r="F1538" t="s">
        <v>225</v>
      </c>
      <c r="G1538">
        <v>40</v>
      </c>
      <c r="I1538">
        <f t="shared" si="120"/>
        <v>0</v>
      </c>
      <c r="J1538">
        <f t="shared" si="120"/>
        <v>0</v>
      </c>
      <c r="K1538">
        <f t="shared" si="120"/>
        <v>0</v>
      </c>
      <c r="M1538" t="str" cm="1">
        <f t="array" ref="M1538">IFERROR(INDEX($I$2:$K$2,0,MATCH(TRUE,I1538:K1538,0)),E1538)</f>
        <v>CCGT</v>
      </c>
      <c r="O1538" t="str">
        <f t="shared" si="118"/>
        <v>CCGT_2022</v>
      </c>
      <c r="P1538">
        <f t="shared" si="119"/>
        <v>40</v>
      </c>
    </row>
    <row r="1539" spans="4:16" x14ac:dyDescent="0.25">
      <c r="D1539">
        <v>2023</v>
      </c>
      <c r="E1539" t="s">
        <v>123</v>
      </c>
      <c r="F1539" t="s">
        <v>225</v>
      </c>
      <c r="G1539">
        <v>40</v>
      </c>
      <c r="I1539">
        <f t="shared" si="120"/>
        <v>0</v>
      </c>
      <c r="J1539">
        <f t="shared" si="120"/>
        <v>0</v>
      </c>
      <c r="K1539">
        <f t="shared" si="120"/>
        <v>0</v>
      </c>
      <c r="M1539" t="str" cm="1">
        <f t="array" ref="M1539">IFERROR(INDEX($I$2:$K$2,0,MATCH(TRUE,I1539:K1539,0)),E1539)</f>
        <v>CCGT</v>
      </c>
      <c r="O1539" t="str">
        <f t="shared" si="118"/>
        <v>CCGT_2023</v>
      </c>
      <c r="P1539">
        <f t="shared" si="119"/>
        <v>40</v>
      </c>
    </row>
    <row r="1540" spans="4:16" x14ac:dyDescent="0.25">
      <c r="D1540">
        <v>2024</v>
      </c>
      <c r="E1540" t="s">
        <v>123</v>
      </c>
      <c r="F1540" t="s">
        <v>225</v>
      </c>
      <c r="G1540">
        <v>40</v>
      </c>
      <c r="I1540">
        <f t="shared" si="120"/>
        <v>0</v>
      </c>
      <c r="J1540">
        <f t="shared" si="120"/>
        <v>0</v>
      </c>
      <c r="K1540">
        <f t="shared" si="120"/>
        <v>0</v>
      </c>
      <c r="M1540" t="str" cm="1">
        <f t="array" ref="M1540">IFERROR(INDEX($I$2:$K$2,0,MATCH(TRUE,I1540:K1540,0)),E1540)</f>
        <v>CCGT</v>
      </c>
      <c r="O1540" t="str">
        <f t="shared" si="118"/>
        <v>CCGT_2024</v>
      </c>
      <c r="P1540">
        <f t="shared" si="119"/>
        <v>40</v>
      </c>
    </row>
    <row r="1541" spans="4:16" x14ac:dyDescent="0.25">
      <c r="D1541">
        <v>2025</v>
      </c>
      <c r="E1541" t="s">
        <v>123</v>
      </c>
      <c r="F1541" t="s">
        <v>225</v>
      </c>
      <c r="G1541">
        <v>40</v>
      </c>
      <c r="I1541">
        <f t="shared" si="120"/>
        <v>0</v>
      </c>
      <c r="J1541">
        <f t="shared" si="120"/>
        <v>0</v>
      </c>
      <c r="K1541">
        <f t="shared" si="120"/>
        <v>0</v>
      </c>
      <c r="M1541" t="str" cm="1">
        <f t="array" ref="M1541">IFERROR(INDEX($I$2:$K$2,0,MATCH(TRUE,I1541:K1541,0)),E1541)</f>
        <v>CCGT</v>
      </c>
      <c r="O1541" t="str">
        <f t="shared" si="118"/>
        <v>CCGT_2025</v>
      </c>
      <c r="P1541">
        <f t="shared" si="119"/>
        <v>40</v>
      </c>
    </row>
    <row r="1542" spans="4:16" x14ac:dyDescent="0.25">
      <c r="D1542">
        <v>2026</v>
      </c>
      <c r="E1542" t="s">
        <v>123</v>
      </c>
      <c r="F1542" t="s">
        <v>225</v>
      </c>
      <c r="G1542">
        <v>40</v>
      </c>
      <c r="I1542">
        <f t="shared" si="120"/>
        <v>0</v>
      </c>
      <c r="J1542">
        <f t="shared" si="120"/>
        <v>0</v>
      </c>
      <c r="K1542">
        <f t="shared" si="120"/>
        <v>0</v>
      </c>
      <c r="M1542" t="str" cm="1">
        <f t="array" ref="M1542">IFERROR(INDEX($I$2:$K$2,0,MATCH(TRUE,I1542:K1542,0)),E1542)</f>
        <v>CCGT</v>
      </c>
      <c r="O1542" t="str">
        <f t="shared" si="118"/>
        <v>CCGT_2026</v>
      </c>
      <c r="P1542">
        <f t="shared" si="119"/>
        <v>40</v>
      </c>
    </row>
    <row r="1543" spans="4:16" x14ac:dyDescent="0.25">
      <c r="D1543">
        <v>2027</v>
      </c>
      <c r="E1543" t="s">
        <v>123</v>
      </c>
      <c r="F1543" t="s">
        <v>225</v>
      </c>
      <c r="G1543">
        <v>40</v>
      </c>
      <c r="I1543">
        <f t="shared" si="120"/>
        <v>0</v>
      </c>
      <c r="J1543">
        <f t="shared" si="120"/>
        <v>0</v>
      </c>
      <c r="K1543">
        <f t="shared" si="120"/>
        <v>0</v>
      </c>
      <c r="M1543" t="str" cm="1">
        <f t="array" ref="M1543">IFERROR(INDEX($I$2:$K$2,0,MATCH(TRUE,I1543:K1543,0)),E1543)</f>
        <v>CCGT</v>
      </c>
      <c r="O1543" t="str">
        <f t="shared" si="118"/>
        <v>CCGT_2027</v>
      </c>
      <c r="P1543">
        <f t="shared" si="119"/>
        <v>40</v>
      </c>
    </row>
    <row r="1544" spans="4:16" x14ac:dyDescent="0.25">
      <c r="D1544">
        <v>2028</v>
      </c>
      <c r="E1544" t="s">
        <v>123</v>
      </c>
      <c r="F1544" t="s">
        <v>225</v>
      </c>
      <c r="G1544">
        <v>40</v>
      </c>
      <c r="I1544">
        <f t="shared" si="120"/>
        <v>0</v>
      </c>
      <c r="J1544">
        <f t="shared" si="120"/>
        <v>0</v>
      </c>
      <c r="K1544">
        <f t="shared" si="120"/>
        <v>0</v>
      </c>
      <c r="M1544" t="str" cm="1">
        <f t="array" ref="M1544">IFERROR(INDEX($I$2:$K$2,0,MATCH(TRUE,I1544:K1544,0)),E1544)</f>
        <v>CCGT</v>
      </c>
      <c r="O1544" t="str">
        <f t="shared" si="118"/>
        <v>CCGT_2028</v>
      </c>
      <c r="P1544">
        <f t="shared" si="119"/>
        <v>40</v>
      </c>
    </row>
    <row r="1545" spans="4:16" x14ac:dyDescent="0.25">
      <c r="D1545">
        <v>2029</v>
      </c>
      <c r="E1545" t="s">
        <v>123</v>
      </c>
      <c r="F1545" t="s">
        <v>225</v>
      </c>
      <c r="G1545">
        <v>40</v>
      </c>
      <c r="I1545">
        <f t="shared" si="120"/>
        <v>0</v>
      </c>
      <c r="J1545">
        <f t="shared" si="120"/>
        <v>0</v>
      </c>
      <c r="K1545">
        <f t="shared" si="120"/>
        <v>0</v>
      </c>
      <c r="M1545" t="str" cm="1">
        <f t="array" ref="M1545">IFERROR(INDEX($I$2:$K$2,0,MATCH(TRUE,I1545:K1545,0)),E1545)</f>
        <v>CCGT</v>
      </c>
      <c r="O1545" t="str">
        <f t="shared" si="118"/>
        <v>CCGT_2029</v>
      </c>
      <c r="P1545">
        <f t="shared" si="119"/>
        <v>40</v>
      </c>
    </row>
    <row r="1546" spans="4:16" x14ac:dyDescent="0.25">
      <c r="D1546">
        <v>2030</v>
      </c>
      <c r="E1546" t="s">
        <v>123</v>
      </c>
      <c r="F1546" t="s">
        <v>225</v>
      </c>
      <c r="G1546">
        <v>40</v>
      </c>
      <c r="I1546">
        <f t="shared" si="120"/>
        <v>0</v>
      </c>
      <c r="J1546">
        <f t="shared" si="120"/>
        <v>0</v>
      </c>
      <c r="K1546">
        <f t="shared" si="120"/>
        <v>0</v>
      </c>
      <c r="M1546" t="str" cm="1">
        <f t="array" ref="M1546">IFERROR(INDEX($I$2:$K$2,0,MATCH(TRUE,I1546:K1546,0)),E1546)</f>
        <v>CCGT</v>
      </c>
      <c r="O1546" t="str">
        <f t="shared" si="118"/>
        <v>CCGT_2030</v>
      </c>
      <c r="P1546">
        <f t="shared" si="119"/>
        <v>40</v>
      </c>
    </row>
    <row r="1547" spans="4:16" x14ac:dyDescent="0.25">
      <c r="D1547">
        <v>2031</v>
      </c>
      <c r="E1547" t="s">
        <v>123</v>
      </c>
      <c r="F1547" t="s">
        <v>225</v>
      </c>
      <c r="G1547">
        <v>40</v>
      </c>
      <c r="I1547">
        <f t="shared" si="120"/>
        <v>0</v>
      </c>
      <c r="J1547">
        <f t="shared" si="120"/>
        <v>0</v>
      </c>
      <c r="K1547">
        <f t="shared" si="120"/>
        <v>0</v>
      </c>
      <c r="M1547" t="str" cm="1">
        <f t="array" ref="M1547">IFERROR(INDEX($I$2:$K$2,0,MATCH(TRUE,I1547:K1547,0)),E1547)</f>
        <v>CCGT</v>
      </c>
      <c r="O1547" t="str">
        <f t="shared" si="118"/>
        <v>CCGT_2031</v>
      </c>
      <c r="P1547">
        <f t="shared" si="119"/>
        <v>40</v>
      </c>
    </row>
    <row r="1548" spans="4:16" x14ac:dyDescent="0.25">
      <c r="D1548">
        <v>2032</v>
      </c>
      <c r="E1548" t="s">
        <v>123</v>
      </c>
      <c r="F1548" t="s">
        <v>225</v>
      </c>
      <c r="G1548">
        <v>40</v>
      </c>
      <c r="I1548">
        <f t="shared" si="120"/>
        <v>0</v>
      </c>
      <c r="J1548">
        <f t="shared" si="120"/>
        <v>0</v>
      </c>
      <c r="K1548">
        <f t="shared" si="120"/>
        <v>0</v>
      </c>
      <c r="M1548" t="str" cm="1">
        <f t="array" ref="M1548">IFERROR(INDEX($I$2:$K$2,0,MATCH(TRUE,I1548:K1548,0)),E1548)</f>
        <v>CCGT</v>
      </c>
      <c r="O1548" t="str">
        <f t="shared" si="118"/>
        <v>CCGT_2032</v>
      </c>
      <c r="P1548">
        <f t="shared" si="119"/>
        <v>40</v>
      </c>
    </row>
    <row r="1549" spans="4:16" x14ac:dyDescent="0.25">
      <c r="D1549">
        <v>2033</v>
      </c>
      <c r="E1549" t="s">
        <v>123</v>
      </c>
      <c r="F1549" t="s">
        <v>225</v>
      </c>
      <c r="G1549">
        <v>40</v>
      </c>
      <c r="I1549">
        <f t="shared" si="120"/>
        <v>0</v>
      </c>
      <c r="J1549">
        <f t="shared" si="120"/>
        <v>0</v>
      </c>
      <c r="K1549">
        <f t="shared" si="120"/>
        <v>0</v>
      </c>
      <c r="M1549" t="str" cm="1">
        <f t="array" ref="M1549">IFERROR(INDEX($I$2:$K$2,0,MATCH(TRUE,I1549:K1549,0)),E1549)</f>
        <v>CCGT</v>
      </c>
      <c r="O1549" t="str">
        <f t="shared" si="118"/>
        <v>CCGT_2033</v>
      </c>
      <c r="P1549">
        <f t="shared" si="119"/>
        <v>40</v>
      </c>
    </row>
    <row r="1550" spans="4:16" x14ac:dyDescent="0.25">
      <c r="D1550">
        <v>2034</v>
      </c>
      <c r="E1550" t="s">
        <v>123</v>
      </c>
      <c r="F1550" t="s">
        <v>225</v>
      </c>
      <c r="G1550">
        <v>40</v>
      </c>
      <c r="I1550">
        <f t="shared" si="120"/>
        <v>0</v>
      </c>
      <c r="J1550">
        <f t="shared" si="120"/>
        <v>0</v>
      </c>
      <c r="K1550">
        <f t="shared" si="120"/>
        <v>0</v>
      </c>
      <c r="M1550" t="str" cm="1">
        <f t="array" ref="M1550">IFERROR(INDEX($I$2:$K$2,0,MATCH(TRUE,I1550:K1550,0)),E1550)</f>
        <v>CCGT</v>
      </c>
      <c r="O1550" t="str">
        <f t="shared" si="118"/>
        <v>CCGT_2034</v>
      </c>
      <c r="P1550">
        <f t="shared" si="119"/>
        <v>40</v>
      </c>
    </row>
    <row r="1551" spans="4:16" x14ac:dyDescent="0.25">
      <c r="D1551">
        <v>2035</v>
      </c>
      <c r="E1551" t="s">
        <v>123</v>
      </c>
      <c r="F1551" t="s">
        <v>225</v>
      </c>
      <c r="G1551">
        <v>40</v>
      </c>
      <c r="I1551">
        <f t="shared" si="120"/>
        <v>0</v>
      </c>
      <c r="J1551">
        <f t="shared" si="120"/>
        <v>0</v>
      </c>
      <c r="K1551">
        <f t="shared" si="120"/>
        <v>0</v>
      </c>
      <c r="M1551" t="str" cm="1">
        <f t="array" ref="M1551">IFERROR(INDEX($I$2:$K$2,0,MATCH(TRUE,I1551:K1551,0)),E1551)</f>
        <v>CCGT</v>
      </c>
      <c r="O1551" t="str">
        <f t="shared" si="118"/>
        <v>CCGT_2035</v>
      </c>
      <c r="P1551">
        <f t="shared" si="119"/>
        <v>40</v>
      </c>
    </row>
    <row r="1552" spans="4:16" x14ac:dyDescent="0.25">
      <c r="D1552">
        <v>2036</v>
      </c>
      <c r="E1552" t="s">
        <v>123</v>
      </c>
      <c r="F1552" t="s">
        <v>225</v>
      </c>
      <c r="G1552">
        <v>40</v>
      </c>
      <c r="I1552">
        <f t="shared" si="120"/>
        <v>0</v>
      </c>
      <c r="J1552">
        <f t="shared" si="120"/>
        <v>0</v>
      </c>
      <c r="K1552">
        <f t="shared" si="120"/>
        <v>0</v>
      </c>
      <c r="M1552" t="str" cm="1">
        <f t="array" ref="M1552">IFERROR(INDEX($I$2:$K$2,0,MATCH(TRUE,I1552:K1552,0)),E1552)</f>
        <v>CCGT</v>
      </c>
      <c r="O1552" t="str">
        <f t="shared" si="118"/>
        <v>CCGT_2036</v>
      </c>
      <c r="P1552">
        <f t="shared" si="119"/>
        <v>40</v>
      </c>
    </row>
    <row r="1553" spans="4:16" x14ac:dyDescent="0.25">
      <c r="D1553">
        <v>2037</v>
      </c>
      <c r="E1553" t="s">
        <v>123</v>
      </c>
      <c r="F1553" t="s">
        <v>225</v>
      </c>
      <c r="G1553">
        <v>40</v>
      </c>
      <c r="I1553">
        <f t="shared" si="120"/>
        <v>0</v>
      </c>
      <c r="J1553">
        <f t="shared" si="120"/>
        <v>0</v>
      </c>
      <c r="K1553">
        <f t="shared" si="120"/>
        <v>0</v>
      </c>
      <c r="M1553" t="str" cm="1">
        <f t="array" ref="M1553">IFERROR(INDEX($I$2:$K$2,0,MATCH(TRUE,I1553:K1553,0)),E1553)</f>
        <v>CCGT</v>
      </c>
      <c r="O1553" t="str">
        <f t="shared" si="118"/>
        <v>CCGT_2037</v>
      </c>
      <c r="P1553">
        <f t="shared" si="119"/>
        <v>40</v>
      </c>
    </row>
    <row r="1554" spans="4:16" x14ac:dyDescent="0.25">
      <c r="D1554">
        <v>2038</v>
      </c>
      <c r="E1554" t="s">
        <v>123</v>
      </c>
      <c r="F1554" t="s">
        <v>225</v>
      </c>
      <c r="G1554">
        <v>40</v>
      </c>
      <c r="I1554">
        <f t="shared" si="120"/>
        <v>0</v>
      </c>
      <c r="J1554">
        <f t="shared" si="120"/>
        <v>0</v>
      </c>
      <c r="K1554">
        <f t="shared" si="120"/>
        <v>0</v>
      </c>
      <c r="M1554" t="str" cm="1">
        <f t="array" ref="M1554">IFERROR(INDEX($I$2:$K$2,0,MATCH(TRUE,I1554:K1554,0)),E1554)</f>
        <v>CCGT</v>
      </c>
      <c r="O1554" t="str">
        <f t="shared" si="118"/>
        <v>CCGT_2038</v>
      </c>
      <c r="P1554">
        <f t="shared" si="119"/>
        <v>40</v>
      </c>
    </row>
    <row r="1555" spans="4:16" x14ac:dyDescent="0.25">
      <c r="D1555">
        <v>2039</v>
      </c>
      <c r="E1555" t="s">
        <v>123</v>
      </c>
      <c r="F1555" t="s">
        <v>225</v>
      </c>
      <c r="G1555">
        <v>40</v>
      </c>
      <c r="I1555">
        <f t="shared" si="120"/>
        <v>0</v>
      </c>
      <c r="J1555">
        <f t="shared" si="120"/>
        <v>0</v>
      </c>
      <c r="K1555">
        <f t="shared" si="120"/>
        <v>0</v>
      </c>
      <c r="M1555" t="str" cm="1">
        <f t="array" ref="M1555">IFERROR(INDEX($I$2:$K$2,0,MATCH(TRUE,I1555:K1555,0)),E1555)</f>
        <v>CCGT</v>
      </c>
      <c r="O1555" t="str">
        <f t="shared" ref="O1555:O1618" si="121">M1555&amp;"_"&amp;D1555</f>
        <v>CCGT_2039</v>
      </c>
      <c r="P1555">
        <f t="shared" ref="P1555:P1618" si="122">G1555</f>
        <v>40</v>
      </c>
    </row>
    <row r="1556" spans="4:16" x14ac:dyDescent="0.25">
      <c r="D1556">
        <v>2040</v>
      </c>
      <c r="E1556" t="s">
        <v>123</v>
      </c>
      <c r="F1556" t="s">
        <v>225</v>
      </c>
      <c r="G1556">
        <v>40</v>
      </c>
      <c r="I1556">
        <f t="shared" si="120"/>
        <v>0</v>
      </c>
      <c r="J1556">
        <f t="shared" si="120"/>
        <v>0</v>
      </c>
      <c r="K1556">
        <f t="shared" si="120"/>
        <v>0</v>
      </c>
      <c r="M1556" t="str" cm="1">
        <f t="array" ref="M1556">IFERROR(INDEX($I$2:$K$2,0,MATCH(TRUE,I1556:K1556,0)),E1556)</f>
        <v>CCGT</v>
      </c>
      <c r="O1556" t="str">
        <f t="shared" si="121"/>
        <v>CCGT_2040</v>
      </c>
      <c r="P1556">
        <f t="shared" si="122"/>
        <v>40</v>
      </c>
    </row>
    <row r="1557" spans="4:16" x14ac:dyDescent="0.25">
      <c r="D1557">
        <v>2021</v>
      </c>
      <c r="E1557" t="s">
        <v>123</v>
      </c>
      <c r="F1557" t="s">
        <v>226</v>
      </c>
      <c r="G1557">
        <v>84.6</v>
      </c>
      <c r="I1557">
        <f t="shared" ref="I1557:K1620" si="123">IFERROR(FIND(I$2,$E1557,1)&gt;0,0)</f>
        <v>0</v>
      </c>
      <c r="J1557">
        <f t="shared" si="123"/>
        <v>0</v>
      </c>
      <c r="K1557">
        <f t="shared" si="123"/>
        <v>0</v>
      </c>
      <c r="M1557" t="str" cm="1">
        <f t="array" ref="M1557">IFERROR(INDEX($I$2:$K$2,0,MATCH(TRUE,I1557:K1557,0)),E1557)</f>
        <v>CCGT</v>
      </c>
      <c r="O1557" t="str">
        <f t="shared" si="121"/>
        <v>CCGT_2021</v>
      </c>
      <c r="P1557">
        <f t="shared" si="122"/>
        <v>84.6</v>
      </c>
    </row>
    <row r="1558" spans="4:16" x14ac:dyDescent="0.25">
      <c r="D1558">
        <v>2022</v>
      </c>
      <c r="E1558" t="s">
        <v>123</v>
      </c>
      <c r="F1558" t="s">
        <v>226</v>
      </c>
      <c r="G1558">
        <v>84.6</v>
      </c>
      <c r="I1558">
        <f t="shared" si="123"/>
        <v>0</v>
      </c>
      <c r="J1558">
        <f t="shared" si="123"/>
        <v>0</v>
      </c>
      <c r="K1558">
        <f t="shared" si="123"/>
        <v>0</v>
      </c>
      <c r="M1558" t="str" cm="1">
        <f t="array" ref="M1558">IFERROR(INDEX($I$2:$K$2,0,MATCH(TRUE,I1558:K1558,0)),E1558)</f>
        <v>CCGT</v>
      </c>
      <c r="O1558" t="str">
        <f t="shared" si="121"/>
        <v>CCGT_2022</v>
      </c>
      <c r="P1558">
        <f t="shared" si="122"/>
        <v>84.6</v>
      </c>
    </row>
    <row r="1559" spans="4:16" x14ac:dyDescent="0.25">
      <c r="D1559">
        <v>2023</v>
      </c>
      <c r="E1559" t="s">
        <v>123</v>
      </c>
      <c r="F1559" t="s">
        <v>226</v>
      </c>
      <c r="G1559">
        <v>84.6</v>
      </c>
      <c r="I1559">
        <f t="shared" si="123"/>
        <v>0</v>
      </c>
      <c r="J1559">
        <f t="shared" si="123"/>
        <v>0</v>
      </c>
      <c r="K1559">
        <f t="shared" si="123"/>
        <v>0</v>
      </c>
      <c r="M1559" t="str" cm="1">
        <f t="array" ref="M1559">IFERROR(INDEX($I$2:$K$2,0,MATCH(TRUE,I1559:K1559,0)),E1559)</f>
        <v>CCGT</v>
      </c>
      <c r="O1559" t="str">
        <f t="shared" si="121"/>
        <v>CCGT_2023</v>
      </c>
      <c r="P1559">
        <f t="shared" si="122"/>
        <v>84.6</v>
      </c>
    </row>
    <row r="1560" spans="4:16" x14ac:dyDescent="0.25">
      <c r="D1560">
        <v>2024</v>
      </c>
      <c r="E1560" t="s">
        <v>123</v>
      </c>
      <c r="F1560" t="s">
        <v>226</v>
      </c>
      <c r="G1560">
        <v>84.6</v>
      </c>
      <c r="I1560">
        <f t="shared" si="123"/>
        <v>0</v>
      </c>
      <c r="J1560">
        <f t="shared" si="123"/>
        <v>0</v>
      </c>
      <c r="K1560">
        <f t="shared" si="123"/>
        <v>0</v>
      </c>
      <c r="M1560" t="str" cm="1">
        <f t="array" ref="M1560">IFERROR(INDEX($I$2:$K$2,0,MATCH(TRUE,I1560:K1560,0)),E1560)</f>
        <v>CCGT</v>
      </c>
      <c r="O1560" t="str">
        <f t="shared" si="121"/>
        <v>CCGT_2024</v>
      </c>
      <c r="P1560">
        <f t="shared" si="122"/>
        <v>84.6</v>
      </c>
    </row>
    <row r="1561" spans="4:16" x14ac:dyDescent="0.25">
      <c r="D1561">
        <v>2025</v>
      </c>
      <c r="E1561" t="s">
        <v>123</v>
      </c>
      <c r="F1561" t="s">
        <v>226</v>
      </c>
      <c r="G1561">
        <v>84.6</v>
      </c>
      <c r="I1561">
        <f t="shared" si="123"/>
        <v>0</v>
      </c>
      <c r="J1561">
        <f t="shared" si="123"/>
        <v>0</v>
      </c>
      <c r="K1561">
        <f t="shared" si="123"/>
        <v>0</v>
      </c>
      <c r="M1561" t="str" cm="1">
        <f t="array" ref="M1561">IFERROR(INDEX($I$2:$K$2,0,MATCH(TRUE,I1561:K1561,0)),E1561)</f>
        <v>CCGT</v>
      </c>
      <c r="O1561" t="str">
        <f t="shared" si="121"/>
        <v>CCGT_2025</v>
      </c>
      <c r="P1561">
        <f t="shared" si="122"/>
        <v>84.6</v>
      </c>
    </row>
    <row r="1562" spans="4:16" x14ac:dyDescent="0.25">
      <c r="D1562">
        <v>2026</v>
      </c>
      <c r="E1562" t="s">
        <v>123</v>
      </c>
      <c r="F1562" t="s">
        <v>226</v>
      </c>
      <c r="G1562">
        <v>84.6</v>
      </c>
      <c r="I1562">
        <f t="shared" si="123"/>
        <v>0</v>
      </c>
      <c r="J1562">
        <f t="shared" si="123"/>
        <v>0</v>
      </c>
      <c r="K1562">
        <f t="shared" si="123"/>
        <v>0</v>
      </c>
      <c r="M1562" t="str" cm="1">
        <f t="array" ref="M1562">IFERROR(INDEX($I$2:$K$2,0,MATCH(TRUE,I1562:K1562,0)),E1562)</f>
        <v>CCGT</v>
      </c>
      <c r="O1562" t="str">
        <f t="shared" si="121"/>
        <v>CCGT_2026</v>
      </c>
      <c r="P1562">
        <f t="shared" si="122"/>
        <v>84.6</v>
      </c>
    </row>
    <row r="1563" spans="4:16" x14ac:dyDescent="0.25">
      <c r="D1563">
        <v>2027</v>
      </c>
      <c r="E1563" t="s">
        <v>123</v>
      </c>
      <c r="F1563" t="s">
        <v>226</v>
      </c>
      <c r="G1563">
        <v>84.6</v>
      </c>
      <c r="I1563">
        <f t="shared" si="123"/>
        <v>0</v>
      </c>
      <c r="J1563">
        <f t="shared" si="123"/>
        <v>0</v>
      </c>
      <c r="K1563">
        <f t="shared" si="123"/>
        <v>0</v>
      </c>
      <c r="M1563" t="str" cm="1">
        <f t="array" ref="M1563">IFERROR(INDEX($I$2:$K$2,0,MATCH(TRUE,I1563:K1563,0)),E1563)</f>
        <v>CCGT</v>
      </c>
      <c r="O1563" t="str">
        <f t="shared" si="121"/>
        <v>CCGT_2027</v>
      </c>
      <c r="P1563">
        <f t="shared" si="122"/>
        <v>84.6</v>
      </c>
    </row>
    <row r="1564" spans="4:16" x14ac:dyDescent="0.25">
      <c r="D1564">
        <v>2028</v>
      </c>
      <c r="E1564" t="s">
        <v>123</v>
      </c>
      <c r="F1564" t="s">
        <v>226</v>
      </c>
      <c r="G1564">
        <v>84.6</v>
      </c>
      <c r="I1564">
        <f t="shared" si="123"/>
        <v>0</v>
      </c>
      <c r="J1564">
        <f t="shared" si="123"/>
        <v>0</v>
      </c>
      <c r="K1564">
        <f t="shared" si="123"/>
        <v>0</v>
      </c>
      <c r="M1564" t="str" cm="1">
        <f t="array" ref="M1564">IFERROR(INDEX($I$2:$K$2,0,MATCH(TRUE,I1564:K1564,0)),E1564)</f>
        <v>CCGT</v>
      </c>
      <c r="O1564" t="str">
        <f t="shared" si="121"/>
        <v>CCGT_2028</v>
      </c>
      <c r="P1564">
        <f t="shared" si="122"/>
        <v>84.6</v>
      </c>
    </row>
    <row r="1565" spans="4:16" x14ac:dyDescent="0.25">
      <c r="D1565">
        <v>2029</v>
      </c>
      <c r="E1565" t="s">
        <v>123</v>
      </c>
      <c r="F1565" t="s">
        <v>226</v>
      </c>
      <c r="G1565">
        <v>84.6</v>
      </c>
      <c r="I1565">
        <f t="shared" si="123"/>
        <v>0</v>
      </c>
      <c r="J1565">
        <f t="shared" si="123"/>
        <v>0</v>
      </c>
      <c r="K1565">
        <f t="shared" si="123"/>
        <v>0</v>
      </c>
      <c r="M1565" t="str" cm="1">
        <f t="array" ref="M1565">IFERROR(INDEX($I$2:$K$2,0,MATCH(TRUE,I1565:K1565,0)),E1565)</f>
        <v>CCGT</v>
      </c>
      <c r="O1565" t="str">
        <f t="shared" si="121"/>
        <v>CCGT_2029</v>
      </c>
      <c r="P1565">
        <f t="shared" si="122"/>
        <v>84.6</v>
      </c>
    </row>
    <row r="1566" spans="4:16" x14ac:dyDescent="0.25">
      <c r="D1566">
        <v>2030</v>
      </c>
      <c r="E1566" t="s">
        <v>123</v>
      </c>
      <c r="F1566" t="s">
        <v>226</v>
      </c>
      <c r="G1566">
        <v>84.6</v>
      </c>
      <c r="I1566">
        <f t="shared" si="123"/>
        <v>0</v>
      </c>
      <c r="J1566">
        <f t="shared" si="123"/>
        <v>0</v>
      </c>
      <c r="K1566">
        <f t="shared" si="123"/>
        <v>0</v>
      </c>
      <c r="M1566" t="str" cm="1">
        <f t="array" ref="M1566">IFERROR(INDEX($I$2:$K$2,0,MATCH(TRUE,I1566:K1566,0)),E1566)</f>
        <v>CCGT</v>
      </c>
      <c r="O1566" t="str">
        <f t="shared" si="121"/>
        <v>CCGT_2030</v>
      </c>
      <c r="P1566">
        <f t="shared" si="122"/>
        <v>84.6</v>
      </c>
    </row>
    <row r="1567" spans="4:16" x14ac:dyDescent="0.25">
      <c r="D1567">
        <v>2031</v>
      </c>
      <c r="E1567" t="s">
        <v>123</v>
      </c>
      <c r="F1567" t="s">
        <v>226</v>
      </c>
      <c r="G1567">
        <v>84.6</v>
      </c>
      <c r="I1567">
        <f t="shared" si="123"/>
        <v>0</v>
      </c>
      <c r="J1567">
        <f t="shared" si="123"/>
        <v>0</v>
      </c>
      <c r="K1567">
        <f t="shared" si="123"/>
        <v>0</v>
      </c>
      <c r="M1567" t="str" cm="1">
        <f t="array" ref="M1567">IFERROR(INDEX($I$2:$K$2,0,MATCH(TRUE,I1567:K1567,0)),E1567)</f>
        <v>CCGT</v>
      </c>
      <c r="O1567" t="str">
        <f t="shared" si="121"/>
        <v>CCGT_2031</v>
      </c>
      <c r="P1567">
        <f t="shared" si="122"/>
        <v>84.6</v>
      </c>
    </row>
    <row r="1568" spans="4:16" x14ac:dyDescent="0.25">
      <c r="D1568">
        <v>2032</v>
      </c>
      <c r="E1568" t="s">
        <v>123</v>
      </c>
      <c r="F1568" t="s">
        <v>226</v>
      </c>
      <c r="G1568">
        <v>84.6</v>
      </c>
      <c r="I1568">
        <f t="shared" si="123"/>
        <v>0</v>
      </c>
      <c r="J1568">
        <f t="shared" si="123"/>
        <v>0</v>
      </c>
      <c r="K1568">
        <f t="shared" si="123"/>
        <v>0</v>
      </c>
      <c r="M1568" t="str" cm="1">
        <f t="array" ref="M1568">IFERROR(INDEX($I$2:$K$2,0,MATCH(TRUE,I1568:K1568,0)),E1568)</f>
        <v>CCGT</v>
      </c>
      <c r="O1568" t="str">
        <f t="shared" si="121"/>
        <v>CCGT_2032</v>
      </c>
      <c r="P1568">
        <f t="shared" si="122"/>
        <v>84.6</v>
      </c>
    </row>
    <row r="1569" spans="4:16" x14ac:dyDescent="0.25">
      <c r="D1569">
        <v>2033</v>
      </c>
      <c r="E1569" t="s">
        <v>123</v>
      </c>
      <c r="F1569" t="s">
        <v>226</v>
      </c>
      <c r="G1569">
        <v>84.6</v>
      </c>
      <c r="I1569">
        <f t="shared" si="123"/>
        <v>0</v>
      </c>
      <c r="J1569">
        <f t="shared" si="123"/>
        <v>0</v>
      </c>
      <c r="K1569">
        <f t="shared" si="123"/>
        <v>0</v>
      </c>
      <c r="M1569" t="str" cm="1">
        <f t="array" ref="M1569">IFERROR(INDEX($I$2:$K$2,0,MATCH(TRUE,I1569:K1569,0)),E1569)</f>
        <v>CCGT</v>
      </c>
      <c r="O1569" t="str">
        <f t="shared" si="121"/>
        <v>CCGT_2033</v>
      </c>
      <c r="P1569">
        <f t="shared" si="122"/>
        <v>84.6</v>
      </c>
    </row>
    <row r="1570" spans="4:16" x14ac:dyDescent="0.25">
      <c r="D1570">
        <v>2034</v>
      </c>
      <c r="E1570" t="s">
        <v>123</v>
      </c>
      <c r="F1570" t="s">
        <v>226</v>
      </c>
      <c r="G1570">
        <v>84.6</v>
      </c>
      <c r="I1570">
        <f t="shared" si="123"/>
        <v>0</v>
      </c>
      <c r="J1570">
        <f t="shared" si="123"/>
        <v>0</v>
      </c>
      <c r="K1570">
        <f t="shared" si="123"/>
        <v>0</v>
      </c>
      <c r="M1570" t="str" cm="1">
        <f t="array" ref="M1570">IFERROR(INDEX($I$2:$K$2,0,MATCH(TRUE,I1570:K1570,0)),E1570)</f>
        <v>CCGT</v>
      </c>
      <c r="O1570" t="str">
        <f t="shared" si="121"/>
        <v>CCGT_2034</v>
      </c>
      <c r="P1570">
        <f t="shared" si="122"/>
        <v>84.6</v>
      </c>
    </row>
    <row r="1571" spans="4:16" x14ac:dyDescent="0.25">
      <c r="D1571">
        <v>2035</v>
      </c>
      <c r="E1571" t="s">
        <v>123</v>
      </c>
      <c r="F1571" t="s">
        <v>226</v>
      </c>
      <c r="G1571">
        <v>84.6</v>
      </c>
      <c r="I1571">
        <f t="shared" si="123"/>
        <v>0</v>
      </c>
      <c r="J1571">
        <f t="shared" si="123"/>
        <v>0</v>
      </c>
      <c r="K1571">
        <f t="shared" si="123"/>
        <v>0</v>
      </c>
      <c r="M1571" t="str" cm="1">
        <f t="array" ref="M1571">IFERROR(INDEX($I$2:$K$2,0,MATCH(TRUE,I1571:K1571,0)),E1571)</f>
        <v>CCGT</v>
      </c>
      <c r="O1571" t="str">
        <f t="shared" si="121"/>
        <v>CCGT_2035</v>
      </c>
      <c r="P1571">
        <f t="shared" si="122"/>
        <v>84.6</v>
      </c>
    </row>
    <row r="1572" spans="4:16" x14ac:dyDescent="0.25">
      <c r="D1572">
        <v>2036</v>
      </c>
      <c r="E1572" t="s">
        <v>123</v>
      </c>
      <c r="F1572" t="s">
        <v>226</v>
      </c>
      <c r="G1572">
        <v>84.6</v>
      </c>
      <c r="I1572">
        <f t="shared" si="123"/>
        <v>0</v>
      </c>
      <c r="J1572">
        <f t="shared" si="123"/>
        <v>0</v>
      </c>
      <c r="K1572">
        <f t="shared" si="123"/>
        <v>0</v>
      </c>
      <c r="M1572" t="str" cm="1">
        <f t="array" ref="M1572">IFERROR(INDEX($I$2:$K$2,0,MATCH(TRUE,I1572:K1572,0)),E1572)</f>
        <v>CCGT</v>
      </c>
      <c r="O1572" t="str">
        <f t="shared" si="121"/>
        <v>CCGT_2036</v>
      </c>
      <c r="P1572">
        <f t="shared" si="122"/>
        <v>84.6</v>
      </c>
    </row>
    <row r="1573" spans="4:16" x14ac:dyDescent="0.25">
      <c r="D1573">
        <v>2037</v>
      </c>
      <c r="E1573" t="s">
        <v>123</v>
      </c>
      <c r="F1573" t="s">
        <v>226</v>
      </c>
      <c r="G1573">
        <v>84.6</v>
      </c>
      <c r="I1573">
        <f t="shared" si="123"/>
        <v>0</v>
      </c>
      <c r="J1573">
        <f t="shared" si="123"/>
        <v>0</v>
      </c>
      <c r="K1573">
        <f t="shared" si="123"/>
        <v>0</v>
      </c>
      <c r="M1573" t="str" cm="1">
        <f t="array" ref="M1573">IFERROR(INDEX($I$2:$K$2,0,MATCH(TRUE,I1573:K1573,0)),E1573)</f>
        <v>CCGT</v>
      </c>
      <c r="O1573" t="str">
        <f t="shared" si="121"/>
        <v>CCGT_2037</v>
      </c>
      <c r="P1573">
        <f t="shared" si="122"/>
        <v>84.6</v>
      </c>
    </row>
    <row r="1574" spans="4:16" x14ac:dyDescent="0.25">
      <c r="D1574">
        <v>2038</v>
      </c>
      <c r="E1574" t="s">
        <v>123</v>
      </c>
      <c r="F1574" t="s">
        <v>226</v>
      </c>
      <c r="G1574">
        <v>84.6</v>
      </c>
      <c r="I1574">
        <f t="shared" si="123"/>
        <v>0</v>
      </c>
      <c r="J1574">
        <f t="shared" si="123"/>
        <v>0</v>
      </c>
      <c r="K1574">
        <f t="shared" si="123"/>
        <v>0</v>
      </c>
      <c r="M1574" t="str" cm="1">
        <f t="array" ref="M1574">IFERROR(INDEX($I$2:$K$2,0,MATCH(TRUE,I1574:K1574,0)),E1574)</f>
        <v>CCGT</v>
      </c>
      <c r="O1574" t="str">
        <f t="shared" si="121"/>
        <v>CCGT_2038</v>
      </c>
      <c r="P1574">
        <f t="shared" si="122"/>
        <v>84.6</v>
      </c>
    </row>
    <row r="1575" spans="4:16" x14ac:dyDescent="0.25">
      <c r="D1575">
        <v>2039</v>
      </c>
      <c r="E1575" t="s">
        <v>123</v>
      </c>
      <c r="F1575" t="s">
        <v>226</v>
      </c>
      <c r="G1575">
        <v>84.6</v>
      </c>
      <c r="I1575">
        <f t="shared" si="123"/>
        <v>0</v>
      </c>
      <c r="J1575">
        <f t="shared" si="123"/>
        <v>0</v>
      </c>
      <c r="K1575">
        <f t="shared" si="123"/>
        <v>0</v>
      </c>
      <c r="M1575" t="str" cm="1">
        <f t="array" ref="M1575">IFERROR(INDEX($I$2:$K$2,0,MATCH(TRUE,I1575:K1575,0)),E1575)</f>
        <v>CCGT</v>
      </c>
      <c r="O1575" t="str">
        <f t="shared" si="121"/>
        <v>CCGT_2039</v>
      </c>
      <c r="P1575">
        <f t="shared" si="122"/>
        <v>84.6</v>
      </c>
    </row>
    <row r="1576" spans="4:16" x14ac:dyDescent="0.25">
      <c r="D1576">
        <v>2040</v>
      </c>
      <c r="E1576" t="s">
        <v>123</v>
      </c>
      <c r="F1576" t="s">
        <v>226</v>
      </c>
      <c r="G1576">
        <v>84.6</v>
      </c>
      <c r="I1576">
        <f t="shared" si="123"/>
        <v>0</v>
      </c>
      <c r="J1576">
        <f t="shared" si="123"/>
        <v>0</v>
      </c>
      <c r="K1576">
        <f t="shared" si="123"/>
        <v>0</v>
      </c>
      <c r="M1576" t="str" cm="1">
        <f t="array" ref="M1576">IFERROR(INDEX($I$2:$K$2,0,MATCH(TRUE,I1576:K1576,0)),E1576)</f>
        <v>CCGT</v>
      </c>
      <c r="O1576" t="str">
        <f t="shared" si="121"/>
        <v>CCGT_2040</v>
      </c>
      <c r="P1576">
        <f t="shared" si="122"/>
        <v>84.6</v>
      </c>
    </row>
    <row r="1577" spans="4:16" x14ac:dyDescent="0.25">
      <c r="D1577">
        <v>2021</v>
      </c>
      <c r="E1577" t="s">
        <v>227</v>
      </c>
      <c r="F1577" t="s">
        <v>228</v>
      </c>
      <c r="G1577">
        <v>12.04080622</v>
      </c>
      <c r="I1577">
        <f t="shared" si="123"/>
        <v>0</v>
      </c>
      <c r="J1577">
        <f t="shared" si="123"/>
        <v>0</v>
      </c>
      <c r="K1577">
        <f t="shared" si="123"/>
        <v>0</v>
      </c>
      <c r="M1577" t="str" cm="1">
        <f t="array" ref="M1577">IFERROR(INDEX($I$2:$K$2,0,MATCH(TRUE,I1577:K1577,0)),E1577)</f>
        <v>CHP New</v>
      </c>
      <c r="O1577" t="str">
        <f t="shared" si="121"/>
        <v>CHP New_2021</v>
      </c>
      <c r="P1577">
        <f t="shared" si="122"/>
        <v>12.04080622</v>
      </c>
    </row>
    <row r="1578" spans="4:16" x14ac:dyDescent="0.25">
      <c r="D1578">
        <v>2022</v>
      </c>
      <c r="E1578" t="s">
        <v>227</v>
      </c>
      <c r="F1578" t="s">
        <v>228</v>
      </c>
      <c r="G1578">
        <v>12.04080622</v>
      </c>
      <c r="I1578">
        <f t="shared" si="123"/>
        <v>0</v>
      </c>
      <c r="J1578">
        <f t="shared" si="123"/>
        <v>0</v>
      </c>
      <c r="K1578">
        <f t="shared" si="123"/>
        <v>0</v>
      </c>
      <c r="M1578" t="str" cm="1">
        <f t="array" ref="M1578">IFERROR(INDEX($I$2:$K$2,0,MATCH(TRUE,I1578:K1578,0)),E1578)</f>
        <v>CHP New</v>
      </c>
      <c r="O1578" t="str">
        <f t="shared" si="121"/>
        <v>CHP New_2022</v>
      </c>
      <c r="P1578">
        <f t="shared" si="122"/>
        <v>12.04080622</v>
      </c>
    </row>
    <row r="1579" spans="4:16" x14ac:dyDescent="0.25">
      <c r="D1579">
        <v>2023</v>
      </c>
      <c r="E1579" t="s">
        <v>227</v>
      </c>
      <c r="F1579" t="s">
        <v>228</v>
      </c>
      <c r="G1579">
        <v>12.04080622</v>
      </c>
      <c r="I1579">
        <f t="shared" si="123"/>
        <v>0</v>
      </c>
      <c r="J1579">
        <f t="shared" si="123"/>
        <v>0</v>
      </c>
      <c r="K1579">
        <f t="shared" si="123"/>
        <v>0</v>
      </c>
      <c r="M1579" t="str" cm="1">
        <f t="array" ref="M1579">IFERROR(INDEX($I$2:$K$2,0,MATCH(TRUE,I1579:K1579,0)),E1579)</f>
        <v>CHP New</v>
      </c>
      <c r="O1579" t="str">
        <f t="shared" si="121"/>
        <v>CHP New_2023</v>
      </c>
      <c r="P1579">
        <f t="shared" si="122"/>
        <v>12.04080622</v>
      </c>
    </row>
    <row r="1580" spans="4:16" x14ac:dyDescent="0.25">
      <c r="D1580">
        <v>2024</v>
      </c>
      <c r="E1580" t="s">
        <v>227</v>
      </c>
      <c r="F1580" t="s">
        <v>228</v>
      </c>
      <c r="G1580">
        <v>12.369427719999999</v>
      </c>
      <c r="I1580">
        <f t="shared" si="123"/>
        <v>0</v>
      </c>
      <c r="J1580">
        <f t="shared" si="123"/>
        <v>0</v>
      </c>
      <c r="K1580">
        <f t="shared" si="123"/>
        <v>0</v>
      </c>
      <c r="M1580" t="str" cm="1">
        <f t="array" ref="M1580">IFERROR(INDEX($I$2:$K$2,0,MATCH(TRUE,I1580:K1580,0)),E1580)</f>
        <v>CHP New</v>
      </c>
      <c r="O1580" t="str">
        <f t="shared" si="121"/>
        <v>CHP New_2024</v>
      </c>
      <c r="P1580">
        <f t="shared" si="122"/>
        <v>12.369427719999999</v>
      </c>
    </row>
    <row r="1581" spans="4:16" x14ac:dyDescent="0.25">
      <c r="D1581">
        <v>2025</v>
      </c>
      <c r="E1581" t="s">
        <v>227</v>
      </c>
      <c r="F1581" t="s">
        <v>228</v>
      </c>
      <c r="G1581">
        <v>12.04080622</v>
      </c>
      <c r="I1581">
        <f t="shared" si="123"/>
        <v>0</v>
      </c>
      <c r="J1581">
        <f t="shared" si="123"/>
        <v>0</v>
      </c>
      <c r="K1581">
        <f t="shared" si="123"/>
        <v>0</v>
      </c>
      <c r="M1581" t="str" cm="1">
        <f t="array" ref="M1581">IFERROR(INDEX($I$2:$K$2,0,MATCH(TRUE,I1581:K1581,0)),E1581)</f>
        <v>CHP New</v>
      </c>
      <c r="O1581" t="str">
        <f t="shared" si="121"/>
        <v>CHP New_2025</v>
      </c>
      <c r="P1581">
        <f t="shared" si="122"/>
        <v>12.04080622</v>
      </c>
    </row>
    <row r="1582" spans="4:16" x14ac:dyDescent="0.25">
      <c r="D1582">
        <v>2026</v>
      </c>
      <c r="E1582" t="s">
        <v>227</v>
      </c>
      <c r="F1582" t="s">
        <v>228</v>
      </c>
      <c r="G1582">
        <v>12.04080622</v>
      </c>
      <c r="I1582">
        <f t="shared" si="123"/>
        <v>0</v>
      </c>
      <c r="J1582">
        <f t="shared" si="123"/>
        <v>0</v>
      </c>
      <c r="K1582">
        <f t="shared" si="123"/>
        <v>0</v>
      </c>
      <c r="M1582" t="str" cm="1">
        <f t="array" ref="M1582">IFERROR(INDEX($I$2:$K$2,0,MATCH(TRUE,I1582:K1582,0)),E1582)</f>
        <v>CHP New</v>
      </c>
      <c r="O1582" t="str">
        <f t="shared" si="121"/>
        <v>CHP New_2026</v>
      </c>
      <c r="P1582">
        <f t="shared" si="122"/>
        <v>12.04080622</v>
      </c>
    </row>
    <row r="1583" spans="4:16" x14ac:dyDescent="0.25">
      <c r="D1583">
        <v>2027</v>
      </c>
      <c r="E1583" t="s">
        <v>227</v>
      </c>
      <c r="F1583" t="s">
        <v>228</v>
      </c>
      <c r="G1583">
        <v>12.04080622</v>
      </c>
      <c r="I1583">
        <f t="shared" si="123"/>
        <v>0</v>
      </c>
      <c r="J1583">
        <f t="shared" si="123"/>
        <v>0</v>
      </c>
      <c r="K1583">
        <f t="shared" si="123"/>
        <v>0</v>
      </c>
      <c r="M1583" t="str" cm="1">
        <f t="array" ref="M1583">IFERROR(INDEX($I$2:$K$2,0,MATCH(TRUE,I1583:K1583,0)),E1583)</f>
        <v>CHP New</v>
      </c>
      <c r="O1583" t="str">
        <f t="shared" si="121"/>
        <v>CHP New_2027</v>
      </c>
      <c r="P1583">
        <f t="shared" si="122"/>
        <v>12.04080622</v>
      </c>
    </row>
    <row r="1584" spans="4:16" x14ac:dyDescent="0.25">
      <c r="D1584">
        <v>2028</v>
      </c>
      <c r="E1584" t="s">
        <v>227</v>
      </c>
      <c r="F1584" t="s">
        <v>228</v>
      </c>
      <c r="G1584">
        <v>12.04080622</v>
      </c>
      <c r="I1584">
        <f t="shared" si="123"/>
        <v>0</v>
      </c>
      <c r="J1584">
        <f t="shared" si="123"/>
        <v>0</v>
      </c>
      <c r="K1584">
        <f t="shared" si="123"/>
        <v>0</v>
      </c>
      <c r="M1584" t="str" cm="1">
        <f t="array" ref="M1584">IFERROR(INDEX($I$2:$K$2,0,MATCH(TRUE,I1584:K1584,0)),E1584)</f>
        <v>CHP New</v>
      </c>
      <c r="O1584" t="str">
        <f t="shared" si="121"/>
        <v>CHP New_2028</v>
      </c>
      <c r="P1584">
        <f t="shared" si="122"/>
        <v>12.04080622</v>
      </c>
    </row>
    <row r="1585" spans="4:16" x14ac:dyDescent="0.25">
      <c r="D1585">
        <v>2029</v>
      </c>
      <c r="E1585" t="s">
        <v>227</v>
      </c>
      <c r="F1585" t="s">
        <v>228</v>
      </c>
      <c r="G1585">
        <v>12.04080622</v>
      </c>
      <c r="I1585">
        <f t="shared" si="123"/>
        <v>0</v>
      </c>
      <c r="J1585">
        <f t="shared" si="123"/>
        <v>0</v>
      </c>
      <c r="K1585">
        <f t="shared" si="123"/>
        <v>0</v>
      </c>
      <c r="M1585" t="str" cm="1">
        <f t="array" ref="M1585">IFERROR(INDEX($I$2:$K$2,0,MATCH(TRUE,I1585:K1585,0)),E1585)</f>
        <v>CHP New</v>
      </c>
      <c r="O1585" t="str">
        <f t="shared" si="121"/>
        <v>CHP New_2029</v>
      </c>
      <c r="P1585">
        <f t="shared" si="122"/>
        <v>12.04080622</v>
      </c>
    </row>
    <row r="1586" spans="4:16" x14ac:dyDescent="0.25">
      <c r="D1586">
        <v>2030</v>
      </c>
      <c r="E1586" t="s">
        <v>227</v>
      </c>
      <c r="F1586" t="s">
        <v>228</v>
      </c>
      <c r="G1586">
        <v>12.04080622</v>
      </c>
      <c r="I1586">
        <f t="shared" si="123"/>
        <v>0</v>
      </c>
      <c r="J1586">
        <f t="shared" si="123"/>
        <v>0</v>
      </c>
      <c r="K1586">
        <f t="shared" si="123"/>
        <v>0</v>
      </c>
      <c r="M1586" t="str" cm="1">
        <f t="array" ref="M1586">IFERROR(INDEX($I$2:$K$2,0,MATCH(TRUE,I1586:K1586,0)),E1586)</f>
        <v>CHP New</v>
      </c>
      <c r="O1586" t="str">
        <f t="shared" si="121"/>
        <v>CHP New_2030</v>
      </c>
      <c r="P1586">
        <f t="shared" si="122"/>
        <v>12.04080622</v>
      </c>
    </row>
    <row r="1587" spans="4:16" x14ac:dyDescent="0.25">
      <c r="D1587">
        <v>2031</v>
      </c>
      <c r="E1587" t="s">
        <v>227</v>
      </c>
      <c r="F1587" t="s">
        <v>228</v>
      </c>
      <c r="G1587">
        <v>12.04080622</v>
      </c>
      <c r="I1587">
        <f t="shared" si="123"/>
        <v>0</v>
      </c>
      <c r="J1587">
        <f t="shared" si="123"/>
        <v>0</v>
      </c>
      <c r="K1587">
        <f t="shared" si="123"/>
        <v>0</v>
      </c>
      <c r="M1587" t="str" cm="1">
        <f t="array" ref="M1587">IFERROR(INDEX($I$2:$K$2,0,MATCH(TRUE,I1587:K1587,0)),E1587)</f>
        <v>CHP New</v>
      </c>
      <c r="O1587" t="str">
        <f t="shared" si="121"/>
        <v>CHP New_2031</v>
      </c>
      <c r="P1587">
        <f t="shared" si="122"/>
        <v>12.04080622</v>
      </c>
    </row>
    <row r="1588" spans="4:16" x14ac:dyDescent="0.25">
      <c r="D1588">
        <v>2032</v>
      </c>
      <c r="E1588" t="s">
        <v>227</v>
      </c>
      <c r="F1588" t="s">
        <v>228</v>
      </c>
      <c r="G1588">
        <v>12.04080622</v>
      </c>
      <c r="I1588">
        <f t="shared" si="123"/>
        <v>0</v>
      </c>
      <c r="J1588">
        <f t="shared" si="123"/>
        <v>0</v>
      </c>
      <c r="K1588">
        <f t="shared" si="123"/>
        <v>0</v>
      </c>
      <c r="M1588" t="str" cm="1">
        <f t="array" ref="M1588">IFERROR(INDEX($I$2:$K$2,0,MATCH(TRUE,I1588:K1588,0)),E1588)</f>
        <v>CHP New</v>
      </c>
      <c r="O1588" t="str">
        <f t="shared" si="121"/>
        <v>CHP New_2032</v>
      </c>
      <c r="P1588">
        <f t="shared" si="122"/>
        <v>12.04080622</v>
      </c>
    </row>
    <row r="1589" spans="4:16" x14ac:dyDescent="0.25">
      <c r="D1589">
        <v>2033</v>
      </c>
      <c r="E1589" t="s">
        <v>227</v>
      </c>
      <c r="F1589" t="s">
        <v>228</v>
      </c>
      <c r="G1589">
        <v>12.04080622</v>
      </c>
      <c r="I1589">
        <f t="shared" si="123"/>
        <v>0</v>
      </c>
      <c r="J1589">
        <f t="shared" si="123"/>
        <v>0</v>
      </c>
      <c r="K1589">
        <f t="shared" si="123"/>
        <v>0</v>
      </c>
      <c r="M1589" t="str" cm="1">
        <f t="array" ref="M1589">IFERROR(INDEX($I$2:$K$2,0,MATCH(TRUE,I1589:K1589,0)),E1589)</f>
        <v>CHP New</v>
      </c>
      <c r="O1589" t="str">
        <f t="shared" si="121"/>
        <v>CHP New_2033</v>
      </c>
      <c r="P1589">
        <f t="shared" si="122"/>
        <v>12.04080622</v>
      </c>
    </row>
    <row r="1590" spans="4:16" x14ac:dyDescent="0.25">
      <c r="D1590">
        <v>2034</v>
      </c>
      <c r="E1590" t="s">
        <v>227</v>
      </c>
      <c r="F1590" t="s">
        <v>228</v>
      </c>
      <c r="G1590">
        <v>12.04080622</v>
      </c>
      <c r="I1590">
        <f t="shared" si="123"/>
        <v>0</v>
      </c>
      <c r="J1590">
        <f t="shared" si="123"/>
        <v>0</v>
      </c>
      <c r="K1590">
        <f t="shared" si="123"/>
        <v>0</v>
      </c>
      <c r="M1590" t="str" cm="1">
        <f t="array" ref="M1590">IFERROR(INDEX($I$2:$K$2,0,MATCH(TRUE,I1590:K1590,0)),E1590)</f>
        <v>CHP New</v>
      </c>
      <c r="O1590" t="str">
        <f t="shared" si="121"/>
        <v>CHP New_2034</v>
      </c>
      <c r="P1590">
        <f t="shared" si="122"/>
        <v>12.04080622</v>
      </c>
    </row>
    <row r="1591" spans="4:16" x14ac:dyDescent="0.25">
      <c r="D1591">
        <v>2035</v>
      </c>
      <c r="E1591" t="s">
        <v>227</v>
      </c>
      <c r="F1591" t="s">
        <v>228</v>
      </c>
      <c r="G1591">
        <v>12.04080622</v>
      </c>
      <c r="I1591">
        <f t="shared" si="123"/>
        <v>0</v>
      </c>
      <c r="J1591">
        <f t="shared" si="123"/>
        <v>0</v>
      </c>
      <c r="K1591">
        <f t="shared" si="123"/>
        <v>0</v>
      </c>
      <c r="M1591" t="str" cm="1">
        <f t="array" ref="M1591">IFERROR(INDEX($I$2:$K$2,0,MATCH(TRUE,I1591:K1591,0)),E1591)</f>
        <v>CHP New</v>
      </c>
      <c r="O1591" t="str">
        <f t="shared" si="121"/>
        <v>CHP New_2035</v>
      </c>
      <c r="P1591">
        <f t="shared" si="122"/>
        <v>12.04080622</v>
      </c>
    </row>
    <row r="1592" spans="4:16" x14ac:dyDescent="0.25">
      <c r="D1592">
        <v>2036</v>
      </c>
      <c r="E1592" t="s">
        <v>227</v>
      </c>
      <c r="F1592" t="s">
        <v>228</v>
      </c>
      <c r="G1592">
        <v>12.369427719999999</v>
      </c>
      <c r="I1592">
        <f t="shared" si="123"/>
        <v>0</v>
      </c>
      <c r="J1592">
        <f t="shared" si="123"/>
        <v>0</v>
      </c>
      <c r="K1592">
        <f t="shared" si="123"/>
        <v>0</v>
      </c>
      <c r="M1592" t="str" cm="1">
        <f t="array" ref="M1592">IFERROR(INDEX($I$2:$K$2,0,MATCH(TRUE,I1592:K1592,0)),E1592)</f>
        <v>CHP New</v>
      </c>
      <c r="O1592" t="str">
        <f t="shared" si="121"/>
        <v>CHP New_2036</v>
      </c>
      <c r="P1592">
        <f t="shared" si="122"/>
        <v>12.369427719999999</v>
      </c>
    </row>
    <row r="1593" spans="4:16" x14ac:dyDescent="0.25">
      <c r="D1593">
        <v>2037</v>
      </c>
      <c r="E1593" t="s">
        <v>227</v>
      </c>
      <c r="F1593" t="s">
        <v>228</v>
      </c>
      <c r="G1593">
        <v>12.04080622</v>
      </c>
      <c r="I1593">
        <f t="shared" si="123"/>
        <v>0</v>
      </c>
      <c r="J1593">
        <f t="shared" si="123"/>
        <v>0</v>
      </c>
      <c r="K1593">
        <f t="shared" si="123"/>
        <v>0</v>
      </c>
      <c r="M1593" t="str" cm="1">
        <f t="array" ref="M1593">IFERROR(INDEX($I$2:$K$2,0,MATCH(TRUE,I1593:K1593,0)),E1593)</f>
        <v>CHP New</v>
      </c>
      <c r="O1593" t="str">
        <f t="shared" si="121"/>
        <v>CHP New_2037</v>
      </c>
      <c r="P1593">
        <f t="shared" si="122"/>
        <v>12.04080622</v>
      </c>
    </row>
    <row r="1594" spans="4:16" x14ac:dyDescent="0.25">
      <c r="D1594">
        <v>2038</v>
      </c>
      <c r="E1594" t="s">
        <v>227</v>
      </c>
      <c r="F1594" t="s">
        <v>228</v>
      </c>
      <c r="G1594">
        <v>12.04080622</v>
      </c>
      <c r="I1594">
        <f t="shared" si="123"/>
        <v>0</v>
      </c>
      <c r="J1594">
        <f t="shared" si="123"/>
        <v>0</v>
      </c>
      <c r="K1594">
        <f t="shared" si="123"/>
        <v>0</v>
      </c>
      <c r="M1594" t="str" cm="1">
        <f t="array" ref="M1594">IFERROR(INDEX($I$2:$K$2,0,MATCH(TRUE,I1594:K1594,0)),E1594)</f>
        <v>CHP New</v>
      </c>
      <c r="O1594" t="str">
        <f t="shared" si="121"/>
        <v>CHP New_2038</v>
      </c>
      <c r="P1594">
        <f t="shared" si="122"/>
        <v>12.04080622</v>
      </c>
    </row>
    <row r="1595" spans="4:16" x14ac:dyDescent="0.25">
      <c r="D1595">
        <v>2039</v>
      </c>
      <c r="E1595" t="s">
        <v>227</v>
      </c>
      <c r="F1595" t="s">
        <v>228</v>
      </c>
      <c r="G1595">
        <v>12.04080622</v>
      </c>
      <c r="I1595">
        <f t="shared" si="123"/>
        <v>0</v>
      </c>
      <c r="J1595">
        <f t="shared" si="123"/>
        <v>0</v>
      </c>
      <c r="K1595">
        <f t="shared" si="123"/>
        <v>0</v>
      </c>
      <c r="M1595" t="str" cm="1">
        <f t="array" ref="M1595">IFERROR(INDEX($I$2:$K$2,0,MATCH(TRUE,I1595:K1595,0)),E1595)</f>
        <v>CHP New</v>
      </c>
      <c r="O1595" t="str">
        <f t="shared" si="121"/>
        <v>CHP New_2039</v>
      </c>
      <c r="P1595">
        <f t="shared" si="122"/>
        <v>12.04080622</v>
      </c>
    </row>
    <row r="1596" spans="4:16" x14ac:dyDescent="0.25">
      <c r="D1596">
        <v>2040</v>
      </c>
      <c r="E1596" t="s">
        <v>227</v>
      </c>
      <c r="F1596" t="s">
        <v>228</v>
      </c>
      <c r="G1596">
        <v>12.369427719999999</v>
      </c>
      <c r="I1596">
        <f t="shared" si="123"/>
        <v>0</v>
      </c>
      <c r="J1596">
        <f t="shared" si="123"/>
        <v>0</v>
      </c>
      <c r="K1596">
        <f t="shared" si="123"/>
        <v>0</v>
      </c>
      <c r="M1596" t="str" cm="1">
        <f t="array" ref="M1596">IFERROR(INDEX($I$2:$K$2,0,MATCH(TRUE,I1596:K1596,0)),E1596)</f>
        <v>CHP New</v>
      </c>
      <c r="O1596" t="str">
        <f t="shared" si="121"/>
        <v>CHP New_2040</v>
      </c>
      <c r="P1596">
        <f t="shared" si="122"/>
        <v>12.369427719999999</v>
      </c>
    </row>
    <row r="1597" spans="4:16" x14ac:dyDescent="0.25">
      <c r="D1597">
        <v>2025</v>
      </c>
      <c r="E1597" t="s">
        <v>227</v>
      </c>
      <c r="F1597" t="s">
        <v>229</v>
      </c>
      <c r="G1597">
        <v>0</v>
      </c>
      <c r="I1597">
        <f t="shared" si="123"/>
        <v>0</v>
      </c>
      <c r="J1597">
        <f t="shared" si="123"/>
        <v>0</v>
      </c>
      <c r="K1597">
        <f t="shared" si="123"/>
        <v>0</v>
      </c>
      <c r="M1597" t="str" cm="1">
        <f t="array" ref="M1597">IFERROR(INDEX($I$2:$K$2,0,MATCH(TRUE,I1597:K1597,0)),E1597)</f>
        <v>CHP New</v>
      </c>
      <c r="O1597" t="str">
        <f t="shared" si="121"/>
        <v>CHP New_2025</v>
      </c>
      <c r="P1597">
        <f t="shared" si="122"/>
        <v>0</v>
      </c>
    </row>
    <row r="1598" spans="4:16" x14ac:dyDescent="0.25">
      <c r="D1598">
        <v>2026</v>
      </c>
      <c r="E1598" t="s">
        <v>227</v>
      </c>
      <c r="F1598" t="s">
        <v>229</v>
      </c>
      <c r="G1598">
        <v>182.39163325999999</v>
      </c>
      <c r="I1598">
        <f t="shared" si="123"/>
        <v>0</v>
      </c>
      <c r="J1598">
        <f t="shared" si="123"/>
        <v>0</v>
      </c>
      <c r="K1598">
        <f t="shared" si="123"/>
        <v>0</v>
      </c>
      <c r="M1598" t="str" cm="1">
        <f t="array" ref="M1598">IFERROR(INDEX($I$2:$K$2,0,MATCH(TRUE,I1598:K1598,0)),E1598)</f>
        <v>CHP New</v>
      </c>
      <c r="O1598" t="str">
        <f t="shared" si="121"/>
        <v>CHP New_2026</v>
      </c>
      <c r="P1598">
        <f t="shared" si="122"/>
        <v>182.39163325999999</v>
      </c>
    </row>
    <row r="1599" spans="4:16" x14ac:dyDescent="0.25">
      <c r="D1599">
        <v>2027</v>
      </c>
      <c r="E1599" t="s">
        <v>227</v>
      </c>
      <c r="F1599" t="s">
        <v>229</v>
      </c>
      <c r="G1599">
        <v>182.39163325999999</v>
      </c>
      <c r="I1599">
        <f t="shared" si="123"/>
        <v>0</v>
      </c>
      <c r="J1599">
        <f t="shared" si="123"/>
        <v>0</v>
      </c>
      <c r="K1599">
        <f t="shared" si="123"/>
        <v>0</v>
      </c>
      <c r="M1599" t="str" cm="1">
        <f t="array" ref="M1599">IFERROR(INDEX($I$2:$K$2,0,MATCH(TRUE,I1599:K1599,0)),E1599)</f>
        <v>CHP New</v>
      </c>
      <c r="O1599" t="str">
        <f t="shared" si="121"/>
        <v>CHP New_2027</v>
      </c>
      <c r="P1599">
        <f t="shared" si="122"/>
        <v>182.39163325999999</v>
      </c>
    </row>
    <row r="1600" spans="4:16" x14ac:dyDescent="0.25">
      <c r="D1600">
        <v>2028</v>
      </c>
      <c r="E1600" t="s">
        <v>227</v>
      </c>
      <c r="F1600" t="s">
        <v>229</v>
      </c>
      <c r="G1600">
        <v>182.39163325999999</v>
      </c>
      <c r="I1600">
        <f t="shared" si="123"/>
        <v>0</v>
      </c>
      <c r="J1600">
        <f t="shared" si="123"/>
        <v>0</v>
      </c>
      <c r="K1600">
        <f t="shared" si="123"/>
        <v>0</v>
      </c>
      <c r="M1600" t="str" cm="1">
        <f t="array" ref="M1600">IFERROR(INDEX($I$2:$K$2,0,MATCH(TRUE,I1600:K1600,0)),E1600)</f>
        <v>CHP New</v>
      </c>
      <c r="O1600" t="str">
        <f t="shared" si="121"/>
        <v>CHP New_2028</v>
      </c>
      <c r="P1600">
        <f t="shared" si="122"/>
        <v>182.39163325999999</v>
      </c>
    </row>
    <row r="1601" spans="4:16" x14ac:dyDescent="0.25">
      <c r="D1601">
        <v>2029</v>
      </c>
      <c r="E1601" t="s">
        <v>227</v>
      </c>
      <c r="F1601" t="s">
        <v>229</v>
      </c>
      <c r="G1601">
        <v>182.39163325999999</v>
      </c>
      <c r="I1601">
        <f t="shared" si="123"/>
        <v>0</v>
      </c>
      <c r="J1601">
        <f t="shared" si="123"/>
        <v>0</v>
      </c>
      <c r="K1601">
        <f t="shared" si="123"/>
        <v>0</v>
      </c>
      <c r="M1601" t="str" cm="1">
        <f t="array" ref="M1601">IFERROR(INDEX($I$2:$K$2,0,MATCH(TRUE,I1601:K1601,0)),E1601)</f>
        <v>CHP New</v>
      </c>
      <c r="O1601" t="str">
        <f t="shared" si="121"/>
        <v>CHP New_2029</v>
      </c>
      <c r="P1601">
        <f t="shared" si="122"/>
        <v>182.39163325999999</v>
      </c>
    </row>
    <row r="1602" spans="4:16" x14ac:dyDescent="0.25">
      <c r="D1602">
        <v>2030</v>
      </c>
      <c r="E1602" t="s">
        <v>227</v>
      </c>
      <c r="F1602" t="s">
        <v>229</v>
      </c>
      <c r="G1602">
        <v>182.39163325999999</v>
      </c>
      <c r="I1602">
        <f t="shared" si="123"/>
        <v>0</v>
      </c>
      <c r="J1602">
        <f t="shared" si="123"/>
        <v>0</v>
      </c>
      <c r="K1602">
        <f t="shared" si="123"/>
        <v>0</v>
      </c>
      <c r="M1602" t="str" cm="1">
        <f t="array" ref="M1602">IFERROR(INDEX($I$2:$K$2,0,MATCH(TRUE,I1602:K1602,0)),E1602)</f>
        <v>CHP New</v>
      </c>
      <c r="O1602" t="str">
        <f t="shared" si="121"/>
        <v>CHP New_2030</v>
      </c>
      <c r="P1602">
        <f t="shared" si="122"/>
        <v>182.39163325999999</v>
      </c>
    </row>
    <row r="1603" spans="4:16" x14ac:dyDescent="0.25">
      <c r="D1603">
        <v>2031</v>
      </c>
      <c r="E1603" t="s">
        <v>227</v>
      </c>
      <c r="F1603" t="s">
        <v>229</v>
      </c>
      <c r="G1603">
        <v>182.39163325999999</v>
      </c>
      <c r="I1603">
        <f t="shared" si="123"/>
        <v>0</v>
      </c>
      <c r="J1603">
        <f t="shared" si="123"/>
        <v>0</v>
      </c>
      <c r="K1603">
        <f t="shared" si="123"/>
        <v>0</v>
      </c>
      <c r="M1603" t="str" cm="1">
        <f t="array" ref="M1603">IFERROR(INDEX($I$2:$K$2,0,MATCH(TRUE,I1603:K1603,0)),E1603)</f>
        <v>CHP New</v>
      </c>
      <c r="O1603" t="str">
        <f t="shared" si="121"/>
        <v>CHP New_2031</v>
      </c>
      <c r="P1603">
        <f t="shared" si="122"/>
        <v>182.39163325999999</v>
      </c>
    </row>
    <row r="1604" spans="4:16" x14ac:dyDescent="0.25">
      <c r="D1604">
        <v>2032</v>
      </c>
      <c r="E1604" t="s">
        <v>227</v>
      </c>
      <c r="F1604" t="s">
        <v>229</v>
      </c>
      <c r="G1604">
        <v>182.39163325999999</v>
      </c>
      <c r="I1604">
        <f t="shared" si="123"/>
        <v>0</v>
      </c>
      <c r="J1604">
        <f t="shared" si="123"/>
        <v>0</v>
      </c>
      <c r="K1604">
        <f t="shared" si="123"/>
        <v>0</v>
      </c>
      <c r="M1604" t="str" cm="1">
        <f t="array" ref="M1604">IFERROR(INDEX($I$2:$K$2,0,MATCH(TRUE,I1604:K1604,0)),E1604)</f>
        <v>CHP New</v>
      </c>
      <c r="O1604" t="str">
        <f t="shared" si="121"/>
        <v>CHP New_2032</v>
      </c>
      <c r="P1604">
        <f t="shared" si="122"/>
        <v>182.39163325999999</v>
      </c>
    </row>
    <row r="1605" spans="4:16" x14ac:dyDescent="0.25">
      <c r="D1605">
        <v>2033</v>
      </c>
      <c r="E1605" t="s">
        <v>227</v>
      </c>
      <c r="F1605" t="s">
        <v>229</v>
      </c>
      <c r="G1605">
        <v>182.39163325999999</v>
      </c>
      <c r="I1605">
        <f t="shared" si="123"/>
        <v>0</v>
      </c>
      <c r="J1605">
        <f t="shared" si="123"/>
        <v>0</v>
      </c>
      <c r="K1605">
        <f t="shared" si="123"/>
        <v>0</v>
      </c>
      <c r="M1605" t="str" cm="1">
        <f t="array" ref="M1605">IFERROR(INDEX($I$2:$K$2,0,MATCH(TRUE,I1605:K1605,0)),E1605)</f>
        <v>CHP New</v>
      </c>
      <c r="O1605" t="str">
        <f t="shared" si="121"/>
        <v>CHP New_2033</v>
      </c>
      <c r="P1605">
        <f t="shared" si="122"/>
        <v>182.39163325999999</v>
      </c>
    </row>
    <row r="1606" spans="4:16" x14ac:dyDescent="0.25">
      <c r="D1606">
        <v>2034</v>
      </c>
      <c r="E1606" t="s">
        <v>227</v>
      </c>
      <c r="F1606" t="s">
        <v>229</v>
      </c>
      <c r="G1606">
        <v>182.39163325999999</v>
      </c>
      <c r="I1606">
        <f t="shared" si="123"/>
        <v>0</v>
      </c>
      <c r="J1606">
        <f t="shared" si="123"/>
        <v>0</v>
      </c>
      <c r="K1606">
        <f t="shared" si="123"/>
        <v>0</v>
      </c>
      <c r="M1606" t="str" cm="1">
        <f t="array" ref="M1606">IFERROR(INDEX($I$2:$K$2,0,MATCH(TRUE,I1606:K1606,0)),E1606)</f>
        <v>CHP New</v>
      </c>
      <c r="O1606" t="str">
        <f t="shared" si="121"/>
        <v>CHP New_2034</v>
      </c>
      <c r="P1606">
        <f t="shared" si="122"/>
        <v>182.39163325999999</v>
      </c>
    </row>
    <row r="1607" spans="4:16" x14ac:dyDescent="0.25">
      <c r="D1607">
        <v>2035</v>
      </c>
      <c r="E1607" t="s">
        <v>227</v>
      </c>
      <c r="F1607" t="s">
        <v>229</v>
      </c>
      <c r="G1607">
        <v>182.39163325999999</v>
      </c>
      <c r="I1607">
        <f t="shared" si="123"/>
        <v>0</v>
      </c>
      <c r="J1607">
        <f t="shared" si="123"/>
        <v>0</v>
      </c>
      <c r="K1607">
        <f t="shared" si="123"/>
        <v>0</v>
      </c>
      <c r="M1607" t="str" cm="1">
        <f t="array" ref="M1607">IFERROR(INDEX($I$2:$K$2,0,MATCH(TRUE,I1607:K1607,0)),E1607)</f>
        <v>CHP New</v>
      </c>
      <c r="O1607" t="str">
        <f t="shared" si="121"/>
        <v>CHP New_2035</v>
      </c>
      <c r="P1607">
        <f t="shared" si="122"/>
        <v>182.39163325999999</v>
      </c>
    </row>
    <row r="1608" spans="4:16" x14ac:dyDescent="0.25">
      <c r="D1608">
        <v>2036</v>
      </c>
      <c r="E1608" t="s">
        <v>227</v>
      </c>
      <c r="F1608" t="s">
        <v>229</v>
      </c>
      <c r="G1608">
        <v>188.209003</v>
      </c>
      <c r="I1608">
        <f t="shared" si="123"/>
        <v>0</v>
      </c>
      <c r="J1608">
        <f t="shared" si="123"/>
        <v>0</v>
      </c>
      <c r="K1608">
        <f t="shared" si="123"/>
        <v>0</v>
      </c>
      <c r="M1608" t="str" cm="1">
        <f t="array" ref="M1608">IFERROR(INDEX($I$2:$K$2,0,MATCH(TRUE,I1608:K1608,0)),E1608)</f>
        <v>CHP New</v>
      </c>
      <c r="O1608" t="str">
        <f t="shared" si="121"/>
        <v>CHP New_2036</v>
      </c>
      <c r="P1608">
        <f t="shared" si="122"/>
        <v>188.209003</v>
      </c>
    </row>
    <row r="1609" spans="4:16" x14ac:dyDescent="0.25">
      <c r="D1609">
        <v>2037</v>
      </c>
      <c r="E1609" t="s">
        <v>227</v>
      </c>
      <c r="F1609" t="s">
        <v>229</v>
      </c>
      <c r="G1609">
        <v>182.39163325999999</v>
      </c>
      <c r="I1609">
        <f t="shared" si="123"/>
        <v>0</v>
      </c>
      <c r="J1609">
        <f t="shared" si="123"/>
        <v>0</v>
      </c>
      <c r="K1609">
        <f t="shared" si="123"/>
        <v>0</v>
      </c>
      <c r="M1609" t="str" cm="1">
        <f t="array" ref="M1609">IFERROR(INDEX($I$2:$K$2,0,MATCH(TRUE,I1609:K1609,0)),E1609)</f>
        <v>CHP New</v>
      </c>
      <c r="O1609" t="str">
        <f t="shared" si="121"/>
        <v>CHP New_2037</v>
      </c>
      <c r="P1609">
        <f t="shared" si="122"/>
        <v>182.39163325999999</v>
      </c>
    </row>
    <row r="1610" spans="4:16" x14ac:dyDescent="0.25">
      <c r="D1610">
        <v>2038</v>
      </c>
      <c r="E1610" t="s">
        <v>227</v>
      </c>
      <c r="F1610" t="s">
        <v>229</v>
      </c>
      <c r="G1610">
        <v>182.39163325999999</v>
      </c>
      <c r="I1610">
        <f t="shared" si="123"/>
        <v>0</v>
      </c>
      <c r="J1610">
        <f t="shared" si="123"/>
        <v>0</v>
      </c>
      <c r="K1610">
        <f t="shared" si="123"/>
        <v>0</v>
      </c>
      <c r="M1610" t="str" cm="1">
        <f t="array" ref="M1610">IFERROR(INDEX($I$2:$K$2,0,MATCH(TRUE,I1610:K1610,0)),E1610)</f>
        <v>CHP New</v>
      </c>
      <c r="O1610" t="str">
        <f t="shared" si="121"/>
        <v>CHP New_2038</v>
      </c>
      <c r="P1610">
        <f t="shared" si="122"/>
        <v>182.39163325999999</v>
      </c>
    </row>
    <row r="1611" spans="4:16" x14ac:dyDescent="0.25">
      <c r="D1611">
        <v>2039</v>
      </c>
      <c r="E1611" t="s">
        <v>227</v>
      </c>
      <c r="F1611" t="s">
        <v>229</v>
      </c>
      <c r="G1611">
        <v>182.39163325999999</v>
      </c>
      <c r="I1611">
        <f t="shared" si="123"/>
        <v>0</v>
      </c>
      <c r="J1611">
        <f t="shared" si="123"/>
        <v>0</v>
      </c>
      <c r="K1611">
        <f t="shared" si="123"/>
        <v>0</v>
      </c>
      <c r="M1611" t="str" cm="1">
        <f t="array" ref="M1611">IFERROR(INDEX($I$2:$K$2,0,MATCH(TRUE,I1611:K1611,0)),E1611)</f>
        <v>CHP New</v>
      </c>
      <c r="O1611" t="str">
        <f t="shared" si="121"/>
        <v>CHP New_2039</v>
      </c>
      <c r="P1611">
        <f t="shared" si="122"/>
        <v>182.39163325999999</v>
      </c>
    </row>
    <row r="1612" spans="4:16" x14ac:dyDescent="0.25">
      <c r="D1612">
        <v>2040</v>
      </c>
      <c r="E1612" t="s">
        <v>227</v>
      </c>
      <c r="F1612" t="s">
        <v>229</v>
      </c>
      <c r="G1612">
        <v>188.209003</v>
      </c>
      <c r="I1612">
        <f t="shared" si="123"/>
        <v>0</v>
      </c>
      <c r="J1612">
        <f t="shared" si="123"/>
        <v>0</v>
      </c>
      <c r="K1612">
        <f t="shared" si="123"/>
        <v>0</v>
      </c>
      <c r="M1612" t="str" cm="1">
        <f t="array" ref="M1612">IFERROR(INDEX($I$2:$K$2,0,MATCH(TRUE,I1612:K1612,0)),E1612)</f>
        <v>CHP New</v>
      </c>
      <c r="O1612" t="str">
        <f t="shared" si="121"/>
        <v>CHP New_2040</v>
      </c>
      <c r="P1612">
        <f t="shared" si="122"/>
        <v>188.209003</v>
      </c>
    </row>
    <row r="1613" spans="4:16" x14ac:dyDescent="0.25">
      <c r="D1613">
        <v>2021</v>
      </c>
      <c r="E1613" t="s">
        <v>227</v>
      </c>
      <c r="F1613" t="s">
        <v>230</v>
      </c>
      <c r="G1613">
        <v>18.52431726</v>
      </c>
      <c r="I1613">
        <f t="shared" si="123"/>
        <v>0</v>
      </c>
      <c r="J1613">
        <f t="shared" si="123"/>
        <v>0</v>
      </c>
      <c r="K1613">
        <f t="shared" si="123"/>
        <v>0</v>
      </c>
      <c r="M1613" t="str" cm="1">
        <f t="array" ref="M1613">IFERROR(INDEX($I$2:$K$2,0,MATCH(TRUE,I1613:K1613,0)),E1613)</f>
        <v>CHP New</v>
      </c>
      <c r="O1613" t="str">
        <f t="shared" si="121"/>
        <v>CHP New_2021</v>
      </c>
      <c r="P1613">
        <f t="shared" si="122"/>
        <v>18.52431726</v>
      </c>
    </row>
    <row r="1614" spans="4:16" x14ac:dyDescent="0.25">
      <c r="D1614">
        <v>2022</v>
      </c>
      <c r="E1614" t="s">
        <v>227</v>
      </c>
      <c r="F1614" t="s">
        <v>230</v>
      </c>
      <c r="G1614">
        <v>18.52431726</v>
      </c>
      <c r="I1614">
        <f t="shared" si="123"/>
        <v>0</v>
      </c>
      <c r="J1614">
        <f t="shared" si="123"/>
        <v>0</v>
      </c>
      <c r="K1614">
        <f t="shared" si="123"/>
        <v>0</v>
      </c>
      <c r="M1614" t="str" cm="1">
        <f t="array" ref="M1614">IFERROR(INDEX($I$2:$K$2,0,MATCH(TRUE,I1614:K1614,0)),E1614)</f>
        <v>CHP New</v>
      </c>
      <c r="O1614" t="str">
        <f t="shared" si="121"/>
        <v>CHP New_2022</v>
      </c>
      <c r="P1614">
        <f t="shared" si="122"/>
        <v>18.52431726</v>
      </c>
    </row>
    <row r="1615" spans="4:16" x14ac:dyDescent="0.25">
      <c r="D1615">
        <v>2023</v>
      </c>
      <c r="E1615" t="s">
        <v>227</v>
      </c>
      <c r="F1615" t="s">
        <v>230</v>
      </c>
      <c r="G1615">
        <v>18.52431726</v>
      </c>
      <c r="I1615">
        <f t="shared" si="123"/>
        <v>0</v>
      </c>
      <c r="J1615">
        <f t="shared" si="123"/>
        <v>0</v>
      </c>
      <c r="K1615">
        <f t="shared" si="123"/>
        <v>0</v>
      </c>
      <c r="M1615" t="str" cm="1">
        <f t="array" ref="M1615">IFERROR(INDEX($I$2:$K$2,0,MATCH(TRUE,I1615:K1615,0)),E1615)</f>
        <v>CHP New</v>
      </c>
      <c r="O1615" t="str">
        <f t="shared" si="121"/>
        <v>CHP New_2023</v>
      </c>
      <c r="P1615">
        <f t="shared" si="122"/>
        <v>18.52431726</v>
      </c>
    </row>
    <row r="1616" spans="4:16" x14ac:dyDescent="0.25">
      <c r="D1616">
        <v>2024</v>
      </c>
      <c r="E1616" t="s">
        <v>227</v>
      </c>
      <c r="F1616" t="s">
        <v>230</v>
      </c>
      <c r="G1616">
        <v>19.029888799999998</v>
      </c>
      <c r="I1616">
        <f t="shared" si="123"/>
        <v>0</v>
      </c>
      <c r="J1616">
        <f t="shared" si="123"/>
        <v>0</v>
      </c>
      <c r="K1616">
        <f t="shared" si="123"/>
        <v>0</v>
      </c>
      <c r="M1616" t="str" cm="1">
        <f t="array" ref="M1616">IFERROR(INDEX($I$2:$K$2,0,MATCH(TRUE,I1616:K1616,0)),E1616)</f>
        <v>CHP New</v>
      </c>
      <c r="O1616" t="str">
        <f t="shared" si="121"/>
        <v>CHP New_2024</v>
      </c>
      <c r="P1616">
        <f t="shared" si="122"/>
        <v>19.029888799999998</v>
      </c>
    </row>
    <row r="1617" spans="4:16" x14ac:dyDescent="0.25">
      <c r="D1617">
        <v>2025</v>
      </c>
      <c r="E1617" t="s">
        <v>227</v>
      </c>
      <c r="F1617" t="s">
        <v>230</v>
      </c>
      <c r="G1617">
        <v>18.52431726</v>
      </c>
      <c r="I1617">
        <f t="shared" si="123"/>
        <v>0</v>
      </c>
      <c r="J1617">
        <f t="shared" si="123"/>
        <v>0</v>
      </c>
      <c r="K1617">
        <f t="shared" si="123"/>
        <v>0</v>
      </c>
      <c r="M1617" t="str" cm="1">
        <f t="array" ref="M1617">IFERROR(INDEX($I$2:$K$2,0,MATCH(TRUE,I1617:K1617,0)),E1617)</f>
        <v>CHP New</v>
      </c>
      <c r="O1617" t="str">
        <f t="shared" si="121"/>
        <v>CHP New_2025</v>
      </c>
      <c r="P1617">
        <f t="shared" si="122"/>
        <v>18.52431726</v>
      </c>
    </row>
    <row r="1618" spans="4:16" x14ac:dyDescent="0.25">
      <c r="D1618">
        <v>2026</v>
      </c>
      <c r="E1618" t="s">
        <v>227</v>
      </c>
      <c r="F1618" t="s">
        <v>230</v>
      </c>
      <c r="G1618">
        <v>18.52431726</v>
      </c>
      <c r="I1618">
        <f t="shared" si="123"/>
        <v>0</v>
      </c>
      <c r="J1618">
        <f t="shared" si="123"/>
        <v>0</v>
      </c>
      <c r="K1618">
        <f t="shared" si="123"/>
        <v>0</v>
      </c>
      <c r="M1618" t="str" cm="1">
        <f t="array" ref="M1618">IFERROR(INDEX($I$2:$K$2,0,MATCH(TRUE,I1618:K1618,0)),E1618)</f>
        <v>CHP New</v>
      </c>
      <c r="O1618" t="str">
        <f t="shared" si="121"/>
        <v>CHP New_2026</v>
      </c>
      <c r="P1618">
        <f t="shared" si="122"/>
        <v>18.52431726</v>
      </c>
    </row>
    <row r="1619" spans="4:16" x14ac:dyDescent="0.25">
      <c r="D1619">
        <v>2027</v>
      </c>
      <c r="E1619" t="s">
        <v>227</v>
      </c>
      <c r="F1619" t="s">
        <v>230</v>
      </c>
      <c r="G1619">
        <v>18.52431726</v>
      </c>
      <c r="I1619">
        <f t="shared" si="123"/>
        <v>0</v>
      </c>
      <c r="J1619">
        <f t="shared" si="123"/>
        <v>0</v>
      </c>
      <c r="K1619">
        <f t="shared" si="123"/>
        <v>0</v>
      </c>
      <c r="M1619" t="str" cm="1">
        <f t="array" ref="M1619">IFERROR(INDEX($I$2:$K$2,0,MATCH(TRUE,I1619:K1619,0)),E1619)</f>
        <v>CHP New</v>
      </c>
      <c r="O1619" t="str">
        <f t="shared" ref="O1619:O1682" si="124">M1619&amp;"_"&amp;D1619</f>
        <v>CHP New_2027</v>
      </c>
      <c r="P1619">
        <f t="shared" ref="P1619:P1682" si="125">G1619</f>
        <v>18.52431726</v>
      </c>
    </row>
    <row r="1620" spans="4:16" x14ac:dyDescent="0.25">
      <c r="D1620">
        <v>2028</v>
      </c>
      <c r="E1620" t="s">
        <v>227</v>
      </c>
      <c r="F1620" t="s">
        <v>230</v>
      </c>
      <c r="G1620">
        <v>18.52431726</v>
      </c>
      <c r="I1620">
        <f t="shared" si="123"/>
        <v>0</v>
      </c>
      <c r="J1620">
        <f t="shared" si="123"/>
        <v>0</v>
      </c>
      <c r="K1620">
        <f t="shared" si="123"/>
        <v>0</v>
      </c>
      <c r="M1620" t="str" cm="1">
        <f t="array" ref="M1620">IFERROR(INDEX($I$2:$K$2,0,MATCH(TRUE,I1620:K1620,0)),E1620)</f>
        <v>CHP New</v>
      </c>
      <c r="O1620" t="str">
        <f t="shared" si="124"/>
        <v>CHP New_2028</v>
      </c>
      <c r="P1620">
        <f t="shared" si="125"/>
        <v>18.52431726</v>
      </c>
    </row>
    <row r="1621" spans="4:16" x14ac:dyDescent="0.25">
      <c r="D1621">
        <v>2029</v>
      </c>
      <c r="E1621" t="s">
        <v>227</v>
      </c>
      <c r="F1621" t="s">
        <v>230</v>
      </c>
      <c r="G1621">
        <v>18.52431726</v>
      </c>
      <c r="I1621">
        <f t="shared" ref="I1621:K1684" si="126">IFERROR(FIND(I$2,$E1621,1)&gt;0,0)</f>
        <v>0</v>
      </c>
      <c r="J1621">
        <f t="shared" si="126"/>
        <v>0</v>
      </c>
      <c r="K1621">
        <f t="shared" si="126"/>
        <v>0</v>
      </c>
      <c r="M1621" t="str" cm="1">
        <f t="array" ref="M1621">IFERROR(INDEX($I$2:$K$2,0,MATCH(TRUE,I1621:K1621,0)),E1621)</f>
        <v>CHP New</v>
      </c>
      <c r="O1621" t="str">
        <f t="shared" si="124"/>
        <v>CHP New_2029</v>
      </c>
      <c r="P1621">
        <f t="shared" si="125"/>
        <v>18.52431726</v>
      </c>
    </row>
    <row r="1622" spans="4:16" x14ac:dyDescent="0.25">
      <c r="D1622">
        <v>2030</v>
      </c>
      <c r="E1622" t="s">
        <v>227</v>
      </c>
      <c r="F1622" t="s">
        <v>230</v>
      </c>
      <c r="G1622">
        <v>18.52431726</v>
      </c>
      <c r="I1622">
        <f t="shared" si="126"/>
        <v>0</v>
      </c>
      <c r="J1622">
        <f t="shared" si="126"/>
        <v>0</v>
      </c>
      <c r="K1622">
        <f t="shared" si="126"/>
        <v>0</v>
      </c>
      <c r="M1622" t="str" cm="1">
        <f t="array" ref="M1622">IFERROR(INDEX($I$2:$K$2,0,MATCH(TRUE,I1622:K1622,0)),E1622)</f>
        <v>CHP New</v>
      </c>
      <c r="O1622" t="str">
        <f t="shared" si="124"/>
        <v>CHP New_2030</v>
      </c>
      <c r="P1622">
        <f t="shared" si="125"/>
        <v>18.52431726</v>
      </c>
    </row>
    <row r="1623" spans="4:16" x14ac:dyDescent="0.25">
      <c r="D1623">
        <v>2031</v>
      </c>
      <c r="E1623" t="s">
        <v>227</v>
      </c>
      <c r="F1623" t="s">
        <v>230</v>
      </c>
      <c r="G1623">
        <v>18.52431726</v>
      </c>
      <c r="I1623">
        <f t="shared" si="126"/>
        <v>0</v>
      </c>
      <c r="J1623">
        <f t="shared" si="126"/>
        <v>0</v>
      </c>
      <c r="K1623">
        <f t="shared" si="126"/>
        <v>0</v>
      </c>
      <c r="M1623" t="str" cm="1">
        <f t="array" ref="M1623">IFERROR(INDEX($I$2:$K$2,0,MATCH(TRUE,I1623:K1623,0)),E1623)</f>
        <v>CHP New</v>
      </c>
      <c r="O1623" t="str">
        <f t="shared" si="124"/>
        <v>CHP New_2031</v>
      </c>
      <c r="P1623">
        <f t="shared" si="125"/>
        <v>18.52431726</v>
      </c>
    </row>
    <row r="1624" spans="4:16" x14ac:dyDescent="0.25">
      <c r="D1624">
        <v>2032</v>
      </c>
      <c r="E1624" t="s">
        <v>227</v>
      </c>
      <c r="F1624" t="s">
        <v>230</v>
      </c>
      <c r="G1624">
        <v>18.52431726</v>
      </c>
      <c r="I1624">
        <f t="shared" si="126"/>
        <v>0</v>
      </c>
      <c r="J1624">
        <f t="shared" si="126"/>
        <v>0</v>
      </c>
      <c r="K1624">
        <f t="shared" si="126"/>
        <v>0</v>
      </c>
      <c r="M1624" t="str" cm="1">
        <f t="array" ref="M1624">IFERROR(INDEX($I$2:$K$2,0,MATCH(TRUE,I1624:K1624,0)),E1624)</f>
        <v>CHP New</v>
      </c>
      <c r="O1624" t="str">
        <f t="shared" si="124"/>
        <v>CHP New_2032</v>
      </c>
      <c r="P1624">
        <f t="shared" si="125"/>
        <v>18.52431726</v>
      </c>
    </row>
    <row r="1625" spans="4:16" x14ac:dyDescent="0.25">
      <c r="D1625">
        <v>2033</v>
      </c>
      <c r="E1625" t="s">
        <v>227</v>
      </c>
      <c r="F1625" t="s">
        <v>230</v>
      </c>
      <c r="G1625">
        <v>18.52431726</v>
      </c>
      <c r="I1625">
        <f t="shared" si="126"/>
        <v>0</v>
      </c>
      <c r="J1625">
        <f t="shared" si="126"/>
        <v>0</v>
      </c>
      <c r="K1625">
        <f t="shared" si="126"/>
        <v>0</v>
      </c>
      <c r="M1625" t="str" cm="1">
        <f t="array" ref="M1625">IFERROR(INDEX($I$2:$K$2,0,MATCH(TRUE,I1625:K1625,0)),E1625)</f>
        <v>CHP New</v>
      </c>
      <c r="O1625" t="str">
        <f t="shared" si="124"/>
        <v>CHP New_2033</v>
      </c>
      <c r="P1625">
        <f t="shared" si="125"/>
        <v>18.52431726</v>
      </c>
    </row>
    <row r="1626" spans="4:16" x14ac:dyDescent="0.25">
      <c r="D1626">
        <v>2034</v>
      </c>
      <c r="E1626" t="s">
        <v>227</v>
      </c>
      <c r="F1626" t="s">
        <v>230</v>
      </c>
      <c r="G1626">
        <v>18.52431726</v>
      </c>
      <c r="I1626">
        <f t="shared" si="126"/>
        <v>0</v>
      </c>
      <c r="J1626">
        <f t="shared" si="126"/>
        <v>0</v>
      </c>
      <c r="K1626">
        <f t="shared" si="126"/>
        <v>0</v>
      </c>
      <c r="M1626" t="str" cm="1">
        <f t="array" ref="M1626">IFERROR(INDEX($I$2:$K$2,0,MATCH(TRUE,I1626:K1626,0)),E1626)</f>
        <v>CHP New</v>
      </c>
      <c r="O1626" t="str">
        <f t="shared" si="124"/>
        <v>CHP New_2034</v>
      </c>
      <c r="P1626">
        <f t="shared" si="125"/>
        <v>18.52431726</v>
      </c>
    </row>
    <row r="1627" spans="4:16" x14ac:dyDescent="0.25">
      <c r="D1627">
        <v>2035</v>
      </c>
      <c r="E1627" t="s">
        <v>227</v>
      </c>
      <c r="F1627" t="s">
        <v>230</v>
      </c>
      <c r="G1627">
        <v>18.52431726</v>
      </c>
      <c r="I1627">
        <f t="shared" si="126"/>
        <v>0</v>
      </c>
      <c r="J1627">
        <f t="shared" si="126"/>
        <v>0</v>
      </c>
      <c r="K1627">
        <f t="shared" si="126"/>
        <v>0</v>
      </c>
      <c r="M1627" t="str" cm="1">
        <f t="array" ref="M1627">IFERROR(INDEX($I$2:$K$2,0,MATCH(TRUE,I1627:K1627,0)),E1627)</f>
        <v>CHP New</v>
      </c>
      <c r="O1627" t="str">
        <f t="shared" si="124"/>
        <v>CHP New_2035</v>
      </c>
      <c r="P1627">
        <f t="shared" si="125"/>
        <v>18.52431726</v>
      </c>
    </row>
    <row r="1628" spans="4:16" x14ac:dyDescent="0.25">
      <c r="D1628">
        <v>2036</v>
      </c>
      <c r="E1628" t="s">
        <v>227</v>
      </c>
      <c r="F1628" t="s">
        <v>230</v>
      </c>
      <c r="G1628">
        <v>19.029888799999998</v>
      </c>
      <c r="I1628">
        <f t="shared" si="126"/>
        <v>0</v>
      </c>
      <c r="J1628">
        <f t="shared" si="126"/>
        <v>0</v>
      </c>
      <c r="K1628">
        <f t="shared" si="126"/>
        <v>0</v>
      </c>
      <c r="M1628" t="str" cm="1">
        <f t="array" ref="M1628">IFERROR(INDEX($I$2:$K$2,0,MATCH(TRUE,I1628:K1628,0)),E1628)</f>
        <v>CHP New</v>
      </c>
      <c r="O1628" t="str">
        <f t="shared" si="124"/>
        <v>CHP New_2036</v>
      </c>
      <c r="P1628">
        <f t="shared" si="125"/>
        <v>19.029888799999998</v>
      </c>
    </row>
    <row r="1629" spans="4:16" x14ac:dyDescent="0.25">
      <c r="D1629">
        <v>2037</v>
      </c>
      <c r="E1629" t="s">
        <v>227</v>
      </c>
      <c r="F1629" t="s">
        <v>230</v>
      </c>
      <c r="G1629">
        <v>18.52431726</v>
      </c>
      <c r="I1629">
        <f t="shared" si="126"/>
        <v>0</v>
      </c>
      <c r="J1629">
        <f t="shared" si="126"/>
        <v>0</v>
      </c>
      <c r="K1629">
        <f t="shared" si="126"/>
        <v>0</v>
      </c>
      <c r="M1629" t="str" cm="1">
        <f t="array" ref="M1629">IFERROR(INDEX($I$2:$K$2,0,MATCH(TRUE,I1629:K1629,0)),E1629)</f>
        <v>CHP New</v>
      </c>
      <c r="O1629" t="str">
        <f t="shared" si="124"/>
        <v>CHP New_2037</v>
      </c>
      <c r="P1629">
        <f t="shared" si="125"/>
        <v>18.52431726</v>
      </c>
    </row>
    <row r="1630" spans="4:16" x14ac:dyDescent="0.25">
      <c r="D1630">
        <v>2038</v>
      </c>
      <c r="E1630" t="s">
        <v>227</v>
      </c>
      <c r="F1630" t="s">
        <v>230</v>
      </c>
      <c r="G1630">
        <v>18.52431726</v>
      </c>
      <c r="I1630">
        <f t="shared" si="126"/>
        <v>0</v>
      </c>
      <c r="J1630">
        <f t="shared" si="126"/>
        <v>0</v>
      </c>
      <c r="K1630">
        <f t="shared" si="126"/>
        <v>0</v>
      </c>
      <c r="M1630" t="str" cm="1">
        <f t="array" ref="M1630">IFERROR(INDEX($I$2:$K$2,0,MATCH(TRUE,I1630:K1630,0)),E1630)</f>
        <v>CHP New</v>
      </c>
      <c r="O1630" t="str">
        <f t="shared" si="124"/>
        <v>CHP New_2038</v>
      </c>
      <c r="P1630">
        <f t="shared" si="125"/>
        <v>18.52431726</v>
      </c>
    </row>
    <row r="1631" spans="4:16" x14ac:dyDescent="0.25">
      <c r="D1631">
        <v>2039</v>
      </c>
      <c r="E1631" t="s">
        <v>227</v>
      </c>
      <c r="F1631" t="s">
        <v>230</v>
      </c>
      <c r="G1631">
        <v>18.52431726</v>
      </c>
      <c r="I1631">
        <f t="shared" si="126"/>
        <v>0</v>
      </c>
      <c r="J1631">
        <f t="shared" si="126"/>
        <v>0</v>
      </c>
      <c r="K1631">
        <f t="shared" si="126"/>
        <v>0</v>
      </c>
      <c r="M1631" t="str" cm="1">
        <f t="array" ref="M1631">IFERROR(INDEX($I$2:$K$2,0,MATCH(TRUE,I1631:K1631,0)),E1631)</f>
        <v>CHP New</v>
      </c>
      <c r="O1631" t="str">
        <f t="shared" si="124"/>
        <v>CHP New_2039</v>
      </c>
      <c r="P1631">
        <f t="shared" si="125"/>
        <v>18.52431726</v>
      </c>
    </row>
    <row r="1632" spans="4:16" x14ac:dyDescent="0.25">
      <c r="D1632">
        <v>2040</v>
      </c>
      <c r="E1632" t="s">
        <v>227</v>
      </c>
      <c r="F1632" t="s">
        <v>230</v>
      </c>
      <c r="G1632">
        <v>19.029888799999998</v>
      </c>
      <c r="I1632">
        <f t="shared" si="126"/>
        <v>0</v>
      </c>
      <c r="J1632">
        <f t="shared" si="126"/>
        <v>0</v>
      </c>
      <c r="K1632">
        <f t="shared" si="126"/>
        <v>0</v>
      </c>
      <c r="M1632" t="str" cm="1">
        <f t="array" ref="M1632">IFERROR(INDEX($I$2:$K$2,0,MATCH(TRUE,I1632:K1632,0)),E1632)</f>
        <v>CHP New</v>
      </c>
      <c r="O1632" t="str">
        <f t="shared" si="124"/>
        <v>CHP New_2040</v>
      </c>
      <c r="P1632">
        <f t="shared" si="125"/>
        <v>19.029888799999998</v>
      </c>
    </row>
    <row r="1633" spans="4:16" x14ac:dyDescent="0.25">
      <c r="D1633">
        <v>2021</v>
      </c>
      <c r="E1633" t="s">
        <v>227</v>
      </c>
      <c r="F1633" t="s">
        <v>231</v>
      </c>
      <c r="G1633">
        <v>12.96702208</v>
      </c>
      <c r="I1633">
        <f t="shared" si="126"/>
        <v>0</v>
      </c>
      <c r="J1633">
        <f t="shared" si="126"/>
        <v>0</v>
      </c>
      <c r="K1633">
        <f t="shared" si="126"/>
        <v>0</v>
      </c>
      <c r="M1633" t="str" cm="1">
        <f t="array" ref="M1633">IFERROR(INDEX($I$2:$K$2,0,MATCH(TRUE,I1633:K1633,0)),E1633)</f>
        <v>CHP New</v>
      </c>
      <c r="O1633" t="str">
        <f t="shared" si="124"/>
        <v>CHP New_2021</v>
      </c>
      <c r="P1633">
        <f t="shared" si="125"/>
        <v>12.96702208</v>
      </c>
    </row>
    <row r="1634" spans="4:16" x14ac:dyDescent="0.25">
      <c r="D1634">
        <v>2022</v>
      </c>
      <c r="E1634" t="s">
        <v>227</v>
      </c>
      <c r="F1634" t="s">
        <v>231</v>
      </c>
      <c r="G1634">
        <v>12.96702208</v>
      </c>
      <c r="I1634">
        <f t="shared" si="126"/>
        <v>0</v>
      </c>
      <c r="J1634">
        <f t="shared" si="126"/>
        <v>0</v>
      </c>
      <c r="K1634">
        <f t="shared" si="126"/>
        <v>0</v>
      </c>
      <c r="M1634" t="str" cm="1">
        <f t="array" ref="M1634">IFERROR(INDEX($I$2:$K$2,0,MATCH(TRUE,I1634:K1634,0)),E1634)</f>
        <v>CHP New</v>
      </c>
      <c r="O1634" t="str">
        <f t="shared" si="124"/>
        <v>CHP New_2022</v>
      </c>
      <c r="P1634">
        <f t="shared" si="125"/>
        <v>12.96702208</v>
      </c>
    </row>
    <row r="1635" spans="4:16" x14ac:dyDescent="0.25">
      <c r="D1635">
        <v>2023</v>
      </c>
      <c r="E1635" t="s">
        <v>227</v>
      </c>
      <c r="F1635" t="s">
        <v>231</v>
      </c>
      <c r="G1635">
        <v>12.96702208</v>
      </c>
      <c r="I1635">
        <f t="shared" si="126"/>
        <v>0</v>
      </c>
      <c r="J1635">
        <f t="shared" si="126"/>
        <v>0</v>
      </c>
      <c r="K1635">
        <f t="shared" si="126"/>
        <v>0</v>
      </c>
      <c r="M1635" t="str" cm="1">
        <f t="array" ref="M1635">IFERROR(INDEX($I$2:$K$2,0,MATCH(TRUE,I1635:K1635,0)),E1635)</f>
        <v>CHP New</v>
      </c>
      <c r="O1635" t="str">
        <f t="shared" si="124"/>
        <v>CHP New_2023</v>
      </c>
      <c r="P1635">
        <f t="shared" si="125"/>
        <v>12.96702208</v>
      </c>
    </row>
    <row r="1636" spans="4:16" x14ac:dyDescent="0.25">
      <c r="D1636">
        <v>2024</v>
      </c>
      <c r="E1636" t="s">
        <v>227</v>
      </c>
      <c r="F1636" t="s">
        <v>231</v>
      </c>
      <c r="G1636">
        <v>13.32092216</v>
      </c>
      <c r="I1636">
        <f t="shared" si="126"/>
        <v>0</v>
      </c>
      <c r="J1636">
        <f t="shared" si="126"/>
        <v>0</v>
      </c>
      <c r="K1636">
        <f t="shared" si="126"/>
        <v>0</v>
      </c>
      <c r="M1636" t="str" cm="1">
        <f t="array" ref="M1636">IFERROR(INDEX($I$2:$K$2,0,MATCH(TRUE,I1636:K1636,0)),E1636)</f>
        <v>CHP New</v>
      </c>
      <c r="O1636" t="str">
        <f t="shared" si="124"/>
        <v>CHP New_2024</v>
      </c>
      <c r="P1636">
        <f t="shared" si="125"/>
        <v>13.32092216</v>
      </c>
    </row>
    <row r="1637" spans="4:16" x14ac:dyDescent="0.25">
      <c r="D1637">
        <v>2025</v>
      </c>
      <c r="E1637" t="s">
        <v>227</v>
      </c>
      <c r="F1637" t="s">
        <v>231</v>
      </c>
      <c r="G1637">
        <v>12.96702208</v>
      </c>
      <c r="I1637">
        <f t="shared" si="126"/>
        <v>0</v>
      </c>
      <c r="J1637">
        <f t="shared" si="126"/>
        <v>0</v>
      </c>
      <c r="K1637">
        <f t="shared" si="126"/>
        <v>0</v>
      </c>
      <c r="M1637" t="str" cm="1">
        <f t="array" ref="M1637">IFERROR(INDEX($I$2:$K$2,0,MATCH(TRUE,I1637:K1637,0)),E1637)</f>
        <v>CHP New</v>
      </c>
      <c r="O1637" t="str">
        <f t="shared" si="124"/>
        <v>CHP New_2025</v>
      </c>
      <c r="P1637">
        <f t="shared" si="125"/>
        <v>12.96702208</v>
      </c>
    </row>
    <row r="1638" spans="4:16" x14ac:dyDescent="0.25">
      <c r="D1638">
        <v>2026</v>
      </c>
      <c r="E1638" t="s">
        <v>227</v>
      </c>
      <c r="F1638" t="s">
        <v>231</v>
      </c>
      <c r="G1638">
        <v>12.96702208</v>
      </c>
      <c r="I1638">
        <f t="shared" si="126"/>
        <v>0</v>
      </c>
      <c r="J1638">
        <f t="shared" si="126"/>
        <v>0</v>
      </c>
      <c r="K1638">
        <f t="shared" si="126"/>
        <v>0</v>
      </c>
      <c r="M1638" t="str" cm="1">
        <f t="array" ref="M1638">IFERROR(INDEX($I$2:$K$2,0,MATCH(TRUE,I1638:K1638,0)),E1638)</f>
        <v>CHP New</v>
      </c>
      <c r="O1638" t="str">
        <f t="shared" si="124"/>
        <v>CHP New_2026</v>
      </c>
      <c r="P1638">
        <f t="shared" si="125"/>
        <v>12.96702208</v>
      </c>
    </row>
    <row r="1639" spans="4:16" x14ac:dyDescent="0.25">
      <c r="D1639">
        <v>2027</v>
      </c>
      <c r="E1639" t="s">
        <v>227</v>
      </c>
      <c r="F1639" t="s">
        <v>231</v>
      </c>
      <c r="G1639">
        <v>12.96702208</v>
      </c>
      <c r="I1639">
        <f t="shared" si="126"/>
        <v>0</v>
      </c>
      <c r="J1639">
        <f t="shared" si="126"/>
        <v>0</v>
      </c>
      <c r="K1639">
        <f t="shared" si="126"/>
        <v>0</v>
      </c>
      <c r="M1639" t="str" cm="1">
        <f t="array" ref="M1639">IFERROR(INDEX($I$2:$K$2,0,MATCH(TRUE,I1639:K1639,0)),E1639)</f>
        <v>CHP New</v>
      </c>
      <c r="O1639" t="str">
        <f t="shared" si="124"/>
        <v>CHP New_2027</v>
      </c>
      <c r="P1639">
        <f t="shared" si="125"/>
        <v>12.96702208</v>
      </c>
    </row>
    <row r="1640" spans="4:16" x14ac:dyDescent="0.25">
      <c r="D1640">
        <v>2028</v>
      </c>
      <c r="E1640" t="s">
        <v>227</v>
      </c>
      <c r="F1640" t="s">
        <v>231</v>
      </c>
      <c r="G1640">
        <v>12.96702208</v>
      </c>
      <c r="I1640">
        <f t="shared" si="126"/>
        <v>0</v>
      </c>
      <c r="J1640">
        <f t="shared" si="126"/>
        <v>0</v>
      </c>
      <c r="K1640">
        <f t="shared" si="126"/>
        <v>0</v>
      </c>
      <c r="M1640" t="str" cm="1">
        <f t="array" ref="M1640">IFERROR(INDEX($I$2:$K$2,0,MATCH(TRUE,I1640:K1640,0)),E1640)</f>
        <v>CHP New</v>
      </c>
      <c r="O1640" t="str">
        <f t="shared" si="124"/>
        <v>CHP New_2028</v>
      </c>
      <c r="P1640">
        <f t="shared" si="125"/>
        <v>12.96702208</v>
      </c>
    </row>
    <row r="1641" spans="4:16" x14ac:dyDescent="0.25">
      <c r="D1641">
        <v>2029</v>
      </c>
      <c r="E1641" t="s">
        <v>227</v>
      </c>
      <c r="F1641" t="s">
        <v>231</v>
      </c>
      <c r="G1641">
        <v>12.96702208</v>
      </c>
      <c r="I1641">
        <f t="shared" si="126"/>
        <v>0</v>
      </c>
      <c r="J1641">
        <f t="shared" si="126"/>
        <v>0</v>
      </c>
      <c r="K1641">
        <f t="shared" si="126"/>
        <v>0</v>
      </c>
      <c r="M1641" t="str" cm="1">
        <f t="array" ref="M1641">IFERROR(INDEX($I$2:$K$2,0,MATCH(TRUE,I1641:K1641,0)),E1641)</f>
        <v>CHP New</v>
      </c>
      <c r="O1641" t="str">
        <f t="shared" si="124"/>
        <v>CHP New_2029</v>
      </c>
      <c r="P1641">
        <f t="shared" si="125"/>
        <v>12.96702208</v>
      </c>
    </row>
    <row r="1642" spans="4:16" x14ac:dyDescent="0.25">
      <c r="D1642">
        <v>2030</v>
      </c>
      <c r="E1642" t="s">
        <v>227</v>
      </c>
      <c r="F1642" t="s">
        <v>231</v>
      </c>
      <c r="G1642">
        <v>12.96702208</v>
      </c>
      <c r="I1642">
        <f t="shared" si="126"/>
        <v>0</v>
      </c>
      <c r="J1642">
        <f t="shared" si="126"/>
        <v>0</v>
      </c>
      <c r="K1642">
        <f t="shared" si="126"/>
        <v>0</v>
      </c>
      <c r="M1642" t="str" cm="1">
        <f t="array" ref="M1642">IFERROR(INDEX($I$2:$K$2,0,MATCH(TRUE,I1642:K1642,0)),E1642)</f>
        <v>CHP New</v>
      </c>
      <c r="O1642" t="str">
        <f t="shared" si="124"/>
        <v>CHP New_2030</v>
      </c>
      <c r="P1642">
        <f t="shared" si="125"/>
        <v>12.96702208</v>
      </c>
    </row>
    <row r="1643" spans="4:16" x14ac:dyDescent="0.25">
      <c r="D1643">
        <v>2031</v>
      </c>
      <c r="E1643" t="s">
        <v>227</v>
      </c>
      <c r="F1643" t="s">
        <v>231</v>
      </c>
      <c r="G1643">
        <v>12.96702208</v>
      </c>
      <c r="I1643">
        <f t="shared" si="126"/>
        <v>0</v>
      </c>
      <c r="J1643">
        <f t="shared" si="126"/>
        <v>0</v>
      </c>
      <c r="K1643">
        <f t="shared" si="126"/>
        <v>0</v>
      </c>
      <c r="M1643" t="str" cm="1">
        <f t="array" ref="M1643">IFERROR(INDEX($I$2:$K$2,0,MATCH(TRUE,I1643:K1643,0)),E1643)</f>
        <v>CHP New</v>
      </c>
      <c r="O1643" t="str">
        <f t="shared" si="124"/>
        <v>CHP New_2031</v>
      </c>
      <c r="P1643">
        <f t="shared" si="125"/>
        <v>12.96702208</v>
      </c>
    </row>
    <row r="1644" spans="4:16" x14ac:dyDescent="0.25">
      <c r="D1644">
        <v>2032</v>
      </c>
      <c r="E1644" t="s">
        <v>227</v>
      </c>
      <c r="F1644" t="s">
        <v>231</v>
      </c>
      <c r="G1644">
        <v>12.96702208</v>
      </c>
      <c r="I1644">
        <f t="shared" si="126"/>
        <v>0</v>
      </c>
      <c r="J1644">
        <f t="shared" si="126"/>
        <v>0</v>
      </c>
      <c r="K1644">
        <f t="shared" si="126"/>
        <v>0</v>
      </c>
      <c r="M1644" t="str" cm="1">
        <f t="array" ref="M1644">IFERROR(INDEX($I$2:$K$2,0,MATCH(TRUE,I1644:K1644,0)),E1644)</f>
        <v>CHP New</v>
      </c>
      <c r="O1644" t="str">
        <f t="shared" si="124"/>
        <v>CHP New_2032</v>
      </c>
      <c r="P1644">
        <f t="shared" si="125"/>
        <v>12.96702208</v>
      </c>
    </row>
    <row r="1645" spans="4:16" x14ac:dyDescent="0.25">
      <c r="D1645">
        <v>2033</v>
      </c>
      <c r="E1645" t="s">
        <v>227</v>
      </c>
      <c r="F1645" t="s">
        <v>231</v>
      </c>
      <c r="G1645">
        <v>12.96702208</v>
      </c>
      <c r="I1645">
        <f t="shared" si="126"/>
        <v>0</v>
      </c>
      <c r="J1645">
        <f t="shared" si="126"/>
        <v>0</v>
      </c>
      <c r="K1645">
        <f t="shared" si="126"/>
        <v>0</v>
      </c>
      <c r="M1645" t="str" cm="1">
        <f t="array" ref="M1645">IFERROR(INDEX($I$2:$K$2,0,MATCH(TRUE,I1645:K1645,0)),E1645)</f>
        <v>CHP New</v>
      </c>
      <c r="O1645" t="str">
        <f t="shared" si="124"/>
        <v>CHP New_2033</v>
      </c>
      <c r="P1645">
        <f t="shared" si="125"/>
        <v>12.96702208</v>
      </c>
    </row>
    <row r="1646" spans="4:16" x14ac:dyDescent="0.25">
      <c r="D1646">
        <v>2034</v>
      </c>
      <c r="E1646" t="s">
        <v>227</v>
      </c>
      <c r="F1646" t="s">
        <v>231</v>
      </c>
      <c r="G1646">
        <v>12.96702208</v>
      </c>
      <c r="I1646">
        <f t="shared" si="126"/>
        <v>0</v>
      </c>
      <c r="J1646">
        <f t="shared" si="126"/>
        <v>0</v>
      </c>
      <c r="K1646">
        <f t="shared" si="126"/>
        <v>0</v>
      </c>
      <c r="M1646" t="str" cm="1">
        <f t="array" ref="M1646">IFERROR(INDEX($I$2:$K$2,0,MATCH(TRUE,I1646:K1646,0)),E1646)</f>
        <v>CHP New</v>
      </c>
      <c r="O1646" t="str">
        <f t="shared" si="124"/>
        <v>CHP New_2034</v>
      </c>
      <c r="P1646">
        <f t="shared" si="125"/>
        <v>12.96702208</v>
      </c>
    </row>
    <row r="1647" spans="4:16" x14ac:dyDescent="0.25">
      <c r="D1647">
        <v>2035</v>
      </c>
      <c r="E1647" t="s">
        <v>227</v>
      </c>
      <c r="F1647" t="s">
        <v>231</v>
      </c>
      <c r="G1647">
        <v>12.96702208</v>
      </c>
      <c r="I1647">
        <f t="shared" si="126"/>
        <v>0</v>
      </c>
      <c r="J1647">
        <f t="shared" si="126"/>
        <v>0</v>
      </c>
      <c r="K1647">
        <f t="shared" si="126"/>
        <v>0</v>
      </c>
      <c r="M1647" t="str" cm="1">
        <f t="array" ref="M1647">IFERROR(INDEX($I$2:$K$2,0,MATCH(TRUE,I1647:K1647,0)),E1647)</f>
        <v>CHP New</v>
      </c>
      <c r="O1647" t="str">
        <f t="shared" si="124"/>
        <v>CHP New_2035</v>
      </c>
      <c r="P1647">
        <f t="shared" si="125"/>
        <v>12.96702208</v>
      </c>
    </row>
    <row r="1648" spans="4:16" x14ac:dyDescent="0.25">
      <c r="D1648">
        <v>2036</v>
      </c>
      <c r="E1648" t="s">
        <v>227</v>
      </c>
      <c r="F1648" t="s">
        <v>231</v>
      </c>
      <c r="G1648">
        <v>13.32092216</v>
      </c>
      <c r="I1648">
        <f t="shared" si="126"/>
        <v>0</v>
      </c>
      <c r="J1648">
        <f t="shared" si="126"/>
        <v>0</v>
      </c>
      <c r="K1648">
        <f t="shared" si="126"/>
        <v>0</v>
      </c>
      <c r="M1648" t="str" cm="1">
        <f t="array" ref="M1648">IFERROR(INDEX($I$2:$K$2,0,MATCH(TRUE,I1648:K1648,0)),E1648)</f>
        <v>CHP New</v>
      </c>
      <c r="O1648" t="str">
        <f t="shared" si="124"/>
        <v>CHP New_2036</v>
      </c>
      <c r="P1648">
        <f t="shared" si="125"/>
        <v>13.32092216</v>
      </c>
    </row>
    <row r="1649" spans="4:16" x14ac:dyDescent="0.25">
      <c r="D1649">
        <v>2037</v>
      </c>
      <c r="E1649" t="s">
        <v>227</v>
      </c>
      <c r="F1649" t="s">
        <v>231</v>
      </c>
      <c r="G1649">
        <v>12.96702208</v>
      </c>
      <c r="I1649">
        <f t="shared" si="126"/>
        <v>0</v>
      </c>
      <c r="J1649">
        <f t="shared" si="126"/>
        <v>0</v>
      </c>
      <c r="K1649">
        <f t="shared" si="126"/>
        <v>0</v>
      </c>
      <c r="M1649" t="str" cm="1">
        <f t="array" ref="M1649">IFERROR(INDEX($I$2:$K$2,0,MATCH(TRUE,I1649:K1649,0)),E1649)</f>
        <v>CHP New</v>
      </c>
      <c r="O1649" t="str">
        <f t="shared" si="124"/>
        <v>CHP New_2037</v>
      </c>
      <c r="P1649">
        <f t="shared" si="125"/>
        <v>12.96702208</v>
      </c>
    </row>
    <row r="1650" spans="4:16" x14ac:dyDescent="0.25">
      <c r="D1650">
        <v>2038</v>
      </c>
      <c r="E1650" t="s">
        <v>227</v>
      </c>
      <c r="F1650" t="s">
        <v>231</v>
      </c>
      <c r="G1650">
        <v>12.96702208</v>
      </c>
      <c r="I1650">
        <f t="shared" si="126"/>
        <v>0</v>
      </c>
      <c r="J1650">
        <f t="shared" si="126"/>
        <v>0</v>
      </c>
      <c r="K1650">
        <f t="shared" si="126"/>
        <v>0</v>
      </c>
      <c r="M1650" t="str" cm="1">
        <f t="array" ref="M1650">IFERROR(INDEX($I$2:$K$2,0,MATCH(TRUE,I1650:K1650,0)),E1650)</f>
        <v>CHP New</v>
      </c>
      <c r="O1650" t="str">
        <f t="shared" si="124"/>
        <v>CHP New_2038</v>
      </c>
      <c r="P1650">
        <f t="shared" si="125"/>
        <v>12.96702208</v>
      </c>
    </row>
    <row r="1651" spans="4:16" x14ac:dyDescent="0.25">
      <c r="D1651">
        <v>2039</v>
      </c>
      <c r="E1651" t="s">
        <v>227</v>
      </c>
      <c r="F1651" t="s">
        <v>231</v>
      </c>
      <c r="G1651">
        <v>12.96702208</v>
      </c>
      <c r="I1651">
        <f t="shared" si="126"/>
        <v>0</v>
      </c>
      <c r="J1651">
        <f t="shared" si="126"/>
        <v>0</v>
      </c>
      <c r="K1651">
        <f t="shared" si="126"/>
        <v>0</v>
      </c>
      <c r="M1651" t="str" cm="1">
        <f t="array" ref="M1651">IFERROR(INDEX($I$2:$K$2,0,MATCH(TRUE,I1651:K1651,0)),E1651)</f>
        <v>CHP New</v>
      </c>
      <c r="O1651" t="str">
        <f t="shared" si="124"/>
        <v>CHP New_2039</v>
      </c>
      <c r="P1651">
        <f t="shared" si="125"/>
        <v>12.96702208</v>
      </c>
    </row>
    <row r="1652" spans="4:16" x14ac:dyDescent="0.25">
      <c r="D1652">
        <v>2040</v>
      </c>
      <c r="E1652" t="s">
        <v>227</v>
      </c>
      <c r="F1652" t="s">
        <v>231</v>
      </c>
      <c r="G1652">
        <v>13.32092216</v>
      </c>
      <c r="I1652">
        <f t="shared" si="126"/>
        <v>0</v>
      </c>
      <c r="J1652">
        <f t="shared" si="126"/>
        <v>0</v>
      </c>
      <c r="K1652">
        <f t="shared" si="126"/>
        <v>0</v>
      </c>
      <c r="M1652" t="str" cm="1">
        <f t="array" ref="M1652">IFERROR(INDEX($I$2:$K$2,0,MATCH(TRUE,I1652:K1652,0)),E1652)</f>
        <v>CHP New</v>
      </c>
      <c r="O1652" t="str">
        <f t="shared" si="124"/>
        <v>CHP New_2040</v>
      </c>
      <c r="P1652">
        <f t="shared" si="125"/>
        <v>13.32092216</v>
      </c>
    </row>
    <row r="1653" spans="4:16" x14ac:dyDescent="0.25">
      <c r="D1653">
        <v>2022</v>
      </c>
      <c r="E1653" t="s">
        <v>227</v>
      </c>
      <c r="F1653" t="s">
        <v>232</v>
      </c>
      <c r="G1653">
        <v>0</v>
      </c>
      <c r="I1653">
        <f t="shared" si="126"/>
        <v>0</v>
      </c>
      <c r="J1653">
        <f t="shared" si="126"/>
        <v>0</v>
      </c>
      <c r="K1653">
        <f t="shared" si="126"/>
        <v>0</v>
      </c>
      <c r="M1653" t="str" cm="1">
        <f t="array" ref="M1653">IFERROR(INDEX($I$2:$K$2,0,MATCH(TRUE,I1653:K1653,0)),E1653)</f>
        <v>CHP New</v>
      </c>
      <c r="O1653" t="str">
        <f t="shared" si="124"/>
        <v>CHP New_2022</v>
      </c>
      <c r="P1653">
        <f t="shared" si="125"/>
        <v>0</v>
      </c>
    </row>
    <row r="1654" spans="4:16" x14ac:dyDescent="0.25">
      <c r="D1654">
        <v>2023</v>
      </c>
      <c r="E1654" t="s">
        <v>227</v>
      </c>
      <c r="F1654" t="s">
        <v>232</v>
      </c>
      <c r="G1654">
        <v>26.860260029999999</v>
      </c>
      <c r="I1654">
        <f t="shared" si="126"/>
        <v>0</v>
      </c>
      <c r="J1654">
        <f t="shared" si="126"/>
        <v>0</v>
      </c>
      <c r="K1654">
        <f t="shared" si="126"/>
        <v>0</v>
      </c>
      <c r="M1654" t="str" cm="1">
        <f t="array" ref="M1654">IFERROR(INDEX($I$2:$K$2,0,MATCH(TRUE,I1654:K1654,0)),E1654)</f>
        <v>CHP New</v>
      </c>
      <c r="O1654" t="str">
        <f t="shared" si="124"/>
        <v>CHP New_2023</v>
      </c>
      <c r="P1654">
        <f t="shared" si="125"/>
        <v>26.860260029999999</v>
      </c>
    </row>
    <row r="1655" spans="4:16" x14ac:dyDescent="0.25">
      <c r="D1655">
        <v>2024</v>
      </c>
      <c r="E1655" t="s">
        <v>227</v>
      </c>
      <c r="F1655" t="s">
        <v>232</v>
      </c>
      <c r="G1655">
        <v>27.593338760000002</v>
      </c>
      <c r="I1655">
        <f t="shared" si="126"/>
        <v>0</v>
      </c>
      <c r="J1655">
        <f t="shared" si="126"/>
        <v>0</v>
      </c>
      <c r="K1655">
        <f t="shared" si="126"/>
        <v>0</v>
      </c>
      <c r="M1655" t="str" cm="1">
        <f t="array" ref="M1655">IFERROR(INDEX($I$2:$K$2,0,MATCH(TRUE,I1655:K1655,0)),E1655)</f>
        <v>CHP New</v>
      </c>
      <c r="O1655" t="str">
        <f t="shared" si="124"/>
        <v>CHP New_2024</v>
      </c>
      <c r="P1655">
        <f t="shared" si="125"/>
        <v>27.593338760000002</v>
      </c>
    </row>
    <row r="1656" spans="4:16" x14ac:dyDescent="0.25">
      <c r="D1656">
        <v>2025</v>
      </c>
      <c r="E1656" t="s">
        <v>227</v>
      </c>
      <c r="F1656" t="s">
        <v>232</v>
      </c>
      <c r="G1656">
        <v>26.860260029999999</v>
      </c>
      <c r="I1656">
        <f t="shared" si="126"/>
        <v>0</v>
      </c>
      <c r="J1656">
        <f t="shared" si="126"/>
        <v>0</v>
      </c>
      <c r="K1656">
        <f t="shared" si="126"/>
        <v>0</v>
      </c>
      <c r="M1656" t="str" cm="1">
        <f t="array" ref="M1656">IFERROR(INDEX($I$2:$K$2,0,MATCH(TRUE,I1656:K1656,0)),E1656)</f>
        <v>CHP New</v>
      </c>
      <c r="O1656" t="str">
        <f t="shared" si="124"/>
        <v>CHP New_2025</v>
      </c>
      <c r="P1656">
        <f t="shared" si="125"/>
        <v>26.860260029999999</v>
      </c>
    </row>
    <row r="1657" spans="4:16" x14ac:dyDescent="0.25">
      <c r="D1657">
        <v>2026</v>
      </c>
      <c r="E1657" t="s">
        <v>227</v>
      </c>
      <c r="F1657" t="s">
        <v>232</v>
      </c>
      <c r="G1657">
        <v>26.860260029999999</v>
      </c>
      <c r="I1657">
        <f t="shared" si="126"/>
        <v>0</v>
      </c>
      <c r="J1657">
        <f t="shared" si="126"/>
        <v>0</v>
      </c>
      <c r="K1657">
        <f t="shared" si="126"/>
        <v>0</v>
      </c>
      <c r="M1657" t="str" cm="1">
        <f t="array" ref="M1657">IFERROR(INDEX($I$2:$K$2,0,MATCH(TRUE,I1657:K1657,0)),E1657)</f>
        <v>CHP New</v>
      </c>
      <c r="O1657" t="str">
        <f t="shared" si="124"/>
        <v>CHP New_2026</v>
      </c>
      <c r="P1657">
        <f t="shared" si="125"/>
        <v>26.860260029999999</v>
      </c>
    </row>
    <row r="1658" spans="4:16" x14ac:dyDescent="0.25">
      <c r="D1658">
        <v>2027</v>
      </c>
      <c r="E1658" t="s">
        <v>227</v>
      </c>
      <c r="F1658" t="s">
        <v>232</v>
      </c>
      <c r="G1658">
        <v>26.860260029999999</v>
      </c>
      <c r="I1658">
        <f t="shared" si="126"/>
        <v>0</v>
      </c>
      <c r="J1658">
        <f t="shared" si="126"/>
        <v>0</v>
      </c>
      <c r="K1658">
        <f t="shared" si="126"/>
        <v>0</v>
      </c>
      <c r="M1658" t="str" cm="1">
        <f t="array" ref="M1658">IFERROR(INDEX($I$2:$K$2,0,MATCH(TRUE,I1658:K1658,0)),E1658)</f>
        <v>CHP New</v>
      </c>
      <c r="O1658" t="str">
        <f t="shared" si="124"/>
        <v>CHP New_2027</v>
      </c>
      <c r="P1658">
        <f t="shared" si="125"/>
        <v>26.860260029999999</v>
      </c>
    </row>
    <row r="1659" spans="4:16" x14ac:dyDescent="0.25">
      <c r="D1659">
        <v>2028</v>
      </c>
      <c r="E1659" t="s">
        <v>227</v>
      </c>
      <c r="F1659" t="s">
        <v>232</v>
      </c>
      <c r="G1659">
        <v>26.860260029999999</v>
      </c>
      <c r="I1659">
        <f t="shared" si="126"/>
        <v>0</v>
      </c>
      <c r="J1659">
        <f t="shared" si="126"/>
        <v>0</v>
      </c>
      <c r="K1659">
        <f t="shared" si="126"/>
        <v>0</v>
      </c>
      <c r="M1659" t="str" cm="1">
        <f t="array" ref="M1659">IFERROR(INDEX($I$2:$K$2,0,MATCH(TRUE,I1659:K1659,0)),E1659)</f>
        <v>CHP New</v>
      </c>
      <c r="O1659" t="str">
        <f t="shared" si="124"/>
        <v>CHP New_2028</v>
      </c>
      <c r="P1659">
        <f t="shared" si="125"/>
        <v>26.860260029999999</v>
      </c>
    </row>
    <row r="1660" spans="4:16" x14ac:dyDescent="0.25">
      <c r="D1660">
        <v>2029</v>
      </c>
      <c r="E1660" t="s">
        <v>227</v>
      </c>
      <c r="F1660" t="s">
        <v>232</v>
      </c>
      <c r="G1660">
        <v>26.860260029999999</v>
      </c>
      <c r="I1660">
        <f t="shared" si="126"/>
        <v>0</v>
      </c>
      <c r="J1660">
        <f t="shared" si="126"/>
        <v>0</v>
      </c>
      <c r="K1660">
        <f t="shared" si="126"/>
        <v>0</v>
      </c>
      <c r="M1660" t="str" cm="1">
        <f t="array" ref="M1660">IFERROR(INDEX($I$2:$K$2,0,MATCH(TRUE,I1660:K1660,0)),E1660)</f>
        <v>CHP New</v>
      </c>
      <c r="O1660" t="str">
        <f t="shared" si="124"/>
        <v>CHP New_2029</v>
      </c>
      <c r="P1660">
        <f t="shared" si="125"/>
        <v>26.860260029999999</v>
      </c>
    </row>
    <row r="1661" spans="4:16" x14ac:dyDescent="0.25">
      <c r="D1661">
        <v>2030</v>
      </c>
      <c r="E1661" t="s">
        <v>227</v>
      </c>
      <c r="F1661" t="s">
        <v>232</v>
      </c>
      <c r="G1661">
        <v>26.860260029999999</v>
      </c>
      <c r="I1661">
        <f t="shared" si="126"/>
        <v>0</v>
      </c>
      <c r="J1661">
        <f t="shared" si="126"/>
        <v>0</v>
      </c>
      <c r="K1661">
        <f t="shared" si="126"/>
        <v>0</v>
      </c>
      <c r="M1661" t="str" cm="1">
        <f t="array" ref="M1661">IFERROR(INDEX($I$2:$K$2,0,MATCH(TRUE,I1661:K1661,0)),E1661)</f>
        <v>CHP New</v>
      </c>
      <c r="O1661" t="str">
        <f t="shared" si="124"/>
        <v>CHP New_2030</v>
      </c>
      <c r="P1661">
        <f t="shared" si="125"/>
        <v>26.860260029999999</v>
      </c>
    </row>
    <row r="1662" spans="4:16" x14ac:dyDescent="0.25">
      <c r="D1662">
        <v>2031</v>
      </c>
      <c r="E1662" t="s">
        <v>227</v>
      </c>
      <c r="F1662" t="s">
        <v>232</v>
      </c>
      <c r="G1662">
        <v>26.860260029999999</v>
      </c>
      <c r="I1662">
        <f t="shared" si="126"/>
        <v>0</v>
      </c>
      <c r="J1662">
        <f t="shared" si="126"/>
        <v>0</v>
      </c>
      <c r="K1662">
        <f t="shared" si="126"/>
        <v>0</v>
      </c>
      <c r="M1662" t="str" cm="1">
        <f t="array" ref="M1662">IFERROR(INDEX($I$2:$K$2,0,MATCH(TRUE,I1662:K1662,0)),E1662)</f>
        <v>CHP New</v>
      </c>
      <c r="O1662" t="str">
        <f t="shared" si="124"/>
        <v>CHP New_2031</v>
      </c>
      <c r="P1662">
        <f t="shared" si="125"/>
        <v>26.860260029999999</v>
      </c>
    </row>
    <row r="1663" spans="4:16" x14ac:dyDescent="0.25">
      <c r="D1663">
        <v>2032</v>
      </c>
      <c r="E1663" t="s">
        <v>227</v>
      </c>
      <c r="F1663" t="s">
        <v>232</v>
      </c>
      <c r="G1663">
        <v>26.860260029999999</v>
      </c>
      <c r="I1663">
        <f t="shared" si="126"/>
        <v>0</v>
      </c>
      <c r="J1663">
        <f t="shared" si="126"/>
        <v>0</v>
      </c>
      <c r="K1663">
        <f t="shared" si="126"/>
        <v>0</v>
      </c>
      <c r="M1663" t="str" cm="1">
        <f t="array" ref="M1663">IFERROR(INDEX($I$2:$K$2,0,MATCH(TRUE,I1663:K1663,0)),E1663)</f>
        <v>CHP New</v>
      </c>
      <c r="O1663" t="str">
        <f t="shared" si="124"/>
        <v>CHP New_2032</v>
      </c>
      <c r="P1663">
        <f t="shared" si="125"/>
        <v>26.860260029999999</v>
      </c>
    </row>
    <row r="1664" spans="4:16" x14ac:dyDescent="0.25">
      <c r="D1664">
        <v>2033</v>
      </c>
      <c r="E1664" t="s">
        <v>227</v>
      </c>
      <c r="F1664" t="s">
        <v>232</v>
      </c>
      <c r="G1664">
        <v>26.860260029999999</v>
      </c>
      <c r="I1664">
        <f t="shared" si="126"/>
        <v>0</v>
      </c>
      <c r="J1664">
        <f t="shared" si="126"/>
        <v>0</v>
      </c>
      <c r="K1664">
        <f t="shared" si="126"/>
        <v>0</v>
      </c>
      <c r="M1664" t="str" cm="1">
        <f t="array" ref="M1664">IFERROR(INDEX($I$2:$K$2,0,MATCH(TRUE,I1664:K1664,0)),E1664)</f>
        <v>CHP New</v>
      </c>
      <c r="O1664" t="str">
        <f t="shared" si="124"/>
        <v>CHP New_2033</v>
      </c>
      <c r="P1664">
        <f t="shared" si="125"/>
        <v>26.860260029999999</v>
      </c>
    </row>
    <row r="1665" spans="4:16" x14ac:dyDescent="0.25">
      <c r="D1665">
        <v>2034</v>
      </c>
      <c r="E1665" t="s">
        <v>227</v>
      </c>
      <c r="F1665" t="s">
        <v>232</v>
      </c>
      <c r="G1665">
        <v>26.860260029999999</v>
      </c>
      <c r="I1665">
        <f t="shared" si="126"/>
        <v>0</v>
      </c>
      <c r="J1665">
        <f t="shared" si="126"/>
        <v>0</v>
      </c>
      <c r="K1665">
        <f t="shared" si="126"/>
        <v>0</v>
      </c>
      <c r="M1665" t="str" cm="1">
        <f t="array" ref="M1665">IFERROR(INDEX($I$2:$K$2,0,MATCH(TRUE,I1665:K1665,0)),E1665)</f>
        <v>CHP New</v>
      </c>
      <c r="O1665" t="str">
        <f t="shared" si="124"/>
        <v>CHP New_2034</v>
      </c>
      <c r="P1665">
        <f t="shared" si="125"/>
        <v>26.860260029999999</v>
      </c>
    </row>
    <row r="1666" spans="4:16" x14ac:dyDescent="0.25">
      <c r="D1666">
        <v>2035</v>
      </c>
      <c r="E1666" t="s">
        <v>227</v>
      </c>
      <c r="F1666" t="s">
        <v>232</v>
      </c>
      <c r="G1666">
        <v>26.860260029999999</v>
      </c>
      <c r="I1666">
        <f t="shared" si="126"/>
        <v>0</v>
      </c>
      <c r="J1666">
        <f t="shared" si="126"/>
        <v>0</v>
      </c>
      <c r="K1666">
        <f t="shared" si="126"/>
        <v>0</v>
      </c>
      <c r="M1666" t="str" cm="1">
        <f t="array" ref="M1666">IFERROR(INDEX($I$2:$K$2,0,MATCH(TRUE,I1666:K1666,0)),E1666)</f>
        <v>CHP New</v>
      </c>
      <c r="O1666" t="str">
        <f t="shared" si="124"/>
        <v>CHP New_2035</v>
      </c>
      <c r="P1666">
        <f t="shared" si="125"/>
        <v>26.860260029999999</v>
      </c>
    </row>
    <row r="1667" spans="4:16" x14ac:dyDescent="0.25">
      <c r="D1667">
        <v>2036</v>
      </c>
      <c r="E1667" t="s">
        <v>227</v>
      </c>
      <c r="F1667" t="s">
        <v>232</v>
      </c>
      <c r="G1667">
        <v>27.593338760000002</v>
      </c>
      <c r="I1667">
        <f t="shared" si="126"/>
        <v>0</v>
      </c>
      <c r="J1667">
        <f t="shared" si="126"/>
        <v>0</v>
      </c>
      <c r="K1667">
        <f t="shared" si="126"/>
        <v>0</v>
      </c>
      <c r="M1667" t="str" cm="1">
        <f t="array" ref="M1667">IFERROR(INDEX($I$2:$K$2,0,MATCH(TRUE,I1667:K1667,0)),E1667)</f>
        <v>CHP New</v>
      </c>
      <c r="O1667" t="str">
        <f t="shared" si="124"/>
        <v>CHP New_2036</v>
      </c>
      <c r="P1667">
        <f t="shared" si="125"/>
        <v>27.593338760000002</v>
      </c>
    </row>
    <row r="1668" spans="4:16" x14ac:dyDescent="0.25">
      <c r="D1668">
        <v>2037</v>
      </c>
      <c r="E1668" t="s">
        <v>227</v>
      </c>
      <c r="F1668" t="s">
        <v>232</v>
      </c>
      <c r="G1668">
        <v>26.860260029999999</v>
      </c>
      <c r="I1668">
        <f t="shared" si="126"/>
        <v>0</v>
      </c>
      <c r="J1668">
        <f t="shared" si="126"/>
        <v>0</v>
      </c>
      <c r="K1668">
        <f t="shared" si="126"/>
        <v>0</v>
      </c>
      <c r="M1668" t="str" cm="1">
        <f t="array" ref="M1668">IFERROR(INDEX($I$2:$K$2,0,MATCH(TRUE,I1668:K1668,0)),E1668)</f>
        <v>CHP New</v>
      </c>
      <c r="O1668" t="str">
        <f t="shared" si="124"/>
        <v>CHP New_2037</v>
      </c>
      <c r="P1668">
        <f t="shared" si="125"/>
        <v>26.860260029999999</v>
      </c>
    </row>
    <row r="1669" spans="4:16" x14ac:dyDescent="0.25">
      <c r="D1669">
        <v>2038</v>
      </c>
      <c r="E1669" t="s">
        <v>227</v>
      </c>
      <c r="F1669" t="s">
        <v>232</v>
      </c>
      <c r="G1669">
        <v>26.860260029999999</v>
      </c>
      <c r="I1669">
        <f t="shared" si="126"/>
        <v>0</v>
      </c>
      <c r="J1669">
        <f t="shared" si="126"/>
        <v>0</v>
      </c>
      <c r="K1669">
        <f t="shared" si="126"/>
        <v>0</v>
      </c>
      <c r="M1669" t="str" cm="1">
        <f t="array" ref="M1669">IFERROR(INDEX($I$2:$K$2,0,MATCH(TRUE,I1669:K1669,0)),E1669)</f>
        <v>CHP New</v>
      </c>
      <c r="O1669" t="str">
        <f t="shared" si="124"/>
        <v>CHP New_2038</v>
      </c>
      <c r="P1669">
        <f t="shared" si="125"/>
        <v>26.860260029999999</v>
      </c>
    </row>
    <row r="1670" spans="4:16" x14ac:dyDescent="0.25">
      <c r="D1670">
        <v>2039</v>
      </c>
      <c r="E1670" t="s">
        <v>227</v>
      </c>
      <c r="F1670" t="s">
        <v>232</v>
      </c>
      <c r="G1670">
        <v>26.860260029999999</v>
      </c>
      <c r="I1670">
        <f t="shared" si="126"/>
        <v>0</v>
      </c>
      <c r="J1670">
        <f t="shared" si="126"/>
        <v>0</v>
      </c>
      <c r="K1670">
        <f t="shared" si="126"/>
        <v>0</v>
      </c>
      <c r="M1670" t="str" cm="1">
        <f t="array" ref="M1670">IFERROR(INDEX($I$2:$K$2,0,MATCH(TRUE,I1670:K1670,0)),E1670)</f>
        <v>CHP New</v>
      </c>
      <c r="O1670" t="str">
        <f t="shared" si="124"/>
        <v>CHP New_2039</v>
      </c>
      <c r="P1670">
        <f t="shared" si="125"/>
        <v>26.860260029999999</v>
      </c>
    </row>
    <row r="1671" spans="4:16" x14ac:dyDescent="0.25">
      <c r="D1671">
        <v>2040</v>
      </c>
      <c r="E1671" t="s">
        <v>227</v>
      </c>
      <c r="F1671" t="s">
        <v>232</v>
      </c>
      <c r="G1671">
        <v>27.593338760000002</v>
      </c>
      <c r="I1671">
        <f t="shared" si="126"/>
        <v>0</v>
      </c>
      <c r="J1671">
        <f t="shared" si="126"/>
        <v>0</v>
      </c>
      <c r="K1671">
        <f t="shared" si="126"/>
        <v>0</v>
      </c>
      <c r="M1671" t="str" cm="1">
        <f t="array" ref="M1671">IFERROR(INDEX($I$2:$K$2,0,MATCH(TRUE,I1671:K1671,0)),E1671)</f>
        <v>CHP New</v>
      </c>
      <c r="O1671" t="str">
        <f t="shared" si="124"/>
        <v>CHP New_2040</v>
      </c>
      <c r="P1671">
        <f t="shared" si="125"/>
        <v>27.593338760000002</v>
      </c>
    </row>
    <row r="1672" spans="4:16" x14ac:dyDescent="0.25">
      <c r="D1672">
        <v>2024</v>
      </c>
      <c r="E1672" t="s">
        <v>227</v>
      </c>
      <c r="F1672" t="s">
        <v>233</v>
      </c>
      <c r="G1672">
        <v>0</v>
      </c>
      <c r="I1672">
        <f t="shared" si="126"/>
        <v>0</v>
      </c>
      <c r="J1672">
        <f t="shared" si="126"/>
        <v>0</v>
      </c>
      <c r="K1672">
        <f t="shared" si="126"/>
        <v>0</v>
      </c>
      <c r="M1672" t="str" cm="1">
        <f t="array" ref="M1672">IFERROR(INDEX($I$2:$K$2,0,MATCH(TRUE,I1672:K1672,0)),E1672)</f>
        <v>CHP New</v>
      </c>
      <c r="O1672" t="str">
        <f t="shared" si="124"/>
        <v>CHP New_2024</v>
      </c>
      <c r="P1672">
        <f t="shared" si="125"/>
        <v>0</v>
      </c>
    </row>
    <row r="1673" spans="4:16" x14ac:dyDescent="0.25">
      <c r="D1673">
        <v>2025</v>
      </c>
      <c r="E1673" t="s">
        <v>227</v>
      </c>
      <c r="F1673" t="s">
        <v>233</v>
      </c>
      <c r="G1673">
        <v>73.171053180000001</v>
      </c>
      <c r="I1673">
        <f t="shared" si="126"/>
        <v>0</v>
      </c>
      <c r="J1673">
        <f t="shared" si="126"/>
        <v>0</v>
      </c>
      <c r="K1673">
        <f t="shared" si="126"/>
        <v>0</v>
      </c>
      <c r="M1673" t="str" cm="1">
        <f t="array" ref="M1673">IFERROR(INDEX($I$2:$K$2,0,MATCH(TRUE,I1673:K1673,0)),E1673)</f>
        <v>CHP New</v>
      </c>
      <c r="O1673" t="str">
        <f t="shared" si="124"/>
        <v>CHP New_2025</v>
      </c>
      <c r="P1673">
        <f t="shared" si="125"/>
        <v>73.171053180000001</v>
      </c>
    </row>
    <row r="1674" spans="4:16" x14ac:dyDescent="0.25">
      <c r="D1674">
        <v>2026</v>
      </c>
      <c r="E1674" t="s">
        <v>227</v>
      </c>
      <c r="F1674" t="s">
        <v>233</v>
      </c>
      <c r="G1674">
        <v>73.171053180000001</v>
      </c>
      <c r="I1674">
        <f t="shared" si="126"/>
        <v>0</v>
      </c>
      <c r="J1674">
        <f t="shared" si="126"/>
        <v>0</v>
      </c>
      <c r="K1674">
        <f t="shared" si="126"/>
        <v>0</v>
      </c>
      <c r="M1674" t="str" cm="1">
        <f t="array" ref="M1674">IFERROR(INDEX($I$2:$K$2,0,MATCH(TRUE,I1674:K1674,0)),E1674)</f>
        <v>CHP New</v>
      </c>
      <c r="O1674" t="str">
        <f t="shared" si="124"/>
        <v>CHP New_2026</v>
      </c>
      <c r="P1674">
        <f t="shared" si="125"/>
        <v>73.171053180000001</v>
      </c>
    </row>
    <row r="1675" spans="4:16" x14ac:dyDescent="0.25">
      <c r="D1675">
        <v>2027</v>
      </c>
      <c r="E1675" t="s">
        <v>227</v>
      </c>
      <c r="F1675" t="s">
        <v>233</v>
      </c>
      <c r="G1675">
        <v>73.171053180000001</v>
      </c>
      <c r="I1675">
        <f t="shared" si="126"/>
        <v>0</v>
      </c>
      <c r="J1675">
        <f t="shared" si="126"/>
        <v>0</v>
      </c>
      <c r="K1675">
        <f t="shared" si="126"/>
        <v>0</v>
      </c>
      <c r="M1675" t="str" cm="1">
        <f t="array" ref="M1675">IFERROR(INDEX($I$2:$K$2,0,MATCH(TRUE,I1675:K1675,0)),E1675)</f>
        <v>CHP New</v>
      </c>
      <c r="O1675" t="str">
        <f t="shared" si="124"/>
        <v>CHP New_2027</v>
      </c>
      <c r="P1675">
        <f t="shared" si="125"/>
        <v>73.171053180000001</v>
      </c>
    </row>
    <row r="1676" spans="4:16" x14ac:dyDescent="0.25">
      <c r="D1676">
        <v>2028</v>
      </c>
      <c r="E1676" t="s">
        <v>227</v>
      </c>
      <c r="F1676" t="s">
        <v>233</v>
      </c>
      <c r="G1676">
        <v>73.171053180000001</v>
      </c>
      <c r="I1676">
        <f t="shared" si="126"/>
        <v>0</v>
      </c>
      <c r="J1676">
        <f t="shared" si="126"/>
        <v>0</v>
      </c>
      <c r="K1676">
        <f t="shared" si="126"/>
        <v>0</v>
      </c>
      <c r="M1676" t="str" cm="1">
        <f t="array" ref="M1676">IFERROR(INDEX($I$2:$K$2,0,MATCH(TRUE,I1676:K1676,0)),E1676)</f>
        <v>CHP New</v>
      </c>
      <c r="O1676" t="str">
        <f t="shared" si="124"/>
        <v>CHP New_2028</v>
      </c>
      <c r="P1676">
        <f t="shared" si="125"/>
        <v>73.171053180000001</v>
      </c>
    </row>
    <row r="1677" spans="4:16" x14ac:dyDescent="0.25">
      <c r="D1677">
        <v>2029</v>
      </c>
      <c r="E1677" t="s">
        <v>227</v>
      </c>
      <c r="F1677" t="s">
        <v>233</v>
      </c>
      <c r="G1677">
        <v>73.171053180000001</v>
      </c>
      <c r="I1677">
        <f t="shared" si="126"/>
        <v>0</v>
      </c>
      <c r="J1677">
        <f t="shared" si="126"/>
        <v>0</v>
      </c>
      <c r="K1677">
        <f t="shared" si="126"/>
        <v>0</v>
      </c>
      <c r="M1677" t="str" cm="1">
        <f t="array" ref="M1677">IFERROR(INDEX($I$2:$K$2,0,MATCH(TRUE,I1677:K1677,0)),E1677)</f>
        <v>CHP New</v>
      </c>
      <c r="O1677" t="str">
        <f t="shared" si="124"/>
        <v>CHP New_2029</v>
      </c>
      <c r="P1677">
        <f t="shared" si="125"/>
        <v>73.171053180000001</v>
      </c>
    </row>
    <row r="1678" spans="4:16" x14ac:dyDescent="0.25">
      <c r="D1678">
        <v>2030</v>
      </c>
      <c r="E1678" t="s">
        <v>227</v>
      </c>
      <c r="F1678" t="s">
        <v>233</v>
      </c>
      <c r="G1678">
        <v>73.171053180000001</v>
      </c>
      <c r="I1678">
        <f t="shared" si="126"/>
        <v>0</v>
      </c>
      <c r="J1678">
        <f t="shared" si="126"/>
        <v>0</v>
      </c>
      <c r="K1678">
        <f t="shared" si="126"/>
        <v>0</v>
      </c>
      <c r="M1678" t="str" cm="1">
        <f t="array" ref="M1678">IFERROR(INDEX($I$2:$K$2,0,MATCH(TRUE,I1678:K1678,0)),E1678)</f>
        <v>CHP New</v>
      </c>
      <c r="O1678" t="str">
        <f t="shared" si="124"/>
        <v>CHP New_2030</v>
      </c>
      <c r="P1678">
        <f t="shared" si="125"/>
        <v>73.171053180000001</v>
      </c>
    </row>
    <row r="1679" spans="4:16" x14ac:dyDescent="0.25">
      <c r="D1679">
        <v>2031</v>
      </c>
      <c r="E1679" t="s">
        <v>227</v>
      </c>
      <c r="F1679" t="s">
        <v>233</v>
      </c>
      <c r="G1679">
        <v>73.171053180000001</v>
      </c>
      <c r="I1679">
        <f t="shared" si="126"/>
        <v>0</v>
      </c>
      <c r="J1679">
        <f t="shared" si="126"/>
        <v>0</v>
      </c>
      <c r="K1679">
        <f t="shared" si="126"/>
        <v>0</v>
      </c>
      <c r="M1679" t="str" cm="1">
        <f t="array" ref="M1679">IFERROR(INDEX($I$2:$K$2,0,MATCH(TRUE,I1679:K1679,0)),E1679)</f>
        <v>CHP New</v>
      </c>
      <c r="O1679" t="str">
        <f t="shared" si="124"/>
        <v>CHP New_2031</v>
      </c>
      <c r="P1679">
        <f t="shared" si="125"/>
        <v>73.171053180000001</v>
      </c>
    </row>
    <row r="1680" spans="4:16" x14ac:dyDescent="0.25">
      <c r="D1680">
        <v>2032</v>
      </c>
      <c r="E1680" t="s">
        <v>227</v>
      </c>
      <c r="F1680" t="s">
        <v>233</v>
      </c>
      <c r="G1680">
        <v>73.171053180000001</v>
      </c>
      <c r="I1680">
        <f t="shared" si="126"/>
        <v>0</v>
      </c>
      <c r="J1680">
        <f t="shared" si="126"/>
        <v>0</v>
      </c>
      <c r="K1680">
        <f t="shared" si="126"/>
        <v>0</v>
      </c>
      <c r="M1680" t="str" cm="1">
        <f t="array" ref="M1680">IFERROR(INDEX($I$2:$K$2,0,MATCH(TRUE,I1680:K1680,0)),E1680)</f>
        <v>CHP New</v>
      </c>
      <c r="O1680" t="str">
        <f t="shared" si="124"/>
        <v>CHP New_2032</v>
      </c>
      <c r="P1680">
        <f t="shared" si="125"/>
        <v>73.171053180000001</v>
      </c>
    </row>
    <row r="1681" spans="4:16" x14ac:dyDescent="0.25">
      <c r="D1681">
        <v>2033</v>
      </c>
      <c r="E1681" t="s">
        <v>227</v>
      </c>
      <c r="F1681" t="s">
        <v>233</v>
      </c>
      <c r="G1681">
        <v>73.171053180000001</v>
      </c>
      <c r="I1681">
        <f t="shared" si="126"/>
        <v>0</v>
      </c>
      <c r="J1681">
        <f t="shared" si="126"/>
        <v>0</v>
      </c>
      <c r="K1681">
        <f t="shared" si="126"/>
        <v>0</v>
      </c>
      <c r="M1681" t="str" cm="1">
        <f t="array" ref="M1681">IFERROR(INDEX($I$2:$K$2,0,MATCH(TRUE,I1681:K1681,0)),E1681)</f>
        <v>CHP New</v>
      </c>
      <c r="O1681" t="str">
        <f t="shared" si="124"/>
        <v>CHP New_2033</v>
      </c>
      <c r="P1681">
        <f t="shared" si="125"/>
        <v>73.171053180000001</v>
      </c>
    </row>
    <row r="1682" spans="4:16" x14ac:dyDescent="0.25">
      <c r="D1682">
        <v>2034</v>
      </c>
      <c r="E1682" t="s">
        <v>227</v>
      </c>
      <c r="F1682" t="s">
        <v>233</v>
      </c>
      <c r="G1682">
        <v>73.171053180000001</v>
      </c>
      <c r="I1682">
        <f t="shared" si="126"/>
        <v>0</v>
      </c>
      <c r="J1682">
        <f t="shared" si="126"/>
        <v>0</v>
      </c>
      <c r="K1682">
        <f t="shared" si="126"/>
        <v>0</v>
      </c>
      <c r="M1682" t="str" cm="1">
        <f t="array" ref="M1682">IFERROR(INDEX($I$2:$K$2,0,MATCH(TRUE,I1682:K1682,0)),E1682)</f>
        <v>CHP New</v>
      </c>
      <c r="O1682" t="str">
        <f t="shared" si="124"/>
        <v>CHP New_2034</v>
      </c>
      <c r="P1682">
        <f t="shared" si="125"/>
        <v>73.171053180000001</v>
      </c>
    </row>
    <row r="1683" spans="4:16" x14ac:dyDescent="0.25">
      <c r="D1683">
        <v>2035</v>
      </c>
      <c r="E1683" t="s">
        <v>227</v>
      </c>
      <c r="F1683" t="s">
        <v>233</v>
      </c>
      <c r="G1683">
        <v>73.171053180000001</v>
      </c>
      <c r="I1683">
        <f t="shared" si="126"/>
        <v>0</v>
      </c>
      <c r="J1683">
        <f t="shared" si="126"/>
        <v>0</v>
      </c>
      <c r="K1683">
        <f t="shared" si="126"/>
        <v>0</v>
      </c>
      <c r="M1683" t="str" cm="1">
        <f t="array" ref="M1683">IFERROR(INDEX($I$2:$K$2,0,MATCH(TRUE,I1683:K1683,0)),E1683)</f>
        <v>CHP New</v>
      </c>
      <c r="O1683" t="str">
        <f t="shared" ref="O1683:O1746" si="127">M1683&amp;"_"&amp;D1683</f>
        <v>CHP New_2035</v>
      </c>
      <c r="P1683">
        <f t="shared" ref="P1683:P1746" si="128">G1683</f>
        <v>73.171053180000001</v>
      </c>
    </row>
    <row r="1684" spans="4:16" x14ac:dyDescent="0.25">
      <c r="D1684">
        <v>2036</v>
      </c>
      <c r="E1684" t="s">
        <v>227</v>
      </c>
      <c r="F1684" t="s">
        <v>233</v>
      </c>
      <c r="G1684">
        <v>75.168060760000003</v>
      </c>
      <c r="I1684">
        <f t="shared" si="126"/>
        <v>0</v>
      </c>
      <c r="J1684">
        <f t="shared" si="126"/>
        <v>0</v>
      </c>
      <c r="K1684">
        <f t="shared" si="126"/>
        <v>0</v>
      </c>
      <c r="M1684" t="str" cm="1">
        <f t="array" ref="M1684">IFERROR(INDEX($I$2:$K$2,0,MATCH(TRUE,I1684:K1684,0)),E1684)</f>
        <v>CHP New</v>
      </c>
      <c r="O1684" t="str">
        <f t="shared" si="127"/>
        <v>CHP New_2036</v>
      </c>
      <c r="P1684">
        <f t="shared" si="128"/>
        <v>75.168060760000003</v>
      </c>
    </row>
    <row r="1685" spans="4:16" x14ac:dyDescent="0.25">
      <c r="D1685">
        <v>2037</v>
      </c>
      <c r="E1685" t="s">
        <v>227</v>
      </c>
      <c r="F1685" t="s">
        <v>233</v>
      </c>
      <c r="G1685">
        <v>73.171053180000001</v>
      </c>
      <c r="I1685">
        <f t="shared" ref="I1685:K1748" si="129">IFERROR(FIND(I$2,$E1685,1)&gt;0,0)</f>
        <v>0</v>
      </c>
      <c r="J1685">
        <f t="shared" si="129"/>
        <v>0</v>
      </c>
      <c r="K1685">
        <f t="shared" si="129"/>
        <v>0</v>
      </c>
      <c r="M1685" t="str" cm="1">
        <f t="array" ref="M1685">IFERROR(INDEX($I$2:$K$2,0,MATCH(TRUE,I1685:K1685,0)),E1685)</f>
        <v>CHP New</v>
      </c>
      <c r="O1685" t="str">
        <f t="shared" si="127"/>
        <v>CHP New_2037</v>
      </c>
      <c r="P1685">
        <f t="shared" si="128"/>
        <v>73.171053180000001</v>
      </c>
    </row>
    <row r="1686" spans="4:16" x14ac:dyDescent="0.25">
      <c r="D1686">
        <v>2038</v>
      </c>
      <c r="E1686" t="s">
        <v>227</v>
      </c>
      <c r="F1686" t="s">
        <v>233</v>
      </c>
      <c r="G1686">
        <v>73.171053180000001</v>
      </c>
      <c r="I1686">
        <f t="shared" si="129"/>
        <v>0</v>
      </c>
      <c r="J1686">
        <f t="shared" si="129"/>
        <v>0</v>
      </c>
      <c r="K1686">
        <f t="shared" si="129"/>
        <v>0</v>
      </c>
      <c r="M1686" t="str" cm="1">
        <f t="array" ref="M1686">IFERROR(INDEX($I$2:$K$2,0,MATCH(TRUE,I1686:K1686,0)),E1686)</f>
        <v>CHP New</v>
      </c>
      <c r="O1686" t="str">
        <f t="shared" si="127"/>
        <v>CHP New_2038</v>
      </c>
      <c r="P1686">
        <f t="shared" si="128"/>
        <v>73.171053180000001</v>
      </c>
    </row>
    <row r="1687" spans="4:16" x14ac:dyDescent="0.25">
      <c r="D1687">
        <v>2039</v>
      </c>
      <c r="E1687" t="s">
        <v>227</v>
      </c>
      <c r="F1687" t="s">
        <v>233</v>
      </c>
      <c r="G1687">
        <v>73.171053180000001</v>
      </c>
      <c r="I1687">
        <f t="shared" si="129"/>
        <v>0</v>
      </c>
      <c r="J1687">
        <f t="shared" si="129"/>
        <v>0</v>
      </c>
      <c r="K1687">
        <f t="shared" si="129"/>
        <v>0</v>
      </c>
      <c r="M1687" t="str" cm="1">
        <f t="array" ref="M1687">IFERROR(INDEX($I$2:$K$2,0,MATCH(TRUE,I1687:K1687,0)),E1687)</f>
        <v>CHP New</v>
      </c>
      <c r="O1687" t="str">
        <f t="shared" si="127"/>
        <v>CHP New_2039</v>
      </c>
      <c r="P1687">
        <f t="shared" si="128"/>
        <v>73.171053180000001</v>
      </c>
    </row>
    <row r="1688" spans="4:16" x14ac:dyDescent="0.25">
      <c r="D1688">
        <v>2040</v>
      </c>
      <c r="E1688" t="s">
        <v>227</v>
      </c>
      <c r="F1688" t="s">
        <v>233</v>
      </c>
      <c r="G1688">
        <v>75.168060760000003</v>
      </c>
      <c r="I1688">
        <f t="shared" si="129"/>
        <v>0</v>
      </c>
      <c r="J1688">
        <f t="shared" si="129"/>
        <v>0</v>
      </c>
      <c r="K1688">
        <f t="shared" si="129"/>
        <v>0</v>
      </c>
      <c r="M1688" t="str" cm="1">
        <f t="array" ref="M1688">IFERROR(INDEX($I$2:$K$2,0,MATCH(TRUE,I1688:K1688,0)),E1688)</f>
        <v>CHP New</v>
      </c>
      <c r="O1688" t="str">
        <f t="shared" si="127"/>
        <v>CHP New_2040</v>
      </c>
      <c r="P1688">
        <f t="shared" si="128"/>
        <v>75.168060760000003</v>
      </c>
    </row>
    <row r="1689" spans="4:16" x14ac:dyDescent="0.25">
      <c r="D1689">
        <v>2021</v>
      </c>
      <c r="E1689" t="s">
        <v>227</v>
      </c>
      <c r="F1689" t="s">
        <v>234</v>
      </c>
      <c r="G1689">
        <v>50.0156566</v>
      </c>
      <c r="I1689">
        <f t="shared" si="129"/>
        <v>0</v>
      </c>
      <c r="J1689">
        <f t="shared" si="129"/>
        <v>0</v>
      </c>
      <c r="K1689">
        <f t="shared" si="129"/>
        <v>0</v>
      </c>
      <c r="M1689" t="str" cm="1">
        <f t="array" ref="M1689">IFERROR(INDEX($I$2:$K$2,0,MATCH(TRUE,I1689:K1689,0)),E1689)</f>
        <v>CHP New</v>
      </c>
      <c r="O1689" t="str">
        <f t="shared" si="127"/>
        <v>CHP New_2021</v>
      </c>
      <c r="P1689">
        <f t="shared" si="128"/>
        <v>50.0156566</v>
      </c>
    </row>
    <row r="1690" spans="4:16" x14ac:dyDescent="0.25">
      <c r="D1690">
        <v>2022</v>
      </c>
      <c r="E1690" t="s">
        <v>227</v>
      </c>
      <c r="F1690" t="s">
        <v>234</v>
      </c>
      <c r="G1690">
        <v>50.0156566</v>
      </c>
      <c r="I1690">
        <f t="shared" si="129"/>
        <v>0</v>
      </c>
      <c r="J1690">
        <f t="shared" si="129"/>
        <v>0</v>
      </c>
      <c r="K1690">
        <f t="shared" si="129"/>
        <v>0</v>
      </c>
      <c r="M1690" t="str" cm="1">
        <f t="array" ref="M1690">IFERROR(INDEX($I$2:$K$2,0,MATCH(TRUE,I1690:K1690,0)),E1690)</f>
        <v>CHP New</v>
      </c>
      <c r="O1690" t="str">
        <f t="shared" si="127"/>
        <v>CHP New_2022</v>
      </c>
      <c r="P1690">
        <f t="shared" si="128"/>
        <v>50.0156566</v>
      </c>
    </row>
    <row r="1691" spans="4:16" x14ac:dyDescent="0.25">
      <c r="D1691">
        <v>2023</v>
      </c>
      <c r="E1691" t="s">
        <v>227</v>
      </c>
      <c r="F1691" t="s">
        <v>234</v>
      </c>
      <c r="G1691">
        <v>50.0156566</v>
      </c>
      <c r="I1691">
        <f t="shared" si="129"/>
        <v>0</v>
      </c>
      <c r="J1691">
        <f t="shared" si="129"/>
        <v>0</v>
      </c>
      <c r="K1691">
        <f t="shared" si="129"/>
        <v>0</v>
      </c>
      <c r="M1691" t="str" cm="1">
        <f t="array" ref="M1691">IFERROR(INDEX($I$2:$K$2,0,MATCH(TRUE,I1691:K1691,0)),E1691)</f>
        <v>CHP New</v>
      </c>
      <c r="O1691" t="str">
        <f t="shared" si="127"/>
        <v>CHP New_2023</v>
      </c>
      <c r="P1691">
        <f t="shared" si="128"/>
        <v>50.0156566</v>
      </c>
    </row>
    <row r="1692" spans="4:16" x14ac:dyDescent="0.25">
      <c r="D1692">
        <v>2024</v>
      </c>
      <c r="E1692" t="s">
        <v>227</v>
      </c>
      <c r="F1692" t="s">
        <v>234</v>
      </c>
      <c r="G1692">
        <v>51.380699759999999</v>
      </c>
      <c r="I1692">
        <f t="shared" si="129"/>
        <v>0</v>
      </c>
      <c r="J1692">
        <f t="shared" si="129"/>
        <v>0</v>
      </c>
      <c r="K1692">
        <f t="shared" si="129"/>
        <v>0</v>
      </c>
      <c r="M1692" t="str" cm="1">
        <f t="array" ref="M1692">IFERROR(INDEX($I$2:$K$2,0,MATCH(TRUE,I1692:K1692,0)),E1692)</f>
        <v>CHP New</v>
      </c>
      <c r="O1692" t="str">
        <f t="shared" si="127"/>
        <v>CHP New_2024</v>
      </c>
      <c r="P1692">
        <f t="shared" si="128"/>
        <v>51.380699759999999</v>
      </c>
    </row>
    <row r="1693" spans="4:16" x14ac:dyDescent="0.25">
      <c r="D1693">
        <v>2025</v>
      </c>
      <c r="E1693" t="s">
        <v>227</v>
      </c>
      <c r="F1693" t="s">
        <v>234</v>
      </c>
      <c r="G1693">
        <v>50.0156566</v>
      </c>
      <c r="I1693">
        <f t="shared" si="129"/>
        <v>0</v>
      </c>
      <c r="J1693">
        <f t="shared" si="129"/>
        <v>0</v>
      </c>
      <c r="K1693">
        <f t="shared" si="129"/>
        <v>0</v>
      </c>
      <c r="M1693" t="str" cm="1">
        <f t="array" ref="M1693">IFERROR(INDEX($I$2:$K$2,0,MATCH(TRUE,I1693:K1693,0)),E1693)</f>
        <v>CHP New</v>
      </c>
      <c r="O1693" t="str">
        <f t="shared" si="127"/>
        <v>CHP New_2025</v>
      </c>
      <c r="P1693">
        <f t="shared" si="128"/>
        <v>50.0156566</v>
      </c>
    </row>
    <row r="1694" spans="4:16" x14ac:dyDescent="0.25">
      <c r="D1694">
        <v>2026</v>
      </c>
      <c r="E1694" t="s">
        <v>227</v>
      </c>
      <c r="F1694" t="s">
        <v>234</v>
      </c>
      <c r="G1694">
        <v>50.0156566</v>
      </c>
      <c r="I1694">
        <f t="shared" si="129"/>
        <v>0</v>
      </c>
      <c r="J1694">
        <f t="shared" si="129"/>
        <v>0</v>
      </c>
      <c r="K1694">
        <f t="shared" si="129"/>
        <v>0</v>
      </c>
      <c r="M1694" t="str" cm="1">
        <f t="array" ref="M1694">IFERROR(INDEX($I$2:$K$2,0,MATCH(TRUE,I1694:K1694,0)),E1694)</f>
        <v>CHP New</v>
      </c>
      <c r="O1694" t="str">
        <f t="shared" si="127"/>
        <v>CHP New_2026</v>
      </c>
      <c r="P1694">
        <f t="shared" si="128"/>
        <v>50.0156566</v>
      </c>
    </row>
    <row r="1695" spans="4:16" x14ac:dyDescent="0.25">
      <c r="D1695">
        <v>2027</v>
      </c>
      <c r="E1695" t="s">
        <v>227</v>
      </c>
      <c r="F1695" t="s">
        <v>234</v>
      </c>
      <c r="G1695">
        <v>50.0156566</v>
      </c>
      <c r="I1695">
        <f t="shared" si="129"/>
        <v>0</v>
      </c>
      <c r="J1695">
        <f t="shared" si="129"/>
        <v>0</v>
      </c>
      <c r="K1695">
        <f t="shared" si="129"/>
        <v>0</v>
      </c>
      <c r="M1695" t="str" cm="1">
        <f t="array" ref="M1695">IFERROR(INDEX($I$2:$K$2,0,MATCH(TRUE,I1695:K1695,0)),E1695)</f>
        <v>CHP New</v>
      </c>
      <c r="O1695" t="str">
        <f t="shared" si="127"/>
        <v>CHP New_2027</v>
      </c>
      <c r="P1695">
        <f t="shared" si="128"/>
        <v>50.0156566</v>
      </c>
    </row>
    <row r="1696" spans="4:16" x14ac:dyDescent="0.25">
      <c r="D1696">
        <v>2028</v>
      </c>
      <c r="E1696" t="s">
        <v>227</v>
      </c>
      <c r="F1696" t="s">
        <v>234</v>
      </c>
      <c r="G1696">
        <v>50.0156566</v>
      </c>
      <c r="I1696">
        <f t="shared" si="129"/>
        <v>0</v>
      </c>
      <c r="J1696">
        <f t="shared" si="129"/>
        <v>0</v>
      </c>
      <c r="K1696">
        <f t="shared" si="129"/>
        <v>0</v>
      </c>
      <c r="M1696" t="str" cm="1">
        <f t="array" ref="M1696">IFERROR(INDEX($I$2:$K$2,0,MATCH(TRUE,I1696:K1696,0)),E1696)</f>
        <v>CHP New</v>
      </c>
      <c r="O1696" t="str">
        <f t="shared" si="127"/>
        <v>CHP New_2028</v>
      </c>
      <c r="P1696">
        <f t="shared" si="128"/>
        <v>50.0156566</v>
      </c>
    </row>
    <row r="1697" spans="4:16" x14ac:dyDescent="0.25">
      <c r="D1697">
        <v>2029</v>
      </c>
      <c r="E1697" t="s">
        <v>227</v>
      </c>
      <c r="F1697" t="s">
        <v>234</v>
      </c>
      <c r="G1697">
        <v>50.0156566</v>
      </c>
      <c r="I1697">
        <f t="shared" si="129"/>
        <v>0</v>
      </c>
      <c r="J1697">
        <f t="shared" si="129"/>
        <v>0</v>
      </c>
      <c r="K1697">
        <f t="shared" si="129"/>
        <v>0</v>
      </c>
      <c r="M1697" t="str" cm="1">
        <f t="array" ref="M1697">IFERROR(INDEX($I$2:$K$2,0,MATCH(TRUE,I1697:K1697,0)),E1697)</f>
        <v>CHP New</v>
      </c>
      <c r="O1697" t="str">
        <f t="shared" si="127"/>
        <v>CHP New_2029</v>
      </c>
      <c r="P1697">
        <f t="shared" si="128"/>
        <v>50.0156566</v>
      </c>
    </row>
    <row r="1698" spans="4:16" x14ac:dyDescent="0.25">
      <c r="D1698">
        <v>2030</v>
      </c>
      <c r="E1698" t="s">
        <v>227</v>
      </c>
      <c r="F1698" t="s">
        <v>234</v>
      </c>
      <c r="G1698">
        <v>50.0156566</v>
      </c>
      <c r="I1698">
        <f t="shared" si="129"/>
        <v>0</v>
      </c>
      <c r="J1698">
        <f t="shared" si="129"/>
        <v>0</v>
      </c>
      <c r="K1698">
        <f t="shared" si="129"/>
        <v>0</v>
      </c>
      <c r="M1698" t="str" cm="1">
        <f t="array" ref="M1698">IFERROR(INDEX($I$2:$K$2,0,MATCH(TRUE,I1698:K1698,0)),E1698)</f>
        <v>CHP New</v>
      </c>
      <c r="O1698" t="str">
        <f t="shared" si="127"/>
        <v>CHP New_2030</v>
      </c>
      <c r="P1698">
        <f t="shared" si="128"/>
        <v>50.0156566</v>
      </c>
    </row>
    <row r="1699" spans="4:16" x14ac:dyDescent="0.25">
      <c r="D1699">
        <v>2031</v>
      </c>
      <c r="E1699" t="s">
        <v>227</v>
      </c>
      <c r="F1699" t="s">
        <v>234</v>
      </c>
      <c r="G1699">
        <v>50.0156566</v>
      </c>
      <c r="I1699">
        <f t="shared" si="129"/>
        <v>0</v>
      </c>
      <c r="J1699">
        <f t="shared" si="129"/>
        <v>0</v>
      </c>
      <c r="K1699">
        <f t="shared" si="129"/>
        <v>0</v>
      </c>
      <c r="M1699" t="str" cm="1">
        <f t="array" ref="M1699">IFERROR(INDEX($I$2:$K$2,0,MATCH(TRUE,I1699:K1699,0)),E1699)</f>
        <v>CHP New</v>
      </c>
      <c r="O1699" t="str">
        <f t="shared" si="127"/>
        <v>CHP New_2031</v>
      </c>
      <c r="P1699">
        <f t="shared" si="128"/>
        <v>50.0156566</v>
      </c>
    </row>
    <row r="1700" spans="4:16" x14ac:dyDescent="0.25">
      <c r="D1700">
        <v>2032</v>
      </c>
      <c r="E1700" t="s">
        <v>227</v>
      </c>
      <c r="F1700" t="s">
        <v>234</v>
      </c>
      <c r="G1700">
        <v>50.0156566</v>
      </c>
      <c r="I1700">
        <f t="shared" si="129"/>
        <v>0</v>
      </c>
      <c r="J1700">
        <f t="shared" si="129"/>
        <v>0</v>
      </c>
      <c r="K1700">
        <f t="shared" si="129"/>
        <v>0</v>
      </c>
      <c r="M1700" t="str" cm="1">
        <f t="array" ref="M1700">IFERROR(INDEX($I$2:$K$2,0,MATCH(TRUE,I1700:K1700,0)),E1700)</f>
        <v>CHP New</v>
      </c>
      <c r="O1700" t="str">
        <f t="shared" si="127"/>
        <v>CHP New_2032</v>
      </c>
      <c r="P1700">
        <f t="shared" si="128"/>
        <v>50.0156566</v>
      </c>
    </row>
    <row r="1701" spans="4:16" x14ac:dyDescent="0.25">
      <c r="D1701">
        <v>2033</v>
      </c>
      <c r="E1701" t="s">
        <v>227</v>
      </c>
      <c r="F1701" t="s">
        <v>234</v>
      </c>
      <c r="G1701">
        <v>50.0156566</v>
      </c>
      <c r="I1701">
        <f t="shared" si="129"/>
        <v>0</v>
      </c>
      <c r="J1701">
        <f t="shared" si="129"/>
        <v>0</v>
      </c>
      <c r="K1701">
        <f t="shared" si="129"/>
        <v>0</v>
      </c>
      <c r="M1701" t="str" cm="1">
        <f t="array" ref="M1701">IFERROR(INDEX($I$2:$K$2,0,MATCH(TRUE,I1701:K1701,0)),E1701)</f>
        <v>CHP New</v>
      </c>
      <c r="O1701" t="str">
        <f t="shared" si="127"/>
        <v>CHP New_2033</v>
      </c>
      <c r="P1701">
        <f t="shared" si="128"/>
        <v>50.0156566</v>
      </c>
    </row>
    <row r="1702" spans="4:16" x14ac:dyDescent="0.25">
      <c r="D1702">
        <v>2034</v>
      </c>
      <c r="E1702" t="s">
        <v>227</v>
      </c>
      <c r="F1702" t="s">
        <v>234</v>
      </c>
      <c r="G1702">
        <v>50.0156566</v>
      </c>
      <c r="I1702">
        <f t="shared" si="129"/>
        <v>0</v>
      </c>
      <c r="J1702">
        <f t="shared" si="129"/>
        <v>0</v>
      </c>
      <c r="K1702">
        <f t="shared" si="129"/>
        <v>0</v>
      </c>
      <c r="M1702" t="str" cm="1">
        <f t="array" ref="M1702">IFERROR(INDEX($I$2:$K$2,0,MATCH(TRUE,I1702:K1702,0)),E1702)</f>
        <v>CHP New</v>
      </c>
      <c r="O1702" t="str">
        <f t="shared" si="127"/>
        <v>CHP New_2034</v>
      </c>
      <c r="P1702">
        <f t="shared" si="128"/>
        <v>50.0156566</v>
      </c>
    </row>
    <row r="1703" spans="4:16" x14ac:dyDescent="0.25">
      <c r="D1703">
        <v>2035</v>
      </c>
      <c r="E1703" t="s">
        <v>227</v>
      </c>
      <c r="F1703" t="s">
        <v>234</v>
      </c>
      <c r="G1703">
        <v>50.0156566</v>
      </c>
      <c r="I1703">
        <f t="shared" si="129"/>
        <v>0</v>
      </c>
      <c r="J1703">
        <f t="shared" si="129"/>
        <v>0</v>
      </c>
      <c r="K1703">
        <f t="shared" si="129"/>
        <v>0</v>
      </c>
      <c r="M1703" t="str" cm="1">
        <f t="array" ref="M1703">IFERROR(INDEX($I$2:$K$2,0,MATCH(TRUE,I1703:K1703,0)),E1703)</f>
        <v>CHP New</v>
      </c>
      <c r="O1703" t="str">
        <f t="shared" si="127"/>
        <v>CHP New_2035</v>
      </c>
      <c r="P1703">
        <f t="shared" si="128"/>
        <v>50.0156566</v>
      </c>
    </row>
    <row r="1704" spans="4:16" x14ac:dyDescent="0.25">
      <c r="D1704">
        <v>2036</v>
      </c>
      <c r="E1704" t="s">
        <v>227</v>
      </c>
      <c r="F1704" t="s">
        <v>234</v>
      </c>
      <c r="G1704">
        <v>51.380699759999999</v>
      </c>
      <c r="I1704">
        <f t="shared" si="129"/>
        <v>0</v>
      </c>
      <c r="J1704">
        <f t="shared" si="129"/>
        <v>0</v>
      </c>
      <c r="K1704">
        <f t="shared" si="129"/>
        <v>0</v>
      </c>
      <c r="M1704" t="str" cm="1">
        <f t="array" ref="M1704">IFERROR(INDEX($I$2:$K$2,0,MATCH(TRUE,I1704:K1704,0)),E1704)</f>
        <v>CHP New</v>
      </c>
      <c r="O1704" t="str">
        <f t="shared" si="127"/>
        <v>CHP New_2036</v>
      </c>
      <c r="P1704">
        <f t="shared" si="128"/>
        <v>51.380699759999999</v>
      </c>
    </row>
    <row r="1705" spans="4:16" x14ac:dyDescent="0.25">
      <c r="D1705">
        <v>2037</v>
      </c>
      <c r="E1705" t="s">
        <v>227</v>
      </c>
      <c r="F1705" t="s">
        <v>234</v>
      </c>
      <c r="G1705">
        <v>50.0156566</v>
      </c>
      <c r="I1705">
        <f t="shared" si="129"/>
        <v>0</v>
      </c>
      <c r="J1705">
        <f t="shared" si="129"/>
        <v>0</v>
      </c>
      <c r="K1705">
        <f t="shared" si="129"/>
        <v>0</v>
      </c>
      <c r="M1705" t="str" cm="1">
        <f t="array" ref="M1705">IFERROR(INDEX($I$2:$K$2,0,MATCH(TRUE,I1705:K1705,0)),E1705)</f>
        <v>CHP New</v>
      </c>
      <c r="O1705" t="str">
        <f t="shared" si="127"/>
        <v>CHP New_2037</v>
      </c>
      <c r="P1705">
        <f t="shared" si="128"/>
        <v>50.0156566</v>
      </c>
    </row>
    <row r="1706" spans="4:16" x14ac:dyDescent="0.25">
      <c r="D1706">
        <v>2038</v>
      </c>
      <c r="E1706" t="s">
        <v>227</v>
      </c>
      <c r="F1706" t="s">
        <v>234</v>
      </c>
      <c r="G1706">
        <v>50.0156566</v>
      </c>
      <c r="I1706">
        <f t="shared" si="129"/>
        <v>0</v>
      </c>
      <c r="J1706">
        <f t="shared" si="129"/>
        <v>0</v>
      </c>
      <c r="K1706">
        <f t="shared" si="129"/>
        <v>0</v>
      </c>
      <c r="M1706" t="str" cm="1">
        <f t="array" ref="M1706">IFERROR(INDEX($I$2:$K$2,0,MATCH(TRUE,I1706:K1706,0)),E1706)</f>
        <v>CHP New</v>
      </c>
      <c r="O1706" t="str">
        <f t="shared" si="127"/>
        <v>CHP New_2038</v>
      </c>
      <c r="P1706">
        <f t="shared" si="128"/>
        <v>50.0156566</v>
      </c>
    </row>
    <row r="1707" spans="4:16" x14ac:dyDescent="0.25">
      <c r="D1707">
        <v>2039</v>
      </c>
      <c r="E1707" t="s">
        <v>227</v>
      </c>
      <c r="F1707" t="s">
        <v>234</v>
      </c>
      <c r="G1707">
        <v>50.0156566</v>
      </c>
      <c r="I1707">
        <f t="shared" si="129"/>
        <v>0</v>
      </c>
      <c r="J1707">
        <f t="shared" si="129"/>
        <v>0</v>
      </c>
      <c r="K1707">
        <f t="shared" si="129"/>
        <v>0</v>
      </c>
      <c r="M1707" t="str" cm="1">
        <f t="array" ref="M1707">IFERROR(INDEX($I$2:$K$2,0,MATCH(TRUE,I1707:K1707,0)),E1707)</f>
        <v>CHP New</v>
      </c>
      <c r="O1707" t="str">
        <f t="shared" si="127"/>
        <v>CHP New_2039</v>
      </c>
      <c r="P1707">
        <f t="shared" si="128"/>
        <v>50.0156566</v>
      </c>
    </row>
    <row r="1708" spans="4:16" x14ac:dyDescent="0.25">
      <c r="D1708">
        <v>2040</v>
      </c>
      <c r="E1708" t="s">
        <v>227</v>
      </c>
      <c r="F1708" t="s">
        <v>234</v>
      </c>
      <c r="G1708">
        <v>51.380699759999999</v>
      </c>
      <c r="I1708">
        <f t="shared" si="129"/>
        <v>0</v>
      </c>
      <c r="J1708">
        <f t="shared" si="129"/>
        <v>0</v>
      </c>
      <c r="K1708">
        <f t="shared" si="129"/>
        <v>0</v>
      </c>
      <c r="M1708" t="str" cm="1">
        <f t="array" ref="M1708">IFERROR(INDEX($I$2:$K$2,0,MATCH(TRUE,I1708:K1708,0)),E1708)</f>
        <v>CHP New</v>
      </c>
      <c r="O1708" t="str">
        <f t="shared" si="127"/>
        <v>CHP New_2040</v>
      </c>
      <c r="P1708">
        <f t="shared" si="128"/>
        <v>51.380699759999999</v>
      </c>
    </row>
    <row r="1709" spans="4:16" x14ac:dyDescent="0.25">
      <c r="D1709">
        <v>2030</v>
      </c>
      <c r="E1709" t="s">
        <v>227</v>
      </c>
      <c r="F1709" t="s">
        <v>235</v>
      </c>
      <c r="G1709">
        <v>0</v>
      </c>
      <c r="I1709">
        <f t="shared" si="129"/>
        <v>0</v>
      </c>
      <c r="J1709">
        <f t="shared" si="129"/>
        <v>0</v>
      </c>
      <c r="K1709">
        <f t="shared" si="129"/>
        <v>0</v>
      </c>
      <c r="M1709" t="str" cm="1">
        <f t="array" ref="M1709">IFERROR(INDEX($I$2:$K$2,0,MATCH(TRUE,I1709:K1709,0)),E1709)</f>
        <v>CHP New</v>
      </c>
      <c r="O1709" t="str">
        <f t="shared" si="127"/>
        <v>CHP New_2030</v>
      </c>
      <c r="P1709">
        <f t="shared" si="128"/>
        <v>0</v>
      </c>
    </row>
    <row r="1710" spans="4:16" x14ac:dyDescent="0.25">
      <c r="D1710">
        <v>2031</v>
      </c>
      <c r="E1710" t="s">
        <v>227</v>
      </c>
      <c r="F1710" t="s">
        <v>235</v>
      </c>
      <c r="G1710">
        <v>15.74566967</v>
      </c>
      <c r="I1710">
        <f t="shared" si="129"/>
        <v>0</v>
      </c>
      <c r="J1710">
        <f t="shared" si="129"/>
        <v>0</v>
      </c>
      <c r="K1710">
        <f t="shared" si="129"/>
        <v>0</v>
      </c>
      <c r="M1710" t="str" cm="1">
        <f t="array" ref="M1710">IFERROR(INDEX($I$2:$K$2,0,MATCH(TRUE,I1710:K1710,0)),E1710)</f>
        <v>CHP New</v>
      </c>
      <c r="O1710" t="str">
        <f t="shared" si="127"/>
        <v>CHP New_2031</v>
      </c>
      <c r="P1710">
        <f t="shared" si="128"/>
        <v>15.74566967</v>
      </c>
    </row>
    <row r="1711" spans="4:16" x14ac:dyDescent="0.25">
      <c r="D1711">
        <v>2032</v>
      </c>
      <c r="E1711" t="s">
        <v>227</v>
      </c>
      <c r="F1711" t="s">
        <v>235</v>
      </c>
      <c r="G1711">
        <v>15.74566967</v>
      </c>
      <c r="I1711">
        <f t="shared" si="129"/>
        <v>0</v>
      </c>
      <c r="J1711">
        <f t="shared" si="129"/>
        <v>0</v>
      </c>
      <c r="K1711">
        <f t="shared" si="129"/>
        <v>0</v>
      </c>
      <c r="M1711" t="str" cm="1">
        <f t="array" ref="M1711">IFERROR(INDEX($I$2:$K$2,0,MATCH(TRUE,I1711:K1711,0)),E1711)</f>
        <v>CHP New</v>
      </c>
      <c r="O1711" t="str">
        <f t="shared" si="127"/>
        <v>CHP New_2032</v>
      </c>
      <c r="P1711">
        <f t="shared" si="128"/>
        <v>15.74566967</v>
      </c>
    </row>
    <row r="1712" spans="4:16" x14ac:dyDescent="0.25">
      <c r="D1712">
        <v>2033</v>
      </c>
      <c r="E1712" t="s">
        <v>227</v>
      </c>
      <c r="F1712" t="s">
        <v>235</v>
      </c>
      <c r="G1712">
        <v>15.74566967</v>
      </c>
      <c r="I1712">
        <f t="shared" si="129"/>
        <v>0</v>
      </c>
      <c r="J1712">
        <f t="shared" si="129"/>
        <v>0</v>
      </c>
      <c r="K1712">
        <f t="shared" si="129"/>
        <v>0</v>
      </c>
      <c r="M1712" t="str" cm="1">
        <f t="array" ref="M1712">IFERROR(INDEX($I$2:$K$2,0,MATCH(TRUE,I1712:K1712,0)),E1712)</f>
        <v>CHP New</v>
      </c>
      <c r="O1712" t="str">
        <f t="shared" si="127"/>
        <v>CHP New_2033</v>
      </c>
      <c r="P1712">
        <f t="shared" si="128"/>
        <v>15.74566967</v>
      </c>
    </row>
    <row r="1713" spans="4:16" x14ac:dyDescent="0.25">
      <c r="D1713">
        <v>2034</v>
      </c>
      <c r="E1713" t="s">
        <v>227</v>
      </c>
      <c r="F1713" t="s">
        <v>235</v>
      </c>
      <c r="G1713">
        <v>15.74566967</v>
      </c>
      <c r="I1713">
        <f t="shared" si="129"/>
        <v>0</v>
      </c>
      <c r="J1713">
        <f t="shared" si="129"/>
        <v>0</v>
      </c>
      <c r="K1713">
        <f t="shared" si="129"/>
        <v>0</v>
      </c>
      <c r="M1713" t="str" cm="1">
        <f t="array" ref="M1713">IFERROR(INDEX($I$2:$K$2,0,MATCH(TRUE,I1713:K1713,0)),E1713)</f>
        <v>CHP New</v>
      </c>
      <c r="O1713" t="str">
        <f t="shared" si="127"/>
        <v>CHP New_2034</v>
      </c>
      <c r="P1713">
        <f t="shared" si="128"/>
        <v>15.74566967</v>
      </c>
    </row>
    <row r="1714" spans="4:16" x14ac:dyDescent="0.25">
      <c r="D1714">
        <v>2035</v>
      </c>
      <c r="E1714" t="s">
        <v>227</v>
      </c>
      <c r="F1714" t="s">
        <v>235</v>
      </c>
      <c r="G1714">
        <v>15.74566967</v>
      </c>
      <c r="I1714">
        <f t="shared" si="129"/>
        <v>0</v>
      </c>
      <c r="J1714">
        <f t="shared" si="129"/>
        <v>0</v>
      </c>
      <c r="K1714">
        <f t="shared" si="129"/>
        <v>0</v>
      </c>
      <c r="M1714" t="str" cm="1">
        <f t="array" ref="M1714">IFERROR(INDEX($I$2:$K$2,0,MATCH(TRUE,I1714:K1714,0)),E1714)</f>
        <v>CHP New</v>
      </c>
      <c r="O1714" t="str">
        <f t="shared" si="127"/>
        <v>CHP New_2035</v>
      </c>
      <c r="P1714">
        <f t="shared" si="128"/>
        <v>15.74566967</v>
      </c>
    </row>
    <row r="1715" spans="4:16" x14ac:dyDescent="0.25">
      <c r="D1715">
        <v>2036</v>
      </c>
      <c r="E1715" t="s">
        <v>227</v>
      </c>
      <c r="F1715" t="s">
        <v>235</v>
      </c>
      <c r="G1715">
        <v>16.175405479999998</v>
      </c>
      <c r="I1715">
        <f t="shared" si="129"/>
        <v>0</v>
      </c>
      <c r="J1715">
        <f t="shared" si="129"/>
        <v>0</v>
      </c>
      <c r="K1715">
        <f t="shared" si="129"/>
        <v>0</v>
      </c>
      <c r="M1715" t="str" cm="1">
        <f t="array" ref="M1715">IFERROR(INDEX($I$2:$K$2,0,MATCH(TRUE,I1715:K1715,0)),E1715)</f>
        <v>CHP New</v>
      </c>
      <c r="O1715" t="str">
        <f t="shared" si="127"/>
        <v>CHP New_2036</v>
      </c>
      <c r="P1715">
        <f t="shared" si="128"/>
        <v>16.175405479999998</v>
      </c>
    </row>
    <row r="1716" spans="4:16" x14ac:dyDescent="0.25">
      <c r="D1716">
        <v>2037</v>
      </c>
      <c r="E1716" t="s">
        <v>227</v>
      </c>
      <c r="F1716" t="s">
        <v>235</v>
      </c>
      <c r="G1716">
        <v>15.74566967</v>
      </c>
      <c r="I1716">
        <f t="shared" si="129"/>
        <v>0</v>
      </c>
      <c r="J1716">
        <f t="shared" si="129"/>
        <v>0</v>
      </c>
      <c r="K1716">
        <f t="shared" si="129"/>
        <v>0</v>
      </c>
      <c r="M1716" t="str" cm="1">
        <f t="array" ref="M1716">IFERROR(INDEX($I$2:$K$2,0,MATCH(TRUE,I1716:K1716,0)),E1716)</f>
        <v>CHP New</v>
      </c>
      <c r="O1716" t="str">
        <f t="shared" si="127"/>
        <v>CHP New_2037</v>
      </c>
      <c r="P1716">
        <f t="shared" si="128"/>
        <v>15.74566967</v>
      </c>
    </row>
    <row r="1717" spans="4:16" x14ac:dyDescent="0.25">
      <c r="D1717">
        <v>2038</v>
      </c>
      <c r="E1717" t="s">
        <v>227</v>
      </c>
      <c r="F1717" t="s">
        <v>235</v>
      </c>
      <c r="G1717">
        <v>15.74566967</v>
      </c>
      <c r="I1717">
        <f t="shared" si="129"/>
        <v>0</v>
      </c>
      <c r="J1717">
        <f t="shared" si="129"/>
        <v>0</v>
      </c>
      <c r="K1717">
        <f t="shared" si="129"/>
        <v>0</v>
      </c>
      <c r="M1717" t="str" cm="1">
        <f t="array" ref="M1717">IFERROR(INDEX($I$2:$K$2,0,MATCH(TRUE,I1717:K1717,0)),E1717)</f>
        <v>CHP New</v>
      </c>
      <c r="O1717" t="str">
        <f t="shared" si="127"/>
        <v>CHP New_2038</v>
      </c>
      <c r="P1717">
        <f t="shared" si="128"/>
        <v>15.74566967</v>
      </c>
    </row>
    <row r="1718" spans="4:16" x14ac:dyDescent="0.25">
      <c r="D1718">
        <v>2039</v>
      </c>
      <c r="E1718" t="s">
        <v>227</v>
      </c>
      <c r="F1718" t="s">
        <v>235</v>
      </c>
      <c r="G1718">
        <v>15.74566967</v>
      </c>
      <c r="I1718">
        <f t="shared" si="129"/>
        <v>0</v>
      </c>
      <c r="J1718">
        <f t="shared" si="129"/>
        <v>0</v>
      </c>
      <c r="K1718">
        <f t="shared" si="129"/>
        <v>0</v>
      </c>
      <c r="M1718" t="str" cm="1">
        <f t="array" ref="M1718">IFERROR(INDEX($I$2:$K$2,0,MATCH(TRUE,I1718:K1718,0)),E1718)</f>
        <v>CHP New</v>
      </c>
      <c r="O1718" t="str">
        <f t="shared" si="127"/>
        <v>CHP New_2039</v>
      </c>
      <c r="P1718">
        <f t="shared" si="128"/>
        <v>15.74566967</v>
      </c>
    </row>
    <row r="1719" spans="4:16" x14ac:dyDescent="0.25">
      <c r="D1719">
        <v>2040</v>
      </c>
      <c r="E1719" t="s">
        <v>227</v>
      </c>
      <c r="F1719" t="s">
        <v>235</v>
      </c>
      <c r="G1719">
        <v>16.175405479999998</v>
      </c>
      <c r="I1719">
        <f t="shared" si="129"/>
        <v>0</v>
      </c>
      <c r="J1719">
        <f t="shared" si="129"/>
        <v>0</v>
      </c>
      <c r="K1719">
        <f t="shared" si="129"/>
        <v>0</v>
      </c>
      <c r="M1719" t="str" cm="1">
        <f t="array" ref="M1719">IFERROR(INDEX($I$2:$K$2,0,MATCH(TRUE,I1719:K1719,0)),E1719)</f>
        <v>CHP New</v>
      </c>
      <c r="O1719" t="str">
        <f t="shared" si="127"/>
        <v>CHP New_2040</v>
      </c>
      <c r="P1719">
        <f t="shared" si="128"/>
        <v>16.175405479999998</v>
      </c>
    </row>
    <row r="1720" spans="4:16" x14ac:dyDescent="0.25">
      <c r="D1720">
        <v>2021</v>
      </c>
      <c r="E1720" t="s">
        <v>227</v>
      </c>
      <c r="F1720" t="s">
        <v>236</v>
      </c>
      <c r="G1720">
        <v>0</v>
      </c>
      <c r="I1720">
        <f t="shared" si="129"/>
        <v>0</v>
      </c>
      <c r="J1720">
        <f t="shared" si="129"/>
        <v>0</v>
      </c>
      <c r="K1720">
        <f t="shared" si="129"/>
        <v>0</v>
      </c>
      <c r="M1720" t="str" cm="1">
        <f t="array" ref="M1720">IFERROR(INDEX($I$2:$K$2,0,MATCH(TRUE,I1720:K1720,0)),E1720)</f>
        <v>CHP New</v>
      </c>
      <c r="O1720" t="str">
        <f t="shared" si="127"/>
        <v>CHP New_2021</v>
      </c>
      <c r="P1720">
        <f t="shared" si="128"/>
        <v>0</v>
      </c>
    </row>
    <row r="1721" spans="4:16" x14ac:dyDescent="0.25">
      <c r="D1721">
        <v>2022</v>
      </c>
      <c r="E1721" t="s">
        <v>227</v>
      </c>
      <c r="F1721" t="s">
        <v>236</v>
      </c>
      <c r="G1721">
        <v>18.52431726</v>
      </c>
      <c r="I1721">
        <f t="shared" si="129"/>
        <v>0</v>
      </c>
      <c r="J1721">
        <f t="shared" si="129"/>
        <v>0</v>
      </c>
      <c r="K1721">
        <f t="shared" si="129"/>
        <v>0</v>
      </c>
      <c r="M1721" t="str" cm="1">
        <f t="array" ref="M1721">IFERROR(INDEX($I$2:$K$2,0,MATCH(TRUE,I1721:K1721,0)),E1721)</f>
        <v>CHP New</v>
      </c>
      <c r="O1721" t="str">
        <f t="shared" si="127"/>
        <v>CHP New_2022</v>
      </c>
      <c r="P1721">
        <f t="shared" si="128"/>
        <v>18.52431726</v>
      </c>
    </row>
    <row r="1722" spans="4:16" x14ac:dyDescent="0.25">
      <c r="D1722">
        <v>2023</v>
      </c>
      <c r="E1722" t="s">
        <v>227</v>
      </c>
      <c r="F1722" t="s">
        <v>236</v>
      </c>
      <c r="G1722">
        <v>18.52431726</v>
      </c>
      <c r="I1722">
        <f t="shared" si="129"/>
        <v>0</v>
      </c>
      <c r="J1722">
        <f t="shared" si="129"/>
        <v>0</v>
      </c>
      <c r="K1722">
        <f t="shared" si="129"/>
        <v>0</v>
      </c>
      <c r="M1722" t="str" cm="1">
        <f t="array" ref="M1722">IFERROR(INDEX($I$2:$K$2,0,MATCH(TRUE,I1722:K1722,0)),E1722)</f>
        <v>CHP New</v>
      </c>
      <c r="O1722" t="str">
        <f t="shared" si="127"/>
        <v>CHP New_2023</v>
      </c>
      <c r="P1722">
        <f t="shared" si="128"/>
        <v>18.52431726</v>
      </c>
    </row>
    <row r="1723" spans="4:16" x14ac:dyDescent="0.25">
      <c r="D1723">
        <v>2024</v>
      </c>
      <c r="E1723" t="s">
        <v>227</v>
      </c>
      <c r="F1723" t="s">
        <v>236</v>
      </c>
      <c r="G1723">
        <v>19.029888799999998</v>
      </c>
      <c r="I1723">
        <f t="shared" si="129"/>
        <v>0</v>
      </c>
      <c r="J1723">
        <f t="shared" si="129"/>
        <v>0</v>
      </c>
      <c r="K1723">
        <f t="shared" si="129"/>
        <v>0</v>
      </c>
      <c r="M1723" t="str" cm="1">
        <f t="array" ref="M1723">IFERROR(INDEX($I$2:$K$2,0,MATCH(TRUE,I1723:K1723,0)),E1723)</f>
        <v>CHP New</v>
      </c>
      <c r="O1723" t="str">
        <f t="shared" si="127"/>
        <v>CHP New_2024</v>
      </c>
      <c r="P1723">
        <f t="shared" si="128"/>
        <v>19.029888799999998</v>
      </c>
    </row>
    <row r="1724" spans="4:16" x14ac:dyDescent="0.25">
      <c r="D1724">
        <v>2025</v>
      </c>
      <c r="E1724" t="s">
        <v>227</v>
      </c>
      <c r="F1724" t="s">
        <v>236</v>
      </c>
      <c r="G1724">
        <v>18.52431726</v>
      </c>
      <c r="I1724">
        <f t="shared" si="129"/>
        <v>0</v>
      </c>
      <c r="J1724">
        <f t="shared" si="129"/>
        <v>0</v>
      </c>
      <c r="K1724">
        <f t="shared" si="129"/>
        <v>0</v>
      </c>
      <c r="M1724" t="str" cm="1">
        <f t="array" ref="M1724">IFERROR(INDEX($I$2:$K$2,0,MATCH(TRUE,I1724:K1724,0)),E1724)</f>
        <v>CHP New</v>
      </c>
      <c r="O1724" t="str">
        <f t="shared" si="127"/>
        <v>CHP New_2025</v>
      </c>
      <c r="P1724">
        <f t="shared" si="128"/>
        <v>18.52431726</v>
      </c>
    </row>
    <row r="1725" spans="4:16" x14ac:dyDescent="0.25">
      <c r="D1725">
        <v>2026</v>
      </c>
      <c r="E1725" t="s">
        <v>227</v>
      </c>
      <c r="F1725" t="s">
        <v>236</v>
      </c>
      <c r="G1725">
        <v>18.52431726</v>
      </c>
      <c r="I1725">
        <f t="shared" si="129"/>
        <v>0</v>
      </c>
      <c r="J1725">
        <f t="shared" si="129"/>
        <v>0</v>
      </c>
      <c r="K1725">
        <f t="shared" si="129"/>
        <v>0</v>
      </c>
      <c r="M1725" t="str" cm="1">
        <f t="array" ref="M1725">IFERROR(INDEX($I$2:$K$2,0,MATCH(TRUE,I1725:K1725,0)),E1725)</f>
        <v>CHP New</v>
      </c>
      <c r="O1725" t="str">
        <f t="shared" si="127"/>
        <v>CHP New_2026</v>
      </c>
      <c r="P1725">
        <f t="shared" si="128"/>
        <v>18.52431726</v>
      </c>
    </row>
    <row r="1726" spans="4:16" x14ac:dyDescent="0.25">
      <c r="D1726">
        <v>2027</v>
      </c>
      <c r="E1726" t="s">
        <v>227</v>
      </c>
      <c r="F1726" t="s">
        <v>236</v>
      </c>
      <c r="G1726">
        <v>18.52431726</v>
      </c>
      <c r="I1726">
        <f t="shared" si="129"/>
        <v>0</v>
      </c>
      <c r="J1726">
        <f t="shared" si="129"/>
        <v>0</v>
      </c>
      <c r="K1726">
        <f t="shared" si="129"/>
        <v>0</v>
      </c>
      <c r="M1726" t="str" cm="1">
        <f t="array" ref="M1726">IFERROR(INDEX($I$2:$K$2,0,MATCH(TRUE,I1726:K1726,0)),E1726)</f>
        <v>CHP New</v>
      </c>
      <c r="O1726" t="str">
        <f t="shared" si="127"/>
        <v>CHP New_2027</v>
      </c>
      <c r="P1726">
        <f t="shared" si="128"/>
        <v>18.52431726</v>
      </c>
    </row>
    <row r="1727" spans="4:16" x14ac:dyDescent="0.25">
      <c r="D1727">
        <v>2028</v>
      </c>
      <c r="E1727" t="s">
        <v>227</v>
      </c>
      <c r="F1727" t="s">
        <v>236</v>
      </c>
      <c r="G1727">
        <v>18.52431726</v>
      </c>
      <c r="I1727">
        <f t="shared" si="129"/>
        <v>0</v>
      </c>
      <c r="J1727">
        <f t="shared" si="129"/>
        <v>0</v>
      </c>
      <c r="K1727">
        <f t="shared" si="129"/>
        <v>0</v>
      </c>
      <c r="M1727" t="str" cm="1">
        <f t="array" ref="M1727">IFERROR(INDEX($I$2:$K$2,0,MATCH(TRUE,I1727:K1727,0)),E1727)</f>
        <v>CHP New</v>
      </c>
      <c r="O1727" t="str">
        <f t="shared" si="127"/>
        <v>CHP New_2028</v>
      </c>
      <c r="P1727">
        <f t="shared" si="128"/>
        <v>18.52431726</v>
      </c>
    </row>
    <row r="1728" spans="4:16" x14ac:dyDescent="0.25">
      <c r="D1728">
        <v>2029</v>
      </c>
      <c r="E1728" t="s">
        <v>227</v>
      </c>
      <c r="F1728" t="s">
        <v>236</v>
      </c>
      <c r="G1728">
        <v>18.52431726</v>
      </c>
      <c r="I1728">
        <f t="shared" si="129"/>
        <v>0</v>
      </c>
      <c r="J1728">
        <f t="shared" si="129"/>
        <v>0</v>
      </c>
      <c r="K1728">
        <f t="shared" si="129"/>
        <v>0</v>
      </c>
      <c r="M1728" t="str" cm="1">
        <f t="array" ref="M1728">IFERROR(INDEX($I$2:$K$2,0,MATCH(TRUE,I1728:K1728,0)),E1728)</f>
        <v>CHP New</v>
      </c>
      <c r="O1728" t="str">
        <f t="shared" si="127"/>
        <v>CHP New_2029</v>
      </c>
      <c r="P1728">
        <f t="shared" si="128"/>
        <v>18.52431726</v>
      </c>
    </row>
    <row r="1729" spans="4:16" x14ac:dyDescent="0.25">
      <c r="D1729">
        <v>2030</v>
      </c>
      <c r="E1729" t="s">
        <v>227</v>
      </c>
      <c r="F1729" t="s">
        <v>236</v>
      </c>
      <c r="G1729">
        <v>18.52431726</v>
      </c>
      <c r="I1729">
        <f t="shared" si="129"/>
        <v>0</v>
      </c>
      <c r="J1729">
        <f t="shared" si="129"/>
        <v>0</v>
      </c>
      <c r="K1729">
        <f t="shared" si="129"/>
        <v>0</v>
      </c>
      <c r="M1729" t="str" cm="1">
        <f t="array" ref="M1729">IFERROR(INDEX($I$2:$K$2,0,MATCH(TRUE,I1729:K1729,0)),E1729)</f>
        <v>CHP New</v>
      </c>
      <c r="O1729" t="str">
        <f t="shared" si="127"/>
        <v>CHP New_2030</v>
      </c>
      <c r="P1729">
        <f t="shared" si="128"/>
        <v>18.52431726</v>
      </c>
    </row>
    <row r="1730" spans="4:16" x14ac:dyDescent="0.25">
      <c r="D1730">
        <v>2031</v>
      </c>
      <c r="E1730" t="s">
        <v>227</v>
      </c>
      <c r="F1730" t="s">
        <v>236</v>
      </c>
      <c r="G1730">
        <v>18.52431726</v>
      </c>
      <c r="I1730">
        <f t="shared" si="129"/>
        <v>0</v>
      </c>
      <c r="J1730">
        <f t="shared" si="129"/>
        <v>0</v>
      </c>
      <c r="K1730">
        <f t="shared" si="129"/>
        <v>0</v>
      </c>
      <c r="M1730" t="str" cm="1">
        <f t="array" ref="M1730">IFERROR(INDEX($I$2:$K$2,0,MATCH(TRUE,I1730:K1730,0)),E1730)</f>
        <v>CHP New</v>
      </c>
      <c r="O1730" t="str">
        <f t="shared" si="127"/>
        <v>CHP New_2031</v>
      </c>
      <c r="P1730">
        <f t="shared" si="128"/>
        <v>18.52431726</v>
      </c>
    </row>
    <row r="1731" spans="4:16" x14ac:dyDescent="0.25">
      <c r="D1731">
        <v>2032</v>
      </c>
      <c r="E1731" t="s">
        <v>227</v>
      </c>
      <c r="F1731" t="s">
        <v>236</v>
      </c>
      <c r="G1731">
        <v>18.52431726</v>
      </c>
      <c r="I1731">
        <f t="shared" si="129"/>
        <v>0</v>
      </c>
      <c r="J1731">
        <f t="shared" si="129"/>
        <v>0</v>
      </c>
      <c r="K1731">
        <f t="shared" si="129"/>
        <v>0</v>
      </c>
      <c r="M1731" t="str" cm="1">
        <f t="array" ref="M1731">IFERROR(INDEX($I$2:$K$2,0,MATCH(TRUE,I1731:K1731,0)),E1731)</f>
        <v>CHP New</v>
      </c>
      <c r="O1731" t="str">
        <f t="shared" si="127"/>
        <v>CHP New_2032</v>
      </c>
      <c r="P1731">
        <f t="shared" si="128"/>
        <v>18.52431726</v>
      </c>
    </row>
    <row r="1732" spans="4:16" x14ac:dyDescent="0.25">
      <c r="D1732">
        <v>2033</v>
      </c>
      <c r="E1732" t="s">
        <v>227</v>
      </c>
      <c r="F1732" t="s">
        <v>236</v>
      </c>
      <c r="G1732">
        <v>18.52431726</v>
      </c>
      <c r="I1732">
        <f t="shared" si="129"/>
        <v>0</v>
      </c>
      <c r="J1732">
        <f t="shared" si="129"/>
        <v>0</v>
      </c>
      <c r="K1732">
        <f t="shared" si="129"/>
        <v>0</v>
      </c>
      <c r="M1732" t="str" cm="1">
        <f t="array" ref="M1732">IFERROR(INDEX($I$2:$K$2,0,MATCH(TRUE,I1732:K1732,0)),E1732)</f>
        <v>CHP New</v>
      </c>
      <c r="O1732" t="str">
        <f t="shared" si="127"/>
        <v>CHP New_2033</v>
      </c>
      <c r="P1732">
        <f t="shared" si="128"/>
        <v>18.52431726</v>
      </c>
    </row>
    <row r="1733" spans="4:16" x14ac:dyDescent="0.25">
      <c r="D1733">
        <v>2034</v>
      </c>
      <c r="E1733" t="s">
        <v>227</v>
      </c>
      <c r="F1733" t="s">
        <v>236</v>
      </c>
      <c r="G1733">
        <v>18.52431726</v>
      </c>
      <c r="I1733">
        <f t="shared" si="129"/>
        <v>0</v>
      </c>
      <c r="J1733">
        <f t="shared" si="129"/>
        <v>0</v>
      </c>
      <c r="K1733">
        <f t="shared" si="129"/>
        <v>0</v>
      </c>
      <c r="M1733" t="str" cm="1">
        <f t="array" ref="M1733">IFERROR(INDEX($I$2:$K$2,0,MATCH(TRUE,I1733:K1733,0)),E1733)</f>
        <v>CHP New</v>
      </c>
      <c r="O1733" t="str">
        <f t="shared" si="127"/>
        <v>CHP New_2034</v>
      </c>
      <c r="P1733">
        <f t="shared" si="128"/>
        <v>18.52431726</v>
      </c>
    </row>
    <row r="1734" spans="4:16" x14ac:dyDescent="0.25">
      <c r="D1734">
        <v>2035</v>
      </c>
      <c r="E1734" t="s">
        <v>227</v>
      </c>
      <c r="F1734" t="s">
        <v>236</v>
      </c>
      <c r="G1734">
        <v>18.52431726</v>
      </c>
      <c r="I1734">
        <f t="shared" si="129"/>
        <v>0</v>
      </c>
      <c r="J1734">
        <f t="shared" si="129"/>
        <v>0</v>
      </c>
      <c r="K1734">
        <f t="shared" si="129"/>
        <v>0</v>
      </c>
      <c r="M1734" t="str" cm="1">
        <f t="array" ref="M1734">IFERROR(INDEX($I$2:$K$2,0,MATCH(TRUE,I1734:K1734,0)),E1734)</f>
        <v>CHP New</v>
      </c>
      <c r="O1734" t="str">
        <f t="shared" si="127"/>
        <v>CHP New_2035</v>
      </c>
      <c r="P1734">
        <f t="shared" si="128"/>
        <v>18.52431726</v>
      </c>
    </row>
    <row r="1735" spans="4:16" x14ac:dyDescent="0.25">
      <c r="D1735">
        <v>2036</v>
      </c>
      <c r="E1735" t="s">
        <v>227</v>
      </c>
      <c r="F1735" t="s">
        <v>236</v>
      </c>
      <c r="G1735">
        <v>19.029888799999998</v>
      </c>
      <c r="I1735">
        <f t="shared" si="129"/>
        <v>0</v>
      </c>
      <c r="J1735">
        <f t="shared" si="129"/>
        <v>0</v>
      </c>
      <c r="K1735">
        <f t="shared" si="129"/>
        <v>0</v>
      </c>
      <c r="M1735" t="str" cm="1">
        <f t="array" ref="M1735">IFERROR(INDEX($I$2:$K$2,0,MATCH(TRUE,I1735:K1735,0)),E1735)</f>
        <v>CHP New</v>
      </c>
      <c r="O1735" t="str">
        <f t="shared" si="127"/>
        <v>CHP New_2036</v>
      </c>
      <c r="P1735">
        <f t="shared" si="128"/>
        <v>19.029888799999998</v>
      </c>
    </row>
    <row r="1736" spans="4:16" x14ac:dyDescent="0.25">
      <c r="D1736">
        <v>2037</v>
      </c>
      <c r="E1736" t="s">
        <v>227</v>
      </c>
      <c r="F1736" t="s">
        <v>236</v>
      </c>
      <c r="G1736">
        <v>18.52431726</v>
      </c>
      <c r="I1736">
        <f t="shared" si="129"/>
        <v>0</v>
      </c>
      <c r="J1736">
        <f t="shared" si="129"/>
        <v>0</v>
      </c>
      <c r="K1736">
        <f t="shared" si="129"/>
        <v>0</v>
      </c>
      <c r="M1736" t="str" cm="1">
        <f t="array" ref="M1736">IFERROR(INDEX($I$2:$K$2,0,MATCH(TRUE,I1736:K1736,0)),E1736)</f>
        <v>CHP New</v>
      </c>
      <c r="O1736" t="str">
        <f t="shared" si="127"/>
        <v>CHP New_2037</v>
      </c>
      <c r="P1736">
        <f t="shared" si="128"/>
        <v>18.52431726</v>
      </c>
    </row>
    <row r="1737" spans="4:16" x14ac:dyDescent="0.25">
      <c r="D1737">
        <v>2038</v>
      </c>
      <c r="E1737" t="s">
        <v>227</v>
      </c>
      <c r="F1737" t="s">
        <v>236</v>
      </c>
      <c r="G1737">
        <v>18.52431726</v>
      </c>
      <c r="I1737">
        <f t="shared" si="129"/>
        <v>0</v>
      </c>
      <c r="J1737">
        <f t="shared" si="129"/>
        <v>0</v>
      </c>
      <c r="K1737">
        <f t="shared" si="129"/>
        <v>0</v>
      </c>
      <c r="M1737" t="str" cm="1">
        <f t="array" ref="M1737">IFERROR(INDEX($I$2:$K$2,0,MATCH(TRUE,I1737:K1737,0)),E1737)</f>
        <v>CHP New</v>
      </c>
      <c r="O1737" t="str">
        <f t="shared" si="127"/>
        <v>CHP New_2038</v>
      </c>
      <c r="P1737">
        <f t="shared" si="128"/>
        <v>18.52431726</v>
      </c>
    </row>
    <row r="1738" spans="4:16" x14ac:dyDescent="0.25">
      <c r="D1738">
        <v>2039</v>
      </c>
      <c r="E1738" t="s">
        <v>227</v>
      </c>
      <c r="F1738" t="s">
        <v>236</v>
      </c>
      <c r="G1738">
        <v>18.52431726</v>
      </c>
      <c r="I1738">
        <f t="shared" si="129"/>
        <v>0</v>
      </c>
      <c r="J1738">
        <f t="shared" si="129"/>
        <v>0</v>
      </c>
      <c r="K1738">
        <f t="shared" si="129"/>
        <v>0</v>
      </c>
      <c r="M1738" t="str" cm="1">
        <f t="array" ref="M1738">IFERROR(INDEX($I$2:$K$2,0,MATCH(TRUE,I1738:K1738,0)),E1738)</f>
        <v>CHP New</v>
      </c>
      <c r="O1738" t="str">
        <f t="shared" si="127"/>
        <v>CHP New_2039</v>
      </c>
      <c r="P1738">
        <f t="shared" si="128"/>
        <v>18.52431726</v>
      </c>
    </row>
    <row r="1739" spans="4:16" x14ac:dyDescent="0.25">
      <c r="D1739">
        <v>2040</v>
      </c>
      <c r="E1739" t="s">
        <v>227</v>
      </c>
      <c r="F1739" t="s">
        <v>236</v>
      </c>
      <c r="G1739">
        <v>19.029888799999998</v>
      </c>
      <c r="I1739">
        <f t="shared" si="129"/>
        <v>0</v>
      </c>
      <c r="J1739">
        <f t="shared" si="129"/>
        <v>0</v>
      </c>
      <c r="K1739">
        <f t="shared" si="129"/>
        <v>0</v>
      </c>
      <c r="M1739" t="str" cm="1">
        <f t="array" ref="M1739">IFERROR(INDEX($I$2:$K$2,0,MATCH(TRUE,I1739:K1739,0)),E1739)</f>
        <v>CHP New</v>
      </c>
      <c r="O1739" t="str">
        <f t="shared" si="127"/>
        <v>CHP New_2040</v>
      </c>
      <c r="P1739">
        <f t="shared" si="128"/>
        <v>19.029888799999998</v>
      </c>
    </row>
    <row r="1740" spans="4:16" x14ac:dyDescent="0.25">
      <c r="D1740">
        <v>2021</v>
      </c>
      <c r="E1740" t="s">
        <v>227</v>
      </c>
      <c r="F1740" t="s">
        <v>237</v>
      </c>
      <c r="G1740">
        <v>46.310793150000002</v>
      </c>
      <c r="I1740">
        <f t="shared" si="129"/>
        <v>0</v>
      </c>
      <c r="J1740">
        <f t="shared" si="129"/>
        <v>0</v>
      </c>
      <c r="K1740">
        <f t="shared" si="129"/>
        <v>0</v>
      </c>
      <c r="M1740" t="str" cm="1">
        <f t="array" ref="M1740">IFERROR(INDEX($I$2:$K$2,0,MATCH(TRUE,I1740:K1740,0)),E1740)</f>
        <v>CHP New</v>
      </c>
      <c r="O1740" t="str">
        <f t="shared" si="127"/>
        <v>CHP New_2021</v>
      </c>
      <c r="P1740">
        <f t="shared" si="128"/>
        <v>46.310793150000002</v>
      </c>
    </row>
    <row r="1741" spans="4:16" x14ac:dyDescent="0.25">
      <c r="D1741">
        <v>2022</v>
      </c>
      <c r="E1741" t="s">
        <v>227</v>
      </c>
      <c r="F1741" t="s">
        <v>237</v>
      </c>
      <c r="G1741">
        <v>46.310793150000002</v>
      </c>
      <c r="I1741">
        <f t="shared" si="129"/>
        <v>0</v>
      </c>
      <c r="J1741">
        <f t="shared" si="129"/>
        <v>0</v>
      </c>
      <c r="K1741">
        <f t="shared" si="129"/>
        <v>0</v>
      </c>
      <c r="M1741" t="str" cm="1">
        <f t="array" ref="M1741">IFERROR(INDEX($I$2:$K$2,0,MATCH(TRUE,I1741:K1741,0)),E1741)</f>
        <v>CHP New</v>
      </c>
      <c r="O1741" t="str">
        <f t="shared" si="127"/>
        <v>CHP New_2022</v>
      </c>
      <c r="P1741">
        <f t="shared" si="128"/>
        <v>46.310793150000002</v>
      </c>
    </row>
    <row r="1742" spans="4:16" x14ac:dyDescent="0.25">
      <c r="D1742">
        <v>2023</v>
      </c>
      <c r="E1742" t="s">
        <v>227</v>
      </c>
      <c r="F1742" t="s">
        <v>237</v>
      </c>
      <c r="G1742">
        <v>46.310793150000002</v>
      </c>
      <c r="I1742">
        <f t="shared" si="129"/>
        <v>0</v>
      </c>
      <c r="J1742">
        <f t="shared" si="129"/>
        <v>0</v>
      </c>
      <c r="K1742">
        <f t="shared" si="129"/>
        <v>0</v>
      </c>
      <c r="M1742" t="str" cm="1">
        <f t="array" ref="M1742">IFERROR(INDEX($I$2:$K$2,0,MATCH(TRUE,I1742:K1742,0)),E1742)</f>
        <v>CHP New</v>
      </c>
      <c r="O1742" t="str">
        <f t="shared" si="127"/>
        <v>CHP New_2023</v>
      </c>
      <c r="P1742">
        <f t="shared" si="128"/>
        <v>46.310793150000002</v>
      </c>
    </row>
    <row r="1743" spans="4:16" x14ac:dyDescent="0.25">
      <c r="D1743">
        <v>2024</v>
      </c>
      <c r="E1743" t="s">
        <v>227</v>
      </c>
      <c r="F1743" t="s">
        <v>237</v>
      </c>
      <c r="G1743">
        <v>47.574722000000001</v>
      </c>
      <c r="I1743">
        <f t="shared" si="129"/>
        <v>0</v>
      </c>
      <c r="J1743">
        <f t="shared" si="129"/>
        <v>0</v>
      </c>
      <c r="K1743">
        <f t="shared" si="129"/>
        <v>0</v>
      </c>
      <c r="M1743" t="str" cm="1">
        <f t="array" ref="M1743">IFERROR(INDEX($I$2:$K$2,0,MATCH(TRUE,I1743:K1743,0)),E1743)</f>
        <v>CHP New</v>
      </c>
      <c r="O1743" t="str">
        <f t="shared" si="127"/>
        <v>CHP New_2024</v>
      </c>
      <c r="P1743">
        <f t="shared" si="128"/>
        <v>47.574722000000001</v>
      </c>
    </row>
    <row r="1744" spans="4:16" x14ac:dyDescent="0.25">
      <c r="D1744">
        <v>2025</v>
      </c>
      <c r="E1744" t="s">
        <v>227</v>
      </c>
      <c r="F1744" t="s">
        <v>237</v>
      </c>
      <c r="G1744">
        <v>46.310793150000002</v>
      </c>
      <c r="I1744">
        <f t="shared" si="129"/>
        <v>0</v>
      </c>
      <c r="J1744">
        <f t="shared" si="129"/>
        <v>0</v>
      </c>
      <c r="K1744">
        <f t="shared" si="129"/>
        <v>0</v>
      </c>
      <c r="M1744" t="str" cm="1">
        <f t="array" ref="M1744">IFERROR(INDEX($I$2:$K$2,0,MATCH(TRUE,I1744:K1744,0)),E1744)</f>
        <v>CHP New</v>
      </c>
      <c r="O1744" t="str">
        <f t="shared" si="127"/>
        <v>CHP New_2025</v>
      </c>
      <c r="P1744">
        <f t="shared" si="128"/>
        <v>46.310793150000002</v>
      </c>
    </row>
    <row r="1745" spans="4:16" x14ac:dyDescent="0.25">
      <c r="D1745">
        <v>2026</v>
      </c>
      <c r="E1745" t="s">
        <v>227</v>
      </c>
      <c r="F1745" t="s">
        <v>237</v>
      </c>
      <c r="G1745">
        <v>46.310793150000002</v>
      </c>
      <c r="I1745">
        <f t="shared" si="129"/>
        <v>0</v>
      </c>
      <c r="J1745">
        <f t="shared" si="129"/>
        <v>0</v>
      </c>
      <c r="K1745">
        <f t="shared" si="129"/>
        <v>0</v>
      </c>
      <c r="M1745" t="str" cm="1">
        <f t="array" ref="M1745">IFERROR(INDEX($I$2:$K$2,0,MATCH(TRUE,I1745:K1745,0)),E1745)</f>
        <v>CHP New</v>
      </c>
      <c r="O1745" t="str">
        <f t="shared" si="127"/>
        <v>CHP New_2026</v>
      </c>
      <c r="P1745">
        <f t="shared" si="128"/>
        <v>46.310793150000002</v>
      </c>
    </row>
    <row r="1746" spans="4:16" x14ac:dyDescent="0.25">
      <c r="D1746">
        <v>2027</v>
      </c>
      <c r="E1746" t="s">
        <v>227</v>
      </c>
      <c r="F1746" t="s">
        <v>237</v>
      </c>
      <c r="G1746">
        <v>46.310793150000002</v>
      </c>
      <c r="I1746">
        <f t="shared" si="129"/>
        <v>0</v>
      </c>
      <c r="J1746">
        <f t="shared" si="129"/>
        <v>0</v>
      </c>
      <c r="K1746">
        <f t="shared" si="129"/>
        <v>0</v>
      </c>
      <c r="M1746" t="str" cm="1">
        <f t="array" ref="M1746">IFERROR(INDEX($I$2:$K$2,0,MATCH(TRUE,I1746:K1746,0)),E1746)</f>
        <v>CHP New</v>
      </c>
      <c r="O1746" t="str">
        <f t="shared" si="127"/>
        <v>CHP New_2027</v>
      </c>
      <c r="P1746">
        <f t="shared" si="128"/>
        <v>46.310793150000002</v>
      </c>
    </row>
    <row r="1747" spans="4:16" x14ac:dyDescent="0.25">
      <c r="D1747">
        <v>2028</v>
      </c>
      <c r="E1747" t="s">
        <v>227</v>
      </c>
      <c r="F1747" t="s">
        <v>237</v>
      </c>
      <c r="G1747">
        <v>46.310793150000002</v>
      </c>
      <c r="I1747">
        <f t="shared" si="129"/>
        <v>0</v>
      </c>
      <c r="J1747">
        <f t="shared" si="129"/>
        <v>0</v>
      </c>
      <c r="K1747">
        <f t="shared" si="129"/>
        <v>0</v>
      </c>
      <c r="M1747" t="str" cm="1">
        <f t="array" ref="M1747">IFERROR(INDEX($I$2:$K$2,0,MATCH(TRUE,I1747:K1747,0)),E1747)</f>
        <v>CHP New</v>
      </c>
      <c r="O1747" t="str">
        <f t="shared" ref="O1747:O1810" si="130">M1747&amp;"_"&amp;D1747</f>
        <v>CHP New_2028</v>
      </c>
      <c r="P1747">
        <f t="shared" ref="P1747:P1810" si="131">G1747</f>
        <v>46.310793150000002</v>
      </c>
    </row>
    <row r="1748" spans="4:16" x14ac:dyDescent="0.25">
      <c r="D1748">
        <v>2029</v>
      </c>
      <c r="E1748" t="s">
        <v>227</v>
      </c>
      <c r="F1748" t="s">
        <v>237</v>
      </c>
      <c r="G1748">
        <v>46.310793150000002</v>
      </c>
      <c r="I1748">
        <f t="shared" si="129"/>
        <v>0</v>
      </c>
      <c r="J1748">
        <f t="shared" si="129"/>
        <v>0</v>
      </c>
      <c r="K1748">
        <f t="shared" si="129"/>
        <v>0</v>
      </c>
      <c r="M1748" t="str" cm="1">
        <f t="array" ref="M1748">IFERROR(INDEX($I$2:$K$2,0,MATCH(TRUE,I1748:K1748,0)),E1748)</f>
        <v>CHP New</v>
      </c>
      <c r="O1748" t="str">
        <f t="shared" si="130"/>
        <v>CHP New_2029</v>
      </c>
      <c r="P1748">
        <f t="shared" si="131"/>
        <v>46.310793150000002</v>
      </c>
    </row>
    <row r="1749" spans="4:16" x14ac:dyDescent="0.25">
      <c r="D1749">
        <v>2030</v>
      </c>
      <c r="E1749" t="s">
        <v>227</v>
      </c>
      <c r="F1749" t="s">
        <v>237</v>
      </c>
      <c r="G1749">
        <v>46.310793150000002</v>
      </c>
      <c r="I1749">
        <f t="shared" ref="I1749:K1812" si="132">IFERROR(FIND(I$2,$E1749,1)&gt;0,0)</f>
        <v>0</v>
      </c>
      <c r="J1749">
        <f t="shared" si="132"/>
        <v>0</v>
      </c>
      <c r="K1749">
        <f t="shared" si="132"/>
        <v>0</v>
      </c>
      <c r="M1749" t="str" cm="1">
        <f t="array" ref="M1749">IFERROR(INDEX($I$2:$K$2,0,MATCH(TRUE,I1749:K1749,0)),E1749)</f>
        <v>CHP New</v>
      </c>
      <c r="O1749" t="str">
        <f t="shared" si="130"/>
        <v>CHP New_2030</v>
      </c>
      <c r="P1749">
        <f t="shared" si="131"/>
        <v>46.310793150000002</v>
      </c>
    </row>
    <row r="1750" spans="4:16" x14ac:dyDescent="0.25">
      <c r="D1750">
        <v>2031</v>
      </c>
      <c r="E1750" t="s">
        <v>227</v>
      </c>
      <c r="F1750" t="s">
        <v>237</v>
      </c>
      <c r="G1750">
        <v>46.310793150000002</v>
      </c>
      <c r="I1750">
        <f t="shared" si="132"/>
        <v>0</v>
      </c>
      <c r="J1750">
        <f t="shared" si="132"/>
        <v>0</v>
      </c>
      <c r="K1750">
        <f t="shared" si="132"/>
        <v>0</v>
      </c>
      <c r="M1750" t="str" cm="1">
        <f t="array" ref="M1750">IFERROR(INDEX($I$2:$K$2,0,MATCH(TRUE,I1750:K1750,0)),E1750)</f>
        <v>CHP New</v>
      </c>
      <c r="O1750" t="str">
        <f t="shared" si="130"/>
        <v>CHP New_2031</v>
      </c>
      <c r="P1750">
        <f t="shared" si="131"/>
        <v>46.310793150000002</v>
      </c>
    </row>
    <row r="1751" spans="4:16" x14ac:dyDescent="0.25">
      <c r="D1751">
        <v>2032</v>
      </c>
      <c r="E1751" t="s">
        <v>227</v>
      </c>
      <c r="F1751" t="s">
        <v>237</v>
      </c>
      <c r="G1751">
        <v>46.310793150000002</v>
      </c>
      <c r="I1751">
        <f t="shared" si="132"/>
        <v>0</v>
      </c>
      <c r="J1751">
        <f t="shared" si="132"/>
        <v>0</v>
      </c>
      <c r="K1751">
        <f t="shared" si="132"/>
        <v>0</v>
      </c>
      <c r="M1751" t="str" cm="1">
        <f t="array" ref="M1751">IFERROR(INDEX($I$2:$K$2,0,MATCH(TRUE,I1751:K1751,0)),E1751)</f>
        <v>CHP New</v>
      </c>
      <c r="O1751" t="str">
        <f t="shared" si="130"/>
        <v>CHP New_2032</v>
      </c>
      <c r="P1751">
        <f t="shared" si="131"/>
        <v>46.310793150000002</v>
      </c>
    </row>
    <row r="1752" spans="4:16" x14ac:dyDescent="0.25">
      <c r="D1752">
        <v>2033</v>
      </c>
      <c r="E1752" t="s">
        <v>227</v>
      </c>
      <c r="F1752" t="s">
        <v>237</v>
      </c>
      <c r="G1752">
        <v>46.310793150000002</v>
      </c>
      <c r="I1752">
        <f t="shared" si="132"/>
        <v>0</v>
      </c>
      <c r="J1752">
        <f t="shared" si="132"/>
        <v>0</v>
      </c>
      <c r="K1752">
        <f t="shared" si="132"/>
        <v>0</v>
      </c>
      <c r="M1752" t="str" cm="1">
        <f t="array" ref="M1752">IFERROR(INDEX($I$2:$K$2,0,MATCH(TRUE,I1752:K1752,0)),E1752)</f>
        <v>CHP New</v>
      </c>
      <c r="O1752" t="str">
        <f t="shared" si="130"/>
        <v>CHP New_2033</v>
      </c>
      <c r="P1752">
        <f t="shared" si="131"/>
        <v>46.310793150000002</v>
      </c>
    </row>
    <row r="1753" spans="4:16" x14ac:dyDescent="0.25">
      <c r="D1753">
        <v>2034</v>
      </c>
      <c r="E1753" t="s">
        <v>227</v>
      </c>
      <c r="F1753" t="s">
        <v>237</v>
      </c>
      <c r="G1753">
        <v>46.310793150000002</v>
      </c>
      <c r="I1753">
        <f t="shared" si="132"/>
        <v>0</v>
      </c>
      <c r="J1753">
        <f t="shared" si="132"/>
        <v>0</v>
      </c>
      <c r="K1753">
        <f t="shared" si="132"/>
        <v>0</v>
      </c>
      <c r="M1753" t="str" cm="1">
        <f t="array" ref="M1753">IFERROR(INDEX($I$2:$K$2,0,MATCH(TRUE,I1753:K1753,0)),E1753)</f>
        <v>CHP New</v>
      </c>
      <c r="O1753" t="str">
        <f t="shared" si="130"/>
        <v>CHP New_2034</v>
      </c>
      <c r="P1753">
        <f t="shared" si="131"/>
        <v>46.310793150000002</v>
      </c>
    </row>
    <row r="1754" spans="4:16" x14ac:dyDescent="0.25">
      <c r="D1754">
        <v>2035</v>
      </c>
      <c r="E1754" t="s">
        <v>227</v>
      </c>
      <c r="F1754" t="s">
        <v>237</v>
      </c>
      <c r="G1754">
        <v>46.310793150000002</v>
      </c>
      <c r="I1754">
        <f t="shared" si="132"/>
        <v>0</v>
      </c>
      <c r="J1754">
        <f t="shared" si="132"/>
        <v>0</v>
      </c>
      <c r="K1754">
        <f t="shared" si="132"/>
        <v>0</v>
      </c>
      <c r="M1754" t="str" cm="1">
        <f t="array" ref="M1754">IFERROR(INDEX($I$2:$K$2,0,MATCH(TRUE,I1754:K1754,0)),E1754)</f>
        <v>CHP New</v>
      </c>
      <c r="O1754" t="str">
        <f t="shared" si="130"/>
        <v>CHP New_2035</v>
      </c>
      <c r="P1754">
        <f t="shared" si="131"/>
        <v>46.310793150000002</v>
      </c>
    </row>
    <row r="1755" spans="4:16" x14ac:dyDescent="0.25">
      <c r="D1755">
        <v>2036</v>
      </c>
      <c r="E1755" t="s">
        <v>227</v>
      </c>
      <c r="F1755" t="s">
        <v>237</v>
      </c>
      <c r="G1755">
        <v>47.574722000000001</v>
      </c>
      <c r="I1755">
        <f t="shared" si="132"/>
        <v>0</v>
      </c>
      <c r="J1755">
        <f t="shared" si="132"/>
        <v>0</v>
      </c>
      <c r="K1755">
        <f t="shared" si="132"/>
        <v>0</v>
      </c>
      <c r="M1755" t="str" cm="1">
        <f t="array" ref="M1755">IFERROR(INDEX($I$2:$K$2,0,MATCH(TRUE,I1755:K1755,0)),E1755)</f>
        <v>CHP New</v>
      </c>
      <c r="O1755" t="str">
        <f t="shared" si="130"/>
        <v>CHP New_2036</v>
      </c>
      <c r="P1755">
        <f t="shared" si="131"/>
        <v>47.574722000000001</v>
      </c>
    </row>
    <row r="1756" spans="4:16" x14ac:dyDescent="0.25">
      <c r="D1756">
        <v>2037</v>
      </c>
      <c r="E1756" t="s">
        <v>227</v>
      </c>
      <c r="F1756" t="s">
        <v>237</v>
      </c>
      <c r="G1756">
        <v>46.310793150000002</v>
      </c>
      <c r="I1756">
        <f t="shared" si="132"/>
        <v>0</v>
      </c>
      <c r="J1756">
        <f t="shared" si="132"/>
        <v>0</v>
      </c>
      <c r="K1756">
        <f t="shared" si="132"/>
        <v>0</v>
      </c>
      <c r="M1756" t="str" cm="1">
        <f t="array" ref="M1756">IFERROR(INDEX($I$2:$K$2,0,MATCH(TRUE,I1756:K1756,0)),E1756)</f>
        <v>CHP New</v>
      </c>
      <c r="O1756" t="str">
        <f t="shared" si="130"/>
        <v>CHP New_2037</v>
      </c>
      <c r="P1756">
        <f t="shared" si="131"/>
        <v>46.310793150000002</v>
      </c>
    </row>
    <row r="1757" spans="4:16" x14ac:dyDescent="0.25">
      <c r="D1757">
        <v>2038</v>
      </c>
      <c r="E1757" t="s">
        <v>227</v>
      </c>
      <c r="F1757" t="s">
        <v>237</v>
      </c>
      <c r="G1757">
        <v>46.310793150000002</v>
      </c>
      <c r="I1757">
        <f t="shared" si="132"/>
        <v>0</v>
      </c>
      <c r="J1757">
        <f t="shared" si="132"/>
        <v>0</v>
      </c>
      <c r="K1757">
        <f t="shared" si="132"/>
        <v>0</v>
      </c>
      <c r="M1757" t="str" cm="1">
        <f t="array" ref="M1757">IFERROR(INDEX($I$2:$K$2,0,MATCH(TRUE,I1757:K1757,0)),E1757)</f>
        <v>CHP New</v>
      </c>
      <c r="O1757" t="str">
        <f t="shared" si="130"/>
        <v>CHP New_2038</v>
      </c>
      <c r="P1757">
        <f t="shared" si="131"/>
        <v>46.310793150000002</v>
      </c>
    </row>
    <row r="1758" spans="4:16" x14ac:dyDescent="0.25">
      <c r="D1758">
        <v>2039</v>
      </c>
      <c r="E1758" t="s">
        <v>227</v>
      </c>
      <c r="F1758" t="s">
        <v>237</v>
      </c>
      <c r="G1758">
        <v>46.310793150000002</v>
      </c>
      <c r="I1758">
        <f t="shared" si="132"/>
        <v>0</v>
      </c>
      <c r="J1758">
        <f t="shared" si="132"/>
        <v>0</v>
      </c>
      <c r="K1758">
        <f t="shared" si="132"/>
        <v>0</v>
      </c>
      <c r="M1758" t="str" cm="1">
        <f t="array" ref="M1758">IFERROR(INDEX($I$2:$K$2,0,MATCH(TRUE,I1758:K1758,0)),E1758)</f>
        <v>CHP New</v>
      </c>
      <c r="O1758" t="str">
        <f t="shared" si="130"/>
        <v>CHP New_2039</v>
      </c>
      <c r="P1758">
        <f t="shared" si="131"/>
        <v>46.310793150000002</v>
      </c>
    </row>
    <row r="1759" spans="4:16" x14ac:dyDescent="0.25">
      <c r="D1759">
        <v>2040</v>
      </c>
      <c r="E1759" t="s">
        <v>227</v>
      </c>
      <c r="F1759" t="s">
        <v>237</v>
      </c>
      <c r="G1759">
        <v>47.574722000000001</v>
      </c>
      <c r="I1759">
        <f t="shared" si="132"/>
        <v>0</v>
      </c>
      <c r="J1759">
        <f t="shared" si="132"/>
        <v>0</v>
      </c>
      <c r="K1759">
        <f t="shared" si="132"/>
        <v>0</v>
      </c>
      <c r="M1759" t="str" cm="1">
        <f t="array" ref="M1759">IFERROR(INDEX($I$2:$K$2,0,MATCH(TRUE,I1759:K1759,0)),E1759)</f>
        <v>CHP New</v>
      </c>
      <c r="O1759" t="str">
        <f t="shared" si="130"/>
        <v>CHP New_2040</v>
      </c>
      <c r="P1759">
        <f t="shared" si="131"/>
        <v>47.574722000000001</v>
      </c>
    </row>
    <row r="1760" spans="4:16" x14ac:dyDescent="0.25">
      <c r="D1760">
        <v>2022</v>
      </c>
      <c r="E1760" t="s">
        <v>227</v>
      </c>
      <c r="F1760" t="s">
        <v>238</v>
      </c>
      <c r="G1760">
        <v>0</v>
      </c>
      <c r="I1760">
        <f t="shared" si="132"/>
        <v>0</v>
      </c>
      <c r="J1760">
        <f t="shared" si="132"/>
        <v>0</v>
      </c>
      <c r="K1760">
        <f t="shared" si="132"/>
        <v>0</v>
      </c>
      <c r="M1760" t="str" cm="1">
        <f t="array" ref="M1760">IFERROR(INDEX($I$2:$K$2,0,MATCH(TRUE,I1760:K1760,0)),E1760)</f>
        <v>CHP New</v>
      </c>
      <c r="O1760" t="str">
        <f t="shared" si="130"/>
        <v>CHP New_2022</v>
      </c>
      <c r="P1760">
        <f t="shared" si="131"/>
        <v>0</v>
      </c>
    </row>
    <row r="1761" spans="4:16" x14ac:dyDescent="0.25">
      <c r="D1761">
        <v>2023</v>
      </c>
      <c r="E1761" t="s">
        <v>227</v>
      </c>
      <c r="F1761" t="s">
        <v>238</v>
      </c>
      <c r="G1761">
        <v>17.598101400000001</v>
      </c>
      <c r="I1761">
        <f t="shared" si="132"/>
        <v>0</v>
      </c>
      <c r="J1761">
        <f t="shared" si="132"/>
        <v>0</v>
      </c>
      <c r="K1761">
        <f t="shared" si="132"/>
        <v>0</v>
      </c>
      <c r="M1761" t="str" cm="1">
        <f t="array" ref="M1761">IFERROR(INDEX($I$2:$K$2,0,MATCH(TRUE,I1761:K1761,0)),E1761)</f>
        <v>CHP New</v>
      </c>
      <c r="O1761" t="str">
        <f t="shared" si="130"/>
        <v>CHP New_2023</v>
      </c>
      <c r="P1761">
        <f t="shared" si="131"/>
        <v>17.598101400000001</v>
      </c>
    </row>
    <row r="1762" spans="4:16" x14ac:dyDescent="0.25">
      <c r="D1762">
        <v>2024</v>
      </c>
      <c r="E1762" t="s">
        <v>227</v>
      </c>
      <c r="F1762" t="s">
        <v>238</v>
      </c>
      <c r="G1762">
        <v>18.078394360000001</v>
      </c>
      <c r="I1762">
        <f t="shared" si="132"/>
        <v>0</v>
      </c>
      <c r="J1762">
        <f t="shared" si="132"/>
        <v>0</v>
      </c>
      <c r="K1762">
        <f t="shared" si="132"/>
        <v>0</v>
      </c>
      <c r="M1762" t="str" cm="1">
        <f t="array" ref="M1762">IFERROR(INDEX($I$2:$K$2,0,MATCH(TRUE,I1762:K1762,0)),E1762)</f>
        <v>CHP New</v>
      </c>
      <c r="O1762" t="str">
        <f t="shared" si="130"/>
        <v>CHP New_2024</v>
      </c>
      <c r="P1762">
        <f t="shared" si="131"/>
        <v>18.078394360000001</v>
      </c>
    </row>
    <row r="1763" spans="4:16" x14ac:dyDescent="0.25">
      <c r="D1763">
        <v>2025</v>
      </c>
      <c r="E1763" t="s">
        <v>227</v>
      </c>
      <c r="F1763" t="s">
        <v>238</v>
      </c>
      <c r="G1763">
        <v>17.598101400000001</v>
      </c>
      <c r="I1763">
        <f t="shared" si="132"/>
        <v>0</v>
      </c>
      <c r="J1763">
        <f t="shared" si="132"/>
        <v>0</v>
      </c>
      <c r="K1763">
        <f t="shared" si="132"/>
        <v>0</v>
      </c>
      <c r="M1763" t="str" cm="1">
        <f t="array" ref="M1763">IFERROR(INDEX($I$2:$K$2,0,MATCH(TRUE,I1763:K1763,0)),E1763)</f>
        <v>CHP New</v>
      </c>
      <c r="O1763" t="str">
        <f t="shared" si="130"/>
        <v>CHP New_2025</v>
      </c>
      <c r="P1763">
        <f t="shared" si="131"/>
        <v>17.598101400000001</v>
      </c>
    </row>
    <row r="1764" spans="4:16" x14ac:dyDescent="0.25">
      <c r="D1764">
        <v>2026</v>
      </c>
      <c r="E1764" t="s">
        <v>227</v>
      </c>
      <c r="F1764" t="s">
        <v>238</v>
      </c>
      <c r="G1764">
        <v>17.598101400000001</v>
      </c>
      <c r="I1764">
        <f t="shared" si="132"/>
        <v>0</v>
      </c>
      <c r="J1764">
        <f t="shared" si="132"/>
        <v>0</v>
      </c>
      <c r="K1764">
        <f t="shared" si="132"/>
        <v>0</v>
      </c>
      <c r="M1764" t="str" cm="1">
        <f t="array" ref="M1764">IFERROR(INDEX($I$2:$K$2,0,MATCH(TRUE,I1764:K1764,0)),E1764)</f>
        <v>CHP New</v>
      </c>
      <c r="O1764" t="str">
        <f t="shared" si="130"/>
        <v>CHP New_2026</v>
      </c>
      <c r="P1764">
        <f t="shared" si="131"/>
        <v>17.598101400000001</v>
      </c>
    </row>
    <row r="1765" spans="4:16" x14ac:dyDescent="0.25">
      <c r="D1765">
        <v>2027</v>
      </c>
      <c r="E1765" t="s">
        <v>227</v>
      </c>
      <c r="F1765" t="s">
        <v>238</v>
      </c>
      <c r="G1765">
        <v>17.598101400000001</v>
      </c>
      <c r="I1765">
        <f t="shared" si="132"/>
        <v>0</v>
      </c>
      <c r="J1765">
        <f t="shared" si="132"/>
        <v>0</v>
      </c>
      <c r="K1765">
        <f t="shared" si="132"/>
        <v>0</v>
      </c>
      <c r="M1765" t="str" cm="1">
        <f t="array" ref="M1765">IFERROR(INDEX($I$2:$K$2,0,MATCH(TRUE,I1765:K1765,0)),E1765)</f>
        <v>CHP New</v>
      </c>
      <c r="O1765" t="str">
        <f t="shared" si="130"/>
        <v>CHP New_2027</v>
      </c>
      <c r="P1765">
        <f t="shared" si="131"/>
        <v>17.598101400000001</v>
      </c>
    </row>
    <row r="1766" spans="4:16" x14ac:dyDescent="0.25">
      <c r="D1766">
        <v>2028</v>
      </c>
      <c r="E1766" t="s">
        <v>227</v>
      </c>
      <c r="F1766" t="s">
        <v>238</v>
      </c>
      <c r="G1766">
        <v>17.598101400000001</v>
      </c>
      <c r="I1766">
        <f t="shared" si="132"/>
        <v>0</v>
      </c>
      <c r="J1766">
        <f t="shared" si="132"/>
        <v>0</v>
      </c>
      <c r="K1766">
        <f t="shared" si="132"/>
        <v>0</v>
      </c>
      <c r="M1766" t="str" cm="1">
        <f t="array" ref="M1766">IFERROR(INDEX($I$2:$K$2,0,MATCH(TRUE,I1766:K1766,0)),E1766)</f>
        <v>CHP New</v>
      </c>
      <c r="O1766" t="str">
        <f t="shared" si="130"/>
        <v>CHP New_2028</v>
      </c>
      <c r="P1766">
        <f t="shared" si="131"/>
        <v>17.598101400000001</v>
      </c>
    </row>
    <row r="1767" spans="4:16" x14ac:dyDescent="0.25">
      <c r="D1767">
        <v>2029</v>
      </c>
      <c r="E1767" t="s">
        <v>227</v>
      </c>
      <c r="F1767" t="s">
        <v>238</v>
      </c>
      <c r="G1767">
        <v>17.598101400000001</v>
      </c>
      <c r="I1767">
        <f t="shared" si="132"/>
        <v>0</v>
      </c>
      <c r="J1767">
        <f t="shared" si="132"/>
        <v>0</v>
      </c>
      <c r="K1767">
        <f t="shared" si="132"/>
        <v>0</v>
      </c>
      <c r="M1767" t="str" cm="1">
        <f t="array" ref="M1767">IFERROR(INDEX($I$2:$K$2,0,MATCH(TRUE,I1767:K1767,0)),E1767)</f>
        <v>CHP New</v>
      </c>
      <c r="O1767" t="str">
        <f t="shared" si="130"/>
        <v>CHP New_2029</v>
      </c>
      <c r="P1767">
        <f t="shared" si="131"/>
        <v>17.598101400000001</v>
      </c>
    </row>
    <row r="1768" spans="4:16" x14ac:dyDescent="0.25">
      <c r="D1768">
        <v>2030</v>
      </c>
      <c r="E1768" t="s">
        <v>227</v>
      </c>
      <c r="F1768" t="s">
        <v>238</v>
      </c>
      <c r="G1768">
        <v>17.598101400000001</v>
      </c>
      <c r="I1768">
        <f t="shared" si="132"/>
        <v>0</v>
      </c>
      <c r="J1768">
        <f t="shared" si="132"/>
        <v>0</v>
      </c>
      <c r="K1768">
        <f t="shared" si="132"/>
        <v>0</v>
      </c>
      <c r="M1768" t="str" cm="1">
        <f t="array" ref="M1768">IFERROR(INDEX($I$2:$K$2,0,MATCH(TRUE,I1768:K1768,0)),E1768)</f>
        <v>CHP New</v>
      </c>
      <c r="O1768" t="str">
        <f t="shared" si="130"/>
        <v>CHP New_2030</v>
      </c>
      <c r="P1768">
        <f t="shared" si="131"/>
        <v>17.598101400000001</v>
      </c>
    </row>
    <row r="1769" spans="4:16" x14ac:dyDescent="0.25">
      <c r="D1769">
        <v>2031</v>
      </c>
      <c r="E1769" t="s">
        <v>227</v>
      </c>
      <c r="F1769" t="s">
        <v>238</v>
      </c>
      <c r="G1769">
        <v>17.598101400000001</v>
      </c>
      <c r="I1769">
        <f t="shared" si="132"/>
        <v>0</v>
      </c>
      <c r="J1769">
        <f t="shared" si="132"/>
        <v>0</v>
      </c>
      <c r="K1769">
        <f t="shared" si="132"/>
        <v>0</v>
      </c>
      <c r="M1769" t="str" cm="1">
        <f t="array" ref="M1769">IFERROR(INDEX($I$2:$K$2,0,MATCH(TRUE,I1769:K1769,0)),E1769)</f>
        <v>CHP New</v>
      </c>
      <c r="O1769" t="str">
        <f t="shared" si="130"/>
        <v>CHP New_2031</v>
      </c>
      <c r="P1769">
        <f t="shared" si="131"/>
        <v>17.598101400000001</v>
      </c>
    </row>
    <row r="1770" spans="4:16" x14ac:dyDescent="0.25">
      <c r="D1770">
        <v>2032</v>
      </c>
      <c r="E1770" t="s">
        <v>227</v>
      </c>
      <c r="F1770" t="s">
        <v>238</v>
      </c>
      <c r="G1770">
        <v>17.598101400000001</v>
      </c>
      <c r="I1770">
        <f t="shared" si="132"/>
        <v>0</v>
      </c>
      <c r="J1770">
        <f t="shared" si="132"/>
        <v>0</v>
      </c>
      <c r="K1770">
        <f t="shared" si="132"/>
        <v>0</v>
      </c>
      <c r="M1770" t="str" cm="1">
        <f t="array" ref="M1770">IFERROR(INDEX($I$2:$K$2,0,MATCH(TRUE,I1770:K1770,0)),E1770)</f>
        <v>CHP New</v>
      </c>
      <c r="O1770" t="str">
        <f t="shared" si="130"/>
        <v>CHP New_2032</v>
      </c>
      <c r="P1770">
        <f t="shared" si="131"/>
        <v>17.598101400000001</v>
      </c>
    </row>
    <row r="1771" spans="4:16" x14ac:dyDescent="0.25">
      <c r="D1771">
        <v>2033</v>
      </c>
      <c r="E1771" t="s">
        <v>227</v>
      </c>
      <c r="F1771" t="s">
        <v>238</v>
      </c>
      <c r="G1771">
        <v>17.598101400000001</v>
      </c>
      <c r="I1771">
        <f t="shared" si="132"/>
        <v>0</v>
      </c>
      <c r="J1771">
        <f t="shared" si="132"/>
        <v>0</v>
      </c>
      <c r="K1771">
        <f t="shared" si="132"/>
        <v>0</v>
      </c>
      <c r="M1771" t="str" cm="1">
        <f t="array" ref="M1771">IFERROR(INDEX($I$2:$K$2,0,MATCH(TRUE,I1771:K1771,0)),E1771)</f>
        <v>CHP New</v>
      </c>
      <c r="O1771" t="str">
        <f t="shared" si="130"/>
        <v>CHP New_2033</v>
      </c>
      <c r="P1771">
        <f t="shared" si="131"/>
        <v>17.598101400000001</v>
      </c>
    </row>
    <row r="1772" spans="4:16" x14ac:dyDescent="0.25">
      <c r="D1772">
        <v>2034</v>
      </c>
      <c r="E1772" t="s">
        <v>227</v>
      </c>
      <c r="F1772" t="s">
        <v>238</v>
      </c>
      <c r="G1772">
        <v>17.598101400000001</v>
      </c>
      <c r="I1772">
        <f t="shared" si="132"/>
        <v>0</v>
      </c>
      <c r="J1772">
        <f t="shared" si="132"/>
        <v>0</v>
      </c>
      <c r="K1772">
        <f t="shared" si="132"/>
        <v>0</v>
      </c>
      <c r="M1772" t="str" cm="1">
        <f t="array" ref="M1772">IFERROR(INDEX($I$2:$K$2,0,MATCH(TRUE,I1772:K1772,0)),E1772)</f>
        <v>CHP New</v>
      </c>
      <c r="O1772" t="str">
        <f t="shared" si="130"/>
        <v>CHP New_2034</v>
      </c>
      <c r="P1772">
        <f t="shared" si="131"/>
        <v>17.598101400000001</v>
      </c>
    </row>
    <row r="1773" spans="4:16" x14ac:dyDescent="0.25">
      <c r="D1773">
        <v>2035</v>
      </c>
      <c r="E1773" t="s">
        <v>227</v>
      </c>
      <c r="F1773" t="s">
        <v>238</v>
      </c>
      <c r="G1773">
        <v>17.598101400000001</v>
      </c>
      <c r="I1773">
        <f t="shared" si="132"/>
        <v>0</v>
      </c>
      <c r="J1773">
        <f t="shared" si="132"/>
        <v>0</v>
      </c>
      <c r="K1773">
        <f t="shared" si="132"/>
        <v>0</v>
      </c>
      <c r="M1773" t="str" cm="1">
        <f t="array" ref="M1773">IFERROR(INDEX($I$2:$K$2,0,MATCH(TRUE,I1773:K1773,0)),E1773)</f>
        <v>CHP New</v>
      </c>
      <c r="O1773" t="str">
        <f t="shared" si="130"/>
        <v>CHP New_2035</v>
      </c>
      <c r="P1773">
        <f t="shared" si="131"/>
        <v>17.598101400000001</v>
      </c>
    </row>
    <row r="1774" spans="4:16" x14ac:dyDescent="0.25">
      <c r="D1774">
        <v>2036</v>
      </c>
      <c r="E1774" t="s">
        <v>227</v>
      </c>
      <c r="F1774" t="s">
        <v>238</v>
      </c>
      <c r="G1774">
        <v>18.078394360000001</v>
      </c>
      <c r="I1774">
        <f t="shared" si="132"/>
        <v>0</v>
      </c>
      <c r="J1774">
        <f t="shared" si="132"/>
        <v>0</v>
      </c>
      <c r="K1774">
        <f t="shared" si="132"/>
        <v>0</v>
      </c>
      <c r="M1774" t="str" cm="1">
        <f t="array" ref="M1774">IFERROR(INDEX($I$2:$K$2,0,MATCH(TRUE,I1774:K1774,0)),E1774)</f>
        <v>CHP New</v>
      </c>
      <c r="O1774" t="str">
        <f t="shared" si="130"/>
        <v>CHP New_2036</v>
      </c>
      <c r="P1774">
        <f t="shared" si="131"/>
        <v>18.078394360000001</v>
      </c>
    </row>
    <row r="1775" spans="4:16" x14ac:dyDescent="0.25">
      <c r="D1775">
        <v>2037</v>
      </c>
      <c r="E1775" t="s">
        <v>227</v>
      </c>
      <c r="F1775" t="s">
        <v>238</v>
      </c>
      <c r="G1775">
        <v>17.598101400000001</v>
      </c>
      <c r="I1775">
        <f t="shared" si="132"/>
        <v>0</v>
      </c>
      <c r="J1775">
        <f t="shared" si="132"/>
        <v>0</v>
      </c>
      <c r="K1775">
        <f t="shared" si="132"/>
        <v>0</v>
      </c>
      <c r="M1775" t="str" cm="1">
        <f t="array" ref="M1775">IFERROR(INDEX($I$2:$K$2,0,MATCH(TRUE,I1775:K1775,0)),E1775)</f>
        <v>CHP New</v>
      </c>
      <c r="O1775" t="str">
        <f t="shared" si="130"/>
        <v>CHP New_2037</v>
      </c>
      <c r="P1775">
        <f t="shared" si="131"/>
        <v>17.598101400000001</v>
      </c>
    </row>
    <row r="1776" spans="4:16" x14ac:dyDescent="0.25">
      <c r="D1776">
        <v>2038</v>
      </c>
      <c r="E1776" t="s">
        <v>227</v>
      </c>
      <c r="F1776" t="s">
        <v>238</v>
      </c>
      <c r="G1776">
        <v>17.598101400000001</v>
      </c>
      <c r="I1776">
        <f t="shared" si="132"/>
        <v>0</v>
      </c>
      <c r="J1776">
        <f t="shared" si="132"/>
        <v>0</v>
      </c>
      <c r="K1776">
        <f t="shared" si="132"/>
        <v>0</v>
      </c>
      <c r="M1776" t="str" cm="1">
        <f t="array" ref="M1776">IFERROR(INDEX($I$2:$K$2,0,MATCH(TRUE,I1776:K1776,0)),E1776)</f>
        <v>CHP New</v>
      </c>
      <c r="O1776" t="str">
        <f t="shared" si="130"/>
        <v>CHP New_2038</v>
      </c>
      <c r="P1776">
        <f t="shared" si="131"/>
        <v>17.598101400000001</v>
      </c>
    </row>
    <row r="1777" spans="4:16" x14ac:dyDescent="0.25">
      <c r="D1777">
        <v>2039</v>
      </c>
      <c r="E1777" t="s">
        <v>227</v>
      </c>
      <c r="F1777" t="s">
        <v>238</v>
      </c>
      <c r="G1777">
        <v>17.598101400000001</v>
      </c>
      <c r="I1777">
        <f t="shared" si="132"/>
        <v>0</v>
      </c>
      <c r="J1777">
        <f t="shared" si="132"/>
        <v>0</v>
      </c>
      <c r="K1777">
        <f t="shared" si="132"/>
        <v>0</v>
      </c>
      <c r="M1777" t="str" cm="1">
        <f t="array" ref="M1777">IFERROR(INDEX($I$2:$K$2,0,MATCH(TRUE,I1777:K1777,0)),E1777)</f>
        <v>CHP New</v>
      </c>
      <c r="O1777" t="str">
        <f t="shared" si="130"/>
        <v>CHP New_2039</v>
      </c>
      <c r="P1777">
        <f t="shared" si="131"/>
        <v>17.598101400000001</v>
      </c>
    </row>
    <row r="1778" spans="4:16" x14ac:dyDescent="0.25">
      <c r="D1778">
        <v>2040</v>
      </c>
      <c r="E1778" t="s">
        <v>227</v>
      </c>
      <c r="F1778" t="s">
        <v>238</v>
      </c>
      <c r="G1778">
        <v>18.078394360000001</v>
      </c>
      <c r="I1778">
        <f t="shared" si="132"/>
        <v>0</v>
      </c>
      <c r="J1778">
        <f t="shared" si="132"/>
        <v>0</v>
      </c>
      <c r="K1778">
        <f t="shared" si="132"/>
        <v>0</v>
      </c>
      <c r="M1778" t="str" cm="1">
        <f t="array" ref="M1778">IFERROR(INDEX($I$2:$K$2,0,MATCH(TRUE,I1778:K1778,0)),E1778)</f>
        <v>CHP New</v>
      </c>
      <c r="O1778" t="str">
        <f t="shared" si="130"/>
        <v>CHP New_2040</v>
      </c>
      <c r="P1778">
        <f t="shared" si="131"/>
        <v>18.078394360000001</v>
      </c>
    </row>
    <row r="1779" spans="4:16" x14ac:dyDescent="0.25">
      <c r="D1779">
        <v>2024</v>
      </c>
      <c r="E1779" t="s">
        <v>227</v>
      </c>
      <c r="F1779" t="s">
        <v>239</v>
      </c>
      <c r="G1779">
        <v>0</v>
      </c>
      <c r="I1779">
        <f t="shared" si="132"/>
        <v>0</v>
      </c>
      <c r="J1779">
        <f t="shared" si="132"/>
        <v>0</v>
      </c>
      <c r="K1779">
        <f t="shared" si="132"/>
        <v>0</v>
      </c>
      <c r="M1779" t="str" cm="1">
        <f t="array" ref="M1779">IFERROR(INDEX($I$2:$K$2,0,MATCH(TRUE,I1779:K1779,0)),E1779)</f>
        <v>CHP New</v>
      </c>
      <c r="O1779" t="str">
        <f t="shared" si="130"/>
        <v>CHP New_2024</v>
      </c>
      <c r="P1779">
        <f t="shared" si="131"/>
        <v>0</v>
      </c>
    </row>
    <row r="1780" spans="4:16" x14ac:dyDescent="0.25">
      <c r="D1780">
        <v>2025</v>
      </c>
      <c r="E1780" t="s">
        <v>227</v>
      </c>
      <c r="F1780" t="s">
        <v>239</v>
      </c>
      <c r="G1780">
        <v>16.671885530000001</v>
      </c>
      <c r="I1780">
        <f t="shared" si="132"/>
        <v>0</v>
      </c>
      <c r="J1780">
        <f t="shared" si="132"/>
        <v>0</v>
      </c>
      <c r="K1780">
        <f t="shared" si="132"/>
        <v>0</v>
      </c>
      <c r="M1780" t="str" cm="1">
        <f t="array" ref="M1780">IFERROR(INDEX($I$2:$K$2,0,MATCH(TRUE,I1780:K1780,0)),E1780)</f>
        <v>CHP New</v>
      </c>
      <c r="O1780" t="str">
        <f t="shared" si="130"/>
        <v>CHP New_2025</v>
      </c>
      <c r="P1780">
        <f t="shared" si="131"/>
        <v>16.671885530000001</v>
      </c>
    </row>
    <row r="1781" spans="4:16" x14ac:dyDescent="0.25">
      <c r="D1781">
        <v>2026</v>
      </c>
      <c r="E1781" t="s">
        <v>227</v>
      </c>
      <c r="F1781" t="s">
        <v>239</v>
      </c>
      <c r="G1781">
        <v>16.671885530000001</v>
      </c>
      <c r="I1781">
        <f t="shared" si="132"/>
        <v>0</v>
      </c>
      <c r="J1781">
        <f t="shared" si="132"/>
        <v>0</v>
      </c>
      <c r="K1781">
        <f t="shared" si="132"/>
        <v>0</v>
      </c>
      <c r="M1781" t="str" cm="1">
        <f t="array" ref="M1781">IFERROR(INDEX($I$2:$K$2,0,MATCH(TRUE,I1781:K1781,0)),E1781)</f>
        <v>CHP New</v>
      </c>
      <c r="O1781" t="str">
        <f t="shared" si="130"/>
        <v>CHP New_2026</v>
      </c>
      <c r="P1781">
        <f t="shared" si="131"/>
        <v>16.671885530000001</v>
      </c>
    </row>
    <row r="1782" spans="4:16" x14ac:dyDescent="0.25">
      <c r="D1782">
        <v>2027</v>
      </c>
      <c r="E1782" t="s">
        <v>227</v>
      </c>
      <c r="F1782" t="s">
        <v>239</v>
      </c>
      <c r="G1782">
        <v>16.671885530000001</v>
      </c>
      <c r="I1782">
        <f t="shared" si="132"/>
        <v>0</v>
      </c>
      <c r="J1782">
        <f t="shared" si="132"/>
        <v>0</v>
      </c>
      <c r="K1782">
        <f t="shared" si="132"/>
        <v>0</v>
      </c>
      <c r="M1782" t="str" cm="1">
        <f t="array" ref="M1782">IFERROR(INDEX($I$2:$K$2,0,MATCH(TRUE,I1782:K1782,0)),E1782)</f>
        <v>CHP New</v>
      </c>
      <c r="O1782" t="str">
        <f t="shared" si="130"/>
        <v>CHP New_2027</v>
      </c>
      <c r="P1782">
        <f t="shared" si="131"/>
        <v>16.671885530000001</v>
      </c>
    </row>
    <row r="1783" spans="4:16" x14ac:dyDescent="0.25">
      <c r="D1783">
        <v>2028</v>
      </c>
      <c r="E1783" t="s">
        <v>227</v>
      </c>
      <c r="F1783" t="s">
        <v>239</v>
      </c>
      <c r="G1783">
        <v>16.671885530000001</v>
      </c>
      <c r="I1783">
        <f t="shared" si="132"/>
        <v>0</v>
      </c>
      <c r="J1783">
        <f t="shared" si="132"/>
        <v>0</v>
      </c>
      <c r="K1783">
        <f t="shared" si="132"/>
        <v>0</v>
      </c>
      <c r="M1783" t="str" cm="1">
        <f t="array" ref="M1783">IFERROR(INDEX($I$2:$K$2,0,MATCH(TRUE,I1783:K1783,0)),E1783)</f>
        <v>CHP New</v>
      </c>
      <c r="O1783" t="str">
        <f t="shared" si="130"/>
        <v>CHP New_2028</v>
      </c>
      <c r="P1783">
        <f t="shared" si="131"/>
        <v>16.671885530000001</v>
      </c>
    </row>
    <row r="1784" spans="4:16" x14ac:dyDescent="0.25">
      <c r="D1784">
        <v>2029</v>
      </c>
      <c r="E1784" t="s">
        <v>227</v>
      </c>
      <c r="F1784" t="s">
        <v>239</v>
      </c>
      <c r="G1784">
        <v>16.671885530000001</v>
      </c>
      <c r="I1784">
        <f t="shared" si="132"/>
        <v>0</v>
      </c>
      <c r="J1784">
        <f t="shared" si="132"/>
        <v>0</v>
      </c>
      <c r="K1784">
        <f t="shared" si="132"/>
        <v>0</v>
      </c>
      <c r="M1784" t="str" cm="1">
        <f t="array" ref="M1784">IFERROR(INDEX($I$2:$K$2,0,MATCH(TRUE,I1784:K1784,0)),E1784)</f>
        <v>CHP New</v>
      </c>
      <c r="O1784" t="str">
        <f t="shared" si="130"/>
        <v>CHP New_2029</v>
      </c>
      <c r="P1784">
        <f t="shared" si="131"/>
        <v>16.671885530000001</v>
      </c>
    </row>
    <row r="1785" spans="4:16" x14ac:dyDescent="0.25">
      <c r="D1785">
        <v>2030</v>
      </c>
      <c r="E1785" t="s">
        <v>227</v>
      </c>
      <c r="F1785" t="s">
        <v>239</v>
      </c>
      <c r="G1785">
        <v>16.671885530000001</v>
      </c>
      <c r="I1785">
        <f t="shared" si="132"/>
        <v>0</v>
      </c>
      <c r="J1785">
        <f t="shared" si="132"/>
        <v>0</v>
      </c>
      <c r="K1785">
        <f t="shared" si="132"/>
        <v>0</v>
      </c>
      <c r="M1785" t="str" cm="1">
        <f t="array" ref="M1785">IFERROR(INDEX($I$2:$K$2,0,MATCH(TRUE,I1785:K1785,0)),E1785)</f>
        <v>CHP New</v>
      </c>
      <c r="O1785" t="str">
        <f t="shared" si="130"/>
        <v>CHP New_2030</v>
      </c>
      <c r="P1785">
        <f t="shared" si="131"/>
        <v>16.671885530000001</v>
      </c>
    </row>
    <row r="1786" spans="4:16" x14ac:dyDescent="0.25">
      <c r="D1786">
        <v>2031</v>
      </c>
      <c r="E1786" t="s">
        <v>227</v>
      </c>
      <c r="F1786" t="s">
        <v>239</v>
      </c>
      <c r="G1786">
        <v>16.671885530000001</v>
      </c>
      <c r="I1786">
        <f t="shared" si="132"/>
        <v>0</v>
      </c>
      <c r="J1786">
        <f t="shared" si="132"/>
        <v>0</v>
      </c>
      <c r="K1786">
        <f t="shared" si="132"/>
        <v>0</v>
      </c>
      <c r="M1786" t="str" cm="1">
        <f t="array" ref="M1786">IFERROR(INDEX($I$2:$K$2,0,MATCH(TRUE,I1786:K1786,0)),E1786)</f>
        <v>CHP New</v>
      </c>
      <c r="O1786" t="str">
        <f t="shared" si="130"/>
        <v>CHP New_2031</v>
      </c>
      <c r="P1786">
        <f t="shared" si="131"/>
        <v>16.671885530000001</v>
      </c>
    </row>
    <row r="1787" spans="4:16" x14ac:dyDescent="0.25">
      <c r="D1787">
        <v>2032</v>
      </c>
      <c r="E1787" t="s">
        <v>227</v>
      </c>
      <c r="F1787" t="s">
        <v>239</v>
      </c>
      <c r="G1787">
        <v>16.671885530000001</v>
      </c>
      <c r="I1787">
        <f t="shared" si="132"/>
        <v>0</v>
      </c>
      <c r="J1787">
        <f t="shared" si="132"/>
        <v>0</v>
      </c>
      <c r="K1787">
        <f t="shared" si="132"/>
        <v>0</v>
      </c>
      <c r="M1787" t="str" cm="1">
        <f t="array" ref="M1787">IFERROR(INDEX($I$2:$K$2,0,MATCH(TRUE,I1787:K1787,0)),E1787)</f>
        <v>CHP New</v>
      </c>
      <c r="O1787" t="str">
        <f t="shared" si="130"/>
        <v>CHP New_2032</v>
      </c>
      <c r="P1787">
        <f t="shared" si="131"/>
        <v>16.671885530000001</v>
      </c>
    </row>
    <row r="1788" spans="4:16" x14ac:dyDescent="0.25">
      <c r="D1788">
        <v>2033</v>
      </c>
      <c r="E1788" t="s">
        <v>227</v>
      </c>
      <c r="F1788" t="s">
        <v>239</v>
      </c>
      <c r="G1788">
        <v>16.671885530000001</v>
      </c>
      <c r="I1788">
        <f t="shared" si="132"/>
        <v>0</v>
      </c>
      <c r="J1788">
        <f t="shared" si="132"/>
        <v>0</v>
      </c>
      <c r="K1788">
        <f t="shared" si="132"/>
        <v>0</v>
      </c>
      <c r="M1788" t="str" cm="1">
        <f t="array" ref="M1788">IFERROR(INDEX($I$2:$K$2,0,MATCH(TRUE,I1788:K1788,0)),E1788)</f>
        <v>CHP New</v>
      </c>
      <c r="O1788" t="str">
        <f t="shared" si="130"/>
        <v>CHP New_2033</v>
      </c>
      <c r="P1788">
        <f t="shared" si="131"/>
        <v>16.671885530000001</v>
      </c>
    </row>
    <row r="1789" spans="4:16" x14ac:dyDescent="0.25">
      <c r="D1789">
        <v>2034</v>
      </c>
      <c r="E1789" t="s">
        <v>227</v>
      </c>
      <c r="F1789" t="s">
        <v>239</v>
      </c>
      <c r="G1789">
        <v>16.671885530000001</v>
      </c>
      <c r="I1789">
        <f t="shared" si="132"/>
        <v>0</v>
      </c>
      <c r="J1789">
        <f t="shared" si="132"/>
        <v>0</v>
      </c>
      <c r="K1789">
        <f t="shared" si="132"/>
        <v>0</v>
      </c>
      <c r="M1789" t="str" cm="1">
        <f t="array" ref="M1789">IFERROR(INDEX($I$2:$K$2,0,MATCH(TRUE,I1789:K1789,0)),E1789)</f>
        <v>CHP New</v>
      </c>
      <c r="O1789" t="str">
        <f t="shared" si="130"/>
        <v>CHP New_2034</v>
      </c>
      <c r="P1789">
        <f t="shared" si="131"/>
        <v>16.671885530000001</v>
      </c>
    </row>
    <row r="1790" spans="4:16" x14ac:dyDescent="0.25">
      <c r="D1790">
        <v>2035</v>
      </c>
      <c r="E1790" t="s">
        <v>227</v>
      </c>
      <c r="F1790" t="s">
        <v>239</v>
      </c>
      <c r="G1790">
        <v>16.671885530000001</v>
      </c>
      <c r="I1790">
        <f t="shared" si="132"/>
        <v>0</v>
      </c>
      <c r="J1790">
        <f t="shared" si="132"/>
        <v>0</v>
      </c>
      <c r="K1790">
        <f t="shared" si="132"/>
        <v>0</v>
      </c>
      <c r="M1790" t="str" cm="1">
        <f t="array" ref="M1790">IFERROR(INDEX($I$2:$K$2,0,MATCH(TRUE,I1790:K1790,0)),E1790)</f>
        <v>CHP New</v>
      </c>
      <c r="O1790" t="str">
        <f t="shared" si="130"/>
        <v>CHP New_2035</v>
      </c>
      <c r="P1790">
        <f t="shared" si="131"/>
        <v>16.671885530000001</v>
      </c>
    </row>
    <row r="1791" spans="4:16" x14ac:dyDescent="0.25">
      <c r="D1791">
        <v>2036</v>
      </c>
      <c r="E1791" t="s">
        <v>227</v>
      </c>
      <c r="F1791" t="s">
        <v>239</v>
      </c>
      <c r="G1791">
        <v>17.12689992</v>
      </c>
      <c r="I1791">
        <f t="shared" si="132"/>
        <v>0</v>
      </c>
      <c r="J1791">
        <f t="shared" si="132"/>
        <v>0</v>
      </c>
      <c r="K1791">
        <f t="shared" si="132"/>
        <v>0</v>
      </c>
      <c r="M1791" t="str" cm="1">
        <f t="array" ref="M1791">IFERROR(INDEX($I$2:$K$2,0,MATCH(TRUE,I1791:K1791,0)),E1791)</f>
        <v>CHP New</v>
      </c>
      <c r="O1791" t="str">
        <f t="shared" si="130"/>
        <v>CHP New_2036</v>
      </c>
      <c r="P1791">
        <f t="shared" si="131"/>
        <v>17.12689992</v>
      </c>
    </row>
    <row r="1792" spans="4:16" x14ac:dyDescent="0.25">
      <c r="D1792">
        <v>2037</v>
      </c>
      <c r="E1792" t="s">
        <v>227</v>
      </c>
      <c r="F1792" t="s">
        <v>239</v>
      </c>
      <c r="G1792">
        <v>16.671885530000001</v>
      </c>
      <c r="I1792">
        <f t="shared" si="132"/>
        <v>0</v>
      </c>
      <c r="J1792">
        <f t="shared" si="132"/>
        <v>0</v>
      </c>
      <c r="K1792">
        <f t="shared" si="132"/>
        <v>0</v>
      </c>
      <c r="M1792" t="str" cm="1">
        <f t="array" ref="M1792">IFERROR(INDEX($I$2:$K$2,0,MATCH(TRUE,I1792:K1792,0)),E1792)</f>
        <v>CHP New</v>
      </c>
      <c r="O1792" t="str">
        <f t="shared" si="130"/>
        <v>CHP New_2037</v>
      </c>
      <c r="P1792">
        <f t="shared" si="131"/>
        <v>16.671885530000001</v>
      </c>
    </row>
    <row r="1793" spans="4:16" x14ac:dyDescent="0.25">
      <c r="D1793">
        <v>2038</v>
      </c>
      <c r="E1793" t="s">
        <v>227</v>
      </c>
      <c r="F1793" t="s">
        <v>239</v>
      </c>
      <c r="G1793">
        <v>16.671885530000001</v>
      </c>
      <c r="I1793">
        <f t="shared" si="132"/>
        <v>0</v>
      </c>
      <c r="J1793">
        <f t="shared" si="132"/>
        <v>0</v>
      </c>
      <c r="K1793">
        <f t="shared" si="132"/>
        <v>0</v>
      </c>
      <c r="M1793" t="str" cm="1">
        <f t="array" ref="M1793">IFERROR(INDEX($I$2:$K$2,0,MATCH(TRUE,I1793:K1793,0)),E1793)</f>
        <v>CHP New</v>
      </c>
      <c r="O1793" t="str">
        <f t="shared" si="130"/>
        <v>CHP New_2038</v>
      </c>
      <c r="P1793">
        <f t="shared" si="131"/>
        <v>16.671885530000001</v>
      </c>
    </row>
    <row r="1794" spans="4:16" x14ac:dyDescent="0.25">
      <c r="D1794">
        <v>2039</v>
      </c>
      <c r="E1794" t="s">
        <v>227</v>
      </c>
      <c r="F1794" t="s">
        <v>239</v>
      </c>
      <c r="G1794">
        <v>16.671885530000001</v>
      </c>
      <c r="I1794">
        <f t="shared" si="132"/>
        <v>0</v>
      </c>
      <c r="J1794">
        <f t="shared" si="132"/>
        <v>0</v>
      </c>
      <c r="K1794">
        <f t="shared" si="132"/>
        <v>0</v>
      </c>
      <c r="M1794" t="str" cm="1">
        <f t="array" ref="M1794">IFERROR(INDEX($I$2:$K$2,0,MATCH(TRUE,I1794:K1794,0)),E1794)</f>
        <v>CHP New</v>
      </c>
      <c r="O1794" t="str">
        <f t="shared" si="130"/>
        <v>CHP New_2039</v>
      </c>
      <c r="P1794">
        <f t="shared" si="131"/>
        <v>16.671885530000001</v>
      </c>
    </row>
    <row r="1795" spans="4:16" x14ac:dyDescent="0.25">
      <c r="D1795">
        <v>2040</v>
      </c>
      <c r="E1795" t="s">
        <v>227</v>
      </c>
      <c r="F1795" t="s">
        <v>239</v>
      </c>
      <c r="G1795">
        <v>17.12689992</v>
      </c>
      <c r="I1795">
        <f t="shared" si="132"/>
        <v>0</v>
      </c>
      <c r="J1795">
        <f t="shared" si="132"/>
        <v>0</v>
      </c>
      <c r="K1795">
        <f t="shared" si="132"/>
        <v>0</v>
      </c>
      <c r="M1795" t="str" cm="1">
        <f t="array" ref="M1795">IFERROR(INDEX($I$2:$K$2,0,MATCH(TRUE,I1795:K1795,0)),E1795)</f>
        <v>CHP New</v>
      </c>
      <c r="O1795" t="str">
        <f t="shared" si="130"/>
        <v>CHP New_2040</v>
      </c>
      <c r="P1795">
        <f t="shared" si="131"/>
        <v>17.12689992</v>
      </c>
    </row>
    <row r="1796" spans="4:16" x14ac:dyDescent="0.25">
      <c r="D1796">
        <v>2022</v>
      </c>
      <c r="E1796" t="s">
        <v>227</v>
      </c>
      <c r="F1796" t="s">
        <v>240</v>
      </c>
      <c r="G1796">
        <v>0</v>
      </c>
      <c r="I1796">
        <f t="shared" si="132"/>
        <v>0</v>
      </c>
      <c r="J1796">
        <f t="shared" si="132"/>
        <v>0</v>
      </c>
      <c r="K1796">
        <f t="shared" si="132"/>
        <v>0</v>
      </c>
      <c r="M1796" t="str" cm="1">
        <f t="array" ref="M1796">IFERROR(INDEX($I$2:$K$2,0,MATCH(TRUE,I1796:K1796,0)),E1796)</f>
        <v>CHP New</v>
      </c>
      <c r="O1796" t="str">
        <f t="shared" si="130"/>
        <v>CHP New_2022</v>
      </c>
      <c r="P1796">
        <f t="shared" si="131"/>
        <v>0</v>
      </c>
    </row>
    <row r="1797" spans="4:16" x14ac:dyDescent="0.25">
      <c r="D1797">
        <v>2023</v>
      </c>
      <c r="E1797" t="s">
        <v>227</v>
      </c>
      <c r="F1797" t="s">
        <v>240</v>
      </c>
      <c r="G1797">
        <v>20.376748989999999</v>
      </c>
      <c r="I1797">
        <f t="shared" si="132"/>
        <v>0</v>
      </c>
      <c r="J1797">
        <f t="shared" si="132"/>
        <v>0</v>
      </c>
      <c r="K1797">
        <f t="shared" si="132"/>
        <v>0</v>
      </c>
      <c r="M1797" t="str" cm="1">
        <f t="array" ref="M1797">IFERROR(INDEX($I$2:$K$2,0,MATCH(TRUE,I1797:K1797,0)),E1797)</f>
        <v>CHP New</v>
      </c>
      <c r="O1797" t="str">
        <f t="shared" si="130"/>
        <v>CHP New_2023</v>
      </c>
      <c r="P1797">
        <f t="shared" si="131"/>
        <v>20.376748989999999</v>
      </c>
    </row>
    <row r="1798" spans="4:16" x14ac:dyDescent="0.25">
      <c r="D1798">
        <v>2024</v>
      </c>
      <c r="E1798" t="s">
        <v>227</v>
      </c>
      <c r="F1798" t="s">
        <v>240</v>
      </c>
      <c r="G1798">
        <v>20.932877680000001</v>
      </c>
      <c r="I1798">
        <f t="shared" si="132"/>
        <v>0</v>
      </c>
      <c r="J1798">
        <f t="shared" si="132"/>
        <v>0</v>
      </c>
      <c r="K1798">
        <f t="shared" si="132"/>
        <v>0</v>
      </c>
      <c r="M1798" t="str" cm="1">
        <f t="array" ref="M1798">IFERROR(INDEX($I$2:$K$2,0,MATCH(TRUE,I1798:K1798,0)),E1798)</f>
        <v>CHP New</v>
      </c>
      <c r="O1798" t="str">
        <f t="shared" si="130"/>
        <v>CHP New_2024</v>
      </c>
      <c r="P1798">
        <f t="shared" si="131"/>
        <v>20.932877680000001</v>
      </c>
    </row>
    <row r="1799" spans="4:16" x14ac:dyDescent="0.25">
      <c r="D1799">
        <v>2025</v>
      </c>
      <c r="E1799" t="s">
        <v>227</v>
      </c>
      <c r="F1799" t="s">
        <v>240</v>
      </c>
      <c r="G1799">
        <v>20.376748989999999</v>
      </c>
      <c r="I1799">
        <f t="shared" si="132"/>
        <v>0</v>
      </c>
      <c r="J1799">
        <f t="shared" si="132"/>
        <v>0</v>
      </c>
      <c r="K1799">
        <f t="shared" si="132"/>
        <v>0</v>
      </c>
      <c r="M1799" t="str" cm="1">
        <f t="array" ref="M1799">IFERROR(INDEX($I$2:$K$2,0,MATCH(TRUE,I1799:K1799,0)),E1799)</f>
        <v>CHP New</v>
      </c>
      <c r="O1799" t="str">
        <f t="shared" si="130"/>
        <v>CHP New_2025</v>
      </c>
      <c r="P1799">
        <f t="shared" si="131"/>
        <v>20.376748989999999</v>
      </c>
    </row>
    <row r="1800" spans="4:16" x14ac:dyDescent="0.25">
      <c r="D1800">
        <v>2026</v>
      </c>
      <c r="E1800" t="s">
        <v>227</v>
      </c>
      <c r="F1800" t="s">
        <v>240</v>
      </c>
      <c r="G1800">
        <v>20.376748989999999</v>
      </c>
      <c r="I1800">
        <f t="shared" si="132"/>
        <v>0</v>
      </c>
      <c r="J1800">
        <f t="shared" si="132"/>
        <v>0</v>
      </c>
      <c r="K1800">
        <f t="shared" si="132"/>
        <v>0</v>
      </c>
      <c r="M1800" t="str" cm="1">
        <f t="array" ref="M1800">IFERROR(INDEX($I$2:$K$2,0,MATCH(TRUE,I1800:K1800,0)),E1800)</f>
        <v>CHP New</v>
      </c>
      <c r="O1800" t="str">
        <f t="shared" si="130"/>
        <v>CHP New_2026</v>
      </c>
      <c r="P1800">
        <f t="shared" si="131"/>
        <v>20.376748989999999</v>
      </c>
    </row>
    <row r="1801" spans="4:16" x14ac:dyDescent="0.25">
      <c r="D1801">
        <v>2027</v>
      </c>
      <c r="E1801" t="s">
        <v>227</v>
      </c>
      <c r="F1801" t="s">
        <v>240</v>
      </c>
      <c r="G1801">
        <v>20.376748989999999</v>
      </c>
      <c r="I1801">
        <f t="shared" si="132"/>
        <v>0</v>
      </c>
      <c r="J1801">
        <f t="shared" si="132"/>
        <v>0</v>
      </c>
      <c r="K1801">
        <f t="shared" si="132"/>
        <v>0</v>
      </c>
      <c r="M1801" t="str" cm="1">
        <f t="array" ref="M1801">IFERROR(INDEX($I$2:$K$2,0,MATCH(TRUE,I1801:K1801,0)),E1801)</f>
        <v>CHP New</v>
      </c>
      <c r="O1801" t="str">
        <f t="shared" si="130"/>
        <v>CHP New_2027</v>
      </c>
      <c r="P1801">
        <f t="shared" si="131"/>
        <v>20.376748989999999</v>
      </c>
    </row>
    <row r="1802" spans="4:16" x14ac:dyDescent="0.25">
      <c r="D1802">
        <v>2028</v>
      </c>
      <c r="E1802" t="s">
        <v>227</v>
      </c>
      <c r="F1802" t="s">
        <v>240</v>
      </c>
      <c r="G1802">
        <v>20.376748989999999</v>
      </c>
      <c r="I1802">
        <f t="shared" si="132"/>
        <v>0</v>
      </c>
      <c r="J1802">
        <f t="shared" si="132"/>
        <v>0</v>
      </c>
      <c r="K1802">
        <f t="shared" si="132"/>
        <v>0</v>
      </c>
      <c r="M1802" t="str" cm="1">
        <f t="array" ref="M1802">IFERROR(INDEX($I$2:$K$2,0,MATCH(TRUE,I1802:K1802,0)),E1802)</f>
        <v>CHP New</v>
      </c>
      <c r="O1802" t="str">
        <f t="shared" si="130"/>
        <v>CHP New_2028</v>
      </c>
      <c r="P1802">
        <f t="shared" si="131"/>
        <v>20.376748989999999</v>
      </c>
    </row>
    <row r="1803" spans="4:16" x14ac:dyDescent="0.25">
      <c r="D1803">
        <v>2029</v>
      </c>
      <c r="E1803" t="s">
        <v>227</v>
      </c>
      <c r="F1803" t="s">
        <v>240</v>
      </c>
      <c r="G1803">
        <v>20.376748989999999</v>
      </c>
      <c r="I1803">
        <f t="shared" si="132"/>
        <v>0</v>
      </c>
      <c r="J1803">
        <f t="shared" si="132"/>
        <v>0</v>
      </c>
      <c r="K1803">
        <f t="shared" si="132"/>
        <v>0</v>
      </c>
      <c r="M1803" t="str" cm="1">
        <f t="array" ref="M1803">IFERROR(INDEX($I$2:$K$2,0,MATCH(TRUE,I1803:K1803,0)),E1803)</f>
        <v>CHP New</v>
      </c>
      <c r="O1803" t="str">
        <f t="shared" si="130"/>
        <v>CHP New_2029</v>
      </c>
      <c r="P1803">
        <f t="shared" si="131"/>
        <v>20.376748989999999</v>
      </c>
    </row>
    <row r="1804" spans="4:16" x14ac:dyDescent="0.25">
      <c r="D1804">
        <v>2030</v>
      </c>
      <c r="E1804" t="s">
        <v>227</v>
      </c>
      <c r="F1804" t="s">
        <v>240</v>
      </c>
      <c r="G1804">
        <v>20.376748989999999</v>
      </c>
      <c r="I1804">
        <f t="shared" si="132"/>
        <v>0</v>
      </c>
      <c r="J1804">
        <f t="shared" si="132"/>
        <v>0</v>
      </c>
      <c r="K1804">
        <f t="shared" si="132"/>
        <v>0</v>
      </c>
      <c r="M1804" t="str" cm="1">
        <f t="array" ref="M1804">IFERROR(INDEX($I$2:$K$2,0,MATCH(TRUE,I1804:K1804,0)),E1804)</f>
        <v>CHP New</v>
      </c>
      <c r="O1804" t="str">
        <f t="shared" si="130"/>
        <v>CHP New_2030</v>
      </c>
      <c r="P1804">
        <f t="shared" si="131"/>
        <v>20.376748989999999</v>
      </c>
    </row>
    <row r="1805" spans="4:16" x14ac:dyDescent="0.25">
      <c r="D1805">
        <v>2031</v>
      </c>
      <c r="E1805" t="s">
        <v>227</v>
      </c>
      <c r="F1805" t="s">
        <v>240</v>
      </c>
      <c r="G1805">
        <v>20.376748989999999</v>
      </c>
      <c r="I1805">
        <f t="shared" si="132"/>
        <v>0</v>
      </c>
      <c r="J1805">
        <f t="shared" si="132"/>
        <v>0</v>
      </c>
      <c r="K1805">
        <f t="shared" si="132"/>
        <v>0</v>
      </c>
      <c r="M1805" t="str" cm="1">
        <f t="array" ref="M1805">IFERROR(INDEX($I$2:$K$2,0,MATCH(TRUE,I1805:K1805,0)),E1805)</f>
        <v>CHP New</v>
      </c>
      <c r="O1805" t="str">
        <f t="shared" si="130"/>
        <v>CHP New_2031</v>
      </c>
      <c r="P1805">
        <f t="shared" si="131"/>
        <v>20.376748989999999</v>
      </c>
    </row>
    <row r="1806" spans="4:16" x14ac:dyDescent="0.25">
      <c r="D1806">
        <v>2032</v>
      </c>
      <c r="E1806" t="s">
        <v>227</v>
      </c>
      <c r="F1806" t="s">
        <v>240</v>
      </c>
      <c r="G1806">
        <v>20.376748989999999</v>
      </c>
      <c r="I1806">
        <f t="shared" si="132"/>
        <v>0</v>
      </c>
      <c r="J1806">
        <f t="shared" si="132"/>
        <v>0</v>
      </c>
      <c r="K1806">
        <f t="shared" si="132"/>
        <v>0</v>
      </c>
      <c r="M1806" t="str" cm="1">
        <f t="array" ref="M1806">IFERROR(INDEX($I$2:$K$2,0,MATCH(TRUE,I1806:K1806,0)),E1806)</f>
        <v>CHP New</v>
      </c>
      <c r="O1806" t="str">
        <f t="shared" si="130"/>
        <v>CHP New_2032</v>
      </c>
      <c r="P1806">
        <f t="shared" si="131"/>
        <v>20.376748989999999</v>
      </c>
    </row>
    <row r="1807" spans="4:16" x14ac:dyDescent="0.25">
      <c r="D1807">
        <v>2033</v>
      </c>
      <c r="E1807" t="s">
        <v>227</v>
      </c>
      <c r="F1807" t="s">
        <v>240</v>
      </c>
      <c r="G1807">
        <v>20.376748989999999</v>
      </c>
      <c r="I1807">
        <f t="shared" si="132"/>
        <v>0</v>
      </c>
      <c r="J1807">
        <f t="shared" si="132"/>
        <v>0</v>
      </c>
      <c r="K1807">
        <f t="shared" si="132"/>
        <v>0</v>
      </c>
      <c r="M1807" t="str" cm="1">
        <f t="array" ref="M1807">IFERROR(INDEX($I$2:$K$2,0,MATCH(TRUE,I1807:K1807,0)),E1807)</f>
        <v>CHP New</v>
      </c>
      <c r="O1807" t="str">
        <f t="shared" si="130"/>
        <v>CHP New_2033</v>
      </c>
      <c r="P1807">
        <f t="shared" si="131"/>
        <v>20.376748989999999</v>
      </c>
    </row>
    <row r="1808" spans="4:16" x14ac:dyDescent="0.25">
      <c r="D1808">
        <v>2034</v>
      </c>
      <c r="E1808" t="s">
        <v>227</v>
      </c>
      <c r="F1808" t="s">
        <v>240</v>
      </c>
      <c r="G1808">
        <v>20.376748989999999</v>
      </c>
      <c r="I1808">
        <f t="shared" si="132"/>
        <v>0</v>
      </c>
      <c r="J1808">
        <f t="shared" si="132"/>
        <v>0</v>
      </c>
      <c r="K1808">
        <f t="shared" si="132"/>
        <v>0</v>
      </c>
      <c r="M1808" t="str" cm="1">
        <f t="array" ref="M1808">IFERROR(INDEX($I$2:$K$2,0,MATCH(TRUE,I1808:K1808,0)),E1808)</f>
        <v>CHP New</v>
      </c>
      <c r="O1808" t="str">
        <f t="shared" si="130"/>
        <v>CHP New_2034</v>
      </c>
      <c r="P1808">
        <f t="shared" si="131"/>
        <v>20.376748989999999</v>
      </c>
    </row>
    <row r="1809" spans="4:16" x14ac:dyDescent="0.25">
      <c r="D1809">
        <v>2035</v>
      </c>
      <c r="E1809" t="s">
        <v>227</v>
      </c>
      <c r="F1809" t="s">
        <v>240</v>
      </c>
      <c r="G1809">
        <v>20.376748989999999</v>
      </c>
      <c r="I1809">
        <f t="shared" si="132"/>
        <v>0</v>
      </c>
      <c r="J1809">
        <f t="shared" si="132"/>
        <v>0</v>
      </c>
      <c r="K1809">
        <f t="shared" si="132"/>
        <v>0</v>
      </c>
      <c r="M1809" t="str" cm="1">
        <f t="array" ref="M1809">IFERROR(INDEX($I$2:$K$2,0,MATCH(TRUE,I1809:K1809,0)),E1809)</f>
        <v>CHP New</v>
      </c>
      <c r="O1809" t="str">
        <f t="shared" si="130"/>
        <v>CHP New_2035</v>
      </c>
      <c r="P1809">
        <f t="shared" si="131"/>
        <v>20.376748989999999</v>
      </c>
    </row>
    <row r="1810" spans="4:16" x14ac:dyDescent="0.25">
      <c r="D1810">
        <v>2036</v>
      </c>
      <c r="E1810" t="s">
        <v>227</v>
      </c>
      <c r="F1810" t="s">
        <v>240</v>
      </c>
      <c r="G1810">
        <v>20.932877680000001</v>
      </c>
      <c r="I1810">
        <f t="shared" si="132"/>
        <v>0</v>
      </c>
      <c r="J1810">
        <f t="shared" si="132"/>
        <v>0</v>
      </c>
      <c r="K1810">
        <f t="shared" si="132"/>
        <v>0</v>
      </c>
      <c r="M1810" t="str" cm="1">
        <f t="array" ref="M1810">IFERROR(INDEX($I$2:$K$2,0,MATCH(TRUE,I1810:K1810,0)),E1810)</f>
        <v>CHP New</v>
      </c>
      <c r="O1810" t="str">
        <f t="shared" si="130"/>
        <v>CHP New_2036</v>
      </c>
      <c r="P1810">
        <f t="shared" si="131"/>
        <v>20.932877680000001</v>
      </c>
    </row>
    <row r="1811" spans="4:16" x14ac:dyDescent="0.25">
      <c r="D1811">
        <v>2037</v>
      </c>
      <c r="E1811" t="s">
        <v>227</v>
      </c>
      <c r="F1811" t="s">
        <v>240</v>
      </c>
      <c r="G1811">
        <v>20.376748989999999</v>
      </c>
      <c r="I1811">
        <f t="shared" si="132"/>
        <v>0</v>
      </c>
      <c r="J1811">
        <f t="shared" si="132"/>
        <v>0</v>
      </c>
      <c r="K1811">
        <f t="shared" si="132"/>
        <v>0</v>
      </c>
      <c r="M1811" t="str" cm="1">
        <f t="array" ref="M1811">IFERROR(INDEX($I$2:$K$2,0,MATCH(TRUE,I1811:K1811,0)),E1811)</f>
        <v>CHP New</v>
      </c>
      <c r="O1811" t="str">
        <f t="shared" ref="O1811:O1874" si="133">M1811&amp;"_"&amp;D1811</f>
        <v>CHP New_2037</v>
      </c>
      <c r="P1811">
        <f t="shared" ref="P1811:P1874" si="134">G1811</f>
        <v>20.376748989999999</v>
      </c>
    </row>
    <row r="1812" spans="4:16" x14ac:dyDescent="0.25">
      <c r="D1812">
        <v>2038</v>
      </c>
      <c r="E1812" t="s">
        <v>227</v>
      </c>
      <c r="F1812" t="s">
        <v>240</v>
      </c>
      <c r="G1812">
        <v>20.376748989999999</v>
      </c>
      <c r="I1812">
        <f t="shared" si="132"/>
        <v>0</v>
      </c>
      <c r="J1812">
        <f t="shared" si="132"/>
        <v>0</v>
      </c>
      <c r="K1812">
        <f t="shared" si="132"/>
        <v>0</v>
      </c>
      <c r="M1812" t="str" cm="1">
        <f t="array" ref="M1812">IFERROR(INDEX($I$2:$K$2,0,MATCH(TRUE,I1812:K1812,0)),E1812)</f>
        <v>CHP New</v>
      </c>
      <c r="O1812" t="str">
        <f t="shared" si="133"/>
        <v>CHP New_2038</v>
      </c>
      <c r="P1812">
        <f t="shared" si="134"/>
        <v>20.376748989999999</v>
      </c>
    </row>
    <row r="1813" spans="4:16" x14ac:dyDescent="0.25">
      <c r="D1813">
        <v>2039</v>
      </c>
      <c r="E1813" t="s">
        <v>227</v>
      </c>
      <c r="F1813" t="s">
        <v>240</v>
      </c>
      <c r="G1813">
        <v>20.376748989999999</v>
      </c>
      <c r="I1813">
        <f t="shared" ref="I1813:K1876" si="135">IFERROR(FIND(I$2,$E1813,1)&gt;0,0)</f>
        <v>0</v>
      </c>
      <c r="J1813">
        <f t="shared" si="135"/>
        <v>0</v>
      </c>
      <c r="K1813">
        <f t="shared" si="135"/>
        <v>0</v>
      </c>
      <c r="M1813" t="str" cm="1">
        <f t="array" ref="M1813">IFERROR(INDEX($I$2:$K$2,0,MATCH(TRUE,I1813:K1813,0)),E1813)</f>
        <v>CHP New</v>
      </c>
      <c r="O1813" t="str">
        <f t="shared" si="133"/>
        <v>CHP New_2039</v>
      </c>
      <c r="P1813">
        <f t="shared" si="134"/>
        <v>20.376748989999999</v>
      </c>
    </row>
    <row r="1814" spans="4:16" x14ac:dyDescent="0.25">
      <c r="D1814">
        <v>2040</v>
      </c>
      <c r="E1814" t="s">
        <v>227</v>
      </c>
      <c r="F1814" t="s">
        <v>240</v>
      </c>
      <c r="G1814">
        <v>20.932877680000001</v>
      </c>
      <c r="I1814">
        <f t="shared" si="135"/>
        <v>0</v>
      </c>
      <c r="J1814">
        <f t="shared" si="135"/>
        <v>0</v>
      </c>
      <c r="K1814">
        <f t="shared" si="135"/>
        <v>0</v>
      </c>
      <c r="M1814" t="str" cm="1">
        <f t="array" ref="M1814">IFERROR(INDEX($I$2:$K$2,0,MATCH(TRUE,I1814:K1814,0)),E1814)</f>
        <v>CHP New</v>
      </c>
      <c r="O1814" t="str">
        <f t="shared" si="133"/>
        <v>CHP New_2040</v>
      </c>
      <c r="P1814">
        <f t="shared" si="134"/>
        <v>20.932877680000001</v>
      </c>
    </row>
    <row r="1815" spans="4:16" x14ac:dyDescent="0.25">
      <c r="D1815">
        <v>2025</v>
      </c>
      <c r="E1815" t="s">
        <v>227</v>
      </c>
      <c r="F1815" t="s">
        <v>241</v>
      </c>
      <c r="G1815">
        <v>0</v>
      </c>
      <c r="I1815">
        <f t="shared" si="135"/>
        <v>0</v>
      </c>
      <c r="J1815">
        <f t="shared" si="135"/>
        <v>0</v>
      </c>
      <c r="K1815">
        <f t="shared" si="135"/>
        <v>0</v>
      </c>
      <c r="M1815" t="str" cm="1">
        <f t="array" ref="M1815">IFERROR(INDEX($I$2:$K$2,0,MATCH(TRUE,I1815:K1815,0)),E1815)</f>
        <v>CHP New</v>
      </c>
      <c r="O1815" t="str">
        <f t="shared" si="133"/>
        <v>CHP New_2025</v>
      </c>
      <c r="P1815">
        <f t="shared" si="134"/>
        <v>0</v>
      </c>
    </row>
    <row r="1816" spans="4:16" x14ac:dyDescent="0.25">
      <c r="D1816">
        <v>2026</v>
      </c>
      <c r="E1816" t="s">
        <v>227</v>
      </c>
      <c r="F1816" t="s">
        <v>241</v>
      </c>
      <c r="G1816">
        <v>75.315948059999997</v>
      </c>
      <c r="I1816">
        <f t="shared" si="135"/>
        <v>0</v>
      </c>
      <c r="J1816">
        <f t="shared" si="135"/>
        <v>0</v>
      </c>
      <c r="K1816">
        <f t="shared" si="135"/>
        <v>0</v>
      </c>
      <c r="M1816" t="str" cm="1">
        <f t="array" ref="M1816">IFERROR(INDEX($I$2:$K$2,0,MATCH(TRUE,I1816:K1816,0)),E1816)</f>
        <v>CHP New</v>
      </c>
      <c r="O1816" t="str">
        <f t="shared" si="133"/>
        <v>CHP New_2026</v>
      </c>
      <c r="P1816">
        <f t="shared" si="134"/>
        <v>75.315948059999997</v>
      </c>
    </row>
    <row r="1817" spans="4:16" x14ac:dyDescent="0.25">
      <c r="D1817">
        <v>2027</v>
      </c>
      <c r="E1817" t="s">
        <v>227</v>
      </c>
      <c r="F1817" t="s">
        <v>241</v>
      </c>
      <c r="G1817">
        <v>75.315948059999997</v>
      </c>
      <c r="I1817">
        <f t="shared" si="135"/>
        <v>0</v>
      </c>
      <c r="J1817">
        <f t="shared" si="135"/>
        <v>0</v>
      </c>
      <c r="K1817">
        <f t="shared" si="135"/>
        <v>0</v>
      </c>
      <c r="M1817" t="str" cm="1">
        <f t="array" ref="M1817">IFERROR(INDEX($I$2:$K$2,0,MATCH(TRUE,I1817:K1817,0)),E1817)</f>
        <v>CHP New</v>
      </c>
      <c r="O1817" t="str">
        <f t="shared" si="133"/>
        <v>CHP New_2027</v>
      </c>
      <c r="P1817">
        <f t="shared" si="134"/>
        <v>75.315948059999997</v>
      </c>
    </row>
    <row r="1818" spans="4:16" x14ac:dyDescent="0.25">
      <c r="D1818">
        <v>2028</v>
      </c>
      <c r="E1818" t="s">
        <v>227</v>
      </c>
      <c r="F1818" t="s">
        <v>241</v>
      </c>
      <c r="G1818">
        <v>75.315948059999997</v>
      </c>
      <c r="I1818">
        <f t="shared" si="135"/>
        <v>0</v>
      </c>
      <c r="J1818">
        <f t="shared" si="135"/>
        <v>0</v>
      </c>
      <c r="K1818">
        <f t="shared" si="135"/>
        <v>0</v>
      </c>
      <c r="M1818" t="str" cm="1">
        <f t="array" ref="M1818">IFERROR(INDEX($I$2:$K$2,0,MATCH(TRUE,I1818:K1818,0)),E1818)</f>
        <v>CHP New</v>
      </c>
      <c r="O1818" t="str">
        <f t="shared" si="133"/>
        <v>CHP New_2028</v>
      </c>
      <c r="P1818">
        <f t="shared" si="134"/>
        <v>75.315948059999997</v>
      </c>
    </row>
    <row r="1819" spans="4:16" x14ac:dyDescent="0.25">
      <c r="D1819">
        <v>2029</v>
      </c>
      <c r="E1819" t="s">
        <v>227</v>
      </c>
      <c r="F1819" t="s">
        <v>241</v>
      </c>
      <c r="G1819">
        <v>75.315948059999997</v>
      </c>
      <c r="I1819">
        <f t="shared" si="135"/>
        <v>0</v>
      </c>
      <c r="J1819">
        <f t="shared" si="135"/>
        <v>0</v>
      </c>
      <c r="K1819">
        <f t="shared" si="135"/>
        <v>0</v>
      </c>
      <c r="M1819" t="str" cm="1">
        <f t="array" ref="M1819">IFERROR(INDEX($I$2:$K$2,0,MATCH(TRUE,I1819:K1819,0)),E1819)</f>
        <v>CHP New</v>
      </c>
      <c r="O1819" t="str">
        <f t="shared" si="133"/>
        <v>CHP New_2029</v>
      </c>
      <c r="P1819">
        <f t="shared" si="134"/>
        <v>75.315948059999997</v>
      </c>
    </row>
    <row r="1820" spans="4:16" x14ac:dyDescent="0.25">
      <c r="D1820">
        <v>2030</v>
      </c>
      <c r="E1820" t="s">
        <v>227</v>
      </c>
      <c r="F1820" t="s">
        <v>241</v>
      </c>
      <c r="G1820">
        <v>75.315948059999997</v>
      </c>
      <c r="I1820">
        <f t="shared" si="135"/>
        <v>0</v>
      </c>
      <c r="J1820">
        <f t="shared" si="135"/>
        <v>0</v>
      </c>
      <c r="K1820">
        <f t="shared" si="135"/>
        <v>0</v>
      </c>
      <c r="M1820" t="str" cm="1">
        <f t="array" ref="M1820">IFERROR(INDEX($I$2:$K$2,0,MATCH(TRUE,I1820:K1820,0)),E1820)</f>
        <v>CHP New</v>
      </c>
      <c r="O1820" t="str">
        <f t="shared" si="133"/>
        <v>CHP New_2030</v>
      </c>
      <c r="P1820">
        <f t="shared" si="134"/>
        <v>75.315948059999997</v>
      </c>
    </row>
    <row r="1821" spans="4:16" x14ac:dyDescent="0.25">
      <c r="D1821">
        <v>2031</v>
      </c>
      <c r="E1821" t="s">
        <v>227</v>
      </c>
      <c r="F1821" t="s">
        <v>241</v>
      </c>
      <c r="G1821">
        <v>75.315948059999997</v>
      </c>
      <c r="I1821">
        <f t="shared" si="135"/>
        <v>0</v>
      </c>
      <c r="J1821">
        <f t="shared" si="135"/>
        <v>0</v>
      </c>
      <c r="K1821">
        <f t="shared" si="135"/>
        <v>0</v>
      </c>
      <c r="M1821" t="str" cm="1">
        <f t="array" ref="M1821">IFERROR(INDEX($I$2:$K$2,0,MATCH(TRUE,I1821:K1821,0)),E1821)</f>
        <v>CHP New</v>
      </c>
      <c r="O1821" t="str">
        <f t="shared" si="133"/>
        <v>CHP New_2031</v>
      </c>
      <c r="P1821">
        <f t="shared" si="134"/>
        <v>75.315948059999997</v>
      </c>
    </row>
    <row r="1822" spans="4:16" x14ac:dyDescent="0.25">
      <c r="D1822">
        <v>2032</v>
      </c>
      <c r="E1822" t="s">
        <v>227</v>
      </c>
      <c r="F1822" t="s">
        <v>241</v>
      </c>
      <c r="G1822">
        <v>75.315948059999997</v>
      </c>
      <c r="I1822">
        <f t="shared" si="135"/>
        <v>0</v>
      </c>
      <c r="J1822">
        <f t="shared" si="135"/>
        <v>0</v>
      </c>
      <c r="K1822">
        <f t="shared" si="135"/>
        <v>0</v>
      </c>
      <c r="M1822" t="str" cm="1">
        <f t="array" ref="M1822">IFERROR(INDEX($I$2:$K$2,0,MATCH(TRUE,I1822:K1822,0)),E1822)</f>
        <v>CHP New</v>
      </c>
      <c r="O1822" t="str">
        <f t="shared" si="133"/>
        <v>CHP New_2032</v>
      </c>
      <c r="P1822">
        <f t="shared" si="134"/>
        <v>75.315948059999997</v>
      </c>
    </row>
    <row r="1823" spans="4:16" x14ac:dyDescent="0.25">
      <c r="D1823">
        <v>2033</v>
      </c>
      <c r="E1823" t="s">
        <v>227</v>
      </c>
      <c r="F1823" t="s">
        <v>241</v>
      </c>
      <c r="G1823">
        <v>75.315948059999997</v>
      </c>
      <c r="I1823">
        <f t="shared" si="135"/>
        <v>0</v>
      </c>
      <c r="J1823">
        <f t="shared" si="135"/>
        <v>0</v>
      </c>
      <c r="K1823">
        <f t="shared" si="135"/>
        <v>0</v>
      </c>
      <c r="M1823" t="str" cm="1">
        <f t="array" ref="M1823">IFERROR(INDEX($I$2:$K$2,0,MATCH(TRUE,I1823:K1823,0)),E1823)</f>
        <v>CHP New</v>
      </c>
      <c r="O1823" t="str">
        <f t="shared" si="133"/>
        <v>CHP New_2033</v>
      </c>
      <c r="P1823">
        <f t="shared" si="134"/>
        <v>75.315948059999997</v>
      </c>
    </row>
    <row r="1824" spans="4:16" x14ac:dyDescent="0.25">
      <c r="D1824">
        <v>2034</v>
      </c>
      <c r="E1824" t="s">
        <v>227</v>
      </c>
      <c r="F1824" t="s">
        <v>241</v>
      </c>
      <c r="G1824">
        <v>75.315948059999997</v>
      </c>
      <c r="I1824">
        <f t="shared" si="135"/>
        <v>0</v>
      </c>
      <c r="J1824">
        <f t="shared" si="135"/>
        <v>0</v>
      </c>
      <c r="K1824">
        <f t="shared" si="135"/>
        <v>0</v>
      </c>
      <c r="M1824" t="str" cm="1">
        <f t="array" ref="M1824">IFERROR(INDEX($I$2:$K$2,0,MATCH(TRUE,I1824:K1824,0)),E1824)</f>
        <v>CHP New</v>
      </c>
      <c r="O1824" t="str">
        <f t="shared" si="133"/>
        <v>CHP New_2034</v>
      </c>
      <c r="P1824">
        <f t="shared" si="134"/>
        <v>75.315948059999997</v>
      </c>
    </row>
    <row r="1825" spans="4:16" x14ac:dyDescent="0.25">
      <c r="D1825">
        <v>2035</v>
      </c>
      <c r="E1825" t="s">
        <v>227</v>
      </c>
      <c r="F1825" t="s">
        <v>241</v>
      </c>
      <c r="G1825">
        <v>75.315948059999997</v>
      </c>
      <c r="I1825">
        <f t="shared" si="135"/>
        <v>0</v>
      </c>
      <c r="J1825">
        <f t="shared" si="135"/>
        <v>0</v>
      </c>
      <c r="K1825">
        <f t="shared" si="135"/>
        <v>0</v>
      </c>
      <c r="M1825" t="str" cm="1">
        <f t="array" ref="M1825">IFERROR(INDEX($I$2:$K$2,0,MATCH(TRUE,I1825:K1825,0)),E1825)</f>
        <v>CHP New</v>
      </c>
      <c r="O1825" t="str">
        <f t="shared" si="133"/>
        <v>CHP New_2035</v>
      </c>
      <c r="P1825">
        <f t="shared" si="134"/>
        <v>75.315948059999997</v>
      </c>
    </row>
    <row r="1826" spans="4:16" x14ac:dyDescent="0.25">
      <c r="D1826">
        <v>2036</v>
      </c>
      <c r="E1826" t="s">
        <v>227</v>
      </c>
      <c r="F1826" t="s">
        <v>241</v>
      </c>
      <c r="G1826">
        <v>77.718145519999993</v>
      </c>
      <c r="I1826">
        <f t="shared" si="135"/>
        <v>0</v>
      </c>
      <c r="J1826">
        <f t="shared" si="135"/>
        <v>0</v>
      </c>
      <c r="K1826">
        <f t="shared" si="135"/>
        <v>0</v>
      </c>
      <c r="M1826" t="str" cm="1">
        <f t="array" ref="M1826">IFERROR(INDEX($I$2:$K$2,0,MATCH(TRUE,I1826:K1826,0)),E1826)</f>
        <v>CHP New</v>
      </c>
      <c r="O1826" t="str">
        <f t="shared" si="133"/>
        <v>CHP New_2036</v>
      </c>
      <c r="P1826">
        <f t="shared" si="134"/>
        <v>77.718145519999993</v>
      </c>
    </row>
    <row r="1827" spans="4:16" x14ac:dyDescent="0.25">
      <c r="D1827">
        <v>2037</v>
      </c>
      <c r="E1827" t="s">
        <v>227</v>
      </c>
      <c r="F1827" t="s">
        <v>241</v>
      </c>
      <c r="G1827">
        <v>75.315948059999997</v>
      </c>
      <c r="I1827">
        <f t="shared" si="135"/>
        <v>0</v>
      </c>
      <c r="J1827">
        <f t="shared" si="135"/>
        <v>0</v>
      </c>
      <c r="K1827">
        <f t="shared" si="135"/>
        <v>0</v>
      </c>
      <c r="M1827" t="str" cm="1">
        <f t="array" ref="M1827">IFERROR(INDEX($I$2:$K$2,0,MATCH(TRUE,I1827:K1827,0)),E1827)</f>
        <v>CHP New</v>
      </c>
      <c r="O1827" t="str">
        <f t="shared" si="133"/>
        <v>CHP New_2037</v>
      </c>
      <c r="P1827">
        <f t="shared" si="134"/>
        <v>75.315948059999997</v>
      </c>
    </row>
    <row r="1828" spans="4:16" x14ac:dyDescent="0.25">
      <c r="D1828">
        <v>2038</v>
      </c>
      <c r="E1828" t="s">
        <v>227</v>
      </c>
      <c r="F1828" t="s">
        <v>241</v>
      </c>
      <c r="G1828">
        <v>75.315948059999997</v>
      </c>
      <c r="I1828">
        <f t="shared" si="135"/>
        <v>0</v>
      </c>
      <c r="J1828">
        <f t="shared" si="135"/>
        <v>0</v>
      </c>
      <c r="K1828">
        <f t="shared" si="135"/>
        <v>0</v>
      </c>
      <c r="M1828" t="str" cm="1">
        <f t="array" ref="M1828">IFERROR(INDEX($I$2:$K$2,0,MATCH(TRUE,I1828:K1828,0)),E1828)</f>
        <v>CHP New</v>
      </c>
      <c r="O1828" t="str">
        <f t="shared" si="133"/>
        <v>CHP New_2038</v>
      </c>
      <c r="P1828">
        <f t="shared" si="134"/>
        <v>75.315948059999997</v>
      </c>
    </row>
    <row r="1829" spans="4:16" x14ac:dyDescent="0.25">
      <c r="D1829">
        <v>2039</v>
      </c>
      <c r="E1829" t="s">
        <v>227</v>
      </c>
      <c r="F1829" t="s">
        <v>241</v>
      </c>
      <c r="G1829">
        <v>75.315948059999997</v>
      </c>
      <c r="I1829">
        <f t="shared" si="135"/>
        <v>0</v>
      </c>
      <c r="J1829">
        <f t="shared" si="135"/>
        <v>0</v>
      </c>
      <c r="K1829">
        <f t="shared" si="135"/>
        <v>0</v>
      </c>
      <c r="M1829" t="str" cm="1">
        <f t="array" ref="M1829">IFERROR(INDEX($I$2:$K$2,0,MATCH(TRUE,I1829:K1829,0)),E1829)</f>
        <v>CHP New</v>
      </c>
      <c r="O1829" t="str">
        <f t="shared" si="133"/>
        <v>CHP New_2039</v>
      </c>
      <c r="P1829">
        <f t="shared" si="134"/>
        <v>75.315948059999997</v>
      </c>
    </row>
    <row r="1830" spans="4:16" x14ac:dyDescent="0.25">
      <c r="D1830">
        <v>2040</v>
      </c>
      <c r="E1830" t="s">
        <v>227</v>
      </c>
      <c r="F1830" t="s">
        <v>241</v>
      </c>
      <c r="G1830">
        <v>77.718145519999993</v>
      </c>
      <c r="I1830">
        <f t="shared" si="135"/>
        <v>0</v>
      </c>
      <c r="J1830">
        <f t="shared" si="135"/>
        <v>0</v>
      </c>
      <c r="K1830">
        <f t="shared" si="135"/>
        <v>0</v>
      </c>
      <c r="M1830" t="str" cm="1">
        <f t="array" ref="M1830">IFERROR(INDEX($I$2:$K$2,0,MATCH(TRUE,I1830:K1830,0)),E1830)</f>
        <v>CHP New</v>
      </c>
      <c r="O1830" t="str">
        <f t="shared" si="133"/>
        <v>CHP New_2040</v>
      </c>
      <c r="P1830">
        <f t="shared" si="134"/>
        <v>77.718145519999993</v>
      </c>
    </row>
    <row r="1831" spans="4:16" x14ac:dyDescent="0.25">
      <c r="D1831">
        <v>2021</v>
      </c>
      <c r="E1831" t="s">
        <v>227</v>
      </c>
      <c r="F1831" t="s">
        <v>242</v>
      </c>
      <c r="G1831">
        <v>35.389421380000002</v>
      </c>
      <c r="I1831">
        <f t="shared" si="135"/>
        <v>0</v>
      </c>
      <c r="J1831">
        <f t="shared" si="135"/>
        <v>0</v>
      </c>
      <c r="K1831">
        <f t="shared" si="135"/>
        <v>0</v>
      </c>
      <c r="M1831" t="str" cm="1">
        <f t="array" ref="M1831">IFERROR(INDEX($I$2:$K$2,0,MATCH(TRUE,I1831:K1831,0)),E1831)</f>
        <v>CHP New</v>
      </c>
      <c r="O1831" t="str">
        <f t="shared" si="133"/>
        <v>CHP New_2021</v>
      </c>
      <c r="P1831">
        <f t="shared" si="134"/>
        <v>35.389421380000002</v>
      </c>
    </row>
    <row r="1832" spans="4:16" x14ac:dyDescent="0.25">
      <c r="D1832">
        <v>2022</v>
      </c>
      <c r="E1832" t="s">
        <v>227</v>
      </c>
      <c r="F1832" t="s">
        <v>242</v>
      </c>
      <c r="G1832">
        <v>35.389421380000002</v>
      </c>
      <c r="I1832">
        <f t="shared" si="135"/>
        <v>0</v>
      </c>
      <c r="J1832">
        <f t="shared" si="135"/>
        <v>0</v>
      </c>
      <c r="K1832">
        <f t="shared" si="135"/>
        <v>0</v>
      </c>
      <c r="M1832" t="str" cm="1">
        <f t="array" ref="M1832">IFERROR(INDEX($I$2:$K$2,0,MATCH(TRUE,I1832:K1832,0)),E1832)</f>
        <v>CHP New</v>
      </c>
      <c r="O1832" t="str">
        <f t="shared" si="133"/>
        <v>CHP New_2022</v>
      </c>
      <c r="P1832">
        <f t="shared" si="134"/>
        <v>35.389421380000002</v>
      </c>
    </row>
    <row r="1833" spans="4:16" x14ac:dyDescent="0.25">
      <c r="D1833">
        <v>2023</v>
      </c>
      <c r="E1833" t="s">
        <v>227</v>
      </c>
      <c r="F1833" t="s">
        <v>242</v>
      </c>
      <c r="G1833">
        <v>35.389421380000002</v>
      </c>
      <c r="I1833">
        <f t="shared" si="135"/>
        <v>0</v>
      </c>
      <c r="J1833">
        <f t="shared" si="135"/>
        <v>0</v>
      </c>
      <c r="K1833">
        <f t="shared" si="135"/>
        <v>0</v>
      </c>
      <c r="M1833" t="str" cm="1">
        <f t="array" ref="M1833">IFERROR(INDEX($I$2:$K$2,0,MATCH(TRUE,I1833:K1833,0)),E1833)</f>
        <v>CHP New</v>
      </c>
      <c r="O1833" t="str">
        <f t="shared" si="133"/>
        <v>CHP New_2023</v>
      </c>
      <c r="P1833">
        <f t="shared" si="134"/>
        <v>35.389421380000002</v>
      </c>
    </row>
    <row r="1834" spans="4:16" x14ac:dyDescent="0.25">
      <c r="D1834">
        <v>2024</v>
      </c>
      <c r="E1834" t="s">
        <v>227</v>
      </c>
      <c r="F1834" t="s">
        <v>242</v>
      </c>
      <c r="G1834">
        <v>36.518164759999998</v>
      </c>
      <c r="I1834">
        <f t="shared" si="135"/>
        <v>0</v>
      </c>
      <c r="J1834">
        <f t="shared" si="135"/>
        <v>0</v>
      </c>
      <c r="K1834">
        <f t="shared" si="135"/>
        <v>0</v>
      </c>
      <c r="M1834" t="str" cm="1">
        <f t="array" ref="M1834">IFERROR(INDEX($I$2:$K$2,0,MATCH(TRUE,I1834:K1834,0)),E1834)</f>
        <v>CHP New</v>
      </c>
      <c r="O1834" t="str">
        <f t="shared" si="133"/>
        <v>CHP New_2024</v>
      </c>
      <c r="P1834">
        <f t="shared" si="134"/>
        <v>36.518164759999998</v>
      </c>
    </row>
    <row r="1835" spans="4:16" x14ac:dyDescent="0.25">
      <c r="D1835">
        <v>2025</v>
      </c>
      <c r="E1835" t="s">
        <v>227</v>
      </c>
      <c r="F1835" t="s">
        <v>242</v>
      </c>
      <c r="G1835">
        <v>35.389421380000002</v>
      </c>
      <c r="I1835">
        <f t="shared" si="135"/>
        <v>0</v>
      </c>
      <c r="J1835">
        <f t="shared" si="135"/>
        <v>0</v>
      </c>
      <c r="K1835">
        <f t="shared" si="135"/>
        <v>0</v>
      </c>
      <c r="M1835" t="str" cm="1">
        <f t="array" ref="M1835">IFERROR(INDEX($I$2:$K$2,0,MATCH(TRUE,I1835:K1835,0)),E1835)</f>
        <v>CHP New</v>
      </c>
      <c r="O1835" t="str">
        <f t="shared" si="133"/>
        <v>CHP New_2025</v>
      </c>
      <c r="P1835">
        <f t="shared" si="134"/>
        <v>35.389421380000002</v>
      </c>
    </row>
    <row r="1836" spans="4:16" x14ac:dyDescent="0.25">
      <c r="D1836">
        <v>2026</v>
      </c>
      <c r="E1836" t="s">
        <v>227</v>
      </c>
      <c r="F1836" t="s">
        <v>242</v>
      </c>
      <c r="G1836">
        <v>35.389421380000002</v>
      </c>
      <c r="I1836">
        <f t="shared" si="135"/>
        <v>0</v>
      </c>
      <c r="J1836">
        <f t="shared" si="135"/>
        <v>0</v>
      </c>
      <c r="K1836">
        <f t="shared" si="135"/>
        <v>0</v>
      </c>
      <c r="M1836" t="str" cm="1">
        <f t="array" ref="M1836">IFERROR(INDEX($I$2:$K$2,0,MATCH(TRUE,I1836:K1836,0)),E1836)</f>
        <v>CHP New</v>
      </c>
      <c r="O1836" t="str">
        <f t="shared" si="133"/>
        <v>CHP New_2026</v>
      </c>
      <c r="P1836">
        <f t="shared" si="134"/>
        <v>35.389421380000002</v>
      </c>
    </row>
    <row r="1837" spans="4:16" x14ac:dyDescent="0.25">
      <c r="D1837">
        <v>2027</v>
      </c>
      <c r="E1837" t="s">
        <v>227</v>
      </c>
      <c r="F1837" t="s">
        <v>242</v>
      </c>
      <c r="G1837">
        <v>35.389421380000002</v>
      </c>
      <c r="I1837">
        <f t="shared" si="135"/>
        <v>0</v>
      </c>
      <c r="J1837">
        <f t="shared" si="135"/>
        <v>0</v>
      </c>
      <c r="K1837">
        <f t="shared" si="135"/>
        <v>0</v>
      </c>
      <c r="M1837" t="str" cm="1">
        <f t="array" ref="M1837">IFERROR(INDEX($I$2:$K$2,0,MATCH(TRUE,I1837:K1837,0)),E1837)</f>
        <v>CHP New</v>
      </c>
      <c r="O1837" t="str">
        <f t="shared" si="133"/>
        <v>CHP New_2027</v>
      </c>
      <c r="P1837">
        <f t="shared" si="134"/>
        <v>35.389421380000002</v>
      </c>
    </row>
    <row r="1838" spans="4:16" x14ac:dyDescent="0.25">
      <c r="D1838">
        <v>2028</v>
      </c>
      <c r="E1838" t="s">
        <v>227</v>
      </c>
      <c r="F1838" t="s">
        <v>242</v>
      </c>
      <c r="G1838">
        <v>35.389421380000002</v>
      </c>
      <c r="I1838">
        <f t="shared" si="135"/>
        <v>0</v>
      </c>
      <c r="J1838">
        <f t="shared" si="135"/>
        <v>0</v>
      </c>
      <c r="K1838">
        <f t="shared" si="135"/>
        <v>0</v>
      </c>
      <c r="M1838" t="str" cm="1">
        <f t="array" ref="M1838">IFERROR(INDEX($I$2:$K$2,0,MATCH(TRUE,I1838:K1838,0)),E1838)</f>
        <v>CHP New</v>
      </c>
      <c r="O1838" t="str">
        <f t="shared" si="133"/>
        <v>CHP New_2028</v>
      </c>
      <c r="P1838">
        <f t="shared" si="134"/>
        <v>35.389421380000002</v>
      </c>
    </row>
    <row r="1839" spans="4:16" x14ac:dyDescent="0.25">
      <c r="D1839">
        <v>2029</v>
      </c>
      <c r="E1839" t="s">
        <v>227</v>
      </c>
      <c r="F1839" t="s">
        <v>242</v>
      </c>
      <c r="G1839">
        <v>35.389421380000002</v>
      </c>
      <c r="I1839">
        <f t="shared" si="135"/>
        <v>0</v>
      </c>
      <c r="J1839">
        <f t="shared" si="135"/>
        <v>0</v>
      </c>
      <c r="K1839">
        <f t="shared" si="135"/>
        <v>0</v>
      </c>
      <c r="M1839" t="str" cm="1">
        <f t="array" ref="M1839">IFERROR(INDEX($I$2:$K$2,0,MATCH(TRUE,I1839:K1839,0)),E1839)</f>
        <v>CHP New</v>
      </c>
      <c r="O1839" t="str">
        <f t="shared" si="133"/>
        <v>CHP New_2029</v>
      </c>
      <c r="P1839">
        <f t="shared" si="134"/>
        <v>35.389421380000002</v>
      </c>
    </row>
    <row r="1840" spans="4:16" x14ac:dyDescent="0.25">
      <c r="D1840">
        <v>2030</v>
      </c>
      <c r="E1840" t="s">
        <v>227</v>
      </c>
      <c r="F1840" t="s">
        <v>242</v>
      </c>
      <c r="G1840">
        <v>35.389421380000002</v>
      </c>
      <c r="I1840">
        <f t="shared" si="135"/>
        <v>0</v>
      </c>
      <c r="J1840">
        <f t="shared" si="135"/>
        <v>0</v>
      </c>
      <c r="K1840">
        <f t="shared" si="135"/>
        <v>0</v>
      </c>
      <c r="M1840" t="str" cm="1">
        <f t="array" ref="M1840">IFERROR(INDEX($I$2:$K$2,0,MATCH(TRUE,I1840:K1840,0)),E1840)</f>
        <v>CHP New</v>
      </c>
      <c r="O1840" t="str">
        <f t="shared" si="133"/>
        <v>CHP New_2030</v>
      </c>
      <c r="P1840">
        <f t="shared" si="134"/>
        <v>35.389421380000002</v>
      </c>
    </row>
    <row r="1841" spans="4:16" x14ac:dyDescent="0.25">
      <c r="D1841">
        <v>2031</v>
      </c>
      <c r="E1841" t="s">
        <v>227</v>
      </c>
      <c r="F1841" t="s">
        <v>242</v>
      </c>
      <c r="G1841">
        <v>35.389421380000002</v>
      </c>
      <c r="I1841">
        <f t="shared" si="135"/>
        <v>0</v>
      </c>
      <c r="J1841">
        <f t="shared" si="135"/>
        <v>0</v>
      </c>
      <c r="K1841">
        <f t="shared" si="135"/>
        <v>0</v>
      </c>
      <c r="M1841" t="str" cm="1">
        <f t="array" ref="M1841">IFERROR(INDEX($I$2:$K$2,0,MATCH(TRUE,I1841:K1841,0)),E1841)</f>
        <v>CHP New</v>
      </c>
      <c r="O1841" t="str">
        <f t="shared" si="133"/>
        <v>CHP New_2031</v>
      </c>
      <c r="P1841">
        <f t="shared" si="134"/>
        <v>35.389421380000002</v>
      </c>
    </row>
    <row r="1842" spans="4:16" x14ac:dyDescent="0.25">
      <c r="D1842">
        <v>2032</v>
      </c>
      <c r="E1842" t="s">
        <v>227</v>
      </c>
      <c r="F1842" t="s">
        <v>242</v>
      </c>
      <c r="G1842">
        <v>35.389421380000002</v>
      </c>
      <c r="I1842">
        <f t="shared" si="135"/>
        <v>0</v>
      </c>
      <c r="J1842">
        <f t="shared" si="135"/>
        <v>0</v>
      </c>
      <c r="K1842">
        <f t="shared" si="135"/>
        <v>0</v>
      </c>
      <c r="M1842" t="str" cm="1">
        <f t="array" ref="M1842">IFERROR(INDEX($I$2:$K$2,0,MATCH(TRUE,I1842:K1842,0)),E1842)</f>
        <v>CHP New</v>
      </c>
      <c r="O1842" t="str">
        <f t="shared" si="133"/>
        <v>CHP New_2032</v>
      </c>
      <c r="P1842">
        <f t="shared" si="134"/>
        <v>35.389421380000002</v>
      </c>
    </row>
    <row r="1843" spans="4:16" x14ac:dyDescent="0.25">
      <c r="D1843">
        <v>2033</v>
      </c>
      <c r="E1843" t="s">
        <v>227</v>
      </c>
      <c r="F1843" t="s">
        <v>242</v>
      </c>
      <c r="G1843">
        <v>35.389421380000002</v>
      </c>
      <c r="I1843">
        <f t="shared" si="135"/>
        <v>0</v>
      </c>
      <c r="J1843">
        <f t="shared" si="135"/>
        <v>0</v>
      </c>
      <c r="K1843">
        <f t="shared" si="135"/>
        <v>0</v>
      </c>
      <c r="M1843" t="str" cm="1">
        <f t="array" ref="M1843">IFERROR(INDEX($I$2:$K$2,0,MATCH(TRUE,I1843:K1843,0)),E1843)</f>
        <v>CHP New</v>
      </c>
      <c r="O1843" t="str">
        <f t="shared" si="133"/>
        <v>CHP New_2033</v>
      </c>
      <c r="P1843">
        <f t="shared" si="134"/>
        <v>35.389421380000002</v>
      </c>
    </row>
    <row r="1844" spans="4:16" x14ac:dyDescent="0.25">
      <c r="D1844">
        <v>2034</v>
      </c>
      <c r="E1844" t="s">
        <v>227</v>
      </c>
      <c r="F1844" t="s">
        <v>242</v>
      </c>
      <c r="G1844">
        <v>35.389421380000002</v>
      </c>
      <c r="I1844">
        <f t="shared" si="135"/>
        <v>0</v>
      </c>
      <c r="J1844">
        <f t="shared" si="135"/>
        <v>0</v>
      </c>
      <c r="K1844">
        <f t="shared" si="135"/>
        <v>0</v>
      </c>
      <c r="M1844" t="str" cm="1">
        <f t="array" ref="M1844">IFERROR(INDEX($I$2:$K$2,0,MATCH(TRUE,I1844:K1844,0)),E1844)</f>
        <v>CHP New</v>
      </c>
      <c r="O1844" t="str">
        <f t="shared" si="133"/>
        <v>CHP New_2034</v>
      </c>
      <c r="P1844">
        <f t="shared" si="134"/>
        <v>35.389421380000002</v>
      </c>
    </row>
    <row r="1845" spans="4:16" x14ac:dyDescent="0.25">
      <c r="D1845">
        <v>2035</v>
      </c>
      <c r="E1845" t="s">
        <v>227</v>
      </c>
      <c r="F1845" t="s">
        <v>242</v>
      </c>
      <c r="G1845">
        <v>35.389421380000002</v>
      </c>
      <c r="I1845">
        <f t="shared" si="135"/>
        <v>0</v>
      </c>
      <c r="J1845">
        <f t="shared" si="135"/>
        <v>0</v>
      </c>
      <c r="K1845">
        <f t="shared" si="135"/>
        <v>0</v>
      </c>
      <c r="M1845" t="str" cm="1">
        <f t="array" ref="M1845">IFERROR(INDEX($I$2:$K$2,0,MATCH(TRUE,I1845:K1845,0)),E1845)</f>
        <v>CHP New</v>
      </c>
      <c r="O1845" t="str">
        <f t="shared" si="133"/>
        <v>CHP New_2035</v>
      </c>
      <c r="P1845">
        <f t="shared" si="134"/>
        <v>35.389421380000002</v>
      </c>
    </row>
    <row r="1846" spans="4:16" x14ac:dyDescent="0.25">
      <c r="D1846">
        <v>2036</v>
      </c>
      <c r="E1846" t="s">
        <v>227</v>
      </c>
      <c r="F1846" t="s">
        <v>242</v>
      </c>
      <c r="G1846">
        <v>36.518164759999998</v>
      </c>
      <c r="I1846">
        <f t="shared" si="135"/>
        <v>0</v>
      </c>
      <c r="J1846">
        <f t="shared" si="135"/>
        <v>0</v>
      </c>
      <c r="K1846">
        <f t="shared" si="135"/>
        <v>0</v>
      </c>
      <c r="M1846" t="str" cm="1">
        <f t="array" ref="M1846">IFERROR(INDEX($I$2:$K$2,0,MATCH(TRUE,I1846:K1846,0)),E1846)</f>
        <v>CHP New</v>
      </c>
      <c r="O1846" t="str">
        <f t="shared" si="133"/>
        <v>CHP New_2036</v>
      </c>
      <c r="P1846">
        <f t="shared" si="134"/>
        <v>36.518164759999998</v>
      </c>
    </row>
    <row r="1847" spans="4:16" x14ac:dyDescent="0.25">
      <c r="D1847">
        <v>2037</v>
      </c>
      <c r="E1847" t="s">
        <v>227</v>
      </c>
      <c r="F1847" t="s">
        <v>242</v>
      </c>
      <c r="G1847">
        <v>35.389421380000002</v>
      </c>
      <c r="I1847">
        <f t="shared" si="135"/>
        <v>0</v>
      </c>
      <c r="J1847">
        <f t="shared" si="135"/>
        <v>0</v>
      </c>
      <c r="K1847">
        <f t="shared" si="135"/>
        <v>0</v>
      </c>
      <c r="M1847" t="str" cm="1">
        <f t="array" ref="M1847">IFERROR(INDEX($I$2:$K$2,0,MATCH(TRUE,I1847:K1847,0)),E1847)</f>
        <v>CHP New</v>
      </c>
      <c r="O1847" t="str">
        <f t="shared" si="133"/>
        <v>CHP New_2037</v>
      </c>
      <c r="P1847">
        <f t="shared" si="134"/>
        <v>35.389421380000002</v>
      </c>
    </row>
    <row r="1848" spans="4:16" x14ac:dyDescent="0.25">
      <c r="D1848">
        <v>2038</v>
      </c>
      <c r="E1848" t="s">
        <v>227</v>
      </c>
      <c r="F1848" t="s">
        <v>242</v>
      </c>
      <c r="G1848">
        <v>35.389421380000002</v>
      </c>
      <c r="I1848">
        <f t="shared" si="135"/>
        <v>0</v>
      </c>
      <c r="J1848">
        <f t="shared" si="135"/>
        <v>0</v>
      </c>
      <c r="K1848">
        <f t="shared" si="135"/>
        <v>0</v>
      </c>
      <c r="M1848" t="str" cm="1">
        <f t="array" ref="M1848">IFERROR(INDEX($I$2:$K$2,0,MATCH(TRUE,I1848:K1848,0)),E1848)</f>
        <v>CHP New</v>
      </c>
      <c r="O1848" t="str">
        <f t="shared" si="133"/>
        <v>CHP New_2038</v>
      </c>
      <c r="P1848">
        <f t="shared" si="134"/>
        <v>35.389421380000002</v>
      </c>
    </row>
    <row r="1849" spans="4:16" x14ac:dyDescent="0.25">
      <c r="D1849">
        <v>2039</v>
      </c>
      <c r="E1849" t="s">
        <v>227</v>
      </c>
      <c r="F1849" t="s">
        <v>242</v>
      </c>
      <c r="G1849">
        <v>35.389421380000002</v>
      </c>
      <c r="I1849">
        <f t="shared" si="135"/>
        <v>0</v>
      </c>
      <c r="J1849">
        <f t="shared" si="135"/>
        <v>0</v>
      </c>
      <c r="K1849">
        <f t="shared" si="135"/>
        <v>0</v>
      </c>
      <c r="M1849" t="str" cm="1">
        <f t="array" ref="M1849">IFERROR(INDEX($I$2:$K$2,0,MATCH(TRUE,I1849:K1849,0)),E1849)</f>
        <v>CHP New</v>
      </c>
      <c r="O1849" t="str">
        <f t="shared" si="133"/>
        <v>CHP New_2039</v>
      </c>
      <c r="P1849">
        <f t="shared" si="134"/>
        <v>35.389421380000002</v>
      </c>
    </row>
    <row r="1850" spans="4:16" x14ac:dyDescent="0.25">
      <c r="D1850">
        <v>2040</v>
      </c>
      <c r="E1850" t="s">
        <v>227</v>
      </c>
      <c r="F1850" t="s">
        <v>242</v>
      </c>
      <c r="G1850">
        <v>36.518164759999998</v>
      </c>
      <c r="I1850">
        <f t="shared" si="135"/>
        <v>0</v>
      </c>
      <c r="J1850">
        <f t="shared" si="135"/>
        <v>0</v>
      </c>
      <c r="K1850">
        <f t="shared" si="135"/>
        <v>0</v>
      </c>
      <c r="M1850" t="str" cm="1">
        <f t="array" ref="M1850">IFERROR(INDEX($I$2:$K$2,0,MATCH(TRUE,I1850:K1850,0)),E1850)</f>
        <v>CHP New</v>
      </c>
      <c r="O1850" t="str">
        <f t="shared" si="133"/>
        <v>CHP New_2040</v>
      </c>
      <c r="P1850">
        <f t="shared" si="134"/>
        <v>36.518164759999998</v>
      </c>
    </row>
    <row r="1851" spans="4:16" x14ac:dyDescent="0.25">
      <c r="D1851">
        <v>2021</v>
      </c>
      <c r="E1851" t="s">
        <v>227</v>
      </c>
      <c r="F1851" t="s">
        <v>243</v>
      </c>
      <c r="G1851">
        <v>46.310793150000002</v>
      </c>
      <c r="I1851">
        <f t="shared" si="135"/>
        <v>0</v>
      </c>
      <c r="J1851">
        <f t="shared" si="135"/>
        <v>0</v>
      </c>
      <c r="K1851">
        <f t="shared" si="135"/>
        <v>0</v>
      </c>
      <c r="M1851" t="str" cm="1">
        <f t="array" ref="M1851">IFERROR(INDEX($I$2:$K$2,0,MATCH(TRUE,I1851:K1851,0)),E1851)</f>
        <v>CHP New</v>
      </c>
      <c r="O1851" t="str">
        <f t="shared" si="133"/>
        <v>CHP New_2021</v>
      </c>
      <c r="P1851">
        <f t="shared" si="134"/>
        <v>46.310793150000002</v>
      </c>
    </row>
    <row r="1852" spans="4:16" x14ac:dyDescent="0.25">
      <c r="D1852">
        <v>2022</v>
      </c>
      <c r="E1852" t="s">
        <v>227</v>
      </c>
      <c r="F1852" t="s">
        <v>243</v>
      </c>
      <c r="G1852">
        <v>46.310793150000002</v>
      </c>
      <c r="I1852">
        <f t="shared" si="135"/>
        <v>0</v>
      </c>
      <c r="J1852">
        <f t="shared" si="135"/>
        <v>0</v>
      </c>
      <c r="K1852">
        <f t="shared" si="135"/>
        <v>0</v>
      </c>
      <c r="M1852" t="str" cm="1">
        <f t="array" ref="M1852">IFERROR(INDEX($I$2:$K$2,0,MATCH(TRUE,I1852:K1852,0)),E1852)</f>
        <v>CHP New</v>
      </c>
      <c r="O1852" t="str">
        <f t="shared" si="133"/>
        <v>CHP New_2022</v>
      </c>
      <c r="P1852">
        <f t="shared" si="134"/>
        <v>46.310793150000002</v>
      </c>
    </row>
    <row r="1853" spans="4:16" x14ac:dyDescent="0.25">
      <c r="D1853">
        <v>2023</v>
      </c>
      <c r="E1853" t="s">
        <v>227</v>
      </c>
      <c r="F1853" t="s">
        <v>243</v>
      </c>
      <c r="G1853">
        <v>46.310793150000002</v>
      </c>
      <c r="I1853">
        <f t="shared" si="135"/>
        <v>0</v>
      </c>
      <c r="J1853">
        <f t="shared" si="135"/>
        <v>0</v>
      </c>
      <c r="K1853">
        <f t="shared" si="135"/>
        <v>0</v>
      </c>
      <c r="M1853" t="str" cm="1">
        <f t="array" ref="M1853">IFERROR(INDEX($I$2:$K$2,0,MATCH(TRUE,I1853:K1853,0)),E1853)</f>
        <v>CHP New</v>
      </c>
      <c r="O1853" t="str">
        <f t="shared" si="133"/>
        <v>CHP New_2023</v>
      </c>
      <c r="P1853">
        <f t="shared" si="134"/>
        <v>46.310793150000002</v>
      </c>
    </row>
    <row r="1854" spans="4:16" x14ac:dyDescent="0.25">
      <c r="D1854">
        <v>2024</v>
      </c>
      <c r="E1854" t="s">
        <v>227</v>
      </c>
      <c r="F1854" t="s">
        <v>243</v>
      </c>
      <c r="G1854">
        <v>47.574722000000001</v>
      </c>
      <c r="I1854">
        <f t="shared" si="135"/>
        <v>0</v>
      </c>
      <c r="J1854">
        <f t="shared" si="135"/>
        <v>0</v>
      </c>
      <c r="K1854">
        <f t="shared" si="135"/>
        <v>0</v>
      </c>
      <c r="M1854" t="str" cm="1">
        <f t="array" ref="M1854">IFERROR(INDEX($I$2:$K$2,0,MATCH(TRUE,I1854:K1854,0)),E1854)</f>
        <v>CHP New</v>
      </c>
      <c r="O1854" t="str">
        <f t="shared" si="133"/>
        <v>CHP New_2024</v>
      </c>
      <c r="P1854">
        <f t="shared" si="134"/>
        <v>47.574722000000001</v>
      </c>
    </row>
    <row r="1855" spans="4:16" x14ac:dyDescent="0.25">
      <c r="D1855">
        <v>2025</v>
      </c>
      <c r="E1855" t="s">
        <v>227</v>
      </c>
      <c r="F1855" t="s">
        <v>243</v>
      </c>
      <c r="G1855">
        <v>46.310793150000002</v>
      </c>
      <c r="I1855">
        <f t="shared" si="135"/>
        <v>0</v>
      </c>
      <c r="J1855">
        <f t="shared" si="135"/>
        <v>0</v>
      </c>
      <c r="K1855">
        <f t="shared" si="135"/>
        <v>0</v>
      </c>
      <c r="M1855" t="str" cm="1">
        <f t="array" ref="M1855">IFERROR(INDEX($I$2:$K$2,0,MATCH(TRUE,I1855:K1855,0)),E1855)</f>
        <v>CHP New</v>
      </c>
      <c r="O1855" t="str">
        <f t="shared" si="133"/>
        <v>CHP New_2025</v>
      </c>
      <c r="P1855">
        <f t="shared" si="134"/>
        <v>46.310793150000002</v>
      </c>
    </row>
    <row r="1856" spans="4:16" x14ac:dyDescent="0.25">
      <c r="D1856">
        <v>2026</v>
      </c>
      <c r="E1856" t="s">
        <v>227</v>
      </c>
      <c r="F1856" t="s">
        <v>243</v>
      </c>
      <c r="G1856">
        <v>46.310793150000002</v>
      </c>
      <c r="I1856">
        <f t="shared" si="135"/>
        <v>0</v>
      </c>
      <c r="J1856">
        <f t="shared" si="135"/>
        <v>0</v>
      </c>
      <c r="K1856">
        <f t="shared" si="135"/>
        <v>0</v>
      </c>
      <c r="M1856" t="str" cm="1">
        <f t="array" ref="M1856">IFERROR(INDEX($I$2:$K$2,0,MATCH(TRUE,I1856:K1856,0)),E1856)</f>
        <v>CHP New</v>
      </c>
      <c r="O1856" t="str">
        <f t="shared" si="133"/>
        <v>CHP New_2026</v>
      </c>
      <c r="P1856">
        <f t="shared" si="134"/>
        <v>46.310793150000002</v>
      </c>
    </row>
    <row r="1857" spans="4:16" x14ac:dyDescent="0.25">
      <c r="D1857">
        <v>2027</v>
      </c>
      <c r="E1857" t="s">
        <v>227</v>
      </c>
      <c r="F1857" t="s">
        <v>243</v>
      </c>
      <c r="G1857">
        <v>46.310793150000002</v>
      </c>
      <c r="I1857">
        <f t="shared" si="135"/>
        <v>0</v>
      </c>
      <c r="J1857">
        <f t="shared" si="135"/>
        <v>0</v>
      </c>
      <c r="K1857">
        <f t="shared" si="135"/>
        <v>0</v>
      </c>
      <c r="M1857" t="str" cm="1">
        <f t="array" ref="M1857">IFERROR(INDEX($I$2:$K$2,0,MATCH(TRUE,I1857:K1857,0)),E1857)</f>
        <v>CHP New</v>
      </c>
      <c r="O1857" t="str">
        <f t="shared" si="133"/>
        <v>CHP New_2027</v>
      </c>
      <c r="P1857">
        <f t="shared" si="134"/>
        <v>46.310793150000002</v>
      </c>
    </row>
    <row r="1858" spans="4:16" x14ac:dyDescent="0.25">
      <c r="D1858">
        <v>2028</v>
      </c>
      <c r="E1858" t="s">
        <v>227</v>
      </c>
      <c r="F1858" t="s">
        <v>243</v>
      </c>
      <c r="G1858">
        <v>46.310793150000002</v>
      </c>
      <c r="I1858">
        <f t="shared" si="135"/>
        <v>0</v>
      </c>
      <c r="J1858">
        <f t="shared" si="135"/>
        <v>0</v>
      </c>
      <c r="K1858">
        <f t="shared" si="135"/>
        <v>0</v>
      </c>
      <c r="M1858" t="str" cm="1">
        <f t="array" ref="M1858">IFERROR(INDEX($I$2:$K$2,0,MATCH(TRUE,I1858:K1858,0)),E1858)</f>
        <v>CHP New</v>
      </c>
      <c r="O1858" t="str">
        <f t="shared" si="133"/>
        <v>CHP New_2028</v>
      </c>
      <c r="P1858">
        <f t="shared" si="134"/>
        <v>46.310793150000002</v>
      </c>
    </row>
    <row r="1859" spans="4:16" x14ac:dyDescent="0.25">
      <c r="D1859">
        <v>2029</v>
      </c>
      <c r="E1859" t="s">
        <v>227</v>
      </c>
      <c r="F1859" t="s">
        <v>243</v>
      </c>
      <c r="G1859">
        <v>46.310793150000002</v>
      </c>
      <c r="I1859">
        <f t="shared" si="135"/>
        <v>0</v>
      </c>
      <c r="J1859">
        <f t="shared" si="135"/>
        <v>0</v>
      </c>
      <c r="K1859">
        <f t="shared" si="135"/>
        <v>0</v>
      </c>
      <c r="M1859" t="str" cm="1">
        <f t="array" ref="M1859">IFERROR(INDEX($I$2:$K$2,0,MATCH(TRUE,I1859:K1859,0)),E1859)</f>
        <v>CHP New</v>
      </c>
      <c r="O1859" t="str">
        <f t="shared" si="133"/>
        <v>CHP New_2029</v>
      </c>
      <c r="P1859">
        <f t="shared" si="134"/>
        <v>46.310793150000002</v>
      </c>
    </row>
    <row r="1860" spans="4:16" x14ac:dyDescent="0.25">
      <c r="D1860">
        <v>2030</v>
      </c>
      <c r="E1860" t="s">
        <v>227</v>
      </c>
      <c r="F1860" t="s">
        <v>243</v>
      </c>
      <c r="G1860">
        <v>46.310793150000002</v>
      </c>
      <c r="I1860">
        <f t="shared" si="135"/>
        <v>0</v>
      </c>
      <c r="J1860">
        <f t="shared" si="135"/>
        <v>0</v>
      </c>
      <c r="K1860">
        <f t="shared" si="135"/>
        <v>0</v>
      </c>
      <c r="M1860" t="str" cm="1">
        <f t="array" ref="M1860">IFERROR(INDEX($I$2:$K$2,0,MATCH(TRUE,I1860:K1860,0)),E1860)</f>
        <v>CHP New</v>
      </c>
      <c r="O1860" t="str">
        <f t="shared" si="133"/>
        <v>CHP New_2030</v>
      </c>
      <c r="P1860">
        <f t="shared" si="134"/>
        <v>46.310793150000002</v>
      </c>
    </row>
    <row r="1861" spans="4:16" x14ac:dyDescent="0.25">
      <c r="D1861">
        <v>2031</v>
      </c>
      <c r="E1861" t="s">
        <v>227</v>
      </c>
      <c r="F1861" t="s">
        <v>243</v>
      </c>
      <c r="G1861">
        <v>46.310793150000002</v>
      </c>
      <c r="I1861">
        <f t="shared" si="135"/>
        <v>0</v>
      </c>
      <c r="J1861">
        <f t="shared" si="135"/>
        <v>0</v>
      </c>
      <c r="K1861">
        <f t="shared" si="135"/>
        <v>0</v>
      </c>
      <c r="M1861" t="str" cm="1">
        <f t="array" ref="M1861">IFERROR(INDEX($I$2:$K$2,0,MATCH(TRUE,I1861:K1861,0)),E1861)</f>
        <v>CHP New</v>
      </c>
      <c r="O1861" t="str">
        <f t="shared" si="133"/>
        <v>CHP New_2031</v>
      </c>
      <c r="P1861">
        <f t="shared" si="134"/>
        <v>46.310793150000002</v>
      </c>
    </row>
    <row r="1862" spans="4:16" x14ac:dyDescent="0.25">
      <c r="D1862">
        <v>2032</v>
      </c>
      <c r="E1862" t="s">
        <v>227</v>
      </c>
      <c r="F1862" t="s">
        <v>243</v>
      </c>
      <c r="G1862">
        <v>46.310793150000002</v>
      </c>
      <c r="I1862">
        <f t="shared" si="135"/>
        <v>0</v>
      </c>
      <c r="J1862">
        <f t="shared" si="135"/>
        <v>0</v>
      </c>
      <c r="K1862">
        <f t="shared" si="135"/>
        <v>0</v>
      </c>
      <c r="M1862" t="str" cm="1">
        <f t="array" ref="M1862">IFERROR(INDEX($I$2:$K$2,0,MATCH(TRUE,I1862:K1862,0)),E1862)</f>
        <v>CHP New</v>
      </c>
      <c r="O1862" t="str">
        <f t="shared" si="133"/>
        <v>CHP New_2032</v>
      </c>
      <c r="P1862">
        <f t="shared" si="134"/>
        <v>46.310793150000002</v>
      </c>
    </row>
    <row r="1863" spans="4:16" x14ac:dyDescent="0.25">
      <c r="D1863">
        <v>2033</v>
      </c>
      <c r="E1863" t="s">
        <v>227</v>
      </c>
      <c r="F1863" t="s">
        <v>243</v>
      </c>
      <c r="G1863">
        <v>46.310793150000002</v>
      </c>
      <c r="I1863">
        <f t="shared" si="135"/>
        <v>0</v>
      </c>
      <c r="J1863">
        <f t="shared" si="135"/>
        <v>0</v>
      </c>
      <c r="K1863">
        <f t="shared" si="135"/>
        <v>0</v>
      </c>
      <c r="M1863" t="str" cm="1">
        <f t="array" ref="M1863">IFERROR(INDEX($I$2:$K$2,0,MATCH(TRUE,I1863:K1863,0)),E1863)</f>
        <v>CHP New</v>
      </c>
      <c r="O1863" t="str">
        <f t="shared" si="133"/>
        <v>CHP New_2033</v>
      </c>
      <c r="P1863">
        <f t="shared" si="134"/>
        <v>46.310793150000002</v>
      </c>
    </row>
    <row r="1864" spans="4:16" x14ac:dyDescent="0.25">
      <c r="D1864">
        <v>2034</v>
      </c>
      <c r="E1864" t="s">
        <v>227</v>
      </c>
      <c r="F1864" t="s">
        <v>243</v>
      </c>
      <c r="G1864">
        <v>46.310793150000002</v>
      </c>
      <c r="I1864">
        <f t="shared" si="135"/>
        <v>0</v>
      </c>
      <c r="J1864">
        <f t="shared" si="135"/>
        <v>0</v>
      </c>
      <c r="K1864">
        <f t="shared" si="135"/>
        <v>0</v>
      </c>
      <c r="M1864" t="str" cm="1">
        <f t="array" ref="M1864">IFERROR(INDEX($I$2:$K$2,0,MATCH(TRUE,I1864:K1864,0)),E1864)</f>
        <v>CHP New</v>
      </c>
      <c r="O1864" t="str">
        <f t="shared" si="133"/>
        <v>CHP New_2034</v>
      </c>
      <c r="P1864">
        <f t="shared" si="134"/>
        <v>46.310793150000002</v>
      </c>
    </row>
    <row r="1865" spans="4:16" x14ac:dyDescent="0.25">
      <c r="D1865">
        <v>2035</v>
      </c>
      <c r="E1865" t="s">
        <v>227</v>
      </c>
      <c r="F1865" t="s">
        <v>243</v>
      </c>
      <c r="G1865">
        <v>46.310793150000002</v>
      </c>
      <c r="I1865">
        <f t="shared" si="135"/>
        <v>0</v>
      </c>
      <c r="J1865">
        <f t="shared" si="135"/>
        <v>0</v>
      </c>
      <c r="K1865">
        <f t="shared" si="135"/>
        <v>0</v>
      </c>
      <c r="M1865" t="str" cm="1">
        <f t="array" ref="M1865">IFERROR(INDEX($I$2:$K$2,0,MATCH(TRUE,I1865:K1865,0)),E1865)</f>
        <v>CHP New</v>
      </c>
      <c r="O1865" t="str">
        <f t="shared" si="133"/>
        <v>CHP New_2035</v>
      </c>
      <c r="P1865">
        <f t="shared" si="134"/>
        <v>46.310793150000002</v>
      </c>
    </row>
    <row r="1866" spans="4:16" x14ac:dyDescent="0.25">
      <c r="D1866">
        <v>2036</v>
      </c>
      <c r="E1866" t="s">
        <v>227</v>
      </c>
      <c r="F1866" t="s">
        <v>243</v>
      </c>
      <c r="G1866">
        <v>47.574722000000001</v>
      </c>
      <c r="I1866">
        <f t="shared" si="135"/>
        <v>0</v>
      </c>
      <c r="J1866">
        <f t="shared" si="135"/>
        <v>0</v>
      </c>
      <c r="K1866">
        <f t="shared" si="135"/>
        <v>0</v>
      </c>
      <c r="M1866" t="str" cm="1">
        <f t="array" ref="M1866">IFERROR(INDEX($I$2:$K$2,0,MATCH(TRUE,I1866:K1866,0)),E1866)</f>
        <v>CHP New</v>
      </c>
      <c r="O1866" t="str">
        <f t="shared" si="133"/>
        <v>CHP New_2036</v>
      </c>
      <c r="P1866">
        <f t="shared" si="134"/>
        <v>47.574722000000001</v>
      </c>
    </row>
    <row r="1867" spans="4:16" x14ac:dyDescent="0.25">
      <c r="D1867">
        <v>2037</v>
      </c>
      <c r="E1867" t="s">
        <v>227</v>
      </c>
      <c r="F1867" t="s">
        <v>243</v>
      </c>
      <c r="G1867">
        <v>46.310793150000002</v>
      </c>
      <c r="I1867">
        <f t="shared" si="135"/>
        <v>0</v>
      </c>
      <c r="J1867">
        <f t="shared" si="135"/>
        <v>0</v>
      </c>
      <c r="K1867">
        <f t="shared" si="135"/>
        <v>0</v>
      </c>
      <c r="M1867" t="str" cm="1">
        <f t="array" ref="M1867">IFERROR(INDEX($I$2:$K$2,0,MATCH(TRUE,I1867:K1867,0)),E1867)</f>
        <v>CHP New</v>
      </c>
      <c r="O1867" t="str">
        <f t="shared" si="133"/>
        <v>CHP New_2037</v>
      </c>
      <c r="P1867">
        <f t="shared" si="134"/>
        <v>46.310793150000002</v>
      </c>
    </row>
    <row r="1868" spans="4:16" x14ac:dyDescent="0.25">
      <c r="D1868">
        <v>2038</v>
      </c>
      <c r="E1868" t="s">
        <v>227</v>
      </c>
      <c r="F1868" t="s">
        <v>243</v>
      </c>
      <c r="G1868">
        <v>46.310793150000002</v>
      </c>
      <c r="I1868">
        <f t="shared" si="135"/>
        <v>0</v>
      </c>
      <c r="J1868">
        <f t="shared" si="135"/>
        <v>0</v>
      </c>
      <c r="K1868">
        <f t="shared" si="135"/>
        <v>0</v>
      </c>
      <c r="M1868" t="str" cm="1">
        <f t="array" ref="M1868">IFERROR(INDEX($I$2:$K$2,0,MATCH(TRUE,I1868:K1868,0)),E1868)</f>
        <v>CHP New</v>
      </c>
      <c r="O1868" t="str">
        <f t="shared" si="133"/>
        <v>CHP New_2038</v>
      </c>
      <c r="P1868">
        <f t="shared" si="134"/>
        <v>46.310793150000002</v>
      </c>
    </row>
    <row r="1869" spans="4:16" x14ac:dyDescent="0.25">
      <c r="D1869">
        <v>2039</v>
      </c>
      <c r="E1869" t="s">
        <v>227</v>
      </c>
      <c r="F1869" t="s">
        <v>243</v>
      </c>
      <c r="G1869">
        <v>46.310793150000002</v>
      </c>
      <c r="I1869">
        <f t="shared" si="135"/>
        <v>0</v>
      </c>
      <c r="J1869">
        <f t="shared" si="135"/>
        <v>0</v>
      </c>
      <c r="K1869">
        <f t="shared" si="135"/>
        <v>0</v>
      </c>
      <c r="M1869" t="str" cm="1">
        <f t="array" ref="M1869">IFERROR(INDEX($I$2:$K$2,0,MATCH(TRUE,I1869:K1869,0)),E1869)</f>
        <v>CHP New</v>
      </c>
      <c r="O1869" t="str">
        <f t="shared" si="133"/>
        <v>CHP New_2039</v>
      </c>
      <c r="P1869">
        <f t="shared" si="134"/>
        <v>46.310793150000002</v>
      </c>
    </row>
    <row r="1870" spans="4:16" x14ac:dyDescent="0.25">
      <c r="D1870">
        <v>2040</v>
      </c>
      <c r="E1870" t="s">
        <v>227</v>
      </c>
      <c r="F1870" t="s">
        <v>243</v>
      </c>
      <c r="G1870">
        <v>47.574722000000001</v>
      </c>
      <c r="I1870">
        <f t="shared" si="135"/>
        <v>0</v>
      </c>
      <c r="J1870">
        <f t="shared" si="135"/>
        <v>0</v>
      </c>
      <c r="K1870">
        <f t="shared" si="135"/>
        <v>0</v>
      </c>
      <c r="M1870" t="str" cm="1">
        <f t="array" ref="M1870">IFERROR(INDEX($I$2:$K$2,0,MATCH(TRUE,I1870:K1870,0)),E1870)</f>
        <v>CHP New</v>
      </c>
      <c r="O1870" t="str">
        <f t="shared" si="133"/>
        <v>CHP New_2040</v>
      </c>
      <c r="P1870">
        <f t="shared" si="134"/>
        <v>47.574722000000001</v>
      </c>
    </row>
    <row r="1871" spans="4:16" x14ac:dyDescent="0.25">
      <c r="D1871">
        <v>2021</v>
      </c>
      <c r="E1871" t="s">
        <v>227</v>
      </c>
      <c r="F1871" t="s">
        <v>244</v>
      </c>
      <c r="G1871">
        <v>13.89323795</v>
      </c>
      <c r="I1871">
        <f t="shared" si="135"/>
        <v>0</v>
      </c>
      <c r="J1871">
        <f t="shared" si="135"/>
        <v>0</v>
      </c>
      <c r="K1871">
        <f t="shared" si="135"/>
        <v>0</v>
      </c>
      <c r="M1871" t="str" cm="1">
        <f t="array" ref="M1871">IFERROR(INDEX($I$2:$K$2,0,MATCH(TRUE,I1871:K1871,0)),E1871)</f>
        <v>CHP New</v>
      </c>
      <c r="O1871" t="str">
        <f t="shared" si="133"/>
        <v>CHP New_2021</v>
      </c>
      <c r="P1871">
        <f t="shared" si="134"/>
        <v>13.89323795</v>
      </c>
    </row>
    <row r="1872" spans="4:16" x14ac:dyDescent="0.25">
      <c r="D1872">
        <v>2022</v>
      </c>
      <c r="E1872" t="s">
        <v>227</v>
      </c>
      <c r="F1872" t="s">
        <v>244</v>
      </c>
      <c r="G1872">
        <v>13.89323795</v>
      </c>
      <c r="I1872">
        <f t="shared" si="135"/>
        <v>0</v>
      </c>
      <c r="J1872">
        <f t="shared" si="135"/>
        <v>0</v>
      </c>
      <c r="K1872">
        <f t="shared" si="135"/>
        <v>0</v>
      </c>
      <c r="M1872" t="str" cm="1">
        <f t="array" ref="M1872">IFERROR(INDEX($I$2:$K$2,0,MATCH(TRUE,I1872:K1872,0)),E1872)</f>
        <v>CHP New</v>
      </c>
      <c r="O1872" t="str">
        <f t="shared" si="133"/>
        <v>CHP New_2022</v>
      </c>
      <c r="P1872">
        <f t="shared" si="134"/>
        <v>13.89323795</v>
      </c>
    </row>
    <row r="1873" spans="4:16" x14ac:dyDescent="0.25">
      <c r="D1873">
        <v>2023</v>
      </c>
      <c r="E1873" t="s">
        <v>227</v>
      </c>
      <c r="F1873" t="s">
        <v>244</v>
      </c>
      <c r="G1873">
        <v>13.89323795</v>
      </c>
      <c r="I1873">
        <f t="shared" si="135"/>
        <v>0</v>
      </c>
      <c r="J1873">
        <f t="shared" si="135"/>
        <v>0</v>
      </c>
      <c r="K1873">
        <f t="shared" si="135"/>
        <v>0</v>
      </c>
      <c r="M1873" t="str" cm="1">
        <f t="array" ref="M1873">IFERROR(INDEX($I$2:$K$2,0,MATCH(TRUE,I1873:K1873,0)),E1873)</f>
        <v>CHP New</v>
      </c>
      <c r="O1873" t="str">
        <f t="shared" si="133"/>
        <v>CHP New_2023</v>
      </c>
      <c r="P1873">
        <f t="shared" si="134"/>
        <v>13.89323795</v>
      </c>
    </row>
    <row r="1874" spans="4:16" x14ac:dyDescent="0.25">
      <c r="D1874">
        <v>2024</v>
      </c>
      <c r="E1874" t="s">
        <v>227</v>
      </c>
      <c r="F1874" t="s">
        <v>244</v>
      </c>
      <c r="G1874">
        <v>14.2724166</v>
      </c>
      <c r="I1874">
        <f t="shared" si="135"/>
        <v>0</v>
      </c>
      <c r="J1874">
        <f t="shared" si="135"/>
        <v>0</v>
      </c>
      <c r="K1874">
        <f t="shared" si="135"/>
        <v>0</v>
      </c>
      <c r="M1874" t="str" cm="1">
        <f t="array" ref="M1874">IFERROR(INDEX($I$2:$K$2,0,MATCH(TRUE,I1874:K1874,0)),E1874)</f>
        <v>CHP New</v>
      </c>
      <c r="O1874" t="str">
        <f t="shared" si="133"/>
        <v>CHP New_2024</v>
      </c>
      <c r="P1874">
        <f t="shared" si="134"/>
        <v>14.2724166</v>
      </c>
    </row>
    <row r="1875" spans="4:16" x14ac:dyDescent="0.25">
      <c r="D1875">
        <v>2025</v>
      </c>
      <c r="E1875" t="s">
        <v>227</v>
      </c>
      <c r="F1875" t="s">
        <v>244</v>
      </c>
      <c r="G1875">
        <v>13.89323795</v>
      </c>
      <c r="I1875">
        <f t="shared" si="135"/>
        <v>0</v>
      </c>
      <c r="J1875">
        <f t="shared" si="135"/>
        <v>0</v>
      </c>
      <c r="K1875">
        <f t="shared" si="135"/>
        <v>0</v>
      </c>
      <c r="M1875" t="str" cm="1">
        <f t="array" ref="M1875">IFERROR(INDEX($I$2:$K$2,0,MATCH(TRUE,I1875:K1875,0)),E1875)</f>
        <v>CHP New</v>
      </c>
      <c r="O1875" t="str">
        <f t="shared" ref="O1875:O1938" si="136">M1875&amp;"_"&amp;D1875</f>
        <v>CHP New_2025</v>
      </c>
      <c r="P1875">
        <f t="shared" ref="P1875:P1938" si="137">G1875</f>
        <v>13.89323795</v>
      </c>
    </row>
    <row r="1876" spans="4:16" x14ac:dyDescent="0.25">
      <c r="D1876">
        <v>2026</v>
      </c>
      <c r="E1876" t="s">
        <v>227</v>
      </c>
      <c r="F1876" t="s">
        <v>244</v>
      </c>
      <c r="G1876">
        <v>13.89323795</v>
      </c>
      <c r="I1876">
        <f t="shared" si="135"/>
        <v>0</v>
      </c>
      <c r="J1876">
        <f t="shared" si="135"/>
        <v>0</v>
      </c>
      <c r="K1876">
        <f t="shared" si="135"/>
        <v>0</v>
      </c>
      <c r="M1876" t="str" cm="1">
        <f t="array" ref="M1876">IFERROR(INDEX($I$2:$K$2,0,MATCH(TRUE,I1876:K1876,0)),E1876)</f>
        <v>CHP New</v>
      </c>
      <c r="O1876" t="str">
        <f t="shared" si="136"/>
        <v>CHP New_2026</v>
      </c>
      <c r="P1876">
        <f t="shared" si="137"/>
        <v>13.89323795</v>
      </c>
    </row>
    <row r="1877" spans="4:16" x14ac:dyDescent="0.25">
      <c r="D1877">
        <v>2027</v>
      </c>
      <c r="E1877" t="s">
        <v>227</v>
      </c>
      <c r="F1877" t="s">
        <v>244</v>
      </c>
      <c r="G1877">
        <v>13.89323795</v>
      </c>
      <c r="I1877">
        <f t="shared" ref="I1877:K1940" si="138">IFERROR(FIND(I$2,$E1877,1)&gt;0,0)</f>
        <v>0</v>
      </c>
      <c r="J1877">
        <f t="shared" si="138"/>
        <v>0</v>
      </c>
      <c r="K1877">
        <f t="shared" si="138"/>
        <v>0</v>
      </c>
      <c r="M1877" t="str" cm="1">
        <f t="array" ref="M1877">IFERROR(INDEX($I$2:$K$2,0,MATCH(TRUE,I1877:K1877,0)),E1877)</f>
        <v>CHP New</v>
      </c>
      <c r="O1877" t="str">
        <f t="shared" si="136"/>
        <v>CHP New_2027</v>
      </c>
      <c r="P1877">
        <f t="shared" si="137"/>
        <v>13.89323795</v>
      </c>
    </row>
    <row r="1878" spans="4:16" x14ac:dyDescent="0.25">
      <c r="D1878">
        <v>2028</v>
      </c>
      <c r="E1878" t="s">
        <v>227</v>
      </c>
      <c r="F1878" t="s">
        <v>244</v>
      </c>
      <c r="G1878">
        <v>13.89323795</v>
      </c>
      <c r="I1878">
        <f t="shared" si="138"/>
        <v>0</v>
      </c>
      <c r="J1878">
        <f t="shared" si="138"/>
        <v>0</v>
      </c>
      <c r="K1878">
        <f t="shared" si="138"/>
        <v>0</v>
      </c>
      <c r="M1878" t="str" cm="1">
        <f t="array" ref="M1878">IFERROR(INDEX($I$2:$K$2,0,MATCH(TRUE,I1878:K1878,0)),E1878)</f>
        <v>CHP New</v>
      </c>
      <c r="O1878" t="str">
        <f t="shared" si="136"/>
        <v>CHP New_2028</v>
      </c>
      <c r="P1878">
        <f t="shared" si="137"/>
        <v>13.89323795</v>
      </c>
    </row>
    <row r="1879" spans="4:16" x14ac:dyDescent="0.25">
      <c r="D1879">
        <v>2029</v>
      </c>
      <c r="E1879" t="s">
        <v>227</v>
      </c>
      <c r="F1879" t="s">
        <v>244</v>
      </c>
      <c r="G1879">
        <v>13.89323795</v>
      </c>
      <c r="I1879">
        <f t="shared" si="138"/>
        <v>0</v>
      </c>
      <c r="J1879">
        <f t="shared" si="138"/>
        <v>0</v>
      </c>
      <c r="K1879">
        <f t="shared" si="138"/>
        <v>0</v>
      </c>
      <c r="M1879" t="str" cm="1">
        <f t="array" ref="M1879">IFERROR(INDEX($I$2:$K$2,0,MATCH(TRUE,I1879:K1879,0)),E1879)</f>
        <v>CHP New</v>
      </c>
      <c r="O1879" t="str">
        <f t="shared" si="136"/>
        <v>CHP New_2029</v>
      </c>
      <c r="P1879">
        <f t="shared" si="137"/>
        <v>13.89323795</v>
      </c>
    </row>
    <row r="1880" spans="4:16" x14ac:dyDescent="0.25">
      <c r="D1880">
        <v>2030</v>
      </c>
      <c r="E1880" t="s">
        <v>227</v>
      </c>
      <c r="F1880" t="s">
        <v>244</v>
      </c>
      <c r="G1880">
        <v>13.89323795</v>
      </c>
      <c r="I1880">
        <f t="shared" si="138"/>
        <v>0</v>
      </c>
      <c r="J1880">
        <f t="shared" si="138"/>
        <v>0</v>
      </c>
      <c r="K1880">
        <f t="shared" si="138"/>
        <v>0</v>
      </c>
      <c r="M1880" t="str" cm="1">
        <f t="array" ref="M1880">IFERROR(INDEX($I$2:$K$2,0,MATCH(TRUE,I1880:K1880,0)),E1880)</f>
        <v>CHP New</v>
      </c>
      <c r="O1880" t="str">
        <f t="shared" si="136"/>
        <v>CHP New_2030</v>
      </c>
      <c r="P1880">
        <f t="shared" si="137"/>
        <v>13.89323795</v>
      </c>
    </row>
    <row r="1881" spans="4:16" x14ac:dyDescent="0.25">
      <c r="D1881">
        <v>2031</v>
      </c>
      <c r="E1881" t="s">
        <v>227</v>
      </c>
      <c r="F1881" t="s">
        <v>244</v>
      </c>
      <c r="G1881">
        <v>13.89323795</v>
      </c>
      <c r="I1881">
        <f t="shared" si="138"/>
        <v>0</v>
      </c>
      <c r="J1881">
        <f t="shared" si="138"/>
        <v>0</v>
      </c>
      <c r="K1881">
        <f t="shared" si="138"/>
        <v>0</v>
      </c>
      <c r="M1881" t="str" cm="1">
        <f t="array" ref="M1881">IFERROR(INDEX($I$2:$K$2,0,MATCH(TRUE,I1881:K1881,0)),E1881)</f>
        <v>CHP New</v>
      </c>
      <c r="O1881" t="str">
        <f t="shared" si="136"/>
        <v>CHP New_2031</v>
      </c>
      <c r="P1881">
        <f t="shared" si="137"/>
        <v>13.89323795</v>
      </c>
    </row>
    <row r="1882" spans="4:16" x14ac:dyDescent="0.25">
      <c r="D1882">
        <v>2032</v>
      </c>
      <c r="E1882" t="s">
        <v>227</v>
      </c>
      <c r="F1882" t="s">
        <v>244</v>
      </c>
      <c r="G1882">
        <v>13.89323795</v>
      </c>
      <c r="I1882">
        <f t="shared" si="138"/>
        <v>0</v>
      </c>
      <c r="J1882">
        <f t="shared" si="138"/>
        <v>0</v>
      </c>
      <c r="K1882">
        <f t="shared" si="138"/>
        <v>0</v>
      </c>
      <c r="M1882" t="str" cm="1">
        <f t="array" ref="M1882">IFERROR(INDEX($I$2:$K$2,0,MATCH(TRUE,I1882:K1882,0)),E1882)</f>
        <v>CHP New</v>
      </c>
      <c r="O1882" t="str">
        <f t="shared" si="136"/>
        <v>CHP New_2032</v>
      </c>
      <c r="P1882">
        <f t="shared" si="137"/>
        <v>13.89323795</v>
      </c>
    </row>
    <row r="1883" spans="4:16" x14ac:dyDescent="0.25">
      <c r="D1883">
        <v>2033</v>
      </c>
      <c r="E1883" t="s">
        <v>227</v>
      </c>
      <c r="F1883" t="s">
        <v>244</v>
      </c>
      <c r="G1883">
        <v>13.89323795</v>
      </c>
      <c r="I1883">
        <f t="shared" si="138"/>
        <v>0</v>
      </c>
      <c r="J1883">
        <f t="shared" si="138"/>
        <v>0</v>
      </c>
      <c r="K1883">
        <f t="shared" si="138"/>
        <v>0</v>
      </c>
      <c r="M1883" t="str" cm="1">
        <f t="array" ref="M1883">IFERROR(INDEX($I$2:$K$2,0,MATCH(TRUE,I1883:K1883,0)),E1883)</f>
        <v>CHP New</v>
      </c>
      <c r="O1883" t="str">
        <f t="shared" si="136"/>
        <v>CHP New_2033</v>
      </c>
      <c r="P1883">
        <f t="shared" si="137"/>
        <v>13.89323795</v>
      </c>
    </row>
    <row r="1884" spans="4:16" x14ac:dyDescent="0.25">
      <c r="D1884">
        <v>2034</v>
      </c>
      <c r="E1884" t="s">
        <v>227</v>
      </c>
      <c r="F1884" t="s">
        <v>244</v>
      </c>
      <c r="G1884">
        <v>13.89323795</v>
      </c>
      <c r="I1884">
        <f t="shared" si="138"/>
        <v>0</v>
      </c>
      <c r="J1884">
        <f t="shared" si="138"/>
        <v>0</v>
      </c>
      <c r="K1884">
        <f t="shared" si="138"/>
        <v>0</v>
      </c>
      <c r="M1884" t="str" cm="1">
        <f t="array" ref="M1884">IFERROR(INDEX($I$2:$K$2,0,MATCH(TRUE,I1884:K1884,0)),E1884)</f>
        <v>CHP New</v>
      </c>
      <c r="O1884" t="str">
        <f t="shared" si="136"/>
        <v>CHP New_2034</v>
      </c>
      <c r="P1884">
        <f t="shared" si="137"/>
        <v>13.89323795</v>
      </c>
    </row>
    <row r="1885" spans="4:16" x14ac:dyDescent="0.25">
      <c r="D1885">
        <v>2035</v>
      </c>
      <c r="E1885" t="s">
        <v>227</v>
      </c>
      <c r="F1885" t="s">
        <v>244</v>
      </c>
      <c r="G1885">
        <v>13.89323795</v>
      </c>
      <c r="I1885">
        <f t="shared" si="138"/>
        <v>0</v>
      </c>
      <c r="J1885">
        <f t="shared" si="138"/>
        <v>0</v>
      </c>
      <c r="K1885">
        <f t="shared" si="138"/>
        <v>0</v>
      </c>
      <c r="M1885" t="str" cm="1">
        <f t="array" ref="M1885">IFERROR(INDEX($I$2:$K$2,0,MATCH(TRUE,I1885:K1885,0)),E1885)</f>
        <v>CHP New</v>
      </c>
      <c r="O1885" t="str">
        <f t="shared" si="136"/>
        <v>CHP New_2035</v>
      </c>
      <c r="P1885">
        <f t="shared" si="137"/>
        <v>13.89323795</v>
      </c>
    </row>
    <row r="1886" spans="4:16" x14ac:dyDescent="0.25">
      <c r="D1886">
        <v>2036</v>
      </c>
      <c r="E1886" t="s">
        <v>227</v>
      </c>
      <c r="F1886" t="s">
        <v>244</v>
      </c>
      <c r="G1886">
        <v>14.2724166</v>
      </c>
      <c r="I1886">
        <f t="shared" si="138"/>
        <v>0</v>
      </c>
      <c r="J1886">
        <f t="shared" si="138"/>
        <v>0</v>
      </c>
      <c r="K1886">
        <f t="shared" si="138"/>
        <v>0</v>
      </c>
      <c r="M1886" t="str" cm="1">
        <f t="array" ref="M1886">IFERROR(INDEX($I$2:$K$2,0,MATCH(TRUE,I1886:K1886,0)),E1886)</f>
        <v>CHP New</v>
      </c>
      <c r="O1886" t="str">
        <f t="shared" si="136"/>
        <v>CHP New_2036</v>
      </c>
      <c r="P1886">
        <f t="shared" si="137"/>
        <v>14.2724166</v>
      </c>
    </row>
    <row r="1887" spans="4:16" x14ac:dyDescent="0.25">
      <c r="D1887">
        <v>2037</v>
      </c>
      <c r="E1887" t="s">
        <v>227</v>
      </c>
      <c r="F1887" t="s">
        <v>244</v>
      </c>
      <c r="G1887">
        <v>13.89323795</v>
      </c>
      <c r="I1887">
        <f t="shared" si="138"/>
        <v>0</v>
      </c>
      <c r="J1887">
        <f t="shared" si="138"/>
        <v>0</v>
      </c>
      <c r="K1887">
        <f t="shared" si="138"/>
        <v>0</v>
      </c>
      <c r="M1887" t="str" cm="1">
        <f t="array" ref="M1887">IFERROR(INDEX($I$2:$K$2,0,MATCH(TRUE,I1887:K1887,0)),E1887)</f>
        <v>CHP New</v>
      </c>
      <c r="O1887" t="str">
        <f t="shared" si="136"/>
        <v>CHP New_2037</v>
      </c>
      <c r="P1887">
        <f t="shared" si="137"/>
        <v>13.89323795</v>
      </c>
    </row>
    <row r="1888" spans="4:16" x14ac:dyDescent="0.25">
      <c r="D1888">
        <v>2038</v>
      </c>
      <c r="E1888" t="s">
        <v>227</v>
      </c>
      <c r="F1888" t="s">
        <v>244</v>
      </c>
      <c r="G1888">
        <v>13.89323795</v>
      </c>
      <c r="I1888">
        <f t="shared" si="138"/>
        <v>0</v>
      </c>
      <c r="J1888">
        <f t="shared" si="138"/>
        <v>0</v>
      </c>
      <c r="K1888">
        <f t="shared" si="138"/>
        <v>0</v>
      </c>
      <c r="M1888" t="str" cm="1">
        <f t="array" ref="M1888">IFERROR(INDEX($I$2:$K$2,0,MATCH(TRUE,I1888:K1888,0)),E1888)</f>
        <v>CHP New</v>
      </c>
      <c r="O1888" t="str">
        <f t="shared" si="136"/>
        <v>CHP New_2038</v>
      </c>
      <c r="P1888">
        <f t="shared" si="137"/>
        <v>13.89323795</v>
      </c>
    </row>
    <row r="1889" spans="4:16" x14ac:dyDescent="0.25">
      <c r="D1889">
        <v>2039</v>
      </c>
      <c r="E1889" t="s">
        <v>227</v>
      </c>
      <c r="F1889" t="s">
        <v>244</v>
      </c>
      <c r="G1889">
        <v>13.89323795</v>
      </c>
      <c r="I1889">
        <f t="shared" si="138"/>
        <v>0</v>
      </c>
      <c r="J1889">
        <f t="shared" si="138"/>
        <v>0</v>
      </c>
      <c r="K1889">
        <f t="shared" si="138"/>
        <v>0</v>
      </c>
      <c r="M1889" t="str" cm="1">
        <f t="array" ref="M1889">IFERROR(INDEX($I$2:$K$2,0,MATCH(TRUE,I1889:K1889,0)),E1889)</f>
        <v>CHP New</v>
      </c>
      <c r="O1889" t="str">
        <f t="shared" si="136"/>
        <v>CHP New_2039</v>
      </c>
      <c r="P1889">
        <f t="shared" si="137"/>
        <v>13.89323795</v>
      </c>
    </row>
    <row r="1890" spans="4:16" x14ac:dyDescent="0.25">
      <c r="D1890">
        <v>2040</v>
      </c>
      <c r="E1890" t="s">
        <v>227</v>
      </c>
      <c r="F1890" t="s">
        <v>244</v>
      </c>
      <c r="G1890">
        <v>14.2724166</v>
      </c>
      <c r="I1890">
        <f t="shared" si="138"/>
        <v>0</v>
      </c>
      <c r="J1890">
        <f t="shared" si="138"/>
        <v>0</v>
      </c>
      <c r="K1890">
        <f t="shared" si="138"/>
        <v>0</v>
      </c>
      <c r="M1890" t="str" cm="1">
        <f t="array" ref="M1890">IFERROR(INDEX($I$2:$K$2,0,MATCH(TRUE,I1890:K1890,0)),E1890)</f>
        <v>CHP New</v>
      </c>
      <c r="O1890" t="str">
        <f t="shared" si="136"/>
        <v>CHP New_2040</v>
      </c>
      <c r="P1890">
        <f t="shared" si="137"/>
        <v>14.2724166</v>
      </c>
    </row>
    <row r="1891" spans="4:16" x14ac:dyDescent="0.25">
      <c r="D1891">
        <v>2021</v>
      </c>
      <c r="E1891" t="s">
        <v>227</v>
      </c>
      <c r="F1891" t="s">
        <v>245</v>
      </c>
      <c r="G1891">
        <v>18.148421219999999</v>
      </c>
      <c r="I1891">
        <f t="shared" si="138"/>
        <v>0</v>
      </c>
      <c r="J1891">
        <f t="shared" si="138"/>
        <v>0</v>
      </c>
      <c r="K1891">
        <f t="shared" si="138"/>
        <v>0</v>
      </c>
      <c r="M1891" t="str" cm="1">
        <f t="array" ref="M1891">IFERROR(INDEX($I$2:$K$2,0,MATCH(TRUE,I1891:K1891,0)),E1891)</f>
        <v>CHP New</v>
      </c>
      <c r="O1891" t="str">
        <f t="shared" si="136"/>
        <v>CHP New_2021</v>
      </c>
      <c r="P1891">
        <f t="shared" si="137"/>
        <v>18.148421219999999</v>
      </c>
    </row>
    <row r="1892" spans="4:16" x14ac:dyDescent="0.25">
      <c r="D1892">
        <v>2022</v>
      </c>
      <c r="E1892" t="s">
        <v>227</v>
      </c>
      <c r="F1892" t="s">
        <v>245</v>
      </c>
      <c r="G1892">
        <v>18.148421219999999</v>
      </c>
      <c r="I1892">
        <f t="shared" si="138"/>
        <v>0</v>
      </c>
      <c r="J1892">
        <f t="shared" si="138"/>
        <v>0</v>
      </c>
      <c r="K1892">
        <f t="shared" si="138"/>
        <v>0</v>
      </c>
      <c r="M1892" t="str" cm="1">
        <f t="array" ref="M1892">IFERROR(INDEX($I$2:$K$2,0,MATCH(TRUE,I1892:K1892,0)),E1892)</f>
        <v>CHP New</v>
      </c>
      <c r="O1892" t="str">
        <f t="shared" si="136"/>
        <v>CHP New_2022</v>
      </c>
      <c r="P1892">
        <f t="shared" si="137"/>
        <v>18.148421219999999</v>
      </c>
    </row>
    <row r="1893" spans="4:16" x14ac:dyDescent="0.25">
      <c r="D1893">
        <v>2023</v>
      </c>
      <c r="E1893" t="s">
        <v>227</v>
      </c>
      <c r="F1893" t="s">
        <v>245</v>
      </c>
      <c r="G1893">
        <v>18.148421219999999</v>
      </c>
      <c r="I1893">
        <f t="shared" si="138"/>
        <v>0</v>
      </c>
      <c r="J1893">
        <f t="shared" si="138"/>
        <v>0</v>
      </c>
      <c r="K1893">
        <f t="shared" si="138"/>
        <v>0</v>
      </c>
      <c r="M1893" t="str" cm="1">
        <f t="array" ref="M1893">IFERROR(INDEX($I$2:$K$2,0,MATCH(TRUE,I1893:K1893,0)),E1893)</f>
        <v>CHP New</v>
      </c>
      <c r="O1893" t="str">
        <f t="shared" si="136"/>
        <v>CHP New_2023</v>
      </c>
      <c r="P1893">
        <f t="shared" si="137"/>
        <v>18.148421219999999</v>
      </c>
    </row>
    <row r="1894" spans="4:16" x14ac:dyDescent="0.25">
      <c r="D1894">
        <v>2024</v>
      </c>
      <c r="E1894" t="s">
        <v>227</v>
      </c>
      <c r="F1894" t="s">
        <v>245</v>
      </c>
      <c r="G1894">
        <v>18.72726398</v>
      </c>
      <c r="I1894">
        <f t="shared" si="138"/>
        <v>0</v>
      </c>
      <c r="J1894">
        <f t="shared" si="138"/>
        <v>0</v>
      </c>
      <c r="K1894">
        <f t="shared" si="138"/>
        <v>0</v>
      </c>
      <c r="M1894" t="str" cm="1">
        <f t="array" ref="M1894">IFERROR(INDEX($I$2:$K$2,0,MATCH(TRUE,I1894:K1894,0)),E1894)</f>
        <v>CHP New</v>
      </c>
      <c r="O1894" t="str">
        <f t="shared" si="136"/>
        <v>CHP New_2024</v>
      </c>
      <c r="P1894">
        <f t="shared" si="137"/>
        <v>18.72726398</v>
      </c>
    </row>
    <row r="1895" spans="4:16" x14ac:dyDescent="0.25">
      <c r="D1895">
        <v>2025</v>
      </c>
      <c r="E1895" t="s">
        <v>227</v>
      </c>
      <c r="F1895" t="s">
        <v>245</v>
      </c>
      <c r="G1895">
        <v>18.148421219999999</v>
      </c>
      <c r="I1895">
        <f t="shared" si="138"/>
        <v>0</v>
      </c>
      <c r="J1895">
        <f t="shared" si="138"/>
        <v>0</v>
      </c>
      <c r="K1895">
        <f t="shared" si="138"/>
        <v>0</v>
      </c>
      <c r="M1895" t="str" cm="1">
        <f t="array" ref="M1895">IFERROR(INDEX($I$2:$K$2,0,MATCH(TRUE,I1895:K1895,0)),E1895)</f>
        <v>CHP New</v>
      </c>
      <c r="O1895" t="str">
        <f t="shared" si="136"/>
        <v>CHP New_2025</v>
      </c>
      <c r="P1895">
        <f t="shared" si="137"/>
        <v>18.148421219999999</v>
      </c>
    </row>
    <row r="1896" spans="4:16" x14ac:dyDescent="0.25">
      <c r="D1896">
        <v>2026</v>
      </c>
      <c r="E1896" t="s">
        <v>227</v>
      </c>
      <c r="F1896" t="s">
        <v>245</v>
      </c>
      <c r="G1896">
        <v>18.148421219999999</v>
      </c>
      <c r="I1896">
        <f t="shared" si="138"/>
        <v>0</v>
      </c>
      <c r="J1896">
        <f t="shared" si="138"/>
        <v>0</v>
      </c>
      <c r="K1896">
        <f t="shared" si="138"/>
        <v>0</v>
      </c>
      <c r="M1896" t="str" cm="1">
        <f t="array" ref="M1896">IFERROR(INDEX($I$2:$K$2,0,MATCH(TRUE,I1896:K1896,0)),E1896)</f>
        <v>CHP New</v>
      </c>
      <c r="O1896" t="str">
        <f t="shared" si="136"/>
        <v>CHP New_2026</v>
      </c>
      <c r="P1896">
        <f t="shared" si="137"/>
        <v>18.148421219999999</v>
      </c>
    </row>
    <row r="1897" spans="4:16" x14ac:dyDescent="0.25">
      <c r="D1897">
        <v>2027</v>
      </c>
      <c r="E1897" t="s">
        <v>227</v>
      </c>
      <c r="F1897" t="s">
        <v>245</v>
      </c>
      <c r="G1897">
        <v>18.148421219999999</v>
      </c>
      <c r="I1897">
        <f t="shared" si="138"/>
        <v>0</v>
      </c>
      <c r="J1897">
        <f t="shared" si="138"/>
        <v>0</v>
      </c>
      <c r="K1897">
        <f t="shared" si="138"/>
        <v>0</v>
      </c>
      <c r="M1897" t="str" cm="1">
        <f t="array" ref="M1897">IFERROR(INDEX($I$2:$K$2,0,MATCH(TRUE,I1897:K1897,0)),E1897)</f>
        <v>CHP New</v>
      </c>
      <c r="O1897" t="str">
        <f t="shared" si="136"/>
        <v>CHP New_2027</v>
      </c>
      <c r="P1897">
        <f t="shared" si="137"/>
        <v>18.148421219999999</v>
      </c>
    </row>
    <row r="1898" spans="4:16" x14ac:dyDescent="0.25">
      <c r="D1898">
        <v>2028</v>
      </c>
      <c r="E1898" t="s">
        <v>227</v>
      </c>
      <c r="F1898" t="s">
        <v>245</v>
      </c>
      <c r="G1898">
        <v>18.148421219999999</v>
      </c>
      <c r="I1898">
        <f t="shared" si="138"/>
        <v>0</v>
      </c>
      <c r="J1898">
        <f t="shared" si="138"/>
        <v>0</v>
      </c>
      <c r="K1898">
        <f t="shared" si="138"/>
        <v>0</v>
      </c>
      <c r="M1898" t="str" cm="1">
        <f t="array" ref="M1898">IFERROR(INDEX($I$2:$K$2,0,MATCH(TRUE,I1898:K1898,0)),E1898)</f>
        <v>CHP New</v>
      </c>
      <c r="O1898" t="str">
        <f t="shared" si="136"/>
        <v>CHP New_2028</v>
      </c>
      <c r="P1898">
        <f t="shared" si="137"/>
        <v>18.148421219999999</v>
      </c>
    </row>
    <row r="1899" spans="4:16" x14ac:dyDescent="0.25">
      <c r="D1899">
        <v>2029</v>
      </c>
      <c r="E1899" t="s">
        <v>227</v>
      </c>
      <c r="F1899" t="s">
        <v>245</v>
      </c>
      <c r="G1899">
        <v>18.148421219999999</v>
      </c>
      <c r="I1899">
        <f t="shared" si="138"/>
        <v>0</v>
      </c>
      <c r="J1899">
        <f t="shared" si="138"/>
        <v>0</v>
      </c>
      <c r="K1899">
        <f t="shared" si="138"/>
        <v>0</v>
      </c>
      <c r="M1899" t="str" cm="1">
        <f t="array" ref="M1899">IFERROR(INDEX($I$2:$K$2,0,MATCH(TRUE,I1899:K1899,0)),E1899)</f>
        <v>CHP New</v>
      </c>
      <c r="O1899" t="str">
        <f t="shared" si="136"/>
        <v>CHP New_2029</v>
      </c>
      <c r="P1899">
        <f t="shared" si="137"/>
        <v>18.148421219999999</v>
      </c>
    </row>
    <row r="1900" spans="4:16" x14ac:dyDescent="0.25">
      <c r="D1900">
        <v>2030</v>
      </c>
      <c r="E1900" t="s">
        <v>227</v>
      </c>
      <c r="F1900" t="s">
        <v>245</v>
      </c>
      <c r="G1900">
        <v>18.148421219999999</v>
      </c>
      <c r="I1900">
        <f t="shared" si="138"/>
        <v>0</v>
      </c>
      <c r="J1900">
        <f t="shared" si="138"/>
        <v>0</v>
      </c>
      <c r="K1900">
        <f t="shared" si="138"/>
        <v>0</v>
      </c>
      <c r="M1900" t="str" cm="1">
        <f t="array" ref="M1900">IFERROR(INDEX($I$2:$K$2,0,MATCH(TRUE,I1900:K1900,0)),E1900)</f>
        <v>CHP New</v>
      </c>
      <c r="O1900" t="str">
        <f t="shared" si="136"/>
        <v>CHP New_2030</v>
      </c>
      <c r="P1900">
        <f t="shared" si="137"/>
        <v>18.148421219999999</v>
      </c>
    </row>
    <row r="1901" spans="4:16" x14ac:dyDescent="0.25">
      <c r="D1901">
        <v>2031</v>
      </c>
      <c r="E1901" t="s">
        <v>227</v>
      </c>
      <c r="F1901" t="s">
        <v>245</v>
      </c>
      <c r="G1901">
        <v>18.148421219999999</v>
      </c>
      <c r="I1901">
        <f t="shared" si="138"/>
        <v>0</v>
      </c>
      <c r="J1901">
        <f t="shared" si="138"/>
        <v>0</v>
      </c>
      <c r="K1901">
        <f t="shared" si="138"/>
        <v>0</v>
      </c>
      <c r="M1901" t="str" cm="1">
        <f t="array" ref="M1901">IFERROR(INDEX($I$2:$K$2,0,MATCH(TRUE,I1901:K1901,0)),E1901)</f>
        <v>CHP New</v>
      </c>
      <c r="O1901" t="str">
        <f t="shared" si="136"/>
        <v>CHP New_2031</v>
      </c>
      <c r="P1901">
        <f t="shared" si="137"/>
        <v>18.148421219999999</v>
      </c>
    </row>
    <row r="1902" spans="4:16" x14ac:dyDescent="0.25">
      <c r="D1902">
        <v>2032</v>
      </c>
      <c r="E1902" t="s">
        <v>227</v>
      </c>
      <c r="F1902" t="s">
        <v>245</v>
      </c>
      <c r="G1902">
        <v>18.148421219999999</v>
      </c>
      <c r="I1902">
        <f t="shared" si="138"/>
        <v>0</v>
      </c>
      <c r="J1902">
        <f t="shared" si="138"/>
        <v>0</v>
      </c>
      <c r="K1902">
        <f t="shared" si="138"/>
        <v>0</v>
      </c>
      <c r="M1902" t="str" cm="1">
        <f t="array" ref="M1902">IFERROR(INDEX($I$2:$K$2,0,MATCH(TRUE,I1902:K1902,0)),E1902)</f>
        <v>CHP New</v>
      </c>
      <c r="O1902" t="str">
        <f t="shared" si="136"/>
        <v>CHP New_2032</v>
      </c>
      <c r="P1902">
        <f t="shared" si="137"/>
        <v>18.148421219999999</v>
      </c>
    </row>
    <row r="1903" spans="4:16" x14ac:dyDescent="0.25">
      <c r="D1903">
        <v>2033</v>
      </c>
      <c r="E1903" t="s">
        <v>227</v>
      </c>
      <c r="F1903" t="s">
        <v>245</v>
      </c>
      <c r="G1903">
        <v>18.148421219999999</v>
      </c>
      <c r="I1903">
        <f t="shared" si="138"/>
        <v>0</v>
      </c>
      <c r="J1903">
        <f t="shared" si="138"/>
        <v>0</v>
      </c>
      <c r="K1903">
        <f t="shared" si="138"/>
        <v>0</v>
      </c>
      <c r="M1903" t="str" cm="1">
        <f t="array" ref="M1903">IFERROR(INDEX($I$2:$K$2,0,MATCH(TRUE,I1903:K1903,0)),E1903)</f>
        <v>CHP New</v>
      </c>
      <c r="O1903" t="str">
        <f t="shared" si="136"/>
        <v>CHP New_2033</v>
      </c>
      <c r="P1903">
        <f t="shared" si="137"/>
        <v>18.148421219999999</v>
      </c>
    </row>
    <row r="1904" spans="4:16" x14ac:dyDescent="0.25">
      <c r="D1904">
        <v>2034</v>
      </c>
      <c r="E1904" t="s">
        <v>227</v>
      </c>
      <c r="F1904" t="s">
        <v>245</v>
      </c>
      <c r="G1904">
        <v>18.148421219999999</v>
      </c>
      <c r="I1904">
        <f t="shared" si="138"/>
        <v>0</v>
      </c>
      <c r="J1904">
        <f t="shared" si="138"/>
        <v>0</v>
      </c>
      <c r="K1904">
        <f t="shared" si="138"/>
        <v>0</v>
      </c>
      <c r="M1904" t="str" cm="1">
        <f t="array" ref="M1904">IFERROR(INDEX($I$2:$K$2,0,MATCH(TRUE,I1904:K1904,0)),E1904)</f>
        <v>CHP New</v>
      </c>
      <c r="O1904" t="str">
        <f t="shared" si="136"/>
        <v>CHP New_2034</v>
      </c>
      <c r="P1904">
        <f t="shared" si="137"/>
        <v>18.148421219999999</v>
      </c>
    </row>
    <row r="1905" spans="4:16" x14ac:dyDescent="0.25">
      <c r="D1905">
        <v>2035</v>
      </c>
      <c r="E1905" t="s">
        <v>227</v>
      </c>
      <c r="F1905" t="s">
        <v>245</v>
      </c>
      <c r="G1905">
        <v>18.148421219999999</v>
      </c>
      <c r="I1905">
        <f t="shared" si="138"/>
        <v>0</v>
      </c>
      <c r="J1905">
        <f t="shared" si="138"/>
        <v>0</v>
      </c>
      <c r="K1905">
        <f t="shared" si="138"/>
        <v>0</v>
      </c>
      <c r="M1905" t="str" cm="1">
        <f t="array" ref="M1905">IFERROR(INDEX($I$2:$K$2,0,MATCH(TRUE,I1905:K1905,0)),E1905)</f>
        <v>CHP New</v>
      </c>
      <c r="O1905" t="str">
        <f t="shared" si="136"/>
        <v>CHP New_2035</v>
      </c>
      <c r="P1905">
        <f t="shared" si="137"/>
        <v>18.148421219999999</v>
      </c>
    </row>
    <row r="1906" spans="4:16" x14ac:dyDescent="0.25">
      <c r="D1906">
        <v>2036</v>
      </c>
      <c r="E1906" t="s">
        <v>227</v>
      </c>
      <c r="F1906" t="s">
        <v>245</v>
      </c>
      <c r="G1906">
        <v>18.72726398</v>
      </c>
      <c r="I1906">
        <f t="shared" si="138"/>
        <v>0</v>
      </c>
      <c r="J1906">
        <f t="shared" si="138"/>
        <v>0</v>
      </c>
      <c r="K1906">
        <f t="shared" si="138"/>
        <v>0</v>
      </c>
      <c r="M1906" t="str" cm="1">
        <f t="array" ref="M1906">IFERROR(INDEX($I$2:$K$2,0,MATCH(TRUE,I1906:K1906,0)),E1906)</f>
        <v>CHP New</v>
      </c>
      <c r="O1906" t="str">
        <f t="shared" si="136"/>
        <v>CHP New_2036</v>
      </c>
      <c r="P1906">
        <f t="shared" si="137"/>
        <v>18.72726398</v>
      </c>
    </row>
    <row r="1907" spans="4:16" x14ac:dyDescent="0.25">
      <c r="D1907">
        <v>2037</v>
      </c>
      <c r="E1907" t="s">
        <v>227</v>
      </c>
      <c r="F1907" t="s">
        <v>245</v>
      </c>
      <c r="G1907">
        <v>18.148421219999999</v>
      </c>
      <c r="I1907">
        <f t="shared" si="138"/>
        <v>0</v>
      </c>
      <c r="J1907">
        <f t="shared" si="138"/>
        <v>0</v>
      </c>
      <c r="K1907">
        <f t="shared" si="138"/>
        <v>0</v>
      </c>
      <c r="M1907" t="str" cm="1">
        <f t="array" ref="M1907">IFERROR(INDEX($I$2:$K$2,0,MATCH(TRUE,I1907:K1907,0)),E1907)</f>
        <v>CHP New</v>
      </c>
      <c r="O1907" t="str">
        <f t="shared" si="136"/>
        <v>CHP New_2037</v>
      </c>
      <c r="P1907">
        <f t="shared" si="137"/>
        <v>18.148421219999999</v>
      </c>
    </row>
    <row r="1908" spans="4:16" x14ac:dyDescent="0.25">
      <c r="D1908">
        <v>2038</v>
      </c>
      <c r="E1908" t="s">
        <v>227</v>
      </c>
      <c r="F1908" t="s">
        <v>245</v>
      </c>
      <c r="G1908">
        <v>18.148421219999999</v>
      </c>
      <c r="I1908">
        <f t="shared" si="138"/>
        <v>0</v>
      </c>
      <c r="J1908">
        <f t="shared" si="138"/>
        <v>0</v>
      </c>
      <c r="K1908">
        <f t="shared" si="138"/>
        <v>0</v>
      </c>
      <c r="M1908" t="str" cm="1">
        <f t="array" ref="M1908">IFERROR(INDEX($I$2:$K$2,0,MATCH(TRUE,I1908:K1908,0)),E1908)</f>
        <v>CHP New</v>
      </c>
      <c r="O1908" t="str">
        <f t="shared" si="136"/>
        <v>CHP New_2038</v>
      </c>
      <c r="P1908">
        <f t="shared" si="137"/>
        <v>18.148421219999999</v>
      </c>
    </row>
    <row r="1909" spans="4:16" x14ac:dyDescent="0.25">
      <c r="D1909">
        <v>2039</v>
      </c>
      <c r="E1909" t="s">
        <v>227</v>
      </c>
      <c r="F1909" t="s">
        <v>245</v>
      </c>
      <c r="G1909">
        <v>18.148421219999999</v>
      </c>
      <c r="I1909">
        <f t="shared" si="138"/>
        <v>0</v>
      </c>
      <c r="J1909">
        <f t="shared" si="138"/>
        <v>0</v>
      </c>
      <c r="K1909">
        <f t="shared" si="138"/>
        <v>0</v>
      </c>
      <c r="M1909" t="str" cm="1">
        <f t="array" ref="M1909">IFERROR(INDEX($I$2:$K$2,0,MATCH(TRUE,I1909:K1909,0)),E1909)</f>
        <v>CHP New</v>
      </c>
      <c r="O1909" t="str">
        <f t="shared" si="136"/>
        <v>CHP New_2039</v>
      </c>
      <c r="P1909">
        <f t="shared" si="137"/>
        <v>18.148421219999999</v>
      </c>
    </row>
    <row r="1910" spans="4:16" x14ac:dyDescent="0.25">
      <c r="D1910">
        <v>2040</v>
      </c>
      <c r="E1910" t="s">
        <v>227</v>
      </c>
      <c r="F1910" t="s">
        <v>245</v>
      </c>
      <c r="G1910">
        <v>18.72726398</v>
      </c>
      <c r="I1910">
        <f t="shared" si="138"/>
        <v>0</v>
      </c>
      <c r="J1910">
        <f t="shared" si="138"/>
        <v>0</v>
      </c>
      <c r="K1910">
        <f t="shared" si="138"/>
        <v>0</v>
      </c>
      <c r="M1910" t="str" cm="1">
        <f t="array" ref="M1910">IFERROR(INDEX($I$2:$K$2,0,MATCH(TRUE,I1910:K1910,0)),E1910)</f>
        <v>CHP New</v>
      </c>
      <c r="O1910" t="str">
        <f t="shared" si="136"/>
        <v>CHP New_2040</v>
      </c>
      <c r="P1910">
        <f t="shared" si="137"/>
        <v>18.72726398</v>
      </c>
    </row>
    <row r="1911" spans="4:16" x14ac:dyDescent="0.25">
      <c r="D1911">
        <v>2021</v>
      </c>
      <c r="E1911" t="s">
        <v>227</v>
      </c>
      <c r="F1911" t="s">
        <v>246</v>
      </c>
      <c r="G1911">
        <v>18.148421219999999</v>
      </c>
      <c r="I1911">
        <f t="shared" si="138"/>
        <v>0</v>
      </c>
      <c r="J1911">
        <f t="shared" si="138"/>
        <v>0</v>
      </c>
      <c r="K1911">
        <f t="shared" si="138"/>
        <v>0</v>
      </c>
      <c r="M1911" t="str" cm="1">
        <f t="array" ref="M1911">IFERROR(INDEX($I$2:$K$2,0,MATCH(TRUE,I1911:K1911,0)),E1911)</f>
        <v>CHP New</v>
      </c>
      <c r="O1911" t="str">
        <f t="shared" si="136"/>
        <v>CHP New_2021</v>
      </c>
      <c r="P1911">
        <f t="shared" si="137"/>
        <v>18.148421219999999</v>
      </c>
    </row>
    <row r="1912" spans="4:16" x14ac:dyDescent="0.25">
      <c r="D1912">
        <v>2022</v>
      </c>
      <c r="E1912" t="s">
        <v>227</v>
      </c>
      <c r="F1912" t="s">
        <v>246</v>
      </c>
      <c r="G1912">
        <v>18.148421219999999</v>
      </c>
      <c r="I1912">
        <f t="shared" si="138"/>
        <v>0</v>
      </c>
      <c r="J1912">
        <f t="shared" si="138"/>
        <v>0</v>
      </c>
      <c r="K1912">
        <f t="shared" si="138"/>
        <v>0</v>
      </c>
      <c r="M1912" t="str" cm="1">
        <f t="array" ref="M1912">IFERROR(INDEX($I$2:$K$2,0,MATCH(TRUE,I1912:K1912,0)),E1912)</f>
        <v>CHP New</v>
      </c>
      <c r="O1912" t="str">
        <f t="shared" si="136"/>
        <v>CHP New_2022</v>
      </c>
      <c r="P1912">
        <f t="shared" si="137"/>
        <v>18.148421219999999</v>
      </c>
    </row>
    <row r="1913" spans="4:16" x14ac:dyDescent="0.25">
      <c r="D1913">
        <v>2023</v>
      </c>
      <c r="E1913" t="s">
        <v>227</v>
      </c>
      <c r="F1913" t="s">
        <v>246</v>
      </c>
      <c r="G1913">
        <v>18.148421219999999</v>
      </c>
      <c r="I1913">
        <f t="shared" si="138"/>
        <v>0</v>
      </c>
      <c r="J1913">
        <f t="shared" si="138"/>
        <v>0</v>
      </c>
      <c r="K1913">
        <f t="shared" si="138"/>
        <v>0</v>
      </c>
      <c r="M1913" t="str" cm="1">
        <f t="array" ref="M1913">IFERROR(INDEX($I$2:$K$2,0,MATCH(TRUE,I1913:K1913,0)),E1913)</f>
        <v>CHP New</v>
      </c>
      <c r="O1913" t="str">
        <f t="shared" si="136"/>
        <v>CHP New_2023</v>
      </c>
      <c r="P1913">
        <f t="shared" si="137"/>
        <v>18.148421219999999</v>
      </c>
    </row>
    <row r="1914" spans="4:16" x14ac:dyDescent="0.25">
      <c r="D1914">
        <v>2024</v>
      </c>
      <c r="E1914" t="s">
        <v>227</v>
      </c>
      <c r="F1914" t="s">
        <v>246</v>
      </c>
      <c r="G1914">
        <v>18.72726398</v>
      </c>
      <c r="I1914">
        <f t="shared" si="138"/>
        <v>0</v>
      </c>
      <c r="J1914">
        <f t="shared" si="138"/>
        <v>0</v>
      </c>
      <c r="K1914">
        <f t="shared" si="138"/>
        <v>0</v>
      </c>
      <c r="M1914" t="str" cm="1">
        <f t="array" ref="M1914">IFERROR(INDEX($I$2:$K$2,0,MATCH(TRUE,I1914:K1914,0)),E1914)</f>
        <v>CHP New</v>
      </c>
      <c r="O1914" t="str">
        <f t="shared" si="136"/>
        <v>CHP New_2024</v>
      </c>
      <c r="P1914">
        <f t="shared" si="137"/>
        <v>18.72726398</v>
      </c>
    </row>
    <row r="1915" spans="4:16" x14ac:dyDescent="0.25">
      <c r="D1915">
        <v>2025</v>
      </c>
      <c r="E1915" t="s">
        <v>227</v>
      </c>
      <c r="F1915" t="s">
        <v>246</v>
      </c>
      <c r="G1915">
        <v>18.148421219999999</v>
      </c>
      <c r="I1915">
        <f t="shared" si="138"/>
        <v>0</v>
      </c>
      <c r="J1915">
        <f t="shared" si="138"/>
        <v>0</v>
      </c>
      <c r="K1915">
        <f t="shared" si="138"/>
        <v>0</v>
      </c>
      <c r="M1915" t="str" cm="1">
        <f t="array" ref="M1915">IFERROR(INDEX($I$2:$K$2,0,MATCH(TRUE,I1915:K1915,0)),E1915)</f>
        <v>CHP New</v>
      </c>
      <c r="O1915" t="str">
        <f t="shared" si="136"/>
        <v>CHP New_2025</v>
      </c>
      <c r="P1915">
        <f t="shared" si="137"/>
        <v>18.148421219999999</v>
      </c>
    </row>
    <row r="1916" spans="4:16" x14ac:dyDescent="0.25">
      <c r="D1916">
        <v>2026</v>
      </c>
      <c r="E1916" t="s">
        <v>227</v>
      </c>
      <c r="F1916" t="s">
        <v>246</v>
      </c>
      <c r="G1916">
        <v>18.148421219999999</v>
      </c>
      <c r="I1916">
        <f t="shared" si="138"/>
        <v>0</v>
      </c>
      <c r="J1916">
        <f t="shared" si="138"/>
        <v>0</v>
      </c>
      <c r="K1916">
        <f t="shared" si="138"/>
        <v>0</v>
      </c>
      <c r="M1916" t="str" cm="1">
        <f t="array" ref="M1916">IFERROR(INDEX($I$2:$K$2,0,MATCH(TRUE,I1916:K1916,0)),E1916)</f>
        <v>CHP New</v>
      </c>
      <c r="O1916" t="str">
        <f t="shared" si="136"/>
        <v>CHP New_2026</v>
      </c>
      <c r="P1916">
        <f t="shared" si="137"/>
        <v>18.148421219999999</v>
      </c>
    </row>
    <row r="1917" spans="4:16" x14ac:dyDescent="0.25">
      <c r="D1917">
        <v>2027</v>
      </c>
      <c r="E1917" t="s">
        <v>227</v>
      </c>
      <c r="F1917" t="s">
        <v>246</v>
      </c>
      <c r="G1917">
        <v>18.148421219999999</v>
      </c>
      <c r="I1917">
        <f t="shared" si="138"/>
        <v>0</v>
      </c>
      <c r="J1917">
        <f t="shared" si="138"/>
        <v>0</v>
      </c>
      <c r="K1917">
        <f t="shared" si="138"/>
        <v>0</v>
      </c>
      <c r="M1917" t="str" cm="1">
        <f t="array" ref="M1917">IFERROR(INDEX($I$2:$K$2,0,MATCH(TRUE,I1917:K1917,0)),E1917)</f>
        <v>CHP New</v>
      </c>
      <c r="O1917" t="str">
        <f t="shared" si="136"/>
        <v>CHP New_2027</v>
      </c>
      <c r="P1917">
        <f t="shared" si="137"/>
        <v>18.148421219999999</v>
      </c>
    </row>
    <row r="1918" spans="4:16" x14ac:dyDescent="0.25">
      <c r="D1918">
        <v>2028</v>
      </c>
      <c r="E1918" t="s">
        <v>227</v>
      </c>
      <c r="F1918" t="s">
        <v>246</v>
      </c>
      <c r="G1918">
        <v>18.148421219999999</v>
      </c>
      <c r="I1918">
        <f t="shared" si="138"/>
        <v>0</v>
      </c>
      <c r="J1918">
        <f t="shared" si="138"/>
        <v>0</v>
      </c>
      <c r="K1918">
        <f t="shared" si="138"/>
        <v>0</v>
      </c>
      <c r="M1918" t="str" cm="1">
        <f t="array" ref="M1918">IFERROR(INDEX($I$2:$K$2,0,MATCH(TRUE,I1918:K1918,0)),E1918)</f>
        <v>CHP New</v>
      </c>
      <c r="O1918" t="str">
        <f t="shared" si="136"/>
        <v>CHP New_2028</v>
      </c>
      <c r="P1918">
        <f t="shared" si="137"/>
        <v>18.148421219999999</v>
      </c>
    </row>
    <row r="1919" spans="4:16" x14ac:dyDescent="0.25">
      <c r="D1919">
        <v>2029</v>
      </c>
      <c r="E1919" t="s">
        <v>227</v>
      </c>
      <c r="F1919" t="s">
        <v>246</v>
      </c>
      <c r="G1919">
        <v>18.148421219999999</v>
      </c>
      <c r="I1919">
        <f t="shared" si="138"/>
        <v>0</v>
      </c>
      <c r="J1919">
        <f t="shared" si="138"/>
        <v>0</v>
      </c>
      <c r="K1919">
        <f t="shared" si="138"/>
        <v>0</v>
      </c>
      <c r="M1919" t="str" cm="1">
        <f t="array" ref="M1919">IFERROR(INDEX($I$2:$K$2,0,MATCH(TRUE,I1919:K1919,0)),E1919)</f>
        <v>CHP New</v>
      </c>
      <c r="O1919" t="str">
        <f t="shared" si="136"/>
        <v>CHP New_2029</v>
      </c>
      <c r="P1919">
        <f t="shared" si="137"/>
        <v>18.148421219999999</v>
      </c>
    </row>
    <row r="1920" spans="4:16" x14ac:dyDescent="0.25">
      <c r="D1920">
        <v>2030</v>
      </c>
      <c r="E1920" t="s">
        <v>227</v>
      </c>
      <c r="F1920" t="s">
        <v>246</v>
      </c>
      <c r="G1920">
        <v>18.148421219999999</v>
      </c>
      <c r="I1920">
        <f t="shared" si="138"/>
        <v>0</v>
      </c>
      <c r="J1920">
        <f t="shared" si="138"/>
        <v>0</v>
      </c>
      <c r="K1920">
        <f t="shared" si="138"/>
        <v>0</v>
      </c>
      <c r="M1920" t="str" cm="1">
        <f t="array" ref="M1920">IFERROR(INDEX($I$2:$K$2,0,MATCH(TRUE,I1920:K1920,0)),E1920)</f>
        <v>CHP New</v>
      </c>
      <c r="O1920" t="str">
        <f t="shared" si="136"/>
        <v>CHP New_2030</v>
      </c>
      <c r="P1920">
        <f t="shared" si="137"/>
        <v>18.148421219999999</v>
      </c>
    </row>
    <row r="1921" spans="4:16" x14ac:dyDescent="0.25">
      <c r="D1921">
        <v>2031</v>
      </c>
      <c r="E1921" t="s">
        <v>227</v>
      </c>
      <c r="F1921" t="s">
        <v>246</v>
      </c>
      <c r="G1921">
        <v>18.148421219999999</v>
      </c>
      <c r="I1921">
        <f t="shared" si="138"/>
        <v>0</v>
      </c>
      <c r="J1921">
        <f t="shared" si="138"/>
        <v>0</v>
      </c>
      <c r="K1921">
        <f t="shared" si="138"/>
        <v>0</v>
      </c>
      <c r="M1921" t="str" cm="1">
        <f t="array" ref="M1921">IFERROR(INDEX($I$2:$K$2,0,MATCH(TRUE,I1921:K1921,0)),E1921)</f>
        <v>CHP New</v>
      </c>
      <c r="O1921" t="str">
        <f t="shared" si="136"/>
        <v>CHP New_2031</v>
      </c>
      <c r="P1921">
        <f t="shared" si="137"/>
        <v>18.148421219999999</v>
      </c>
    </row>
    <row r="1922" spans="4:16" x14ac:dyDescent="0.25">
      <c r="D1922">
        <v>2032</v>
      </c>
      <c r="E1922" t="s">
        <v>227</v>
      </c>
      <c r="F1922" t="s">
        <v>246</v>
      </c>
      <c r="G1922">
        <v>18.148421219999999</v>
      </c>
      <c r="I1922">
        <f t="shared" si="138"/>
        <v>0</v>
      </c>
      <c r="J1922">
        <f t="shared" si="138"/>
        <v>0</v>
      </c>
      <c r="K1922">
        <f t="shared" si="138"/>
        <v>0</v>
      </c>
      <c r="M1922" t="str" cm="1">
        <f t="array" ref="M1922">IFERROR(INDEX($I$2:$K$2,0,MATCH(TRUE,I1922:K1922,0)),E1922)</f>
        <v>CHP New</v>
      </c>
      <c r="O1922" t="str">
        <f t="shared" si="136"/>
        <v>CHP New_2032</v>
      </c>
      <c r="P1922">
        <f t="shared" si="137"/>
        <v>18.148421219999999</v>
      </c>
    </row>
    <row r="1923" spans="4:16" x14ac:dyDescent="0.25">
      <c r="D1923">
        <v>2033</v>
      </c>
      <c r="E1923" t="s">
        <v>227</v>
      </c>
      <c r="F1923" t="s">
        <v>246</v>
      </c>
      <c r="G1923">
        <v>18.148421219999999</v>
      </c>
      <c r="I1923">
        <f t="shared" si="138"/>
        <v>0</v>
      </c>
      <c r="J1923">
        <f t="shared" si="138"/>
        <v>0</v>
      </c>
      <c r="K1923">
        <f t="shared" si="138"/>
        <v>0</v>
      </c>
      <c r="M1923" t="str" cm="1">
        <f t="array" ref="M1923">IFERROR(INDEX($I$2:$K$2,0,MATCH(TRUE,I1923:K1923,0)),E1923)</f>
        <v>CHP New</v>
      </c>
      <c r="O1923" t="str">
        <f t="shared" si="136"/>
        <v>CHP New_2033</v>
      </c>
      <c r="P1923">
        <f t="shared" si="137"/>
        <v>18.148421219999999</v>
      </c>
    </row>
    <row r="1924" spans="4:16" x14ac:dyDescent="0.25">
      <c r="D1924">
        <v>2034</v>
      </c>
      <c r="E1924" t="s">
        <v>227</v>
      </c>
      <c r="F1924" t="s">
        <v>246</v>
      </c>
      <c r="G1924">
        <v>18.148421219999999</v>
      </c>
      <c r="I1924">
        <f t="shared" si="138"/>
        <v>0</v>
      </c>
      <c r="J1924">
        <f t="shared" si="138"/>
        <v>0</v>
      </c>
      <c r="K1924">
        <f t="shared" si="138"/>
        <v>0</v>
      </c>
      <c r="M1924" t="str" cm="1">
        <f t="array" ref="M1924">IFERROR(INDEX($I$2:$K$2,0,MATCH(TRUE,I1924:K1924,0)),E1924)</f>
        <v>CHP New</v>
      </c>
      <c r="O1924" t="str">
        <f t="shared" si="136"/>
        <v>CHP New_2034</v>
      </c>
      <c r="P1924">
        <f t="shared" si="137"/>
        <v>18.148421219999999</v>
      </c>
    </row>
    <row r="1925" spans="4:16" x14ac:dyDescent="0.25">
      <c r="D1925">
        <v>2035</v>
      </c>
      <c r="E1925" t="s">
        <v>227</v>
      </c>
      <c r="F1925" t="s">
        <v>246</v>
      </c>
      <c r="G1925">
        <v>18.148421219999999</v>
      </c>
      <c r="I1925">
        <f t="shared" si="138"/>
        <v>0</v>
      </c>
      <c r="J1925">
        <f t="shared" si="138"/>
        <v>0</v>
      </c>
      <c r="K1925">
        <f t="shared" si="138"/>
        <v>0</v>
      </c>
      <c r="M1925" t="str" cm="1">
        <f t="array" ref="M1925">IFERROR(INDEX($I$2:$K$2,0,MATCH(TRUE,I1925:K1925,0)),E1925)</f>
        <v>CHP New</v>
      </c>
      <c r="O1925" t="str">
        <f t="shared" si="136"/>
        <v>CHP New_2035</v>
      </c>
      <c r="P1925">
        <f t="shared" si="137"/>
        <v>18.148421219999999</v>
      </c>
    </row>
    <row r="1926" spans="4:16" x14ac:dyDescent="0.25">
      <c r="D1926">
        <v>2036</v>
      </c>
      <c r="E1926" t="s">
        <v>227</v>
      </c>
      <c r="F1926" t="s">
        <v>246</v>
      </c>
      <c r="G1926">
        <v>18.72726398</v>
      </c>
      <c r="I1926">
        <f t="shared" si="138"/>
        <v>0</v>
      </c>
      <c r="J1926">
        <f t="shared" si="138"/>
        <v>0</v>
      </c>
      <c r="K1926">
        <f t="shared" si="138"/>
        <v>0</v>
      </c>
      <c r="M1926" t="str" cm="1">
        <f t="array" ref="M1926">IFERROR(INDEX($I$2:$K$2,0,MATCH(TRUE,I1926:K1926,0)),E1926)</f>
        <v>CHP New</v>
      </c>
      <c r="O1926" t="str">
        <f t="shared" si="136"/>
        <v>CHP New_2036</v>
      </c>
      <c r="P1926">
        <f t="shared" si="137"/>
        <v>18.72726398</v>
      </c>
    </row>
    <row r="1927" spans="4:16" x14ac:dyDescent="0.25">
      <c r="D1927">
        <v>2037</v>
      </c>
      <c r="E1927" t="s">
        <v>227</v>
      </c>
      <c r="F1927" t="s">
        <v>246</v>
      </c>
      <c r="G1927">
        <v>18.148421219999999</v>
      </c>
      <c r="I1927">
        <f t="shared" si="138"/>
        <v>0</v>
      </c>
      <c r="J1927">
        <f t="shared" si="138"/>
        <v>0</v>
      </c>
      <c r="K1927">
        <f t="shared" si="138"/>
        <v>0</v>
      </c>
      <c r="M1927" t="str" cm="1">
        <f t="array" ref="M1927">IFERROR(INDEX($I$2:$K$2,0,MATCH(TRUE,I1927:K1927,0)),E1927)</f>
        <v>CHP New</v>
      </c>
      <c r="O1927" t="str">
        <f t="shared" si="136"/>
        <v>CHP New_2037</v>
      </c>
      <c r="P1927">
        <f t="shared" si="137"/>
        <v>18.148421219999999</v>
      </c>
    </row>
    <row r="1928" spans="4:16" x14ac:dyDescent="0.25">
      <c r="D1928">
        <v>2038</v>
      </c>
      <c r="E1928" t="s">
        <v>227</v>
      </c>
      <c r="F1928" t="s">
        <v>246</v>
      </c>
      <c r="G1928">
        <v>18.148421219999999</v>
      </c>
      <c r="I1928">
        <f t="shared" si="138"/>
        <v>0</v>
      </c>
      <c r="J1928">
        <f t="shared" si="138"/>
        <v>0</v>
      </c>
      <c r="K1928">
        <f t="shared" si="138"/>
        <v>0</v>
      </c>
      <c r="M1928" t="str" cm="1">
        <f t="array" ref="M1928">IFERROR(INDEX($I$2:$K$2,0,MATCH(TRUE,I1928:K1928,0)),E1928)</f>
        <v>CHP New</v>
      </c>
      <c r="O1928" t="str">
        <f t="shared" si="136"/>
        <v>CHP New_2038</v>
      </c>
      <c r="P1928">
        <f t="shared" si="137"/>
        <v>18.148421219999999</v>
      </c>
    </row>
    <row r="1929" spans="4:16" x14ac:dyDescent="0.25">
      <c r="D1929">
        <v>2039</v>
      </c>
      <c r="E1929" t="s">
        <v>227</v>
      </c>
      <c r="F1929" t="s">
        <v>246</v>
      </c>
      <c r="G1929">
        <v>18.148421219999999</v>
      </c>
      <c r="I1929">
        <f t="shared" si="138"/>
        <v>0</v>
      </c>
      <c r="J1929">
        <f t="shared" si="138"/>
        <v>0</v>
      </c>
      <c r="K1929">
        <f t="shared" si="138"/>
        <v>0</v>
      </c>
      <c r="M1929" t="str" cm="1">
        <f t="array" ref="M1929">IFERROR(INDEX($I$2:$K$2,0,MATCH(TRUE,I1929:K1929,0)),E1929)</f>
        <v>CHP New</v>
      </c>
      <c r="O1929" t="str">
        <f t="shared" si="136"/>
        <v>CHP New_2039</v>
      </c>
      <c r="P1929">
        <f t="shared" si="137"/>
        <v>18.148421219999999</v>
      </c>
    </row>
    <row r="1930" spans="4:16" x14ac:dyDescent="0.25">
      <c r="D1930">
        <v>2040</v>
      </c>
      <c r="E1930" t="s">
        <v>227</v>
      </c>
      <c r="F1930" t="s">
        <v>246</v>
      </c>
      <c r="G1930">
        <v>18.72726398</v>
      </c>
      <c r="I1930">
        <f t="shared" si="138"/>
        <v>0</v>
      </c>
      <c r="J1930">
        <f t="shared" si="138"/>
        <v>0</v>
      </c>
      <c r="K1930">
        <f t="shared" si="138"/>
        <v>0</v>
      </c>
      <c r="M1930" t="str" cm="1">
        <f t="array" ref="M1930">IFERROR(INDEX($I$2:$K$2,0,MATCH(TRUE,I1930:K1930,0)),E1930)</f>
        <v>CHP New</v>
      </c>
      <c r="O1930" t="str">
        <f t="shared" si="136"/>
        <v>CHP New_2040</v>
      </c>
      <c r="P1930">
        <f t="shared" si="137"/>
        <v>18.72726398</v>
      </c>
    </row>
    <row r="1931" spans="4:16" x14ac:dyDescent="0.25">
      <c r="D1931">
        <v>2025</v>
      </c>
      <c r="E1931" t="s">
        <v>227</v>
      </c>
      <c r="F1931" t="s">
        <v>247</v>
      </c>
      <c r="G1931">
        <v>0</v>
      </c>
      <c r="I1931">
        <f t="shared" si="138"/>
        <v>0</v>
      </c>
      <c r="J1931">
        <f t="shared" si="138"/>
        <v>0</v>
      </c>
      <c r="K1931">
        <f t="shared" si="138"/>
        <v>0</v>
      </c>
      <c r="M1931" t="str" cm="1">
        <f t="array" ref="M1931">IFERROR(INDEX($I$2:$K$2,0,MATCH(TRUE,I1931:K1931,0)),E1931)</f>
        <v>CHP New</v>
      </c>
      <c r="O1931" t="str">
        <f t="shared" si="136"/>
        <v>CHP New_2025</v>
      </c>
      <c r="P1931">
        <f t="shared" si="137"/>
        <v>0</v>
      </c>
    </row>
    <row r="1932" spans="4:16" x14ac:dyDescent="0.25">
      <c r="D1932">
        <v>2026</v>
      </c>
      <c r="E1932" t="s">
        <v>227</v>
      </c>
      <c r="F1932" t="s">
        <v>247</v>
      </c>
      <c r="G1932">
        <v>156.98384354999999</v>
      </c>
      <c r="I1932">
        <f t="shared" si="138"/>
        <v>0</v>
      </c>
      <c r="J1932">
        <f t="shared" si="138"/>
        <v>0</v>
      </c>
      <c r="K1932">
        <f t="shared" si="138"/>
        <v>0</v>
      </c>
      <c r="M1932" t="str" cm="1">
        <f t="array" ref="M1932">IFERROR(INDEX($I$2:$K$2,0,MATCH(TRUE,I1932:K1932,0)),E1932)</f>
        <v>CHP New</v>
      </c>
      <c r="O1932" t="str">
        <f t="shared" si="136"/>
        <v>CHP New_2026</v>
      </c>
      <c r="P1932">
        <f t="shared" si="137"/>
        <v>156.98384354999999</v>
      </c>
    </row>
    <row r="1933" spans="4:16" x14ac:dyDescent="0.25">
      <c r="D1933">
        <v>2027</v>
      </c>
      <c r="E1933" t="s">
        <v>227</v>
      </c>
      <c r="F1933" t="s">
        <v>247</v>
      </c>
      <c r="G1933">
        <v>156.98384354999999</v>
      </c>
      <c r="I1933">
        <f t="shared" si="138"/>
        <v>0</v>
      </c>
      <c r="J1933">
        <f t="shared" si="138"/>
        <v>0</v>
      </c>
      <c r="K1933">
        <f t="shared" si="138"/>
        <v>0</v>
      </c>
      <c r="M1933" t="str" cm="1">
        <f t="array" ref="M1933">IFERROR(INDEX($I$2:$K$2,0,MATCH(TRUE,I1933:K1933,0)),E1933)</f>
        <v>CHP New</v>
      </c>
      <c r="O1933" t="str">
        <f t="shared" si="136"/>
        <v>CHP New_2027</v>
      </c>
      <c r="P1933">
        <f t="shared" si="137"/>
        <v>156.98384354999999</v>
      </c>
    </row>
    <row r="1934" spans="4:16" x14ac:dyDescent="0.25">
      <c r="D1934">
        <v>2028</v>
      </c>
      <c r="E1934" t="s">
        <v>227</v>
      </c>
      <c r="F1934" t="s">
        <v>247</v>
      </c>
      <c r="G1934">
        <v>156.98384354999999</v>
      </c>
      <c r="I1934">
        <f t="shared" si="138"/>
        <v>0</v>
      </c>
      <c r="J1934">
        <f t="shared" si="138"/>
        <v>0</v>
      </c>
      <c r="K1934">
        <f t="shared" si="138"/>
        <v>0</v>
      </c>
      <c r="M1934" t="str" cm="1">
        <f t="array" ref="M1934">IFERROR(INDEX($I$2:$K$2,0,MATCH(TRUE,I1934:K1934,0)),E1934)</f>
        <v>CHP New</v>
      </c>
      <c r="O1934" t="str">
        <f t="shared" si="136"/>
        <v>CHP New_2028</v>
      </c>
      <c r="P1934">
        <f t="shared" si="137"/>
        <v>156.98384354999999</v>
      </c>
    </row>
    <row r="1935" spans="4:16" x14ac:dyDescent="0.25">
      <c r="D1935">
        <v>2029</v>
      </c>
      <c r="E1935" t="s">
        <v>227</v>
      </c>
      <c r="F1935" t="s">
        <v>247</v>
      </c>
      <c r="G1935">
        <v>156.98384354999999</v>
      </c>
      <c r="I1935">
        <f t="shared" si="138"/>
        <v>0</v>
      </c>
      <c r="J1935">
        <f t="shared" si="138"/>
        <v>0</v>
      </c>
      <c r="K1935">
        <f t="shared" si="138"/>
        <v>0</v>
      </c>
      <c r="M1935" t="str" cm="1">
        <f t="array" ref="M1935">IFERROR(INDEX($I$2:$K$2,0,MATCH(TRUE,I1935:K1935,0)),E1935)</f>
        <v>CHP New</v>
      </c>
      <c r="O1935" t="str">
        <f t="shared" si="136"/>
        <v>CHP New_2029</v>
      </c>
      <c r="P1935">
        <f t="shared" si="137"/>
        <v>156.98384354999999</v>
      </c>
    </row>
    <row r="1936" spans="4:16" x14ac:dyDescent="0.25">
      <c r="D1936">
        <v>2030</v>
      </c>
      <c r="E1936" t="s">
        <v>227</v>
      </c>
      <c r="F1936" t="s">
        <v>247</v>
      </c>
      <c r="G1936">
        <v>156.98384354999999</v>
      </c>
      <c r="I1936">
        <f t="shared" si="138"/>
        <v>0</v>
      </c>
      <c r="J1936">
        <f t="shared" si="138"/>
        <v>0</v>
      </c>
      <c r="K1936">
        <f t="shared" si="138"/>
        <v>0</v>
      </c>
      <c r="M1936" t="str" cm="1">
        <f t="array" ref="M1936">IFERROR(INDEX($I$2:$K$2,0,MATCH(TRUE,I1936:K1936,0)),E1936)</f>
        <v>CHP New</v>
      </c>
      <c r="O1936" t="str">
        <f t="shared" si="136"/>
        <v>CHP New_2030</v>
      </c>
      <c r="P1936">
        <f t="shared" si="137"/>
        <v>156.98384354999999</v>
      </c>
    </row>
    <row r="1937" spans="4:16" x14ac:dyDescent="0.25">
      <c r="D1937">
        <v>2031</v>
      </c>
      <c r="E1937" t="s">
        <v>227</v>
      </c>
      <c r="F1937" t="s">
        <v>247</v>
      </c>
      <c r="G1937">
        <v>156.98384354999999</v>
      </c>
      <c r="I1937">
        <f t="shared" si="138"/>
        <v>0</v>
      </c>
      <c r="J1937">
        <f t="shared" si="138"/>
        <v>0</v>
      </c>
      <c r="K1937">
        <f t="shared" si="138"/>
        <v>0</v>
      </c>
      <c r="M1937" t="str" cm="1">
        <f t="array" ref="M1937">IFERROR(INDEX($I$2:$K$2,0,MATCH(TRUE,I1937:K1937,0)),E1937)</f>
        <v>CHP New</v>
      </c>
      <c r="O1937" t="str">
        <f t="shared" si="136"/>
        <v>CHP New_2031</v>
      </c>
      <c r="P1937">
        <f t="shared" si="137"/>
        <v>156.98384354999999</v>
      </c>
    </row>
    <row r="1938" spans="4:16" x14ac:dyDescent="0.25">
      <c r="D1938">
        <v>2032</v>
      </c>
      <c r="E1938" t="s">
        <v>227</v>
      </c>
      <c r="F1938" t="s">
        <v>247</v>
      </c>
      <c r="G1938">
        <v>156.98384354999999</v>
      </c>
      <c r="I1938">
        <f t="shared" si="138"/>
        <v>0</v>
      </c>
      <c r="J1938">
        <f t="shared" si="138"/>
        <v>0</v>
      </c>
      <c r="K1938">
        <f t="shared" si="138"/>
        <v>0</v>
      </c>
      <c r="M1938" t="str" cm="1">
        <f t="array" ref="M1938">IFERROR(INDEX($I$2:$K$2,0,MATCH(TRUE,I1938:K1938,0)),E1938)</f>
        <v>CHP New</v>
      </c>
      <c r="O1938" t="str">
        <f t="shared" si="136"/>
        <v>CHP New_2032</v>
      </c>
      <c r="P1938">
        <f t="shared" si="137"/>
        <v>156.98384354999999</v>
      </c>
    </row>
    <row r="1939" spans="4:16" x14ac:dyDescent="0.25">
      <c r="D1939">
        <v>2033</v>
      </c>
      <c r="E1939" t="s">
        <v>227</v>
      </c>
      <c r="F1939" t="s">
        <v>247</v>
      </c>
      <c r="G1939">
        <v>156.98384354999999</v>
      </c>
      <c r="I1939">
        <f t="shared" si="138"/>
        <v>0</v>
      </c>
      <c r="J1939">
        <f t="shared" si="138"/>
        <v>0</v>
      </c>
      <c r="K1939">
        <f t="shared" si="138"/>
        <v>0</v>
      </c>
      <c r="M1939" t="str" cm="1">
        <f t="array" ref="M1939">IFERROR(INDEX($I$2:$K$2,0,MATCH(TRUE,I1939:K1939,0)),E1939)</f>
        <v>CHP New</v>
      </c>
      <c r="O1939" t="str">
        <f t="shared" ref="O1939:O2002" si="139">M1939&amp;"_"&amp;D1939</f>
        <v>CHP New_2033</v>
      </c>
      <c r="P1939">
        <f t="shared" ref="P1939:P2002" si="140">G1939</f>
        <v>156.98384354999999</v>
      </c>
    </row>
    <row r="1940" spans="4:16" x14ac:dyDescent="0.25">
      <c r="D1940">
        <v>2034</v>
      </c>
      <c r="E1940" t="s">
        <v>227</v>
      </c>
      <c r="F1940" t="s">
        <v>247</v>
      </c>
      <c r="G1940">
        <v>156.98384354999999</v>
      </c>
      <c r="I1940">
        <f t="shared" si="138"/>
        <v>0</v>
      </c>
      <c r="J1940">
        <f t="shared" si="138"/>
        <v>0</v>
      </c>
      <c r="K1940">
        <f t="shared" si="138"/>
        <v>0</v>
      </c>
      <c r="M1940" t="str" cm="1">
        <f t="array" ref="M1940">IFERROR(INDEX($I$2:$K$2,0,MATCH(TRUE,I1940:K1940,0)),E1940)</f>
        <v>CHP New</v>
      </c>
      <c r="O1940" t="str">
        <f t="shared" si="139"/>
        <v>CHP New_2034</v>
      </c>
      <c r="P1940">
        <f t="shared" si="140"/>
        <v>156.98384354999999</v>
      </c>
    </row>
    <row r="1941" spans="4:16" x14ac:dyDescent="0.25">
      <c r="D1941">
        <v>2035</v>
      </c>
      <c r="E1941" t="s">
        <v>227</v>
      </c>
      <c r="F1941" t="s">
        <v>247</v>
      </c>
      <c r="G1941">
        <v>156.98384354999999</v>
      </c>
      <c r="I1941">
        <f t="shared" ref="I1941:K2004" si="141">IFERROR(FIND(I$2,$E1941,1)&gt;0,0)</f>
        <v>0</v>
      </c>
      <c r="J1941">
        <f t="shared" si="141"/>
        <v>0</v>
      </c>
      <c r="K1941">
        <f t="shared" si="141"/>
        <v>0</v>
      </c>
      <c r="M1941" t="str" cm="1">
        <f t="array" ref="M1941">IFERROR(INDEX($I$2:$K$2,0,MATCH(TRUE,I1941:K1941,0)),E1941)</f>
        <v>CHP New</v>
      </c>
      <c r="O1941" t="str">
        <f t="shared" si="139"/>
        <v>CHP New_2035</v>
      </c>
      <c r="P1941">
        <f t="shared" si="140"/>
        <v>156.98384354999999</v>
      </c>
    </row>
    <row r="1942" spans="4:16" x14ac:dyDescent="0.25">
      <c r="D1942">
        <v>2036</v>
      </c>
      <c r="E1942" t="s">
        <v>227</v>
      </c>
      <c r="F1942" t="s">
        <v>247</v>
      </c>
      <c r="G1942">
        <v>161.99083343000001</v>
      </c>
      <c r="I1942">
        <f t="shared" si="141"/>
        <v>0</v>
      </c>
      <c r="J1942">
        <f t="shared" si="141"/>
        <v>0</v>
      </c>
      <c r="K1942">
        <f t="shared" si="141"/>
        <v>0</v>
      </c>
      <c r="M1942" t="str" cm="1">
        <f t="array" ref="M1942">IFERROR(INDEX($I$2:$K$2,0,MATCH(TRUE,I1942:K1942,0)),E1942)</f>
        <v>CHP New</v>
      </c>
      <c r="O1942" t="str">
        <f t="shared" si="139"/>
        <v>CHP New_2036</v>
      </c>
      <c r="P1942">
        <f t="shared" si="140"/>
        <v>161.99083343000001</v>
      </c>
    </row>
    <row r="1943" spans="4:16" x14ac:dyDescent="0.25">
      <c r="D1943">
        <v>2037</v>
      </c>
      <c r="E1943" t="s">
        <v>227</v>
      </c>
      <c r="F1943" t="s">
        <v>247</v>
      </c>
      <c r="G1943">
        <v>156.98384354999999</v>
      </c>
      <c r="I1943">
        <f t="shared" si="141"/>
        <v>0</v>
      </c>
      <c r="J1943">
        <f t="shared" si="141"/>
        <v>0</v>
      </c>
      <c r="K1943">
        <f t="shared" si="141"/>
        <v>0</v>
      </c>
      <c r="M1943" t="str" cm="1">
        <f t="array" ref="M1943">IFERROR(INDEX($I$2:$K$2,0,MATCH(TRUE,I1943:K1943,0)),E1943)</f>
        <v>CHP New</v>
      </c>
      <c r="O1943" t="str">
        <f t="shared" si="139"/>
        <v>CHP New_2037</v>
      </c>
      <c r="P1943">
        <f t="shared" si="140"/>
        <v>156.98384354999999</v>
      </c>
    </row>
    <row r="1944" spans="4:16" x14ac:dyDescent="0.25">
      <c r="D1944">
        <v>2038</v>
      </c>
      <c r="E1944" t="s">
        <v>227</v>
      </c>
      <c r="F1944" t="s">
        <v>247</v>
      </c>
      <c r="G1944">
        <v>156.98384354999999</v>
      </c>
      <c r="I1944">
        <f t="shared" si="141"/>
        <v>0</v>
      </c>
      <c r="J1944">
        <f t="shared" si="141"/>
        <v>0</v>
      </c>
      <c r="K1944">
        <f t="shared" si="141"/>
        <v>0</v>
      </c>
      <c r="M1944" t="str" cm="1">
        <f t="array" ref="M1944">IFERROR(INDEX($I$2:$K$2,0,MATCH(TRUE,I1944:K1944,0)),E1944)</f>
        <v>CHP New</v>
      </c>
      <c r="O1944" t="str">
        <f t="shared" si="139"/>
        <v>CHP New_2038</v>
      </c>
      <c r="P1944">
        <f t="shared" si="140"/>
        <v>156.98384354999999</v>
      </c>
    </row>
    <row r="1945" spans="4:16" x14ac:dyDescent="0.25">
      <c r="D1945">
        <v>2039</v>
      </c>
      <c r="E1945" t="s">
        <v>227</v>
      </c>
      <c r="F1945" t="s">
        <v>247</v>
      </c>
      <c r="G1945">
        <v>156.98384354999999</v>
      </c>
      <c r="I1945">
        <f t="shared" si="141"/>
        <v>0</v>
      </c>
      <c r="J1945">
        <f t="shared" si="141"/>
        <v>0</v>
      </c>
      <c r="K1945">
        <f t="shared" si="141"/>
        <v>0</v>
      </c>
      <c r="M1945" t="str" cm="1">
        <f t="array" ref="M1945">IFERROR(INDEX($I$2:$K$2,0,MATCH(TRUE,I1945:K1945,0)),E1945)</f>
        <v>CHP New</v>
      </c>
      <c r="O1945" t="str">
        <f t="shared" si="139"/>
        <v>CHP New_2039</v>
      </c>
      <c r="P1945">
        <f t="shared" si="140"/>
        <v>156.98384354999999</v>
      </c>
    </row>
    <row r="1946" spans="4:16" x14ac:dyDescent="0.25">
      <c r="D1946">
        <v>2040</v>
      </c>
      <c r="E1946" t="s">
        <v>227</v>
      </c>
      <c r="F1946" t="s">
        <v>247</v>
      </c>
      <c r="G1946">
        <v>161.99083343000001</v>
      </c>
      <c r="I1946">
        <f t="shared" si="141"/>
        <v>0</v>
      </c>
      <c r="J1946">
        <f t="shared" si="141"/>
        <v>0</v>
      </c>
      <c r="K1946">
        <f t="shared" si="141"/>
        <v>0</v>
      </c>
      <c r="M1946" t="str" cm="1">
        <f t="array" ref="M1946">IFERROR(INDEX($I$2:$K$2,0,MATCH(TRUE,I1946:K1946,0)),E1946)</f>
        <v>CHP New</v>
      </c>
      <c r="O1946" t="str">
        <f t="shared" si="139"/>
        <v>CHP New_2040</v>
      </c>
      <c r="P1946">
        <f t="shared" si="140"/>
        <v>161.99083343000001</v>
      </c>
    </row>
    <row r="1947" spans="4:16" x14ac:dyDescent="0.25">
      <c r="D1947">
        <v>2022</v>
      </c>
      <c r="E1947" t="s">
        <v>227</v>
      </c>
      <c r="F1947" t="s">
        <v>248</v>
      </c>
      <c r="G1947">
        <v>589.82368965000001</v>
      </c>
      <c r="I1947">
        <f t="shared" si="141"/>
        <v>0</v>
      </c>
      <c r="J1947">
        <f t="shared" si="141"/>
        <v>0</v>
      </c>
      <c r="K1947">
        <f t="shared" si="141"/>
        <v>0</v>
      </c>
      <c r="M1947" t="str" cm="1">
        <f t="array" ref="M1947">IFERROR(INDEX($I$2:$K$2,0,MATCH(TRUE,I1947:K1947,0)),E1947)</f>
        <v>CHP New</v>
      </c>
      <c r="O1947" t="str">
        <f t="shared" si="139"/>
        <v>CHP New_2022</v>
      </c>
      <c r="P1947">
        <f t="shared" si="140"/>
        <v>589.82368965000001</v>
      </c>
    </row>
    <row r="1948" spans="4:16" x14ac:dyDescent="0.25">
      <c r="D1948">
        <v>2023</v>
      </c>
      <c r="E1948" t="s">
        <v>227</v>
      </c>
      <c r="F1948" t="s">
        <v>248</v>
      </c>
      <c r="G1948">
        <v>589.82368965000001</v>
      </c>
      <c r="I1948">
        <f t="shared" si="141"/>
        <v>0</v>
      </c>
      <c r="J1948">
        <f t="shared" si="141"/>
        <v>0</v>
      </c>
      <c r="K1948">
        <f t="shared" si="141"/>
        <v>0</v>
      </c>
      <c r="M1948" t="str" cm="1">
        <f t="array" ref="M1948">IFERROR(INDEX($I$2:$K$2,0,MATCH(TRUE,I1948:K1948,0)),E1948)</f>
        <v>CHP New</v>
      </c>
      <c r="O1948" t="str">
        <f t="shared" si="139"/>
        <v>CHP New_2023</v>
      </c>
      <c r="P1948">
        <f t="shared" si="140"/>
        <v>589.82368965000001</v>
      </c>
    </row>
    <row r="1949" spans="4:16" x14ac:dyDescent="0.25">
      <c r="D1949">
        <v>2024</v>
      </c>
      <c r="E1949" t="s">
        <v>227</v>
      </c>
      <c r="F1949" t="s">
        <v>248</v>
      </c>
      <c r="G1949">
        <v>608.63607935000005</v>
      </c>
      <c r="I1949">
        <f t="shared" si="141"/>
        <v>0</v>
      </c>
      <c r="J1949">
        <f t="shared" si="141"/>
        <v>0</v>
      </c>
      <c r="K1949">
        <f t="shared" si="141"/>
        <v>0</v>
      </c>
      <c r="M1949" t="str" cm="1">
        <f t="array" ref="M1949">IFERROR(INDEX($I$2:$K$2,0,MATCH(TRUE,I1949:K1949,0)),E1949)</f>
        <v>CHP New</v>
      </c>
      <c r="O1949" t="str">
        <f t="shared" si="139"/>
        <v>CHP New_2024</v>
      </c>
      <c r="P1949">
        <f t="shared" si="140"/>
        <v>608.63607935000005</v>
      </c>
    </row>
    <row r="1950" spans="4:16" x14ac:dyDescent="0.25">
      <c r="D1950">
        <v>2025</v>
      </c>
      <c r="E1950" t="s">
        <v>227</v>
      </c>
      <c r="F1950" t="s">
        <v>248</v>
      </c>
      <c r="G1950">
        <v>589.82368965000001</v>
      </c>
      <c r="I1950">
        <f t="shared" si="141"/>
        <v>0</v>
      </c>
      <c r="J1950">
        <f t="shared" si="141"/>
        <v>0</v>
      </c>
      <c r="K1950">
        <f t="shared" si="141"/>
        <v>0</v>
      </c>
      <c r="M1950" t="str" cm="1">
        <f t="array" ref="M1950">IFERROR(INDEX($I$2:$K$2,0,MATCH(TRUE,I1950:K1950,0)),E1950)</f>
        <v>CHP New</v>
      </c>
      <c r="O1950" t="str">
        <f t="shared" si="139"/>
        <v>CHP New_2025</v>
      </c>
      <c r="P1950">
        <f t="shared" si="140"/>
        <v>589.82368965000001</v>
      </c>
    </row>
    <row r="1951" spans="4:16" x14ac:dyDescent="0.25">
      <c r="D1951">
        <v>2026</v>
      </c>
      <c r="E1951" t="s">
        <v>227</v>
      </c>
      <c r="F1951" t="s">
        <v>248</v>
      </c>
      <c r="G1951">
        <v>589.82368965000001</v>
      </c>
      <c r="I1951">
        <f t="shared" si="141"/>
        <v>0</v>
      </c>
      <c r="J1951">
        <f t="shared" si="141"/>
        <v>0</v>
      </c>
      <c r="K1951">
        <f t="shared" si="141"/>
        <v>0</v>
      </c>
      <c r="M1951" t="str" cm="1">
        <f t="array" ref="M1951">IFERROR(INDEX($I$2:$K$2,0,MATCH(TRUE,I1951:K1951,0)),E1951)</f>
        <v>CHP New</v>
      </c>
      <c r="O1951" t="str">
        <f t="shared" si="139"/>
        <v>CHP New_2026</v>
      </c>
      <c r="P1951">
        <f t="shared" si="140"/>
        <v>589.82368965000001</v>
      </c>
    </row>
    <row r="1952" spans="4:16" x14ac:dyDescent="0.25">
      <c r="D1952">
        <v>2027</v>
      </c>
      <c r="E1952" t="s">
        <v>227</v>
      </c>
      <c r="F1952" t="s">
        <v>248</v>
      </c>
      <c r="G1952">
        <v>589.82368965000001</v>
      </c>
      <c r="I1952">
        <f t="shared" si="141"/>
        <v>0</v>
      </c>
      <c r="J1952">
        <f t="shared" si="141"/>
        <v>0</v>
      </c>
      <c r="K1952">
        <f t="shared" si="141"/>
        <v>0</v>
      </c>
      <c r="M1952" t="str" cm="1">
        <f t="array" ref="M1952">IFERROR(INDEX($I$2:$K$2,0,MATCH(TRUE,I1952:K1952,0)),E1952)</f>
        <v>CHP New</v>
      </c>
      <c r="O1952" t="str">
        <f t="shared" si="139"/>
        <v>CHP New_2027</v>
      </c>
      <c r="P1952">
        <f t="shared" si="140"/>
        <v>589.82368965000001</v>
      </c>
    </row>
    <row r="1953" spans="4:16" x14ac:dyDescent="0.25">
      <c r="D1953">
        <v>2028</v>
      </c>
      <c r="E1953" t="s">
        <v>227</v>
      </c>
      <c r="F1953" t="s">
        <v>248</v>
      </c>
      <c r="G1953">
        <v>589.82368965000001</v>
      </c>
      <c r="I1953">
        <f t="shared" si="141"/>
        <v>0</v>
      </c>
      <c r="J1953">
        <f t="shared" si="141"/>
        <v>0</v>
      </c>
      <c r="K1953">
        <f t="shared" si="141"/>
        <v>0</v>
      </c>
      <c r="M1953" t="str" cm="1">
        <f t="array" ref="M1953">IFERROR(INDEX($I$2:$K$2,0,MATCH(TRUE,I1953:K1953,0)),E1953)</f>
        <v>CHP New</v>
      </c>
      <c r="O1953" t="str">
        <f t="shared" si="139"/>
        <v>CHP New_2028</v>
      </c>
      <c r="P1953">
        <f t="shared" si="140"/>
        <v>589.82368965000001</v>
      </c>
    </row>
    <row r="1954" spans="4:16" x14ac:dyDescent="0.25">
      <c r="D1954">
        <v>2029</v>
      </c>
      <c r="E1954" t="s">
        <v>227</v>
      </c>
      <c r="F1954" t="s">
        <v>248</v>
      </c>
      <c r="G1954">
        <v>589.82368965000001</v>
      </c>
      <c r="I1954">
        <f t="shared" si="141"/>
        <v>0</v>
      </c>
      <c r="J1954">
        <f t="shared" si="141"/>
        <v>0</v>
      </c>
      <c r="K1954">
        <f t="shared" si="141"/>
        <v>0</v>
      </c>
      <c r="M1954" t="str" cm="1">
        <f t="array" ref="M1954">IFERROR(INDEX($I$2:$K$2,0,MATCH(TRUE,I1954:K1954,0)),E1954)</f>
        <v>CHP New</v>
      </c>
      <c r="O1954" t="str">
        <f t="shared" si="139"/>
        <v>CHP New_2029</v>
      </c>
      <c r="P1954">
        <f t="shared" si="140"/>
        <v>589.82368965000001</v>
      </c>
    </row>
    <row r="1955" spans="4:16" x14ac:dyDescent="0.25">
      <c r="D1955">
        <v>2030</v>
      </c>
      <c r="E1955" t="s">
        <v>227</v>
      </c>
      <c r="F1955" t="s">
        <v>248</v>
      </c>
      <c r="G1955">
        <v>589.82368965000001</v>
      </c>
      <c r="I1955">
        <f t="shared" si="141"/>
        <v>0</v>
      </c>
      <c r="J1955">
        <f t="shared" si="141"/>
        <v>0</v>
      </c>
      <c r="K1955">
        <f t="shared" si="141"/>
        <v>0</v>
      </c>
      <c r="M1955" t="str" cm="1">
        <f t="array" ref="M1955">IFERROR(INDEX($I$2:$K$2,0,MATCH(TRUE,I1955:K1955,0)),E1955)</f>
        <v>CHP New</v>
      </c>
      <c r="O1955" t="str">
        <f t="shared" si="139"/>
        <v>CHP New_2030</v>
      </c>
      <c r="P1955">
        <f t="shared" si="140"/>
        <v>589.82368965000001</v>
      </c>
    </row>
    <row r="1956" spans="4:16" x14ac:dyDescent="0.25">
      <c r="D1956">
        <v>2031</v>
      </c>
      <c r="E1956" t="s">
        <v>227</v>
      </c>
      <c r="F1956" t="s">
        <v>248</v>
      </c>
      <c r="G1956">
        <v>589.82368965000001</v>
      </c>
      <c r="I1956">
        <f t="shared" si="141"/>
        <v>0</v>
      </c>
      <c r="J1956">
        <f t="shared" si="141"/>
        <v>0</v>
      </c>
      <c r="K1956">
        <f t="shared" si="141"/>
        <v>0</v>
      </c>
      <c r="M1956" t="str" cm="1">
        <f t="array" ref="M1956">IFERROR(INDEX($I$2:$K$2,0,MATCH(TRUE,I1956:K1956,0)),E1956)</f>
        <v>CHP New</v>
      </c>
      <c r="O1956" t="str">
        <f t="shared" si="139"/>
        <v>CHP New_2031</v>
      </c>
      <c r="P1956">
        <f t="shared" si="140"/>
        <v>589.82368965000001</v>
      </c>
    </row>
    <row r="1957" spans="4:16" x14ac:dyDescent="0.25">
      <c r="D1957">
        <v>2032</v>
      </c>
      <c r="E1957" t="s">
        <v>227</v>
      </c>
      <c r="F1957" t="s">
        <v>248</v>
      </c>
      <c r="G1957">
        <v>589.82368965000001</v>
      </c>
      <c r="I1957">
        <f t="shared" si="141"/>
        <v>0</v>
      </c>
      <c r="J1957">
        <f t="shared" si="141"/>
        <v>0</v>
      </c>
      <c r="K1957">
        <f t="shared" si="141"/>
        <v>0</v>
      </c>
      <c r="M1957" t="str" cm="1">
        <f t="array" ref="M1957">IFERROR(INDEX($I$2:$K$2,0,MATCH(TRUE,I1957:K1957,0)),E1957)</f>
        <v>CHP New</v>
      </c>
      <c r="O1957" t="str">
        <f t="shared" si="139"/>
        <v>CHP New_2032</v>
      </c>
      <c r="P1957">
        <f t="shared" si="140"/>
        <v>589.82368965000001</v>
      </c>
    </row>
    <row r="1958" spans="4:16" x14ac:dyDescent="0.25">
      <c r="D1958">
        <v>2033</v>
      </c>
      <c r="E1958" t="s">
        <v>227</v>
      </c>
      <c r="F1958" t="s">
        <v>248</v>
      </c>
      <c r="G1958">
        <v>589.82368965000001</v>
      </c>
      <c r="I1958">
        <f t="shared" si="141"/>
        <v>0</v>
      </c>
      <c r="J1958">
        <f t="shared" si="141"/>
        <v>0</v>
      </c>
      <c r="K1958">
        <f t="shared" si="141"/>
        <v>0</v>
      </c>
      <c r="M1958" t="str" cm="1">
        <f t="array" ref="M1958">IFERROR(INDEX($I$2:$K$2,0,MATCH(TRUE,I1958:K1958,0)),E1958)</f>
        <v>CHP New</v>
      </c>
      <c r="O1958" t="str">
        <f t="shared" si="139"/>
        <v>CHP New_2033</v>
      </c>
      <c r="P1958">
        <f t="shared" si="140"/>
        <v>589.82368965000001</v>
      </c>
    </row>
    <row r="1959" spans="4:16" x14ac:dyDescent="0.25">
      <c r="D1959">
        <v>2034</v>
      </c>
      <c r="E1959" t="s">
        <v>227</v>
      </c>
      <c r="F1959" t="s">
        <v>248</v>
      </c>
      <c r="G1959">
        <v>589.82368965000001</v>
      </c>
      <c r="I1959">
        <f t="shared" si="141"/>
        <v>0</v>
      </c>
      <c r="J1959">
        <f t="shared" si="141"/>
        <v>0</v>
      </c>
      <c r="K1959">
        <f t="shared" si="141"/>
        <v>0</v>
      </c>
      <c r="M1959" t="str" cm="1">
        <f t="array" ref="M1959">IFERROR(INDEX($I$2:$K$2,0,MATCH(TRUE,I1959:K1959,0)),E1959)</f>
        <v>CHP New</v>
      </c>
      <c r="O1959" t="str">
        <f t="shared" si="139"/>
        <v>CHP New_2034</v>
      </c>
      <c r="P1959">
        <f t="shared" si="140"/>
        <v>589.82368965000001</v>
      </c>
    </row>
    <row r="1960" spans="4:16" x14ac:dyDescent="0.25">
      <c r="D1960">
        <v>2035</v>
      </c>
      <c r="E1960" t="s">
        <v>227</v>
      </c>
      <c r="F1960" t="s">
        <v>248</v>
      </c>
      <c r="G1960">
        <v>589.82368965000001</v>
      </c>
      <c r="I1960">
        <f t="shared" si="141"/>
        <v>0</v>
      </c>
      <c r="J1960">
        <f t="shared" si="141"/>
        <v>0</v>
      </c>
      <c r="K1960">
        <f t="shared" si="141"/>
        <v>0</v>
      </c>
      <c r="M1960" t="str" cm="1">
        <f t="array" ref="M1960">IFERROR(INDEX($I$2:$K$2,0,MATCH(TRUE,I1960:K1960,0)),E1960)</f>
        <v>CHP New</v>
      </c>
      <c r="O1960" t="str">
        <f t="shared" si="139"/>
        <v>CHP New_2035</v>
      </c>
      <c r="P1960">
        <f t="shared" si="140"/>
        <v>589.82368965000001</v>
      </c>
    </row>
    <row r="1961" spans="4:16" x14ac:dyDescent="0.25">
      <c r="D1961">
        <v>2036</v>
      </c>
      <c r="E1961" t="s">
        <v>227</v>
      </c>
      <c r="F1961" t="s">
        <v>248</v>
      </c>
      <c r="G1961">
        <v>608.63607935000005</v>
      </c>
      <c r="I1961">
        <f t="shared" si="141"/>
        <v>0</v>
      </c>
      <c r="J1961">
        <f t="shared" si="141"/>
        <v>0</v>
      </c>
      <c r="K1961">
        <f t="shared" si="141"/>
        <v>0</v>
      </c>
      <c r="M1961" t="str" cm="1">
        <f t="array" ref="M1961">IFERROR(INDEX($I$2:$K$2,0,MATCH(TRUE,I1961:K1961,0)),E1961)</f>
        <v>CHP New</v>
      </c>
      <c r="O1961" t="str">
        <f t="shared" si="139"/>
        <v>CHP New_2036</v>
      </c>
      <c r="P1961">
        <f t="shared" si="140"/>
        <v>608.63607935000005</v>
      </c>
    </row>
    <row r="1962" spans="4:16" x14ac:dyDescent="0.25">
      <c r="D1962">
        <v>2037</v>
      </c>
      <c r="E1962" t="s">
        <v>227</v>
      </c>
      <c r="F1962" t="s">
        <v>248</v>
      </c>
      <c r="G1962">
        <v>589.82368965000001</v>
      </c>
      <c r="I1962">
        <f t="shared" si="141"/>
        <v>0</v>
      </c>
      <c r="J1962">
        <f t="shared" si="141"/>
        <v>0</v>
      </c>
      <c r="K1962">
        <f t="shared" si="141"/>
        <v>0</v>
      </c>
      <c r="M1962" t="str" cm="1">
        <f t="array" ref="M1962">IFERROR(INDEX($I$2:$K$2,0,MATCH(TRUE,I1962:K1962,0)),E1962)</f>
        <v>CHP New</v>
      </c>
      <c r="O1962" t="str">
        <f t="shared" si="139"/>
        <v>CHP New_2037</v>
      </c>
      <c r="P1962">
        <f t="shared" si="140"/>
        <v>589.82368965000001</v>
      </c>
    </row>
    <row r="1963" spans="4:16" x14ac:dyDescent="0.25">
      <c r="D1963">
        <v>2038</v>
      </c>
      <c r="E1963" t="s">
        <v>227</v>
      </c>
      <c r="F1963" t="s">
        <v>248</v>
      </c>
      <c r="G1963">
        <v>589.82368965000001</v>
      </c>
      <c r="I1963">
        <f t="shared" si="141"/>
        <v>0</v>
      </c>
      <c r="J1963">
        <f t="shared" si="141"/>
        <v>0</v>
      </c>
      <c r="K1963">
        <f t="shared" si="141"/>
        <v>0</v>
      </c>
      <c r="M1963" t="str" cm="1">
        <f t="array" ref="M1963">IFERROR(INDEX($I$2:$K$2,0,MATCH(TRUE,I1963:K1963,0)),E1963)</f>
        <v>CHP New</v>
      </c>
      <c r="O1963" t="str">
        <f t="shared" si="139"/>
        <v>CHP New_2038</v>
      </c>
      <c r="P1963">
        <f t="shared" si="140"/>
        <v>589.82368965000001</v>
      </c>
    </row>
    <row r="1964" spans="4:16" x14ac:dyDescent="0.25">
      <c r="D1964">
        <v>2039</v>
      </c>
      <c r="E1964" t="s">
        <v>227</v>
      </c>
      <c r="F1964" t="s">
        <v>248</v>
      </c>
      <c r="G1964">
        <v>589.82368965000001</v>
      </c>
      <c r="I1964">
        <f t="shared" si="141"/>
        <v>0</v>
      </c>
      <c r="J1964">
        <f t="shared" si="141"/>
        <v>0</v>
      </c>
      <c r="K1964">
        <f t="shared" si="141"/>
        <v>0</v>
      </c>
      <c r="M1964" t="str" cm="1">
        <f t="array" ref="M1964">IFERROR(INDEX($I$2:$K$2,0,MATCH(TRUE,I1964:K1964,0)),E1964)</f>
        <v>CHP New</v>
      </c>
      <c r="O1964" t="str">
        <f t="shared" si="139"/>
        <v>CHP New_2039</v>
      </c>
      <c r="P1964">
        <f t="shared" si="140"/>
        <v>589.82368965000001</v>
      </c>
    </row>
    <row r="1965" spans="4:16" x14ac:dyDescent="0.25">
      <c r="D1965">
        <v>2040</v>
      </c>
      <c r="E1965" t="s">
        <v>227</v>
      </c>
      <c r="F1965" t="s">
        <v>248</v>
      </c>
      <c r="G1965">
        <v>608.63607935000005</v>
      </c>
      <c r="I1965">
        <f t="shared" si="141"/>
        <v>0</v>
      </c>
      <c r="J1965">
        <f t="shared" si="141"/>
        <v>0</v>
      </c>
      <c r="K1965">
        <f t="shared" si="141"/>
        <v>0</v>
      </c>
      <c r="M1965" t="str" cm="1">
        <f t="array" ref="M1965">IFERROR(INDEX($I$2:$K$2,0,MATCH(TRUE,I1965:K1965,0)),E1965)</f>
        <v>CHP New</v>
      </c>
      <c r="O1965" t="str">
        <f t="shared" si="139"/>
        <v>CHP New_2040</v>
      </c>
      <c r="P1965">
        <f t="shared" si="140"/>
        <v>608.63607935000005</v>
      </c>
    </row>
    <row r="1966" spans="4:16" x14ac:dyDescent="0.25">
      <c r="D1966">
        <v>2025</v>
      </c>
      <c r="E1966" t="s">
        <v>227</v>
      </c>
      <c r="F1966" t="s">
        <v>249</v>
      </c>
      <c r="G1966">
        <v>0</v>
      </c>
      <c r="I1966">
        <f t="shared" si="141"/>
        <v>0</v>
      </c>
      <c r="J1966">
        <f t="shared" si="141"/>
        <v>0</v>
      </c>
      <c r="K1966">
        <f t="shared" si="141"/>
        <v>0</v>
      </c>
      <c r="M1966" t="str" cm="1">
        <f t="array" ref="M1966">IFERROR(INDEX($I$2:$K$2,0,MATCH(TRUE,I1966:K1966,0)),E1966)</f>
        <v>CHP New</v>
      </c>
      <c r="O1966" t="str">
        <f t="shared" si="139"/>
        <v>CHP New_2025</v>
      </c>
      <c r="P1966">
        <f t="shared" si="140"/>
        <v>0</v>
      </c>
    </row>
    <row r="1967" spans="4:16" x14ac:dyDescent="0.25">
      <c r="D1967">
        <v>2026</v>
      </c>
      <c r="E1967" t="s">
        <v>227</v>
      </c>
      <c r="F1967" t="s">
        <v>249</v>
      </c>
      <c r="G1967">
        <v>40.753497969999998</v>
      </c>
      <c r="I1967">
        <f t="shared" si="141"/>
        <v>0</v>
      </c>
      <c r="J1967">
        <f t="shared" si="141"/>
        <v>0</v>
      </c>
      <c r="K1967">
        <f t="shared" si="141"/>
        <v>0</v>
      </c>
      <c r="M1967" t="str" cm="1">
        <f t="array" ref="M1967">IFERROR(INDEX($I$2:$K$2,0,MATCH(TRUE,I1967:K1967,0)),E1967)</f>
        <v>CHP New</v>
      </c>
      <c r="O1967" t="str">
        <f t="shared" si="139"/>
        <v>CHP New_2026</v>
      </c>
      <c r="P1967">
        <f t="shared" si="140"/>
        <v>40.753497969999998</v>
      </c>
    </row>
    <row r="1968" spans="4:16" x14ac:dyDescent="0.25">
      <c r="D1968">
        <v>2027</v>
      </c>
      <c r="E1968" t="s">
        <v>227</v>
      </c>
      <c r="F1968" t="s">
        <v>249</v>
      </c>
      <c r="G1968">
        <v>40.753497969999998</v>
      </c>
      <c r="I1968">
        <f t="shared" si="141"/>
        <v>0</v>
      </c>
      <c r="J1968">
        <f t="shared" si="141"/>
        <v>0</v>
      </c>
      <c r="K1968">
        <f t="shared" si="141"/>
        <v>0</v>
      </c>
      <c r="M1968" t="str" cm="1">
        <f t="array" ref="M1968">IFERROR(INDEX($I$2:$K$2,0,MATCH(TRUE,I1968:K1968,0)),E1968)</f>
        <v>CHP New</v>
      </c>
      <c r="O1968" t="str">
        <f t="shared" si="139"/>
        <v>CHP New_2027</v>
      </c>
      <c r="P1968">
        <f t="shared" si="140"/>
        <v>40.753497969999998</v>
      </c>
    </row>
    <row r="1969" spans="4:16" x14ac:dyDescent="0.25">
      <c r="D1969">
        <v>2028</v>
      </c>
      <c r="E1969" t="s">
        <v>227</v>
      </c>
      <c r="F1969" t="s">
        <v>249</v>
      </c>
      <c r="G1969">
        <v>40.753497969999998</v>
      </c>
      <c r="I1969">
        <f t="shared" si="141"/>
        <v>0</v>
      </c>
      <c r="J1969">
        <f t="shared" si="141"/>
        <v>0</v>
      </c>
      <c r="K1969">
        <f t="shared" si="141"/>
        <v>0</v>
      </c>
      <c r="M1969" t="str" cm="1">
        <f t="array" ref="M1969">IFERROR(INDEX($I$2:$K$2,0,MATCH(TRUE,I1969:K1969,0)),E1969)</f>
        <v>CHP New</v>
      </c>
      <c r="O1969" t="str">
        <f t="shared" si="139"/>
        <v>CHP New_2028</v>
      </c>
      <c r="P1969">
        <f t="shared" si="140"/>
        <v>40.753497969999998</v>
      </c>
    </row>
    <row r="1970" spans="4:16" x14ac:dyDescent="0.25">
      <c r="D1970">
        <v>2029</v>
      </c>
      <c r="E1970" t="s">
        <v>227</v>
      </c>
      <c r="F1970" t="s">
        <v>249</v>
      </c>
      <c r="G1970">
        <v>40.753497969999998</v>
      </c>
      <c r="I1970">
        <f t="shared" si="141"/>
        <v>0</v>
      </c>
      <c r="J1970">
        <f t="shared" si="141"/>
        <v>0</v>
      </c>
      <c r="K1970">
        <f t="shared" si="141"/>
        <v>0</v>
      </c>
      <c r="M1970" t="str" cm="1">
        <f t="array" ref="M1970">IFERROR(INDEX($I$2:$K$2,0,MATCH(TRUE,I1970:K1970,0)),E1970)</f>
        <v>CHP New</v>
      </c>
      <c r="O1970" t="str">
        <f t="shared" si="139"/>
        <v>CHP New_2029</v>
      </c>
      <c r="P1970">
        <f t="shared" si="140"/>
        <v>40.753497969999998</v>
      </c>
    </row>
    <row r="1971" spans="4:16" x14ac:dyDescent="0.25">
      <c r="D1971">
        <v>2030</v>
      </c>
      <c r="E1971" t="s">
        <v>227</v>
      </c>
      <c r="F1971" t="s">
        <v>249</v>
      </c>
      <c r="G1971">
        <v>40.753497969999998</v>
      </c>
      <c r="I1971">
        <f t="shared" si="141"/>
        <v>0</v>
      </c>
      <c r="J1971">
        <f t="shared" si="141"/>
        <v>0</v>
      </c>
      <c r="K1971">
        <f t="shared" si="141"/>
        <v>0</v>
      </c>
      <c r="M1971" t="str" cm="1">
        <f t="array" ref="M1971">IFERROR(INDEX($I$2:$K$2,0,MATCH(TRUE,I1971:K1971,0)),E1971)</f>
        <v>CHP New</v>
      </c>
      <c r="O1971" t="str">
        <f t="shared" si="139"/>
        <v>CHP New_2030</v>
      </c>
      <c r="P1971">
        <f t="shared" si="140"/>
        <v>40.753497969999998</v>
      </c>
    </row>
    <row r="1972" spans="4:16" x14ac:dyDescent="0.25">
      <c r="D1972">
        <v>2031</v>
      </c>
      <c r="E1972" t="s">
        <v>227</v>
      </c>
      <c r="F1972" t="s">
        <v>249</v>
      </c>
      <c r="G1972">
        <v>40.753497969999998</v>
      </c>
      <c r="I1972">
        <f t="shared" si="141"/>
        <v>0</v>
      </c>
      <c r="J1972">
        <f t="shared" si="141"/>
        <v>0</v>
      </c>
      <c r="K1972">
        <f t="shared" si="141"/>
        <v>0</v>
      </c>
      <c r="M1972" t="str" cm="1">
        <f t="array" ref="M1972">IFERROR(INDEX($I$2:$K$2,0,MATCH(TRUE,I1972:K1972,0)),E1972)</f>
        <v>CHP New</v>
      </c>
      <c r="O1972" t="str">
        <f t="shared" si="139"/>
        <v>CHP New_2031</v>
      </c>
      <c r="P1972">
        <f t="shared" si="140"/>
        <v>40.753497969999998</v>
      </c>
    </row>
    <row r="1973" spans="4:16" x14ac:dyDescent="0.25">
      <c r="D1973">
        <v>2032</v>
      </c>
      <c r="E1973" t="s">
        <v>227</v>
      </c>
      <c r="F1973" t="s">
        <v>249</v>
      </c>
      <c r="G1973">
        <v>40.753497969999998</v>
      </c>
      <c r="I1973">
        <f t="shared" si="141"/>
        <v>0</v>
      </c>
      <c r="J1973">
        <f t="shared" si="141"/>
        <v>0</v>
      </c>
      <c r="K1973">
        <f t="shared" si="141"/>
        <v>0</v>
      </c>
      <c r="M1973" t="str" cm="1">
        <f t="array" ref="M1973">IFERROR(INDEX($I$2:$K$2,0,MATCH(TRUE,I1973:K1973,0)),E1973)</f>
        <v>CHP New</v>
      </c>
      <c r="O1973" t="str">
        <f t="shared" si="139"/>
        <v>CHP New_2032</v>
      </c>
      <c r="P1973">
        <f t="shared" si="140"/>
        <v>40.753497969999998</v>
      </c>
    </row>
    <row r="1974" spans="4:16" x14ac:dyDescent="0.25">
      <c r="D1974">
        <v>2033</v>
      </c>
      <c r="E1974" t="s">
        <v>227</v>
      </c>
      <c r="F1974" t="s">
        <v>249</v>
      </c>
      <c r="G1974">
        <v>40.753497969999998</v>
      </c>
      <c r="I1974">
        <f t="shared" si="141"/>
        <v>0</v>
      </c>
      <c r="J1974">
        <f t="shared" si="141"/>
        <v>0</v>
      </c>
      <c r="K1974">
        <f t="shared" si="141"/>
        <v>0</v>
      </c>
      <c r="M1974" t="str" cm="1">
        <f t="array" ref="M1974">IFERROR(INDEX($I$2:$K$2,0,MATCH(TRUE,I1974:K1974,0)),E1974)</f>
        <v>CHP New</v>
      </c>
      <c r="O1974" t="str">
        <f t="shared" si="139"/>
        <v>CHP New_2033</v>
      </c>
      <c r="P1974">
        <f t="shared" si="140"/>
        <v>40.753497969999998</v>
      </c>
    </row>
    <row r="1975" spans="4:16" x14ac:dyDescent="0.25">
      <c r="D1975">
        <v>2034</v>
      </c>
      <c r="E1975" t="s">
        <v>227</v>
      </c>
      <c r="F1975" t="s">
        <v>249</v>
      </c>
      <c r="G1975">
        <v>40.753497969999998</v>
      </c>
      <c r="I1975">
        <f t="shared" si="141"/>
        <v>0</v>
      </c>
      <c r="J1975">
        <f t="shared" si="141"/>
        <v>0</v>
      </c>
      <c r="K1975">
        <f t="shared" si="141"/>
        <v>0</v>
      </c>
      <c r="M1975" t="str" cm="1">
        <f t="array" ref="M1975">IFERROR(INDEX($I$2:$K$2,0,MATCH(TRUE,I1975:K1975,0)),E1975)</f>
        <v>CHP New</v>
      </c>
      <c r="O1975" t="str">
        <f t="shared" si="139"/>
        <v>CHP New_2034</v>
      </c>
      <c r="P1975">
        <f t="shared" si="140"/>
        <v>40.753497969999998</v>
      </c>
    </row>
    <row r="1976" spans="4:16" x14ac:dyDescent="0.25">
      <c r="D1976">
        <v>2035</v>
      </c>
      <c r="E1976" t="s">
        <v>227</v>
      </c>
      <c r="F1976" t="s">
        <v>249</v>
      </c>
      <c r="G1976">
        <v>40.753497969999998</v>
      </c>
      <c r="I1976">
        <f t="shared" si="141"/>
        <v>0</v>
      </c>
      <c r="J1976">
        <f t="shared" si="141"/>
        <v>0</v>
      </c>
      <c r="K1976">
        <f t="shared" si="141"/>
        <v>0</v>
      </c>
      <c r="M1976" t="str" cm="1">
        <f t="array" ref="M1976">IFERROR(INDEX($I$2:$K$2,0,MATCH(TRUE,I1976:K1976,0)),E1976)</f>
        <v>CHP New</v>
      </c>
      <c r="O1976" t="str">
        <f t="shared" si="139"/>
        <v>CHP New_2035</v>
      </c>
      <c r="P1976">
        <f t="shared" si="140"/>
        <v>40.753497969999998</v>
      </c>
    </row>
    <row r="1977" spans="4:16" x14ac:dyDescent="0.25">
      <c r="D1977">
        <v>2036</v>
      </c>
      <c r="E1977" t="s">
        <v>227</v>
      </c>
      <c r="F1977" t="s">
        <v>249</v>
      </c>
      <c r="G1977">
        <v>41.865755360000001</v>
      </c>
      <c r="I1977">
        <f t="shared" si="141"/>
        <v>0</v>
      </c>
      <c r="J1977">
        <f t="shared" si="141"/>
        <v>0</v>
      </c>
      <c r="K1977">
        <f t="shared" si="141"/>
        <v>0</v>
      </c>
      <c r="M1977" t="str" cm="1">
        <f t="array" ref="M1977">IFERROR(INDEX($I$2:$K$2,0,MATCH(TRUE,I1977:K1977,0)),E1977)</f>
        <v>CHP New</v>
      </c>
      <c r="O1977" t="str">
        <f t="shared" si="139"/>
        <v>CHP New_2036</v>
      </c>
      <c r="P1977">
        <f t="shared" si="140"/>
        <v>41.865755360000001</v>
      </c>
    </row>
    <row r="1978" spans="4:16" x14ac:dyDescent="0.25">
      <c r="D1978">
        <v>2037</v>
      </c>
      <c r="E1978" t="s">
        <v>227</v>
      </c>
      <c r="F1978" t="s">
        <v>249</v>
      </c>
      <c r="G1978">
        <v>40.753497969999998</v>
      </c>
      <c r="I1978">
        <f t="shared" si="141"/>
        <v>0</v>
      </c>
      <c r="J1978">
        <f t="shared" si="141"/>
        <v>0</v>
      </c>
      <c r="K1978">
        <f t="shared" si="141"/>
        <v>0</v>
      </c>
      <c r="M1978" t="str" cm="1">
        <f t="array" ref="M1978">IFERROR(INDEX($I$2:$K$2,0,MATCH(TRUE,I1978:K1978,0)),E1978)</f>
        <v>CHP New</v>
      </c>
      <c r="O1978" t="str">
        <f t="shared" si="139"/>
        <v>CHP New_2037</v>
      </c>
      <c r="P1978">
        <f t="shared" si="140"/>
        <v>40.753497969999998</v>
      </c>
    </row>
    <row r="1979" spans="4:16" x14ac:dyDescent="0.25">
      <c r="D1979">
        <v>2038</v>
      </c>
      <c r="E1979" t="s">
        <v>227</v>
      </c>
      <c r="F1979" t="s">
        <v>249</v>
      </c>
      <c r="G1979">
        <v>40.753497969999998</v>
      </c>
      <c r="I1979">
        <f t="shared" si="141"/>
        <v>0</v>
      </c>
      <c r="J1979">
        <f t="shared" si="141"/>
        <v>0</v>
      </c>
      <c r="K1979">
        <f t="shared" si="141"/>
        <v>0</v>
      </c>
      <c r="M1979" t="str" cm="1">
        <f t="array" ref="M1979">IFERROR(INDEX($I$2:$K$2,0,MATCH(TRUE,I1979:K1979,0)),E1979)</f>
        <v>CHP New</v>
      </c>
      <c r="O1979" t="str">
        <f t="shared" si="139"/>
        <v>CHP New_2038</v>
      </c>
      <c r="P1979">
        <f t="shared" si="140"/>
        <v>40.753497969999998</v>
      </c>
    </row>
    <row r="1980" spans="4:16" x14ac:dyDescent="0.25">
      <c r="D1980">
        <v>2039</v>
      </c>
      <c r="E1980" t="s">
        <v>227</v>
      </c>
      <c r="F1980" t="s">
        <v>249</v>
      </c>
      <c r="G1980">
        <v>40.753497969999998</v>
      </c>
      <c r="I1980">
        <f t="shared" si="141"/>
        <v>0</v>
      </c>
      <c r="J1980">
        <f t="shared" si="141"/>
        <v>0</v>
      </c>
      <c r="K1980">
        <f t="shared" si="141"/>
        <v>0</v>
      </c>
      <c r="M1980" t="str" cm="1">
        <f t="array" ref="M1980">IFERROR(INDEX($I$2:$K$2,0,MATCH(TRUE,I1980:K1980,0)),E1980)</f>
        <v>CHP New</v>
      </c>
      <c r="O1980" t="str">
        <f t="shared" si="139"/>
        <v>CHP New_2039</v>
      </c>
      <c r="P1980">
        <f t="shared" si="140"/>
        <v>40.753497969999998</v>
      </c>
    </row>
    <row r="1981" spans="4:16" x14ac:dyDescent="0.25">
      <c r="D1981">
        <v>2040</v>
      </c>
      <c r="E1981" t="s">
        <v>227</v>
      </c>
      <c r="F1981" t="s">
        <v>249</v>
      </c>
      <c r="G1981">
        <v>41.865755360000001</v>
      </c>
      <c r="I1981">
        <f t="shared" si="141"/>
        <v>0</v>
      </c>
      <c r="J1981">
        <f t="shared" si="141"/>
        <v>0</v>
      </c>
      <c r="K1981">
        <f t="shared" si="141"/>
        <v>0</v>
      </c>
      <c r="M1981" t="str" cm="1">
        <f t="array" ref="M1981">IFERROR(INDEX($I$2:$K$2,0,MATCH(TRUE,I1981:K1981,0)),E1981)</f>
        <v>CHP New</v>
      </c>
      <c r="O1981" t="str">
        <f t="shared" si="139"/>
        <v>CHP New_2040</v>
      </c>
      <c r="P1981">
        <f t="shared" si="140"/>
        <v>41.865755360000001</v>
      </c>
    </row>
    <row r="1982" spans="4:16" x14ac:dyDescent="0.25">
      <c r="D1982">
        <v>2022</v>
      </c>
      <c r="E1982" t="s">
        <v>227</v>
      </c>
      <c r="F1982" t="s">
        <v>250</v>
      </c>
      <c r="G1982">
        <v>18.52431726</v>
      </c>
      <c r="I1982">
        <f t="shared" si="141"/>
        <v>0</v>
      </c>
      <c r="J1982">
        <f t="shared" si="141"/>
        <v>0</v>
      </c>
      <c r="K1982">
        <f t="shared" si="141"/>
        <v>0</v>
      </c>
      <c r="M1982" t="str" cm="1">
        <f t="array" ref="M1982">IFERROR(INDEX($I$2:$K$2,0,MATCH(TRUE,I1982:K1982,0)),E1982)</f>
        <v>CHP New</v>
      </c>
      <c r="O1982" t="str">
        <f t="shared" si="139"/>
        <v>CHP New_2022</v>
      </c>
      <c r="P1982">
        <f t="shared" si="140"/>
        <v>18.52431726</v>
      </c>
    </row>
    <row r="1983" spans="4:16" x14ac:dyDescent="0.25">
      <c r="D1983">
        <v>2023</v>
      </c>
      <c r="E1983" t="s">
        <v>227</v>
      </c>
      <c r="F1983" t="s">
        <v>250</v>
      </c>
      <c r="G1983">
        <v>18.52431726</v>
      </c>
      <c r="I1983">
        <f t="shared" si="141"/>
        <v>0</v>
      </c>
      <c r="J1983">
        <f t="shared" si="141"/>
        <v>0</v>
      </c>
      <c r="K1983">
        <f t="shared" si="141"/>
        <v>0</v>
      </c>
      <c r="M1983" t="str" cm="1">
        <f t="array" ref="M1983">IFERROR(INDEX($I$2:$K$2,0,MATCH(TRUE,I1983:K1983,0)),E1983)</f>
        <v>CHP New</v>
      </c>
      <c r="O1983" t="str">
        <f t="shared" si="139"/>
        <v>CHP New_2023</v>
      </c>
      <c r="P1983">
        <f t="shared" si="140"/>
        <v>18.52431726</v>
      </c>
    </row>
    <row r="1984" spans="4:16" x14ac:dyDescent="0.25">
      <c r="D1984">
        <v>2024</v>
      </c>
      <c r="E1984" t="s">
        <v>227</v>
      </c>
      <c r="F1984" t="s">
        <v>250</v>
      </c>
      <c r="G1984">
        <v>19.029888799999998</v>
      </c>
      <c r="I1984">
        <f t="shared" si="141"/>
        <v>0</v>
      </c>
      <c r="J1984">
        <f t="shared" si="141"/>
        <v>0</v>
      </c>
      <c r="K1984">
        <f t="shared" si="141"/>
        <v>0</v>
      </c>
      <c r="M1984" t="str" cm="1">
        <f t="array" ref="M1984">IFERROR(INDEX($I$2:$K$2,0,MATCH(TRUE,I1984:K1984,0)),E1984)</f>
        <v>CHP New</v>
      </c>
      <c r="O1984" t="str">
        <f t="shared" si="139"/>
        <v>CHP New_2024</v>
      </c>
      <c r="P1984">
        <f t="shared" si="140"/>
        <v>19.029888799999998</v>
      </c>
    </row>
    <row r="1985" spans="4:16" x14ac:dyDescent="0.25">
      <c r="D1985">
        <v>2025</v>
      </c>
      <c r="E1985" t="s">
        <v>227</v>
      </c>
      <c r="F1985" t="s">
        <v>250</v>
      </c>
      <c r="G1985">
        <v>18.52431726</v>
      </c>
      <c r="I1985">
        <f t="shared" si="141"/>
        <v>0</v>
      </c>
      <c r="J1985">
        <f t="shared" si="141"/>
        <v>0</v>
      </c>
      <c r="K1985">
        <f t="shared" si="141"/>
        <v>0</v>
      </c>
      <c r="M1985" t="str" cm="1">
        <f t="array" ref="M1985">IFERROR(INDEX($I$2:$K$2,0,MATCH(TRUE,I1985:K1985,0)),E1985)</f>
        <v>CHP New</v>
      </c>
      <c r="O1985" t="str">
        <f t="shared" si="139"/>
        <v>CHP New_2025</v>
      </c>
      <c r="P1985">
        <f t="shared" si="140"/>
        <v>18.52431726</v>
      </c>
    </row>
    <row r="1986" spans="4:16" x14ac:dyDescent="0.25">
      <c r="D1986">
        <v>2026</v>
      </c>
      <c r="E1986" t="s">
        <v>227</v>
      </c>
      <c r="F1986" t="s">
        <v>250</v>
      </c>
      <c r="G1986">
        <v>18.52431726</v>
      </c>
      <c r="I1986">
        <f t="shared" si="141"/>
        <v>0</v>
      </c>
      <c r="J1986">
        <f t="shared" si="141"/>
        <v>0</v>
      </c>
      <c r="K1986">
        <f t="shared" si="141"/>
        <v>0</v>
      </c>
      <c r="M1986" t="str" cm="1">
        <f t="array" ref="M1986">IFERROR(INDEX($I$2:$K$2,0,MATCH(TRUE,I1986:K1986,0)),E1986)</f>
        <v>CHP New</v>
      </c>
      <c r="O1986" t="str">
        <f t="shared" si="139"/>
        <v>CHP New_2026</v>
      </c>
      <c r="P1986">
        <f t="shared" si="140"/>
        <v>18.52431726</v>
      </c>
    </row>
    <row r="1987" spans="4:16" x14ac:dyDescent="0.25">
      <c r="D1987">
        <v>2027</v>
      </c>
      <c r="E1987" t="s">
        <v>227</v>
      </c>
      <c r="F1987" t="s">
        <v>250</v>
      </c>
      <c r="G1987">
        <v>18.52431726</v>
      </c>
      <c r="I1987">
        <f t="shared" si="141"/>
        <v>0</v>
      </c>
      <c r="J1987">
        <f t="shared" si="141"/>
        <v>0</v>
      </c>
      <c r="K1987">
        <f t="shared" si="141"/>
        <v>0</v>
      </c>
      <c r="M1987" t="str" cm="1">
        <f t="array" ref="M1987">IFERROR(INDEX($I$2:$K$2,0,MATCH(TRUE,I1987:K1987,0)),E1987)</f>
        <v>CHP New</v>
      </c>
      <c r="O1987" t="str">
        <f t="shared" si="139"/>
        <v>CHP New_2027</v>
      </c>
      <c r="P1987">
        <f t="shared" si="140"/>
        <v>18.52431726</v>
      </c>
    </row>
    <row r="1988" spans="4:16" x14ac:dyDescent="0.25">
      <c r="D1988">
        <v>2028</v>
      </c>
      <c r="E1988" t="s">
        <v>227</v>
      </c>
      <c r="F1988" t="s">
        <v>250</v>
      </c>
      <c r="G1988">
        <v>18.52431726</v>
      </c>
      <c r="I1988">
        <f t="shared" si="141"/>
        <v>0</v>
      </c>
      <c r="J1988">
        <f t="shared" si="141"/>
        <v>0</v>
      </c>
      <c r="K1988">
        <f t="shared" si="141"/>
        <v>0</v>
      </c>
      <c r="M1988" t="str" cm="1">
        <f t="array" ref="M1988">IFERROR(INDEX($I$2:$K$2,0,MATCH(TRUE,I1988:K1988,0)),E1988)</f>
        <v>CHP New</v>
      </c>
      <c r="O1988" t="str">
        <f t="shared" si="139"/>
        <v>CHP New_2028</v>
      </c>
      <c r="P1988">
        <f t="shared" si="140"/>
        <v>18.52431726</v>
      </c>
    </row>
    <row r="1989" spans="4:16" x14ac:dyDescent="0.25">
      <c r="D1989">
        <v>2029</v>
      </c>
      <c r="E1989" t="s">
        <v>227</v>
      </c>
      <c r="F1989" t="s">
        <v>250</v>
      </c>
      <c r="G1989">
        <v>18.52431726</v>
      </c>
      <c r="I1989">
        <f t="shared" si="141"/>
        <v>0</v>
      </c>
      <c r="J1989">
        <f t="shared" si="141"/>
        <v>0</v>
      </c>
      <c r="K1989">
        <f t="shared" si="141"/>
        <v>0</v>
      </c>
      <c r="M1989" t="str" cm="1">
        <f t="array" ref="M1989">IFERROR(INDEX($I$2:$K$2,0,MATCH(TRUE,I1989:K1989,0)),E1989)</f>
        <v>CHP New</v>
      </c>
      <c r="O1989" t="str">
        <f t="shared" si="139"/>
        <v>CHP New_2029</v>
      </c>
      <c r="P1989">
        <f t="shared" si="140"/>
        <v>18.52431726</v>
      </c>
    </row>
    <row r="1990" spans="4:16" x14ac:dyDescent="0.25">
      <c r="D1990">
        <v>2030</v>
      </c>
      <c r="E1990" t="s">
        <v>227</v>
      </c>
      <c r="F1990" t="s">
        <v>250</v>
      </c>
      <c r="G1990">
        <v>18.52431726</v>
      </c>
      <c r="I1990">
        <f t="shared" si="141"/>
        <v>0</v>
      </c>
      <c r="J1990">
        <f t="shared" si="141"/>
        <v>0</v>
      </c>
      <c r="K1990">
        <f t="shared" si="141"/>
        <v>0</v>
      </c>
      <c r="M1990" t="str" cm="1">
        <f t="array" ref="M1990">IFERROR(INDEX($I$2:$K$2,0,MATCH(TRUE,I1990:K1990,0)),E1990)</f>
        <v>CHP New</v>
      </c>
      <c r="O1990" t="str">
        <f t="shared" si="139"/>
        <v>CHP New_2030</v>
      </c>
      <c r="P1990">
        <f t="shared" si="140"/>
        <v>18.52431726</v>
      </c>
    </row>
    <row r="1991" spans="4:16" x14ac:dyDescent="0.25">
      <c r="D1991">
        <v>2031</v>
      </c>
      <c r="E1991" t="s">
        <v>227</v>
      </c>
      <c r="F1991" t="s">
        <v>250</v>
      </c>
      <c r="G1991">
        <v>18.52431726</v>
      </c>
      <c r="I1991">
        <f t="shared" si="141"/>
        <v>0</v>
      </c>
      <c r="J1991">
        <f t="shared" si="141"/>
        <v>0</v>
      </c>
      <c r="K1991">
        <f t="shared" si="141"/>
        <v>0</v>
      </c>
      <c r="M1991" t="str" cm="1">
        <f t="array" ref="M1991">IFERROR(INDEX($I$2:$K$2,0,MATCH(TRUE,I1991:K1991,0)),E1991)</f>
        <v>CHP New</v>
      </c>
      <c r="O1991" t="str">
        <f t="shared" si="139"/>
        <v>CHP New_2031</v>
      </c>
      <c r="P1991">
        <f t="shared" si="140"/>
        <v>18.52431726</v>
      </c>
    </row>
    <row r="1992" spans="4:16" x14ac:dyDescent="0.25">
      <c r="D1992">
        <v>2032</v>
      </c>
      <c r="E1992" t="s">
        <v>227</v>
      </c>
      <c r="F1992" t="s">
        <v>250</v>
      </c>
      <c r="G1992">
        <v>18.52431726</v>
      </c>
      <c r="I1992">
        <f t="shared" si="141"/>
        <v>0</v>
      </c>
      <c r="J1992">
        <f t="shared" si="141"/>
        <v>0</v>
      </c>
      <c r="K1992">
        <f t="shared" si="141"/>
        <v>0</v>
      </c>
      <c r="M1992" t="str" cm="1">
        <f t="array" ref="M1992">IFERROR(INDEX($I$2:$K$2,0,MATCH(TRUE,I1992:K1992,0)),E1992)</f>
        <v>CHP New</v>
      </c>
      <c r="O1992" t="str">
        <f t="shared" si="139"/>
        <v>CHP New_2032</v>
      </c>
      <c r="P1992">
        <f t="shared" si="140"/>
        <v>18.52431726</v>
      </c>
    </row>
    <row r="1993" spans="4:16" x14ac:dyDescent="0.25">
      <c r="D1993">
        <v>2033</v>
      </c>
      <c r="E1993" t="s">
        <v>227</v>
      </c>
      <c r="F1993" t="s">
        <v>250</v>
      </c>
      <c r="G1993">
        <v>18.52431726</v>
      </c>
      <c r="I1993">
        <f t="shared" si="141"/>
        <v>0</v>
      </c>
      <c r="J1993">
        <f t="shared" si="141"/>
        <v>0</v>
      </c>
      <c r="K1993">
        <f t="shared" si="141"/>
        <v>0</v>
      </c>
      <c r="M1993" t="str" cm="1">
        <f t="array" ref="M1993">IFERROR(INDEX($I$2:$K$2,0,MATCH(TRUE,I1993:K1993,0)),E1993)</f>
        <v>CHP New</v>
      </c>
      <c r="O1993" t="str">
        <f t="shared" si="139"/>
        <v>CHP New_2033</v>
      </c>
      <c r="P1993">
        <f t="shared" si="140"/>
        <v>18.52431726</v>
      </c>
    </row>
    <row r="1994" spans="4:16" x14ac:dyDescent="0.25">
      <c r="D1994">
        <v>2034</v>
      </c>
      <c r="E1994" t="s">
        <v>227</v>
      </c>
      <c r="F1994" t="s">
        <v>250</v>
      </c>
      <c r="G1994">
        <v>18.52431726</v>
      </c>
      <c r="I1994">
        <f t="shared" si="141"/>
        <v>0</v>
      </c>
      <c r="J1994">
        <f t="shared" si="141"/>
        <v>0</v>
      </c>
      <c r="K1994">
        <f t="shared" si="141"/>
        <v>0</v>
      </c>
      <c r="M1994" t="str" cm="1">
        <f t="array" ref="M1994">IFERROR(INDEX($I$2:$K$2,0,MATCH(TRUE,I1994:K1994,0)),E1994)</f>
        <v>CHP New</v>
      </c>
      <c r="O1994" t="str">
        <f t="shared" si="139"/>
        <v>CHP New_2034</v>
      </c>
      <c r="P1994">
        <f t="shared" si="140"/>
        <v>18.52431726</v>
      </c>
    </row>
    <row r="1995" spans="4:16" x14ac:dyDescent="0.25">
      <c r="D1995">
        <v>2035</v>
      </c>
      <c r="E1995" t="s">
        <v>227</v>
      </c>
      <c r="F1995" t="s">
        <v>250</v>
      </c>
      <c r="G1995">
        <v>18.52431726</v>
      </c>
      <c r="I1995">
        <f t="shared" si="141"/>
        <v>0</v>
      </c>
      <c r="J1995">
        <f t="shared" si="141"/>
        <v>0</v>
      </c>
      <c r="K1995">
        <f t="shared" si="141"/>
        <v>0</v>
      </c>
      <c r="M1995" t="str" cm="1">
        <f t="array" ref="M1995">IFERROR(INDEX($I$2:$K$2,0,MATCH(TRUE,I1995:K1995,0)),E1995)</f>
        <v>CHP New</v>
      </c>
      <c r="O1995" t="str">
        <f t="shared" si="139"/>
        <v>CHP New_2035</v>
      </c>
      <c r="P1995">
        <f t="shared" si="140"/>
        <v>18.52431726</v>
      </c>
    </row>
    <row r="1996" spans="4:16" x14ac:dyDescent="0.25">
      <c r="D1996">
        <v>2036</v>
      </c>
      <c r="E1996" t="s">
        <v>227</v>
      </c>
      <c r="F1996" t="s">
        <v>250</v>
      </c>
      <c r="G1996">
        <v>19.029888799999998</v>
      </c>
      <c r="I1996">
        <f t="shared" si="141"/>
        <v>0</v>
      </c>
      <c r="J1996">
        <f t="shared" si="141"/>
        <v>0</v>
      </c>
      <c r="K1996">
        <f t="shared" si="141"/>
        <v>0</v>
      </c>
      <c r="M1996" t="str" cm="1">
        <f t="array" ref="M1996">IFERROR(INDEX($I$2:$K$2,0,MATCH(TRUE,I1996:K1996,0)),E1996)</f>
        <v>CHP New</v>
      </c>
      <c r="O1996" t="str">
        <f t="shared" si="139"/>
        <v>CHP New_2036</v>
      </c>
      <c r="P1996">
        <f t="shared" si="140"/>
        <v>19.029888799999998</v>
      </c>
    </row>
    <row r="1997" spans="4:16" x14ac:dyDescent="0.25">
      <c r="D1997">
        <v>2037</v>
      </c>
      <c r="E1997" t="s">
        <v>227</v>
      </c>
      <c r="F1997" t="s">
        <v>250</v>
      </c>
      <c r="G1997">
        <v>18.52431726</v>
      </c>
      <c r="I1997">
        <f t="shared" si="141"/>
        <v>0</v>
      </c>
      <c r="J1997">
        <f t="shared" si="141"/>
        <v>0</v>
      </c>
      <c r="K1997">
        <f t="shared" si="141"/>
        <v>0</v>
      </c>
      <c r="M1997" t="str" cm="1">
        <f t="array" ref="M1997">IFERROR(INDEX($I$2:$K$2,0,MATCH(TRUE,I1997:K1997,0)),E1997)</f>
        <v>CHP New</v>
      </c>
      <c r="O1997" t="str">
        <f t="shared" si="139"/>
        <v>CHP New_2037</v>
      </c>
      <c r="P1997">
        <f t="shared" si="140"/>
        <v>18.52431726</v>
      </c>
    </row>
    <row r="1998" spans="4:16" x14ac:dyDescent="0.25">
      <c r="D1998">
        <v>2038</v>
      </c>
      <c r="E1998" t="s">
        <v>227</v>
      </c>
      <c r="F1998" t="s">
        <v>250</v>
      </c>
      <c r="G1998">
        <v>18.52431726</v>
      </c>
      <c r="I1998">
        <f t="shared" si="141"/>
        <v>0</v>
      </c>
      <c r="J1998">
        <f t="shared" si="141"/>
        <v>0</v>
      </c>
      <c r="K1998">
        <f t="shared" si="141"/>
        <v>0</v>
      </c>
      <c r="M1998" t="str" cm="1">
        <f t="array" ref="M1998">IFERROR(INDEX($I$2:$K$2,0,MATCH(TRUE,I1998:K1998,0)),E1998)</f>
        <v>CHP New</v>
      </c>
      <c r="O1998" t="str">
        <f t="shared" si="139"/>
        <v>CHP New_2038</v>
      </c>
      <c r="P1998">
        <f t="shared" si="140"/>
        <v>18.52431726</v>
      </c>
    </row>
    <row r="1999" spans="4:16" x14ac:dyDescent="0.25">
      <c r="D1999">
        <v>2039</v>
      </c>
      <c r="E1999" t="s">
        <v>227</v>
      </c>
      <c r="F1999" t="s">
        <v>250</v>
      </c>
      <c r="G1999">
        <v>18.52431726</v>
      </c>
      <c r="I1999">
        <f t="shared" si="141"/>
        <v>0</v>
      </c>
      <c r="J1999">
        <f t="shared" si="141"/>
        <v>0</v>
      </c>
      <c r="K1999">
        <f t="shared" si="141"/>
        <v>0</v>
      </c>
      <c r="M1999" t="str" cm="1">
        <f t="array" ref="M1999">IFERROR(INDEX($I$2:$K$2,0,MATCH(TRUE,I1999:K1999,0)),E1999)</f>
        <v>CHP New</v>
      </c>
      <c r="O1999" t="str">
        <f t="shared" si="139"/>
        <v>CHP New_2039</v>
      </c>
      <c r="P1999">
        <f t="shared" si="140"/>
        <v>18.52431726</v>
      </c>
    </row>
    <row r="2000" spans="4:16" x14ac:dyDescent="0.25">
      <c r="D2000">
        <v>2040</v>
      </c>
      <c r="E2000" t="s">
        <v>227</v>
      </c>
      <c r="F2000" t="s">
        <v>250</v>
      </c>
      <c r="G2000">
        <v>19.029888799999998</v>
      </c>
      <c r="I2000">
        <f t="shared" si="141"/>
        <v>0</v>
      </c>
      <c r="J2000">
        <f t="shared" si="141"/>
        <v>0</v>
      </c>
      <c r="K2000">
        <f t="shared" si="141"/>
        <v>0</v>
      </c>
      <c r="M2000" t="str" cm="1">
        <f t="array" ref="M2000">IFERROR(INDEX($I$2:$K$2,0,MATCH(TRUE,I2000:K2000,0)),E2000)</f>
        <v>CHP New</v>
      </c>
      <c r="O2000" t="str">
        <f t="shared" si="139"/>
        <v>CHP New_2040</v>
      </c>
      <c r="P2000">
        <f t="shared" si="140"/>
        <v>19.029888799999998</v>
      </c>
    </row>
    <row r="2001" spans="4:16" x14ac:dyDescent="0.25">
      <c r="D2001">
        <v>2021</v>
      </c>
      <c r="E2001" t="s">
        <v>227</v>
      </c>
      <c r="F2001" t="s">
        <v>251</v>
      </c>
      <c r="G2001">
        <v>58.351599370000002</v>
      </c>
      <c r="I2001">
        <f t="shared" si="141"/>
        <v>0</v>
      </c>
      <c r="J2001">
        <f t="shared" si="141"/>
        <v>0</v>
      </c>
      <c r="K2001">
        <f t="shared" si="141"/>
        <v>0</v>
      </c>
      <c r="M2001" t="str" cm="1">
        <f t="array" ref="M2001">IFERROR(INDEX($I$2:$K$2,0,MATCH(TRUE,I2001:K2001,0)),E2001)</f>
        <v>CHP New</v>
      </c>
      <c r="O2001" t="str">
        <f t="shared" si="139"/>
        <v>CHP New_2021</v>
      </c>
      <c r="P2001">
        <f t="shared" si="140"/>
        <v>58.351599370000002</v>
      </c>
    </row>
    <row r="2002" spans="4:16" x14ac:dyDescent="0.25">
      <c r="D2002">
        <v>2022</v>
      </c>
      <c r="E2002" t="s">
        <v>227</v>
      </c>
      <c r="F2002" t="s">
        <v>251</v>
      </c>
      <c r="G2002">
        <v>58.351599370000002</v>
      </c>
      <c r="I2002">
        <f t="shared" si="141"/>
        <v>0</v>
      </c>
      <c r="J2002">
        <f t="shared" si="141"/>
        <v>0</v>
      </c>
      <c r="K2002">
        <f t="shared" si="141"/>
        <v>0</v>
      </c>
      <c r="M2002" t="str" cm="1">
        <f t="array" ref="M2002">IFERROR(INDEX($I$2:$K$2,0,MATCH(TRUE,I2002:K2002,0)),E2002)</f>
        <v>CHP New</v>
      </c>
      <c r="O2002" t="str">
        <f t="shared" si="139"/>
        <v>CHP New_2022</v>
      </c>
      <c r="P2002">
        <f t="shared" si="140"/>
        <v>58.351599370000002</v>
      </c>
    </row>
    <row r="2003" spans="4:16" x14ac:dyDescent="0.25">
      <c r="D2003">
        <v>2023</v>
      </c>
      <c r="E2003" t="s">
        <v>227</v>
      </c>
      <c r="F2003" t="s">
        <v>251</v>
      </c>
      <c r="G2003">
        <v>58.351599370000002</v>
      </c>
      <c r="I2003">
        <f t="shared" si="141"/>
        <v>0</v>
      </c>
      <c r="J2003">
        <f t="shared" si="141"/>
        <v>0</v>
      </c>
      <c r="K2003">
        <f t="shared" si="141"/>
        <v>0</v>
      </c>
      <c r="M2003" t="str" cm="1">
        <f t="array" ref="M2003">IFERROR(INDEX($I$2:$K$2,0,MATCH(TRUE,I2003:K2003,0)),E2003)</f>
        <v>CHP New</v>
      </c>
      <c r="O2003" t="str">
        <f t="shared" ref="O2003:O2066" si="142">M2003&amp;"_"&amp;D2003</f>
        <v>CHP New_2023</v>
      </c>
      <c r="P2003">
        <f t="shared" ref="P2003:P2066" si="143">G2003</f>
        <v>58.351599370000002</v>
      </c>
    </row>
    <row r="2004" spans="4:16" x14ac:dyDescent="0.25">
      <c r="D2004">
        <v>2024</v>
      </c>
      <c r="E2004" t="s">
        <v>227</v>
      </c>
      <c r="F2004" t="s">
        <v>251</v>
      </c>
      <c r="G2004">
        <v>59.944149719999999</v>
      </c>
      <c r="I2004">
        <f t="shared" si="141"/>
        <v>0</v>
      </c>
      <c r="J2004">
        <f t="shared" si="141"/>
        <v>0</v>
      </c>
      <c r="K2004">
        <f t="shared" si="141"/>
        <v>0</v>
      </c>
      <c r="M2004" t="str" cm="1">
        <f t="array" ref="M2004">IFERROR(INDEX($I$2:$K$2,0,MATCH(TRUE,I2004:K2004,0)),E2004)</f>
        <v>CHP New</v>
      </c>
      <c r="O2004" t="str">
        <f t="shared" si="142"/>
        <v>CHP New_2024</v>
      </c>
      <c r="P2004">
        <f t="shared" si="143"/>
        <v>59.944149719999999</v>
      </c>
    </row>
    <row r="2005" spans="4:16" x14ac:dyDescent="0.25">
      <c r="D2005">
        <v>2025</v>
      </c>
      <c r="E2005" t="s">
        <v>227</v>
      </c>
      <c r="F2005" t="s">
        <v>251</v>
      </c>
      <c r="G2005">
        <v>58.351599370000002</v>
      </c>
      <c r="I2005">
        <f t="shared" ref="I2005:K2068" si="144">IFERROR(FIND(I$2,$E2005,1)&gt;0,0)</f>
        <v>0</v>
      </c>
      <c r="J2005">
        <f t="shared" si="144"/>
        <v>0</v>
      </c>
      <c r="K2005">
        <f t="shared" si="144"/>
        <v>0</v>
      </c>
      <c r="M2005" t="str" cm="1">
        <f t="array" ref="M2005">IFERROR(INDEX($I$2:$K$2,0,MATCH(TRUE,I2005:K2005,0)),E2005)</f>
        <v>CHP New</v>
      </c>
      <c r="O2005" t="str">
        <f t="shared" si="142"/>
        <v>CHP New_2025</v>
      </c>
      <c r="P2005">
        <f t="shared" si="143"/>
        <v>58.351599370000002</v>
      </c>
    </row>
    <row r="2006" spans="4:16" x14ac:dyDescent="0.25">
      <c r="D2006">
        <v>2026</v>
      </c>
      <c r="E2006" t="s">
        <v>227</v>
      </c>
      <c r="F2006" t="s">
        <v>251</v>
      </c>
      <c r="G2006">
        <v>58.351599370000002</v>
      </c>
      <c r="I2006">
        <f t="shared" si="144"/>
        <v>0</v>
      </c>
      <c r="J2006">
        <f t="shared" si="144"/>
        <v>0</v>
      </c>
      <c r="K2006">
        <f t="shared" si="144"/>
        <v>0</v>
      </c>
      <c r="M2006" t="str" cm="1">
        <f t="array" ref="M2006">IFERROR(INDEX($I$2:$K$2,0,MATCH(TRUE,I2006:K2006,0)),E2006)</f>
        <v>CHP New</v>
      </c>
      <c r="O2006" t="str">
        <f t="shared" si="142"/>
        <v>CHP New_2026</v>
      </c>
      <c r="P2006">
        <f t="shared" si="143"/>
        <v>58.351599370000002</v>
      </c>
    </row>
    <row r="2007" spans="4:16" x14ac:dyDescent="0.25">
      <c r="D2007">
        <v>2027</v>
      </c>
      <c r="E2007" t="s">
        <v>227</v>
      </c>
      <c r="F2007" t="s">
        <v>251</v>
      </c>
      <c r="G2007">
        <v>58.351599370000002</v>
      </c>
      <c r="I2007">
        <f t="shared" si="144"/>
        <v>0</v>
      </c>
      <c r="J2007">
        <f t="shared" si="144"/>
        <v>0</v>
      </c>
      <c r="K2007">
        <f t="shared" si="144"/>
        <v>0</v>
      </c>
      <c r="M2007" t="str" cm="1">
        <f t="array" ref="M2007">IFERROR(INDEX($I$2:$K$2,0,MATCH(TRUE,I2007:K2007,0)),E2007)</f>
        <v>CHP New</v>
      </c>
      <c r="O2007" t="str">
        <f t="shared" si="142"/>
        <v>CHP New_2027</v>
      </c>
      <c r="P2007">
        <f t="shared" si="143"/>
        <v>58.351599370000002</v>
      </c>
    </row>
    <row r="2008" spans="4:16" x14ac:dyDescent="0.25">
      <c r="D2008">
        <v>2028</v>
      </c>
      <c r="E2008" t="s">
        <v>227</v>
      </c>
      <c r="F2008" t="s">
        <v>251</v>
      </c>
      <c r="G2008">
        <v>58.351599370000002</v>
      </c>
      <c r="I2008">
        <f t="shared" si="144"/>
        <v>0</v>
      </c>
      <c r="J2008">
        <f t="shared" si="144"/>
        <v>0</v>
      </c>
      <c r="K2008">
        <f t="shared" si="144"/>
        <v>0</v>
      </c>
      <c r="M2008" t="str" cm="1">
        <f t="array" ref="M2008">IFERROR(INDEX($I$2:$K$2,0,MATCH(TRUE,I2008:K2008,0)),E2008)</f>
        <v>CHP New</v>
      </c>
      <c r="O2008" t="str">
        <f t="shared" si="142"/>
        <v>CHP New_2028</v>
      </c>
      <c r="P2008">
        <f t="shared" si="143"/>
        <v>58.351599370000002</v>
      </c>
    </row>
    <row r="2009" spans="4:16" x14ac:dyDescent="0.25">
      <c r="D2009">
        <v>2029</v>
      </c>
      <c r="E2009" t="s">
        <v>227</v>
      </c>
      <c r="F2009" t="s">
        <v>251</v>
      </c>
      <c r="G2009">
        <v>58.351599370000002</v>
      </c>
      <c r="I2009">
        <f t="shared" si="144"/>
        <v>0</v>
      </c>
      <c r="J2009">
        <f t="shared" si="144"/>
        <v>0</v>
      </c>
      <c r="K2009">
        <f t="shared" si="144"/>
        <v>0</v>
      </c>
      <c r="M2009" t="str" cm="1">
        <f t="array" ref="M2009">IFERROR(INDEX($I$2:$K$2,0,MATCH(TRUE,I2009:K2009,0)),E2009)</f>
        <v>CHP New</v>
      </c>
      <c r="O2009" t="str">
        <f t="shared" si="142"/>
        <v>CHP New_2029</v>
      </c>
      <c r="P2009">
        <f t="shared" si="143"/>
        <v>58.351599370000002</v>
      </c>
    </row>
    <row r="2010" spans="4:16" x14ac:dyDescent="0.25">
      <c r="D2010">
        <v>2030</v>
      </c>
      <c r="E2010" t="s">
        <v>227</v>
      </c>
      <c r="F2010" t="s">
        <v>251</v>
      </c>
      <c r="G2010">
        <v>58.351599370000002</v>
      </c>
      <c r="I2010">
        <f t="shared" si="144"/>
        <v>0</v>
      </c>
      <c r="J2010">
        <f t="shared" si="144"/>
        <v>0</v>
      </c>
      <c r="K2010">
        <f t="shared" si="144"/>
        <v>0</v>
      </c>
      <c r="M2010" t="str" cm="1">
        <f t="array" ref="M2010">IFERROR(INDEX($I$2:$K$2,0,MATCH(TRUE,I2010:K2010,0)),E2010)</f>
        <v>CHP New</v>
      </c>
      <c r="O2010" t="str">
        <f t="shared" si="142"/>
        <v>CHP New_2030</v>
      </c>
      <c r="P2010">
        <f t="shared" si="143"/>
        <v>58.351599370000002</v>
      </c>
    </row>
    <row r="2011" spans="4:16" x14ac:dyDescent="0.25">
      <c r="D2011">
        <v>2031</v>
      </c>
      <c r="E2011" t="s">
        <v>227</v>
      </c>
      <c r="F2011" t="s">
        <v>251</v>
      </c>
      <c r="G2011">
        <v>58.351599370000002</v>
      </c>
      <c r="I2011">
        <f t="shared" si="144"/>
        <v>0</v>
      </c>
      <c r="J2011">
        <f t="shared" si="144"/>
        <v>0</v>
      </c>
      <c r="K2011">
        <f t="shared" si="144"/>
        <v>0</v>
      </c>
      <c r="M2011" t="str" cm="1">
        <f t="array" ref="M2011">IFERROR(INDEX($I$2:$K$2,0,MATCH(TRUE,I2011:K2011,0)),E2011)</f>
        <v>CHP New</v>
      </c>
      <c r="O2011" t="str">
        <f t="shared" si="142"/>
        <v>CHP New_2031</v>
      </c>
      <c r="P2011">
        <f t="shared" si="143"/>
        <v>58.351599370000002</v>
      </c>
    </row>
    <row r="2012" spans="4:16" x14ac:dyDescent="0.25">
      <c r="D2012">
        <v>2032</v>
      </c>
      <c r="E2012" t="s">
        <v>227</v>
      </c>
      <c r="F2012" t="s">
        <v>251</v>
      </c>
      <c r="G2012">
        <v>58.351599370000002</v>
      </c>
      <c r="I2012">
        <f t="shared" si="144"/>
        <v>0</v>
      </c>
      <c r="J2012">
        <f t="shared" si="144"/>
        <v>0</v>
      </c>
      <c r="K2012">
        <f t="shared" si="144"/>
        <v>0</v>
      </c>
      <c r="M2012" t="str" cm="1">
        <f t="array" ref="M2012">IFERROR(INDEX($I$2:$K$2,0,MATCH(TRUE,I2012:K2012,0)),E2012)</f>
        <v>CHP New</v>
      </c>
      <c r="O2012" t="str">
        <f t="shared" si="142"/>
        <v>CHP New_2032</v>
      </c>
      <c r="P2012">
        <f t="shared" si="143"/>
        <v>58.351599370000002</v>
      </c>
    </row>
    <row r="2013" spans="4:16" x14ac:dyDescent="0.25">
      <c r="D2013">
        <v>2033</v>
      </c>
      <c r="E2013" t="s">
        <v>227</v>
      </c>
      <c r="F2013" t="s">
        <v>251</v>
      </c>
      <c r="G2013">
        <v>58.351599370000002</v>
      </c>
      <c r="I2013">
        <f t="shared" si="144"/>
        <v>0</v>
      </c>
      <c r="J2013">
        <f t="shared" si="144"/>
        <v>0</v>
      </c>
      <c r="K2013">
        <f t="shared" si="144"/>
        <v>0</v>
      </c>
      <c r="M2013" t="str" cm="1">
        <f t="array" ref="M2013">IFERROR(INDEX($I$2:$K$2,0,MATCH(TRUE,I2013:K2013,0)),E2013)</f>
        <v>CHP New</v>
      </c>
      <c r="O2013" t="str">
        <f t="shared" si="142"/>
        <v>CHP New_2033</v>
      </c>
      <c r="P2013">
        <f t="shared" si="143"/>
        <v>58.351599370000002</v>
      </c>
    </row>
    <row r="2014" spans="4:16" x14ac:dyDescent="0.25">
      <c r="D2014">
        <v>2034</v>
      </c>
      <c r="E2014" t="s">
        <v>227</v>
      </c>
      <c r="F2014" t="s">
        <v>251</v>
      </c>
      <c r="G2014">
        <v>58.351599370000002</v>
      </c>
      <c r="I2014">
        <f t="shared" si="144"/>
        <v>0</v>
      </c>
      <c r="J2014">
        <f t="shared" si="144"/>
        <v>0</v>
      </c>
      <c r="K2014">
        <f t="shared" si="144"/>
        <v>0</v>
      </c>
      <c r="M2014" t="str" cm="1">
        <f t="array" ref="M2014">IFERROR(INDEX($I$2:$K$2,0,MATCH(TRUE,I2014:K2014,0)),E2014)</f>
        <v>CHP New</v>
      </c>
      <c r="O2014" t="str">
        <f t="shared" si="142"/>
        <v>CHP New_2034</v>
      </c>
      <c r="P2014">
        <f t="shared" si="143"/>
        <v>58.351599370000002</v>
      </c>
    </row>
    <row r="2015" spans="4:16" x14ac:dyDescent="0.25">
      <c r="D2015">
        <v>2035</v>
      </c>
      <c r="E2015" t="s">
        <v>227</v>
      </c>
      <c r="F2015" t="s">
        <v>251</v>
      </c>
      <c r="G2015">
        <v>58.351599370000002</v>
      </c>
      <c r="I2015">
        <f t="shared" si="144"/>
        <v>0</v>
      </c>
      <c r="J2015">
        <f t="shared" si="144"/>
        <v>0</v>
      </c>
      <c r="K2015">
        <f t="shared" si="144"/>
        <v>0</v>
      </c>
      <c r="M2015" t="str" cm="1">
        <f t="array" ref="M2015">IFERROR(INDEX($I$2:$K$2,0,MATCH(TRUE,I2015:K2015,0)),E2015)</f>
        <v>CHP New</v>
      </c>
      <c r="O2015" t="str">
        <f t="shared" si="142"/>
        <v>CHP New_2035</v>
      </c>
      <c r="P2015">
        <f t="shared" si="143"/>
        <v>58.351599370000002</v>
      </c>
    </row>
    <row r="2016" spans="4:16" x14ac:dyDescent="0.25">
      <c r="D2016">
        <v>2036</v>
      </c>
      <c r="E2016" t="s">
        <v>227</v>
      </c>
      <c r="F2016" t="s">
        <v>251</v>
      </c>
      <c r="G2016">
        <v>59.944149719999999</v>
      </c>
      <c r="I2016">
        <f t="shared" si="144"/>
        <v>0</v>
      </c>
      <c r="J2016">
        <f t="shared" si="144"/>
        <v>0</v>
      </c>
      <c r="K2016">
        <f t="shared" si="144"/>
        <v>0</v>
      </c>
      <c r="M2016" t="str" cm="1">
        <f t="array" ref="M2016">IFERROR(INDEX($I$2:$K$2,0,MATCH(TRUE,I2016:K2016,0)),E2016)</f>
        <v>CHP New</v>
      </c>
      <c r="O2016" t="str">
        <f t="shared" si="142"/>
        <v>CHP New_2036</v>
      </c>
      <c r="P2016">
        <f t="shared" si="143"/>
        <v>59.944149719999999</v>
      </c>
    </row>
    <row r="2017" spans="4:16" x14ac:dyDescent="0.25">
      <c r="D2017">
        <v>2037</v>
      </c>
      <c r="E2017" t="s">
        <v>227</v>
      </c>
      <c r="F2017" t="s">
        <v>251</v>
      </c>
      <c r="G2017">
        <v>58.351599370000002</v>
      </c>
      <c r="I2017">
        <f t="shared" si="144"/>
        <v>0</v>
      </c>
      <c r="J2017">
        <f t="shared" si="144"/>
        <v>0</v>
      </c>
      <c r="K2017">
        <f t="shared" si="144"/>
        <v>0</v>
      </c>
      <c r="M2017" t="str" cm="1">
        <f t="array" ref="M2017">IFERROR(INDEX($I$2:$K$2,0,MATCH(TRUE,I2017:K2017,0)),E2017)</f>
        <v>CHP New</v>
      </c>
      <c r="O2017" t="str">
        <f t="shared" si="142"/>
        <v>CHP New_2037</v>
      </c>
      <c r="P2017">
        <f t="shared" si="143"/>
        <v>58.351599370000002</v>
      </c>
    </row>
    <row r="2018" spans="4:16" x14ac:dyDescent="0.25">
      <c r="D2018">
        <v>2038</v>
      </c>
      <c r="E2018" t="s">
        <v>227</v>
      </c>
      <c r="F2018" t="s">
        <v>251</v>
      </c>
      <c r="G2018">
        <v>58.351599370000002</v>
      </c>
      <c r="I2018">
        <f t="shared" si="144"/>
        <v>0</v>
      </c>
      <c r="J2018">
        <f t="shared" si="144"/>
        <v>0</v>
      </c>
      <c r="K2018">
        <f t="shared" si="144"/>
        <v>0</v>
      </c>
      <c r="M2018" t="str" cm="1">
        <f t="array" ref="M2018">IFERROR(INDEX($I$2:$K$2,0,MATCH(TRUE,I2018:K2018,0)),E2018)</f>
        <v>CHP New</v>
      </c>
      <c r="O2018" t="str">
        <f t="shared" si="142"/>
        <v>CHP New_2038</v>
      </c>
      <c r="P2018">
        <f t="shared" si="143"/>
        <v>58.351599370000002</v>
      </c>
    </row>
    <row r="2019" spans="4:16" x14ac:dyDescent="0.25">
      <c r="D2019">
        <v>2039</v>
      </c>
      <c r="E2019" t="s">
        <v>227</v>
      </c>
      <c r="F2019" t="s">
        <v>251</v>
      </c>
      <c r="G2019">
        <v>58.351599370000002</v>
      </c>
      <c r="I2019">
        <f t="shared" si="144"/>
        <v>0</v>
      </c>
      <c r="J2019">
        <f t="shared" si="144"/>
        <v>0</v>
      </c>
      <c r="K2019">
        <f t="shared" si="144"/>
        <v>0</v>
      </c>
      <c r="M2019" t="str" cm="1">
        <f t="array" ref="M2019">IFERROR(INDEX($I$2:$K$2,0,MATCH(TRUE,I2019:K2019,0)),E2019)</f>
        <v>CHP New</v>
      </c>
      <c r="O2019" t="str">
        <f t="shared" si="142"/>
        <v>CHP New_2039</v>
      </c>
      <c r="P2019">
        <f t="shared" si="143"/>
        <v>58.351599370000002</v>
      </c>
    </row>
    <row r="2020" spans="4:16" x14ac:dyDescent="0.25">
      <c r="D2020">
        <v>2040</v>
      </c>
      <c r="E2020" t="s">
        <v>227</v>
      </c>
      <c r="F2020" t="s">
        <v>251</v>
      </c>
      <c r="G2020">
        <v>59.944149719999999</v>
      </c>
      <c r="I2020">
        <f t="shared" si="144"/>
        <v>0</v>
      </c>
      <c r="J2020">
        <f t="shared" si="144"/>
        <v>0</v>
      </c>
      <c r="K2020">
        <f t="shared" si="144"/>
        <v>0</v>
      </c>
      <c r="M2020" t="str" cm="1">
        <f t="array" ref="M2020">IFERROR(INDEX($I$2:$K$2,0,MATCH(TRUE,I2020:K2020,0)),E2020)</f>
        <v>CHP New</v>
      </c>
      <c r="O2020" t="str">
        <f t="shared" si="142"/>
        <v>CHP New_2040</v>
      </c>
      <c r="P2020">
        <f t="shared" si="143"/>
        <v>59.944149719999999</v>
      </c>
    </row>
    <row r="2021" spans="4:16" x14ac:dyDescent="0.25">
      <c r="D2021">
        <v>2021</v>
      </c>
      <c r="E2021" t="s">
        <v>227</v>
      </c>
      <c r="F2021" t="s">
        <v>252</v>
      </c>
      <c r="G2021">
        <v>0</v>
      </c>
      <c r="I2021">
        <f t="shared" si="144"/>
        <v>0</v>
      </c>
      <c r="J2021">
        <f t="shared" si="144"/>
        <v>0</v>
      </c>
      <c r="K2021">
        <f t="shared" si="144"/>
        <v>0</v>
      </c>
      <c r="M2021" t="str" cm="1">
        <f t="array" ref="M2021">IFERROR(INDEX($I$2:$K$2,0,MATCH(TRUE,I2021:K2021,0)),E2021)</f>
        <v>CHP New</v>
      </c>
      <c r="O2021" t="str">
        <f t="shared" si="142"/>
        <v>CHP New_2021</v>
      </c>
      <c r="P2021">
        <f t="shared" si="143"/>
        <v>0</v>
      </c>
    </row>
    <row r="2022" spans="4:16" x14ac:dyDescent="0.25">
      <c r="D2022">
        <v>2022</v>
      </c>
      <c r="E2022" t="s">
        <v>227</v>
      </c>
      <c r="F2022" t="s">
        <v>252</v>
      </c>
      <c r="G2022">
        <v>54.445263660000002</v>
      </c>
      <c r="I2022">
        <f t="shared" si="144"/>
        <v>0</v>
      </c>
      <c r="J2022">
        <f t="shared" si="144"/>
        <v>0</v>
      </c>
      <c r="K2022">
        <f t="shared" si="144"/>
        <v>0</v>
      </c>
      <c r="M2022" t="str" cm="1">
        <f t="array" ref="M2022">IFERROR(INDEX($I$2:$K$2,0,MATCH(TRUE,I2022:K2022,0)),E2022)</f>
        <v>CHP New</v>
      </c>
      <c r="O2022" t="str">
        <f t="shared" si="142"/>
        <v>CHP New_2022</v>
      </c>
      <c r="P2022">
        <f t="shared" si="143"/>
        <v>54.445263660000002</v>
      </c>
    </row>
    <row r="2023" spans="4:16" x14ac:dyDescent="0.25">
      <c r="D2023">
        <v>2023</v>
      </c>
      <c r="E2023" t="s">
        <v>227</v>
      </c>
      <c r="F2023" t="s">
        <v>252</v>
      </c>
      <c r="G2023">
        <v>54.445263660000002</v>
      </c>
      <c r="I2023">
        <f t="shared" si="144"/>
        <v>0</v>
      </c>
      <c r="J2023">
        <f t="shared" si="144"/>
        <v>0</v>
      </c>
      <c r="K2023">
        <f t="shared" si="144"/>
        <v>0</v>
      </c>
      <c r="M2023" t="str" cm="1">
        <f t="array" ref="M2023">IFERROR(INDEX($I$2:$K$2,0,MATCH(TRUE,I2023:K2023,0)),E2023)</f>
        <v>CHP New</v>
      </c>
      <c r="O2023" t="str">
        <f t="shared" si="142"/>
        <v>CHP New_2023</v>
      </c>
      <c r="P2023">
        <f t="shared" si="143"/>
        <v>54.445263660000002</v>
      </c>
    </row>
    <row r="2024" spans="4:16" x14ac:dyDescent="0.25">
      <c r="D2024">
        <v>2024</v>
      </c>
      <c r="E2024" t="s">
        <v>227</v>
      </c>
      <c r="F2024" t="s">
        <v>252</v>
      </c>
      <c r="G2024">
        <v>56.181791939999997</v>
      </c>
      <c r="I2024">
        <f t="shared" si="144"/>
        <v>0</v>
      </c>
      <c r="J2024">
        <f t="shared" si="144"/>
        <v>0</v>
      </c>
      <c r="K2024">
        <f t="shared" si="144"/>
        <v>0</v>
      </c>
      <c r="M2024" t="str" cm="1">
        <f t="array" ref="M2024">IFERROR(INDEX($I$2:$K$2,0,MATCH(TRUE,I2024:K2024,0)),E2024)</f>
        <v>CHP New</v>
      </c>
      <c r="O2024" t="str">
        <f t="shared" si="142"/>
        <v>CHP New_2024</v>
      </c>
      <c r="P2024">
        <f t="shared" si="143"/>
        <v>56.181791939999997</v>
      </c>
    </row>
    <row r="2025" spans="4:16" x14ac:dyDescent="0.25">
      <c r="D2025">
        <v>2025</v>
      </c>
      <c r="E2025" t="s">
        <v>227</v>
      </c>
      <c r="F2025" t="s">
        <v>252</v>
      </c>
      <c r="G2025">
        <v>54.445263660000002</v>
      </c>
      <c r="I2025">
        <f t="shared" si="144"/>
        <v>0</v>
      </c>
      <c r="J2025">
        <f t="shared" si="144"/>
        <v>0</v>
      </c>
      <c r="K2025">
        <f t="shared" si="144"/>
        <v>0</v>
      </c>
      <c r="M2025" t="str" cm="1">
        <f t="array" ref="M2025">IFERROR(INDEX($I$2:$K$2,0,MATCH(TRUE,I2025:K2025,0)),E2025)</f>
        <v>CHP New</v>
      </c>
      <c r="O2025" t="str">
        <f t="shared" si="142"/>
        <v>CHP New_2025</v>
      </c>
      <c r="P2025">
        <f t="shared" si="143"/>
        <v>54.445263660000002</v>
      </c>
    </row>
    <row r="2026" spans="4:16" x14ac:dyDescent="0.25">
      <c r="D2026">
        <v>2026</v>
      </c>
      <c r="E2026" t="s">
        <v>227</v>
      </c>
      <c r="F2026" t="s">
        <v>252</v>
      </c>
      <c r="G2026">
        <v>54.445263660000002</v>
      </c>
      <c r="I2026">
        <f t="shared" si="144"/>
        <v>0</v>
      </c>
      <c r="J2026">
        <f t="shared" si="144"/>
        <v>0</v>
      </c>
      <c r="K2026">
        <f t="shared" si="144"/>
        <v>0</v>
      </c>
      <c r="M2026" t="str" cm="1">
        <f t="array" ref="M2026">IFERROR(INDEX($I$2:$K$2,0,MATCH(TRUE,I2026:K2026,0)),E2026)</f>
        <v>CHP New</v>
      </c>
      <c r="O2026" t="str">
        <f t="shared" si="142"/>
        <v>CHP New_2026</v>
      </c>
      <c r="P2026">
        <f t="shared" si="143"/>
        <v>54.445263660000002</v>
      </c>
    </row>
    <row r="2027" spans="4:16" x14ac:dyDescent="0.25">
      <c r="D2027">
        <v>2027</v>
      </c>
      <c r="E2027" t="s">
        <v>227</v>
      </c>
      <c r="F2027" t="s">
        <v>252</v>
      </c>
      <c r="G2027">
        <v>54.445263660000002</v>
      </c>
      <c r="I2027">
        <f t="shared" si="144"/>
        <v>0</v>
      </c>
      <c r="J2027">
        <f t="shared" si="144"/>
        <v>0</v>
      </c>
      <c r="K2027">
        <f t="shared" si="144"/>
        <v>0</v>
      </c>
      <c r="M2027" t="str" cm="1">
        <f t="array" ref="M2027">IFERROR(INDEX($I$2:$K$2,0,MATCH(TRUE,I2027:K2027,0)),E2027)</f>
        <v>CHP New</v>
      </c>
      <c r="O2027" t="str">
        <f t="shared" si="142"/>
        <v>CHP New_2027</v>
      </c>
      <c r="P2027">
        <f t="shared" si="143"/>
        <v>54.445263660000002</v>
      </c>
    </row>
    <row r="2028" spans="4:16" x14ac:dyDescent="0.25">
      <c r="D2028">
        <v>2028</v>
      </c>
      <c r="E2028" t="s">
        <v>227</v>
      </c>
      <c r="F2028" t="s">
        <v>252</v>
      </c>
      <c r="G2028">
        <v>54.445263660000002</v>
      </c>
      <c r="I2028">
        <f t="shared" si="144"/>
        <v>0</v>
      </c>
      <c r="J2028">
        <f t="shared" si="144"/>
        <v>0</v>
      </c>
      <c r="K2028">
        <f t="shared" si="144"/>
        <v>0</v>
      </c>
      <c r="M2028" t="str" cm="1">
        <f t="array" ref="M2028">IFERROR(INDEX($I$2:$K$2,0,MATCH(TRUE,I2028:K2028,0)),E2028)</f>
        <v>CHP New</v>
      </c>
      <c r="O2028" t="str">
        <f t="shared" si="142"/>
        <v>CHP New_2028</v>
      </c>
      <c r="P2028">
        <f t="shared" si="143"/>
        <v>54.445263660000002</v>
      </c>
    </row>
    <row r="2029" spans="4:16" x14ac:dyDescent="0.25">
      <c r="D2029">
        <v>2029</v>
      </c>
      <c r="E2029" t="s">
        <v>227</v>
      </c>
      <c r="F2029" t="s">
        <v>252</v>
      </c>
      <c r="G2029">
        <v>54.445263660000002</v>
      </c>
      <c r="I2029">
        <f t="shared" si="144"/>
        <v>0</v>
      </c>
      <c r="J2029">
        <f t="shared" si="144"/>
        <v>0</v>
      </c>
      <c r="K2029">
        <f t="shared" si="144"/>
        <v>0</v>
      </c>
      <c r="M2029" t="str" cm="1">
        <f t="array" ref="M2029">IFERROR(INDEX($I$2:$K$2,0,MATCH(TRUE,I2029:K2029,0)),E2029)</f>
        <v>CHP New</v>
      </c>
      <c r="O2029" t="str">
        <f t="shared" si="142"/>
        <v>CHP New_2029</v>
      </c>
      <c r="P2029">
        <f t="shared" si="143"/>
        <v>54.445263660000002</v>
      </c>
    </row>
    <row r="2030" spans="4:16" x14ac:dyDescent="0.25">
      <c r="D2030">
        <v>2030</v>
      </c>
      <c r="E2030" t="s">
        <v>227</v>
      </c>
      <c r="F2030" t="s">
        <v>252</v>
      </c>
      <c r="G2030">
        <v>54.445263660000002</v>
      </c>
      <c r="I2030">
        <f t="shared" si="144"/>
        <v>0</v>
      </c>
      <c r="J2030">
        <f t="shared" si="144"/>
        <v>0</v>
      </c>
      <c r="K2030">
        <f t="shared" si="144"/>
        <v>0</v>
      </c>
      <c r="M2030" t="str" cm="1">
        <f t="array" ref="M2030">IFERROR(INDEX($I$2:$K$2,0,MATCH(TRUE,I2030:K2030,0)),E2030)</f>
        <v>CHP New</v>
      </c>
      <c r="O2030" t="str">
        <f t="shared" si="142"/>
        <v>CHP New_2030</v>
      </c>
      <c r="P2030">
        <f t="shared" si="143"/>
        <v>54.445263660000002</v>
      </c>
    </row>
    <row r="2031" spans="4:16" x14ac:dyDescent="0.25">
      <c r="D2031">
        <v>2031</v>
      </c>
      <c r="E2031" t="s">
        <v>227</v>
      </c>
      <c r="F2031" t="s">
        <v>252</v>
      </c>
      <c r="G2031">
        <v>54.445263660000002</v>
      </c>
      <c r="I2031">
        <f t="shared" si="144"/>
        <v>0</v>
      </c>
      <c r="J2031">
        <f t="shared" si="144"/>
        <v>0</v>
      </c>
      <c r="K2031">
        <f t="shared" si="144"/>
        <v>0</v>
      </c>
      <c r="M2031" t="str" cm="1">
        <f t="array" ref="M2031">IFERROR(INDEX($I$2:$K$2,0,MATCH(TRUE,I2031:K2031,0)),E2031)</f>
        <v>CHP New</v>
      </c>
      <c r="O2031" t="str">
        <f t="shared" si="142"/>
        <v>CHP New_2031</v>
      </c>
      <c r="P2031">
        <f t="shared" si="143"/>
        <v>54.445263660000002</v>
      </c>
    </row>
    <row r="2032" spans="4:16" x14ac:dyDescent="0.25">
      <c r="D2032">
        <v>2032</v>
      </c>
      <c r="E2032" t="s">
        <v>227</v>
      </c>
      <c r="F2032" t="s">
        <v>252</v>
      </c>
      <c r="G2032">
        <v>54.445263660000002</v>
      </c>
      <c r="I2032">
        <f t="shared" si="144"/>
        <v>0</v>
      </c>
      <c r="J2032">
        <f t="shared" si="144"/>
        <v>0</v>
      </c>
      <c r="K2032">
        <f t="shared" si="144"/>
        <v>0</v>
      </c>
      <c r="M2032" t="str" cm="1">
        <f t="array" ref="M2032">IFERROR(INDEX($I$2:$K$2,0,MATCH(TRUE,I2032:K2032,0)),E2032)</f>
        <v>CHP New</v>
      </c>
      <c r="O2032" t="str">
        <f t="shared" si="142"/>
        <v>CHP New_2032</v>
      </c>
      <c r="P2032">
        <f t="shared" si="143"/>
        <v>54.445263660000002</v>
      </c>
    </row>
    <row r="2033" spans="4:16" x14ac:dyDescent="0.25">
      <c r="D2033">
        <v>2033</v>
      </c>
      <c r="E2033" t="s">
        <v>227</v>
      </c>
      <c r="F2033" t="s">
        <v>252</v>
      </c>
      <c r="G2033">
        <v>54.445263660000002</v>
      </c>
      <c r="I2033">
        <f t="shared" si="144"/>
        <v>0</v>
      </c>
      <c r="J2033">
        <f t="shared" si="144"/>
        <v>0</v>
      </c>
      <c r="K2033">
        <f t="shared" si="144"/>
        <v>0</v>
      </c>
      <c r="M2033" t="str" cm="1">
        <f t="array" ref="M2033">IFERROR(INDEX($I$2:$K$2,0,MATCH(TRUE,I2033:K2033,0)),E2033)</f>
        <v>CHP New</v>
      </c>
      <c r="O2033" t="str">
        <f t="shared" si="142"/>
        <v>CHP New_2033</v>
      </c>
      <c r="P2033">
        <f t="shared" si="143"/>
        <v>54.445263660000002</v>
      </c>
    </row>
    <row r="2034" spans="4:16" x14ac:dyDescent="0.25">
      <c r="D2034">
        <v>2034</v>
      </c>
      <c r="E2034" t="s">
        <v>227</v>
      </c>
      <c r="F2034" t="s">
        <v>252</v>
      </c>
      <c r="G2034">
        <v>54.445263660000002</v>
      </c>
      <c r="I2034">
        <f t="shared" si="144"/>
        <v>0</v>
      </c>
      <c r="J2034">
        <f t="shared" si="144"/>
        <v>0</v>
      </c>
      <c r="K2034">
        <f t="shared" si="144"/>
        <v>0</v>
      </c>
      <c r="M2034" t="str" cm="1">
        <f t="array" ref="M2034">IFERROR(INDEX($I$2:$K$2,0,MATCH(TRUE,I2034:K2034,0)),E2034)</f>
        <v>CHP New</v>
      </c>
      <c r="O2034" t="str">
        <f t="shared" si="142"/>
        <v>CHP New_2034</v>
      </c>
      <c r="P2034">
        <f t="shared" si="143"/>
        <v>54.445263660000002</v>
      </c>
    </row>
    <row r="2035" spans="4:16" x14ac:dyDescent="0.25">
      <c r="D2035">
        <v>2035</v>
      </c>
      <c r="E2035" t="s">
        <v>227</v>
      </c>
      <c r="F2035" t="s">
        <v>252</v>
      </c>
      <c r="G2035">
        <v>54.445263660000002</v>
      </c>
      <c r="I2035">
        <f t="shared" si="144"/>
        <v>0</v>
      </c>
      <c r="J2035">
        <f t="shared" si="144"/>
        <v>0</v>
      </c>
      <c r="K2035">
        <f t="shared" si="144"/>
        <v>0</v>
      </c>
      <c r="M2035" t="str" cm="1">
        <f t="array" ref="M2035">IFERROR(INDEX($I$2:$K$2,0,MATCH(TRUE,I2035:K2035,0)),E2035)</f>
        <v>CHP New</v>
      </c>
      <c r="O2035" t="str">
        <f t="shared" si="142"/>
        <v>CHP New_2035</v>
      </c>
      <c r="P2035">
        <f t="shared" si="143"/>
        <v>54.445263660000002</v>
      </c>
    </row>
    <row r="2036" spans="4:16" x14ac:dyDescent="0.25">
      <c r="D2036">
        <v>2036</v>
      </c>
      <c r="E2036" t="s">
        <v>227</v>
      </c>
      <c r="F2036" t="s">
        <v>252</v>
      </c>
      <c r="G2036">
        <v>56.181791939999997</v>
      </c>
      <c r="I2036">
        <f t="shared" si="144"/>
        <v>0</v>
      </c>
      <c r="J2036">
        <f t="shared" si="144"/>
        <v>0</v>
      </c>
      <c r="K2036">
        <f t="shared" si="144"/>
        <v>0</v>
      </c>
      <c r="M2036" t="str" cm="1">
        <f t="array" ref="M2036">IFERROR(INDEX($I$2:$K$2,0,MATCH(TRUE,I2036:K2036,0)),E2036)</f>
        <v>CHP New</v>
      </c>
      <c r="O2036" t="str">
        <f t="shared" si="142"/>
        <v>CHP New_2036</v>
      </c>
      <c r="P2036">
        <f t="shared" si="143"/>
        <v>56.181791939999997</v>
      </c>
    </row>
    <row r="2037" spans="4:16" x14ac:dyDescent="0.25">
      <c r="D2037">
        <v>2037</v>
      </c>
      <c r="E2037" t="s">
        <v>227</v>
      </c>
      <c r="F2037" t="s">
        <v>252</v>
      </c>
      <c r="G2037">
        <v>54.445263660000002</v>
      </c>
      <c r="I2037">
        <f t="shared" si="144"/>
        <v>0</v>
      </c>
      <c r="J2037">
        <f t="shared" si="144"/>
        <v>0</v>
      </c>
      <c r="K2037">
        <f t="shared" si="144"/>
        <v>0</v>
      </c>
      <c r="M2037" t="str" cm="1">
        <f t="array" ref="M2037">IFERROR(INDEX($I$2:$K$2,0,MATCH(TRUE,I2037:K2037,0)),E2037)</f>
        <v>CHP New</v>
      </c>
      <c r="O2037" t="str">
        <f t="shared" si="142"/>
        <v>CHP New_2037</v>
      </c>
      <c r="P2037">
        <f t="shared" si="143"/>
        <v>54.445263660000002</v>
      </c>
    </row>
    <row r="2038" spans="4:16" x14ac:dyDescent="0.25">
      <c r="D2038">
        <v>2038</v>
      </c>
      <c r="E2038" t="s">
        <v>227</v>
      </c>
      <c r="F2038" t="s">
        <v>252</v>
      </c>
      <c r="G2038">
        <v>54.445263660000002</v>
      </c>
      <c r="I2038">
        <f t="shared" si="144"/>
        <v>0</v>
      </c>
      <c r="J2038">
        <f t="shared" si="144"/>
        <v>0</v>
      </c>
      <c r="K2038">
        <f t="shared" si="144"/>
        <v>0</v>
      </c>
      <c r="M2038" t="str" cm="1">
        <f t="array" ref="M2038">IFERROR(INDEX($I$2:$K$2,0,MATCH(TRUE,I2038:K2038,0)),E2038)</f>
        <v>CHP New</v>
      </c>
      <c r="O2038" t="str">
        <f t="shared" si="142"/>
        <v>CHP New_2038</v>
      </c>
      <c r="P2038">
        <f t="shared" si="143"/>
        <v>54.445263660000002</v>
      </c>
    </row>
    <row r="2039" spans="4:16" x14ac:dyDescent="0.25">
      <c r="D2039">
        <v>2039</v>
      </c>
      <c r="E2039" t="s">
        <v>227</v>
      </c>
      <c r="F2039" t="s">
        <v>252</v>
      </c>
      <c r="G2039">
        <v>54.445263660000002</v>
      </c>
      <c r="I2039">
        <f t="shared" si="144"/>
        <v>0</v>
      </c>
      <c r="J2039">
        <f t="shared" si="144"/>
        <v>0</v>
      </c>
      <c r="K2039">
        <f t="shared" si="144"/>
        <v>0</v>
      </c>
      <c r="M2039" t="str" cm="1">
        <f t="array" ref="M2039">IFERROR(INDEX($I$2:$K$2,0,MATCH(TRUE,I2039:K2039,0)),E2039)</f>
        <v>CHP New</v>
      </c>
      <c r="O2039" t="str">
        <f t="shared" si="142"/>
        <v>CHP New_2039</v>
      </c>
      <c r="P2039">
        <f t="shared" si="143"/>
        <v>54.445263660000002</v>
      </c>
    </row>
    <row r="2040" spans="4:16" x14ac:dyDescent="0.25">
      <c r="D2040">
        <v>2040</v>
      </c>
      <c r="E2040" t="s">
        <v>227</v>
      </c>
      <c r="F2040" t="s">
        <v>252</v>
      </c>
      <c r="G2040">
        <v>56.181791939999997</v>
      </c>
      <c r="I2040">
        <f t="shared" si="144"/>
        <v>0</v>
      </c>
      <c r="J2040">
        <f t="shared" si="144"/>
        <v>0</v>
      </c>
      <c r="K2040">
        <f t="shared" si="144"/>
        <v>0</v>
      </c>
      <c r="M2040" t="str" cm="1">
        <f t="array" ref="M2040">IFERROR(INDEX($I$2:$K$2,0,MATCH(TRUE,I2040:K2040,0)),E2040)</f>
        <v>CHP New</v>
      </c>
      <c r="O2040" t="str">
        <f t="shared" si="142"/>
        <v>CHP New_2040</v>
      </c>
      <c r="P2040">
        <f t="shared" si="143"/>
        <v>56.181791939999997</v>
      </c>
    </row>
    <row r="2041" spans="4:16" x14ac:dyDescent="0.25">
      <c r="D2041">
        <v>2021</v>
      </c>
      <c r="E2041" t="s">
        <v>227</v>
      </c>
      <c r="F2041" t="s">
        <v>253</v>
      </c>
      <c r="G2041">
        <v>175.98101396999999</v>
      </c>
      <c r="I2041">
        <f t="shared" si="144"/>
        <v>0</v>
      </c>
      <c r="J2041">
        <f t="shared" si="144"/>
        <v>0</v>
      </c>
      <c r="K2041">
        <f t="shared" si="144"/>
        <v>0</v>
      </c>
      <c r="M2041" t="str" cm="1">
        <f t="array" ref="M2041">IFERROR(INDEX($I$2:$K$2,0,MATCH(TRUE,I2041:K2041,0)),E2041)</f>
        <v>CHP New</v>
      </c>
      <c r="O2041" t="str">
        <f t="shared" si="142"/>
        <v>CHP New_2021</v>
      </c>
      <c r="P2041">
        <f t="shared" si="143"/>
        <v>175.98101396999999</v>
      </c>
    </row>
    <row r="2042" spans="4:16" x14ac:dyDescent="0.25">
      <c r="D2042">
        <v>2022</v>
      </c>
      <c r="E2042" t="s">
        <v>227</v>
      </c>
      <c r="F2042" t="s">
        <v>253</v>
      </c>
      <c r="G2042">
        <v>175.98101396999999</v>
      </c>
      <c r="I2042">
        <f t="shared" si="144"/>
        <v>0</v>
      </c>
      <c r="J2042">
        <f t="shared" si="144"/>
        <v>0</v>
      </c>
      <c r="K2042">
        <f t="shared" si="144"/>
        <v>0</v>
      </c>
      <c r="M2042" t="str" cm="1">
        <f t="array" ref="M2042">IFERROR(INDEX($I$2:$K$2,0,MATCH(TRUE,I2042:K2042,0)),E2042)</f>
        <v>CHP New</v>
      </c>
      <c r="O2042" t="str">
        <f t="shared" si="142"/>
        <v>CHP New_2022</v>
      </c>
      <c r="P2042">
        <f t="shared" si="143"/>
        <v>175.98101396999999</v>
      </c>
    </row>
    <row r="2043" spans="4:16" x14ac:dyDescent="0.25">
      <c r="D2043">
        <v>2023</v>
      </c>
      <c r="E2043" t="s">
        <v>227</v>
      </c>
      <c r="F2043" t="s">
        <v>253</v>
      </c>
      <c r="G2043">
        <v>175.98101396999999</v>
      </c>
      <c r="I2043">
        <f t="shared" si="144"/>
        <v>0</v>
      </c>
      <c r="J2043">
        <f t="shared" si="144"/>
        <v>0</v>
      </c>
      <c r="K2043">
        <f t="shared" si="144"/>
        <v>0</v>
      </c>
      <c r="M2043" t="str" cm="1">
        <f t="array" ref="M2043">IFERROR(INDEX($I$2:$K$2,0,MATCH(TRUE,I2043:K2043,0)),E2043)</f>
        <v>CHP New</v>
      </c>
      <c r="O2043" t="str">
        <f t="shared" si="142"/>
        <v>CHP New_2023</v>
      </c>
      <c r="P2043">
        <f t="shared" si="143"/>
        <v>175.98101396999999</v>
      </c>
    </row>
    <row r="2044" spans="4:16" x14ac:dyDescent="0.25">
      <c r="D2044">
        <v>2024</v>
      </c>
      <c r="E2044" t="s">
        <v>227</v>
      </c>
      <c r="F2044" t="s">
        <v>253</v>
      </c>
      <c r="G2044">
        <v>180.78394359999999</v>
      </c>
      <c r="I2044">
        <f t="shared" si="144"/>
        <v>0</v>
      </c>
      <c r="J2044">
        <f t="shared" si="144"/>
        <v>0</v>
      </c>
      <c r="K2044">
        <f t="shared" si="144"/>
        <v>0</v>
      </c>
      <c r="M2044" t="str" cm="1">
        <f t="array" ref="M2044">IFERROR(INDEX($I$2:$K$2,0,MATCH(TRUE,I2044:K2044,0)),E2044)</f>
        <v>CHP New</v>
      </c>
      <c r="O2044" t="str">
        <f t="shared" si="142"/>
        <v>CHP New_2024</v>
      </c>
      <c r="P2044">
        <f t="shared" si="143"/>
        <v>180.78394359999999</v>
      </c>
    </row>
    <row r="2045" spans="4:16" x14ac:dyDescent="0.25">
      <c r="D2045">
        <v>2025</v>
      </c>
      <c r="E2045" t="s">
        <v>227</v>
      </c>
      <c r="F2045" t="s">
        <v>253</v>
      </c>
      <c r="G2045">
        <v>175.98101396999999</v>
      </c>
      <c r="I2045">
        <f t="shared" si="144"/>
        <v>0</v>
      </c>
      <c r="J2045">
        <f t="shared" si="144"/>
        <v>0</v>
      </c>
      <c r="K2045">
        <f t="shared" si="144"/>
        <v>0</v>
      </c>
      <c r="M2045" t="str" cm="1">
        <f t="array" ref="M2045">IFERROR(INDEX($I$2:$K$2,0,MATCH(TRUE,I2045:K2045,0)),E2045)</f>
        <v>CHP New</v>
      </c>
      <c r="O2045" t="str">
        <f t="shared" si="142"/>
        <v>CHP New_2025</v>
      </c>
      <c r="P2045">
        <f t="shared" si="143"/>
        <v>175.98101396999999</v>
      </c>
    </row>
    <row r="2046" spans="4:16" x14ac:dyDescent="0.25">
      <c r="D2046">
        <v>2026</v>
      </c>
      <c r="E2046" t="s">
        <v>227</v>
      </c>
      <c r="F2046" t="s">
        <v>253</v>
      </c>
      <c r="G2046">
        <v>175.98101396999999</v>
      </c>
      <c r="I2046">
        <f t="shared" si="144"/>
        <v>0</v>
      </c>
      <c r="J2046">
        <f t="shared" si="144"/>
        <v>0</v>
      </c>
      <c r="K2046">
        <f t="shared" si="144"/>
        <v>0</v>
      </c>
      <c r="M2046" t="str" cm="1">
        <f t="array" ref="M2046">IFERROR(INDEX($I$2:$K$2,0,MATCH(TRUE,I2046:K2046,0)),E2046)</f>
        <v>CHP New</v>
      </c>
      <c r="O2046" t="str">
        <f t="shared" si="142"/>
        <v>CHP New_2026</v>
      </c>
      <c r="P2046">
        <f t="shared" si="143"/>
        <v>175.98101396999999</v>
      </c>
    </row>
    <row r="2047" spans="4:16" x14ac:dyDescent="0.25">
      <c r="D2047">
        <v>2027</v>
      </c>
      <c r="E2047" t="s">
        <v>227</v>
      </c>
      <c r="F2047" t="s">
        <v>253</v>
      </c>
      <c r="G2047">
        <v>175.98101396999999</v>
      </c>
      <c r="I2047">
        <f t="shared" si="144"/>
        <v>0</v>
      </c>
      <c r="J2047">
        <f t="shared" si="144"/>
        <v>0</v>
      </c>
      <c r="K2047">
        <f t="shared" si="144"/>
        <v>0</v>
      </c>
      <c r="M2047" t="str" cm="1">
        <f t="array" ref="M2047">IFERROR(INDEX($I$2:$K$2,0,MATCH(TRUE,I2047:K2047,0)),E2047)</f>
        <v>CHP New</v>
      </c>
      <c r="O2047" t="str">
        <f t="shared" si="142"/>
        <v>CHP New_2027</v>
      </c>
      <c r="P2047">
        <f t="shared" si="143"/>
        <v>175.98101396999999</v>
      </c>
    </row>
    <row r="2048" spans="4:16" x14ac:dyDescent="0.25">
      <c r="D2048">
        <v>2028</v>
      </c>
      <c r="E2048" t="s">
        <v>227</v>
      </c>
      <c r="F2048" t="s">
        <v>253</v>
      </c>
      <c r="G2048">
        <v>175.98101396999999</v>
      </c>
      <c r="I2048">
        <f t="shared" si="144"/>
        <v>0</v>
      </c>
      <c r="J2048">
        <f t="shared" si="144"/>
        <v>0</v>
      </c>
      <c r="K2048">
        <f t="shared" si="144"/>
        <v>0</v>
      </c>
      <c r="M2048" t="str" cm="1">
        <f t="array" ref="M2048">IFERROR(INDEX($I$2:$K$2,0,MATCH(TRUE,I2048:K2048,0)),E2048)</f>
        <v>CHP New</v>
      </c>
      <c r="O2048" t="str">
        <f t="shared" si="142"/>
        <v>CHP New_2028</v>
      </c>
      <c r="P2048">
        <f t="shared" si="143"/>
        <v>175.98101396999999</v>
      </c>
    </row>
    <row r="2049" spans="4:16" x14ac:dyDescent="0.25">
      <c r="D2049">
        <v>2029</v>
      </c>
      <c r="E2049" t="s">
        <v>227</v>
      </c>
      <c r="F2049" t="s">
        <v>253</v>
      </c>
      <c r="G2049">
        <v>175.98101396999999</v>
      </c>
      <c r="I2049">
        <f t="shared" si="144"/>
        <v>0</v>
      </c>
      <c r="J2049">
        <f t="shared" si="144"/>
        <v>0</v>
      </c>
      <c r="K2049">
        <f t="shared" si="144"/>
        <v>0</v>
      </c>
      <c r="M2049" t="str" cm="1">
        <f t="array" ref="M2049">IFERROR(INDEX($I$2:$K$2,0,MATCH(TRUE,I2049:K2049,0)),E2049)</f>
        <v>CHP New</v>
      </c>
      <c r="O2049" t="str">
        <f t="shared" si="142"/>
        <v>CHP New_2029</v>
      </c>
      <c r="P2049">
        <f t="shared" si="143"/>
        <v>175.98101396999999</v>
      </c>
    </row>
    <row r="2050" spans="4:16" x14ac:dyDescent="0.25">
      <c r="D2050">
        <v>2030</v>
      </c>
      <c r="E2050" t="s">
        <v>227</v>
      </c>
      <c r="F2050" t="s">
        <v>253</v>
      </c>
      <c r="G2050">
        <v>175.98101396999999</v>
      </c>
      <c r="I2050">
        <f t="shared" si="144"/>
        <v>0</v>
      </c>
      <c r="J2050">
        <f t="shared" si="144"/>
        <v>0</v>
      </c>
      <c r="K2050">
        <f t="shared" si="144"/>
        <v>0</v>
      </c>
      <c r="M2050" t="str" cm="1">
        <f t="array" ref="M2050">IFERROR(INDEX($I$2:$K$2,0,MATCH(TRUE,I2050:K2050,0)),E2050)</f>
        <v>CHP New</v>
      </c>
      <c r="O2050" t="str">
        <f t="shared" si="142"/>
        <v>CHP New_2030</v>
      </c>
      <c r="P2050">
        <f t="shared" si="143"/>
        <v>175.98101396999999</v>
      </c>
    </row>
    <row r="2051" spans="4:16" x14ac:dyDescent="0.25">
      <c r="D2051">
        <v>2031</v>
      </c>
      <c r="E2051" t="s">
        <v>227</v>
      </c>
      <c r="F2051" t="s">
        <v>253</v>
      </c>
      <c r="G2051">
        <v>175.98101396999999</v>
      </c>
      <c r="I2051">
        <f t="shared" si="144"/>
        <v>0</v>
      </c>
      <c r="J2051">
        <f t="shared" si="144"/>
        <v>0</v>
      </c>
      <c r="K2051">
        <f t="shared" si="144"/>
        <v>0</v>
      </c>
      <c r="M2051" t="str" cm="1">
        <f t="array" ref="M2051">IFERROR(INDEX($I$2:$K$2,0,MATCH(TRUE,I2051:K2051,0)),E2051)</f>
        <v>CHP New</v>
      </c>
      <c r="O2051" t="str">
        <f t="shared" si="142"/>
        <v>CHP New_2031</v>
      </c>
      <c r="P2051">
        <f t="shared" si="143"/>
        <v>175.98101396999999</v>
      </c>
    </row>
    <row r="2052" spans="4:16" x14ac:dyDescent="0.25">
      <c r="D2052">
        <v>2032</v>
      </c>
      <c r="E2052" t="s">
        <v>227</v>
      </c>
      <c r="F2052" t="s">
        <v>253</v>
      </c>
      <c r="G2052">
        <v>175.98101396999999</v>
      </c>
      <c r="I2052">
        <f t="shared" si="144"/>
        <v>0</v>
      </c>
      <c r="J2052">
        <f t="shared" si="144"/>
        <v>0</v>
      </c>
      <c r="K2052">
        <f t="shared" si="144"/>
        <v>0</v>
      </c>
      <c r="M2052" t="str" cm="1">
        <f t="array" ref="M2052">IFERROR(INDEX($I$2:$K$2,0,MATCH(TRUE,I2052:K2052,0)),E2052)</f>
        <v>CHP New</v>
      </c>
      <c r="O2052" t="str">
        <f t="shared" si="142"/>
        <v>CHP New_2032</v>
      </c>
      <c r="P2052">
        <f t="shared" si="143"/>
        <v>175.98101396999999</v>
      </c>
    </row>
    <row r="2053" spans="4:16" x14ac:dyDescent="0.25">
      <c r="D2053">
        <v>2033</v>
      </c>
      <c r="E2053" t="s">
        <v>227</v>
      </c>
      <c r="F2053" t="s">
        <v>253</v>
      </c>
      <c r="G2053">
        <v>175.98101396999999</v>
      </c>
      <c r="I2053">
        <f t="shared" si="144"/>
        <v>0</v>
      </c>
      <c r="J2053">
        <f t="shared" si="144"/>
        <v>0</v>
      </c>
      <c r="K2053">
        <f t="shared" si="144"/>
        <v>0</v>
      </c>
      <c r="M2053" t="str" cm="1">
        <f t="array" ref="M2053">IFERROR(INDEX($I$2:$K$2,0,MATCH(TRUE,I2053:K2053,0)),E2053)</f>
        <v>CHP New</v>
      </c>
      <c r="O2053" t="str">
        <f t="shared" si="142"/>
        <v>CHP New_2033</v>
      </c>
      <c r="P2053">
        <f t="shared" si="143"/>
        <v>175.98101396999999</v>
      </c>
    </row>
    <row r="2054" spans="4:16" x14ac:dyDescent="0.25">
      <c r="D2054">
        <v>2034</v>
      </c>
      <c r="E2054" t="s">
        <v>227</v>
      </c>
      <c r="F2054" t="s">
        <v>253</v>
      </c>
      <c r="G2054">
        <v>175.98101396999999</v>
      </c>
      <c r="I2054">
        <f t="shared" si="144"/>
        <v>0</v>
      </c>
      <c r="J2054">
        <f t="shared" si="144"/>
        <v>0</v>
      </c>
      <c r="K2054">
        <f t="shared" si="144"/>
        <v>0</v>
      </c>
      <c r="M2054" t="str" cm="1">
        <f t="array" ref="M2054">IFERROR(INDEX($I$2:$K$2,0,MATCH(TRUE,I2054:K2054,0)),E2054)</f>
        <v>CHP New</v>
      </c>
      <c r="O2054" t="str">
        <f t="shared" si="142"/>
        <v>CHP New_2034</v>
      </c>
      <c r="P2054">
        <f t="shared" si="143"/>
        <v>175.98101396999999</v>
      </c>
    </row>
    <row r="2055" spans="4:16" x14ac:dyDescent="0.25">
      <c r="D2055">
        <v>2035</v>
      </c>
      <c r="E2055" t="s">
        <v>227</v>
      </c>
      <c r="F2055" t="s">
        <v>253</v>
      </c>
      <c r="G2055">
        <v>175.98101396999999</v>
      </c>
      <c r="I2055">
        <f t="shared" si="144"/>
        <v>0</v>
      </c>
      <c r="J2055">
        <f t="shared" si="144"/>
        <v>0</v>
      </c>
      <c r="K2055">
        <f t="shared" si="144"/>
        <v>0</v>
      </c>
      <c r="M2055" t="str" cm="1">
        <f t="array" ref="M2055">IFERROR(INDEX($I$2:$K$2,0,MATCH(TRUE,I2055:K2055,0)),E2055)</f>
        <v>CHP New</v>
      </c>
      <c r="O2055" t="str">
        <f t="shared" si="142"/>
        <v>CHP New_2035</v>
      </c>
      <c r="P2055">
        <f t="shared" si="143"/>
        <v>175.98101396999999</v>
      </c>
    </row>
    <row r="2056" spans="4:16" x14ac:dyDescent="0.25">
      <c r="D2056">
        <v>2036</v>
      </c>
      <c r="E2056" t="s">
        <v>227</v>
      </c>
      <c r="F2056" t="s">
        <v>253</v>
      </c>
      <c r="G2056">
        <v>180.78394359999999</v>
      </c>
      <c r="I2056">
        <f t="shared" si="144"/>
        <v>0</v>
      </c>
      <c r="J2056">
        <f t="shared" si="144"/>
        <v>0</v>
      </c>
      <c r="K2056">
        <f t="shared" si="144"/>
        <v>0</v>
      </c>
      <c r="M2056" t="str" cm="1">
        <f t="array" ref="M2056">IFERROR(INDEX($I$2:$K$2,0,MATCH(TRUE,I2056:K2056,0)),E2056)</f>
        <v>CHP New</v>
      </c>
      <c r="O2056" t="str">
        <f t="shared" si="142"/>
        <v>CHP New_2036</v>
      </c>
      <c r="P2056">
        <f t="shared" si="143"/>
        <v>180.78394359999999</v>
      </c>
    </row>
    <row r="2057" spans="4:16" x14ac:dyDescent="0.25">
      <c r="D2057">
        <v>2037</v>
      </c>
      <c r="E2057" t="s">
        <v>227</v>
      </c>
      <c r="F2057" t="s">
        <v>253</v>
      </c>
      <c r="G2057">
        <v>175.98101396999999</v>
      </c>
      <c r="I2057">
        <f t="shared" si="144"/>
        <v>0</v>
      </c>
      <c r="J2057">
        <f t="shared" si="144"/>
        <v>0</v>
      </c>
      <c r="K2057">
        <f t="shared" si="144"/>
        <v>0</v>
      </c>
      <c r="M2057" t="str" cm="1">
        <f t="array" ref="M2057">IFERROR(INDEX($I$2:$K$2,0,MATCH(TRUE,I2057:K2057,0)),E2057)</f>
        <v>CHP New</v>
      </c>
      <c r="O2057" t="str">
        <f t="shared" si="142"/>
        <v>CHP New_2037</v>
      </c>
      <c r="P2057">
        <f t="shared" si="143"/>
        <v>175.98101396999999</v>
      </c>
    </row>
    <row r="2058" spans="4:16" x14ac:dyDescent="0.25">
      <c r="D2058">
        <v>2038</v>
      </c>
      <c r="E2058" t="s">
        <v>227</v>
      </c>
      <c r="F2058" t="s">
        <v>253</v>
      </c>
      <c r="G2058">
        <v>175.98101396999999</v>
      </c>
      <c r="I2058">
        <f t="shared" si="144"/>
        <v>0</v>
      </c>
      <c r="J2058">
        <f t="shared" si="144"/>
        <v>0</v>
      </c>
      <c r="K2058">
        <f t="shared" si="144"/>
        <v>0</v>
      </c>
      <c r="M2058" t="str" cm="1">
        <f t="array" ref="M2058">IFERROR(INDEX($I$2:$K$2,0,MATCH(TRUE,I2058:K2058,0)),E2058)</f>
        <v>CHP New</v>
      </c>
      <c r="O2058" t="str">
        <f t="shared" si="142"/>
        <v>CHP New_2038</v>
      </c>
      <c r="P2058">
        <f t="shared" si="143"/>
        <v>175.98101396999999</v>
      </c>
    </row>
    <row r="2059" spans="4:16" x14ac:dyDescent="0.25">
      <c r="D2059">
        <v>2039</v>
      </c>
      <c r="E2059" t="s">
        <v>227</v>
      </c>
      <c r="F2059" t="s">
        <v>253</v>
      </c>
      <c r="G2059">
        <v>175.98101396999999</v>
      </c>
      <c r="I2059">
        <f t="shared" si="144"/>
        <v>0</v>
      </c>
      <c r="J2059">
        <f t="shared" si="144"/>
        <v>0</v>
      </c>
      <c r="K2059">
        <f t="shared" si="144"/>
        <v>0</v>
      </c>
      <c r="M2059" t="str" cm="1">
        <f t="array" ref="M2059">IFERROR(INDEX($I$2:$K$2,0,MATCH(TRUE,I2059:K2059,0)),E2059)</f>
        <v>CHP New</v>
      </c>
      <c r="O2059" t="str">
        <f t="shared" si="142"/>
        <v>CHP New_2039</v>
      </c>
      <c r="P2059">
        <f t="shared" si="143"/>
        <v>175.98101396999999</v>
      </c>
    </row>
    <row r="2060" spans="4:16" x14ac:dyDescent="0.25">
      <c r="D2060">
        <v>2040</v>
      </c>
      <c r="E2060" t="s">
        <v>227</v>
      </c>
      <c r="F2060" t="s">
        <v>253</v>
      </c>
      <c r="G2060">
        <v>180.78394359999999</v>
      </c>
      <c r="I2060">
        <f t="shared" si="144"/>
        <v>0</v>
      </c>
      <c r="J2060">
        <f t="shared" si="144"/>
        <v>0</v>
      </c>
      <c r="K2060">
        <f t="shared" si="144"/>
        <v>0</v>
      </c>
      <c r="M2060" t="str" cm="1">
        <f t="array" ref="M2060">IFERROR(INDEX($I$2:$K$2,0,MATCH(TRUE,I2060:K2060,0)),E2060)</f>
        <v>CHP New</v>
      </c>
      <c r="O2060" t="str">
        <f t="shared" si="142"/>
        <v>CHP New_2040</v>
      </c>
      <c r="P2060">
        <f t="shared" si="143"/>
        <v>180.78394359999999</v>
      </c>
    </row>
    <row r="2061" spans="4:16" x14ac:dyDescent="0.25">
      <c r="D2061">
        <v>2021</v>
      </c>
      <c r="E2061" t="s">
        <v>227</v>
      </c>
      <c r="F2061" t="s">
        <v>254</v>
      </c>
      <c r="G2061">
        <v>0</v>
      </c>
      <c r="I2061">
        <f t="shared" si="144"/>
        <v>0</v>
      </c>
      <c r="J2061">
        <f t="shared" si="144"/>
        <v>0</v>
      </c>
      <c r="K2061">
        <f t="shared" si="144"/>
        <v>0</v>
      </c>
      <c r="M2061" t="str" cm="1">
        <f t="array" ref="M2061">IFERROR(INDEX($I$2:$K$2,0,MATCH(TRUE,I2061:K2061,0)),E2061)</f>
        <v>CHP New</v>
      </c>
      <c r="O2061" t="str">
        <f t="shared" si="142"/>
        <v>CHP New_2021</v>
      </c>
      <c r="P2061">
        <f t="shared" si="143"/>
        <v>0</v>
      </c>
    </row>
    <row r="2062" spans="4:16" x14ac:dyDescent="0.25">
      <c r="D2062">
        <v>2022</v>
      </c>
      <c r="E2062" t="s">
        <v>227</v>
      </c>
      <c r="F2062" t="s">
        <v>254</v>
      </c>
      <c r="G2062">
        <v>59.277815230000002</v>
      </c>
      <c r="I2062">
        <f t="shared" si="144"/>
        <v>0</v>
      </c>
      <c r="J2062">
        <f t="shared" si="144"/>
        <v>0</v>
      </c>
      <c r="K2062">
        <f t="shared" si="144"/>
        <v>0</v>
      </c>
      <c r="M2062" t="str" cm="1">
        <f t="array" ref="M2062">IFERROR(INDEX($I$2:$K$2,0,MATCH(TRUE,I2062:K2062,0)),E2062)</f>
        <v>CHP New</v>
      </c>
      <c r="O2062" t="str">
        <f t="shared" si="142"/>
        <v>CHP New_2022</v>
      </c>
      <c r="P2062">
        <f t="shared" si="143"/>
        <v>59.277815230000002</v>
      </c>
    </row>
    <row r="2063" spans="4:16" x14ac:dyDescent="0.25">
      <c r="D2063">
        <v>2023</v>
      </c>
      <c r="E2063" t="s">
        <v>227</v>
      </c>
      <c r="F2063" t="s">
        <v>254</v>
      </c>
      <c r="G2063">
        <v>59.277815230000002</v>
      </c>
      <c r="I2063">
        <f t="shared" si="144"/>
        <v>0</v>
      </c>
      <c r="J2063">
        <f t="shared" si="144"/>
        <v>0</v>
      </c>
      <c r="K2063">
        <f t="shared" si="144"/>
        <v>0</v>
      </c>
      <c r="M2063" t="str" cm="1">
        <f t="array" ref="M2063">IFERROR(INDEX($I$2:$K$2,0,MATCH(TRUE,I2063:K2063,0)),E2063)</f>
        <v>CHP New</v>
      </c>
      <c r="O2063" t="str">
        <f t="shared" si="142"/>
        <v>CHP New_2023</v>
      </c>
      <c r="P2063">
        <f t="shared" si="143"/>
        <v>59.277815230000002</v>
      </c>
    </row>
    <row r="2064" spans="4:16" x14ac:dyDescent="0.25">
      <c r="D2064">
        <v>2024</v>
      </c>
      <c r="E2064" t="s">
        <v>227</v>
      </c>
      <c r="F2064" t="s">
        <v>254</v>
      </c>
      <c r="G2064">
        <v>60.895644160000003</v>
      </c>
      <c r="I2064">
        <f t="shared" si="144"/>
        <v>0</v>
      </c>
      <c r="J2064">
        <f t="shared" si="144"/>
        <v>0</v>
      </c>
      <c r="K2064">
        <f t="shared" si="144"/>
        <v>0</v>
      </c>
      <c r="M2064" t="str" cm="1">
        <f t="array" ref="M2064">IFERROR(INDEX($I$2:$K$2,0,MATCH(TRUE,I2064:K2064,0)),E2064)</f>
        <v>CHP New</v>
      </c>
      <c r="O2064" t="str">
        <f t="shared" si="142"/>
        <v>CHP New_2024</v>
      </c>
      <c r="P2064">
        <f t="shared" si="143"/>
        <v>60.895644160000003</v>
      </c>
    </row>
    <row r="2065" spans="4:16" x14ac:dyDescent="0.25">
      <c r="D2065">
        <v>2025</v>
      </c>
      <c r="E2065" t="s">
        <v>227</v>
      </c>
      <c r="F2065" t="s">
        <v>254</v>
      </c>
      <c r="G2065">
        <v>59.277815230000002</v>
      </c>
      <c r="I2065">
        <f t="shared" si="144"/>
        <v>0</v>
      </c>
      <c r="J2065">
        <f t="shared" si="144"/>
        <v>0</v>
      </c>
      <c r="K2065">
        <f t="shared" si="144"/>
        <v>0</v>
      </c>
      <c r="M2065" t="str" cm="1">
        <f t="array" ref="M2065">IFERROR(INDEX($I$2:$K$2,0,MATCH(TRUE,I2065:K2065,0)),E2065)</f>
        <v>CHP New</v>
      </c>
      <c r="O2065" t="str">
        <f t="shared" si="142"/>
        <v>CHP New_2025</v>
      </c>
      <c r="P2065">
        <f t="shared" si="143"/>
        <v>59.277815230000002</v>
      </c>
    </row>
    <row r="2066" spans="4:16" x14ac:dyDescent="0.25">
      <c r="D2066">
        <v>2026</v>
      </c>
      <c r="E2066" t="s">
        <v>227</v>
      </c>
      <c r="F2066" t="s">
        <v>254</v>
      </c>
      <c r="G2066">
        <v>59.277815230000002</v>
      </c>
      <c r="I2066">
        <f t="shared" si="144"/>
        <v>0</v>
      </c>
      <c r="J2066">
        <f t="shared" si="144"/>
        <v>0</v>
      </c>
      <c r="K2066">
        <f t="shared" si="144"/>
        <v>0</v>
      </c>
      <c r="M2066" t="str" cm="1">
        <f t="array" ref="M2066">IFERROR(INDEX($I$2:$K$2,0,MATCH(TRUE,I2066:K2066,0)),E2066)</f>
        <v>CHP New</v>
      </c>
      <c r="O2066" t="str">
        <f t="shared" si="142"/>
        <v>CHP New_2026</v>
      </c>
      <c r="P2066">
        <f t="shared" si="143"/>
        <v>59.277815230000002</v>
      </c>
    </row>
    <row r="2067" spans="4:16" x14ac:dyDescent="0.25">
      <c r="D2067">
        <v>2027</v>
      </c>
      <c r="E2067" t="s">
        <v>227</v>
      </c>
      <c r="F2067" t="s">
        <v>254</v>
      </c>
      <c r="G2067">
        <v>59.277815230000002</v>
      </c>
      <c r="I2067">
        <f t="shared" si="144"/>
        <v>0</v>
      </c>
      <c r="J2067">
        <f t="shared" si="144"/>
        <v>0</v>
      </c>
      <c r="K2067">
        <f t="shared" si="144"/>
        <v>0</v>
      </c>
      <c r="M2067" t="str" cm="1">
        <f t="array" ref="M2067">IFERROR(INDEX($I$2:$K$2,0,MATCH(TRUE,I2067:K2067,0)),E2067)</f>
        <v>CHP New</v>
      </c>
      <c r="O2067" t="str">
        <f t="shared" ref="O2067:O2130" si="145">M2067&amp;"_"&amp;D2067</f>
        <v>CHP New_2027</v>
      </c>
      <c r="P2067">
        <f t="shared" ref="P2067:P2130" si="146">G2067</f>
        <v>59.277815230000002</v>
      </c>
    </row>
    <row r="2068" spans="4:16" x14ac:dyDescent="0.25">
      <c r="D2068">
        <v>2028</v>
      </c>
      <c r="E2068" t="s">
        <v>227</v>
      </c>
      <c r="F2068" t="s">
        <v>254</v>
      </c>
      <c r="G2068">
        <v>59.277815230000002</v>
      </c>
      <c r="I2068">
        <f t="shared" si="144"/>
        <v>0</v>
      </c>
      <c r="J2068">
        <f t="shared" si="144"/>
        <v>0</v>
      </c>
      <c r="K2068">
        <f t="shared" si="144"/>
        <v>0</v>
      </c>
      <c r="M2068" t="str" cm="1">
        <f t="array" ref="M2068">IFERROR(INDEX($I$2:$K$2,0,MATCH(TRUE,I2068:K2068,0)),E2068)</f>
        <v>CHP New</v>
      </c>
      <c r="O2068" t="str">
        <f t="shared" si="145"/>
        <v>CHP New_2028</v>
      </c>
      <c r="P2068">
        <f t="shared" si="146"/>
        <v>59.277815230000002</v>
      </c>
    </row>
    <row r="2069" spans="4:16" x14ac:dyDescent="0.25">
      <c r="D2069">
        <v>2029</v>
      </c>
      <c r="E2069" t="s">
        <v>227</v>
      </c>
      <c r="F2069" t="s">
        <v>254</v>
      </c>
      <c r="G2069">
        <v>59.277815230000002</v>
      </c>
      <c r="I2069">
        <f t="shared" ref="I2069:K2132" si="147">IFERROR(FIND(I$2,$E2069,1)&gt;0,0)</f>
        <v>0</v>
      </c>
      <c r="J2069">
        <f t="shared" si="147"/>
        <v>0</v>
      </c>
      <c r="K2069">
        <f t="shared" si="147"/>
        <v>0</v>
      </c>
      <c r="M2069" t="str" cm="1">
        <f t="array" ref="M2069">IFERROR(INDEX($I$2:$K$2,0,MATCH(TRUE,I2069:K2069,0)),E2069)</f>
        <v>CHP New</v>
      </c>
      <c r="O2069" t="str">
        <f t="shared" si="145"/>
        <v>CHP New_2029</v>
      </c>
      <c r="P2069">
        <f t="shared" si="146"/>
        <v>59.277815230000002</v>
      </c>
    </row>
    <row r="2070" spans="4:16" x14ac:dyDescent="0.25">
      <c r="D2070">
        <v>2030</v>
      </c>
      <c r="E2070" t="s">
        <v>227</v>
      </c>
      <c r="F2070" t="s">
        <v>254</v>
      </c>
      <c r="G2070">
        <v>59.277815230000002</v>
      </c>
      <c r="I2070">
        <f t="shared" si="147"/>
        <v>0</v>
      </c>
      <c r="J2070">
        <f t="shared" si="147"/>
        <v>0</v>
      </c>
      <c r="K2070">
        <f t="shared" si="147"/>
        <v>0</v>
      </c>
      <c r="M2070" t="str" cm="1">
        <f t="array" ref="M2070">IFERROR(INDEX($I$2:$K$2,0,MATCH(TRUE,I2070:K2070,0)),E2070)</f>
        <v>CHP New</v>
      </c>
      <c r="O2070" t="str">
        <f t="shared" si="145"/>
        <v>CHP New_2030</v>
      </c>
      <c r="P2070">
        <f t="shared" si="146"/>
        <v>59.277815230000002</v>
      </c>
    </row>
    <row r="2071" spans="4:16" x14ac:dyDescent="0.25">
      <c r="D2071">
        <v>2031</v>
      </c>
      <c r="E2071" t="s">
        <v>227</v>
      </c>
      <c r="F2071" t="s">
        <v>254</v>
      </c>
      <c r="G2071">
        <v>59.277815230000002</v>
      </c>
      <c r="I2071">
        <f t="shared" si="147"/>
        <v>0</v>
      </c>
      <c r="J2071">
        <f t="shared" si="147"/>
        <v>0</v>
      </c>
      <c r="K2071">
        <f t="shared" si="147"/>
        <v>0</v>
      </c>
      <c r="M2071" t="str" cm="1">
        <f t="array" ref="M2071">IFERROR(INDEX($I$2:$K$2,0,MATCH(TRUE,I2071:K2071,0)),E2071)</f>
        <v>CHP New</v>
      </c>
      <c r="O2071" t="str">
        <f t="shared" si="145"/>
        <v>CHP New_2031</v>
      </c>
      <c r="P2071">
        <f t="shared" si="146"/>
        <v>59.277815230000002</v>
      </c>
    </row>
    <row r="2072" spans="4:16" x14ac:dyDescent="0.25">
      <c r="D2072">
        <v>2032</v>
      </c>
      <c r="E2072" t="s">
        <v>227</v>
      </c>
      <c r="F2072" t="s">
        <v>254</v>
      </c>
      <c r="G2072">
        <v>59.277815230000002</v>
      </c>
      <c r="I2072">
        <f t="shared" si="147"/>
        <v>0</v>
      </c>
      <c r="J2072">
        <f t="shared" si="147"/>
        <v>0</v>
      </c>
      <c r="K2072">
        <f t="shared" si="147"/>
        <v>0</v>
      </c>
      <c r="M2072" t="str" cm="1">
        <f t="array" ref="M2072">IFERROR(INDEX($I$2:$K$2,0,MATCH(TRUE,I2072:K2072,0)),E2072)</f>
        <v>CHP New</v>
      </c>
      <c r="O2072" t="str">
        <f t="shared" si="145"/>
        <v>CHP New_2032</v>
      </c>
      <c r="P2072">
        <f t="shared" si="146"/>
        <v>59.277815230000002</v>
      </c>
    </row>
    <row r="2073" spans="4:16" x14ac:dyDescent="0.25">
      <c r="D2073">
        <v>2033</v>
      </c>
      <c r="E2073" t="s">
        <v>227</v>
      </c>
      <c r="F2073" t="s">
        <v>254</v>
      </c>
      <c r="G2073">
        <v>59.277815230000002</v>
      </c>
      <c r="I2073">
        <f t="shared" si="147"/>
        <v>0</v>
      </c>
      <c r="J2073">
        <f t="shared" si="147"/>
        <v>0</v>
      </c>
      <c r="K2073">
        <f t="shared" si="147"/>
        <v>0</v>
      </c>
      <c r="M2073" t="str" cm="1">
        <f t="array" ref="M2073">IFERROR(INDEX($I$2:$K$2,0,MATCH(TRUE,I2073:K2073,0)),E2073)</f>
        <v>CHP New</v>
      </c>
      <c r="O2073" t="str">
        <f t="shared" si="145"/>
        <v>CHP New_2033</v>
      </c>
      <c r="P2073">
        <f t="shared" si="146"/>
        <v>59.277815230000002</v>
      </c>
    </row>
    <row r="2074" spans="4:16" x14ac:dyDescent="0.25">
      <c r="D2074">
        <v>2034</v>
      </c>
      <c r="E2074" t="s">
        <v>227</v>
      </c>
      <c r="F2074" t="s">
        <v>254</v>
      </c>
      <c r="G2074">
        <v>59.277815230000002</v>
      </c>
      <c r="I2074">
        <f t="shared" si="147"/>
        <v>0</v>
      </c>
      <c r="J2074">
        <f t="shared" si="147"/>
        <v>0</v>
      </c>
      <c r="K2074">
        <f t="shared" si="147"/>
        <v>0</v>
      </c>
      <c r="M2074" t="str" cm="1">
        <f t="array" ref="M2074">IFERROR(INDEX($I$2:$K$2,0,MATCH(TRUE,I2074:K2074,0)),E2074)</f>
        <v>CHP New</v>
      </c>
      <c r="O2074" t="str">
        <f t="shared" si="145"/>
        <v>CHP New_2034</v>
      </c>
      <c r="P2074">
        <f t="shared" si="146"/>
        <v>59.277815230000002</v>
      </c>
    </row>
    <row r="2075" spans="4:16" x14ac:dyDescent="0.25">
      <c r="D2075">
        <v>2035</v>
      </c>
      <c r="E2075" t="s">
        <v>227</v>
      </c>
      <c r="F2075" t="s">
        <v>254</v>
      </c>
      <c r="G2075">
        <v>59.277815230000002</v>
      </c>
      <c r="I2075">
        <f t="shared" si="147"/>
        <v>0</v>
      </c>
      <c r="J2075">
        <f t="shared" si="147"/>
        <v>0</v>
      </c>
      <c r="K2075">
        <f t="shared" si="147"/>
        <v>0</v>
      </c>
      <c r="M2075" t="str" cm="1">
        <f t="array" ref="M2075">IFERROR(INDEX($I$2:$K$2,0,MATCH(TRUE,I2075:K2075,0)),E2075)</f>
        <v>CHP New</v>
      </c>
      <c r="O2075" t="str">
        <f t="shared" si="145"/>
        <v>CHP New_2035</v>
      </c>
      <c r="P2075">
        <f t="shared" si="146"/>
        <v>59.277815230000002</v>
      </c>
    </row>
    <row r="2076" spans="4:16" x14ac:dyDescent="0.25">
      <c r="D2076">
        <v>2036</v>
      </c>
      <c r="E2076" t="s">
        <v>227</v>
      </c>
      <c r="F2076" t="s">
        <v>254</v>
      </c>
      <c r="G2076">
        <v>60.895644160000003</v>
      </c>
      <c r="I2076">
        <f t="shared" si="147"/>
        <v>0</v>
      </c>
      <c r="J2076">
        <f t="shared" si="147"/>
        <v>0</v>
      </c>
      <c r="K2076">
        <f t="shared" si="147"/>
        <v>0</v>
      </c>
      <c r="M2076" t="str" cm="1">
        <f t="array" ref="M2076">IFERROR(INDEX($I$2:$K$2,0,MATCH(TRUE,I2076:K2076,0)),E2076)</f>
        <v>CHP New</v>
      </c>
      <c r="O2076" t="str">
        <f t="shared" si="145"/>
        <v>CHP New_2036</v>
      </c>
      <c r="P2076">
        <f t="shared" si="146"/>
        <v>60.895644160000003</v>
      </c>
    </row>
    <row r="2077" spans="4:16" x14ac:dyDescent="0.25">
      <c r="D2077">
        <v>2037</v>
      </c>
      <c r="E2077" t="s">
        <v>227</v>
      </c>
      <c r="F2077" t="s">
        <v>254</v>
      </c>
      <c r="G2077">
        <v>59.277815230000002</v>
      </c>
      <c r="I2077">
        <f t="shared" si="147"/>
        <v>0</v>
      </c>
      <c r="J2077">
        <f t="shared" si="147"/>
        <v>0</v>
      </c>
      <c r="K2077">
        <f t="shared" si="147"/>
        <v>0</v>
      </c>
      <c r="M2077" t="str" cm="1">
        <f t="array" ref="M2077">IFERROR(INDEX($I$2:$K$2,0,MATCH(TRUE,I2077:K2077,0)),E2077)</f>
        <v>CHP New</v>
      </c>
      <c r="O2077" t="str">
        <f t="shared" si="145"/>
        <v>CHP New_2037</v>
      </c>
      <c r="P2077">
        <f t="shared" si="146"/>
        <v>59.277815230000002</v>
      </c>
    </row>
    <row r="2078" spans="4:16" x14ac:dyDescent="0.25">
      <c r="D2078">
        <v>2038</v>
      </c>
      <c r="E2078" t="s">
        <v>227</v>
      </c>
      <c r="F2078" t="s">
        <v>254</v>
      </c>
      <c r="G2078">
        <v>59.277815230000002</v>
      </c>
      <c r="I2078">
        <f t="shared" si="147"/>
        <v>0</v>
      </c>
      <c r="J2078">
        <f t="shared" si="147"/>
        <v>0</v>
      </c>
      <c r="K2078">
        <f t="shared" si="147"/>
        <v>0</v>
      </c>
      <c r="M2078" t="str" cm="1">
        <f t="array" ref="M2078">IFERROR(INDEX($I$2:$K$2,0,MATCH(TRUE,I2078:K2078,0)),E2078)</f>
        <v>CHP New</v>
      </c>
      <c r="O2078" t="str">
        <f t="shared" si="145"/>
        <v>CHP New_2038</v>
      </c>
      <c r="P2078">
        <f t="shared" si="146"/>
        <v>59.277815230000002</v>
      </c>
    </row>
    <row r="2079" spans="4:16" x14ac:dyDescent="0.25">
      <c r="D2079">
        <v>2039</v>
      </c>
      <c r="E2079" t="s">
        <v>227</v>
      </c>
      <c r="F2079" t="s">
        <v>254</v>
      </c>
      <c r="G2079">
        <v>59.277815230000002</v>
      </c>
      <c r="I2079">
        <f t="shared" si="147"/>
        <v>0</v>
      </c>
      <c r="J2079">
        <f t="shared" si="147"/>
        <v>0</v>
      </c>
      <c r="K2079">
        <f t="shared" si="147"/>
        <v>0</v>
      </c>
      <c r="M2079" t="str" cm="1">
        <f t="array" ref="M2079">IFERROR(INDEX($I$2:$K$2,0,MATCH(TRUE,I2079:K2079,0)),E2079)</f>
        <v>CHP New</v>
      </c>
      <c r="O2079" t="str">
        <f t="shared" si="145"/>
        <v>CHP New_2039</v>
      </c>
      <c r="P2079">
        <f t="shared" si="146"/>
        <v>59.277815230000002</v>
      </c>
    </row>
    <row r="2080" spans="4:16" x14ac:dyDescent="0.25">
      <c r="D2080">
        <v>2040</v>
      </c>
      <c r="E2080" t="s">
        <v>227</v>
      </c>
      <c r="F2080" t="s">
        <v>254</v>
      </c>
      <c r="G2080">
        <v>60.895644160000003</v>
      </c>
      <c r="I2080">
        <f t="shared" si="147"/>
        <v>0</v>
      </c>
      <c r="J2080">
        <f t="shared" si="147"/>
        <v>0</v>
      </c>
      <c r="K2080">
        <f t="shared" si="147"/>
        <v>0</v>
      </c>
      <c r="M2080" t="str" cm="1">
        <f t="array" ref="M2080">IFERROR(INDEX($I$2:$K$2,0,MATCH(TRUE,I2080:K2080,0)),E2080)</f>
        <v>CHP New</v>
      </c>
      <c r="O2080" t="str">
        <f t="shared" si="145"/>
        <v>CHP New_2040</v>
      </c>
      <c r="P2080">
        <f t="shared" si="146"/>
        <v>60.895644160000003</v>
      </c>
    </row>
    <row r="2081" spans="4:16" x14ac:dyDescent="0.25">
      <c r="D2081">
        <v>2021</v>
      </c>
      <c r="E2081" t="s">
        <v>227</v>
      </c>
      <c r="F2081" t="s">
        <v>255</v>
      </c>
      <c r="G2081">
        <v>28.712691750000001</v>
      </c>
      <c r="I2081">
        <f t="shared" si="147"/>
        <v>0</v>
      </c>
      <c r="J2081">
        <f t="shared" si="147"/>
        <v>0</v>
      </c>
      <c r="K2081">
        <f t="shared" si="147"/>
        <v>0</v>
      </c>
      <c r="M2081" t="str" cm="1">
        <f t="array" ref="M2081">IFERROR(INDEX($I$2:$K$2,0,MATCH(TRUE,I2081:K2081,0)),E2081)</f>
        <v>CHP New</v>
      </c>
      <c r="O2081" t="str">
        <f t="shared" si="145"/>
        <v>CHP New_2021</v>
      </c>
      <c r="P2081">
        <f t="shared" si="146"/>
        <v>28.712691750000001</v>
      </c>
    </row>
    <row r="2082" spans="4:16" x14ac:dyDescent="0.25">
      <c r="D2082">
        <v>2022</v>
      </c>
      <c r="E2082" t="s">
        <v>227</v>
      </c>
      <c r="F2082" t="s">
        <v>255</v>
      </c>
      <c r="G2082">
        <v>28.712691750000001</v>
      </c>
      <c r="I2082">
        <f t="shared" si="147"/>
        <v>0</v>
      </c>
      <c r="J2082">
        <f t="shared" si="147"/>
        <v>0</v>
      </c>
      <c r="K2082">
        <f t="shared" si="147"/>
        <v>0</v>
      </c>
      <c r="M2082" t="str" cm="1">
        <f t="array" ref="M2082">IFERROR(INDEX($I$2:$K$2,0,MATCH(TRUE,I2082:K2082,0)),E2082)</f>
        <v>CHP New</v>
      </c>
      <c r="O2082" t="str">
        <f t="shared" si="145"/>
        <v>CHP New_2022</v>
      </c>
      <c r="P2082">
        <f t="shared" si="146"/>
        <v>28.712691750000001</v>
      </c>
    </row>
    <row r="2083" spans="4:16" x14ac:dyDescent="0.25">
      <c r="D2083">
        <v>2023</v>
      </c>
      <c r="E2083" t="s">
        <v>227</v>
      </c>
      <c r="F2083" t="s">
        <v>255</v>
      </c>
      <c r="G2083">
        <v>28.712691750000001</v>
      </c>
      <c r="I2083">
        <f t="shared" si="147"/>
        <v>0</v>
      </c>
      <c r="J2083">
        <f t="shared" si="147"/>
        <v>0</v>
      </c>
      <c r="K2083">
        <f t="shared" si="147"/>
        <v>0</v>
      </c>
      <c r="M2083" t="str" cm="1">
        <f t="array" ref="M2083">IFERROR(INDEX($I$2:$K$2,0,MATCH(TRUE,I2083:K2083,0)),E2083)</f>
        <v>CHP New</v>
      </c>
      <c r="O2083" t="str">
        <f t="shared" si="145"/>
        <v>CHP New_2023</v>
      </c>
      <c r="P2083">
        <f t="shared" si="146"/>
        <v>28.712691750000001</v>
      </c>
    </row>
    <row r="2084" spans="4:16" x14ac:dyDescent="0.25">
      <c r="D2084">
        <v>2024</v>
      </c>
      <c r="E2084" t="s">
        <v>227</v>
      </c>
      <c r="F2084" t="s">
        <v>255</v>
      </c>
      <c r="G2084">
        <v>29.496327640000001</v>
      </c>
      <c r="I2084">
        <f t="shared" si="147"/>
        <v>0</v>
      </c>
      <c r="J2084">
        <f t="shared" si="147"/>
        <v>0</v>
      </c>
      <c r="K2084">
        <f t="shared" si="147"/>
        <v>0</v>
      </c>
      <c r="M2084" t="str" cm="1">
        <f t="array" ref="M2084">IFERROR(INDEX($I$2:$K$2,0,MATCH(TRUE,I2084:K2084,0)),E2084)</f>
        <v>CHP New</v>
      </c>
      <c r="O2084" t="str">
        <f t="shared" si="145"/>
        <v>CHP New_2024</v>
      </c>
      <c r="P2084">
        <f t="shared" si="146"/>
        <v>29.496327640000001</v>
      </c>
    </row>
    <row r="2085" spans="4:16" x14ac:dyDescent="0.25">
      <c r="D2085">
        <v>2025</v>
      </c>
      <c r="E2085" t="s">
        <v>227</v>
      </c>
      <c r="F2085" t="s">
        <v>255</v>
      </c>
      <c r="G2085">
        <v>28.712691750000001</v>
      </c>
      <c r="I2085">
        <f t="shared" si="147"/>
        <v>0</v>
      </c>
      <c r="J2085">
        <f t="shared" si="147"/>
        <v>0</v>
      </c>
      <c r="K2085">
        <f t="shared" si="147"/>
        <v>0</v>
      </c>
      <c r="M2085" t="str" cm="1">
        <f t="array" ref="M2085">IFERROR(INDEX($I$2:$K$2,0,MATCH(TRUE,I2085:K2085,0)),E2085)</f>
        <v>CHP New</v>
      </c>
      <c r="O2085" t="str">
        <f t="shared" si="145"/>
        <v>CHP New_2025</v>
      </c>
      <c r="P2085">
        <f t="shared" si="146"/>
        <v>28.712691750000001</v>
      </c>
    </row>
    <row r="2086" spans="4:16" x14ac:dyDescent="0.25">
      <c r="D2086">
        <v>2026</v>
      </c>
      <c r="E2086" t="s">
        <v>227</v>
      </c>
      <c r="F2086" t="s">
        <v>255</v>
      </c>
      <c r="G2086">
        <v>28.712691750000001</v>
      </c>
      <c r="I2086">
        <f t="shared" si="147"/>
        <v>0</v>
      </c>
      <c r="J2086">
        <f t="shared" si="147"/>
        <v>0</v>
      </c>
      <c r="K2086">
        <f t="shared" si="147"/>
        <v>0</v>
      </c>
      <c r="M2086" t="str" cm="1">
        <f t="array" ref="M2086">IFERROR(INDEX($I$2:$K$2,0,MATCH(TRUE,I2086:K2086,0)),E2086)</f>
        <v>CHP New</v>
      </c>
      <c r="O2086" t="str">
        <f t="shared" si="145"/>
        <v>CHP New_2026</v>
      </c>
      <c r="P2086">
        <f t="shared" si="146"/>
        <v>28.712691750000001</v>
      </c>
    </row>
    <row r="2087" spans="4:16" x14ac:dyDescent="0.25">
      <c r="D2087">
        <v>2027</v>
      </c>
      <c r="E2087" t="s">
        <v>227</v>
      </c>
      <c r="F2087" t="s">
        <v>255</v>
      </c>
      <c r="G2087">
        <v>28.712691750000001</v>
      </c>
      <c r="I2087">
        <f t="shared" si="147"/>
        <v>0</v>
      </c>
      <c r="J2087">
        <f t="shared" si="147"/>
        <v>0</v>
      </c>
      <c r="K2087">
        <f t="shared" si="147"/>
        <v>0</v>
      </c>
      <c r="M2087" t="str" cm="1">
        <f t="array" ref="M2087">IFERROR(INDEX($I$2:$K$2,0,MATCH(TRUE,I2087:K2087,0)),E2087)</f>
        <v>CHP New</v>
      </c>
      <c r="O2087" t="str">
        <f t="shared" si="145"/>
        <v>CHP New_2027</v>
      </c>
      <c r="P2087">
        <f t="shared" si="146"/>
        <v>28.712691750000001</v>
      </c>
    </row>
    <row r="2088" spans="4:16" x14ac:dyDescent="0.25">
      <c r="D2088">
        <v>2028</v>
      </c>
      <c r="E2088" t="s">
        <v>227</v>
      </c>
      <c r="F2088" t="s">
        <v>255</v>
      </c>
      <c r="G2088">
        <v>28.712691750000001</v>
      </c>
      <c r="I2088">
        <f t="shared" si="147"/>
        <v>0</v>
      </c>
      <c r="J2088">
        <f t="shared" si="147"/>
        <v>0</v>
      </c>
      <c r="K2088">
        <f t="shared" si="147"/>
        <v>0</v>
      </c>
      <c r="M2088" t="str" cm="1">
        <f t="array" ref="M2088">IFERROR(INDEX($I$2:$K$2,0,MATCH(TRUE,I2088:K2088,0)),E2088)</f>
        <v>CHP New</v>
      </c>
      <c r="O2088" t="str">
        <f t="shared" si="145"/>
        <v>CHP New_2028</v>
      </c>
      <c r="P2088">
        <f t="shared" si="146"/>
        <v>28.712691750000001</v>
      </c>
    </row>
    <row r="2089" spans="4:16" x14ac:dyDescent="0.25">
      <c r="D2089">
        <v>2029</v>
      </c>
      <c r="E2089" t="s">
        <v>227</v>
      </c>
      <c r="F2089" t="s">
        <v>255</v>
      </c>
      <c r="G2089">
        <v>28.712691750000001</v>
      </c>
      <c r="I2089">
        <f t="shared" si="147"/>
        <v>0</v>
      </c>
      <c r="J2089">
        <f t="shared" si="147"/>
        <v>0</v>
      </c>
      <c r="K2089">
        <f t="shared" si="147"/>
        <v>0</v>
      </c>
      <c r="M2089" t="str" cm="1">
        <f t="array" ref="M2089">IFERROR(INDEX($I$2:$K$2,0,MATCH(TRUE,I2089:K2089,0)),E2089)</f>
        <v>CHP New</v>
      </c>
      <c r="O2089" t="str">
        <f t="shared" si="145"/>
        <v>CHP New_2029</v>
      </c>
      <c r="P2089">
        <f t="shared" si="146"/>
        <v>28.712691750000001</v>
      </c>
    </row>
    <row r="2090" spans="4:16" x14ac:dyDescent="0.25">
      <c r="D2090">
        <v>2030</v>
      </c>
      <c r="E2090" t="s">
        <v>227</v>
      </c>
      <c r="F2090" t="s">
        <v>255</v>
      </c>
      <c r="G2090">
        <v>28.712691750000001</v>
      </c>
      <c r="I2090">
        <f t="shared" si="147"/>
        <v>0</v>
      </c>
      <c r="J2090">
        <f t="shared" si="147"/>
        <v>0</v>
      </c>
      <c r="K2090">
        <f t="shared" si="147"/>
        <v>0</v>
      </c>
      <c r="M2090" t="str" cm="1">
        <f t="array" ref="M2090">IFERROR(INDEX($I$2:$K$2,0,MATCH(TRUE,I2090:K2090,0)),E2090)</f>
        <v>CHP New</v>
      </c>
      <c r="O2090" t="str">
        <f t="shared" si="145"/>
        <v>CHP New_2030</v>
      </c>
      <c r="P2090">
        <f t="shared" si="146"/>
        <v>28.712691750000001</v>
      </c>
    </row>
    <row r="2091" spans="4:16" x14ac:dyDescent="0.25">
      <c r="D2091">
        <v>2031</v>
      </c>
      <c r="E2091" t="s">
        <v>227</v>
      </c>
      <c r="F2091" t="s">
        <v>255</v>
      </c>
      <c r="G2091">
        <v>28.712691750000001</v>
      </c>
      <c r="I2091">
        <f t="shared" si="147"/>
        <v>0</v>
      </c>
      <c r="J2091">
        <f t="shared" si="147"/>
        <v>0</v>
      </c>
      <c r="K2091">
        <f t="shared" si="147"/>
        <v>0</v>
      </c>
      <c r="M2091" t="str" cm="1">
        <f t="array" ref="M2091">IFERROR(INDEX($I$2:$K$2,0,MATCH(TRUE,I2091:K2091,0)),E2091)</f>
        <v>CHP New</v>
      </c>
      <c r="O2091" t="str">
        <f t="shared" si="145"/>
        <v>CHP New_2031</v>
      </c>
      <c r="P2091">
        <f t="shared" si="146"/>
        <v>28.712691750000001</v>
      </c>
    </row>
    <row r="2092" spans="4:16" x14ac:dyDescent="0.25">
      <c r="D2092">
        <v>2032</v>
      </c>
      <c r="E2092" t="s">
        <v>227</v>
      </c>
      <c r="F2092" t="s">
        <v>255</v>
      </c>
      <c r="G2092">
        <v>28.712691750000001</v>
      </c>
      <c r="I2092">
        <f t="shared" si="147"/>
        <v>0</v>
      </c>
      <c r="J2092">
        <f t="shared" si="147"/>
        <v>0</v>
      </c>
      <c r="K2092">
        <f t="shared" si="147"/>
        <v>0</v>
      </c>
      <c r="M2092" t="str" cm="1">
        <f t="array" ref="M2092">IFERROR(INDEX($I$2:$K$2,0,MATCH(TRUE,I2092:K2092,0)),E2092)</f>
        <v>CHP New</v>
      </c>
      <c r="O2092" t="str">
        <f t="shared" si="145"/>
        <v>CHP New_2032</v>
      </c>
      <c r="P2092">
        <f t="shared" si="146"/>
        <v>28.712691750000001</v>
      </c>
    </row>
    <row r="2093" spans="4:16" x14ac:dyDescent="0.25">
      <c r="D2093">
        <v>2033</v>
      </c>
      <c r="E2093" t="s">
        <v>227</v>
      </c>
      <c r="F2093" t="s">
        <v>255</v>
      </c>
      <c r="G2093">
        <v>28.712691750000001</v>
      </c>
      <c r="I2093">
        <f t="shared" si="147"/>
        <v>0</v>
      </c>
      <c r="J2093">
        <f t="shared" si="147"/>
        <v>0</v>
      </c>
      <c r="K2093">
        <f t="shared" si="147"/>
        <v>0</v>
      </c>
      <c r="M2093" t="str" cm="1">
        <f t="array" ref="M2093">IFERROR(INDEX($I$2:$K$2,0,MATCH(TRUE,I2093:K2093,0)),E2093)</f>
        <v>CHP New</v>
      </c>
      <c r="O2093" t="str">
        <f t="shared" si="145"/>
        <v>CHP New_2033</v>
      </c>
      <c r="P2093">
        <f t="shared" si="146"/>
        <v>28.712691750000001</v>
      </c>
    </row>
    <row r="2094" spans="4:16" x14ac:dyDescent="0.25">
      <c r="D2094">
        <v>2034</v>
      </c>
      <c r="E2094" t="s">
        <v>227</v>
      </c>
      <c r="F2094" t="s">
        <v>255</v>
      </c>
      <c r="G2094">
        <v>28.712691750000001</v>
      </c>
      <c r="I2094">
        <f t="shared" si="147"/>
        <v>0</v>
      </c>
      <c r="J2094">
        <f t="shared" si="147"/>
        <v>0</v>
      </c>
      <c r="K2094">
        <f t="shared" si="147"/>
        <v>0</v>
      </c>
      <c r="M2094" t="str" cm="1">
        <f t="array" ref="M2094">IFERROR(INDEX($I$2:$K$2,0,MATCH(TRUE,I2094:K2094,0)),E2094)</f>
        <v>CHP New</v>
      </c>
      <c r="O2094" t="str">
        <f t="shared" si="145"/>
        <v>CHP New_2034</v>
      </c>
      <c r="P2094">
        <f t="shared" si="146"/>
        <v>28.712691750000001</v>
      </c>
    </row>
    <row r="2095" spans="4:16" x14ac:dyDescent="0.25">
      <c r="D2095">
        <v>2035</v>
      </c>
      <c r="E2095" t="s">
        <v>227</v>
      </c>
      <c r="F2095" t="s">
        <v>255</v>
      </c>
      <c r="G2095">
        <v>28.712691750000001</v>
      </c>
      <c r="I2095">
        <f t="shared" si="147"/>
        <v>0</v>
      </c>
      <c r="J2095">
        <f t="shared" si="147"/>
        <v>0</v>
      </c>
      <c r="K2095">
        <f t="shared" si="147"/>
        <v>0</v>
      </c>
      <c r="M2095" t="str" cm="1">
        <f t="array" ref="M2095">IFERROR(INDEX($I$2:$K$2,0,MATCH(TRUE,I2095:K2095,0)),E2095)</f>
        <v>CHP New</v>
      </c>
      <c r="O2095" t="str">
        <f t="shared" si="145"/>
        <v>CHP New_2035</v>
      </c>
      <c r="P2095">
        <f t="shared" si="146"/>
        <v>28.712691750000001</v>
      </c>
    </row>
    <row r="2096" spans="4:16" x14ac:dyDescent="0.25">
      <c r="D2096">
        <v>2036</v>
      </c>
      <c r="E2096" t="s">
        <v>227</v>
      </c>
      <c r="F2096" t="s">
        <v>255</v>
      </c>
      <c r="G2096">
        <v>29.496327640000001</v>
      </c>
      <c r="I2096">
        <f t="shared" si="147"/>
        <v>0</v>
      </c>
      <c r="J2096">
        <f t="shared" si="147"/>
        <v>0</v>
      </c>
      <c r="K2096">
        <f t="shared" si="147"/>
        <v>0</v>
      </c>
      <c r="M2096" t="str" cm="1">
        <f t="array" ref="M2096">IFERROR(INDEX($I$2:$K$2,0,MATCH(TRUE,I2096:K2096,0)),E2096)</f>
        <v>CHP New</v>
      </c>
      <c r="O2096" t="str">
        <f t="shared" si="145"/>
        <v>CHP New_2036</v>
      </c>
      <c r="P2096">
        <f t="shared" si="146"/>
        <v>29.496327640000001</v>
      </c>
    </row>
    <row r="2097" spans="4:16" x14ac:dyDescent="0.25">
      <c r="D2097">
        <v>2037</v>
      </c>
      <c r="E2097" t="s">
        <v>227</v>
      </c>
      <c r="F2097" t="s">
        <v>255</v>
      </c>
      <c r="G2097">
        <v>28.712691750000001</v>
      </c>
      <c r="I2097">
        <f t="shared" si="147"/>
        <v>0</v>
      </c>
      <c r="J2097">
        <f t="shared" si="147"/>
        <v>0</v>
      </c>
      <c r="K2097">
        <f t="shared" si="147"/>
        <v>0</v>
      </c>
      <c r="M2097" t="str" cm="1">
        <f t="array" ref="M2097">IFERROR(INDEX($I$2:$K$2,0,MATCH(TRUE,I2097:K2097,0)),E2097)</f>
        <v>CHP New</v>
      </c>
      <c r="O2097" t="str">
        <f t="shared" si="145"/>
        <v>CHP New_2037</v>
      </c>
      <c r="P2097">
        <f t="shared" si="146"/>
        <v>28.712691750000001</v>
      </c>
    </row>
    <row r="2098" spans="4:16" x14ac:dyDescent="0.25">
      <c r="D2098">
        <v>2038</v>
      </c>
      <c r="E2098" t="s">
        <v>227</v>
      </c>
      <c r="F2098" t="s">
        <v>255</v>
      </c>
      <c r="G2098">
        <v>28.712691750000001</v>
      </c>
      <c r="I2098">
        <f t="shared" si="147"/>
        <v>0</v>
      </c>
      <c r="J2098">
        <f t="shared" si="147"/>
        <v>0</v>
      </c>
      <c r="K2098">
        <f t="shared" si="147"/>
        <v>0</v>
      </c>
      <c r="M2098" t="str" cm="1">
        <f t="array" ref="M2098">IFERROR(INDEX($I$2:$K$2,0,MATCH(TRUE,I2098:K2098,0)),E2098)</f>
        <v>CHP New</v>
      </c>
      <c r="O2098" t="str">
        <f t="shared" si="145"/>
        <v>CHP New_2038</v>
      </c>
      <c r="P2098">
        <f t="shared" si="146"/>
        <v>28.712691750000001</v>
      </c>
    </row>
    <row r="2099" spans="4:16" x14ac:dyDescent="0.25">
      <c r="D2099">
        <v>2039</v>
      </c>
      <c r="E2099" t="s">
        <v>227</v>
      </c>
      <c r="F2099" t="s">
        <v>255</v>
      </c>
      <c r="G2099">
        <v>28.712691750000001</v>
      </c>
      <c r="I2099">
        <f t="shared" si="147"/>
        <v>0</v>
      </c>
      <c r="J2099">
        <f t="shared" si="147"/>
        <v>0</v>
      </c>
      <c r="K2099">
        <f t="shared" si="147"/>
        <v>0</v>
      </c>
      <c r="M2099" t="str" cm="1">
        <f t="array" ref="M2099">IFERROR(INDEX($I$2:$K$2,0,MATCH(TRUE,I2099:K2099,0)),E2099)</f>
        <v>CHP New</v>
      </c>
      <c r="O2099" t="str">
        <f t="shared" si="145"/>
        <v>CHP New_2039</v>
      </c>
      <c r="P2099">
        <f t="shared" si="146"/>
        <v>28.712691750000001</v>
      </c>
    </row>
    <row r="2100" spans="4:16" x14ac:dyDescent="0.25">
      <c r="D2100">
        <v>2040</v>
      </c>
      <c r="E2100" t="s">
        <v>227</v>
      </c>
      <c r="F2100" t="s">
        <v>255</v>
      </c>
      <c r="G2100">
        <v>29.496327640000001</v>
      </c>
      <c r="I2100">
        <f t="shared" si="147"/>
        <v>0</v>
      </c>
      <c r="J2100">
        <f t="shared" si="147"/>
        <v>0</v>
      </c>
      <c r="K2100">
        <f t="shared" si="147"/>
        <v>0</v>
      </c>
      <c r="M2100" t="str" cm="1">
        <f t="array" ref="M2100">IFERROR(INDEX($I$2:$K$2,0,MATCH(TRUE,I2100:K2100,0)),E2100)</f>
        <v>CHP New</v>
      </c>
      <c r="O2100" t="str">
        <f t="shared" si="145"/>
        <v>CHP New_2040</v>
      </c>
      <c r="P2100">
        <f t="shared" si="146"/>
        <v>29.496327640000001</v>
      </c>
    </row>
    <row r="2101" spans="4:16" x14ac:dyDescent="0.25">
      <c r="D2101">
        <v>2024</v>
      </c>
      <c r="E2101" t="s">
        <v>227</v>
      </c>
      <c r="F2101" t="s">
        <v>256</v>
      </c>
      <c r="G2101">
        <v>0</v>
      </c>
      <c r="I2101">
        <f t="shared" si="147"/>
        <v>0</v>
      </c>
      <c r="J2101">
        <f t="shared" si="147"/>
        <v>0</v>
      </c>
      <c r="K2101">
        <f t="shared" si="147"/>
        <v>0</v>
      </c>
      <c r="M2101" t="str" cm="1">
        <f t="array" ref="M2101">IFERROR(INDEX($I$2:$K$2,0,MATCH(TRUE,I2101:K2101,0)),E2101)</f>
        <v>CHP New</v>
      </c>
      <c r="O2101" t="str">
        <f t="shared" si="145"/>
        <v>CHP New_2024</v>
      </c>
      <c r="P2101">
        <f t="shared" si="146"/>
        <v>0</v>
      </c>
    </row>
    <row r="2102" spans="4:16" x14ac:dyDescent="0.25">
      <c r="D2102">
        <v>2025</v>
      </c>
      <c r="E2102" t="s">
        <v>227</v>
      </c>
      <c r="F2102" t="s">
        <v>256</v>
      </c>
      <c r="G2102">
        <v>67.613758000000004</v>
      </c>
      <c r="I2102">
        <f t="shared" si="147"/>
        <v>0</v>
      </c>
      <c r="J2102">
        <f t="shared" si="147"/>
        <v>0</v>
      </c>
      <c r="K2102">
        <f t="shared" si="147"/>
        <v>0</v>
      </c>
      <c r="M2102" t="str" cm="1">
        <f t="array" ref="M2102">IFERROR(INDEX($I$2:$K$2,0,MATCH(TRUE,I2102:K2102,0)),E2102)</f>
        <v>CHP New</v>
      </c>
      <c r="O2102" t="str">
        <f t="shared" si="145"/>
        <v>CHP New_2025</v>
      </c>
      <c r="P2102">
        <f t="shared" si="146"/>
        <v>67.613758000000004</v>
      </c>
    </row>
    <row r="2103" spans="4:16" x14ac:dyDescent="0.25">
      <c r="D2103">
        <v>2026</v>
      </c>
      <c r="E2103" t="s">
        <v>227</v>
      </c>
      <c r="F2103" t="s">
        <v>256</v>
      </c>
      <c r="G2103">
        <v>67.613758000000004</v>
      </c>
      <c r="I2103">
        <f t="shared" si="147"/>
        <v>0</v>
      </c>
      <c r="J2103">
        <f t="shared" si="147"/>
        <v>0</v>
      </c>
      <c r="K2103">
        <f t="shared" si="147"/>
        <v>0</v>
      </c>
      <c r="M2103" t="str" cm="1">
        <f t="array" ref="M2103">IFERROR(INDEX($I$2:$K$2,0,MATCH(TRUE,I2103:K2103,0)),E2103)</f>
        <v>CHP New</v>
      </c>
      <c r="O2103" t="str">
        <f t="shared" si="145"/>
        <v>CHP New_2026</v>
      </c>
      <c r="P2103">
        <f t="shared" si="146"/>
        <v>67.613758000000004</v>
      </c>
    </row>
    <row r="2104" spans="4:16" x14ac:dyDescent="0.25">
      <c r="D2104">
        <v>2027</v>
      </c>
      <c r="E2104" t="s">
        <v>227</v>
      </c>
      <c r="F2104" t="s">
        <v>256</v>
      </c>
      <c r="G2104">
        <v>67.613758000000004</v>
      </c>
      <c r="I2104">
        <f t="shared" si="147"/>
        <v>0</v>
      </c>
      <c r="J2104">
        <f t="shared" si="147"/>
        <v>0</v>
      </c>
      <c r="K2104">
        <f t="shared" si="147"/>
        <v>0</v>
      </c>
      <c r="M2104" t="str" cm="1">
        <f t="array" ref="M2104">IFERROR(INDEX($I$2:$K$2,0,MATCH(TRUE,I2104:K2104,0)),E2104)</f>
        <v>CHP New</v>
      </c>
      <c r="O2104" t="str">
        <f t="shared" si="145"/>
        <v>CHP New_2027</v>
      </c>
      <c r="P2104">
        <f t="shared" si="146"/>
        <v>67.613758000000004</v>
      </c>
    </row>
    <row r="2105" spans="4:16" x14ac:dyDescent="0.25">
      <c r="D2105">
        <v>2028</v>
      </c>
      <c r="E2105" t="s">
        <v>227</v>
      </c>
      <c r="F2105" t="s">
        <v>256</v>
      </c>
      <c r="G2105">
        <v>67.613758000000004</v>
      </c>
      <c r="I2105">
        <f t="shared" si="147"/>
        <v>0</v>
      </c>
      <c r="J2105">
        <f t="shared" si="147"/>
        <v>0</v>
      </c>
      <c r="K2105">
        <f t="shared" si="147"/>
        <v>0</v>
      </c>
      <c r="M2105" t="str" cm="1">
        <f t="array" ref="M2105">IFERROR(INDEX($I$2:$K$2,0,MATCH(TRUE,I2105:K2105,0)),E2105)</f>
        <v>CHP New</v>
      </c>
      <c r="O2105" t="str">
        <f t="shared" si="145"/>
        <v>CHP New_2028</v>
      </c>
      <c r="P2105">
        <f t="shared" si="146"/>
        <v>67.613758000000004</v>
      </c>
    </row>
    <row r="2106" spans="4:16" x14ac:dyDescent="0.25">
      <c r="D2106">
        <v>2029</v>
      </c>
      <c r="E2106" t="s">
        <v>227</v>
      </c>
      <c r="F2106" t="s">
        <v>256</v>
      </c>
      <c r="G2106">
        <v>67.613758000000004</v>
      </c>
      <c r="I2106">
        <f t="shared" si="147"/>
        <v>0</v>
      </c>
      <c r="J2106">
        <f t="shared" si="147"/>
        <v>0</v>
      </c>
      <c r="K2106">
        <f t="shared" si="147"/>
        <v>0</v>
      </c>
      <c r="M2106" t="str" cm="1">
        <f t="array" ref="M2106">IFERROR(INDEX($I$2:$K$2,0,MATCH(TRUE,I2106:K2106,0)),E2106)</f>
        <v>CHP New</v>
      </c>
      <c r="O2106" t="str">
        <f t="shared" si="145"/>
        <v>CHP New_2029</v>
      </c>
      <c r="P2106">
        <f t="shared" si="146"/>
        <v>67.613758000000004</v>
      </c>
    </row>
    <row r="2107" spans="4:16" x14ac:dyDescent="0.25">
      <c r="D2107">
        <v>2030</v>
      </c>
      <c r="E2107" t="s">
        <v>227</v>
      </c>
      <c r="F2107" t="s">
        <v>256</v>
      </c>
      <c r="G2107">
        <v>67.613758000000004</v>
      </c>
      <c r="I2107">
        <f t="shared" si="147"/>
        <v>0</v>
      </c>
      <c r="J2107">
        <f t="shared" si="147"/>
        <v>0</v>
      </c>
      <c r="K2107">
        <f t="shared" si="147"/>
        <v>0</v>
      </c>
      <c r="M2107" t="str" cm="1">
        <f t="array" ref="M2107">IFERROR(INDEX($I$2:$K$2,0,MATCH(TRUE,I2107:K2107,0)),E2107)</f>
        <v>CHP New</v>
      </c>
      <c r="O2107" t="str">
        <f t="shared" si="145"/>
        <v>CHP New_2030</v>
      </c>
      <c r="P2107">
        <f t="shared" si="146"/>
        <v>67.613758000000004</v>
      </c>
    </row>
    <row r="2108" spans="4:16" x14ac:dyDescent="0.25">
      <c r="D2108">
        <v>2031</v>
      </c>
      <c r="E2108" t="s">
        <v>227</v>
      </c>
      <c r="F2108" t="s">
        <v>256</v>
      </c>
      <c r="G2108">
        <v>67.613758000000004</v>
      </c>
      <c r="I2108">
        <f t="shared" si="147"/>
        <v>0</v>
      </c>
      <c r="J2108">
        <f t="shared" si="147"/>
        <v>0</v>
      </c>
      <c r="K2108">
        <f t="shared" si="147"/>
        <v>0</v>
      </c>
      <c r="M2108" t="str" cm="1">
        <f t="array" ref="M2108">IFERROR(INDEX($I$2:$K$2,0,MATCH(TRUE,I2108:K2108,0)),E2108)</f>
        <v>CHP New</v>
      </c>
      <c r="O2108" t="str">
        <f t="shared" si="145"/>
        <v>CHP New_2031</v>
      </c>
      <c r="P2108">
        <f t="shared" si="146"/>
        <v>67.613758000000004</v>
      </c>
    </row>
    <row r="2109" spans="4:16" x14ac:dyDescent="0.25">
      <c r="D2109">
        <v>2032</v>
      </c>
      <c r="E2109" t="s">
        <v>227</v>
      </c>
      <c r="F2109" t="s">
        <v>256</v>
      </c>
      <c r="G2109">
        <v>67.613758000000004</v>
      </c>
      <c r="I2109">
        <f t="shared" si="147"/>
        <v>0</v>
      </c>
      <c r="J2109">
        <f t="shared" si="147"/>
        <v>0</v>
      </c>
      <c r="K2109">
        <f t="shared" si="147"/>
        <v>0</v>
      </c>
      <c r="M2109" t="str" cm="1">
        <f t="array" ref="M2109">IFERROR(INDEX($I$2:$K$2,0,MATCH(TRUE,I2109:K2109,0)),E2109)</f>
        <v>CHP New</v>
      </c>
      <c r="O2109" t="str">
        <f t="shared" si="145"/>
        <v>CHP New_2032</v>
      </c>
      <c r="P2109">
        <f t="shared" si="146"/>
        <v>67.613758000000004</v>
      </c>
    </row>
    <row r="2110" spans="4:16" x14ac:dyDescent="0.25">
      <c r="D2110">
        <v>2033</v>
      </c>
      <c r="E2110" t="s">
        <v>227</v>
      </c>
      <c r="F2110" t="s">
        <v>256</v>
      </c>
      <c r="G2110">
        <v>67.613758000000004</v>
      </c>
      <c r="I2110">
        <f t="shared" si="147"/>
        <v>0</v>
      </c>
      <c r="J2110">
        <f t="shared" si="147"/>
        <v>0</v>
      </c>
      <c r="K2110">
        <f t="shared" si="147"/>
        <v>0</v>
      </c>
      <c r="M2110" t="str" cm="1">
        <f t="array" ref="M2110">IFERROR(INDEX($I$2:$K$2,0,MATCH(TRUE,I2110:K2110,0)),E2110)</f>
        <v>CHP New</v>
      </c>
      <c r="O2110" t="str">
        <f t="shared" si="145"/>
        <v>CHP New_2033</v>
      </c>
      <c r="P2110">
        <f t="shared" si="146"/>
        <v>67.613758000000004</v>
      </c>
    </row>
    <row r="2111" spans="4:16" x14ac:dyDescent="0.25">
      <c r="D2111">
        <v>2034</v>
      </c>
      <c r="E2111" t="s">
        <v>227</v>
      </c>
      <c r="F2111" t="s">
        <v>256</v>
      </c>
      <c r="G2111">
        <v>67.613758000000004</v>
      </c>
      <c r="I2111">
        <f t="shared" si="147"/>
        <v>0</v>
      </c>
      <c r="J2111">
        <f t="shared" si="147"/>
        <v>0</v>
      </c>
      <c r="K2111">
        <f t="shared" si="147"/>
        <v>0</v>
      </c>
      <c r="M2111" t="str" cm="1">
        <f t="array" ref="M2111">IFERROR(INDEX($I$2:$K$2,0,MATCH(TRUE,I2111:K2111,0)),E2111)</f>
        <v>CHP New</v>
      </c>
      <c r="O2111" t="str">
        <f t="shared" si="145"/>
        <v>CHP New_2034</v>
      </c>
      <c r="P2111">
        <f t="shared" si="146"/>
        <v>67.613758000000004</v>
      </c>
    </row>
    <row r="2112" spans="4:16" x14ac:dyDescent="0.25">
      <c r="D2112">
        <v>2035</v>
      </c>
      <c r="E2112" t="s">
        <v>227</v>
      </c>
      <c r="F2112" t="s">
        <v>256</v>
      </c>
      <c r="G2112">
        <v>67.613758000000004</v>
      </c>
      <c r="I2112">
        <f t="shared" si="147"/>
        <v>0</v>
      </c>
      <c r="J2112">
        <f t="shared" si="147"/>
        <v>0</v>
      </c>
      <c r="K2112">
        <f t="shared" si="147"/>
        <v>0</v>
      </c>
      <c r="M2112" t="str" cm="1">
        <f t="array" ref="M2112">IFERROR(INDEX($I$2:$K$2,0,MATCH(TRUE,I2112:K2112,0)),E2112)</f>
        <v>CHP New</v>
      </c>
      <c r="O2112" t="str">
        <f t="shared" si="145"/>
        <v>CHP New_2035</v>
      </c>
      <c r="P2112">
        <f t="shared" si="146"/>
        <v>67.613758000000004</v>
      </c>
    </row>
    <row r="2113" spans="4:16" x14ac:dyDescent="0.25">
      <c r="D2113">
        <v>2036</v>
      </c>
      <c r="E2113" t="s">
        <v>227</v>
      </c>
      <c r="F2113" t="s">
        <v>256</v>
      </c>
      <c r="G2113">
        <v>69.459094120000003</v>
      </c>
      <c r="I2113">
        <f t="shared" si="147"/>
        <v>0</v>
      </c>
      <c r="J2113">
        <f t="shared" si="147"/>
        <v>0</v>
      </c>
      <c r="K2113">
        <f t="shared" si="147"/>
        <v>0</v>
      </c>
      <c r="M2113" t="str" cm="1">
        <f t="array" ref="M2113">IFERROR(INDEX($I$2:$K$2,0,MATCH(TRUE,I2113:K2113,0)),E2113)</f>
        <v>CHP New</v>
      </c>
      <c r="O2113" t="str">
        <f t="shared" si="145"/>
        <v>CHP New_2036</v>
      </c>
      <c r="P2113">
        <f t="shared" si="146"/>
        <v>69.459094120000003</v>
      </c>
    </row>
    <row r="2114" spans="4:16" x14ac:dyDescent="0.25">
      <c r="D2114">
        <v>2037</v>
      </c>
      <c r="E2114" t="s">
        <v>227</v>
      </c>
      <c r="F2114" t="s">
        <v>256</v>
      </c>
      <c r="G2114">
        <v>67.613758000000004</v>
      </c>
      <c r="I2114">
        <f t="shared" si="147"/>
        <v>0</v>
      </c>
      <c r="J2114">
        <f t="shared" si="147"/>
        <v>0</v>
      </c>
      <c r="K2114">
        <f t="shared" si="147"/>
        <v>0</v>
      </c>
      <c r="M2114" t="str" cm="1">
        <f t="array" ref="M2114">IFERROR(INDEX($I$2:$K$2,0,MATCH(TRUE,I2114:K2114,0)),E2114)</f>
        <v>CHP New</v>
      </c>
      <c r="O2114" t="str">
        <f t="shared" si="145"/>
        <v>CHP New_2037</v>
      </c>
      <c r="P2114">
        <f t="shared" si="146"/>
        <v>67.613758000000004</v>
      </c>
    </row>
    <row r="2115" spans="4:16" x14ac:dyDescent="0.25">
      <c r="D2115">
        <v>2038</v>
      </c>
      <c r="E2115" t="s">
        <v>227</v>
      </c>
      <c r="F2115" t="s">
        <v>256</v>
      </c>
      <c r="G2115">
        <v>67.613758000000004</v>
      </c>
      <c r="I2115">
        <f t="shared" si="147"/>
        <v>0</v>
      </c>
      <c r="J2115">
        <f t="shared" si="147"/>
        <v>0</v>
      </c>
      <c r="K2115">
        <f t="shared" si="147"/>
        <v>0</v>
      </c>
      <c r="M2115" t="str" cm="1">
        <f t="array" ref="M2115">IFERROR(INDEX($I$2:$K$2,0,MATCH(TRUE,I2115:K2115,0)),E2115)</f>
        <v>CHP New</v>
      </c>
      <c r="O2115" t="str">
        <f t="shared" si="145"/>
        <v>CHP New_2038</v>
      </c>
      <c r="P2115">
        <f t="shared" si="146"/>
        <v>67.613758000000004</v>
      </c>
    </row>
    <row r="2116" spans="4:16" x14ac:dyDescent="0.25">
      <c r="D2116">
        <v>2039</v>
      </c>
      <c r="E2116" t="s">
        <v>227</v>
      </c>
      <c r="F2116" t="s">
        <v>256</v>
      </c>
      <c r="G2116">
        <v>67.613758000000004</v>
      </c>
      <c r="I2116">
        <f t="shared" si="147"/>
        <v>0</v>
      </c>
      <c r="J2116">
        <f t="shared" si="147"/>
        <v>0</v>
      </c>
      <c r="K2116">
        <f t="shared" si="147"/>
        <v>0</v>
      </c>
      <c r="M2116" t="str" cm="1">
        <f t="array" ref="M2116">IFERROR(INDEX($I$2:$K$2,0,MATCH(TRUE,I2116:K2116,0)),E2116)</f>
        <v>CHP New</v>
      </c>
      <c r="O2116" t="str">
        <f t="shared" si="145"/>
        <v>CHP New_2039</v>
      </c>
      <c r="P2116">
        <f t="shared" si="146"/>
        <v>67.613758000000004</v>
      </c>
    </row>
    <row r="2117" spans="4:16" x14ac:dyDescent="0.25">
      <c r="D2117">
        <v>2040</v>
      </c>
      <c r="E2117" t="s">
        <v>227</v>
      </c>
      <c r="F2117" t="s">
        <v>256</v>
      </c>
      <c r="G2117">
        <v>69.459094120000003</v>
      </c>
      <c r="I2117">
        <f t="shared" si="147"/>
        <v>0</v>
      </c>
      <c r="J2117">
        <f t="shared" si="147"/>
        <v>0</v>
      </c>
      <c r="K2117">
        <f t="shared" si="147"/>
        <v>0</v>
      </c>
      <c r="M2117" t="str" cm="1">
        <f t="array" ref="M2117">IFERROR(INDEX($I$2:$K$2,0,MATCH(TRUE,I2117:K2117,0)),E2117)</f>
        <v>CHP New</v>
      </c>
      <c r="O2117" t="str">
        <f t="shared" si="145"/>
        <v>CHP New_2040</v>
      </c>
      <c r="P2117">
        <f t="shared" si="146"/>
        <v>69.459094120000003</v>
      </c>
    </row>
    <row r="2118" spans="4:16" x14ac:dyDescent="0.25">
      <c r="D2118">
        <v>2021</v>
      </c>
      <c r="E2118" t="s">
        <v>227</v>
      </c>
      <c r="F2118" t="s">
        <v>257</v>
      </c>
      <c r="G2118">
        <v>0</v>
      </c>
      <c r="I2118">
        <f t="shared" si="147"/>
        <v>0</v>
      </c>
      <c r="J2118">
        <f t="shared" si="147"/>
        <v>0</v>
      </c>
      <c r="K2118">
        <f t="shared" si="147"/>
        <v>0</v>
      </c>
      <c r="M2118" t="str" cm="1">
        <f t="array" ref="M2118">IFERROR(INDEX($I$2:$K$2,0,MATCH(TRUE,I2118:K2118,0)),E2118)</f>
        <v>CHP New</v>
      </c>
      <c r="O2118" t="str">
        <f t="shared" si="145"/>
        <v>CHP New_2021</v>
      </c>
      <c r="P2118">
        <f t="shared" si="146"/>
        <v>0</v>
      </c>
    </row>
    <row r="2119" spans="4:16" x14ac:dyDescent="0.25">
      <c r="D2119">
        <v>2022</v>
      </c>
      <c r="E2119" t="s">
        <v>227</v>
      </c>
      <c r="F2119" t="s">
        <v>257</v>
      </c>
      <c r="G2119">
        <v>108.89052732</v>
      </c>
      <c r="I2119">
        <f t="shared" si="147"/>
        <v>0</v>
      </c>
      <c r="J2119">
        <f t="shared" si="147"/>
        <v>0</v>
      </c>
      <c r="K2119">
        <f t="shared" si="147"/>
        <v>0</v>
      </c>
      <c r="M2119" t="str" cm="1">
        <f t="array" ref="M2119">IFERROR(INDEX($I$2:$K$2,0,MATCH(TRUE,I2119:K2119,0)),E2119)</f>
        <v>CHP New</v>
      </c>
      <c r="O2119" t="str">
        <f t="shared" si="145"/>
        <v>CHP New_2022</v>
      </c>
      <c r="P2119">
        <f t="shared" si="146"/>
        <v>108.89052732</v>
      </c>
    </row>
    <row r="2120" spans="4:16" x14ac:dyDescent="0.25">
      <c r="D2120">
        <v>2023</v>
      </c>
      <c r="E2120" t="s">
        <v>227</v>
      </c>
      <c r="F2120" t="s">
        <v>257</v>
      </c>
      <c r="G2120">
        <v>108.89052732</v>
      </c>
      <c r="I2120">
        <f t="shared" si="147"/>
        <v>0</v>
      </c>
      <c r="J2120">
        <f t="shared" si="147"/>
        <v>0</v>
      </c>
      <c r="K2120">
        <f t="shared" si="147"/>
        <v>0</v>
      </c>
      <c r="M2120" t="str" cm="1">
        <f t="array" ref="M2120">IFERROR(INDEX($I$2:$K$2,0,MATCH(TRUE,I2120:K2120,0)),E2120)</f>
        <v>CHP New</v>
      </c>
      <c r="O2120" t="str">
        <f t="shared" si="145"/>
        <v>CHP New_2023</v>
      </c>
      <c r="P2120">
        <f t="shared" si="146"/>
        <v>108.89052732</v>
      </c>
    </row>
    <row r="2121" spans="4:16" x14ac:dyDescent="0.25">
      <c r="D2121">
        <v>2024</v>
      </c>
      <c r="E2121" t="s">
        <v>227</v>
      </c>
      <c r="F2121" t="s">
        <v>257</v>
      </c>
      <c r="G2121">
        <v>112.36358387999999</v>
      </c>
      <c r="I2121">
        <f t="shared" si="147"/>
        <v>0</v>
      </c>
      <c r="J2121">
        <f t="shared" si="147"/>
        <v>0</v>
      </c>
      <c r="K2121">
        <f t="shared" si="147"/>
        <v>0</v>
      </c>
      <c r="M2121" t="str" cm="1">
        <f t="array" ref="M2121">IFERROR(INDEX($I$2:$K$2,0,MATCH(TRUE,I2121:K2121,0)),E2121)</f>
        <v>CHP New</v>
      </c>
      <c r="O2121" t="str">
        <f t="shared" si="145"/>
        <v>CHP New_2024</v>
      </c>
      <c r="P2121">
        <f t="shared" si="146"/>
        <v>112.36358387999999</v>
      </c>
    </row>
    <row r="2122" spans="4:16" x14ac:dyDescent="0.25">
      <c r="D2122">
        <v>2025</v>
      </c>
      <c r="E2122" t="s">
        <v>227</v>
      </c>
      <c r="F2122" t="s">
        <v>257</v>
      </c>
      <c r="G2122">
        <v>108.89052732</v>
      </c>
      <c r="I2122">
        <f t="shared" si="147"/>
        <v>0</v>
      </c>
      <c r="J2122">
        <f t="shared" si="147"/>
        <v>0</v>
      </c>
      <c r="K2122">
        <f t="shared" si="147"/>
        <v>0</v>
      </c>
      <c r="M2122" t="str" cm="1">
        <f t="array" ref="M2122">IFERROR(INDEX($I$2:$K$2,0,MATCH(TRUE,I2122:K2122,0)),E2122)</f>
        <v>CHP New</v>
      </c>
      <c r="O2122" t="str">
        <f t="shared" si="145"/>
        <v>CHP New_2025</v>
      </c>
      <c r="P2122">
        <f t="shared" si="146"/>
        <v>108.89052732</v>
      </c>
    </row>
    <row r="2123" spans="4:16" x14ac:dyDescent="0.25">
      <c r="D2123">
        <v>2026</v>
      </c>
      <c r="E2123" t="s">
        <v>227</v>
      </c>
      <c r="F2123" t="s">
        <v>257</v>
      </c>
      <c r="G2123">
        <v>108.89052732</v>
      </c>
      <c r="I2123">
        <f t="shared" si="147"/>
        <v>0</v>
      </c>
      <c r="J2123">
        <f t="shared" si="147"/>
        <v>0</v>
      </c>
      <c r="K2123">
        <f t="shared" si="147"/>
        <v>0</v>
      </c>
      <c r="M2123" t="str" cm="1">
        <f t="array" ref="M2123">IFERROR(INDEX($I$2:$K$2,0,MATCH(TRUE,I2123:K2123,0)),E2123)</f>
        <v>CHP New</v>
      </c>
      <c r="O2123" t="str">
        <f t="shared" si="145"/>
        <v>CHP New_2026</v>
      </c>
      <c r="P2123">
        <f t="shared" si="146"/>
        <v>108.89052732</v>
      </c>
    </row>
    <row r="2124" spans="4:16" x14ac:dyDescent="0.25">
      <c r="D2124">
        <v>2027</v>
      </c>
      <c r="E2124" t="s">
        <v>227</v>
      </c>
      <c r="F2124" t="s">
        <v>257</v>
      </c>
      <c r="G2124">
        <v>108.89052732</v>
      </c>
      <c r="I2124">
        <f t="shared" si="147"/>
        <v>0</v>
      </c>
      <c r="J2124">
        <f t="shared" si="147"/>
        <v>0</v>
      </c>
      <c r="K2124">
        <f t="shared" si="147"/>
        <v>0</v>
      </c>
      <c r="M2124" t="str" cm="1">
        <f t="array" ref="M2124">IFERROR(INDEX($I$2:$K$2,0,MATCH(TRUE,I2124:K2124,0)),E2124)</f>
        <v>CHP New</v>
      </c>
      <c r="O2124" t="str">
        <f t="shared" si="145"/>
        <v>CHP New_2027</v>
      </c>
      <c r="P2124">
        <f t="shared" si="146"/>
        <v>108.89052732</v>
      </c>
    </row>
    <row r="2125" spans="4:16" x14ac:dyDescent="0.25">
      <c r="D2125">
        <v>2028</v>
      </c>
      <c r="E2125" t="s">
        <v>227</v>
      </c>
      <c r="F2125" t="s">
        <v>257</v>
      </c>
      <c r="G2125">
        <v>108.89052732</v>
      </c>
      <c r="I2125">
        <f t="shared" si="147"/>
        <v>0</v>
      </c>
      <c r="J2125">
        <f t="shared" si="147"/>
        <v>0</v>
      </c>
      <c r="K2125">
        <f t="shared" si="147"/>
        <v>0</v>
      </c>
      <c r="M2125" t="str" cm="1">
        <f t="array" ref="M2125">IFERROR(INDEX($I$2:$K$2,0,MATCH(TRUE,I2125:K2125,0)),E2125)</f>
        <v>CHP New</v>
      </c>
      <c r="O2125" t="str">
        <f t="shared" si="145"/>
        <v>CHP New_2028</v>
      </c>
      <c r="P2125">
        <f t="shared" si="146"/>
        <v>108.89052732</v>
      </c>
    </row>
    <row r="2126" spans="4:16" x14ac:dyDescent="0.25">
      <c r="D2126">
        <v>2029</v>
      </c>
      <c r="E2126" t="s">
        <v>227</v>
      </c>
      <c r="F2126" t="s">
        <v>257</v>
      </c>
      <c r="G2126">
        <v>108.89052732</v>
      </c>
      <c r="I2126">
        <f t="shared" si="147"/>
        <v>0</v>
      </c>
      <c r="J2126">
        <f t="shared" si="147"/>
        <v>0</v>
      </c>
      <c r="K2126">
        <f t="shared" si="147"/>
        <v>0</v>
      </c>
      <c r="M2126" t="str" cm="1">
        <f t="array" ref="M2126">IFERROR(INDEX($I$2:$K$2,0,MATCH(TRUE,I2126:K2126,0)),E2126)</f>
        <v>CHP New</v>
      </c>
      <c r="O2126" t="str">
        <f t="shared" si="145"/>
        <v>CHP New_2029</v>
      </c>
      <c r="P2126">
        <f t="shared" si="146"/>
        <v>108.89052732</v>
      </c>
    </row>
    <row r="2127" spans="4:16" x14ac:dyDescent="0.25">
      <c r="D2127">
        <v>2030</v>
      </c>
      <c r="E2127" t="s">
        <v>227</v>
      </c>
      <c r="F2127" t="s">
        <v>257</v>
      </c>
      <c r="G2127">
        <v>108.89052732</v>
      </c>
      <c r="I2127">
        <f t="shared" si="147"/>
        <v>0</v>
      </c>
      <c r="J2127">
        <f t="shared" si="147"/>
        <v>0</v>
      </c>
      <c r="K2127">
        <f t="shared" si="147"/>
        <v>0</v>
      </c>
      <c r="M2127" t="str" cm="1">
        <f t="array" ref="M2127">IFERROR(INDEX($I$2:$K$2,0,MATCH(TRUE,I2127:K2127,0)),E2127)</f>
        <v>CHP New</v>
      </c>
      <c r="O2127" t="str">
        <f t="shared" si="145"/>
        <v>CHP New_2030</v>
      </c>
      <c r="P2127">
        <f t="shared" si="146"/>
        <v>108.89052732</v>
      </c>
    </row>
    <row r="2128" spans="4:16" x14ac:dyDescent="0.25">
      <c r="D2128">
        <v>2031</v>
      </c>
      <c r="E2128" t="s">
        <v>227</v>
      </c>
      <c r="F2128" t="s">
        <v>257</v>
      </c>
      <c r="G2128">
        <v>108.89052732</v>
      </c>
      <c r="I2128">
        <f t="shared" si="147"/>
        <v>0</v>
      </c>
      <c r="J2128">
        <f t="shared" si="147"/>
        <v>0</v>
      </c>
      <c r="K2128">
        <f t="shared" si="147"/>
        <v>0</v>
      </c>
      <c r="M2128" t="str" cm="1">
        <f t="array" ref="M2128">IFERROR(INDEX($I$2:$K$2,0,MATCH(TRUE,I2128:K2128,0)),E2128)</f>
        <v>CHP New</v>
      </c>
      <c r="O2128" t="str">
        <f t="shared" si="145"/>
        <v>CHP New_2031</v>
      </c>
      <c r="P2128">
        <f t="shared" si="146"/>
        <v>108.89052732</v>
      </c>
    </row>
    <row r="2129" spans="4:16" x14ac:dyDescent="0.25">
      <c r="D2129">
        <v>2032</v>
      </c>
      <c r="E2129" t="s">
        <v>227</v>
      </c>
      <c r="F2129" t="s">
        <v>257</v>
      </c>
      <c r="G2129">
        <v>108.89052732</v>
      </c>
      <c r="I2129">
        <f t="shared" si="147"/>
        <v>0</v>
      </c>
      <c r="J2129">
        <f t="shared" si="147"/>
        <v>0</v>
      </c>
      <c r="K2129">
        <f t="shared" si="147"/>
        <v>0</v>
      </c>
      <c r="M2129" t="str" cm="1">
        <f t="array" ref="M2129">IFERROR(INDEX($I$2:$K$2,0,MATCH(TRUE,I2129:K2129,0)),E2129)</f>
        <v>CHP New</v>
      </c>
      <c r="O2129" t="str">
        <f t="shared" si="145"/>
        <v>CHP New_2032</v>
      </c>
      <c r="P2129">
        <f t="shared" si="146"/>
        <v>108.89052732</v>
      </c>
    </row>
    <row r="2130" spans="4:16" x14ac:dyDescent="0.25">
      <c r="D2130">
        <v>2033</v>
      </c>
      <c r="E2130" t="s">
        <v>227</v>
      </c>
      <c r="F2130" t="s">
        <v>257</v>
      </c>
      <c r="G2130">
        <v>108.89052732</v>
      </c>
      <c r="I2130">
        <f t="shared" si="147"/>
        <v>0</v>
      </c>
      <c r="J2130">
        <f t="shared" si="147"/>
        <v>0</v>
      </c>
      <c r="K2130">
        <f t="shared" si="147"/>
        <v>0</v>
      </c>
      <c r="M2130" t="str" cm="1">
        <f t="array" ref="M2130">IFERROR(INDEX($I$2:$K$2,0,MATCH(TRUE,I2130:K2130,0)),E2130)</f>
        <v>CHP New</v>
      </c>
      <c r="O2130" t="str">
        <f t="shared" si="145"/>
        <v>CHP New_2033</v>
      </c>
      <c r="P2130">
        <f t="shared" si="146"/>
        <v>108.89052732</v>
      </c>
    </row>
    <row r="2131" spans="4:16" x14ac:dyDescent="0.25">
      <c r="D2131">
        <v>2034</v>
      </c>
      <c r="E2131" t="s">
        <v>227</v>
      </c>
      <c r="F2131" t="s">
        <v>257</v>
      </c>
      <c r="G2131">
        <v>108.89052732</v>
      </c>
      <c r="I2131">
        <f t="shared" si="147"/>
        <v>0</v>
      </c>
      <c r="J2131">
        <f t="shared" si="147"/>
        <v>0</v>
      </c>
      <c r="K2131">
        <f t="shared" si="147"/>
        <v>0</v>
      </c>
      <c r="M2131" t="str" cm="1">
        <f t="array" ref="M2131">IFERROR(INDEX($I$2:$K$2,0,MATCH(TRUE,I2131:K2131,0)),E2131)</f>
        <v>CHP New</v>
      </c>
      <c r="O2131" t="str">
        <f t="shared" ref="O2131:O2194" si="148">M2131&amp;"_"&amp;D2131</f>
        <v>CHP New_2034</v>
      </c>
      <c r="P2131">
        <f t="shared" ref="P2131:P2194" si="149">G2131</f>
        <v>108.89052732</v>
      </c>
    </row>
    <row r="2132" spans="4:16" x14ac:dyDescent="0.25">
      <c r="D2132">
        <v>2035</v>
      </c>
      <c r="E2132" t="s">
        <v>227</v>
      </c>
      <c r="F2132" t="s">
        <v>257</v>
      </c>
      <c r="G2132">
        <v>108.89052732</v>
      </c>
      <c r="I2132">
        <f t="shared" si="147"/>
        <v>0</v>
      </c>
      <c r="J2132">
        <f t="shared" si="147"/>
        <v>0</v>
      </c>
      <c r="K2132">
        <f t="shared" si="147"/>
        <v>0</v>
      </c>
      <c r="M2132" t="str" cm="1">
        <f t="array" ref="M2132">IFERROR(INDEX($I$2:$K$2,0,MATCH(TRUE,I2132:K2132,0)),E2132)</f>
        <v>CHP New</v>
      </c>
      <c r="O2132" t="str">
        <f t="shared" si="148"/>
        <v>CHP New_2035</v>
      </c>
      <c r="P2132">
        <f t="shared" si="149"/>
        <v>108.89052732</v>
      </c>
    </row>
    <row r="2133" spans="4:16" x14ac:dyDescent="0.25">
      <c r="D2133">
        <v>2036</v>
      </c>
      <c r="E2133" t="s">
        <v>227</v>
      </c>
      <c r="F2133" t="s">
        <v>257</v>
      </c>
      <c r="G2133">
        <v>112.36358387999999</v>
      </c>
      <c r="I2133">
        <f t="shared" ref="I2133:K2196" si="150">IFERROR(FIND(I$2,$E2133,1)&gt;0,0)</f>
        <v>0</v>
      </c>
      <c r="J2133">
        <f t="shared" si="150"/>
        <v>0</v>
      </c>
      <c r="K2133">
        <f t="shared" si="150"/>
        <v>0</v>
      </c>
      <c r="M2133" t="str" cm="1">
        <f t="array" ref="M2133">IFERROR(INDEX($I$2:$K$2,0,MATCH(TRUE,I2133:K2133,0)),E2133)</f>
        <v>CHP New</v>
      </c>
      <c r="O2133" t="str">
        <f t="shared" si="148"/>
        <v>CHP New_2036</v>
      </c>
      <c r="P2133">
        <f t="shared" si="149"/>
        <v>112.36358387999999</v>
      </c>
    </row>
    <row r="2134" spans="4:16" x14ac:dyDescent="0.25">
      <c r="D2134">
        <v>2037</v>
      </c>
      <c r="E2134" t="s">
        <v>227</v>
      </c>
      <c r="F2134" t="s">
        <v>257</v>
      </c>
      <c r="G2134">
        <v>108.89052732</v>
      </c>
      <c r="I2134">
        <f t="shared" si="150"/>
        <v>0</v>
      </c>
      <c r="J2134">
        <f t="shared" si="150"/>
        <v>0</v>
      </c>
      <c r="K2134">
        <f t="shared" si="150"/>
        <v>0</v>
      </c>
      <c r="M2134" t="str" cm="1">
        <f t="array" ref="M2134">IFERROR(INDEX($I$2:$K$2,0,MATCH(TRUE,I2134:K2134,0)),E2134)</f>
        <v>CHP New</v>
      </c>
      <c r="O2134" t="str">
        <f t="shared" si="148"/>
        <v>CHP New_2037</v>
      </c>
      <c r="P2134">
        <f t="shared" si="149"/>
        <v>108.89052732</v>
      </c>
    </row>
    <row r="2135" spans="4:16" x14ac:dyDescent="0.25">
      <c r="D2135">
        <v>2038</v>
      </c>
      <c r="E2135" t="s">
        <v>227</v>
      </c>
      <c r="F2135" t="s">
        <v>257</v>
      </c>
      <c r="G2135">
        <v>108.89052732</v>
      </c>
      <c r="I2135">
        <f t="shared" si="150"/>
        <v>0</v>
      </c>
      <c r="J2135">
        <f t="shared" si="150"/>
        <v>0</v>
      </c>
      <c r="K2135">
        <f t="shared" si="150"/>
        <v>0</v>
      </c>
      <c r="M2135" t="str" cm="1">
        <f t="array" ref="M2135">IFERROR(INDEX($I$2:$K$2,0,MATCH(TRUE,I2135:K2135,0)),E2135)</f>
        <v>CHP New</v>
      </c>
      <c r="O2135" t="str">
        <f t="shared" si="148"/>
        <v>CHP New_2038</v>
      </c>
      <c r="P2135">
        <f t="shared" si="149"/>
        <v>108.89052732</v>
      </c>
    </row>
    <row r="2136" spans="4:16" x14ac:dyDescent="0.25">
      <c r="D2136">
        <v>2039</v>
      </c>
      <c r="E2136" t="s">
        <v>227</v>
      </c>
      <c r="F2136" t="s">
        <v>257</v>
      </c>
      <c r="G2136">
        <v>108.89052732</v>
      </c>
      <c r="I2136">
        <f t="shared" si="150"/>
        <v>0</v>
      </c>
      <c r="J2136">
        <f t="shared" si="150"/>
        <v>0</v>
      </c>
      <c r="K2136">
        <f t="shared" si="150"/>
        <v>0</v>
      </c>
      <c r="M2136" t="str" cm="1">
        <f t="array" ref="M2136">IFERROR(INDEX($I$2:$K$2,0,MATCH(TRUE,I2136:K2136,0)),E2136)</f>
        <v>CHP New</v>
      </c>
      <c r="O2136" t="str">
        <f t="shared" si="148"/>
        <v>CHP New_2039</v>
      </c>
      <c r="P2136">
        <f t="shared" si="149"/>
        <v>108.89052732</v>
      </c>
    </row>
    <row r="2137" spans="4:16" x14ac:dyDescent="0.25">
      <c r="D2137">
        <v>2040</v>
      </c>
      <c r="E2137" t="s">
        <v>227</v>
      </c>
      <c r="F2137" t="s">
        <v>257</v>
      </c>
      <c r="G2137">
        <v>112.36358387999999</v>
      </c>
      <c r="I2137">
        <f t="shared" si="150"/>
        <v>0</v>
      </c>
      <c r="J2137">
        <f t="shared" si="150"/>
        <v>0</v>
      </c>
      <c r="K2137">
        <f t="shared" si="150"/>
        <v>0</v>
      </c>
      <c r="M2137" t="str" cm="1">
        <f t="array" ref="M2137">IFERROR(INDEX($I$2:$K$2,0,MATCH(TRUE,I2137:K2137,0)),E2137)</f>
        <v>CHP New</v>
      </c>
      <c r="O2137" t="str">
        <f t="shared" si="148"/>
        <v>CHP New_2040</v>
      </c>
      <c r="P2137">
        <f t="shared" si="149"/>
        <v>112.36358387999999</v>
      </c>
    </row>
    <row r="2138" spans="4:16" x14ac:dyDescent="0.25">
      <c r="D2138">
        <v>2024</v>
      </c>
      <c r="E2138" t="s">
        <v>227</v>
      </c>
      <c r="F2138" t="s">
        <v>258</v>
      </c>
      <c r="G2138">
        <v>0</v>
      </c>
      <c r="I2138">
        <f t="shared" si="150"/>
        <v>0</v>
      </c>
      <c r="J2138">
        <f t="shared" si="150"/>
        <v>0</v>
      </c>
      <c r="K2138">
        <f t="shared" si="150"/>
        <v>0</v>
      </c>
      <c r="M2138" t="str" cm="1">
        <f t="array" ref="M2138">IFERROR(INDEX($I$2:$K$2,0,MATCH(TRUE,I2138:K2138,0)),E2138)</f>
        <v>CHP New</v>
      </c>
      <c r="O2138" t="str">
        <f t="shared" si="148"/>
        <v>CHP New_2024</v>
      </c>
      <c r="P2138">
        <f t="shared" si="149"/>
        <v>0</v>
      </c>
    </row>
    <row r="2139" spans="4:16" x14ac:dyDescent="0.25">
      <c r="D2139">
        <v>2025</v>
      </c>
      <c r="E2139" t="s">
        <v>227</v>
      </c>
      <c r="F2139" t="s">
        <v>258</v>
      </c>
      <c r="G2139">
        <v>63.908894549999999</v>
      </c>
      <c r="I2139">
        <f t="shared" si="150"/>
        <v>0</v>
      </c>
      <c r="J2139">
        <f t="shared" si="150"/>
        <v>0</v>
      </c>
      <c r="K2139">
        <f t="shared" si="150"/>
        <v>0</v>
      </c>
      <c r="M2139" t="str" cm="1">
        <f t="array" ref="M2139">IFERROR(INDEX($I$2:$K$2,0,MATCH(TRUE,I2139:K2139,0)),E2139)</f>
        <v>CHP New</v>
      </c>
      <c r="O2139" t="str">
        <f t="shared" si="148"/>
        <v>CHP New_2025</v>
      </c>
      <c r="P2139">
        <f t="shared" si="149"/>
        <v>63.908894549999999</v>
      </c>
    </row>
    <row r="2140" spans="4:16" x14ac:dyDescent="0.25">
      <c r="D2140">
        <v>2026</v>
      </c>
      <c r="E2140" t="s">
        <v>227</v>
      </c>
      <c r="F2140" t="s">
        <v>258</v>
      </c>
      <c r="G2140">
        <v>63.908894549999999</v>
      </c>
      <c r="I2140">
        <f t="shared" si="150"/>
        <v>0</v>
      </c>
      <c r="J2140">
        <f t="shared" si="150"/>
        <v>0</v>
      </c>
      <c r="K2140">
        <f t="shared" si="150"/>
        <v>0</v>
      </c>
      <c r="M2140" t="str" cm="1">
        <f t="array" ref="M2140">IFERROR(INDEX($I$2:$K$2,0,MATCH(TRUE,I2140:K2140,0)),E2140)</f>
        <v>CHP New</v>
      </c>
      <c r="O2140" t="str">
        <f t="shared" si="148"/>
        <v>CHP New_2026</v>
      </c>
      <c r="P2140">
        <f t="shared" si="149"/>
        <v>63.908894549999999</v>
      </c>
    </row>
    <row r="2141" spans="4:16" x14ac:dyDescent="0.25">
      <c r="D2141">
        <v>2027</v>
      </c>
      <c r="E2141" t="s">
        <v>227</v>
      </c>
      <c r="F2141" t="s">
        <v>258</v>
      </c>
      <c r="G2141">
        <v>63.908894549999999</v>
      </c>
      <c r="I2141">
        <f t="shared" si="150"/>
        <v>0</v>
      </c>
      <c r="J2141">
        <f t="shared" si="150"/>
        <v>0</v>
      </c>
      <c r="K2141">
        <f t="shared" si="150"/>
        <v>0</v>
      </c>
      <c r="M2141" t="str" cm="1">
        <f t="array" ref="M2141">IFERROR(INDEX($I$2:$K$2,0,MATCH(TRUE,I2141:K2141,0)),E2141)</f>
        <v>CHP New</v>
      </c>
      <c r="O2141" t="str">
        <f t="shared" si="148"/>
        <v>CHP New_2027</v>
      </c>
      <c r="P2141">
        <f t="shared" si="149"/>
        <v>63.908894549999999</v>
      </c>
    </row>
    <row r="2142" spans="4:16" x14ac:dyDescent="0.25">
      <c r="D2142">
        <v>2028</v>
      </c>
      <c r="E2142" t="s">
        <v>227</v>
      </c>
      <c r="F2142" t="s">
        <v>258</v>
      </c>
      <c r="G2142">
        <v>63.908894549999999</v>
      </c>
      <c r="I2142">
        <f t="shared" si="150"/>
        <v>0</v>
      </c>
      <c r="J2142">
        <f t="shared" si="150"/>
        <v>0</v>
      </c>
      <c r="K2142">
        <f t="shared" si="150"/>
        <v>0</v>
      </c>
      <c r="M2142" t="str" cm="1">
        <f t="array" ref="M2142">IFERROR(INDEX($I$2:$K$2,0,MATCH(TRUE,I2142:K2142,0)),E2142)</f>
        <v>CHP New</v>
      </c>
      <c r="O2142" t="str">
        <f t="shared" si="148"/>
        <v>CHP New_2028</v>
      </c>
      <c r="P2142">
        <f t="shared" si="149"/>
        <v>63.908894549999999</v>
      </c>
    </row>
    <row r="2143" spans="4:16" x14ac:dyDescent="0.25">
      <c r="D2143">
        <v>2029</v>
      </c>
      <c r="E2143" t="s">
        <v>227</v>
      </c>
      <c r="F2143" t="s">
        <v>258</v>
      </c>
      <c r="G2143">
        <v>63.908894549999999</v>
      </c>
      <c r="I2143">
        <f t="shared" si="150"/>
        <v>0</v>
      </c>
      <c r="J2143">
        <f t="shared" si="150"/>
        <v>0</v>
      </c>
      <c r="K2143">
        <f t="shared" si="150"/>
        <v>0</v>
      </c>
      <c r="M2143" t="str" cm="1">
        <f t="array" ref="M2143">IFERROR(INDEX($I$2:$K$2,0,MATCH(TRUE,I2143:K2143,0)),E2143)</f>
        <v>CHP New</v>
      </c>
      <c r="O2143" t="str">
        <f t="shared" si="148"/>
        <v>CHP New_2029</v>
      </c>
      <c r="P2143">
        <f t="shared" si="149"/>
        <v>63.908894549999999</v>
      </c>
    </row>
    <row r="2144" spans="4:16" x14ac:dyDescent="0.25">
      <c r="D2144">
        <v>2030</v>
      </c>
      <c r="E2144" t="s">
        <v>227</v>
      </c>
      <c r="F2144" t="s">
        <v>258</v>
      </c>
      <c r="G2144">
        <v>63.908894549999999</v>
      </c>
      <c r="I2144">
        <f t="shared" si="150"/>
        <v>0</v>
      </c>
      <c r="J2144">
        <f t="shared" si="150"/>
        <v>0</v>
      </c>
      <c r="K2144">
        <f t="shared" si="150"/>
        <v>0</v>
      </c>
      <c r="M2144" t="str" cm="1">
        <f t="array" ref="M2144">IFERROR(INDEX($I$2:$K$2,0,MATCH(TRUE,I2144:K2144,0)),E2144)</f>
        <v>CHP New</v>
      </c>
      <c r="O2144" t="str">
        <f t="shared" si="148"/>
        <v>CHP New_2030</v>
      </c>
      <c r="P2144">
        <f t="shared" si="149"/>
        <v>63.908894549999999</v>
      </c>
    </row>
    <row r="2145" spans="4:16" x14ac:dyDescent="0.25">
      <c r="D2145">
        <v>2031</v>
      </c>
      <c r="E2145" t="s">
        <v>227</v>
      </c>
      <c r="F2145" t="s">
        <v>258</v>
      </c>
      <c r="G2145">
        <v>63.908894549999999</v>
      </c>
      <c r="I2145">
        <f t="shared" si="150"/>
        <v>0</v>
      </c>
      <c r="J2145">
        <f t="shared" si="150"/>
        <v>0</v>
      </c>
      <c r="K2145">
        <f t="shared" si="150"/>
        <v>0</v>
      </c>
      <c r="M2145" t="str" cm="1">
        <f t="array" ref="M2145">IFERROR(INDEX($I$2:$K$2,0,MATCH(TRUE,I2145:K2145,0)),E2145)</f>
        <v>CHP New</v>
      </c>
      <c r="O2145" t="str">
        <f t="shared" si="148"/>
        <v>CHP New_2031</v>
      </c>
      <c r="P2145">
        <f t="shared" si="149"/>
        <v>63.908894549999999</v>
      </c>
    </row>
    <row r="2146" spans="4:16" x14ac:dyDescent="0.25">
      <c r="D2146">
        <v>2032</v>
      </c>
      <c r="E2146" t="s">
        <v>227</v>
      </c>
      <c r="F2146" t="s">
        <v>258</v>
      </c>
      <c r="G2146">
        <v>63.908894549999999</v>
      </c>
      <c r="I2146">
        <f t="shared" si="150"/>
        <v>0</v>
      </c>
      <c r="J2146">
        <f t="shared" si="150"/>
        <v>0</v>
      </c>
      <c r="K2146">
        <f t="shared" si="150"/>
        <v>0</v>
      </c>
      <c r="M2146" t="str" cm="1">
        <f t="array" ref="M2146">IFERROR(INDEX($I$2:$K$2,0,MATCH(TRUE,I2146:K2146,0)),E2146)</f>
        <v>CHP New</v>
      </c>
      <c r="O2146" t="str">
        <f t="shared" si="148"/>
        <v>CHP New_2032</v>
      </c>
      <c r="P2146">
        <f t="shared" si="149"/>
        <v>63.908894549999999</v>
      </c>
    </row>
    <row r="2147" spans="4:16" x14ac:dyDescent="0.25">
      <c r="D2147">
        <v>2033</v>
      </c>
      <c r="E2147" t="s">
        <v>227</v>
      </c>
      <c r="F2147" t="s">
        <v>258</v>
      </c>
      <c r="G2147">
        <v>63.908894549999999</v>
      </c>
      <c r="I2147">
        <f t="shared" si="150"/>
        <v>0</v>
      </c>
      <c r="J2147">
        <f t="shared" si="150"/>
        <v>0</v>
      </c>
      <c r="K2147">
        <f t="shared" si="150"/>
        <v>0</v>
      </c>
      <c r="M2147" t="str" cm="1">
        <f t="array" ref="M2147">IFERROR(INDEX($I$2:$K$2,0,MATCH(TRUE,I2147:K2147,0)),E2147)</f>
        <v>CHP New</v>
      </c>
      <c r="O2147" t="str">
        <f t="shared" si="148"/>
        <v>CHP New_2033</v>
      </c>
      <c r="P2147">
        <f t="shared" si="149"/>
        <v>63.908894549999999</v>
      </c>
    </row>
    <row r="2148" spans="4:16" x14ac:dyDescent="0.25">
      <c r="D2148">
        <v>2034</v>
      </c>
      <c r="E2148" t="s">
        <v>227</v>
      </c>
      <c r="F2148" t="s">
        <v>258</v>
      </c>
      <c r="G2148">
        <v>63.908894549999999</v>
      </c>
      <c r="I2148">
        <f t="shared" si="150"/>
        <v>0</v>
      </c>
      <c r="J2148">
        <f t="shared" si="150"/>
        <v>0</v>
      </c>
      <c r="K2148">
        <f t="shared" si="150"/>
        <v>0</v>
      </c>
      <c r="M2148" t="str" cm="1">
        <f t="array" ref="M2148">IFERROR(INDEX($I$2:$K$2,0,MATCH(TRUE,I2148:K2148,0)),E2148)</f>
        <v>CHP New</v>
      </c>
      <c r="O2148" t="str">
        <f t="shared" si="148"/>
        <v>CHP New_2034</v>
      </c>
      <c r="P2148">
        <f t="shared" si="149"/>
        <v>63.908894549999999</v>
      </c>
    </row>
    <row r="2149" spans="4:16" x14ac:dyDescent="0.25">
      <c r="D2149">
        <v>2035</v>
      </c>
      <c r="E2149" t="s">
        <v>227</v>
      </c>
      <c r="F2149" t="s">
        <v>258</v>
      </c>
      <c r="G2149">
        <v>63.908894549999999</v>
      </c>
      <c r="I2149">
        <f t="shared" si="150"/>
        <v>0</v>
      </c>
      <c r="J2149">
        <f t="shared" si="150"/>
        <v>0</v>
      </c>
      <c r="K2149">
        <f t="shared" si="150"/>
        <v>0</v>
      </c>
      <c r="M2149" t="str" cm="1">
        <f t="array" ref="M2149">IFERROR(INDEX($I$2:$K$2,0,MATCH(TRUE,I2149:K2149,0)),E2149)</f>
        <v>CHP New</v>
      </c>
      <c r="O2149" t="str">
        <f t="shared" si="148"/>
        <v>CHP New_2035</v>
      </c>
      <c r="P2149">
        <f t="shared" si="149"/>
        <v>63.908894549999999</v>
      </c>
    </row>
    <row r="2150" spans="4:16" x14ac:dyDescent="0.25">
      <c r="D2150">
        <v>2036</v>
      </c>
      <c r="E2150" t="s">
        <v>227</v>
      </c>
      <c r="F2150" t="s">
        <v>258</v>
      </c>
      <c r="G2150">
        <v>65.653116359999999</v>
      </c>
      <c r="I2150">
        <f t="shared" si="150"/>
        <v>0</v>
      </c>
      <c r="J2150">
        <f t="shared" si="150"/>
        <v>0</v>
      </c>
      <c r="K2150">
        <f t="shared" si="150"/>
        <v>0</v>
      </c>
      <c r="M2150" t="str" cm="1">
        <f t="array" ref="M2150">IFERROR(INDEX($I$2:$K$2,0,MATCH(TRUE,I2150:K2150,0)),E2150)</f>
        <v>CHP New</v>
      </c>
      <c r="O2150" t="str">
        <f t="shared" si="148"/>
        <v>CHP New_2036</v>
      </c>
      <c r="P2150">
        <f t="shared" si="149"/>
        <v>65.653116359999999</v>
      </c>
    </row>
    <row r="2151" spans="4:16" x14ac:dyDescent="0.25">
      <c r="D2151">
        <v>2037</v>
      </c>
      <c r="E2151" t="s">
        <v>227</v>
      </c>
      <c r="F2151" t="s">
        <v>258</v>
      </c>
      <c r="G2151">
        <v>63.908894549999999</v>
      </c>
      <c r="I2151">
        <f t="shared" si="150"/>
        <v>0</v>
      </c>
      <c r="J2151">
        <f t="shared" si="150"/>
        <v>0</v>
      </c>
      <c r="K2151">
        <f t="shared" si="150"/>
        <v>0</v>
      </c>
      <c r="M2151" t="str" cm="1">
        <f t="array" ref="M2151">IFERROR(INDEX($I$2:$K$2,0,MATCH(TRUE,I2151:K2151,0)),E2151)</f>
        <v>CHP New</v>
      </c>
      <c r="O2151" t="str">
        <f t="shared" si="148"/>
        <v>CHP New_2037</v>
      </c>
      <c r="P2151">
        <f t="shared" si="149"/>
        <v>63.908894549999999</v>
      </c>
    </row>
    <row r="2152" spans="4:16" x14ac:dyDescent="0.25">
      <c r="D2152">
        <v>2038</v>
      </c>
      <c r="E2152" t="s">
        <v>227</v>
      </c>
      <c r="F2152" t="s">
        <v>258</v>
      </c>
      <c r="G2152">
        <v>63.908894549999999</v>
      </c>
      <c r="I2152">
        <f t="shared" si="150"/>
        <v>0</v>
      </c>
      <c r="J2152">
        <f t="shared" si="150"/>
        <v>0</v>
      </c>
      <c r="K2152">
        <f t="shared" si="150"/>
        <v>0</v>
      </c>
      <c r="M2152" t="str" cm="1">
        <f t="array" ref="M2152">IFERROR(INDEX($I$2:$K$2,0,MATCH(TRUE,I2152:K2152,0)),E2152)</f>
        <v>CHP New</v>
      </c>
      <c r="O2152" t="str">
        <f t="shared" si="148"/>
        <v>CHP New_2038</v>
      </c>
      <c r="P2152">
        <f t="shared" si="149"/>
        <v>63.908894549999999</v>
      </c>
    </row>
    <row r="2153" spans="4:16" x14ac:dyDescent="0.25">
      <c r="D2153">
        <v>2039</v>
      </c>
      <c r="E2153" t="s">
        <v>227</v>
      </c>
      <c r="F2153" t="s">
        <v>258</v>
      </c>
      <c r="G2153">
        <v>63.908894549999999</v>
      </c>
      <c r="I2153">
        <f t="shared" si="150"/>
        <v>0</v>
      </c>
      <c r="J2153">
        <f t="shared" si="150"/>
        <v>0</v>
      </c>
      <c r="K2153">
        <f t="shared" si="150"/>
        <v>0</v>
      </c>
      <c r="M2153" t="str" cm="1">
        <f t="array" ref="M2153">IFERROR(INDEX($I$2:$K$2,0,MATCH(TRUE,I2153:K2153,0)),E2153)</f>
        <v>CHP New</v>
      </c>
      <c r="O2153" t="str">
        <f t="shared" si="148"/>
        <v>CHP New_2039</v>
      </c>
      <c r="P2153">
        <f t="shared" si="149"/>
        <v>63.908894549999999</v>
      </c>
    </row>
    <row r="2154" spans="4:16" x14ac:dyDescent="0.25">
      <c r="D2154">
        <v>2040</v>
      </c>
      <c r="E2154" t="s">
        <v>227</v>
      </c>
      <c r="F2154" t="s">
        <v>258</v>
      </c>
      <c r="G2154">
        <v>65.653116359999999</v>
      </c>
      <c r="I2154">
        <f t="shared" si="150"/>
        <v>0</v>
      </c>
      <c r="J2154">
        <f t="shared" si="150"/>
        <v>0</v>
      </c>
      <c r="K2154">
        <f t="shared" si="150"/>
        <v>0</v>
      </c>
      <c r="M2154" t="str" cm="1">
        <f t="array" ref="M2154">IFERROR(INDEX($I$2:$K$2,0,MATCH(TRUE,I2154:K2154,0)),E2154)</f>
        <v>CHP New</v>
      </c>
      <c r="O2154" t="str">
        <f t="shared" si="148"/>
        <v>CHP New_2040</v>
      </c>
      <c r="P2154">
        <f t="shared" si="149"/>
        <v>65.653116359999999</v>
      </c>
    </row>
    <row r="2155" spans="4:16" x14ac:dyDescent="0.25">
      <c r="D2155">
        <v>2021</v>
      </c>
      <c r="E2155" t="s">
        <v>227</v>
      </c>
      <c r="F2155" t="s">
        <v>259</v>
      </c>
      <c r="G2155">
        <v>92.621586300000004</v>
      </c>
      <c r="I2155">
        <f t="shared" si="150"/>
        <v>0</v>
      </c>
      <c r="J2155">
        <f t="shared" si="150"/>
        <v>0</v>
      </c>
      <c r="K2155">
        <f t="shared" si="150"/>
        <v>0</v>
      </c>
      <c r="M2155" t="str" cm="1">
        <f t="array" ref="M2155">IFERROR(INDEX($I$2:$K$2,0,MATCH(TRUE,I2155:K2155,0)),E2155)</f>
        <v>CHP New</v>
      </c>
      <c r="O2155" t="str">
        <f t="shared" si="148"/>
        <v>CHP New_2021</v>
      </c>
      <c r="P2155">
        <f t="shared" si="149"/>
        <v>92.621586300000004</v>
      </c>
    </row>
    <row r="2156" spans="4:16" x14ac:dyDescent="0.25">
      <c r="D2156">
        <v>2022</v>
      </c>
      <c r="E2156" t="s">
        <v>227</v>
      </c>
      <c r="F2156" t="s">
        <v>259</v>
      </c>
      <c r="G2156">
        <v>92.621586300000004</v>
      </c>
      <c r="I2156">
        <f t="shared" si="150"/>
        <v>0</v>
      </c>
      <c r="J2156">
        <f t="shared" si="150"/>
        <v>0</v>
      </c>
      <c r="K2156">
        <f t="shared" si="150"/>
        <v>0</v>
      </c>
      <c r="M2156" t="str" cm="1">
        <f t="array" ref="M2156">IFERROR(INDEX($I$2:$K$2,0,MATCH(TRUE,I2156:K2156,0)),E2156)</f>
        <v>CHP New</v>
      </c>
      <c r="O2156" t="str">
        <f t="shared" si="148"/>
        <v>CHP New_2022</v>
      </c>
      <c r="P2156">
        <f t="shared" si="149"/>
        <v>92.621586300000004</v>
      </c>
    </row>
    <row r="2157" spans="4:16" x14ac:dyDescent="0.25">
      <c r="D2157">
        <v>2023</v>
      </c>
      <c r="E2157" t="s">
        <v>227</v>
      </c>
      <c r="F2157" t="s">
        <v>259</v>
      </c>
      <c r="G2157">
        <v>92.621586300000004</v>
      </c>
      <c r="I2157">
        <f t="shared" si="150"/>
        <v>0</v>
      </c>
      <c r="J2157">
        <f t="shared" si="150"/>
        <v>0</v>
      </c>
      <c r="K2157">
        <f t="shared" si="150"/>
        <v>0</v>
      </c>
      <c r="M2157" t="str" cm="1">
        <f t="array" ref="M2157">IFERROR(INDEX($I$2:$K$2,0,MATCH(TRUE,I2157:K2157,0)),E2157)</f>
        <v>CHP New</v>
      </c>
      <c r="O2157" t="str">
        <f t="shared" si="148"/>
        <v>CHP New_2023</v>
      </c>
      <c r="P2157">
        <f t="shared" si="149"/>
        <v>92.621586300000004</v>
      </c>
    </row>
    <row r="2158" spans="4:16" x14ac:dyDescent="0.25">
      <c r="D2158">
        <v>2024</v>
      </c>
      <c r="E2158" t="s">
        <v>227</v>
      </c>
      <c r="F2158" t="s">
        <v>259</v>
      </c>
      <c r="G2158">
        <v>95.149444000000003</v>
      </c>
      <c r="I2158">
        <f t="shared" si="150"/>
        <v>0</v>
      </c>
      <c r="J2158">
        <f t="shared" si="150"/>
        <v>0</v>
      </c>
      <c r="K2158">
        <f t="shared" si="150"/>
        <v>0</v>
      </c>
      <c r="M2158" t="str" cm="1">
        <f t="array" ref="M2158">IFERROR(INDEX($I$2:$K$2,0,MATCH(TRUE,I2158:K2158,0)),E2158)</f>
        <v>CHP New</v>
      </c>
      <c r="O2158" t="str">
        <f t="shared" si="148"/>
        <v>CHP New_2024</v>
      </c>
      <c r="P2158">
        <f t="shared" si="149"/>
        <v>95.149444000000003</v>
      </c>
    </row>
    <row r="2159" spans="4:16" x14ac:dyDescent="0.25">
      <c r="D2159">
        <v>2025</v>
      </c>
      <c r="E2159" t="s">
        <v>227</v>
      </c>
      <c r="F2159" t="s">
        <v>259</v>
      </c>
      <c r="G2159">
        <v>92.621586300000004</v>
      </c>
      <c r="I2159">
        <f t="shared" si="150"/>
        <v>0</v>
      </c>
      <c r="J2159">
        <f t="shared" si="150"/>
        <v>0</v>
      </c>
      <c r="K2159">
        <f t="shared" si="150"/>
        <v>0</v>
      </c>
      <c r="M2159" t="str" cm="1">
        <f t="array" ref="M2159">IFERROR(INDEX($I$2:$K$2,0,MATCH(TRUE,I2159:K2159,0)),E2159)</f>
        <v>CHP New</v>
      </c>
      <c r="O2159" t="str">
        <f t="shared" si="148"/>
        <v>CHP New_2025</v>
      </c>
      <c r="P2159">
        <f t="shared" si="149"/>
        <v>92.621586300000004</v>
      </c>
    </row>
    <row r="2160" spans="4:16" x14ac:dyDescent="0.25">
      <c r="D2160">
        <v>2026</v>
      </c>
      <c r="E2160" t="s">
        <v>227</v>
      </c>
      <c r="F2160" t="s">
        <v>259</v>
      </c>
      <c r="G2160">
        <v>92.621586300000004</v>
      </c>
      <c r="I2160">
        <f t="shared" si="150"/>
        <v>0</v>
      </c>
      <c r="J2160">
        <f t="shared" si="150"/>
        <v>0</v>
      </c>
      <c r="K2160">
        <f t="shared" si="150"/>
        <v>0</v>
      </c>
      <c r="M2160" t="str" cm="1">
        <f t="array" ref="M2160">IFERROR(INDEX($I$2:$K$2,0,MATCH(TRUE,I2160:K2160,0)),E2160)</f>
        <v>CHP New</v>
      </c>
      <c r="O2160" t="str">
        <f t="shared" si="148"/>
        <v>CHP New_2026</v>
      </c>
      <c r="P2160">
        <f t="shared" si="149"/>
        <v>92.621586300000004</v>
      </c>
    </row>
    <row r="2161" spans="4:16" x14ac:dyDescent="0.25">
      <c r="D2161">
        <v>2027</v>
      </c>
      <c r="E2161" t="s">
        <v>227</v>
      </c>
      <c r="F2161" t="s">
        <v>259</v>
      </c>
      <c r="G2161">
        <v>92.621586300000004</v>
      </c>
      <c r="I2161">
        <f t="shared" si="150"/>
        <v>0</v>
      </c>
      <c r="J2161">
        <f t="shared" si="150"/>
        <v>0</v>
      </c>
      <c r="K2161">
        <f t="shared" si="150"/>
        <v>0</v>
      </c>
      <c r="M2161" t="str" cm="1">
        <f t="array" ref="M2161">IFERROR(INDEX($I$2:$K$2,0,MATCH(TRUE,I2161:K2161,0)),E2161)</f>
        <v>CHP New</v>
      </c>
      <c r="O2161" t="str">
        <f t="shared" si="148"/>
        <v>CHP New_2027</v>
      </c>
      <c r="P2161">
        <f t="shared" si="149"/>
        <v>92.621586300000004</v>
      </c>
    </row>
    <row r="2162" spans="4:16" x14ac:dyDescent="0.25">
      <c r="D2162">
        <v>2028</v>
      </c>
      <c r="E2162" t="s">
        <v>227</v>
      </c>
      <c r="F2162" t="s">
        <v>259</v>
      </c>
      <c r="G2162">
        <v>92.621586300000004</v>
      </c>
      <c r="I2162">
        <f t="shared" si="150"/>
        <v>0</v>
      </c>
      <c r="J2162">
        <f t="shared" si="150"/>
        <v>0</v>
      </c>
      <c r="K2162">
        <f t="shared" si="150"/>
        <v>0</v>
      </c>
      <c r="M2162" t="str" cm="1">
        <f t="array" ref="M2162">IFERROR(INDEX($I$2:$K$2,0,MATCH(TRUE,I2162:K2162,0)),E2162)</f>
        <v>CHP New</v>
      </c>
      <c r="O2162" t="str">
        <f t="shared" si="148"/>
        <v>CHP New_2028</v>
      </c>
      <c r="P2162">
        <f t="shared" si="149"/>
        <v>92.621586300000004</v>
      </c>
    </row>
    <row r="2163" spans="4:16" x14ac:dyDescent="0.25">
      <c r="D2163">
        <v>2029</v>
      </c>
      <c r="E2163" t="s">
        <v>227</v>
      </c>
      <c r="F2163" t="s">
        <v>259</v>
      </c>
      <c r="G2163">
        <v>92.621586300000004</v>
      </c>
      <c r="I2163">
        <f t="shared" si="150"/>
        <v>0</v>
      </c>
      <c r="J2163">
        <f t="shared" si="150"/>
        <v>0</v>
      </c>
      <c r="K2163">
        <f t="shared" si="150"/>
        <v>0</v>
      </c>
      <c r="M2163" t="str" cm="1">
        <f t="array" ref="M2163">IFERROR(INDEX($I$2:$K$2,0,MATCH(TRUE,I2163:K2163,0)),E2163)</f>
        <v>CHP New</v>
      </c>
      <c r="O2163" t="str">
        <f t="shared" si="148"/>
        <v>CHP New_2029</v>
      </c>
      <c r="P2163">
        <f t="shared" si="149"/>
        <v>92.621586300000004</v>
      </c>
    </row>
    <row r="2164" spans="4:16" x14ac:dyDescent="0.25">
      <c r="D2164">
        <v>2030</v>
      </c>
      <c r="E2164" t="s">
        <v>227</v>
      </c>
      <c r="F2164" t="s">
        <v>259</v>
      </c>
      <c r="G2164">
        <v>92.621586300000004</v>
      </c>
      <c r="I2164">
        <f t="shared" si="150"/>
        <v>0</v>
      </c>
      <c r="J2164">
        <f t="shared" si="150"/>
        <v>0</v>
      </c>
      <c r="K2164">
        <f t="shared" si="150"/>
        <v>0</v>
      </c>
      <c r="M2164" t="str" cm="1">
        <f t="array" ref="M2164">IFERROR(INDEX($I$2:$K$2,0,MATCH(TRUE,I2164:K2164,0)),E2164)</f>
        <v>CHP New</v>
      </c>
      <c r="O2164" t="str">
        <f t="shared" si="148"/>
        <v>CHP New_2030</v>
      </c>
      <c r="P2164">
        <f t="shared" si="149"/>
        <v>92.621586300000004</v>
      </c>
    </row>
    <row r="2165" spans="4:16" x14ac:dyDescent="0.25">
      <c r="D2165">
        <v>2031</v>
      </c>
      <c r="E2165" t="s">
        <v>227</v>
      </c>
      <c r="F2165" t="s">
        <v>259</v>
      </c>
      <c r="G2165">
        <v>92.621586300000004</v>
      </c>
      <c r="I2165">
        <f t="shared" si="150"/>
        <v>0</v>
      </c>
      <c r="J2165">
        <f t="shared" si="150"/>
        <v>0</v>
      </c>
      <c r="K2165">
        <f t="shared" si="150"/>
        <v>0</v>
      </c>
      <c r="M2165" t="str" cm="1">
        <f t="array" ref="M2165">IFERROR(INDEX($I$2:$K$2,0,MATCH(TRUE,I2165:K2165,0)),E2165)</f>
        <v>CHP New</v>
      </c>
      <c r="O2165" t="str">
        <f t="shared" si="148"/>
        <v>CHP New_2031</v>
      </c>
      <c r="P2165">
        <f t="shared" si="149"/>
        <v>92.621586300000004</v>
      </c>
    </row>
    <row r="2166" spans="4:16" x14ac:dyDescent="0.25">
      <c r="D2166">
        <v>2032</v>
      </c>
      <c r="E2166" t="s">
        <v>227</v>
      </c>
      <c r="F2166" t="s">
        <v>259</v>
      </c>
      <c r="G2166">
        <v>92.621586300000004</v>
      </c>
      <c r="I2166">
        <f t="shared" si="150"/>
        <v>0</v>
      </c>
      <c r="J2166">
        <f t="shared" si="150"/>
        <v>0</v>
      </c>
      <c r="K2166">
        <f t="shared" si="150"/>
        <v>0</v>
      </c>
      <c r="M2166" t="str" cm="1">
        <f t="array" ref="M2166">IFERROR(INDEX($I$2:$K$2,0,MATCH(TRUE,I2166:K2166,0)),E2166)</f>
        <v>CHP New</v>
      </c>
      <c r="O2166" t="str">
        <f t="shared" si="148"/>
        <v>CHP New_2032</v>
      </c>
      <c r="P2166">
        <f t="shared" si="149"/>
        <v>92.621586300000004</v>
      </c>
    </row>
    <row r="2167" spans="4:16" x14ac:dyDescent="0.25">
      <c r="D2167">
        <v>2033</v>
      </c>
      <c r="E2167" t="s">
        <v>227</v>
      </c>
      <c r="F2167" t="s">
        <v>259</v>
      </c>
      <c r="G2167">
        <v>92.621586300000004</v>
      </c>
      <c r="I2167">
        <f t="shared" si="150"/>
        <v>0</v>
      </c>
      <c r="J2167">
        <f t="shared" si="150"/>
        <v>0</v>
      </c>
      <c r="K2167">
        <f t="shared" si="150"/>
        <v>0</v>
      </c>
      <c r="M2167" t="str" cm="1">
        <f t="array" ref="M2167">IFERROR(INDEX($I$2:$K$2,0,MATCH(TRUE,I2167:K2167,0)),E2167)</f>
        <v>CHP New</v>
      </c>
      <c r="O2167" t="str">
        <f t="shared" si="148"/>
        <v>CHP New_2033</v>
      </c>
      <c r="P2167">
        <f t="shared" si="149"/>
        <v>92.621586300000004</v>
      </c>
    </row>
    <row r="2168" spans="4:16" x14ac:dyDescent="0.25">
      <c r="D2168">
        <v>2034</v>
      </c>
      <c r="E2168" t="s">
        <v>227</v>
      </c>
      <c r="F2168" t="s">
        <v>259</v>
      </c>
      <c r="G2168">
        <v>92.621586300000004</v>
      </c>
      <c r="I2168">
        <f t="shared" si="150"/>
        <v>0</v>
      </c>
      <c r="J2168">
        <f t="shared" si="150"/>
        <v>0</v>
      </c>
      <c r="K2168">
        <f t="shared" si="150"/>
        <v>0</v>
      </c>
      <c r="M2168" t="str" cm="1">
        <f t="array" ref="M2168">IFERROR(INDEX($I$2:$K$2,0,MATCH(TRUE,I2168:K2168,0)),E2168)</f>
        <v>CHP New</v>
      </c>
      <c r="O2168" t="str">
        <f t="shared" si="148"/>
        <v>CHP New_2034</v>
      </c>
      <c r="P2168">
        <f t="shared" si="149"/>
        <v>92.621586300000004</v>
      </c>
    </row>
    <row r="2169" spans="4:16" x14ac:dyDescent="0.25">
      <c r="D2169">
        <v>2035</v>
      </c>
      <c r="E2169" t="s">
        <v>227</v>
      </c>
      <c r="F2169" t="s">
        <v>259</v>
      </c>
      <c r="G2169">
        <v>92.621586300000004</v>
      </c>
      <c r="I2169">
        <f t="shared" si="150"/>
        <v>0</v>
      </c>
      <c r="J2169">
        <f t="shared" si="150"/>
        <v>0</v>
      </c>
      <c r="K2169">
        <f t="shared" si="150"/>
        <v>0</v>
      </c>
      <c r="M2169" t="str" cm="1">
        <f t="array" ref="M2169">IFERROR(INDEX($I$2:$K$2,0,MATCH(TRUE,I2169:K2169,0)),E2169)</f>
        <v>CHP New</v>
      </c>
      <c r="O2169" t="str">
        <f t="shared" si="148"/>
        <v>CHP New_2035</v>
      </c>
      <c r="P2169">
        <f t="shared" si="149"/>
        <v>92.621586300000004</v>
      </c>
    </row>
    <row r="2170" spans="4:16" x14ac:dyDescent="0.25">
      <c r="D2170">
        <v>2036</v>
      </c>
      <c r="E2170" t="s">
        <v>227</v>
      </c>
      <c r="F2170" t="s">
        <v>259</v>
      </c>
      <c r="G2170">
        <v>95.149444000000003</v>
      </c>
      <c r="I2170">
        <f t="shared" si="150"/>
        <v>0</v>
      </c>
      <c r="J2170">
        <f t="shared" si="150"/>
        <v>0</v>
      </c>
      <c r="K2170">
        <f t="shared" si="150"/>
        <v>0</v>
      </c>
      <c r="M2170" t="str" cm="1">
        <f t="array" ref="M2170">IFERROR(INDEX($I$2:$K$2,0,MATCH(TRUE,I2170:K2170,0)),E2170)</f>
        <v>CHP New</v>
      </c>
      <c r="O2170" t="str">
        <f t="shared" si="148"/>
        <v>CHP New_2036</v>
      </c>
      <c r="P2170">
        <f t="shared" si="149"/>
        <v>95.149444000000003</v>
      </c>
    </row>
    <row r="2171" spans="4:16" x14ac:dyDescent="0.25">
      <c r="D2171">
        <v>2037</v>
      </c>
      <c r="E2171" t="s">
        <v>227</v>
      </c>
      <c r="F2171" t="s">
        <v>259</v>
      </c>
      <c r="G2171">
        <v>92.621586300000004</v>
      </c>
      <c r="I2171">
        <f t="shared" si="150"/>
        <v>0</v>
      </c>
      <c r="J2171">
        <f t="shared" si="150"/>
        <v>0</v>
      </c>
      <c r="K2171">
        <f t="shared" si="150"/>
        <v>0</v>
      </c>
      <c r="M2171" t="str" cm="1">
        <f t="array" ref="M2171">IFERROR(INDEX($I$2:$K$2,0,MATCH(TRUE,I2171:K2171,0)),E2171)</f>
        <v>CHP New</v>
      </c>
      <c r="O2171" t="str">
        <f t="shared" si="148"/>
        <v>CHP New_2037</v>
      </c>
      <c r="P2171">
        <f t="shared" si="149"/>
        <v>92.621586300000004</v>
      </c>
    </row>
    <row r="2172" spans="4:16" x14ac:dyDescent="0.25">
      <c r="D2172">
        <v>2038</v>
      </c>
      <c r="E2172" t="s">
        <v>227</v>
      </c>
      <c r="F2172" t="s">
        <v>259</v>
      </c>
      <c r="G2172">
        <v>92.621586300000004</v>
      </c>
      <c r="I2172">
        <f t="shared" si="150"/>
        <v>0</v>
      </c>
      <c r="J2172">
        <f t="shared" si="150"/>
        <v>0</v>
      </c>
      <c r="K2172">
        <f t="shared" si="150"/>
        <v>0</v>
      </c>
      <c r="M2172" t="str" cm="1">
        <f t="array" ref="M2172">IFERROR(INDEX($I$2:$K$2,0,MATCH(TRUE,I2172:K2172,0)),E2172)</f>
        <v>CHP New</v>
      </c>
      <c r="O2172" t="str">
        <f t="shared" si="148"/>
        <v>CHP New_2038</v>
      </c>
      <c r="P2172">
        <f t="shared" si="149"/>
        <v>92.621586300000004</v>
      </c>
    </row>
    <row r="2173" spans="4:16" x14ac:dyDescent="0.25">
      <c r="D2173">
        <v>2039</v>
      </c>
      <c r="E2173" t="s">
        <v>227</v>
      </c>
      <c r="F2173" t="s">
        <v>259</v>
      </c>
      <c r="G2173">
        <v>92.621586300000004</v>
      </c>
      <c r="I2173">
        <f t="shared" si="150"/>
        <v>0</v>
      </c>
      <c r="J2173">
        <f t="shared" si="150"/>
        <v>0</v>
      </c>
      <c r="K2173">
        <f t="shared" si="150"/>
        <v>0</v>
      </c>
      <c r="M2173" t="str" cm="1">
        <f t="array" ref="M2173">IFERROR(INDEX($I$2:$K$2,0,MATCH(TRUE,I2173:K2173,0)),E2173)</f>
        <v>CHP New</v>
      </c>
      <c r="O2173" t="str">
        <f t="shared" si="148"/>
        <v>CHP New_2039</v>
      </c>
      <c r="P2173">
        <f t="shared" si="149"/>
        <v>92.621586300000004</v>
      </c>
    </row>
    <row r="2174" spans="4:16" x14ac:dyDescent="0.25">
      <c r="D2174">
        <v>2040</v>
      </c>
      <c r="E2174" t="s">
        <v>227</v>
      </c>
      <c r="F2174" t="s">
        <v>259</v>
      </c>
      <c r="G2174">
        <v>95.149444000000003</v>
      </c>
      <c r="I2174">
        <f t="shared" si="150"/>
        <v>0</v>
      </c>
      <c r="J2174">
        <f t="shared" si="150"/>
        <v>0</v>
      </c>
      <c r="K2174">
        <f t="shared" si="150"/>
        <v>0</v>
      </c>
      <c r="M2174" t="str" cm="1">
        <f t="array" ref="M2174">IFERROR(INDEX($I$2:$K$2,0,MATCH(TRUE,I2174:K2174,0)),E2174)</f>
        <v>CHP New</v>
      </c>
      <c r="O2174" t="str">
        <f t="shared" si="148"/>
        <v>CHP New_2040</v>
      </c>
      <c r="P2174">
        <f t="shared" si="149"/>
        <v>95.149444000000003</v>
      </c>
    </row>
    <row r="2175" spans="4:16" x14ac:dyDescent="0.25">
      <c r="D2175">
        <v>2022</v>
      </c>
      <c r="E2175" t="s">
        <v>227</v>
      </c>
      <c r="F2175" t="s">
        <v>260</v>
      </c>
      <c r="G2175">
        <v>0</v>
      </c>
      <c r="I2175">
        <f t="shared" si="150"/>
        <v>0</v>
      </c>
      <c r="J2175">
        <f t="shared" si="150"/>
        <v>0</v>
      </c>
      <c r="K2175">
        <f t="shared" si="150"/>
        <v>0</v>
      </c>
      <c r="M2175" t="str" cm="1">
        <f t="array" ref="M2175">IFERROR(INDEX($I$2:$K$2,0,MATCH(TRUE,I2175:K2175,0)),E2175)</f>
        <v>CHP New</v>
      </c>
      <c r="O2175" t="str">
        <f t="shared" si="148"/>
        <v>CHP New_2022</v>
      </c>
      <c r="P2175">
        <f t="shared" si="149"/>
        <v>0</v>
      </c>
    </row>
    <row r="2176" spans="4:16" x14ac:dyDescent="0.25">
      <c r="D2176">
        <v>2023</v>
      </c>
      <c r="E2176" t="s">
        <v>227</v>
      </c>
      <c r="F2176" t="s">
        <v>260</v>
      </c>
      <c r="G2176">
        <v>38.90106625</v>
      </c>
      <c r="I2176">
        <f t="shared" si="150"/>
        <v>0</v>
      </c>
      <c r="J2176">
        <f t="shared" si="150"/>
        <v>0</v>
      </c>
      <c r="K2176">
        <f t="shared" si="150"/>
        <v>0</v>
      </c>
      <c r="M2176" t="str" cm="1">
        <f t="array" ref="M2176">IFERROR(INDEX($I$2:$K$2,0,MATCH(TRUE,I2176:K2176,0)),E2176)</f>
        <v>CHP New</v>
      </c>
      <c r="O2176" t="str">
        <f t="shared" si="148"/>
        <v>CHP New_2023</v>
      </c>
      <c r="P2176">
        <f t="shared" si="149"/>
        <v>38.90106625</v>
      </c>
    </row>
    <row r="2177" spans="4:16" x14ac:dyDescent="0.25">
      <c r="D2177">
        <v>2024</v>
      </c>
      <c r="E2177" t="s">
        <v>227</v>
      </c>
      <c r="F2177" t="s">
        <v>260</v>
      </c>
      <c r="G2177">
        <v>39.962766479999999</v>
      </c>
      <c r="I2177">
        <f t="shared" si="150"/>
        <v>0</v>
      </c>
      <c r="J2177">
        <f t="shared" si="150"/>
        <v>0</v>
      </c>
      <c r="K2177">
        <f t="shared" si="150"/>
        <v>0</v>
      </c>
      <c r="M2177" t="str" cm="1">
        <f t="array" ref="M2177">IFERROR(INDEX($I$2:$K$2,0,MATCH(TRUE,I2177:K2177,0)),E2177)</f>
        <v>CHP New</v>
      </c>
      <c r="O2177" t="str">
        <f t="shared" si="148"/>
        <v>CHP New_2024</v>
      </c>
      <c r="P2177">
        <f t="shared" si="149"/>
        <v>39.962766479999999</v>
      </c>
    </row>
    <row r="2178" spans="4:16" x14ac:dyDescent="0.25">
      <c r="D2178">
        <v>2025</v>
      </c>
      <c r="E2178" t="s">
        <v>227</v>
      </c>
      <c r="F2178" t="s">
        <v>260</v>
      </c>
      <c r="G2178">
        <v>38.90106625</v>
      </c>
      <c r="I2178">
        <f t="shared" si="150"/>
        <v>0</v>
      </c>
      <c r="J2178">
        <f t="shared" si="150"/>
        <v>0</v>
      </c>
      <c r="K2178">
        <f t="shared" si="150"/>
        <v>0</v>
      </c>
      <c r="M2178" t="str" cm="1">
        <f t="array" ref="M2178">IFERROR(INDEX($I$2:$K$2,0,MATCH(TRUE,I2178:K2178,0)),E2178)</f>
        <v>CHP New</v>
      </c>
      <c r="O2178" t="str">
        <f t="shared" si="148"/>
        <v>CHP New_2025</v>
      </c>
      <c r="P2178">
        <f t="shared" si="149"/>
        <v>38.90106625</v>
      </c>
    </row>
    <row r="2179" spans="4:16" x14ac:dyDescent="0.25">
      <c r="D2179">
        <v>2026</v>
      </c>
      <c r="E2179" t="s">
        <v>227</v>
      </c>
      <c r="F2179" t="s">
        <v>260</v>
      </c>
      <c r="G2179">
        <v>38.90106625</v>
      </c>
      <c r="I2179">
        <f t="shared" si="150"/>
        <v>0</v>
      </c>
      <c r="J2179">
        <f t="shared" si="150"/>
        <v>0</v>
      </c>
      <c r="K2179">
        <f t="shared" si="150"/>
        <v>0</v>
      </c>
      <c r="M2179" t="str" cm="1">
        <f t="array" ref="M2179">IFERROR(INDEX($I$2:$K$2,0,MATCH(TRUE,I2179:K2179,0)),E2179)</f>
        <v>CHP New</v>
      </c>
      <c r="O2179" t="str">
        <f t="shared" si="148"/>
        <v>CHP New_2026</v>
      </c>
      <c r="P2179">
        <f t="shared" si="149"/>
        <v>38.90106625</v>
      </c>
    </row>
    <row r="2180" spans="4:16" x14ac:dyDescent="0.25">
      <c r="D2180">
        <v>2027</v>
      </c>
      <c r="E2180" t="s">
        <v>227</v>
      </c>
      <c r="F2180" t="s">
        <v>260</v>
      </c>
      <c r="G2180">
        <v>38.90106625</v>
      </c>
      <c r="I2180">
        <f t="shared" si="150"/>
        <v>0</v>
      </c>
      <c r="J2180">
        <f t="shared" si="150"/>
        <v>0</v>
      </c>
      <c r="K2180">
        <f t="shared" si="150"/>
        <v>0</v>
      </c>
      <c r="M2180" t="str" cm="1">
        <f t="array" ref="M2180">IFERROR(INDEX($I$2:$K$2,0,MATCH(TRUE,I2180:K2180,0)),E2180)</f>
        <v>CHP New</v>
      </c>
      <c r="O2180" t="str">
        <f t="shared" si="148"/>
        <v>CHP New_2027</v>
      </c>
      <c r="P2180">
        <f t="shared" si="149"/>
        <v>38.90106625</v>
      </c>
    </row>
    <row r="2181" spans="4:16" x14ac:dyDescent="0.25">
      <c r="D2181">
        <v>2028</v>
      </c>
      <c r="E2181" t="s">
        <v>227</v>
      </c>
      <c r="F2181" t="s">
        <v>260</v>
      </c>
      <c r="G2181">
        <v>38.90106625</v>
      </c>
      <c r="I2181">
        <f t="shared" si="150"/>
        <v>0</v>
      </c>
      <c r="J2181">
        <f t="shared" si="150"/>
        <v>0</v>
      </c>
      <c r="K2181">
        <f t="shared" si="150"/>
        <v>0</v>
      </c>
      <c r="M2181" t="str" cm="1">
        <f t="array" ref="M2181">IFERROR(INDEX($I$2:$K$2,0,MATCH(TRUE,I2181:K2181,0)),E2181)</f>
        <v>CHP New</v>
      </c>
      <c r="O2181" t="str">
        <f t="shared" si="148"/>
        <v>CHP New_2028</v>
      </c>
      <c r="P2181">
        <f t="shared" si="149"/>
        <v>38.90106625</v>
      </c>
    </row>
    <row r="2182" spans="4:16" x14ac:dyDescent="0.25">
      <c r="D2182">
        <v>2029</v>
      </c>
      <c r="E2182" t="s">
        <v>227</v>
      </c>
      <c r="F2182" t="s">
        <v>260</v>
      </c>
      <c r="G2182">
        <v>38.90106625</v>
      </c>
      <c r="I2182">
        <f t="shared" si="150"/>
        <v>0</v>
      </c>
      <c r="J2182">
        <f t="shared" si="150"/>
        <v>0</v>
      </c>
      <c r="K2182">
        <f t="shared" si="150"/>
        <v>0</v>
      </c>
      <c r="M2182" t="str" cm="1">
        <f t="array" ref="M2182">IFERROR(INDEX($I$2:$K$2,0,MATCH(TRUE,I2182:K2182,0)),E2182)</f>
        <v>CHP New</v>
      </c>
      <c r="O2182" t="str">
        <f t="shared" si="148"/>
        <v>CHP New_2029</v>
      </c>
      <c r="P2182">
        <f t="shared" si="149"/>
        <v>38.90106625</v>
      </c>
    </row>
    <row r="2183" spans="4:16" x14ac:dyDescent="0.25">
      <c r="D2183">
        <v>2030</v>
      </c>
      <c r="E2183" t="s">
        <v>227</v>
      </c>
      <c r="F2183" t="s">
        <v>260</v>
      </c>
      <c r="G2183">
        <v>38.90106625</v>
      </c>
      <c r="I2183">
        <f t="shared" si="150"/>
        <v>0</v>
      </c>
      <c r="J2183">
        <f t="shared" si="150"/>
        <v>0</v>
      </c>
      <c r="K2183">
        <f t="shared" si="150"/>
        <v>0</v>
      </c>
      <c r="M2183" t="str" cm="1">
        <f t="array" ref="M2183">IFERROR(INDEX($I$2:$K$2,0,MATCH(TRUE,I2183:K2183,0)),E2183)</f>
        <v>CHP New</v>
      </c>
      <c r="O2183" t="str">
        <f t="shared" si="148"/>
        <v>CHP New_2030</v>
      </c>
      <c r="P2183">
        <f t="shared" si="149"/>
        <v>38.90106625</v>
      </c>
    </row>
    <row r="2184" spans="4:16" x14ac:dyDescent="0.25">
      <c r="D2184">
        <v>2031</v>
      </c>
      <c r="E2184" t="s">
        <v>227</v>
      </c>
      <c r="F2184" t="s">
        <v>260</v>
      </c>
      <c r="G2184">
        <v>38.90106625</v>
      </c>
      <c r="I2184">
        <f t="shared" si="150"/>
        <v>0</v>
      </c>
      <c r="J2184">
        <f t="shared" si="150"/>
        <v>0</v>
      </c>
      <c r="K2184">
        <f t="shared" si="150"/>
        <v>0</v>
      </c>
      <c r="M2184" t="str" cm="1">
        <f t="array" ref="M2184">IFERROR(INDEX($I$2:$K$2,0,MATCH(TRUE,I2184:K2184,0)),E2184)</f>
        <v>CHP New</v>
      </c>
      <c r="O2184" t="str">
        <f t="shared" si="148"/>
        <v>CHP New_2031</v>
      </c>
      <c r="P2184">
        <f t="shared" si="149"/>
        <v>38.90106625</v>
      </c>
    </row>
    <row r="2185" spans="4:16" x14ac:dyDescent="0.25">
      <c r="D2185">
        <v>2032</v>
      </c>
      <c r="E2185" t="s">
        <v>227</v>
      </c>
      <c r="F2185" t="s">
        <v>260</v>
      </c>
      <c r="G2185">
        <v>38.90106625</v>
      </c>
      <c r="I2185">
        <f t="shared" si="150"/>
        <v>0</v>
      </c>
      <c r="J2185">
        <f t="shared" si="150"/>
        <v>0</v>
      </c>
      <c r="K2185">
        <f t="shared" si="150"/>
        <v>0</v>
      </c>
      <c r="M2185" t="str" cm="1">
        <f t="array" ref="M2185">IFERROR(INDEX($I$2:$K$2,0,MATCH(TRUE,I2185:K2185,0)),E2185)</f>
        <v>CHP New</v>
      </c>
      <c r="O2185" t="str">
        <f t="shared" si="148"/>
        <v>CHP New_2032</v>
      </c>
      <c r="P2185">
        <f t="shared" si="149"/>
        <v>38.90106625</v>
      </c>
    </row>
    <row r="2186" spans="4:16" x14ac:dyDescent="0.25">
      <c r="D2186">
        <v>2033</v>
      </c>
      <c r="E2186" t="s">
        <v>227</v>
      </c>
      <c r="F2186" t="s">
        <v>260</v>
      </c>
      <c r="G2186">
        <v>38.90106625</v>
      </c>
      <c r="I2186">
        <f t="shared" si="150"/>
        <v>0</v>
      </c>
      <c r="J2186">
        <f t="shared" si="150"/>
        <v>0</v>
      </c>
      <c r="K2186">
        <f t="shared" si="150"/>
        <v>0</v>
      </c>
      <c r="M2186" t="str" cm="1">
        <f t="array" ref="M2186">IFERROR(INDEX($I$2:$K$2,0,MATCH(TRUE,I2186:K2186,0)),E2186)</f>
        <v>CHP New</v>
      </c>
      <c r="O2186" t="str">
        <f t="shared" si="148"/>
        <v>CHP New_2033</v>
      </c>
      <c r="P2186">
        <f t="shared" si="149"/>
        <v>38.90106625</v>
      </c>
    </row>
    <row r="2187" spans="4:16" x14ac:dyDescent="0.25">
      <c r="D2187">
        <v>2034</v>
      </c>
      <c r="E2187" t="s">
        <v>227</v>
      </c>
      <c r="F2187" t="s">
        <v>260</v>
      </c>
      <c r="G2187">
        <v>38.90106625</v>
      </c>
      <c r="I2187">
        <f t="shared" si="150"/>
        <v>0</v>
      </c>
      <c r="J2187">
        <f t="shared" si="150"/>
        <v>0</v>
      </c>
      <c r="K2187">
        <f t="shared" si="150"/>
        <v>0</v>
      </c>
      <c r="M2187" t="str" cm="1">
        <f t="array" ref="M2187">IFERROR(INDEX($I$2:$K$2,0,MATCH(TRUE,I2187:K2187,0)),E2187)</f>
        <v>CHP New</v>
      </c>
      <c r="O2187" t="str">
        <f t="shared" si="148"/>
        <v>CHP New_2034</v>
      </c>
      <c r="P2187">
        <f t="shared" si="149"/>
        <v>38.90106625</v>
      </c>
    </row>
    <row r="2188" spans="4:16" x14ac:dyDescent="0.25">
      <c r="D2188">
        <v>2035</v>
      </c>
      <c r="E2188" t="s">
        <v>227</v>
      </c>
      <c r="F2188" t="s">
        <v>260</v>
      </c>
      <c r="G2188">
        <v>38.90106625</v>
      </c>
      <c r="I2188">
        <f t="shared" si="150"/>
        <v>0</v>
      </c>
      <c r="J2188">
        <f t="shared" si="150"/>
        <v>0</v>
      </c>
      <c r="K2188">
        <f t="shared" si="150"/>
        <v>0</v>
      </c>
      <c r="M2188" t="str" cm="1">
        <f t="array" ref="M2188">IFERROR(INDEX($I$2:$K$2,0,MATCH(TRUE,I2188:K2188,0)),E2188)</f>
        <v>CHP New</v>
      </c>
      <c r="O2188" t="str">
        <f t="shared" si="148"/>
        <v>CHP New_2035</v>
      </c>
      <c r="P2188">
        <f t="shared" si="149"/>
        <v>38.90106625</v>
      </c>
    </row>
    <row r="2189" spans="4:16" x14ac:dyDescent="0.25">
      <c r="D2189">
        <v>2036</v>
      </c>
      <c r="E2189" t="s">
        <v>227</v>
      </c>
      <c r="F2189" t="s">
        <v>260</v>
      </c>
      <c r="G2189">
        <v>39.962766479999999</v>
      </c>
      <c r="I2189">
        <f t="shared" si="150"/>
        <v>0</v>
      </c>
      <c r="J2189">
        <f t="shared" si="150"/>
        <v>0</v>
      </c>
      <c r="K2189">
        <f t="shared" si="150"/>
        <v>0</v>
      </c>
      <c r="M2189" t="str" cm="1">
        <f t="array" ref="M2189">IFERROR(INDEX($I$2:$K$2,0,MATCH(TRUE,I2189:K2189,0)),E2189)</f>
        <v>CHP New</v>
      </c>
      <c r="O2189" t="str">
        <f t="shared" si="148"/>
        <v>CHP New_2036</v>
      </c>
      <c r="P2189">
        <f t="shared" si="149"/>
        <v>39.962766479999999</v>
      </c>
    </row>
    <row r="2190" spans="4:16" x14ac:dyDescent="0.25">
      <c r="D2190">
        <v>2037</v>
      </c>
      <c r="E2190" t="s">
        <v>227</v>
      </c>
      <c r="F2190" t="s">
        <v>260</v>
      </c>
      <c r="G2190">
        <v>38.90106625</v>
      </c>
      <c r="I2190">
        <f t="shared" si="150"/>
        <v>0</v>
      </c>
      <c r="J2190">
        <f t="shared" si="150"/>
        <v>0</v>
      </c>
      <c r="K2190">
        <f t="shared" si="150"/>
        <v>0</v>
      </c>
      <c r="M2190" t="str" cm="1">
        <f t="array" ref="M2190">IFERROR(INDEX($I$2:$K$2,0,MATCH(TRUE,I2190:K2190,0)),E2190)</f>
        <v>CHP New</v>
      </c>
      <c r="O2190" t="str">
        <f t="shared" si="148"/>
        <v>CHP New_2037</v>
      </c>
      <c r="P2190">
        <f t="shared" si="149"/>
        <v>38.90106625</v>
      </c>
    </row>
    <row r="2191" spans="4:16" x14ac:dyDescent="0.25">
      <c r="D2191">
        <v>2038</v>
      </c>
      <c r="E2191" t="s">
        <v>227</v>
      </c>
      <c r="F2191" t="s">
        <v>260</v>
      </c>
      <c r="G2191">
        <v>38.90106625</v>
      </c>
      <c r="I2191">
        <f t="shared" si="150"/>
        <v>0</v>
      </c>
      <c r="J2191">
        <f t="shared" si="150"/>
        <v>0</v>
      </c>
      <c r="K2191">
        <f t="shared" si="150"/>
        <v>0</v>
      </c>
      <c r="M2191" t="str" cm="1">
        <f t="array" ref="M2191">IFERROR(INDEX($I$2:$K$2,0,MATCH(TRUE,I2191:K2191,0)),E2191)</f>
        <v>CHP New</v>
      </c>
      <c r="O2191" t="str">
        <f t="shared" si="148"/>
        <v>CHP New_2038</v>
      </c>
      <c r="P2191">
        <f t="shared" si="149"/>
        <v>38.90106625</v>
      </c>
    </row>
    <row r="2192" spans="4:16" x14ac:dyDescent="0.25">
      <c r="D2192">
        <v>2039</v>
      </c>
      <c r="E2192" t="s">
        <v>227</v>
      </c>
      <c r="F2192" t="s">
        <v>260</v>
      </c>
      <c r="G2192">
        <v>38.90106625</v>
      </c>
      <c r="I2192">
        <f t="shared" si="150"/>
        <v>0</v>
      </c>
      <c r="J2192">
        <f t="shared" si="150"/>
        <v>0</v>
      </c>
      <c r="K2192">
        <f t="shared" si="150"/>
        <v>0</v>
      </c>
      <c r="M2192" t="str" cm="1">
        <f t="array" ref="M2192">IFERROR(INDEX($I$2:$K$2,0,MATCH(TRUE,I2192:K2192,0)),E2192)</f>
        <v>CHP New</v>
      </c>
      <c r="O2192" t="str">
        <f t="shared" si="148"/>
        <v>CHP New_2039</v>
      </c>
      <c r="P2192">
        <f t="shared" si="149"/>
        <v>38.90106625</v>
      </c>
    </row>
    <row r="2193" spans="4:16" x14ac:dyDescent="0.25">
      <c r="D2193">
        <v>2040</v>
      </c>
      <c r="E2193" t="s">
        <v>227</v>
      </c>
      <c r="F2193" t="s">
        <v>260</v>
      </c>
      <c r="G2193">
        <v>39.962766479999999</v>
      </c>
      <c r="I2193">
        <f t="shared" si="150"/>
        <v>0</v>
      </c>
      <c r="J2193">
        <f t="shared" si="150"/>
        <v>0</v>
      </c>
      <c r="K2193">
        <f t="shared" si="150"/>
        <v>0</v>
      </c>
      <c r="M2193" t="str" cm="1">
        <f t="array" ref="M2193">IFERROR(INDEX($I$2:$K$2,0,MATCH(TRUE,I2193:K2193,0)),E2193)</f>
        <v>CHP New</v>
      </c>
      <c r="O2193" t="str">
        <f t="shared" si="148"/>
        <v>CHP New_2040</v>
      </c>
      <c r="P2193">
        <f t="shared" si="149"/>
        <v>39.962766479999999</v>
      </c>
    </row>
    <row r="2194" spans="4:16" x14ac:dyDescent="0.25">
      <c r="D2194">
        <v>2022</v>
      </c>
      <c r="E2194" t="s">
        <v>227</v>
      </c>
      <c r="F2194" t="s">
        <v>261</v>
      </c>
      <c r="G2194">
        <v>0</v>
      </c>
      <c r="I2194">
        <f t="shared" si="150"/>
        <v>0</v>
      </c>
      <c r="J2194">
        <f t="shared" si="150"/>
        <v>0</v>
      </c>
      <c r="K2194">
        <f t="shared" si="150"/>
        <v>0</v>
      </c>
      <c r="M2194" t="str" cm="1">
        <f t="array" ref="M2194">IFERROR(INDEX($I$2:$K$2,0,MATCH(TRUE,I2194:K2194,0)),E2194)</f>
        <v>CHP New</v>
      </c>
      <c r="O2194" t="str">
        <f t="shared" si="148"/>
        <v>CHP New_2022</v>
      </c>
      <c r="P2194">
        <f t="shared" si="149"/>
        <v>0</v>
      </c>
    </row>
    <row r="2195" spans="4:16" x14ac:dyDescent="0.25">
      <c r="D2195">
        <v>2023</v>
      </c>
      <c r="E2195" t="s">
        <v>227</v>
      </c>
      <c r="F2195" t="s">
        <v>261</v>
      </c>
      <c r="G2195">
        <v>46.310793150000002</v>
      </c>
      <c r="I2195">
        <f t="shared" si="150"/>
        <v>0</v>
      </c>
      <c r="J2195">
        <f t="shared" si="150"/>
        <v>0</v>
      </c>
      <c r="K2195">
        <f t="shared" si="150"/>
        <v>0</v>
      </c>
      <c r="M2195" t="str" cm="1">
        <f t="array" ref="M2195">IFERROR(INDEX($I$2:$K$2,0,MATCH(TRUE,I2195:K2195,0)),E2195)</f>
        <v>CHP New</v>
      </c>
      <c r="O2195" t="str">
        <f t="shared" ref="O2195:O2258" si="151">M2195&amp;"_"&amp;D2195</f>
        <v>CHP New_2023</v>
      </c>
      <c r="P2195">
        <f t="shared" ref="P2195:P2258" si="152">G2195</f>
        <v>46.310793150000002</v>
      </c>
    </row>
    <row r="2196" spans="4:16" x14ac:dyDescent="0.25">
      <c r="D2196">
        <v>2024</v>
      </c>
      <c r="E2196" t="s">
        <v>227</v>
      </c>
      <c r="F2196" t="s">
        <v>261</v>
      </c>
      <c r="G2196">
        <v>47.574722000000001</v>
      </c>
      <c r="I2196">
        <f t="shared" si="150"/>
        <v>0</v>
      </c>
      <c r="J2196">
        <f t="shared" si="150"/>
        <v>0</v>
      </c>
      <c r="K2196">
        <f t="shared" si="150"/>
        <v>0</v>
      </c>
      <c r="M2196" t="str" cm="1">
        <f t="array" ref="M2196">IFERROR(INDEX($I$2:$K$2,0,MATCH(TRUE,I2196:K2196,0)),E2196)</f>
        <v>CHP New</v>
      </c>
      <c r="O2196" t="str">
        <f t="shared" si="151"/>
        <v>CHP New_2024</v>
      </c>
      <c r="P2196">
        <f t="shared" si="152"/>
        <v>47.574722000000001</v>
      </c>
    </row>
    <row r="2197" spans="4:16" x14ac:dyDescent="0.25">
      <c r="D2197">
        <v>2025</v>
      </c>
      <c r="E2197" t="s">
        <v>227</v>
      </c>
      <c r="F2197" t="s">
        <v>261</v>
      </c>
      <c r="G2197">
        <v>46.310793150000002</v>
      </c>
      <c r="I2197">
        <f t="shared" ref="I2197:K2260" si="153">IFERROR(FIND(I$2,$E2197,1)&gt;0,0)</f>
        <v>0</v>
      </c>
      <c r="J2197">
        <f t="shared" si="153"/>
        <v>0</v>
      </c>
      <c r="K2197">
        <f t="shared" si="153"/>
        <v>0</v>
      </c>
      <c r="M2197" t="str" cm="1">
        <f t="array" ref="M2197">IFERROR(INDEX($I$2:$K$2,0,MATCH(TRUE,I2197:K2197,0)),E2197)</f>
        <v>CHP New</v>
      </c>
      <c r="O2197" t="str">
        <f t="shared" si="151"/>
        <v>CHP New_2025</v>
      </c>
      <c r="P2197">
        <f t="shared" si="152"/>
        <v>46.310793150000002</v>
      </c>
    </row>
    <row r="2198" spans="4:16" x14ac:dyDescent="0.25">
      <c r="D2198">
        <v>2026</v>
      </c>
      <c r="E2198" t="s">
        <v>227</v>
      </c>
      <c r="F2198" t="s">
        <v>261</v>
      </c>
      <c r="G2198">
        <v>46.310793150000002</v>
      </c>
      <c r="I2198">
        <f t="shared" si="153"/>
        <v>0</v>
      </c>
      <c r="J2198">
        <f t="shared" si="153"/>
        <v>0</v>
      </c>
      <c r="K2198">
        <f t="shared" si="153"/>
        <v>0</v>
      </c>
      <c r="M2198" t="str" cm="1">
        <f t="array" ref="M2198">IFERROR(INDEX($I$2:$K$2,0,MATCH(TRUE,I2198:K2198,0)),E2198)</f>
        <v>CHP New</v>
      </c>
      <c r="O2198" t="str">
        <f t="shared" si="151"/>
        <v>CHP New_2026</v>
      </c>
      <c r="P2198">
        <f t="shared" si="152"/>
        <v>46.310793150000002</v>
      </c>
    </row>
    <row r="2199" spans="4:16" x14ac:dyDescent="0.25">
      <c r="D2199">
        <v>2027</v>
      </c>
      <c r="E2199" t="s">
        <v>227</v>
      </c>
      <c r="F2199" t="s">
        <v>261</v>
      </c>
      <c r="G2199">
        <v>46.310793150000002</v>
      </c>
      <c r="I2199">
        <f t="shared" si="153"/>
        <v>0</v>
      </c>
      <c r="J2199">
        <f t="shared" si="153"/>
        <v>0</v>
      </c>
      <c r="K2199">
        <f t="shared" si="153"/>
        <v>0</v>
      </c>
      <c r="M2199" t="str" cm="1">
        <f t="array" ref="M2199">IFERROR(INDEX($I$2:$K$2,0,MATCH(TRUE,I2199:K2199,0)),E2199)</f>
        <v>CHP New</v>
      </c>
      <c r="O2199" t="str">
        <f t="shared" si="151"/>
        <v>CHP New_2027</v>
      </c>
      <c r="P2199">
        <f t="shared" si="152"/>
        <v>46.310793150000002</v>
      </c>
    </row>
    <row r="2200" spans="4:16" x14ac:dyDescent="0.25">
      <c r="D2200">
        <v>2028</v>
      </c>
      <c r="E2200" t="s">
        <v>227</v>
      </c>
      <c r="F2200" t="s">
        <v>261</v>
      </c>
      <c r="G2200">
        <v>46.310793150000002</v>
      </c>
      <c r="I2200">
        <f t="shared" si="153"/>
        <v>0</v>
      </c>
      <c r="J2200">
        <f t="shared" si="153"/>
        <v>0</v>
      </c>
      <c r="K2200">
        <f t="shared" si="153"/>
        <v>0</v>
      </c>
      <c r="M2200" t="str" cm="1">
        <f t="array" ref="M2200">IFERROR(INDEX($I$2:$K$2,0,MATCH(TRUE,I2200:K2200,0)),E2200)</f>
        <v>CHP New</v>
      </c>
      <c r="O2200" t="str">
        <f t="shared" si="151"/>
        <v>CHP New_2028</v>
      </c>
      <c r="P2200">
        <f t="shared" si="152"/>
        <v>46.310793150000002</v>
      </c>
    </row>
    <row r="2201" spans="4:16" x14ac:dyDescent="0.25">
      <c r="D2201">
        <v>2029</v>
      </c>
      <c r="E2201" t="s">
        <v>227</v>
      </c>
      <c r="F2201" t="s">
        <v>261</v>
      </c>
      <c r="G2201">
        <v>46.310793150000002</v>
      </c>
      <c r="I2201">
        <f t="shared" si="153"/>
        <v>0</v>
      </c>
      <c r="J2201">
        <f t="shared" si="153"/>
        <v>0</v>
      </c>
      <c r="K2201">
        <f t="shared" si="153"/>
        <v>0</v>
      </c>
      <c r="M2201" t="str" cm="1">
        <f t="array" ref="M2201">IFERROR(INDEX($I$2:$K$2,0,MATCH(TRUE,I2201:K2201,0)),E2201)</f>
        <v>CHP New</v>
      </c>
      <c r="O2201" t="str">
        <f t="shared" si="151"/>
        <v>CHP New_2029</v>
      </c>
      <c r="P2201">
        <f t="shared" si="152"/>
        <v>46.310793150000002</v>
      </c>
    </row>
    <row r="2202" spans="4:16" x14ac:dyDescent="0.25">
      <c r="D2202">
        <v>2030</v>
      </c>
      <c r="E2202" t="s">
        <v>227</v>
      </c>
      <c r="F2202" t="s">
        <v>261</v>
      </c>
      <c r="G2202">
        <v>46.310793150000002</v>
      </c>
      <c r="I2202">
        <f t="shared" si="153"/>
        <v>0</v>
      </c>
      <c r="J2202">
        <f t="shared" si="153"/>
        <v>0</v>
      </c>
      <c r="K2202">
        <f t="shared" si="153"/>
        <v>0</v>
      </c>
      <c r="M2202" t="str" cm="1">
        <f t="array" ref="M2202">IFERROR(INDEX($I$2:$K$2,0,MATCH(TRUE,I2202:K2202,0)),E2202)</f>
        <v>CHP New</v>
      </c>
      <c r="O2202" t="str">
        <f t="shared" si="151"/>
        <v>CHP New_2030</v>
      </c>
      <c r="P2202">
        <f t="shared" si="152"/>
        <v>46.310793150000002</v>
      </c>
    </row>
    <row r="2203" spans="4:16" x14ac:dyDescent="0.25">
      <c r="D2203">
        <v>2031</v>
      </c>
      <c r="E2203" t="s">
        <v>227</v>
      </c>
      <c r="F2203" t="s">
        <v>261</v>
      </c>
      <c r="G2203">
        <v>46.310793150000002</v>
      </c>
      <c r="I2203">
        <f t="shared" si="153"/>
        <v>0</v>
      </c>
      <c r="J2203">
        <f t="shared" si="153"/>
        <v>0</v>
      </c>
      <c r="K2203">
        <f t="shared" si="153"/>
        <v>0</v>
      </c>
      <c r="M2203" t="str" cm="1">
        <f t="array" ref="M2203">IFERROR(INDEX($I$2:$K$2,0,MATCH(TRUE,I2203:K2203,0)),E2203)</f>
        <v>CHP New</v>
      </c>
      <c r="O2203" t="str">
        <f t="shared" si="151"/>
        <v>CHP New_2031</v>
      </c>
      <c r="P2203">
        <f t="shared" si="152"/>
        <v>46.310793150000002</v>
      </c>
    </row>
    <row r="2204" spans="4:16" x14ac:dyDescent="0.25">
      <c r="D2204">
        <v>2032</v>
      </c>
      <c r="E2204" t="s">
        <v>227</v>
      </c>
      <c r="F2204" t="s">
        <v>261</v>
      </c>
      <c r="G2204">
        <v>46.310793150000002</v>
      </c>
      <c r="I2204">
        <f t="shared" si="153"/>
        <v>0</v>
      </c>
      <c r="J2204">
        <f t="shared" si="153"/>
        <v>0</v>
      </c>
      <c r="K2204">
        <f t="shared" si="153"/>
        <v>0</v>
      </c>
      <c r="M2204" t="str" cm="1">
        <f t="array" ref="M2204">IFERROR(INDEX($I$2:$K$2,0,MATCH(TRUE,I2204:K2204,0)),E2204)</f>
        <v>CHP New</v>
      </c>
      <c r="O2204" t="str">
        <f t="shared" si="151"/>
        <v>CHP New_2032</v>
      </c>
      <c r="P2204">
        <f t="shared" si="152"/>
        <v>46.310793150000002</v>
      </c>
    </row>
    <row r="2205" spans="4:16" x14ac:dyDescent="0.25">
      <c r="D2205">
        <v>2033</v>
      </c>
      <c r="E2205" t="s">
        <v>227</v>
      </c>
      <c r="F2205" t="s">
        <v>261</v>
      </c>
      <c r="G2205">
        <v>46.310793150000002</v>
      </c>
      <c r="I2205">
        <f t="shared" si="153"/>
        <v>0</v>
      </c>
      <c r="J2205">
        <f t="shared" si="153"/>
        <v>0</v>
      </c>
      <c r="K2205">
        <f t="shared" si="153"/>
        <v>0</v>
      </c>
      <c r="M2205" t="str" cm="1">
        <f t="array" ref="M2205">IFERROR(INDEX($I$2:$K$2,0,MATCH(TRUE,I2205:K2205,0)),E2205)</f>
        <v>CHP New</v>
      </c>
      <c r="O2205" t="str">
        <f t="shared" si="151"/>
        <v>CHP New_2033</v>
      </c>
      <c r="P2205">
        <f t="shared" si="152"/>
        <v>46.310793150000002</v>
      </c>
    </row>
    <row r="2206" spans="4:16" x14ac:dyDescent="0.25">
      <c r="D2206">
        <v>2034</v>
      </c>
      <c r="E2206" t="s">
        <v>227</v>
      </c>
      <c r="F2206" t="s">
        <v>261</v>
      </c>
      <c r="G2206">
        <v>46.310793150000002</v>
      </c>
      <c r="I2206">
        <f t="shared" si="153"/>
        <v>0</v>
      </c>
      <c r="J2206">
        <f t="shared" si="153"/>
        <v>0</v>
      </c>
      <c r="K2206">
        <f t="shared" si="153"/>
        <v>0</v>
      </c>
      <c r="M2206" t="str" cm="1">
        <f t="array" ref="M2206">IFERROR(INDEX($I$2:$K$2,0,MATCH(TRUE,I2206:K2206,0)),E2206)</f>
        <v>CHP New</v>
      </c>
      <c r="O2206" t="str">
        <f t="shared" si="151"/>
        <v>CHP New_2034</v>
      </c>
      <c r="P2206">
        <f t="shared" si="152"/>
        <v>46.310793150000002</v>
      </c>
    </row>
    <row r="2207" spans="4:16" x14ac:dyDescent="0.25">
      <c r="D2207">
        <v>2035</v>
      </c>
      <c r="E2207" t="s">
        <v>227</v>
      </c>
      <c r="F2207" t="s">
        <v>261</v>
      </c>
      <c r="G2207">
        <v>46.310793150000002</v>
      </c>
      <c r="I2207">
        <f t="shared" si="153"/>
        <v>0</v>
      </c>
      <c r="J2207">
        <f t="shared" si="153"/>
        <v>0</v>
      </c>
      <c r="K2207">
        <f t="shared" si="153"/>
        <v>0</v>
      </c>
      <c r="M2207" t="str" cm="1">
        <f t="array" ref="M2207">IFERROR(INDEX($I$2:$K$2,0,MATCH(TRUE,I2207:K2207,0)),E2207)</f>
        <v>CHP New</v>
      </c>
      <c r="O2207" t="str">
        <f t="shared" si="151"/>
        <v>CHP New_2035</v>
      </c>
      <c r="P2207">
        <f t="shared" si="152"/>
        <v>46.310793150000002</v>
      </c>
    </row>
    <row r="2208" spans="4:16" x14ac:dyDescent="0.25">
      <c r="D2208">
        <v>2036</v>
      </c>
      <c r="E2208" t="s">
        <v>227</v>
      </c>
      <c r="F2208" t="s">
        <v>261</v>
      </c>
      <c r="G2208">
        <v>47.574722000000001</v>
      </c>
      <c r="I2208">
        <f t="shared" si="153"/>
        <v>0</v>
      </c>
      <c r="J2208">
        <f t="shared" si="153"/>
        <v>0</v>
      </c>
      <c r="K2208">
        <f t="shared" si="153"/>
        <v>0</v>
      </c>
      <c r="M2208" t="str" cm="1">
        <f t="array" ref="M2208">IFERROR(INDEX($I$2:$K$2,0,MATCH(TRUE,I2208:K2208,0)),E2208)</f>
        <v>CHP New</v>
      </c>
      <c r="O2208" t="str">
        <f t="shared" si="151"/>
        <v>CHP New_2036</v>
      </c>
      <c r="P2208">
        <f t="shared" si="152"/>
        <v>47.574722000000001</v>
      </c>
    </row>
    <row r="2209" spans="4:16" x14ac:dyDescent="0.25">
      <c r="D2209">
        <v>2037</v>
      </c>
      <c r="E2209" t="s">
        <v>227</v>
      </c>
      <c r="F2209" t="s">
        <v>261</v>
      </c>
      <c r="G2209">
        <v>46.310793150000002</v>
      </c>
      <c r="I2209">
        <f t="shared" si="153"/>
        <v>0</v>
      </c>
      <c r="J2209">
        <f t="shared" si="153"/>
        <v>0</v>
      </c>
      <c r="K2209">
        <f t="shared" si="153"/>
        <v>0</v>
      </c>
      <c r="M2209" t="str" cm="1">
        <f t="array" ref="M2209">IFERROR(INDEX($I$2:$K$2,0,MATCH(TRUE,I2209:K2209,0)),E2209)</f>
        <v>CHP New</v>
      </c>
      <c r="O2209" t="str">
        <f t="shared" si="151"/>
        <v>CHP New_2037</v>
      </c>
      <c r="P2209">
        <f t="shared" si="152"/>
        <v>46.310793150000002</v>
      </c>
    </row>
    <row r="2210" spans="4:16" x14ac:dyDescent="0.25">
      <c r="D2210">
        <v>2038</v>
      </c>
      <c r="E2210" t="s">
        <v>227</v>
      </c>
      <c r="F2210" t="s">
        <v>261</v>
      </c>
      <c r="G2210">
        <v>46.310793150000002</v>
      </c>
      <c r="I2210">
        <f t="shared" si="153"/>
        <v>0</v>
      </c>
      <c r="J2210">
        <f t="shared" si="153"/>
        <v>0</v>
      </c>
      <c r="K2210">
        <f t="shared" si="153"/>
        <v>0</v>
      </c>
      <c r="M2210" t="str" cm="1">
        <f t="array" ref="M2210">IFERROR(INDEX($I$2:$K$2,0,MATCH(TRUE,I2210:K2210,0)),E2210)</f>
        <v>CHP New</v>
      </c>
      <c r="O2210" t="str">
        <f t="shared" si="151"/>
        <v>CHP New_2038</v>
      </c>
      <c r="P2210">
        <f t="shared" si="152"/>
        <v>46.310793150000002</v>
      </c>
    </row>
    <row r="2211" spans="4:16" x14ac:dyDescent="0.25">
      <c r="D2211">
        <v>2039</v>
      </c>
      <c r="E2211" t="s">
        <v>227</v>
      </c>
      <c r="F2211" t="s">
        <v>261</v>
      </c>
      <c r="G2211">
        <v>46.310793150000002</v>
      </c>
      <c r="I2211">
        <f t="shared" si="153"/>
        <v>0</v>
      </c>
      <c r="J2211">
        <f t="shared" si="153"/>
        <v>0</v>
      </c>
      <c r="K2211">
        <f t="shared" si="153"/>
        <v>0</v>
      </c>
      <c r="M2211" t="str" cm="1">
        <f t="array" ref="M2211">IFERROR(INDEX($I$2:$K$2,0,MATCH(TRUE,I2211:K2211,0)),E2211)</f>
        <v>CHP New</v>
      </c>
      <c r="O2211" t="str">
        <f t="shared" si="151"/>
        <v>CHP New_2039</v>
      </c>
      <c r="P2211">
        <f t="shared" si="152"/>
        <v>46.310793150000002</v>
      </c>
    </row>
    <row r="2212" spans="4:16" x14ac:dyDescent="0.25">
      <c r="D2212">
        <v>2040</v>
      </c>
      <c r="E2212" t="s">
        <v>227</v>
      </c>
      <c r="F2212" t="s">
        <v>261</v>
      </c>
      <c r="G2212">
        <v>47.574722000000001</v>
      </c>
      <c r="I2212">
        <f t="shared" si="153"/>
        <v>0</v>
      </c>
      <c r="J2212">
        <f t="shared" si="153"/>
        <v>0</v>
      </c>
      <c r="K2212">
        <f t="shared" si="153"/>
        <v>0</v>
      </c>
      <c r="M2212" t="str" cm="1">
        <f t="array" ref="M2212">IFERROR(INDEX($I$2:$K$2,0,MATCH(TRUE,I2212:K2212,0)),E2212)</f>
        <v>CHP New</v>
      </c>
      <c r="O2212" t="str">
        <f t="shared" si="151"/>
        <v>CHP New_2040</v>
      </c>
      <c r="P2212">
        <f t="shared" si="152"/>
        <v>47.574722000000001</v>
      </c>
    </row>
    <row r="2213" spans="4:16" x14ac:dyDescent="0.25">
      <c r="D2213">
        <v>2021</v>
      </c>
      <c r="E2213" t="s">
        <v>227</v>
      </c>
      <c r="F2213" t="s">
        <v>262</v>
      </c>
      <c r="G2213">
        <v>213.24394934</v>
      </c>
      <c r="I2213">
        <f t="shared" si="153"/>
        <v>0</v>
      </c>
      <c r="J2213">
        <f t="shared" si="153"/>
        <v>0</v>
      </c>
      <c r="K2213">
        <f t="shared" si="153"/>
        <v>0</v>
      </c>
      <c r="M2213" t="str" cm="1">
        <f t="array" ref="M2213">IFERROR(INDEX($I$2:$K$2,0,MATCH(TRUE,I2213:K2213,0)),E2213)</f>
        <v>CHP New</v>
      </c>
      <c r="O2213" t="str">
        <f t="shared" si="151"/>
        <v>CHP New_2021</v>
      </c>
      <c r="P2213">
        <f t="shared" si="152"/>
        <v>213.24394934</v>
      </c>
    </row>
    <row r="2214" spans="4:16" x14ac:dyDescent="0.25">
      <c r="D2214">
        <v>2022</v>
      </c>
      <c r="E2214" t="s">
        <v>227</v>
      </c>
      <c r="F2214" t="s">
        <v>262</v>
      </c>
      <c r="G2214">
        <v>213.24394934</v>
      </c>
      <c r="I2214">
        <f t="shared" si="153"/>
        <v>0</v>
      </c>
      <c r="J2214">
        <f t="shared" si="153"/>
        <v>0</v>
      </c>
      <c r="K2214">
        <f t="shared" si="153"/>
        <v>0</v>
      </c>
      <c r="M2214" t="str" cm="1">
        <f t="array" ref="M2214">IFERROR(INDEX($I$2:$K$2,0,MATCH(TRUE,I2214:K2214,0)),E2214)</f>
        <v>CHP New</v>
      </c>
      <c r="O2214" t="str">
        <f t="shared" si="151"/>
        <v>CHP New_2022</v>
      </c>
      <c r="P2214">
        <f t="shared" si="152"/>
        <v>213.24394934</v>
      </c>
    </row>
    <row r="2215" spans="4:16" x14ac:dyDescent="0.25">
      <c r="D2215">
        <v>2023</v>
      </c>
      <c r="E2215" t="s">
        <v>227</v>
      </c>
      <c r="F2215" t="s">
        <v>262</v>
      </c>
      <c r="G2215">
        <v>213.24394934</v>
      </c>
      <c r="I2215">
        <f t="shared" si="153"/>
        <v>0</v>
      </c>
      <c r="J2215">
        <f t="shared" si="153"/>
        <v>0</v>
      </c>
      <c r="K2215">
        <f t="shared" si="153"/>
        <v>0</v>
      </c>
      <c r="M2215" t="str" cm="1">
        <f t="array" ref="M2215">IFERROR(INDEX($I$2:$K$2,0,MATCH(TRUE,I2215:K2215,0)),E2215)</f>
        <v>CHP New</v>
      </c>
      <c r="O2215" t="str">
        <f t="shared" si="151"/>
        <v>CHP New_2023</v>
      </c>
      <c r="P2215">
        <f t="shared" si="152"/>
        <v>213.24394934</v>
      </c>
    </row>
    <row r="2216" spans="4:16" x14ac:dyDescent="0.25">
      <c r="D2216">
        <v>2024</v>
      </c>
      <c r="E2216" t="s">
        <v>227</v>
      </c>
      <c r="F2216" t="s">
        <v>262</v>
      </c>
      <c r="G2216">
        <v>220.04535177</v>
      </c>
      <c r="I2216">
        <f t="shared" si="153"/>
        <v>0</v>
      </c>
      <c r="J2216">
        <f t="shared" si="153"/>
        <v>0</v>
      </c>
      <c r="K2216">
        <f t="shared" si="153"/>
        <v>0</v>
      </c>
      <c r="M2216" t="str" cm="1">
        <f t="array" ref="M2216">IFERROR(INDEX($I$2:$K$2,0,MATCH(TRUE,I2216:K2216,0)),E2216)</f>
        <v>CHP New</v>
      </c>
      <c r="O2216" t="str">
        <f t="shared" si="151"/>
        <v>CHP New_2024</v>
      </c>
      <c r="P2216">
        <f t="shared" si="152"/>
        <v>220.04535177</v>
      </c>
    </row>
    <row r="2217" spans="4:16" x14ac:dyDescent="0.25">
      <c r="D2217">
        <v>2025</v>
      </c>
      <c r="E2217" t="s">
        <v>227</v>
      </c>
      <c r="F2217" t="s">
        <v>262</v>
      </c>
      <c r="G2217">
        <v>213.24394934</v>
      </c>
      <c r="I2217">
        <f t="shared" si="153"/>
        <v>0</v>
      </c>
      <c r="J2217">
        <f t="shared" si="153"/>
        <v>0</v>
      </c>
      <c r="K2217">
        <f t="shared" si="153"/>
        <v>0</v>
      </c>
      <c r="M2217" t="str" cm="1">
        <f t="array" ref="M2217">IFERROR(INDEX($I$2:$K$2,0,MATCH(TRUE,I2217:K2217,0)),E2217)</f>
        <v>CHP New</v>
      </c>
      <c r="O2217" t="str">
        <f t="shared" si="151"/>
        <v>CHP New_2025</v>
      </c>
      <c r="P2217">
        <f t="shared" si="152"/>
        <v>213.24394934</v>
      </c>
    </row>
    <row r="2218" spans="4:16" x14ac:dyDescent="0.25">
      <c r="D2218">
        <v>2026</v>
      </c>
      <c r="E2218" t="s">
        <v>227</v>
      </c>
      <c r="F2218" t="s">
        <v>262</v>
      </c>
      <c r="G2218">
        <v>213.24394934</v>
      </c>
      <c r="I2218">
        <f t="shared" si="153"/>
        <v>0</v>
      </c>
      <c r="J2218">
        <f t="shared" si="153"/>
        <v>0</v>
      </c>
      <c r="K2218">
        <f t="shared" si="153"/>
        <v>0</v>
      </c>
      <c r="M2218" t="str" cm="1">
        <f t="array" ref="M2218">IFERROR(INDEX($I$2:$K$2,0,MATCH(TRUE,I2218:K2218,0)),E2218)</f>
        <v>CHP New</v>
      </c>
      <c r="O2218" t="str">
        <f t="shared" si="151"/>
        <v>CHP New_2026</v>
      </c>
      <c r="P2218">
        <f t="shared" si="152"/>
        <v>213.24394934</v>
      </c>
    </row>
    <row r="2219" spans="4:16" x14ac:dyDescent="0.25">
      <c r="D2219">
        <v>2027</v>
      </c>
      <c r="E2219" t="s">
        <v>227</v>
      </c>
      <c r="F2219" t="s">
        <v>262</v>
      </c>
      <c r="G2219">
        <v>213.24394934</v>
      </c>
      <c r="I2219">
        <f t="shared" si="153"/>
        <v>0</v>
      </c>
      <c r="J2219">
        <f t="shared" si="153"/>
        <v>0</v>
      </c>
      <c r="K2219">
        <f t="shared" si="153"/>
        <v>0</v>
      </c>
      <c r="M2219" t="str" cm="1">
        <f t="array" ref="M2219">IFERROR(INDEX($I$2:$K$2,0,MATCH(TRUE,I2219:K2219,0)),E2219)</f>
        <v>CHP New</v>
      </c>
      <c r="O2219" t="str">
        <f t="shared" si="151"/>
        <v>CHP New_2027</v>
      </c>
      <c r="P2219">
        <f t="shared" si="152"/>
        <v>213.24394934</v>
      </c>
    </row>
    <row r="2220" spans="4:16" x14ac:dyDescent="0.25">
      <c r="D2220">
        <v>2028</v>
      </c>
      <c r="E2220" t="s">
        <v>227</v>
      </c>
      <c r="F2220" t="s">
        <v>262</v>
      </c>
      <c r="G2220">
        <v>213.24394934</v>
      </c>
      <c r="I2220">
        <f t="shared" si="153"/>
        <v>0</v>
      </c>
      <c r="J2220">
        <f t="shared" si="153"/>
        <v>0</v>
      </c>
      <c r="K2220">
        <f t="shared" si="153"/>
        <v>0</v>
      </c>
      <c r="M2220" t="str" cm="1">
        <f t="array" ref="M2220">IFERROR(INDEX($I$2:$K$2,0,MATCH(TRUE,I2220:K2220,0)),E2220)</f>
        <v>CHP New</v>
      </c>
      <c r="O2220" t="str">
        <f t="shared" si="151"/>
        <v>CHP New_2028</v>
      </c>
      <c r="P2220">
        <f t="shared" si="152"/>
        <v>213.24394934</v>
      </c>
    </row>
    <row r="2221" spans="4:16" x14ac:dyDescent="0.25">
      <c r="D2221">
        <v>2029</v>
      </c>
      <c r="E2221" t="s">
        <v>227</v>
      </c>
      <c r="F2221" t="s">
        <v>262</v>
      </c>
      <c r="G2221">
        <v>213.24394934</v>
      </c>
      <c r="I2221">
        <f t="shared" si="153"/>
        <v>0</v>
      </c>
      <c r="J2221">
        <f t="shared" si="153"/>
        <v>0</v>
      </c>
      <c r="K2221">
        <f t="shared" si="153"/>
        <v>0</v>
      </c>
      <c r="M2221" t="str" cm="1">
        <f t="array" ref="M2221">IFERROR(INDEX($I$2:$K$2,0,MATCH(TRUE,I2221:K2221,0)),E2221)</f>
        <v>CHP New</v>
      </c>
      <c r="O2221" t="str">
        <f t="shared" si="151"/>
        <v>CHP New_2029</v>
      </c>
      <c r="P2221">
        <f t="shared" si="152"/>
        <v>213.24394934</v>
      </c>
    </row>
    <row r="2222" spans="4:16" x14ac:dyDescent="0.25">
      <c r="D2222">
        <v>2030</v>
      </c>
      <c r="E2222" t="s">
        <v>227</v>
      </c>
      <c r="F2222" t="s">
        <v>262</v>
      </c>
      <c r="G2222">
        <v>213.24394934</v>
      </c>
      <c r="I2222">
        <f t="shared" si="153"/>
        <v>0</v>
      </c>
      <c r="J2222">
        <f t="shared" si="153"/>
        <v>0</v>
      </c>
      <c r="K2222">
        <f t="shared" si="153"/>
        <v>0</v>
      </c>
      <c r="M2222" t="str" cm="1">
        <f t="array" ref="M2222">IFERROR(INDEX($I$2:$K$2,0,MATCH(TRUE,I2222:K2222,0)),E2222)</f>
        <v>CHP New</v>
      </c>
      <c r="O2222" t="str">
        <f t="shared" si="151"/>
        <v>CHP New_2030</v>
      </c>
      <c r="P2222">
        <f t="shared" si="152"/>
        <v>213.24394934</v>
      </c>
    </row>
    <row r="2223" spans="4:16" x14ac:dyDescent="0.25">
      <c r="D2223">
        <v>2031</v>
      </c>
      <c r="E2223" t="s">
        <v>227</v>
      </c>
      <c r="F2223" t="s">
        <v>262</v>
      </c>
      <c r="G2223">
        <v>213.24394934</v>
      </c>
      <c r="I2223">
        <f t="shared" si="153"/>
        <v>0</v>
      </c>
      <c r="J2223">
        <f t="shared" si="153"/>
        <v>0</v>
      </c>
      <c r="K2223">
        <f t="shared" si="153"/>
        <v>0</v>
      </c>
      <c r="M2223" t="str" cm="1">
        <f t="array" ref="M2223">IFERROR(INDEX($I$2:$K$2,0,MATCH(TRUE,I2223:K2223,0)),E2223)</f>
        <v>CHP New</v>
      </c>
      <c r="O2223" t="str">
        <f t="shared" si="151"/>
        <v>CHP New_2031</v>
      </c>
      <c r="P2223">
        <f t="shared" si="152"/>
        <v>213.24394934</v>
      </c>
    </row>
    <row r="2224" spans="4:16" x14ac:dyDescent="0.25">
      <c r="D2224">
        <v>2032</v>
      </c>
      <c r="E2224" t="s">
        <v>227</v>
      </c>
      <c r="F2224" t="s">
        <v>262</v>
      </c>
      <c r="G2224">
        <v>213.24394934</v>
      </c>
      <c r="I2224">
        <f t="shared" si="153"/>
        <v>0</v>
      </c>
      <c r="J2224">
        <f t="shared" si="153"/>
        <v>0</v>
      </c>
      <c r="K2224">
        <f t="shared" si="153"/>
        <v>0</v>
      </c>
      <c r="M2224" t="str" cm="1">
        <f t="array" ref="M2224">IFERROR(INDEX($I$2:$K$2,0,MATCH(TRUE,I2224:K2224,0)),E2224)</f>
        <v>CHP New</v>
      </c>
      <c r="O2224" t="str">
        <f t="shared" si="151"/>
        <v>CHP New_2032</v>
      </c>
      <c r="P2224">
        <f t="shared" si="152"/>
        <v>213.24394934</v>
      </c>
    </row>
    <row r="2225" spans="4:16" x14ac:dyDescent="0.25">
      <c r="D2225">
        <v>2033</v>
      </c>
      <c r="E2225" t="s">
        <v>227</v>
      </c>
      <c r="F2225" t="s">
        <v>262</v>
      </c>
      <c r="G2225">
        <v>213.24394934</v>
      </c>
      <c r="I2225">
        <f t="shared" si="153"/>
        <v>0</v>
      </c>
      <c r="J2225">
        <f t="shared" si="153"/>
        <v>0</v>
      </c>
      <c r="K2225">
        <f t="shared" si="153"/>
        <v>0</v>
      </c>
      <c r="M2225" t="str" cm="1">
        <f t="array" ref="M2225">IFERROR(INDEX($I$2:$K$2,0,MATCH(TRUE,I2225:K2225,0)),E2225)</f>
        <v>CHP New</v>
      </c>
      <c r="O2225" t="str">
        <f t="shared" si="151"/>
        <v>CHP New_2033</v>
      </c>
      <c r="P2225">
        <f t="shared" si="152"/>
        <v>213.24394934</v>
      </c>
    </row>
    <row r="2226" spans="4:16" x14ac:dyDescent="0.25">
      <c r="D2226">
        <v>2034</v>
      </c>
      <c r="E2226" t="s">
        <v>227</v>
      </c>
      <c r="F2226" t="s">
        <v>262</v>
      </c>
      <c r="G2226">
        <v>213.24394934</v>
      </c>
      <c r="I2226">
        <f t="shared" si="153"/>
        <v>0</v>
      </c>
      <c r="J2226">
        <f t="shared" si="153"/>
        <v>0</v>
      </c>
      <c r="K2226">
        <f t="shared" si="153"/>
        <v>0</v>
      </c>
      <c r="M2226" t="str" cm="1">
        <f t="array" ref="M2226">IFERROR(INDEX($I$2:$K$2,0,MATCH(TRUE,I2226:K2226,0)),E2226)</f>
        <v>CHP New</v>
      </c>
      <c r="O2226" t="str">
        <f t="shared" si="151"/>
        <v>CHP New_2034</v>
      </c>
      <c r="P2226">
        <f t="shared" si="152"/>
        <v>213.24394934</v>
      </c>
    </row>
    <row r="2227" spans="4:16" x14ac:dyDescent="0.25">
      <c r="D2227">
        <v>2035</v>
      </c>
      <c r="E2227" t="s">
        <v>227</v>
      </c>
      <c r="F2227" t="s">
        <v>262</v>
      </c>
      <c r="G2227">
        <v>213.24394934</v>
      </c>
      <c r="I2227">
        <f t="shared" si="153"/>
        <v>0</v>
      </c>
      <c r="J2227">
        <f t="shared" si="153"/>
        <v>0</v>
      </c>
      <c r="K2227">
        <f t="shared" si="153"/>
        <v>0</v>
      </c>
      <c r="M2227" t="str" cm="1">
        <f t="array" ref="M2227">IFERROR(INDEX($I$2:$K$2,0,MATCH(TRUE,I2227:K2227,0)),E2227)</f>
        <v>CHP New</v>
      </c>
      <c r="O2227" t="str">
        <f t="shared" si="151"/>
        <v>CHP New_2035</v>
      </c>
      <c r="P2227">
        <f t="shared" si="152"/>
        <v>213.24394934</v>
      </c>
    </row>
    <row r="2228" spans="4:16" x14ac:dyDescent="0.25">
      <c r="D2228">
        <v>2036</v>
      </c>
      <c r="E2228" t="s">
        <v>227</v>
      </c>
      <c r="F2228" t="s">
        <v>262</v>
      </c>
      <c r="G2228">
        <v>220.04535177</v>
      </c>
      <c r="I2228">
        <f t="shared" si="153"/>
        <v>0</v>
      </c>
      <c r="J2228">
        <f t="shared" si="153"/>
        <v>0</v>
      </c>
      <c r="K2228">
        <f t="shared" si="153"/>
        <v>0</v>
      </c>
      <c r="M2228" t="str" cm="1">
        <f t="array" ref="M2228">IFERROR(INDEX($I$2:$K$2,0,MATCH(TRUE,I2228:K2228,0)),E2228)</f>
        <v>CHP New</v>
      </c>
      <c r="O2228" t="str">
        <f t="shared" si="151"/>
        <v>CHP New_2036</v>
      </c>
      <c r="P2228">
        <f t="shared" si="152"/>
        <v>220.04535177</v>
      </c>
    </row>
    <row r="2229" spans="4:16" x14ac:dyDescent="0.25">
      <c r="D2229">
        <v>2037</v>
      </c>
      <c r="E2229" t="s">
        <v>227</v>
      </c>
      <c r="F2229" t="s">
        <v>262</v>
      </c>
      <c r="G2229">
        <v>213.24394934</v>
      </c>
      <c r="I2229">
        <f t="shared" si="153"/>
        <v>0</v>
      </c>
      <c r="J2229">
        <f t="shared" si="153"/>
        <v>0</v>
      </c>
      <c r="K2229">
        <f t="shared" si="153"/>
        <v>0</v>
      </c>
      <c r="M2229" t="str" cm="1">
        <f t="array" ref="M2229">IFERROR(INDEX($I$2:$K$2,0,MATCH(TRUE,I2229:K2229,0)),E2229)</f>
        <v>CHP New</v>
      </c>
      <c r="O2229" t="str">
        <f t="shared" si="151"/>
        <v>CHP New_2037</v>
      </c>
      <c r="P2229">
        <f t="shared" si="152"/>
        <v>213.24394934</v>
      </c>
    </row>
    <row r="2230" spans="4:16" x14ac:dyDescent="0.25">
      <c r="D2230">
        <v>2038</v>
      </c>
      <c r="E2230" t="s">
        <v>227</v>
      </c>
      <c r="F2230" t="s">
        <v>262</v>
      </c>
      <c r="G2230">
        <v>213.24394934</v>
      </c>
      <c r="I2230">
        <f t="shared" si="153"/>
        <v>0</v>
      </c>
      <c r="J2230">
        <f t="shared" si="153"/>
        <v>0</v>
      </c>
      <c r="K2230">
        <f t="shared" si="153"/>
        <v>0</v>
      </c>
      <c r="M2230" t="str" cm="1">
        <f t="array" ref="M2230">IFERROR(INDEX($I$2:$K$2,0,MATCH(TRUE,I2230:K2230,0)),E2230)</f>
        <v>CHP New</v>
      </c>
      <c r="O2230" t="str">
        <f t="shared" si="151"/>
        <v>CHP New_2038</v>
      </c>
      <c r="P2230">
        <f t="shared" si="152"/>
        <v>213.24394934</v>
      </c>
    </row>
    <row r="2231" spans="4:16" x14ac:dyDescent="0.25">
      <c r="D2231">
        <v>2039</v>
      </c>
      <c r="E2231" t="s">
        <v>227</v>
      </c>
      <c r="F2231" t="s">
        <v>262</v>
      </c>
      <c r="G2231">
        <v>213.24394934</v>
      </c>
      <c r="I2231">
        <f t="shared" si="153"/>
        <v>0</v>
      </c>
      <c r="J2231">
        <f t="shared" si="153"/>
        <v>0</v>
      </c>
      <c r="K2231">
        <f t="shared" si="153"/>
        <v>0</v>
      </c>
      <c r="M2231" t="str" cm="1">
        <f t="array" ref="M2231">IFERROR(INDEX($I$2:$K$2,0,MATCH(TRUE,I2231:K2231,0)),E2231)</f>
        <v>CHP New</v>
      </c>
      <c r="O2231" t="str">
        <f t="shared" si="151"/>
        <v>CHP New_2039</v>
      </c>
      <c r="P2231">
        <f t="shared" si="152"/>
        <v>213.24394934</v>
      </c>
    </row>
    <row r="2232" spans="4:16" x14ac:dyDescent="0.25">
      <c r="D2232">
        <v>2040</v>
      </c>
      <c r="E2232" t="s">
        <v>227</v>
      </c>
      <c r="F2232" t="s">
        <v>262</v>
      </c>
      <c r="G2232">
        <v>220.04535177</v>
      </c>
      <c r="I2232">
        <f t="shared" si="153"/>
        <v>0</v>
      </c>
      <c r="J2232">
        <f t="shared" si="153"/>
        <v>0</v>
      </c>
      <c r="K2232">
        <f t="shared" si="153"/>
        <v>0</v>
      </c>
      <c r="M2232" t="str" cm="1">
        <f t="array" ref="M2232">IFERROR(INDEX($I$2:$K$2,0,MATCH(TRUE,I2232:K2232,0)),E2232)</f>
        <v>CHP New</v>
      </c>
      <c r="O2232" t="str">
        <f t="shared" si="151"/>
        <v>CHP New_2040</v>
      </c>
      <c r="P2232">
        <f t="shared" si="152"/>
        <v>220.04535177</v>
      </c>
    </row>
    <row r="2233" spans="4:16" x14ac:dyDescent="0.25">
      <c r="D2233">
        <v>2021</v>
      </c>
      <c r="E2233" t="s">
        <v>227</v>
      </c>
      <c r="F2233" t="s">
        <v>263</v>
      </c>
      <c r="G2233">
        <v>0</v>
      </c>
      <c r="I2233">
        <f t="shared" si="153"/>
        <v>0</v>
      </c>
      <c r="J2233">
        <f t="shared" si="153"/>
        <v>0</v>
      </c>
      <c r="K2233">
        <f t="shared" si="153"/>
        <v>0</v>
      </c>
      <c r="M2233" t="str" cm="1">
        <f t="array" ref="M2233">IFERROR(INDEX($I$2:$K$2,0,MATCH(TRUE,I2233:K2233,0)),E2233)</f>
        <v>CHP New</v>
      </c>
      <c r="O2233" t="str">
        <f t="shared" si="151"/>
        <v>CHP New_2021</v>
      </c>
      <c r="P2233">
        <f t="shared" si="152"/>
        <v>0</v>
      </c>
    </row>
    <row r="2234" spans="4:16" x14ac:dyDescent="0.25">
      <c r="D2234">
        <v>2022</v>
      </c>
      <c r="E2234" t="s">
        <v>227</v>
      </c>
      <c r="F2234" t="s">
        <v>263</v>
      </c>
      <c r="G2234">
        <v>117.96473793</v>
      </c>
      <c r="I2234">
        <f t="shared" si="153"/>
        <v>0</v>
      </c>
      <c r="J2234">
        <f t="shared" si="153"/>
        <v>0</v>
      </c>
      <c r="K2234">
        <f t="shared" si="153"/>
        <v>0</v>
      </c>
      <c r="M2234" t="str" cm="1">
        <f t="array" ref="M2234">IFERROR(INDEX($I$2:$K$2,0,MATCH(TRUE,I2234:K2234,0)),E2234)</f>
        <v>CHP New</v>
      </c>
      <c r="O2234" t="str">
        <f t="shared" si="151"/>
        <v>CHP New_2022</v>
      </c>
      <c r="P2234">
        <f t="shared" si="152"/>
        <v>117.96473793</v>
      </c>
    </row>
    <row r="2235" spans="4:16" x14ac:dyDescent="0.25">
      <c r="D2235">
        <v>2023</v>
      </c>
      <c r="E2235" t="s">
        <v>227</v>
      </c>
      <c r="F2235" t="s">
        <v>263</v>
      </c>
      <c r="G2235">
        <v>117.96473793</v>
      </c>
      <c r="I2235">
        <f t="shared" si="153"/>
        <v>0</v>
      </c>
      <c r="J2235">
        <f t="shared" si="153"/>
        <v>0</v>
      </c>
      <c r="K2235">
        <f t="shared" si="153"/>
        <v>0</v>
      </c>
      <c r="M2235" t="str" cm="1">
        <f t="array" ref="M2235">IFERROR(INDEX($I$2:$K$2,0,MATCH(TRUE,I2235:K2235,0)),E2235)</f>
        <v>CHP New</v>
      </c>
      <c r="O2235" t="str">
        <f t="shared" si="151"/>
        <v>CHP New_2023</v>
      </c>
      <c r="P2235">
        <f t="shared" si="152"/>
        <v>117.96473793</v>
      </c>
    </row>
    <row r="2236" spans="4:16" x14ac:dyDescent="0.25">
      <c r="D2236">
        <v>2024</v>
      </c>
      <c r="E2236" t="s">
        <v>227</v>
      </c>
      <c r="F2236" t="s">
        <v>263</v>
      </c>
      <c r="G2236">
        <v>121.72721586999999</v>
      </c>
      <c r="I2236">
        <f t="shared" si="153"/>
        <v>0</v>
      </c>
      <c r="J2236">
        <f t="shared" si="153"/>
        <v>0</v>
      </c>
      <c r="K2236">
        <f t="shared" si="153"/>
        <v>0</v>
      </c>
      <c r="M2236" t="str" cm="1">
        <f t="array" ref="M2236">IFERROR(INDEX($I$2:$K$2,0,MATCH(TRUE,I2236:K2236,0)),E2236)</f>
        <v>CHP New</v>
      </c>
      <c r="O2236" t="str">
        <f t="shared" si="151"/>
        <v>CHP New_2024</v>
      </c>
      <c r="P2236">
        <f t="shared" si="152"/>
        <v>121.72721586999999</v>
      </c>
    </row>
    <row r="2237" spans="4:16" x14ac:dyDescent="0.25">
      <c r="D2237">
        <v>2025</v>
      </c>
      <c r="E2237" t="s">
        <v>227</v>
      </c>
      <c r="F2237" t="s">
        <v>263</v>
      </c>
      <c r="G2237">
        <v>117.96473793</v>
      </c>
      <c r="I2237">
        <f t="shared" si="153"/>
        <v>0</v>
      </c>
      <c r="J2237">
        <f t="shared" si="153"/>
        <v>0</v>
      </c>
      <c r="K2237">
        <f t="shared" si="153"/>
        <v>0</v>
      </c>
      <c r="M2237" t="str" cm="1">
        <f t="array" ref="M2237">IFERROR(INDEX($I$2:$K$2,0,MATCH(TRUE,I2237:K2237,0)),E2237)</f>
        <v>CHP New</v>
      </c>
      <c r="O2237" t="str">
        <f t="shared" si="151"/>
        <v>CHP New_2025</v>
      </c>
      <c r="P2237">
        <f t="shared" si="152"/>
        <v>117.96473793</v>
      </c>
    </row>
    <row r="2238" spans="4:16" x14ac:dyDescent="0.25">
      <c r="D2238">
        <v>2026</v>
      </c>
      <c r="E2238" t="s">
        <v>227</v>
      </c>
      <c r="F2238" t="s">
        <v>263</v>
      </c>
      <c r="G2238">
        <v>117.96473793</v>
      </c>
      <c r="I2238">
        <f t="shared" si="153"/>
        <v>0</v>
      </c>
      <c r="J2238">
        <f t="shared" si="153"/>
        <v>0</v>
      </c>
      <c r="K2238">
        <f t="shared" si="153"/>
        <v>0</v>
      </c>
      <c r="M2238" t="str" cm="1">
        <f t="array" ref="M2238">IFERROR(INDEX($I$2:$K$2,0,MATCH(TRUE,I2238:K2238,0)),E2238)</f>
        <v>CHP New</v>
      </c>
      <c r="O2238" t="str">
        <f t="shared" si="151"/>
        <v>CHP New_2026</v>
      </c>
      <c r="P2238">
        <f t="shared" si="152"/>
        <v>117.96473793</v>
      </c>
    </row>
    <row r="2239" spans="4:16" x14ac:dyDescent="0.25">
      <c r="D2239">
        <v>2027</v>
      </c>
      <c r="E2239" t="s">
        <v>227</v>
      </c>
      <c r="F2239" t="s">
        <v>263</v>
      </c>
      <c r="G2239">
        <v>117.96473793</v>
      </c>
      <c r="I2239">
        <f t="shared" si="153"/>
        <v>0</v>
      </c>
      <c r="J2239">
        <f t="shared" si="153"/>
        <v>0</v>
      </c>
      <c r="K2239">
        <f t="shared" si="153"/>
        <v>0</v>
      </c>
      <c r="M2239" t="str" cm="1">
        <f t="array" ref="M2239">IFERROR(INDEX($I$2:$K$2,0,MATCH(TRUE,I2239:K2239,0)),E2239)</f>
        <v>CHP New</v>
      </c>
      <c r="O2239" t="str">
        <f t="shared" si="151"/>
        <v>CHP New_2027</v>
      </c>
      <c r="P2239">
        <f t="shared" si="152"/>
        <v>117.96473793</v>
      </c>
    </row>
    <row r="2240" spans="4:16" x14ac:dyDescent="0.25">
      <c r="D2240">
        <v>2028</v>
      </c>
      <c r="E2240" t="s">
        <v>227</v>
      </c>
      <c r="F2240" t="s">
        <v>263</v>
      </c>
      <c r="G2240">
        <v>117.96473793</v>
      </c>
      <c r="I2240">
        <f t="shared" si="153"/>
        <v>0</v>
      </c>
      <c r="J2240">
        <f t="shared" si="153"/>
        <v>0</v>
      </c>
      <c r="K2240">
        <f t="shared" si="153"/>
        <v>0</v>
      </c>
      <c r="M2240" t="str" cm="1">
        <f t="array" ref="M2240">IFERROR(INDEX($I$2:$K$2,0,MATCH(TRUE,I2240:K2240,0)),E2240)</f>
        <v>CHP New</v>
      </c>
      <c r="O2240" t="str">
        <f t="shared" si="151"/>
        <v>CHP New_2028</v>
      </c>
      <c r="P2240">
        <f t="shared" si="152"/>
        <v>117.96473793</v>
      </c>
    </row>
    <row r="2241" spans="4:16" x14ac:dyDescent="0.25">
      <c r="D2241">
        <v>2029</v>
      </c>
      <c r="E2241" t="s">
        <v>227</v>
      </c>
      <c r="F2241" t="s">
        <v>263</v>
      </c>
      <c r="G2241">
        <v>117.96473793</v>
      </c>
      <c r="I2241">
        <f t="shared" si="153"/>
        <v>0</v>
      </c>
      <c r="J2241">
        <f t="shared" si="153"/>
        <v>0</v>
      </c>
      <c r="K2241">
        <f t="shared" si="153"/>
        <v>0</v>
      </c>
      <c r="M2241" t="str" cm="1">
        <f t="array" ref="M2241">IFERROR(INDEX($I$2:$K$2,0,MATCH(TRUE,I2241:K2241,0)),E2241)</f>
        <v>CHP New</v>
      </c>
      <c r="O2241" t="str">
        <f t="shared" si="151"/>
        <v>CHP New_2029</v>
      </c>
      <c r="P2241">
        <f t="shared" si="152"/>
        <v>117.96473793</v>
      </c>
    </row>
    <row r="2242" spans="4:16" x14ac:dyDescent="0.25">
      <c r="D2242">
        <v>2030</v>
      </c>
      <c r="E2242" t="s">
        <v>227</v>
      </c>
      <c r="F2242" t="s">
        <v>263</v>
      </c>
      <c r="G2242">
        <v>117.96473793</v>
      </c>
      <c r="I2242">
        <f t="shared" si="153"/>
        <v>0</v>
      </c>
      <c r="J2242">
        <f t="shared" si="153"/>
        <v>0</v>
      </c>
      <c r="K2242">
        <f t="shared" si="153"/>
        <v>0</v>
      </c>
      <c r="M2242" t="str" cm="1">
        <f t="array" ref="M2242">IFERROR(INDEX($I$2:$K$2,0,MATCH(TRUE,I2242:K2242,0)),E2242)</f>
        <v>CHP New</v>
      </c>
      <c r="O2242" t="str">
        <f t="shared" si="151"/>
        <v>CHP New_2030</v>
      </c>
      <c r="P2242">
        <f t="shared" si="152"/>
        <v>117.96473793</v>
      </c>
    </row>
    <row r="2243" spans="4:16" x14ac:dyDescent="0.25">
      <c r="D2243">
        <v>2031</v>
      </c>
      <c r="E2243" t="s">
        <v>227</v>
      </c>
      <c r="F2243" t="s">
        <v>263</v>
      </c>
      <c r="G2243">
        <v>117.96473793</v>
      </c>
      <c r="I2243">
        <f t="shared" si="153"/>
        <v>0</v>
      </c>
      <c r="J2243">
        <f t="shared" si="153"/>
        <v>0</v>
      </c>
      <c r="K2243">
        <f t="shared" si="153"/>
        <v>0</v>
      </c>
      <c r="M2243" t="str" cm="1">
        <f t="array" ref="M2243">IFERROR(INDEX($I$2:$K$2,0,MATCH(TRUE,I2243:K2243,0)),E2243)</f>
        <v>CHP New</v>
      </c>
      <c r="O2243" t="str">
        <f t="shared" si="151"/>
        <v>CHP New_2031</v>
      </c>
      <c r="P2243">
        <f t="shared" si="152"/>
        <v>117.96473793</v>
      </c>
    </row>
    <row r="2244" spans="4:16" x14ac:dyDescent="0.25">
      <c r="D2244">
        <v>2032</v>
      </c>
      <c r="E2244" t="s">
        <v>227</v>
      </c>
      <c r="F2244" t="s">
        <v>263</v>
      </c>
      <c r="G2244">
        <v>117.96473793</v>
      </c>
      <c r="I2244">
        <f t="shared" si="153"/>
        <v>0</v>
      </c>
      <c r="J2244">
        <f t="shared" si="153"/>
        <v>0</v>
      </c>
      <c r="K2244">
        <f t="shared" si="153"/>
        <v>0</v>
      </c>
      <c r="M2244" t="str" cm="1">
        <f t="array" ref="M2244">IFERROR(INDEX($I$2:$K$2,0,MATCH(TRUE,I2244:K2244,0)),E2244)</f>
        <v>CHP New</v>
      </c>
      <c r="O2244" t="str">
        <f t="shared" si="151"/>
        <v>CHP New_2032</v>
      </c>
      <c r="P2244">
        <f t="shared" si="152"/>
        <v>117.96473793</v>
      </c>
    </row>
    <row r="2245" spans="4:16" x14ac:dyDescent="0.25">
      <c r="D2245">
        <v>2033</v>
      </c>
      <c r="E2245" t="s">
        <v>227</v>
      </c>
      <c r="F2245" t="s">
        <v>263</v>
      </c>
      <c r="G2245">
        <v>117.96473793</v>
      </c>
      <c r="I2245">
        <f t="shared" si="153"/>
        <v>0</v>
      </c>
      <c r="J2245">
        <f t="shared" si="153"/>
        <v>0</v>
      </c>
      <c r="K2245">
        <f t="shared" si="153"/>
        <v>0</v>
      </c>
      <c r="M2245" t="str" cm="1">
        <f t="array" ref="M2245">IFERROR(INDEX($I$2:$K$2,0,MATCH(TRUE,I2245:K2245,0)),E2245)</f>
        <v>CHP New</v>
      </c>
      <c r="O2245" t="str">
        <f t="shared" si="151"/>
        <v>CHP New_2033</v>
      </c>
      <c r="P2245">
        <f t="shared" si="152"/>
        <v>117.96473793</v>
      </c>
    </row>
    <row r="2246" spans="4:16" x14ac:dyDescent="0.25">
      <c r="D2246">
        <v>2034</v>
      </c>
      <c r="E2246" t="s">
        <v>227</v>
      </c>
      <c r="F2246" t="s">
        <v>263</v>
      </c>
      <c r="G2246">
        <v>117.96473793</v>
      </c>
      <c r="I2246">
        <f t="shared" si="153"/>
        <v>0</v>
      </c>
      <c r="J2246">
        <f t="shared" si="153"/>
        <v>0</v>
      </c>
      <c r="K2246">
        <f t="shared" si="153"/>
        <v>0</v>
      </c>
      <c r="M2246" t="str" cm="1">
        <f t="array" ref="M2246">IFERROR(INDEX($I$2:$K$2,0,MATCH(TRUE,I2246:K2246,0)),E2246)</f>
        <v>CHP New</v>
      </c>
      <c r="O2246" t="str">
        <f t="shared" si="151"/>
        <v>CHP New_2034</v>
      </c>
      <c r="P2246">
        <f t="shared" si="152"/>
        <v>117.96473793</v>
      </c>
    </row>
    <row r="2247" spans="4:16" x14ac:dyDescent="0.25">
      <c r="D2247">
        <v>2035</v>
      </c>
      <c r="E2247" t="s">
        <v>227</v>
      </c>
      <c r="F2247" t="s">
        <v>263</v>
      </c>
      <c r="G2247">
        <v>117.96473793</v>
      </c>
      <c r="I2247">
        <f t="shared" si="153"/>
        <v>0</v>
      </c>
      <c r="J2247">
        <f t="shared" si="153"/>
        <v>0</v>
      </c>
      <c r="K2247">
        <f t="shared" si="153"/>
        <v>0</v>
      </c>
      <c r="M2247" t="str" cm="1">
        <f t="array" ref="M2247">IFERROR(INDEX($I$2:$K$2,0,MATCH(TRUE,I2247:K2247,0)),E2247)</f>
        <v>CHP New</v>
      </c>
      <c r="O2247" t="str">
        <f t="shared" si="151"/>
        <v>CHP New_2035</v>
      </c>
      <c r="P2247">
        <f t="shared" si="152"/>
        <v>117.96473793</v>
      </c>
    </row>
    <row r="2248" spans="4:16" x14ac:dyDescent="0.25">
      <c r="D2248">
        <v>2036</v>
      </c>
      <c r="E2248" t="s">
        <v>227</v>
      </c>
      <c r="F2248" t="s">
        <v>263</v>
      </c>
      <c r="G2248">
        <v>121.72721586999999</v>
      </c>
      <c r="I2248">
        <f t="shared" si="153"/>
        <v>0</v>
      </c>
      <c r="J2248">
        <f t="shared" si="153"/>
        <v>0</v>
      </c>
      <c r="K2248">
        <f t="shared" si="153"/>
        <v>0</v>
      </c>
      <c r="M2248" t="str" cm="1">
        <f t="array" ref="M2248">IFERROR(INDEX($I$2:$K$2,0,MATCH(TRUE,I2248:K2248,0)),E2248)</f>
        <v>CHP New</v>
      </c>
      <c r="O2248" t="str">
        <f t="shared" si="151"/>
        <v>CHP New_2036</v>
      </c>
      <c r="P2248">
        <f t="shared" si="152"/>
        <v>121.72721586999999</v>
      </c>
    </row>
    <row r="2249" spans="4:16" x14ac:dyDescent="0.25">
      <c r="D2249">
        <v>2037</v>
      </c>
      <c r="E2249" t="s">
        <v>227</v>
      </c>
      <c r="F2249" t="s">
        <v>263</v>
      </c>
      <c r="G2249">
        <v>117.96473793</v>
      </c>
      <c r="I2249">
        <f t="shared" si="153"/>
        <v>0</v>
      </c>
      <c r="J2249">
        <f t="shared" si="153"/>
        <v>0</v>
      </c>
      <c r="K2249">
        <f t="shared" si="153"/>
        <v>0</v>
      </c>
      <c r="M2249" t="str" cm="1">
        <f t="array" ref="M2249">IFERROR(INDEX($I$2:$K$2,0,MATCH(TRUE,I2249:K2249,0)),E2249)</f>
        <v>CHP New</v>
      </c>
      <c r="O2249" t="str">
        <f t="shared" si="151"/>
        <v>CHP New_2037</v>
      </c>
      <c r="P2249">
        <f t="shared" si="152"/>
        <v>117.96473793</v>
      </c>
    </row>
    <row r="2250" spans="4:16" x14ac:dyDescent="0.25">
      <c r="D2250">
        <v>2038</v>
      </c>
      <c r="E2250" t="s">
        <v>227</v>
      </c>
      <c r="F2250" t="s">
        <v>263</v>
      </c>
      <c r="G2250">
        <v>117.96473793</v>
      </c>
      <c r="I2250">
        <f t="shared" si="153"/>
        <v>0</v>
      </c>
      <c r="J2250">
        <f t="shared" si="153"/>
        <v>0</v>
      </c>
      <c r="K2250">
        <f t="shared" si="153"/>
        <v>0</v>
      </c>
      <c r="M2250" t="str" cm="1">
        <f t="array" ref="M2250">IFERROR(INDEX($I$2:$K$2,0,MATCH(TRUE,I2250:K2250,0)),E2250)</f>
        <v>CHP New</v>
      </c>
      <c r="O2250" t="str">
        <f t="shared" si="151"/>
        <v>CHP New_2038</v>
      </c>
      <c r="P2250">
        <f t="shared" si="152"/>
        <v>117.96473793</v>
      </c>
    </row>
    <row r="2251" spans="4:16" x14ac:dyDescent="0.25">
      <c r="D2251">
        <v>2039</v>
      </c>
      <c r="E2251" t="s">
        <v>227</v>
      </c>
      <c r="F2251" t="s">
        <v>263</v>
      </c>
      <c r="G2251">
        <v>117.96473793</v>
      </c>
      <c r="I2251">
        <f t="shared" si="153"/>
        <v>0</v>
      </c>
      <c r="J2251">
        <f t="shared" si="153"/>
        <v>0</v>
      </c>
      <c r="K2251">
        <f t="shared" si="153"/>
        <v>0</v>
      </c>
      <c r="M2251" t="str" cm="1">
        <f t="array" ref="M2251">IFERROR(INDEX($I$2:$K$2,0,MATCH(TRUE,I2251:K2251,0)),E2251)</f>
        <v>CHP New</v>
      </c>
      <c r="O2251" t="str">
        <f t="shared" si="151"/>
        <v>CHP New_2039</v>
      </c>
      <c r="P2251">
        <f t="shared" si="152"/>
        <v>117.96473793</v>
      </c>
    </row>
    <row r="2252" spans="4:16" x14ac:dyDescent="0.25">
      <c r="D2252">
        <v>2040</v>
      </c>
      <c r="E2252" t="s">
        <v>227</v>
      </c>
      <c r="F2252" t="s">
        <v>263</v>
      </c>
      <c r="G2252">
        <v>121.72721586999999</v>
      </c>
      <c r="I2252">
        <f t="shared" si="153"/>
        <v>0</v>
      </c>
      <c r="J2252">
        <f t="shared" si="153"/>
        <v>0</v>
      </c>
      <c r="K2252">
        <f t="shared" si="153"/>
        <v>0</v>
      </c>
      <c r="M2252" t="str" cm="1">
        <f t="array" ref="M2252">IFERROR(INDEX($I$2:$K$2,0,MATCH(TRUE,I2252:K2252,0)),E2252)</f>
        <v>CHP New</v>
      </c>
      <c r="O2252" t="str">
        <f t="shared" si="151"/>
        <v>CHP New_2040</v>
      </c>
      <c r="P2252">
        <f t="shared" si="152"/>
        <v>121.72721586999999</v>
      </c>
    </row>
    <row r="2253" spans="4:16" x14ac:dyDescent="0.25">
      <c r="D2253">
        <v>2025</v>
      </c>
      <c r="E2253" t="s">
        <v>227</v>
      </c>
      <c r="F2253" t="s">
        <v>264</v>
      </c>
      <c r="G2253">
        <v>0</v>
      </c>
      <c r="I2253">
        <f t="shared" si="153"/>
        <v>0</v>
      </c>
      <c r="J2253">
        <f t="shared" si="153"/>
        <v>0</v>
      </c>
      <c r="K2253">
        <f t="shared" si="153"/>
        <v>0</v>
      </c>
      <c r="M2253" t="str" cm="1">
        <f t="array" ref="M2253">IFERROR(INDEX($I$2:$K$2,0,MATCH(TRUE,I2253:K2253,0)),E2253)</f>
        <v>CHP New</v>
      </c>
      <c r="O2253" t="str">
        <f t="shared" si="151"/>
        <v>CHP New_2025</v>
      </c>
      <c r="P2253">
        <f t="shared" si="152"/>
        <v>0</v>
      </c>
    </row>
    <row r="2254" spans="4:16" x14ac:dyDescent="0.25">
      <c r="D2254">
        <v>2026</v>
      </c>
      <c r="E2254" t="s">
        <v>227</v>
      </c>
      <c r="F2254" t="s">
        <v>264</v>
      </c>
      <c r="G2254">
        <v>54.646735919999998</v>
      </c>
      <c r="I2254">
        <f t="shared" si="153"/>
        <v>0</v>
      </c>
      <c r="J2254">
        <f t="shared" si="153"/>
        <v>0</v>
      </c>
      <c r="K2254">
        <f t="shared" si="153"/>
        <v>0</v>
      </c>
      <c r="M2254" t="str" cm="1">
        <f t="array" ref="M2254">IFERROR(INDEX($I$2:$K$2,0,MATCH(TRUE,I2254:K2254,0)),E2254)</f>
        <v>CHP New</v>
      </c>
      <c r="O2254" t="str">
        <f t="shared" si="151"/>
        <v>CHP New_2026</v>
      </c>
      <c r="P2254">
        <f t="shared" si="152"/>
        <v>54.646735919999998</v>
      </c>
    </row>
    <row r="2255" spans="4:16" x14ac:dyDescent="0.25">
      <c r="D2255">
        <v>2027</v>
      </c>
      <c r="E2255" t="s">
        <v>227</v>
      </c>
      <c r="F2255" t="s">
        <v>264</v>
      </c>
      <c r="G2255">
        <v>54.646735919999998</v>
      </c>
      <c r="I2255">
        <f t="shared" si="153"/>
        <v>0</v>
      </c>
      <c r="J2255">
        <f t="shared" si="153"/>
        <v>0</v>
      </c>
      <c r="K2255">
        <f t="shared" si="153"/>
        <v>0</v>
      </c>
      <c r="M2255" t="str" cm="1">
        <f t="array" ref="M2255">IFERROR(INDEX($I$2:$K$2,0,MATCH(TRUE,I2255:K2255,0)),E2255)</f>
        <v>CHP New</v>
      </c>
      <c r="O2255" t="str">
        <f t="shared" si="151"/>
        <v>CHP New_2027</v>
      </c>
      <c r="P2255">
        <f t="shared" si="152"/>
        <v>54.646735919999998</v>
      </c>
    </row>
    <row r="2256" spans="4:16" x14ac:dyDescent="0.25">
      <c r="D2256">
        <v>2028</v>
      </c>
      <c r="E2256" t="s">
        <v>227</v>
      </c>
      <c r="F2256" t="s">
        <v>264</v>
      </c>
      <c r="G2256">
        <v>54.646735919999998</v>
      </c>
      <c r="I2256">
        <f t="shared" si="153"/>
        <v>0</v>
      </c>
      <c r="J2256">
        <f t="shared" si="153"/>
        <v>0</v>
      </c>
      <c r="K2256">
        <f t="shared" si="153"/>
        <v>0</v>
      </c>
      <c r="M2256" t="str" cm="1">
        <f t="array" ref="M2256">IFERROR(INDEX($I$2:$K$2,0,MATCH(TRUE,I2256:K2256,0)),E2256)</f>
        <v>CHP New</v>
      </c>
      <c r="O2256" t="str">
        <f t="shared" si="151"/>
        <v>CHP New_2028</v>
      </c>
      <c r="P2256">
        <f t="shared" si="152"/>
        <v>54.646735919999998</v>
      </c>
    </row>
    <row r="2257" spans="4:16" x14ac:dyDescent="0.25">
      <c r="D2257">
        <v>2029</v>
      </c>
      <c r="E2257" t="s">
        <v>227</v>
      </c>
      <c r="F2257" t="s">
        <v>264</v>
      </c>
      <c r="G2257">
        <v>54.646735919999998</v>
      </c>
      <c r="I2257">
        <f t="shared" si="153"/>
        <v>0</v>
      </c>
      <c r="J2257">
        <f t="shared" si="153"/>
        <v>0</v>
      </c>
      <c r="K2257">
        <f t="shared" si="153"/>
        <v>0</v>
      </c>
      <c r="M2257" t="str" cm="1">
        <f t="array" ref="M2257">IFERROR(INDEX($I$2:$K$2,0,MATCH(TRUE,I2257:K2257,0)),E2257)</f>
        <v>CHP New</v>
      </c>
      <c r="O2257" t="str">
        <f t="shared" si="151"/>
        <v>CHP New_2029</v>
      </c>
      <c r="P2257">
        <f t="shared" si="152"/>
        <v>54.646735919999998</v>
      </c>
    </row>
    <row r="2258" spans="4:16" x14ac:dyDescent="0.25">
      <c r="D2258">
        <v>2030</v>
      </c>
      <c r="E2258" t="s">
        <v>227</v>
      </c>
      <c r="F2258" t="s">
        <v>264</v>
      </c>
      <c r="G2258">
        <v>54.646735919999998</v>
      </c>
      <c r="I2258">
        <f t="shared" si="153"/>
        <v>0</v>
      </c>
      <c r="J2258">
        <f t="shared" si="153"/>
        <v>0</v>
      </c>
      <c r="K2258">
        <f t="shared" si="153"/>
        <v>0</v>
      </c>
      <c r="M2258" t="str" cm="1">
        <f t="array" ref="M2258">IFERROR(INDEX($I$2:$K$2,0,MATCH(TRUE,I2258:K2258,0)),E2258)</f>
        <v>CHP New</v>
      </c>
      <c r="O2258" t="str">
        <f t="shared" si="151"/>
        <v>CHP New_2030</v>
      </c>
      <c r="P2258">
        <f t="shared" si="152"/>
        <v>54.646735919999998</v>
      </c>
    </row>
    <row r="2259" spans="4:16" x14ac:dyDescent="0.25">
      <c r="D2259">
        <v>2031</v>
      </c>
      <c r="E2259" t="s">
        <v>227</v>
      </c>
      <c r="F2259" t="s">
        <v>264</v>
      </c>
      <c r="G2259">
        <v>54.646735919999998</v>
      </c>
      <c r="I2259">
        <f t="shared" si="153"/>
        <v>0</v>
      </c>
      <c r="J2259">
        <f t="shared" si="153"/>
        <v>0</v>
      </c>
      <c r="K2259">
        <f t="shared" si="153"/>
        <v>0</v>
      </c>
      <c r="M2259" t="str" cm="1">
        <f t="array" ref="M2259">IFERROR(INDEX($I$2:$K$2,0,MATCH(TRUE,I2259:K2259,0)),E2259)</f>
        <v>CHP New</v>
      </c>
      <c r="O2259" t="str">
        <f t="shared" ref="O2259:O2322" si="154">M2259&amp;"_"&amp;D2259</f>
        <v>CHP New_2031</v>
      </c>
      <c r="P2259">
        <f t="shared" ref="P2259:P2322" si="155">G2259</f>
        <v>54.646735919999998</v>
      </c>
    </row>
    <row r="2260" spans="4:16" x14ac:dyDescent="0.25">
      <c r="D2260">
        <v>2032</v>
      </c>
      <c r="E2260" t="s">
        <v>227</v>
      </c>
      <c r="F2260" t="s">
        <v>264</v>
      </c>
      <c r="G2260">
        <v>54.646735919999998</v>
      </c>
      <c r="I2260">
        <f t="shared" si="153"/>
        <v>0</v>
      </c>
      <c r="J2260">
        <f t="shared" si="153"/>
        <v>0</v>
      </c>
      <c r="K2260">
        <f t="shared" si="153"/>
        <v>0</v>
      </c>
      <c r="M2260" t="str" cm="1">
        <f t="array" ref="M2260">IFERROR(INDEX($I$2:$K$2,0,MATCH(TRUE,I2260:K2260,0)),E2260)</f>
        <v>CHP New</v>
      </c>
      <c r="O2260" t="str">
        <f t="shared" si="154"/>
        <v>CHP New_2032</v>
      </c>
      <c r="P2260">
        <f t="shared" si="155"/>
        <v>54.646735919999998</v>
      </c>
    </row>
    <row r="2261" spans="4:16" x14ac:dyDescent="0.25">
      <c r="D2261">
        <v>2033</v>
      </c>
      <c r="E2261" t="s">
        <v>227</v>
      </c>
      <c r="F2261" t="s">
        <v>264</v>
      </c>
      <c r="G2261">
        <v>54.646735919999998</v>
      </c>
      <c r="I2261">
        <f t="shared" ref="I2261:K2324" si="156">IFERROR(FIND(I$2,$E2261,1)&gt;0,0)</f>
        <v>0</v>
      </c>
      <c r="J2261">
        <f t="shared" si="156"/>
        <v>0</v>
      </c>
      <c r="K2261">
        <f t="shared" si="156"/>
        <v>0</v>
      </c>
      <c r="M2261" t="str" cm="1">
        <f t="array" ref="M2261">IFERROR(INDEX($I$2:$K$2,0,MATCH(TRUE,I2261:K2261,0)),E2261)</f>
        <v>CHP New</v>
      </c>
      <c r="O2261" t="str">
        <f t="shared" si="154"/>
        <v>CHP New_2033</v>
      </c>
      <c r="P2261">
        <f t="shared" si="155"/>
        <v>54.646735919999998</v>
      </c>
    </row>
    <row r="2262" spans="4:16" x14ac:dyDescent="0.25">
      <c r="D2262">
        <v>2034</v>
      </c>
      <c r="E2262" t="s">
        <v>227</v>
      </c>
      <c r="F2262" t="s">
        <v>264</v>
      </c>
      <c r="G2262">
        <v>54.646735919999998</v>
      </c>
      <c r="I2262">
        <f t="shared" si="156"/>
        <v>0</v>
      </c>
      <c r="J2262">
        <f t="shared" si="156"/>
        <v>0</v>
      </c>
      <c r="K2262">
        <f t="shared" si="156"/>
        <v>0</v>
      </c>
      <c r="M2262" t="str" cm="1">
        <f t="array" ref="M2262">IFERROR(INDEX($I$2:$K$2,0,MATCH(TRUE,I2262:K2262,0)),E2262)</f>
        <v>CHP New</v>
      </c>
      <c r="O2262" t="str">
        <f t="shared" si="154"/>
        <v>CHP New_2034</v>
      </c>
      <c r="P2262">
        <f t="shared" si="155"/>
        <v>54.646735919999998</v>
      </c>
    </row>
    <row r="2263" spans="4:16" x14ac:dyDescent="0.25">
      <c r="D2263">
        <v>2035</v>
      </c>
      <c r="E2263" t="s">
        <v>227</v>
      </c>
      <c r="F2263" t="s">
        <v>264</v>
      </c>
      <c r="G2263">
        <v>54.646735919999998</v>
      </c>
      <c r="I2263">
        <f t="shared" si="156"/>
        <v>0</v>
      </c>
      <c r="J2263">
        <f t="shared" si="156"/>
        <v>0</v>
      </c>
      <c r="K2263">
        <f t="shared" si="156"/>
        <v>0</v>
      </c>
      <c r="M2263" t="str" cm="1">
        <f t="array" ref="M2263">IFERROR(INDEX($I$2:$K$2,0,MATCH(TRUE,I2263:K2263,0)),E2263)</f>
        <v>CHP New</v>
      </c>
      <c r="O2263" t="str">
        <f t="shared" si="154"/>
        <v>CHP New_2035</v>
      </c>
      <c r="P2263">
        <f t="shared" si="155"/>
        <v>54.646735919999998</v>
      </c>
    </row>
    <row r="2264" spans="4:16" x14ac:dyDescent="0.25">
      <c r="D2264">
        <v>2036</v>
      </c>
      <c r="E2264" t="s">
        <v>227</v>
      </c>
      <c r="F2264" t="s">
        <v>264</v>
      </c>
      <c r="G2264">
        <v>56.138171960000001</v>
      </c>
      <c r="I2264">
        <f t="shared" si="156"/>
        <v>0</v>
      </c>
      <c r="J2264">
        <f t="shared" si="156"/>
        <v>0</v>
      </c>
      <c r="K2264">
        <f t="shared" si="156"/>
        <v>0</v>
      </c>
      <c r="M2264" t="str" cm="1">
        <f t="array" ref="M2264">IFERROR(INDEX($I$2:$K$2,0,MATCH(TRUE,I2264:K2264,0)),E2264)</f>
        <v>CHP New</v>
      </c>
      <c r="O2264" t="str">
        <f t="shared" si="154"/>
        <v>CHP New_2036</v>
      </c>
      <c r="P2264">
        <f t="shared" si="155"/>
        <v>56.138171960000001</v>
      </c>
    </row>
    <row r="2265" spans="4:16" x14ac:dyDescent="0.25">
      <c r="D2265">
        <v>2037</v>
      </c>
      <c r="E2265" t="s">
        <v>227</v>
      </c>
      <c r="F2265" t="s">
        <v>264</v>
      </c>
      <c r="G2265">
        <v>54.646735919999998</v>
      </c>
      <c r="I2265">
        <f t="shared" si="156"/>
        <v>0</v>
      </c>
      <c r="J2265">
        <f t="shared" si="156"/>
        <v>0</v>
      </c>
      <c r="K2265">
        <f t="shared" si="156"/>
        <v>0</v>
      </c>
      <c r="M2265" t="str" cm="1">
        <f t="array" ref="M2265">IFERROR(INDEX($I$2:$K$2,0,MATCH(TRUE,I2265:K2265,0)),E2265)</f>
        <v>CHP New</v>
      </c>
      <c r="O2265" t="str">
        <f t="shared" si="154"/>
        <v>CHP New_2037</v>
      </c>
      <c r="P2265">
        <f t="shared" si="155"/>
        <v>54.646735919999998</v>
      </c>
    </row>
    <row r="2266" spans="4:16" x14ac:dyDescent="0.25">
      <c r="D2266">
        <v>2038</v>
      </c>
      <c r="E2266" t="s">
        <v>227</v>
      </c>
      <c r="F2266" t="s">
        <v>264</v>
      </c>
      <c r="G2266">
        <v>54.646735919999998</v>
      </c>
      <c r="I2266">
        <f t="shared" si="156"/>
        <v>0</v>
      </c>
      <c r="J2266">
        <f t="shared" si="156"/>
        <v>0</v>
      </c>
      <c r="K2266">
        <f t="shared" si="156"/>
        <v>0</v>
      </c>
      <c r="M2266" t="str" cm="1">
        <f t="array" ref="M2266">IFERROR(INDEX($I$2:$K$2,0,MATCH(TRUE,I2266:K2266,0)),E2266)</f>
        <v>CHP New</v>
      </c>
      <c r="O2266" t="str">
        <f t="shared" si="154"/>
        <v>CHP New_2038</v>
      </c>
      <c r="P2266">
        <f t="shared" si="155"/>
        <v>54.646735919999998</v>
      </c>
    </row>
    <row r="2267" spans="4:16" x14ac:dyDescent="0.25">
      <c r="D2267">
        <v>2039</v>
      </c>
      <c r="E2267" t="s">
        <v>227</v>
      </c>
      <c r="F2267" t="s">
        <v>264</v>
      </c>
      <c r="G2267">
        <v>54.646735919999998</v>
      </c>
      <c r="I2267">
        <f t="shared" si="156"/>
        <v>0</v>
      </c>
      <c r="J2267">
        <f t="shared" si="156"/>
        <v>0</v>
      </c>
      <c r="K2267">
        <f t="shared" si="156"/>
        <v>0</v>
      </c>
      <c r="M2267" t="str" cm="1">
        <f t="array" ref="M2267">IFERROR(INDEX($I$2:$K$2,0,MATCH(TRUE,I2267:K2267,0)),E2267)</f>
        <v>CHP New</v>
      </c>
      <c r="O2267" t="str">
        <f t="shared" si="154"/>
        <v>CHP New_2039</v>
      </c>
      <c r="P2267">
        <f t="shared" si="155"/>
        <v>54.646735919999998</v>
      </c>
    </row>
    <row r="2268" spans="4:16" x14ac:dyDescent="0.25">
      <c r="D2268">
        <v>2040</v>
      </c>
      <c r="E2268" t="s">
        <v>227</v>
      </c>
      <c r="F2268" t="s">
        <v>264</v>
      </c>
      <c r="G2268">
        <v>56.138171960000001</v>
      </c>
      <c r="I2268">
        <f t="shared" si="156"/>
        <v>0</v>
      </c>
      <c r="J2268">
        <f t="shared" si="156"/>
        <v>0</v>
      </c>
      <c r="K2268">
        <f t="shared" si="156"/>
        <v>0</v>
      </c>
      <c r="M2268" t="str" cm="1">
        <f t="array" ref="M2268">IFERROR(INDEX($I$2:$K$2,0,MATCH(TRUE,I2268:K2268,0)),E2268)</f>
        <v>CHP New</v>
      </c>
      <c r="O2268" t="str">
        <f t="shared" si="154"/>
        <v>CHP New_2040</v>
      </c>
      <c r="P2268">
        <f t="shared" si="155"/>
        <v>56.138171960000001</v>
      </c>
    </row>
    <row r="2269" spans="4:16" x14ac:dyDescent="0.25">
      <c r="D2269">
        <v>2025</v>
      </c>
      <c r="E2269" t="s">
        <v>227</v>
      </c>
      <c r="F2269" t="s">
        <v>265</v>
      </c>
      <c r="G2269">
        <v>0</v>
      </c>
      <c r="I2269">
        <f t="shared" si="156"/>
        <v>0</v>
      </c>
      <c r="J2269">
        <f t="shared" si="156"/>
        <v>0</v>
      </c>
      <c r="K2269">
        <f t="shared" si="156"/>
        <v>0</v>
      </c>
      <c r="M2269" t="str" cm="1">
        <f t="array" ref="M2269">IFERROR(INDEX($I$2:$K$2,0,MATCH(TRUE,I2269:K2269,0)),E2269)</f>
        <v>CHP New</v>
      </c>
      <c r="O2269" t="str">
        <f t="shared" si="154"/>
        <v>CHP New_2025</v>
      </c>
      <c r="P2269">
        <f t="shared" si="155"/>
        <v>0</v>
      </c>
    </row>
    <row r="2270" spans="4:16" x14ac:dyDescent="0.25">
      <c r="D2270">
        <v>2026</v>
      </c>
      <c r="E2270" t="s">
        <v>227</v>
      </c>
      <c r="F2270" t="s">
        <v>265</v>
      </c>
      <c r="G2270">
        <v>33.343771070000003</v>
      </c>
      <c r="I2270">
        <f t="shared" si="156"/>
        <v>0</v>
      </c>
      <c r="J2270">
        <f t="shared" si="156"/>
        <v>0</v>
      </c>
      <c r="K2270">
        <f t="shared" si="156"/>
        <v>0</v>
      </c>
      <c r="M2270" t="str" cm="1">
        <f t="array" ref="M2270">IFERROR(INDEX($I$2:$K$2,0,MATCH(TRUE,I2270:K2270,0)),E2270)</f>
        <v>CHP New</v>
      </c>
      <c r="O2270" t="str">
        <f t="shared" si="154"/>
        <v>CHP New_2026</v>
      </c>
      <c r="P2270">
        <f t="shared" si="155"/>
        <v>33.343771070000003</v>
      </c>
    </row>
    <row r="2271" spans="4:16" x14ac:dyDescent="0.25">
      <c r="D2271">
        <v>2027</v>
      </c>
      <c r="E2271" t="s">
        <v>227</v>
      </c>
      <c r="F2271" t="s">
        <v>265</v>
      </c>
      <c r="G2271">
        <v>33.343771070000003</v>
      </c>
      <c r="I2271">
        <f t="shared" si="156"/>
        <v>0</v>
      </c>
      <c r="J2271">
        <f t="shared" si="156"/>
        <v>0</v>
      </c>
      <c r="K2271">
        <f t="shared" si="156"/>
        <v>0</v>
      </c>
      <c r="M2271" t="str" cm="1">
        <f t="array" ref="M2271">IFERROR(INDEX($I$2:$K$2,0,MATCH(TRUE,I2271:K2271,0)),E2271)</f>
        <v>CHP New</v>
      </c>
      <c r="O2271" t="str">
        <f t="shared" si="154"/>
        <v>CHP New_2027</v>
      </c>
      <c r="P2271">
        <f t="shared" si="155"/>
        <v>33.343771070000003</v>
      </c>
    </row>
    <row r="2272" spans="4:16" x14ac:dyDescent="0.25">
      <c r="D2272">
        <v>2028</v>
      </c>
      <c r="E2272" t="s">
        <v>227</v>
      </c>
      <c r="F2272" t="s">
        <v>265</v>
      </c>
      <c r="G2272">
        <v>33.343771070000003</v>
      </c>
      <c r="I2272">
        <f t="shared" si="156"/>
        <v>0</v>
      </c>
      <c r="J2272">
        <f t="shared" si="156"/>
        <v>0</v>
      </c>
      <c r="K2272">
        <f t="shared" si="156"/>
        <v>0</v>
      </c>
      <c r="M2272" t="str" cm="1">
        <f t="array" ref="M2272">IFERROR(INDEX($I$2:$K$2,0,MATCH(TRUE,I2272:K2272,0)),E2272)</f>
        <v>CHP New</v>
      </c>
      <c r="O2272" t="str">
        <f t="shared" si="154"/>
        <v>CHP New_2028</v>
      </c>
      <c r="P2272">
        <f t="shared" si="155"/>
        <v>33.343771070000003</v>
      </c>
    </row>
    <row r="2273" spans="4:16" x14ac:dyDescent="0.25">
      <c r="D2273">
        <v>2029</v>
      </c>
      <c r="E2273" t="s">
        <v>227</v>
      </c>
      <c r="F2273" t="s">
        <v>265</v>
      </c>
      <c r="G2273">
        <v>33.343771070000003</v>
      </c>
      <c r="I2273">
        <f t="shared" si="156"/>
        <v>0</v>
      </c>
      <c r="J2273">
        <f t="shared" si="156"/>
        <v>0</v>
      </c>
      <c r="K2273">
        <f t="shared" si="156"/>
        <v>0</v>
      </c>
      <c r="M2273" t="str" cm="1">
        <f t="array" ref="M2273">IFERROR(INDEX($I$2:$K$2,0,MATCH(TRUE,I2273:K2273,0)),E2273)</f>
        <v>CHP New</v>
      </c>
      <c r="O2273" t="str">
        <f t="shared" si="154"/>
        <v>CHP New_2029</v>
      </c>
      <c r="P2273">
        <f t="shared" si="155"/>
        <v>33.343771070000003</v>
      </c>
    </row>
    <row r="2274" spans="4:16" x14ac:dyDescent="0.25">
      <c r="D2274">
        <v>2030</v>
      </c>
      <c r="E2274" t="s">
        <v>227</v>
      </c>
      <c r="F2274" t="s">
        <v>265</v>
      </c>
      <c r="G2274">
        <v>33.343771070000003</v>
      </c>
      <c r="I2274">
        <f t="shared" si="156"/>
        <v>0</v>
      </c>
      <c r="J2274">
        <f t="shared" si="156"/>
        <v>0</v>
      </c>
      <c r="K2274">
        <f t="shared" si="156"/>
        <v>0</v>
      </c>
      <c r="M2274" t="str" cm="1">
        <f t="array" ref="M2274">IFERROR(INDEX($I$2:$K$2,0,MATCH(TRUE,I2274:K2274,0)),E2274)</f>
        <v>CHP New</v>
      </c>
      <c r="O2274" t="str">
        <f t="shared" si="154"/>
        <v>CHP New_2030</v>
      </c>
      <c r="P2274">
        <f t="shared" si="155"/>
        <v>33.343771070000003</v>
      </c>
    </row>
    <row r="2275" spans="4:16" x14ac:dyDescent="0.25">
      <c r="D2275">
        <v>2031</v>
      </c>
      <c r="E2275" t="s">
        <v>227</v>
      </c>
      <c r="F2275" t="s">
        <v>265</v>
      </c>
      <c r="G2275">
        <v>33.343771070000003</v>
      </c>
      <c r="I2275">
        <f t="shared" si="156"/>
        <v>0</v>
      </c>
      <c r="J2275">
        <f t="shared" si="156"/>
        <v>0</v>
      </c>
      <c r="K2275">
        <f t="shared" si="156"/>
        <v>0</v>
      </c>
      <c r="M2275" t="str" cm="1">
        <f t="array" ref="M2275">IFERROR(INDEX($I$2:$K$2,0,MATCH(TRUE,I2275:K2275,0)),E2275)</f>
        <v>CHP New</v>
      </c>
      <c r="O2275" t="str">
        <f t="shared" si="154"/>
        <v>CHP New_2031</v>
      </c>
      <c r="P2275">
        <f t="shared" si="155"/>
        <v>33.343771070000003</v>
      </c>
    </row>
    <row r="2276" spans="4:16" x14ac:dyDescent="0.25">
      <c r="D2276">
        <v>2032</v>
      </c>
      <c r="E2276" t="s">
        <v>227</v>
      </c>
      <c r="F2276" t="s">
        <v>265</v>
      </c>
      <c r="G2276">
        <v>33.343771070000003</v>
      </c>
      <c r="I2276">
        <f t="shared" si="156"/>
        <v>0</v>
      </c>
      <c r="J2276">
        <f t="shared" si="156"/>
        <v>0</v>
      </c>
      <c r="K2276">
        <f t="shared" si="156"/>
        <v>0</v>
      </c>
      <c r="M2276" t="str" cm="1">
        <f t="array" ref="M2276">IFERROR(INDEX($I$2:$K$2,0,MATCH(TRUE,I2276:K2276,0)),E2276)</f>
        <v>CHP New</v>
      </c>
      <c r="O2276" t="str">
        <f t="shared" si="154"/>
        <v>CHP New_2032</v>
      </c>
      <c r="P2276">
        <f t="shared" si="155"/>
        <v>33.343771070000003</v>
      </c>
    </row>
    <row r="2277" spans="4:16" x14ac:dyDescent="0.25">
      <c r="D2277">
        <v>2033</v>
      </c>
      <c r="E2277" t="s">
        <v>227</v>
      </c>
      <c r="F2277" t="s">
        <v>265</v>
      </c>
      <c r="G2277">
        <v>33.343771070000003</v>
      </c>
      <c r="I2277">
        <f t="shared" si="156"/>
        <v>0</v>
      </c>
      <c r="J2277">
        <f t="shared" si="156"/>
        <v>0</v>
      </c>
      <c r="K2277">
        <f t="shared" si="156"/>
        <v>0</v>
      </c>
      <c r="M2277" t="str" cm="1">
        <f t="array" ref="M2277">IFERROR(INDEX($I$2:$K$2,0,MATCH(TRUE,I2277:K2277,0)),E2277)</f>
        <v>CHP New</v>
      </c>
      <c r="O2277" t="str">
        <f t="shared" si="154"/>
        <v>CHP New_2033</v>
      </c>
      <c r="P2277">
        <f t="shared" si="155"/>
        <v>33.343771070000003</v>
      </c>
    </row>
    <row r="2278" spans="4:16" x14ac:dyDescent="0.25">
      <c r="D2278">
        <v>2034</v>
      </c>
      <c r="E2278" t="s">
        <v>227</v>
      </c>
      <c r="F2278" t="s">
        <v>265</v>
      </c>
      <c r="G2278">
        <v>33.343771070000003</v>
      </c>
      <c r="I2278">
        <f t="shared" si="156"/>
        <v>0</v>
      </c>
      <c r="J2278">
        <f t="shared" si="156"/>
        <v>0</v>
      </c>
      <c r="K2278">
        <f t="shared" si="156"/>
        <v>0</v>
      </c>
      <c r="M2278" t="str" cm="1">
        <f t="array" ref="M2278">IFERROR(INDEX($I$2:$K$2,0,MATCH(TRUE,I2278:K2278,0)),E2278)</f>
        <v>CHP New</v>
      </c>
      <c r="O2278" t="str">
        <f t="shared" si="154"/>
        <v>CHP New_2034</v>
      </c>
      <c r="P2278">
        <f t="shared" si="155"/>
        <v>33.343771070000003</v>
      </c>
    </row>
    <row r="2279" spans="4:16" x14ac:dyDescent="0.25">
      <c r="D2279">
        <v>2035</v>
      </c>
      <c r="E2279" t="s">
        <v>227</v>
      </c>
      <c r="F2279" t="s">
        <v>265</v>
      </c>
      <c r="G2279">
        <v>33.343771070000003</v>
      </c>
      <c r="I2279">
        <f t="shared" si="156"/>
        <v>0</v>
      </c>
      <c r="J2279">
        <f t="shared" si="156"/>
        <v>0</v>
      </c>
      <c r="K2279">
        <f t="shared" si="156"/>
        <v>0</v>
      </c>
      <c r="M2279" t="str" cm="1">
        <f t="array" ref="M2279">IFERROR(INDEX($I$2:$K$2,0,MATCH(TRUE,I2279:K2279,0)),E2279)</f>
        <v>CHP New</v>
      </c>
      <c r="O2279" t="str">
        <f t="shared" si="154"/>
        <v>CHP New_2035</v>
      </c>
      <c r="P2279">
        <f t="shared" si="155"/>
        <v>33.343771070000003</v>
      </c>
    </row>
    <row r="2280" spans="4:16" x14ac:dyDescent="0.25">
      <c r="D2280">
        <v>2036</v>
      </c>
      <c r="E2280" t="s">
        <v>227</v>
      </c>
      <c r="F2280" t="s">
        <v>265</v>
      </c>
      <c r="G2280">
        <v>34.253799839999999</v>
      </c>
      <c r="I2280">
        <f t="shared" si="156"/>
        <v>0</v>
      </c>
      <c r="J2280">
        <f t="shared" si="156"/>
        <v>0</v>
      </c>
      <c r="K2280">
        <f t="shared" si="156"/>
        <v>0</v>
      </c>
      <c r="M2280" t="str" cm="1">
        <f t="array" ref="M2280">IFERROR(INDEX($I$2:$K$2,0,MATCH(TRUE,I2280:K2280,0)),E2280)</f>
        <v>CHP New</v>
      </c>
      <c r="O2280" t="str">
        <f t="shared" si="154"/>
        <v>CHP New_2036</v>
      </c>
      <c r="P2280">
        <f t="shared" si="155"/>
        <v>34.253799839999999</v>
      </c>
    </row>
    <row r="2281" spans="4:16" x14ac:dyDescent="0.25">
      <c r="D2281">
        <v>2037</v>
      </c>
      <c r="E2281" t="s">
        <v>227</v>
      </c>
      <c r="F2281" t="s">
        <v>265</v>
      </c>
      <c r="G2281">
        <v>33.343771070000003</v>
      </c>
      <c r="I2281">
        <f t="shared" si="156"/>
        <v>0</v>
      </c>
      <c r="J2281">
        <f t="shared" si="156"/>
        <v>0</v>
      </c>
      <c r="K2281">
        <f t="shared" si="156"/>
        <v>0</v>
      </c>
      <c r="M2281" t="str" cm="1">
        <f t="array" ref="M2281">IFERROR(INDEX($I$2:$K$2,0,MATCH(TRUE,I2281:K2281,0)),E2281)</f>
        <v>CHP New</v>
      </c>
      <c r="O2281" t="str">
        <f t="shared" si="154"/>
        <v>CHP New_2037</v>
      </c>
      <c r="P2281">
        <f t="shared" si="155"/>
        <v>33.343771070000003</v>
      </c>
    </row>
    <row r="2282" spans="4:16" x14ac:dyDescent="0.25">
      <c r="D2282">
        <v>2038</v>
      </c>
      <c r="E2282" t="s">
        <v>227</v>
      </c>
      <c r="F2282" t="s">
        <v>265</v>
      </c>
      <c r="G2282">
        <v>33.343771070000003</v>
      </c>
      <c r="I2282">
        <f t="shared" si="156"/>
        <v>0</v>
      </c>
      <c r="J2282">
        <f t="shared" si="156"/>
        <v>0</v>
      </c>
      <c r="K2282">
        <f t="shared" si="156"/>
        <v>0</v>
      </c>
      <c r="M2282" t="str" cm="1">
        <f t="array" ref="M2282">IFERROR(INDEX($I$2:$K$2,0,MATCH(TRUE,I2282:K2282,0)),E2282)</f>
        <v>CHP New</v>
      </c>
      <c r="O2282" t="str">
        <f t="shared" si="154"/>
        <v>CHP New_2038</v>
      </c>
      <c r="P2282">
        <f t="shared" si="155"/>
        <v>33.343771070000003</v>
      </c>
    </row>
    <row r="2283" spans="4:16" x14ac:dyDescent="0.25">
      <c r="D2283">
        <v>2039</v>
      </c>
      <c r="E2283" t="s">
        <v>227</v>
      </c>
      <c r="F2283" t="s">
        <v>265</v>
      </c>
      <c r="G2283">
        <v>33.343771070000003</v>
      </c>
      <c r="I2283">
        <f t="shared" si="156"/>
        <v>0</v>
      </c>
      <c r="J2283">
        <f t="shared" si="156"/>
        <v>0</v>
      </c>
      <c r="K2283">
        <f t="shared" si="156"/>
        <v>0</v>
      </c>
      <c r="M2283" t="str" cm="1">
        <f t="array" ref="M2283">IFERROR(INDEX($I$2:$K$2,0,MATCH(TRUE,I2283:K2283,0)),E2283)</f>
        <v>CHP New</v>
      </c>
      <c r="O2283" t="str">
        <f t="shared" si="154"/>
        <v>CHP New_2039</v>
      </c>
      <c r="P2283">
        <f t="shared" si="155"/>
        <v>33.343771070000003</v>
      </c>
    </row>
    <row r="2284" spans="4:16" x14ac:dyDescent="0.25">
      <c r="D2284">
        <v>2040</v>
      </c>
      <c r="E2284" t="s">
        <v>227</v>
      </c>
      <c r="F2284" t="s">
        <v>265</v>
      </c>
      <c r="G2284">
        <v>34.253799839999999</v>
      </c>
      <c r="I2284">
        <f t="shared" si="156"/>
        <v>0</v>
      </c>
      <c r="J2284">
        <f t="shared" si="156"/>
        <v>0</v>
      </c>
      <c r="K2284">
        <f t="shared" si="156"/>
        <v>0</v>
      </c>
      <c r="M2284" t="str" cm="1">
        <f t="array" ref="M2284">IFERROR(INDEX($I$2:$K$2,0,MATCH(TRUE,I2284:K2284,0)),E2284)</f>
        <v>CHP New</v>
      </c>
      <c r="O2284" t="str">
        <f t="shared" si="154"/>
        <v>CHP New_2040</v>
      </c>
      <c r="P2284">
        <f t="shared" si="155"/>
        <v>34.253799839999999</v>
      </c>
    </row>
    <row r="2285" spans="4:16" x14ac:dyDescent="0.25">
      <c r="D2285">
        <v>2022</v>
      </c>
      <c r="E2285" t="s">
        <v>227</v>
      </c>
      <c r="F2285" t="s">
        <v>266</v>
      </c>
      <c r="G2285">
        <v>0</v>
      </c>
      <c r="I2285">
        <f t="shared" si="156"/>
        <v>0</v>
      </c>
      <c r="J2285">
        <f t="shared" si="156"/>
        <v>0</v>
      </c>
      <c r="K2285">
        <f t="shared" si="156"/>
        <v>0</v>
      </c>
      <c r="M2285" t="str" cm="1">
        <f t="array" ref="M2285">IFERROR(INDEX($I$2:$K$2,0,MATCH(TRUE,I2285:K2285,0)),E2285)</f>
        <v>CHP New</v>
      </c>
      <c r="O2285" t="str">
        <f t="shared" si="154"/>
        <v>CHP New_2022</v>
      </c>
      <c r="P2285">
        <f t="shared" si="155"/>
        <v>0</v>
      </c>
    </row>
    <row r="2286" spans="4:16" x14ac:dyDescent="0.25">
      <c r="D2286">
        <v>2023</v>
      </c>
      <c r="E2286" t="s">
        <v>227</v>
      </c>
      <c r="F2286" t="s">
        <v>266</v>
      </c>
      <c r="G2286">
        <v>16.671885530000001</v>
      </c>
      <c r="I2286">
        <f t="shared" si="156"/>
        <v>0</v>
      </c>
      <c r="J2286">
        <f t="shared" si="156"/>
        <v>0</v>
      </c>
      <c r="K2286">
        <f t="shared" si="156"/>
        <v>0</v>
      </c>
      <c r="M2286" t="str" cm="1">
        <f t="array" ref="M2286">IFERROR(INDEX($I$2:$K$2,0,MATCH(TRUE,I2286:K2286,0)),E2286)</f>
        <v>CHP New</v>
      </c>
      <c r="O2286" t="str">
        <f t="shared" si="154"/>
        <v>CHP New_2023</v>
      </c>
      <c r="P2286">
        <f t="shared" si="155"/>
        <v>16.671885530000001</v>
      </c>
    </row>
    <row r="2287" spans="4:16" x14ac:dyDescent="0.25">
      <c r="D2287">
        <v>2024</v>
      </c>
      <c r="E2287" t="s">
        <v>227</v>
      </c>
      <c r="F2287" t="s">
        <v>266</v>
      </c>
      <c r="G2287">
        <v>17.12689992</v>
      </c>
      <c r="I2287">
        <f t="shared" si="156"/>
        <v>0</v>
      </c>
      <c r="J2287">
        <f t="shared" si="156"/>
        <v>0</v>
      </c>
      <c r="K2287">
        <f t="shared" si="156"/>
        <v>0</v>
      </c>
      <c r="M2287" t="str" cm="1">
        <f t="array" ref="M2287">IFERROR(INDEX($I$2:$K$2,0,MATCH(TRUE,I2287:K2287,0)),E2287)</f>
        <v>CHP New</v>
      </c>
      <c r="O2287" t="str">
        <f t="shared" si="154"/>
        <v>CHP New_2024</v>
      </c>
      <c r="P2287">
        <f t="shared" si="155"/>
        <v>17.12689992</v>
      </c>
    </row>
    <row r="2288" spans="4:16" x14ac:dyDescent="0.25">
      <c r="D2288">
        <v>2025</v>
      </c>
      <c r="E2288" t="s">
        <v>227</v>
      </c>
      <c r="F2288" t="s">
        <v>266</v>
      </c>
      <c r="G2288">
        <v>16.671885530000001</v>
      </c>
      <c r="I2288">
        <f t="shared" si="156"/>
        <v>0</v>
      </c>
      <c r="J2288">
        <f t="shared" si="156"/>
        <v>0</v>
      </c>
      <c r="K2288">
        <f t="shared" si="156"/>
        <v>0</v>
      </c>
      <c r="M2288" t="str" cm="1">
        <f t="array" ref="M2288">IFERROR(INDEX($I$2:$K$2,0,MATCH(TRUE,I2288:K2288,0)),E2288)</f>
        <v>CHP New</v>
      </c>
      <c r="O2288" t="str">
        <f t="shared" si="154"/>
        <v>CHP New_2025</v>
      </c>
      <c r="P2288">
        <f t="shared" si="155"/>
        <v>16.671885530000001</v>
      </c>
    </row>
    <row r="2289" spans="4:16" x14ac:dyDescent="0.25">
      <c r="D2289">
        <v>2026</v>
      </c>
      <c r="E2289" t="s">
        <v>227</v>
      </c>
      <c r="F2289" t="s">
        <v>266</v>
      </c>
      <c r="G2289">
        <v>16.671885530000001</v>
      </c>
      <c r="I2289">
        <f t="shared" si="156"/>
        <v>0</v>
      </c>
      <c r="J2289">
        <f t="shared" si="156"/>
        <v>0</v>
      </c>
      <c r="K2289">
        <f t="shared" si="156"/>
        <v>0</v>
      </c>
      <c r="M2289" t="str" cm="1">
        <f t="array" ref="M2289">IFERROR(INDEX($I$2:$K$2,0,MATCH(TRUE,I2289:K2289,0)),E2289)</f>
        <v>CHP New</v>
      </c>
      <c r="O2289" t="str">
        <f t="shared" si="154"/>
        <v>CHP New_2026</v>
      </c>
      <c r="P2289">
        <f t="shared" si="155"/>
        <v>16.671885530000001</v>
      </c>
    </row>
    <row r="2290" spans="4:16" x14ac:dyDescent="0.25">
      <c r="D2290">
        <v>2027</v>
      </c>
      <c r="E2290" t="s">
        <v>227</v>
      </c>
      <c r="F2290" t="s">
        <v>266</v>
      </c>
      <c r="G2290">
        <v>16.671885530000001</v>
      </c>
      <c r="I2290">
        <f t="shared" si="156"/>
        <v>0</v>
      </c>
      <c r="J2290">
        <f t="shared" si="156"/>
        <v>0</v>
      </c>
      <c r="K2290">
        <f t="shared" si="156"/>
        <v>0</v>
      </c>
      <c r="M2290" t="str" cm="1">
        <f t="array" ref="M2290">IFERROR(INDEX($I$2:$K$2,0,MATCH(TRUE,I2290:K2290,0)),E2290)</f>
        <v>CHP New</v>
      </c>
      <c r="O2290" t="str">
        <f t="shared" si="154"/>
        <v>CHP New_2027</v>
      </c>
      <c r="P2290">
        <f t="shared" si="155"/>
        <v>16.671885530000001</v>
      </c>
    </row>
    <row r="2291" spans="4:16" x14ac:dyDescent="0.25">
      <c r="D2291">
        <v>2028</v>
      </c>
      <c r="E2291" t="s">
        <v>227</v>
      </c>
      <c r="F2291" t="s">
        <v>266</v>
      </c>
      <c r="G2291">
        <v>16.671885530000001</v>
      </c>
      <c r="I2291">
        <f t="shared" si="156"/>
        <v>0</v>
      </c>
      <c r="J2291">
        <f t="shared" si="156"/>
        <v>0</v>
      </c>
      <c r="K2291">
        <f t="shared" si="156"/>
        <v>0</v>
      </c>
      <c r="M2291" t="str" cm="1">
        <f t="array" ref="M2291">IFERROR(INDEX($I$2:$K$2,0,MATCH(TRUE,I2291:K2291,0)),E2291)</f>
        <v>CHP New</v>
      </c>
      <c r="O2291" t="str">
        <f t="shared" si="154"/>
        <v>CHP New_2028</v>
      </c>
      <c r="P2291">
        <f t="shared" si="155"/>
        <v>16.671885530000001</v>
      </c>
    </row>
    <row r="2292" spans="4:16" x14ac:dyDescent="0.25">
      <c r="D2292">
        <v>2029</v>
      </c>
      <c r="E2292" t="s">
        <v>227</v>
      </c>
      <c r="F2292" t="s">
        <v>266</v>
      </c>
      <c r="G2292">
        <v>16.671885530000001</v>
      </c>
      <c r="I2292">
        <f t="shared" si="156"/>
        <v>0</v>
      </c>
      <c r="J2292">
        <f t="shared" si="156"/>
        <v>0</v>
      </c>
      <c r="K2292">
        <f t="shared" si="156"/>
        <v>0</v>
      </c>
      <c r="M2292" t="str" cm="1">
        <f t="array" ref="M2292">IFERROR(INDEX($I$2:$K$2,0,MATCH(TRUE,I2292:K2292,0)),E2292)</f>
        <v>CHP New</v>
      </c>
      <c r="O2292" t="str">
        <f t="shared" si="154"/>
        <v>CHP New_2029</v>
      </c>
      <c r="P2292">
        <f t="shared" si="155"/>
        <v>16.671885530000001</v>
      </c>
    </row>
    <row r="2293" spans="4:16" x14ac:dyDescent="0.25">
      <c r="D2293">
        <v>2030</v>
      </c>
      <c r="E2293" t="s">
        <v>227</v>
      </c>
      <c r="F2293" t="s">
        <v>266</v>
      </c>
      <c r="G2293">
        <v>16.671885530000001</v>
      </c>
      <c r="I2293">
        <f t="shared" si="156"/>
        <v>0</v>
      </c>
      <c r="J2293">
        <f t="shared" si="156"/>
        <v>0</v>
      </c>
      <c r="K2293">
        <f t="shared" si="156"/>
        <v>0</v>
      </c>
      <c r="M2293" t="str" cm="1">
        <f t="array" ref="M2293">IFERROR(INDEX($I$2:$K$2,0,MATCH(TRUE,I2293:K2293,0)),E2293)</f>
        <v>CHP New</v>
      </c>
      <c r="O2293" t="str">
        <f t="shared" si="154"/>
        <v>CHP New_2030</v>
      </c>
      <c r="P2293">
        <f t="shared" si="155"/>
        <v>16.671885530000001</v>
      </c>
    </row>
    <row r="2294" spans="4:16" x14ac:dyDescent="0.25">
      <c r="D2294">
        <v>2031</v>
      </c>
      <c r="E2294" t="s">
        <v>227</v>
      </c>
      <c r="F2294" t="s">
        <v>266</v>
      </c>
      <c r="G2294">
        <v>16.671885530000001</v>
      </c>
      <c r="I2294">
        <f t="shared" si="156"/>
        <v>0</v>
      </c>
      <c r="J2294">
        <f t="shared" si="156"/>
        <v>0</v>
      </c>
      <c r="K2294">
        <f t="shared" si="156"/>
        <v>0</v>
      </c>
      <c r="M2294" t="str" cm="1">
        <f t="array" ref="M2294">IFERROR(INDEX($I$2:$K$2,0,MATCH(TRUE,I2294:K2294,0)),E2294)</f>
        <v>CHP New</v>
      </c>
      <c r="O2294" t="str">
        <f t="shared" si="154"/>
        <v>CHP New_2031</v>
      </c>
      <c r="P2294">
        <f t="shared" si="155"/>
        <v>16.671885530000001</v>
      </c>
    </row>
    <row r="2295" spans="4:16" x14ac:dyDescent="0.25">
      <c r="D2295">
        <v>2032</v>
      </c>
      <c r="E2295" t="s">
        <v>227</v>
      </c>
      <c r="F2295" t="s">
        <v>266</v>
      </c>
      <c r="G2295">
        <v>16.671885530000001</v>
      </c>
      <c r="I2295">
        <f t="shared" si="156"/>
        <v>0</v>
      </c>
      <c r="J2295">
        <f t="shared" si="156"/>
        <v>0</v>
      </c>
      <c r="K2295">
        <f t="shared" si="156"/>
        <v>0</v>
      </c>
      <c r="M2295" t="str" cm="1">
        <f t="array" ref="M2295">IFERROR(INDEX($I$2:$K$2,0,MATCH(TRUE,I2295:K2295,0)),E2295)</f>
        <v>CHP New</v>
      </c>
      <c r="O2295" t="str">
        <f t="shared" si="154"/>
        <v>CHP New_2032</v>
      </c>
      <c r="P2295">
        <f t="shared" si="155"/>
        <v>16.671885530000001</v>
      </c>
    </row>
    <row r="2296" spans="4:16" x14ac:dyDescent="0.25">
      <c r="D2296">
        <v>2033</v>
      </c>
      <c r="E2296" t="s">
        <v>227</v>
      </c>
      <c r="F2296" t="s">
        <v>266</v>
      </c>
      <c r="G2296">
        <v>16.671885530000001</v>
      </c>
      <c r="I2296">
        <f t="shared" si="156"/>
        <v>0</v>
      </c>
      <c r="J2296">
        <f t="shared" si="156"/>
        <v>0</v>
      </c>
      <c r="K2296">
        <f t="shared" si="156"/>
        <v>0</v>
      </c>
      <c r="M2296" t="str" cm="1">
        <f t="array" ref="M2296">IFERROR(INDEX($I$2:$K$2,0,MATCH(TRUE,I2296:K2296,0)),E2296)</f>
        <v>CHP New</v>
      </c>
      <c r="O2296" t="str">
        <f t="shared" si="154"/>
        <v>CHP New_2033</v>
      </c>
      <c r="P2296">
        <f t="shared" si="155"/>
        <v>16.671885530000001</v>
      </c>
    </row>
    <row r="2297" spans="4:16" x14ac:dyDescent="0.25">
      <c r="D2297">
        <v>2034</v>
      </c>
      <c r="E2297" t="s">
        <v>227</v>
      </c>
      <c r="F2297" t="s">
        <v>266</v>
      </c>
      <c r="G2297">
        <v>16.671885530000001</v>
      </c>
      <c r="I2297">
        <f t="shared" si="156"/>
        <v>0</v>
      </c>
      <c r="J2297">
        <f t="shared" si="156"/>
        <v>0</v>
      </c>
      <c r="K2297">
        <f t="shared" si="156"/>
        <v>0</v>
      </c>
      <c r="M2297" t="str" cm="1">
        <f t="array" ref="M2297">IFERROR(INDEX($I$2:$K$2,0,MATCH(TRUE,I2297:K2297,0)),E2297)</f>
        <v>CHP New</v>
      </c>
      <c r="O2297" t="str">
        <f t="shared" si="154"/>
        <v>CHP New_2034</v>
      </c>
      <c r="P2297">
        <f t="shared" si="155"/>
        <v>16.671885530000001</v>
      </c>
    </row>
    <row r="2298" spans="4:16" x14ac:dyDescent="0.25">
      <c r="D2298">
        <v>2035</v>
      </c>
      <c r="E2298" t="s">
        <v>227</v>
      </c>
      <c r="F2298" t="s">
        <v>266</v>
      </c>
      <c r="G2298">
        <v>16.671885530000001</v>
      </c>
      <c r="I2298">
        <f t="shared" si="156"/>
        <v>0</v>
      </c>
      <c r="J2298">
        <f t="shared" si="156"/>
        <v>0</v>
      </c>
      <c r="K2298">
        <f t="shared" si="156"/>
        <v>0</v>
      </c>
      <c r="M2298" t="str" cm="1">
        <f t="array" ref="M2298">IFERROR(INDEX($I$2:$K$2,0,MATCH(TRUE,I2298:K2298,0)),E2298)</f>
        <v>CHP New</v>
      </c>
      <c r="O2298" t="str">
        <f t="shared" si="154"/>
        <v>CHP New_2035</v>
      </c>
      <c r="P2298">
        <f t="shared" si="155"/>
        <v>16.671885530000001</v>
      </c>
    </row>
    <row r="2299" spans="4:16" x14ac:dyDescent="0.25">
      <c r="D2299">
        <v>2036</v>
      </c>
      <c r="E2299" t="s">
        <v>227</v>
      </c>
      <c r="F2299" t="s">
        <v>266</v>
      </c>
      <c r="G2299">
        <v>17.12689992</v>
      </c>
      <c r="I2299">
        <f t="shared" si="156"/>
        <v>0</v>
      </c>
      <c r="J2299">
        <f t="shared" si="156"/>
        <v>0</v>
      </c>
      <c r="K2299">
        <f t="shared" si="156"/>
        <v>0</v>
      </c>
      <c r="M2299" t="str" cm="1">
        <f t="array" ref="M2299">IFERROR(INDEX($I$2:$K$2,0,MATCH(TRUE,I2299:K2299,0)),E2299)</f>
        <v>CHP New</v>
      </c>
      <c r="O2299" t="str">
        <f t="shared" si="154"/>
        <v>CHP New_2036</v>
      </c>
      <c r="P2299">
        <f t="shared" si="155"/>
        <v>17.12689992</v>
      </c>
    </row>
    <row r="2300" spans="4:16" x14ac:dyDescent="0.25">
      <c r="D2300">
        <v>2037</v>
      </c>
      <c r="E2300" t="s">
        <v>227</v>
      </c>
      <c r="F2300" t="s">
        <v>266</v>
      </c>
      <c r="G2300">
        <v>16.671885530000001</v>
      </c>
      <c r="I2300">
        <f t="shared" si="156"/>
        <v>0</v>
      </c>
      <c r="J2300">
        <f t="shared" si="156"/>
        <v>0</v>
      </c>
      <c r="K2300">
        <f t="shared" si="156"/>
        <v>0</v>
      </c>
      <c r="M2300" t="str" cm="1">
        <f t="array" ref="M2300">IFERROR(INDEX($I$2:$K$2,0,MATCH(TRUE,I2300:K2300,0)),E2300)</f>
        <v>CHP New</v>
      </c>
      <c r="O2300" t="str">
        <f t="shared" si="154"/>
        <v>CHP New_2037</v>
      </c>
      <c r="P2300">
        <f t="shared" si="155"/>
        <v>16.671885530000001</v>
      </c>
    </row>
    <row r="2301" spans="4:16" x14ac:dyDescent="0.25">
      <c r="D2301">
        <v>2038</v>
      </c>
      <c r="E2301" t="s">
        <v>227</v>
      </c>
      <c r="F2301" t="s">
        <v>266</v>
      </c>
      <c r="G2301">
        <v>16.671885530000001</v>
      </c>
      <c r="I2301">
        <f t="shared" si="156"/>
        <v>0</v>
      </c>
      <c r="J2301">
        <f t="shared" si="156"/>
        <v>0</v>
      </c>
      <c r="K2301">
        <f t="shared" si="156"/>
        <v>0</v>
      </c>
      <c r="M2301" t="str" cm="1">
        <f t="array" ref="M2301">IFERROR(INDEX($I$2:$K$2,0,MATCH(TRUE,I2301:K2301,0)),E2301)</f>
        <v>CHP New</v>
      </c>
      <c r="O2301" t="str">
        <f t="shared" si="154"/>
        <v>CHP New_2038</v>
      </c>
      <c r="P2301">
        <f t="shared" si="155"/>
        <v>16.671885530000001</v>
      </c>
    </row>
    <row r="2302" spans="4:16" x14ac:dyDescent="0.25">
      <c r="D2302">
        <v>2039</v>
      </c>
      <c r="E2302" t="s">
        <v>227</v>
      </c>
      <c r="F2302" t="s">
        <v>266</v>
      </c>
      <c r="G2302">
        <v>16.671885530000001</v>
      </c>
      <c r="I2302">
        <f t="shared" si="156"/>
        <v>0</v>
      </c>
      <c r="J2302">
        <f t="shared" si="156"/>
        <v>0</v>
      </c>
      <c r="K2302">
        <f t="shared" si="156"/>
        <v>0</v>
      </c>
      <c r="M2302" t="str" cm="1">
        <f t="array" ref="M2302">IFERROR(INDEX($I$2:$K$2,0,MATCH(TRUE,I2302:K2302,0)),E2302)</f>
        <v>CHP New</v>
      </c>
      <c r="O2302" t="str">
        <f t="shared" si="154"/>
        <v>CHP New_2039</v>
      </c>
      <c r="P2302">
        <f t="shared" si="155"/>
        <v>16.671885530000001</v>
      </c>
    </row>
    <row r="2303" spans="4:16" x14ac:dyDescent="0.25">
      <c r="D2303">
        <v>2040</v>
      </c>
      <c r="E2303" t="s">
        <v>227</v>
      </c>
      <c r="F2303" t="s">
        <v>266</v>
      </c>
      <c r="G2303">
        <v>17.12689992</v>
      </c>
      <c r="I2303">
        <f t="shared" si="156"/>
        <v>0</v>
      </c>
      <c r="J2303">
        <f t="shared" si="156"/>
        <v>0</v>
      </c>
      <c r="K2303">
        <f t="shared" si="156"/>
        <v>0</v>
      </c>
      <c r="M2303" t="str" cm="1">
        <f t="array" ref="M2303">IFERROR(INDEX($I$2:$K$2,0,MATCH(TRUE,I2303:K2303,0)),E2303)</f>
        <v>CHP New</v>
      </c>
      <c r="O2303" t="str">
        <f t="shared" si="154"/>
        <v>CHP New_2040</v>
      </c>
      <c r="P2303">
        <f t="shared" si="155"/>
        <v>17.12689992</v>
      </c>
    </row>
    <row r="2304" spans="4:16" x14ac:dyDescent="0.25">
      <c r="D2304">
        <v>2023</v>
      </c>
      <c r="E2304" t="s">
        <v>227</v>
      </c>
      <c r="F2304" t="s">
        <v>267</v>
      </c>
      <c r="G2304">
        <v>0</v>
      </c>
      <c r="I2304">
        <f t="shared" si="156"/>
        <v>0</v>
      </c>
      <c r="J2304">
        <f t="shared" si="156"/>
        <v>0</v>
      </c>
      <c r="K2304">
        <f t="shared" si="156"/>
        <v>0</v>
      </c>
      <c r="M2304" t="str" cm="1">
        <f t="array" ref="M2304">IFERROR(INDEX($I$2:$K$2,0,MATCH(TRUE,I2304:K2304,0)),E2304)</f>
        <v>CHP New</v>
      </c>
      <c r="O2304" t="str">
        <f t="shared" si="154"/>
        <v>CHP New_2023</v>
      </c>
      <c r="P2304">
        <f t="shared" si="155"/>
        <v>0</v>
      </c>
    </row>
    <row r="2305" spans="4:16" x14ac:dyDescent="0.25">
      <c r="D2305">
        <v>2024</v>
      </c>
      <c r="E2305" t="s">
        <v>227</v>
      </c>
      <c r="F2305" t="s">
        <v>267</v>
      </c>
      <c r="G2305">
        <v>176.03628140999999</v>
      </c>
      <c r="I2305">
        <f t="shared" si="156"/>
        <v>0</v>
      </c>
      <c r="J2305">
        <f t="shared" si="156"/>
        <v>0</v>
      </c>
      <c r="K2305">
        <f t="shared" si="156"/>
        <v>0</v>
      </c>
      <c r="M2305" t="str" cm="1">
        <f t="array" ref="M2305">IFERROR(INDEX($I$2:$K$2,0,MATCH(TRUE,I2305:K2305,0)),E2305)</f>
        <v>CHP New</v>
      </c>
      <c r="O2305" t="str">
        <f t="shared" si="154"/>
        <v>CHP New_2024</v>
      </c>
      <c r="P2305">
        <f t="shared" si="155"/>
        <v>176.03628140999999</v>
      </c>
    </row>
    <row r="2306" spans="4:16" x14ac:dyDescent="0.25">
      <c r="D2306">
        <v>2025</v>
      </c>
      <c r="E2306" t="s">
        <v>227</v>
      </c>
      <c r="F2306" t="s">
        <v>267</v>
      </c>
      <c r="G2306">
        <v>170.59515947</v>
      </c>
      <c r="I2306">
        <f t="shared" si="156"/>
        <v>0</v>
      </c>
      <c r="J2306">
        <f t="shared" si="156"/>
        <v>0</v>
      </c>
      <c r="K2306">
        <f t="shared" si="156"/>
        <v>0</v>
      </c>
      <c r="M2306" t="str" cm="1">
        <f t="array" ref="M2306">IFERROR(INDEX($I$2:$K$2,0,MATCH(TRUE,I2306:K2306,0)),E2306)</f>
        <v>CHP New</v>
      </c>
      <c r="O2306" t="str">
        <f t="shared" si="154"/>
        <v>CHP New_2025</v>
      </c>
      <c r="P2306">
        <f t="shared" si="155"/>
        <v>170.59515947</v>
      </c>
    </row>
    <row r="2307" spans="4:16" x14ac:dyDescent="0.25">
      <c r="D2307">
        <v>2026</v>
      </c>
      <c r="E2307" t="s">
        <v>227</v>
      </c>
      <c r="F2307" t="s">
        <v>267</v>
      </c>
      <c r="G2307">
        <v>170.59515947</v>
      </c>
      <c r="I2307">
        <f t="shared" si="156"/>
        <v>0</v>
      </c>
      <c r="J2307">
        <f t="shared" si="156"/>
        <v>0</v>
      </c>
      <c r="K2307">
        <f t="shared" si="156"/>
        <v>0</v>
      </c>
      <c r="M2307" t="str" cm="1">
        <f t="array" ref="M2307">IFERROR(INDEX($I$2:$K$2,0,MATCH(TRUE,I2307:K2307,0)),E2307)</f>
        <v>CHP New</v>
      </c>
      <c r="O2307" t="str">
        <f t="shared" si="154"/>
        <v>CHP New_2026</v>
      </c>
      <c r="P2307">
        <f t="shared" si="155"/>
        <v>170.59515947</v>
      </c>
    </row>
    <row r="2308" spans="4:16" x14ac:dyDescent="0.25">
      <c r="D2308">
        <v>2027</v>
      </c>
      <c r="E2308" t="s">
        <v>227</v>
      </c>
      <c r="F2308" t="s">
        <v>267</v>
      </c>
      <c r="G2308">
        <v>170.59515947</v>
      </c>
      <c r="I2308">
        <f t="shared" si="156"/>
        <v>0</v>
      </c>
      <c r="J2308">
        <f t="shared" si="156"/>
        <v>0</v>
      </c>
      <c r="K2308">
        <f t="shared" si="156"/>
        <v>0</v>
      </c>
      <c r="M2308" t="str" cm="1">
        <f t="array" ref="M2308">IFERROR(INDEX($I$2:$K$2,0,MATCH(TRUE,I2308:K2308,0)),E2308)</f>
        <v>CHP New</v>
      </c>
      <c r="O2308" t="str">
        <f t="shared" si="154"/>
        <v>CHP New_2027</v>
      </c>
      <c r="P2308">
        <f t="shared" si="155"/>
        <v>170.59515947</v>
      </c>
    </row>
    <row r="2309" spans="4:16" x14ac:dyDescent="0.25">
      <c r="D2309">
        <v>2028</v>
      </c>
      <c r="E2309" t="s">
        <v>227</v>
      </c>
      <c r="F2309" t="s">
        <v>267</v>
      </c>
      <c r="G2309">
        <v>170.59515947</v>
      </c>
      <c r="I2309">
        <f t="shared" si="156"/>
        <v>0</v>
      </c>
      <c r="J2309">
        <f t="shared" si="156"/>
        <v>0</v>
      </c>
      <c r="K2309">
        <f t="shared" si="156"/>
        <v>0</v>
      </c>
      <c r="M2309" t="str" cm="1">
        <f t="array" ref="M2309">IFERROR(INDEX($I$2:$K$2,0,MATCH(TRUE,I2309:K2309,0)),E2309)</f>
        <v>CHP New</v>
      </c>
      <c r="O2309" t="str">
        <f t="shared" si="154"/>
        <v>CHP New_2028</v>
      </c>
      <c r="P2309">
        <f t="shared" si="155"/>
        <v>170.59515947</v>
      </c>
    </row>
    <row r="2310" spans="4:16" x14ac:dyDescent="0.25">
      <c r="D2310">
        <v>2029</v>
      </c>
      <c r="E2310" t="s">
        <v>227</v>
      </c>
      <c r="F2310" t="s">
        <v>267</v>
      </c>
      <c r="G2310">
        <v>170.59515947</v>
      </c>
      <c r="I2310">
        <f t="shared" si="156"/>
        <v>0</v>
      </c>
      <c r="J2310">
        <f t="shared" si="156"/>
        <v>0</v>
      </c>
      <c r="K2310">
        <f t="shared" si="156"/>
        <v>0</v>
      </c>
      <c r="M2310" t="str" cm="1">
        <f t="array" ref="M2310">IFERROR(INDEX($I$2:$K$2,0,MATCH(TRUE,I2310:K2310,0)),E2310)</f>
        <v>CHP New</v>
      </c>
      <c r="O2310" t="str">
        <f t="shared" si="154"/>
        <v>CHP New_2029</v>
      </c>
      <c r="P2310">
        <f t="shared" si="155"/>
        <v>170.59515947</v>
      </c>
    </row>
    <row r="2311" spans="4:16" x14ac:dyDescent="0.25">
      <c r="D2311">
        <v>2030</v>
      </c>
      <c r="E2311" t="s">
        <v>227</v>
      </c>
      <c r="F2311" t="s">
        <v>267</v>
      </c>
      <c r="G2311">
        <v>170.59515947</v>
      </c>
      <c r="I2311">
        <f t="shared" si="156"/>
        <v>0</v>
      </c>
      <c r="J2311">
        <f t="shared" si="156"/>
        <v>0</v>
      </c>
      <c r="K2311">
        <f t="shared" si="156"/>
        <v>0</v>
      </c>
      <c r="M2311" t="str" cm="1">
        <f t="array" ref="M2311">IFERROR(INDEX($I$2:$K$2,0,MATCH(TRUE,I2311:K2311,0)),E2311)</f>
        <v>CHP New</v>
      </c>
      <c r="O2311" t="str">
        <f t="shared" si="154"/>
        <v>CHP New_2030</v>
      </c>
      <c r="P2311">
        <f t="shared" si="155"/>
        <v>170.59515947</v>
      </c>
    </row>
    <row r="2312" spans="4:16" x14ac:dyDescent="0.25">
      <c r="D2312">
        <v>2031</v>
      </c>
      <c r="E2312" t="s">
        <v>227</v>
      </c>
      <c r="F2312" t="s">
        <v>267</v>
      </c>
      <c r="G2312">
        <v>170.59515947</v>
      </c>
      <c r="I2312">
        <f t="shared" si="156"/>
        <v>0</v>
      </c>
      <c r="J2312">
        <f t="shared" si="156"/>
        <v>0</v>
      </c>
      <c r="K2312">
        <f t="shared" si="156"/>
        <v>0</v>
      </c>
      <c r="M2312" t="str" cm="1">
        <f t="array" ref="M2312">IFERROR(INDEX($I$2:$K$2,0,MATCH(TRUE,I2312:K2312,0)),E2312)</f>
        <v>CHP New</v>
      </c>
      <c r="O2312" t="str">
        <f t="shared" si="154"/>
        <v>CHP New_2031</v>
      </c>
      <c r="P2312">
        <f t="shared" si="155"/>
        <v>170.59515947</v>
      </c>
    </row>
    <row r="2313" spans="4:16" x14ac:dyDescent="0.25">
      <c r="D2313">
        <v>2032</v>
      </c>
      <c r="E2313" t="s">
        <v>227</v>
      </c>
      <c r="F2313" t="s">
        <v>267</v>
      </c>
      <c r="G2313">
        <v>170.59515947</v>
      </c>
      <c r="I2313">
        <f t="shared" si="156"/>
        <v>0</v>
      </c>
      <c r="J2313">
        <f t="shared" si="156"/>
        <v>0</v>
      </c>
      <c r="K2313">
        <f t="shared" si="156"/>
        <v>0</v>
      </c>
      <c r="M2313" t="str" cm="1">
        <f t="array" ref="M2313">IFERROR(INDEX($I$2:$K$2,0,MATCH(TRUE,I2313:K2313,0)),E2313)</f>
        <v>CHP New</v>
      </c>
      <c r="O2313" t="str">
        <f t="shared" si="154"/>
        <v>CHP New_2032</v>
      </c>
      <c r="P2313">
        <f t="shared" si="155"/>
        <v>170.59515947</v>
      </c>
    </row>
    <row r="2314" spans="4:16" x14ac:dyDescent="0.25">
      <c r="D2314">
        <v>2033</v>
      </c>
      <c r="E2314" t="s">
        <v>227</v>
      </c>
      <c r="F2314" t="s">
        <v>267</v>
      </c>
      <c r="G2314">
        <v>170.59515947</v>
      </c>
      <c r="I2314">
        <f t="shared" si="156"/>
        <v>0</v>
      </c>
      <c r="J2314">
        <f t="shared" si="156"/>
        <v>0</v>
      </c>
      <c r="K2314">
        <f t="shared" si="156"/>
        <v>0</v>
      </c>
      <c r="M2314" t="str" cm="1">
        <f t="array" ref="M2314">IFERROR(INDEX($I$2:$K$2,0,MATCH(TRUE,I2314:K2314,0)),E2314)</f>
        <v>CHP New</v>
      </c>
      <c r="O2314" t="str">
        <f t="shared" si="154"/>
        <v>CHP New_2033</v>
      </c>
      <c r="P2314">
        <f t="shared" si="155"/>
        <v>170.59515947</v>
      </c>
    </row>
    <row r="2315" spans="4:16" x14ac:dyDescent="0.25">
      <c r="D2315">
        <v>2034</v>
      </c>
      <c r="E2315" t="s">
        <v>227</v>
      </c>
      <c r="F2315" t="s">
        <v>267</v>
      </c>
      <c r="G2315">
        <v>170.59515947</v>
      </c>
      <c r="I2315">
        <f t="shared" si="156"/>
        <v>0</v>
      </c>
      <c r="J2315">
        <f t="shared" si="156"/>
        <v>0</v>
      </c>
      <c r="K2315">
        <f t="shared" si="156"/>
        <v>0</v>
      </c>
      <c r="M2315" t="str" cm="1">
        <f t="array" ref="M2315">IFERROR(INDEX($I$2:$K$2,0,MATCH(TRUE,I2315:K2315,0)),E2315)</f>
        <v>CHP New</v>
      </c>
      <c r="O2315" t="str">
        <f t="shared" si="154"/>
        <v>CHP New_2034</v>
      </c>
      <c r="P2315">
        <f t="shared" si="155"/>
        <v>170.59515947</v>
      </c>
    </row>
    <row r="2316" spans="4:16" x14ac:dyDescent="0.25">
      <c r="D2316">
        <v>2035</v>
      </c>
      <c r="E2316" t="s">
        <v>227</v>
      </c>
      <c r="F2316" t="s">
        <v>267</v>
      </c>
      <c r="G2316">
        <v>170.59515947</v>
      </c>
      <c r="I2316">
        <f t="shared" si="156"/>
        <v>0</v>
      </c>
      <c r="J2316">
        <f t="shared" si="156"/>
        <v>0</v>
      </c>
      <c r="K2316">
        <f t="shared" si="156"/>
        <v>0</v>
      </c>
      <c r="M2316" t="str" cm="1">
        <f t="array" ref="M2316">IFERROR(INDEX($I$2:$K$2,0,MATCH(TRUE,I2316:K2316,0)),E2316)</f>
        <v>CHP New</v>
      </c>
      <c r="O2316" t="str">
        <f t="shared" si="154"/>
        <v>CHP New_2035</v>
      </c>
      <c r="P2316">
        <f t="shared" si="155"/>
        <v>170.59515947</v>
      </c>
    </row>
    <row r="2317" spans="4:16" x14ac:dyDescent="0.25">
      <c r="D2317">
        <v>2036</v>
      </c>
      <c r="E2317" t="s">
        <v>227</v>
      </c>
      <c r="F2317" t="s">
        <v>267</v>
      </c>
      <c r="G2317">
        <v>176.03628140999999</v>
      </c>
      <c r="I2317">
        <f t="shared" si="156"/>
        <v>0</v>
      </c>
      <c r="J2317">
        <f t="shared" si="156"/>
        <v>0</v>
      </c>
      <c r="K2317">
        <f t="shared" si="156"/>
        <v>0</v>
      </c>
      <c r="M2317" t="str" cm="1">
        <f t="array" ref="M2317">IFERROR(INDEX($I$2:$K$2,0,MATCH(TRUE,I2317:K2317,0)),E2317)</f>
        <v>CHP New</v>
      </c>
      <c r="O2317" t="str">
        <f t="shared" si="154"/>
        <v>CHP New_2036</v>
      </c>
      <c r="P2317">
        <f t="shared" si="155"/>
        <v>176.03628140999999</v>
      </c>
    </row>
    <row r="2318" spans="4:16" x14ac:dyDescent="0.25">
      <c r="D2318">
        <v>2037</v>
      </c>
      <c r="E2318" t="s">
        <v>227</v>
      </c>
      <c r="F2318" t="s">
        <v>267</v>
      </c>
      <c r="G2318">
        <v>170.59515947</v>
      </c>
      <c r="I2318">
        <f t="shared" si="156"/>
        <v>0</v>
      </c>
      <c r="J2318">
        <f t="shared" si="156"/>
        <v>0</v>
      </c>
      <c r="K2318">
        <f t="shared" si="156"/>
        <v>0</v>
      </c>
      <c r="M2318" t="str" cm="1">
        <f t="array" ref="M2318">IFERROR(INDEX($I$2:$K$2,0,MATCH(TRUE,I2318:K2318,0)),E2318)</f>
        <v>CHP New</v>
      </c>
      <c r="O2318" t="str">
        <f t="shared" si="154"/>
        <v>CHP New_2037</v>
      </c>
      <c r="P2318">
        <f t="shared" si="155"/>
        <v>170.59515947</v>
      </c>
    </row>
    <row r="2319" spans="4:16" x14ac:dyDescent="0.25">
      <c r="D2319">
        <v>2038</v>
      </c>
      <c r="E2319" t="s">
        <v>227</v>
      </c>
      <c r="F2319" t="s">
        <v>267</v>
      </c>
      <c r="G2319">
        <v>170.59515947</v>
      </c>
      <c r="I2319">
        <f t="shared" si="156"/>
        <v>0</v>
      </c>
      <c r="J2319">
        <f t="shared" si="156"/>
        <v>0</v>
      </c>
      <c r="K2319">
        <f t="shared" si="156"/>
        <v>0</v>
      </c>
      <c r="M2319" t="str" cm="1">
        <f t="array" ref="M2319">IFERROR(INDEX($I$2:$K$2,0,MATCH(TRUE,I2319:K2319,0)),E2319)</f>
        <v>CHP New</v>
      </c>
      <c r="O2319" t="str">
        <f t="shared" si="154"/>
        <v>CHP New_2038</v>
      </c>
      <c r="P2319">
        <f t="shared" si="155"/>
        <v>170.59515947</v>
      </c>
    </row>
    <row r="2320" spans="4:16" x14ac:dyDescent="0.25">
      <c r="D2320">
        <v>2039</v>
      </c>
      <c r="E2320" t="s">
        <v>227</v>
      </c>
      <c r="F2320" t="s">
        <v>267</v>
      </c>
      <c r="G2320">
        <v>170.59515947</v>
      </c>
      <c r="I2320">
        <f t="shared" si="156"/>
        <v>0</v>
      </c>
      <c r="J2320">
        <f t="shared" si="156"/>
        <v>0</v>
      </c>
      <c r="K2320">
        <f t="shared" si="156"/>
        <v>0</v>
      </c>
      <c r="M2320" t="str" cm="1">
        <f t="array" ref="M2320">IFERROR(INDEX($I$2:$K$2,0,MATCH(TRUE,I2320:K2320,0)),E2320)</f>
        <v>CHP New</v>
      </c>
      <c r="O2320" t="str">
        <f t="shared" si="154"/>
        <v>CHP New_2039</v>
      </c>
      <c r="P2320">
        <f t="shared" si="155"/>
        <v>170.59515947</v>
      </c>
    </row>
    <row r="2321" spans="4:16" x14ac:dyDescent="0.25">
      <c r="D2321">
        <v>2040</v>
      </c>
      <c r="E2321" t="s">
        <v>227</v>
      </c>
      <c r="F2321" t="s">
        <v>267</v>
      </c>
      <c r="G2321">
        <v>176.03628140999999</v>
      </c>
      <c r="I2321">
        <f t="shared" si="156"/>
        <v>0</v>
      </c>
      <c r="J2321">
        <f t="shared" si="156"/>
        <v>0</v>
      </c>
      <c r="K2321">
        <f t="shared" si="156"/>
        <v>0</v>
      </c>
      <c r="M2321" t="str" cm="1">
        <f t="array" ref="M2321">IFERROR(INDEX($I$2:$K$2,0,MATCH(TRUE,I2321:K2321,0)),E2321)</f>
        <v>CHP New</v>
      </c>
      <c r="O2321" t="str">
        <f t="shared" si="154"/>
        <v>CHP New_2040</v>
      </c>
      <c r="P2321">
        <f t="shared" si="155"/>
        <v>176.03628140999999</v>
      </c>
    </row>
    <row r="2322" spans="4:16" x14ac:dyDescent="0.25">
      <c r="D2322">
        <v>2026</v>
      </c>
      <c r="E2322" t="s">
        <v>227</v>
      </c>
      <c r="F2322" t="s">
        <v>268</v>
      </c>
      <c r="G2322">
        <v>0</v>
      </c>
      <c r="I2322">
        <f t="shared" si="156"/>
        <v>0</v>
      </c>
      <c r="J2322">
        <f t="shared" si="156"/>
        <v>0</v>
      </c>
      <c r="K2322">
        <f t="shared" si="156"/>
        <v>0</v>
      </c>
      <c r="M2322" t="str" cm="1">
        <f t="array" ref="M2322">IFERROR(INDEX($I$2:$K$2,0,MATCH(TRUE,I2322:K2322,0)),E2322)</f>
        <v>CHP New</v>
      </c>
      <c r="O2322" t="str">
        <f t="shared" si="154"/>
        <v>CHP New_2026</v>
      </c>
      <c r="P2322">
        <f t="shared" si="155"/>
        <v>0</v>
      </c>
    </row>
    <row r="2323" spans="4:16" x14ac:dyDescent="0.25">
      <c r="D2323">
        <v>2027</v>
      </c>
      <c r="E2323" t="s">
        <v>227</v>
      </c>
      <c r="F2323" t="s">
        <v>268</v>
      </c>
      <c r="G2323">
        <v>170.59515947</v>
      </c>
      <c r="I2323">
        <f t="shared" si="156"/>
        <v>0</v>
      </c>
      <c r="J2323">
        <f t="shared" si="156"/>
        <v>0</v>
      </c>
      <c r="K2323">
        <f t="shared" si="156"/>
        <v>0</v>
      </c>
      <c r="M2323" t="str" cm="1">
        <f t="array" ref="M2323">IFERROR(INDEX($I$2:$K$2,0,MATCH(TRUE,I2323:K2323,0)),E2323)</f>
        <v>CHP New</v>
      </c>
      <c r="O2323" t="str">
        <f t="shared" ref="O2323:O2386" si="157">M2323&amp;"_"&amp;D2323</f>
        <v>CHP New_2027</v>
      </c>
      <c r="P2323">
        <f t="shared" ref="P2323:P2386" si="158">G2323</f>
        <v>170.59515947</v>
      </c>
    </row>
    <row r="2324" spans="4:16" x14ac:dyDescent="0.25">
      <c r="D2324">
        <v>2028</v>
      </c>
      <c r="E2324" t="s">
        <v>227</v>
      </c>
      <c r="F2324" t="s">
        <v>268</v>
      </c>
      <c r="G2324">
        <v>170.59515947</v>
      </c>
      <c r="I2324">
        <f t="shared" si="156"/>
        <v>0</v>
      </c>
      <c r="J2324">
        <f t="shared" si="156"/>
        <v>0</v>
      </c>
      <c r="K2324">
        <f t="shared" si="156"/>
        <v>0</v>
      </c>
      <c r="M2324" t="str" cm="1">
        <f t="array" ref="M2324">IFERROR(INDEX($I$2:$K$2,0,MATCH(TRUE,I2324:K2324,0)),E2324)</f>
        <v>CHP New</v>
      </c>
      <c r="O2324" t="str">
        <f t="shared" si="157"/>
        <v>CHP New_2028</v>
      </c>
      <c r="P2324">
        <f t="shared" si="158"/>
        <v>170.59515947</v>
      </c>
    </row>
    <row r="2325" spans="4:16" x14ac:dyDescent="0.25">
      <c r="D2325">
        <v>2029</v>
      </c>
      <c r="E2325" t="s">
        <v>227</v>
      </c>
      <c r="F2325" t="s">
        <v>268</v>
      </c>
      <c r="G2325">
        <v>170.59515947</v>
      </c>
      <c r="I2325">
        <f t="shared" ref="I2325:K2388" si="159">IFERROR(FIND(I$2,$E2325,1)&gt;0,0)</f>
        <v>0</v>
      </c>
      <c r="J2325">
        <f t="shared" si="159"/>
        <v>0</v>
      </c>
      <c r="K2325">
        <f t="shared" si="159"/>
        <v>0</v>
      </c>
      <c r="M2325" t="str" cm="1">
        <f t="array" ref="M2325">IFERROR(INDEX($I$2:$K$2,0,MATCH(TRUE,I2325:K2325,0)),E2325)</f>
        <v>CHP New</v>
      </c>
      <c r="O2325" t="str">
        <f t="shared" si="157"/>
        <v>CHP New_2029</v>
      </c>
      <c r="P2325">
        <f t="shared" si="158"/>
        <v>170.59515947</v>
      </c>
    </row>
    <row r="2326" spans="4:16" x14ac:dyDescent="0.25">
      <c r="D2326">
        <v>2030</v>
      </c>
      <c r="E2326" t="s">
        <v>227</v>
      </c>
      <c r="F2326" t="s">
        <v>268</v>
      </c>
      <c r="G2326">
        <v>170.59515947</v>
      </c>
      <c r="I2326">
        <f t="shared" si="159"/>
        <v>0</v>
      </c>
      <c r="J2326">
        <f t="shared" si="159"/>
        <v>0</v>
      </c>
      <c r="K2326">
        <f t="shared" si="159"/>
        <v>0</v>
      </c>
      <c r="M2326" t="str" cm="1">
        <f t="array" ref="M2326">IFERROR(INDEX($I$2:$K$2,0,MATCH(TRUE,I2326:K2326,0)),E2326)</f>
        <v>CHP New</v>
      </c>
      <c r="O2326" t="str">
        <f t="shared" si="157"/>
        <v>CHP New_2030</v>
      </c>
      <c r="P2326">
        <f t="shared" si="158"/>
        <v>170.59515947</v>
      </c>
    </row>
    <row r="2327" spans="4:16" x14ac:dyDescent="0.25">
      <c r="D2327">
        <v>2031</v>
      </c>
      <c r="E2327" t="s">
        <v>227</v>
      </c>
      <c r="F2327" t="s">
        <v>268</v>
      </c>
      <c r="G2327">
        <v>170.59515947</v>
      </c>
      <c r="I2327">
        <f t="shared" si="159"/>
        <v>0</v>
      </c>
      <c r="J2327">
        <f t="shared" si="159"/>
        <v>0</v>
      </c>
      <c r="K2327">
        <f t="shared" si="159"/>
        <v>0</v>
      </c>
      <c r="M2327" t="str" cm="1">
        <f t="array" ref="M2327">IFERROR(INDEX($I$2:$K$2,0,MATCH(TRUE,I2327:K2327,0)),E2327)</f>
        <v>CHP New</v>
      </c>
      <c r="O2327" t="str">
        <f t="shared" si="157"/>
        <v>CHP New_2031</v>
      </c>
      <c r="P2327">
        <f t="shared" si="158"/>
        <v>170.59515947</v>
      </c>
    </row>
    <row r="2328" spans="4:16" x14ac:dyDescent="0.25">
      <c r="D2328">
        <v>2032</v>
      </c>
      <c r="E2328" t="s">
        <v>227</v>
      </c>
      <c r="F2328" t="s">
        <v>268</v>
      </c>
      <c r="G2328">
        <v>170.59515947</v>
      </c>
      <c r="I2328">
        <f t="shared" si="159"/>
        <v>0</v>
      </c>
      <c r="J2328">
        <f t="shared" si="159"/>
        <v>0</v>
      </c>
      <c r="K2328">
        <f t="shared" si="159"/>
        <v>0</v>
      </c>
      <c r="M2328" t="str" cm="1">
        <f t="array" ref="M2328">IFERROR(INDEX($I$2:$K$2,0,MATCH(TRUE,I2328:K2328,0)),E2328)</f>
        <v>CHP New</v>
      </c>
      <c r="O2328" t="str">
        <f t="shared" si="157"/>
        <v>CHP New_2032</v>
      </c>
      <c r="P2328">
        <f t="shared" si="158"/>
        <v>170.59515947</v>
      </c>
    </row>
    <row r="2329" spans="4:16" x14ac:dyDescent="0.25">
      <c r="D2329">
        <v>2033</v>
      </c>
      <c r="E2329" t="s">
        <v>227</v>
      </c>
      <c r="F2329" t="s">
        <v>268</v>
      </c>
      <c r="G2329">
        <v>170.59515947</v>
      </c>
      <c r="I2329">
        <f t="shared" si="159"/>
        <v>0</v>
      </c>
      <c r="J2329">
        <f t="shared" si="159"/>
        <v>0</v>
      </c>
      <c r="K2329">
        <f t="shared" si="159"/>
        <v>0</v>
      </c>
      <c r="M2329" t="str" cm="1">
        <f t="array" ref="M2329">IFERROR(INDEX($I$2:$K$2,0,MATCH(TRUE,I2329:K2329,0)),E2329)</f>
        <v>CHP New</v>
      </c>
      <c r="O2329" t="str">
        <f t="shared" si="157"/>
        <v>CHP New_2033</v>
      </c>
      <c r="P2329">
        <f t="shared" si="158"/>
        <v>170.59515947</v>
      </c>
    </row>
    <row r="2330" spans="4:16" x14ac:dyDescent="0.25">
      <c r="D2330">
        <v>2034</v>
      </c>
      <c r="E2330" t="s">
        <v>227</v>
      </c>
      <c r="F2330" t="s">
        <v>268</v>
      </c>
      <c r="G2330">
        <v>170.59515947</v>
      </c>
      <c r="I2330">
        <f t="shared" si="159"/>
        <v>0</v>
      </c>
      <c r="J2330">
        <f t="shared" si="159"/>
        <v>0</v>
      </c>
      <c r="K2330">
        <f t="shared" si="159"/>
        <v>0</v>
      </c>
      <c r="M2330" t="str" cm="1">
        <f t="array" ref="M2330">IFERROR(INDEX($I$2:$K$2,0,MATCH(TRUE,I2330:K2330,0)),E2330)</f>
        <v>CHP New</v>
      </c>
      <c r="O2330" t="str">
        <f t="shared" si="157"/>
        <v>CHP New_2034</v>
      </c>
      <c r="P2330">
        <f t="shared" si="158"/>
        <v>170.59515947</v>
      </c>
    </row>
    <row r="2331" spans="4:16" x14ac:dyDescent="0.25">
      <c r="D2331">
        <v>2035</v>
      </c>
      <c r="E2331" t="s">
        <v>227</v>
      </c>
      <c r="F2331" t="s">
        <v>268</v>
      </c>
      <c r="G2331">
        <v>170.59515947</v>
      </c>
      <c r="I2331">
        <f t="shared" si="159"/>
        <v>0</v>
      </c>
      <c r="J2331">
        <f t="shared" si="159"/>
        <v>0</v>
      </c>
      <c r="K2331">
        <f t="shared" si="159"/>
        <v>0</v>
      </c>
      <c r="M2331" t="str" cm="1">
        <f t="array" ref="M2331">IFERROR(INDEX($I$2:$K$2,0,MATCH(TRUE,I2331:K2331,0)),E2331)</f>
        <v>CHP New</v>
      </c>
      <c r="O2331" t="str">
        <f t="shared" si="157"/>
        <v>CHP New_2035</v>
      </c>
      <c r="P2331">
        <f t="shared" si="158"/>
        <v>170.59515947</v>
      </c>
    </row>
    <row r="2332" spans="4:16" x14ac:dyDescent="0.25">
      <c r="D2332">
        <v>2036</v>
      </c>
      <c r="E2332" t="s">
        <v>227</v>
      </c>
      <c r="F2332" t="s">
        <v>268</v>
      </c>
      <c r="G2332">
        <v>176.03628140999999</v>
      </c>
      <c r="I2332">
        <f t="shared" si="159"/>
        <v>0</v>
      </c>
      <c r="J2332">
        <f t="shared" si="159"/>
        <v>0</v>
      </c>
      <c r="K2332">
        <f t="shared" si="159"/>
        <v>0</v>
      </c>
      <c r="M2332" t="str" cm="1">
        <f t="array" ref="M2332">IFERROR(INDEX($I$2:$K$2,0,MATCH(TRUE,I2332:K2332,0)),E2332)</f>
        <v>CHP New</v>
      </c>
      <c r="O2332" t="str">
        <f t="shared" si="157"/>
        <v>CHP New_2036</v>
      </c>
      <c r="P2332">
        <f t="shared" si="158"/>
        <v>176.03628140999999</v>
      </c>
    </row>
    <row r="2333" spans="4:16" x14ac:dyDescent="0.25">
      <c r="D2333">
        <v>2037</v>
      </c>
      <c r="E2333" t="s">
        <v>227</v>
      </c>
      <c r="F2333" t="s">
        <v>268</v>
      </c>
      <c r="G2333">
        <v>170.59515947</v>
      </c>
      <c r="I2333">
        <f t="shared" si="159"/>
        <v>0</v>
      </c>
      <c r="J2333">
        <f t="shared" si="159"/>
        <v>0</v>
      </c>
      <c r="K2333">
        <f t="shared" si="159"/>
        <v>0</v>
      </c>
      <c r="M2333" t="str" cm="1">
        <f t="array" ref="M2333">IFERROR(INDEX($I$2:$K$2,0,MATCH(TRUE,I2333:K2333,0)),E2333)</f>
        <v>CHP New</v>
      </c>
      <c r="O2333" t="str">
        <f t="shared" si="157"/>
        <v>CHP New_2037</v>
      </c>
      <c r="P2333">
        <f t="shared" si="158"/>
        <v>170.59515947</v>
      </c>
    </row>
    <row r="2334" spans="4:16" x14ac:dyDescent="0.25">
      <c r="D2334">
        <v>2038</v>
      </c>
      <c r="E2334" t="s">
        <v>227</v>
      </c>
      <c r="F2334" t="s">
        <v>268</v>
      </c>
      <c r="G2334">
        <v>170.59515947</v>
      </c>
      <c r="I2334">
        <f t="shared" si="159"/>
        <v>0</v>
      </c>
      <c r="J2334">
        <f t="shared" si="159"/>
        <v>0</v>
      </c>
      <c r="K2334">
        <f t="shared" si="159"/>
        <v>0</v>
      </c>
      <c r="M2334" t="str" cm="1">
        <f t="array" ref="M2334">IFERROR(INDEX($I$2:$K$2,0,MATCH(TRUE,I2334:K2334,0)),E2334)</f>
        <v>CHP New</v>
      </c>
      <c r="O2334" t="str">
        <f t="shared" si="157"/>
        <v>CHP New_2038</v>
      </c>
      <c r="P2334">
        <f t="shared" si="158"/>
        <v>170.59515947</v>
      </c>
    </row>
    <row r="2335" spans="4:16" x14ac:dyDescent="0.25">
      <c r="D2335">
        <v>2039</v>
      </c>
      <c r="E2335" t="s">
        <v>227</v>
      </c>
      <c r="F2335" t="s">
        <v>268</v>
      </c>
      <c r="G2335">
        <v>170.59515947</v>
      </c>
      <c r="I2335">
        <f t="shared" si="159"/>
        <v>0</v>
      </c>
      <c r="J2335">
        <f t="shared" si="159"/>
        <v>0</v>
      </c>
      <c r="K2335">
        <f t="shared" si="159"/>
        <v>0</v>
      </c>
      <c r="M2335" t="str" cm="1">
        <f t="array" ref="M2335">IFERROR(INDEX($I$2:$K$2,0,MATCH(TRUE,I2335:K2335,0)),E2335)</f>
        <v>CHP New</v>
      </c>
      <c r="O2335" t="str">
        <f t="shared" si="157"/>
        <v>CHP New_2039</v>
      </c>
      <c r="P2335">
        <f t="shared" si="158"/>
        <v>170.59515947</v>
      </c>
    </row>
    <row r="2336" spans="4:16" x14ac:dyDescent="0.25">
      <c r="D2336">
        <v>2040</v>
      </c>
      <c r="E2336" t="s">
        <v>227</v>
      </c>
      <c r="F2336" t="s">
        <v>268</v>
      </c>
      <c r="G2336">
        <v>176.03628140999999</v>
      </c>
      <c r="I2336">
        <f t="shared" si="159"/>
        <v>0</v>
      </c>
      <c r="J2336">
        <f t="shared" si="159"/>
        <v>0</v>
      </c>
      <c r="K2336">
        <f t="shared" si="159"/>
        <v>0</v>
      </c>
      <c r="M2336" t="str" cm="1">
        <f t="array" ref="M2336">IFERROR(INDEX($I$2:$K$2,0,MATCH(TRUE,I2336:K2336,0)),E2336)</f>
        <v>CHP New</v>
      </c>
      <c r="O2336" t="str">
        <f t="shared" si="157"/>
        <v>CHP New_2040</v>
      </c>
      <c r="P2336">
        <f t="shared" si="158"/>
        <v>176.03628140999999</v>
      </c>
    </row>
    <row r="2337" spans="4:16" x14ac:dyDescent="0.25">
      <c r="D2337">
        <v>2024</v>
      </c>
      <c r="E2337" t="s">
        <v>227</v>
      </c>
      <c r="F2337" t="s">
        <v>269</v>
      </c>
      <c r="G2337">
        <v>0</v>
      </c>
      <c r="I2337">
        <f t="shared" si="159"/>
        <v>0</v>
      </c>
      <c r="J2337">
        <f t="shared" si="159"/>
        <v>0</v>
      </c>
      <c r="K2337">
        <f t="shared" si="159"/>
        <v>0</v>
      </c>
      <c r="M2337" t="str" cm="1">
        <f t="array" ref="M2337">IFERROR(INDEX($I$2:$K$2,0,MATCH(TRUE,I2337:K2337,0)),E2337)</f>
        <v>CHP New</v>
      </c>
      <c r="O2337" t="str">
        <f t="shared" si="157"/>
        <v>CHP New_2024</v>
      </c>
      <c r="P2337">
        <f t="shared" si="158"/>
        <v>0</v>
      </c>
    </row>
    <row r="2338" spans="4:16" x14ac:dyDescent="0.25">
      <c r="D2338">
        <v>2025</v>
      </c>
      <c r="E2338" t="s">
        <v>227</v>
      </c>
      <c r="F2338" t="s">
        <v>269</v>
      </c>
      <c r="G2338">
        <v>15.74566967</v>
      </c>
      <c r="I2338">
        <f t="shared" si="159"/>
        <v>0</v>
      </c>
      <c r="J2338">
        <f t="shared" si="159"/>
        <v>0</v>
      </c>
      <c r="K2338">
        <f t="shared" si="159"/>
        <v>0</v>
      </c>
      <c r="M2338" t="str" cm="1">
        <f t="array" ref="M2338">IFERROR(INDEX($I$2:$K$2,0,MATCH(TRUE,I2338:K2338,0)),E2338)</f>
        <v>CHP New</v>
      </c>
      <c r="O2338" t="str">
        <f t="shared" si="157"/>
        <v>CHP New_2025</v>
      </c>
      <c r="P2338">
        <f t="shared" si="158"/>
        <v>15.74566967</v>
      </c>
    </row>
    <row r="2339" spans="4:16" x14ac:dyDescent="0.25">
      <c r="D2339">
        <v>2026</v>
      </c>
      <c r="E2339" t="s">
        <v>227</v>
      </c>
      <c r="F2339" t="s">
        <v>269</v>
      </c>
      <c r="G2339">
        <v>15.74566967</v>
      </c>
      <c r="I2339">
        <f t="shared" si="159"/>
        <v>0</v>
      </c>
      <c r="J2339">
        <f t="shared" si="159"/>
        <v>0</v>
      </c>
      <c r="K2339">
        <f t="shared" si="159"/>
        <v>0</v>
      </c>
      <c r="M2339" t="str" cm="1">
        <f t="array" ref="M2339">IFERROR(INDEX($I$2:$K$2,0,MATCH(TRUE,I2339:K2339,0)),E2339)</f>
        <v>CHP New</v>
      </c>
      <c r="O2339" t="str">
        <f t="shared" si="157"/>
        <v>CHP New_2026</v>
      </c>
      <c r="P2339">
        <f t="shared" si="158"/>
        <v>15.74566967</v>
      </c>
    </row>
    <row r="2340" spans="4:16" x14ac:dyDescent="0.25">
      <c r="D2340">
        <v>2027</v>
      </c>
      <c r="E2340" t="s">
        <v>227</v>
      </c>
      <c r="F2340" t="s">
        <v>269</v>
      </c>
      <c r="G2340">
        <v>15.74566967</v>
      </c>
      <c r="I2340">
        <f t="shared" si="159"/>
        <v>0</v>
      </c>
      <c r="J2340">
        <f t="shared" si="159"/>
        <v>0</v>
      </c>
      <c r="K2340">
        <f t="shared" si="159"/>
        <v>0</v>
      </c>
      <c r="M2340" t="str" cm="1">
        <f t="array" ref="M2340">IFERROR(INDEX($I$2:$K$2,0,MATCH(TRUE,I2340:K2340,0)),E2340)</f>
        <v>CHP New</v>
      </c>
      <c r="O2340" t="str">
        <f t="shared" si="157"/>
        <v>CHP New_2027</v>
      </c>
      <c r="P2340">
        <f t="shared" si="158"/>
        <v>15.74566967</v>
      </c>
    </row>
    <row r="2341" spans="4:16" x14ac:dyDescent="0.25">
      <c r="D2341">
        <v>2028</v>
      </c>
      <c r="E2341" t="s">
        <v>227</v>
      </c>
      <c r="F2341" t="s">
        <v>269</v>
      </c>
      <c r="G2341">
        <v>15.74566967</v>
      </c>
      <c r="I2341">
        <f t="shared" si="159"/>
        <v>0</v>
      </c>
      <c r="J2341">
        <f t="shared" si="159"/>
        <v>0</v>
      </c>
      <c r="K2341">
        <f t="shared" si="159"/>
        <v>0</v>
      </c>
      <c r="M2341" t="str" cm="1">
        <f t="array" ref="M2341">IFERROR(INDEX($I$2:$K$2,0,MATCH(TRUE,I2341:K2341,0)),E2341)</f>
        <v>CHP New</v>
      </c>
      <c r="O2341" t="str">
        <f t="shared" si="157"/>
        <v>CHP New_2028</v>
      </c>
      <c r="P2341">
        <f t="shared" si="158"/>
        <v>15.74566967</v>
      </c>
    </row>
    <row r="2342" spans="4:16" x14ac:dyDescent="0.25">
      <c r="D2342">
        <v>2029</v>
      </c>
      <c r="E2342" t="s">
        <v>227</v>
      </c>
      <c r="F2342" t="s">
        <v>269</v>
      </c>
      <c r="G2342">
        <v>15.74566967</v>
      </c>
      <c r="I2342">
        <f t="shared" si="159"/>
        <v>0</v>
      </c>
      <c r="J2342">
        <f t="shared" si="159"/>
        <v>0</v>
      </c>
      <c r="K2342">
        <f t="shared" si="159"/>
        <v>0</v>
      </c>
      <c r="M2342" t="str" cm="1">
        <f t="array" ref="M2342">IFERROR(INDEX($I$2:$K$2,0,MATCH(TRUE,I2342:K2342,0)),E2342)</f>
        <v>CHP New</v>
      </c>
      <c r="O2342" t="str">
        <f t="shared" si="157"/>
        <v>CHP New_2029</v>
      </c>
      <c r="P2342">
        <f t="shared" si="158"/>
        <v>15.74566967</v>
      </c>
    </row>
    <row r="2343" spans="4:16" x14ac:dyDescent="0.25">
      <c r="D2343">
        <v>2030</v>
      </c>
      <c r="E2343" t="s">
        <v>227</v>
      </c>
      <c r="F2343" t="s">
        <v>269</v>
      </c>
      <c r="G2343">
        <v>15.74566967</v>
      </c>
      <c r="I2343">
        <f t="shared" si="159"/>
        <v>0</v>
      </c>
      <c r="J2343">
        <f t="shared" si="159"/>
        <v>0</v>
      </c>
      <c r="K2343">
        <f t="shared" si="159"/>
        <v>0</v>
      </c>
      <c r="M2343" t="str" cm="1">
        <f t="array" ref="M2343">IFERROR(INDEX($I$2:$K$2,0,MATCH(TRUE,I2343:K2343,0)),E2343)</f>
        <v>CHP New</v>
      </c>
      <c r="O2343" t="str">
        <f t="shared" si="157"/>
        <v>CHP New_2030</v>
      </c>
      <c r="P2343">
        <f t="shared" si="158"/>
        <v>15.74566967</v>
      </c>
    </row>
    <row r="2344" spans="4:16" x14ac:dyDescent="0.25">
      <c r="D2344">
        <v>2031</v>
      </c>
      <c r="E2344" t="s">
        <v>227</v>
      </c>
      <c r="F2344" t="s">
        <v>269</v>
      </c>
      <c r="G2344">
        <v>15.74566967</v>
      </c>
      <c r="I2344">
        <f t="shared" si="159"/>
        <v>0</v>
      </c>
      <c r="J2344">
        <f t="shared" si="159"/>
        <v>0</v>
      </c>
      <c r="K2344">
        <f t="shared" si="159"/>
        <v>0</v>
      </c>
      <c r="M2344" t="str" cm="1">
        <f t="array" ref="M2344">IFERROR(INDEX($I$2:$K$2,0,MATCH(TRUE,I2344:K2344,0)),E2344)</f>
        <v>CHP New</v>
      </c>
      <c r="O2344" t="str">
        <f t="shared" si="157"/>
        <v>CHP New_2031</v>
      </c>
      <c r="P2344">
        <f t="shared" si="158"/>
        <v>15.74566967</v>
      </c>
    </row>
    <row r="2345" spans="4:16" x14ac:dyDescent="0.25">
      <c r="D2345">
        <v>2032</v>
      </c>
      <c r="E2345" t="s">
        <v>227</v>
      </c>
      <c r="F2345" t="s">
        <v>269</v>
      </c>
      <c r="G2345">
        <v>15.74566967</v>
      </c>
      <c r="I2345">
        <f t="shared" si="159"/>
        <v>0</v>
      </c>
      <c r="J2345">
        <f t="shared" si="159"/>
        <v>0</v>
      </c>
      <c r="K2345">
        <f t="shared" si="159"/>
        <v>0</v>
      </c>
      <c r="M2345" t="str" cm="1">
        <f t="array" ref="M2345">IFERROR(INDEX($I$2:$K$2,0,MATCH(TRUE,I2345:K2345,0)),E2345)</f>
        <v>CHP New</v>
      </c>
      <c r="O2345" t="str">
        <f t="shared" si="157"/>
        <v>CHP New_2032</v>
      </c>
      <c r="P2345">
        <f t="shared" si="158"/>
        <v>15.74566967</v>
      </c>
    </row>
    <row r="2346" spans="4:16" x14ac:dyDescent="0.25">
      <c r="D2346">
        <v>2033</v>
      </c>
      <c r="E2346" t="s">
        <v>227</v>
      </c>
      <c r="F2346" t="s">
        <v>269</v>
      </c>
      <c r="G2346">
        <v>15.74566967</v>
      </c>
      <c r="I2346">
        <f t="shared" si="159"/>
        <v>0</v>
      </c>
      <c r="J2346">
        <f t="shared" si="159"/>
        <v>0</v>
      </c>
      <c r="K2346">
        <f t="shared" si="159"/>
        <v>0</v>
      </c>
      <c r="M2346" t="str" cm="1">
        <f t="array" ref="M2346">IFERROR(INDEX($I$2:$K$2,0,MATCH(TRUE,I2346:K2346,0)),E2346)</f>
        <v>CHP New</v>
      </c>
      <c r="O2346" t="str">
        <f t="shared" si="157"/>
        <v>CHP New_2033</v>
      </c>
      <c r="P2346">
        <f t="shared" si="158"/>
        <v>15.74566967</v>
      </c>
    </row>
    <row r="2347" spans="4:16" x14ac:dyDescent="0.25">
      <c r="D2347">
        <v>2034</v>
      </c>
      <c r="E2347" t="s">
        <v>227</v>
      </c>
      <c r="F2347" t="s">
        <v>269</v>
      </c>
      <c r="G2347">
        <v>15.74566967</v>
      </c>
      <c r="I2347">
        <f t="shared" si="159"/>
        <v>0</v>
      </c>
      <c r="J2347">
        <f t="shared" si="159"/>
        <v>0</v>
      </c>
      <c r="K2347">
        <f t="shared" si="159"/>
        <v>0</v>
      </c>
      <c r="M2347" t="str" cm="1">
        <f t="array" ref="M2347">IFERROR(INDEX($I$2:$K$2,0,MATCH(TRUE,I2347:K2347,0)),E2347)</f>
        <v>CHP New</v>
      </c>
      <c r="O2347" t="str">
        <f t="shared" si="157"/>
        <v>CHP New_2034</v>
      </c>
      <c r="P2347">
        <f t="shared" si="158"/>
        <v>15.74566967</v>
      </c>
    </row>
    <row r="2348" spans="4:16" x14ac:dyDescent="0.25">
      <c r="D2348">
        <v>2035</v>
      </c>
      <c r="E2348" t="s">
        <v>227</v>
      </c>
      <c r="F2348" t="s">
        <v>269</v>
      </c>
      <c r="G2348">
        <v>15.74566967</v>
      </c>
      <c r="I2348">
        <f t="shared" si="159"/>
        <v>0</v>
      </c>
      <c r="J2348">
        <f t="shared" si="159"/>
        <v>0</v>
      </c>
      <c r="K2348">
        <f t="shared" si="159"/>
        <v>0</v>
      </c>
      <c r="M2348" t="str" cm="1">
        <f t="array" ref="M2348">IFERROR(INDEX($I$2:$K$2,0,MATCH(TRUE,I2348:K2348,0)),E2348)</f>
        <v>CHP New</v>
      </c>
      <c r="O2348" t="str">
        <f t="shared" si="157"/>
        <v>CHP New_2035</v>
      </c>
      <c r="P2348">
        <f t="shared" si="158"/>
        <v>15.74566967</v>
      </c>
    </row>
    <row r="2349" spans="4:16" x14ac:dyDescent="0.25">
      <c r="D2349">
        <v>2036</v>
      </c>
      <c r="E2349" t="s">
        <v>227</v>
      </c>
      <c r="F2349" t="s">
        <v>269</v>
      </c>
      <c r="G2349">
        <v>16.175405479999998</v>
      </c>
      <c r="I2349">
        <f t="shared" si="159"/>
        <v>0</v>
      </c>
      <c r="J2349">
        <f t="shared" si="159"/>
        <v>0</v>
      </c>
      <c r="K2349">
        <f t="shared" si="159"/>
        <v>0</v>
      </c>
      <c r="M2349" t="str" cm="1">
        <f t="array" ref="M2349">IFERROR(INDEX($I$2:$K$2,0,MATCH(TRUE,I2349:K2349,0)),E2349)</f>
        <v>CHP New</v>
      </c>
      <c r="O2349" t="str">
        <f t="shared" si="157"/>
        <v>CHP New_2036</v>
      </c>
      <c r="P2349">
        <f t="shared" si="158"/>
        <v>16.175405479999998</v>
      </c>
    </row>
    <row r="2350" spans="4:16" x14ac:dyDescent="0.25">
      <c r="D2350">
        <v>2037</v>
      </c>
      <c r="E2350" t="s">
        <v>227</v>
      </c>
      <c r="F2350" t="s">
        <v>269</v>
      </c>
      <c r="G2350">
        <v>15.74566967</v>
      </c>
      <c r="I2350">
        <f t="shared" si="159"/>
        <v>0</v>
      </c>
      <c r="J2350">
        <f t="shared" si="159"/>
        <v>0</v>
      </c>
      <c r="K2350">
        <f t="shared" si="159"/>
        <v>0</v>
      </c>
      <c r="M2350" t="str" cm="1">
        <f t="array" ref="M2350">IFERROR(INDEX($I$2:$K$2,0,MATCH(TRUE,I2350:K2350,0)),E2350)</f>
        <v>CHP New</v>
      </c>
      <c r="O2350" t="str">
        <f t="shared" si="157"/>
        <v>CHP New_2037</v>
      </c>
      <c r="P2350">
        <f t="shared" si="158"/>
        <v>15.74566967</v>
      </c>
    </row>
    <row r="2351" spans="4:16" x14ac:dyDescent="0.25">
      <c r="D2351">
        <v>2038</v>
      </c>
      <c r="E2351" t="s">
        <v>227</v>
      </c>
      <c r="F2351" t="s">
        <v>269</v>
      </c>
      <c r="G2351">
        <v>15.74566967</v>
      </c>
      <c r="I2351">
        <f t="shared" si="159"/>
        <v>0</v>
      </c>
      <c r="J2351">
        <f t="shared" si="159"/>
        <v>0</v>
      </c>
      <c r="K2351">
        <f t="shared" si="159"/>
        <v>0</v>
      </c>
      <c r="M2351" t="str" cm="1">
        <f t="array" ref="M2351">IFERROR(INDEX($I$2:$K$2,0,MATCH(TRUE,I2351:K2351,0)),E2351)</f>
        <v>CHP New</v>
      </c>
      <c r="O2351" t="str">
        <f t="shared" si="157"/>
        <v>CHP New_2038</v>
      </c>
      <c r="P2351">
        <f t="shared" si="158"/>
        <v>15.74566967</v>
      </c>
    </row>
    <row r="2352" spans="4:16" x14ac:dyDescent="0.25">
      <c r="D2352">
        <v>2039</v>
      </c>
      <c r="E2352" t="s">
        <v>227</v>
      </c>
      <c r="F2352" t="s">
        <v>269</v>
      </c>
      <c r="G2352">
        <v>15.74566967</v>
      </c>
      <c r="I2352">
        <f t="shared" si="159"/>
        <v>0</v>
      </c>
      <c r="J2352">
        <f t="shared" si="159"/>
        <v>0</v>
      </c>
      <c r="K2352">
        <f t="shared" si="159"/>
        <v>0</v>
      </c>
      <c r="M2352" t="str" cm="1">
        <f t="array" ref="M2352">IFERROR(INDEX($I$2:$K$2,0,MATCH(TRUE,I2352:K2352,0)),E2352)</f>
        <v>CHP New</v>
      </c>
      <c r="O2352" t="str">
        <f t="shared" si="157"/>
        <v>CHP New_2039</v>
      </c>
      <c r="P2352">
        <f t="shared" si="158"/>
        <v>15.74566967</v>
      </c>
    </row>
    <row r="2353" spans="4:16" x14ac:dyDescent="0.25">
      <c r="D2353">
        <v>2040</v>
      </c>
      <c r="E2353" t="s">
        <v>227</v>
      </c>
      <c r="F2353" t="s">
        <v>269</v>
      </c>
      <c r="G2353">
        <v>16.175405479999998</v>
      </c>
      <c r="I2353">
        <f t="shared" si="159"/>
        <v>0</v>
      </c>
      <c r="J2353">
        <f t="shared" si="159"/>
        <v>0</v>
      </c>
      <c r="K2353">
        <f t="shared" si="159"/>
        <v>0</v>
      </c>
      <c r="M2353" t="str" cm="1">
        <f t="array" ref="M2353">IFERROR(INDEX($I$2:$K$2,0,MATCH(TRUE,I2353:K2353,0)),E2353)</f>
        <v>CHP New</v>
      </c>
      <c r="O2353" t="str">
        <f t="shared" si="157"/>
        <v>CHP New_2040</v>
      </c>
      <c r="P2353">
        <f t="shared" si="158"/>
        <v>16.175405479999998</v>
      </c>
    </row>
    <row r="2354" spans="4:16" x14ac:dyDescent="0.25">
      <c r="D2354">
        <v>2022</v>
      </c>
      <c r="E2354" t="s">
        <v>227</v>
      </c>
      <c r="F2354" t="s">
        <v>270</v>
      </c>
      <c r="G2354">
        <v>0</v>
      </c>
      <c r="I2354">
        <f t="shared" si="159"/>
        <v>0</v>
      </c>
      <c r="J2354">
        <f t="shared" si="159"/>
        <v>0</v>
      </c>
      <c r="K2354">
        <f t="shared" si="159"/>
        <v>0</v>
      </c>
      <c r="M2354" t="str" cm="1">
        <f t="array" ref="M2354">IFERROR(INDEX($I$2:$K$2,0,MATCH(TRUE,I2354:K2354,0)),E2354)</f>
        <v>CHP New</v>
      </c>
      <c r="O2354" t="str">
        <f t="shared" si="157"/>
        <v>CHP New_2022</v>
      </c>
      <c r="P2354">
        <f t="shared" si="158"/>
        <v>0</v>
      </c>
    </row>
    <row r="2355" spans="4:16" x14ac:dyDescent="0.25">
      <c r="D2355">
        <v>2023</v>
      </c>
      <c r="E2355" t="s">
        <v>227</v>
      </c>
      <c r="F2355" t="s">
        <v>270</v>
      </c>
      <c r="G2355">
        <v>90.742106100000001</v>
      </c>
      <c r="I2355">
        <f t="shared" si="159"/>
        <v>0</v>
      </c>
      <c r="J2355">
        <f t="shared" si="159"/>
        <v>0</v>
      </c>
      <c r="K2355">
        <f t="shared" si="159"/>
        <v>0</v>
      </c>
      <c r="M2355" t="str" cm="1">
        <f t="array" ref="M2355">IFERROR(INDEX($I$2:$K$2,0,MATCH(TRUE,I2355:K2355,0)),E2355)</f>
        <v>CHP New</v>
      </c>
      <c r="O2355" t="str">
        <f t="shared" si="157"/>
        <v>CHP New_2023</v>
      </c>
      <c r="P2355">
        <f t="shared" si="158"/>
        <v>90.742106100000001</v>
      </c>
    </row>
    <row r="2356" spans="4:16" x14ac:dyDescent="0.25">
      <c r="D2356">
        <v>2024</v>
      </c>
      <c r="E2356" t="s">
        <v>227</v>
      </c>
      <c r="F2356" t="s">
        <v>270</v>
      </c>
      <c r="G2356">
        <v>93.636319900000004</v>
      </c>
      <c r="I2356">
        <f t="shared" si="159"/>
        <v>0</v>
      </c>
      <c r="J2356">
        <f t="shared" si="159"/>
        <v>0</v>
      </c>
      <c r="K2356">
        <f t="shared" si="159"/>
        <v>0</v>
      </c>
      <c r="M2356" t="str" cm="1">
        <f t="array" ref="M2356">IFERROR(INDEX($I$2:$K$2,0,MATCH(TRUE,I2356:K2356,0)),E2356)</f>
        <v>CHP New</v>
      </c>
      <c r="O2356" t="str">
        <f t="shared" si="157"/>
        <v>CHP New_2024</v>
      </c>
      <c r="P2356">
        <f t="shared" si="158"/>
        <v>93.636319900000004</v>
      </c>
    </row>
    <row r="2357" spans="4:16" x14ac:dyDescent="0.25">
      <c r="D2357">
        <v>2025</v>
      </c>
      <c r="E2357" t="s">
        <v>227</v>
      </c>
      <c r="F2357" t="s">
        <v>270</v>
      </c>
      <c r="G2357">
        <v>90.742106100000001</v>
      </c>
      <c r="I2357">
        <f t="shared" si="159"/>
        <v>0</v>
      </c>
      <c r="J2357">
        <f t="shared" si="159"/>
        <v>0</v>
      </c>
      <c r="K2357">
        <f t="shared" si="159"/>
        <v>0</v>
      </c>
      <c r="M2357" t="str" cm="1">
        <f t="array" ref="M2357">IFERROR(INDEX($I$2:$K$2,0,MATCH(TRUE,I2357:K2357,0)),E2357)</f>
        <v>CHP New</v>
      </c>
      <c r="O2357" t="str">
        <f t="shared" si="157"/>
        <v>CHP New_2025</v>
      </c>
      <c r="P2357">
        <f t="shared" si="158"/>
        <v>90.742106100000001</v>
      </c>
    </row>
    <row r="2358" spans="4:16" x14ac:dyDescent="0.25">
      <c r="D2358">
        <v>2026</v>
      </c>
      <c r="E2358" t="s">
        <v>227</v>
      </c>
      <c r="F2358" t="s">
        <v>270</v>
      </c>
      <c r="G2358">
        <v>90.742106100000001</v>
      </c>
      <c r="I2358">
        <f t="shared" si="159"/>
        <v>0</v>
      </c>
      <c r="J2358">
        <f t="shared" si="159"/>
        <v>0</v>
      </c>
      <c r="K2358">
        <f t="shared" si="159"/>
        <v>0</v>
      </c>
      <c r="M2358" t="str" cm="1">
        <f t="array" ref="M2358">IFERROR(INDEX($I$2:$K$2,0,MATCH(TRUE,I2358:K2358,0)),E2358)</f>
        <v>CHP New</v>
      </c>
      <c r="O2358" t="str">
        <f t="shared" si="157"/>
        <v>CHP New_2026</v>
      </c>
      <c r="P2358">
        <f t="shared" si="158"/>
        <v>90.742106100000001</v>
      </c>
    </row>
    <row r="2359" spans="4:16" x14ac:dyDescent="0.25">
      <c r="D2359">
        <v>2027</v>
      </c>
      <c r="E2359" t="s">
        <v>227</v>
      </c>
      <c r="F2359" t="s">
        <v>270</v>
      </c>
      <c r="G2359">
        <v>90.742106100000001</v>
      </c>
      <c r="I2359">
        <f t="shared" si="159"/>
        <v>0</v>
      </c>
      <c r="J2359">
        <f t="shared" si="159"/>
        <v>0</v>
      </c>
      <c r="K2359">
        <f t="shared" si="159"/>
        <v>0</v>
      </c>
      <c r="M2359" t="str" cm="1">
        <f t="array" ref="M2359">IFERROR(INDEX($I$2:$K$2,0,MATCH(TRUE,I2359:K2359,0)),E2359)</f>
        <v>CHP New</v>
      </c>
      <c r="O2359" t="str">
        <f t="shared" si="157"/>
        <v>CHP New_2027</v>
      </c>
      <c r="P2359">
        <f t="shared" si="158"/>
        <v>90.742106100000001</v>
      </c>
    </row>
    <row r="2360" spans="4:16" x14ac:dyDescent="0.25">
      <c r="D2360">
        <v>2028</v>
      </c>
      <c r="E2360" t="s">
        <v>227</v>
      </c>
      <c r="F2360" t="s">
        <v>270</v>
      </c>
      <c r="G2360">
        <v>90.742106100000001</v>
      </c>
      <c r="I2360">
        <f t="shared" si="159"/>
        <v>0</v>
      </c>
      <c r="J2360">
        <f t="shared" si="159"/>
        <v>0</v>
      </c>
      <c r="K2360">
        <f t="shared" si="159"/>
        <v>0</v>
      </c>
      <c r="M2360" t="str" cm="1">
        <f t="array" ref="M2360">IFERROR(INDEX($I$2:$K$2,0,MATCH(TRUE,I2360:K2360,0)),E2360)</f>
        <v>CHP New</v>
      </c>
      <c r="O2360" t="str">
        <f t="shared" si="157"/>
        <v>CHP New_2028</v>
      </c>
      <c r="P2360">
        <f t="shared" si="158"/>
        <v>90.742106100000001</v>
      </c>
    </row>
    <row r="2361" spans="4:16" x14ac:dyDescent="0.25">
      <c r="D2361">
        <v>2029</v>
      </c>
      <c r="E2361" t="s">
        <v>227</v>
      </c>
      <c r="F2361" t="s">
        <v>270</v>
      </c>
      <c r="G2361">
        <v>90.742106100000001</v>
      </c>
      <c r="I2361">
        <f t="shared" si="159"/>
        <v>0</v>
      </c>
      <c r="J2361">
        <f t="shared" si="159"/>
        <v>0</v>
      </c>
      <c r="K2361">
        <f t="shared" si="159"/>
        <v>0</v>
      </c>
      <c r="M2361" t="str" cm="1">
        <f t="array" ref="M2361">IFERROR(INDEX($I$2:$K$2,0,MATCH(TRUE,I2361:K2361,0)),E2361)</f>
        <v>CHP New</v>
      </c>
      <c r="O2361" t="str">
        <f t="shared" si="157"/>
        <v>CHP New_2029</v>
      </c>
      <c r="P2361">
        <f t="shared" si="158"/>
        <v>90.742106100000001</v>
      </c>
    </row>
    <row r="2362" spans="4:16" x14ac:dyDescent="0.25">
      <c r="D2362">
        <v>2030</v>
      </c>
      <c r="E2362" t="s">
        <v>227</v>
      </c>
      <c r="F2362" t="s">
        <v>270</v>
      </c>
      <c r="G2362">
        <v>90.742106100000001</v>
      </c>
      <c r="I2362">
        <f t="shared" si="159"/>
        <v>0</v>
      </c>
      <c r="J2362">
        <f t="shared" si="159"/>
        <v>0</v>
      </c>
      <c r="K2362">
        <f t="shared" si="159"/>
        <v>0</v>
      </c>
      <c r="M2362" t="str" cm="1">
        <f t="array" ref="M2362">IFERROR(INDEX($I$2:$K$2,0,MATCH(TRUE,I2362:K2362,0)),E2362)</f>
        <v>CHP New</v>
      </c>
      <c r="O2362" t="str">
        <f t="shared" si="157"/>
        <v>CHP New_2030</v>
      </c>
      <c r="P2362">
        <f t="shared" si="158"/>
        <v>90.742106100000001</v>
      </c>
    </row>
    <row r="2363" spans="4:16" x14ac:dyDescent="0.25">
      <c r="D2363">
        <v>2031</v>
      </c>
      <c r="E2363" t="s">
        <v>227</v>
      </c>
      <c r="F2363" t="s">
        <v>270</v>
      </c>
      <c r="G2363">
        <v>90.742106100000001</v>
      </c>
      <c r="I2363">
        <f t="shared" si="159"/>
        <v>0</v>
      </c>
      <c r="J2363">
        <f t="shared" si="159"/>
        <v>0</v>
      </c>
      <c r="K2363">
        <f t="shared" si="159"/>
        <v>0</v>
      </c>
      <c r="M2363" t="str" cm="1">
        <f t="array" ref="M2363">IFERROR(INDEX($I$2:$K$2,0,MATCH(TRUE,I2363:K2363,0)),E2363)</f>
        <v>CHP New</v>
      </c>
      <c r="O2363" t="str">
        <f t="shared" si="157"/>
        <v>CHP New_2031</v>
      </c>
      <c r="P2363">
        <f t="shared" si="158"/>
        <v>90.742106100000001</v>
      </c>
    </row>
    <row r="2364" spans="4:16" x14ac:dyDescent="0.25">
      <c r="D2364">
        <v>2032</v>
      </c>
      <c r="E2364" t="s">
        <v>227</v>
      </c>
      <c r="F2364" t="s">
        <v>270</v>
      </c>
      <c r="G2364">
        <v>90.742106100000001</v>
      </c>
      <c r="I2364">
        <f t="shared" si="159"/>
        <v>0</v>
      </c>
      <c r="J2364">
        <f t="shared" si="159"/>
        <v>0</v>
      </c>
      <c r="K2364">
        <f t="shared" si="159"/>
        <v>0</v>
      </c>
      <c r="M2364" t="str" cm="1">
        <f t="array" ref="M2364">IFERROR(INDEX($I$2:$K$2,0,MATCH(TRUE,I2364:K2364,0)),E2364)</f>
        <v>CHP New</v>
      </c>
      <c r="O2364" t="str">
        <f t="shared" si="157"/>
        <v>CHP New_2032</v>
      </c>
      <c r="P2364">
        <f t="shared" si="158"/>
        <v>90.742106100000001</v>
      </c>
    </row>
    <row r="2365" spans="4:16" x14ac:dyDescent="0.25">
      <c r="D2365">
        <v>2033</v>
      </c>
      <c r="E2365" t="s">
        <v>227</v>
      </c>
      <c r="F2365" t="s">
        <v>270</v>
      </c>
      <c r="G2365">
        <v>90.742106100000001</v>
      </c>
      <c r="I2365">
        <f t="shared" si="159"/>
        <v>0</v>
      </c>
      <c r="J2365">
        <f t="shared" si="159"/>
        <v>0</v>
      </c>
      <c r="K2365">
        <f t="shared" si="159"/>
        <v>0</v>
      </c>
      <c r="M2365" t="str" cm="1">
        <f t="array" ref="M2365">IFERROR(INDEX($I$2:$K$2,0,MATCH(TRUE,I2365:K2365,0)),E2365)</f>
        <v>CHP New</v>
      </c>
      <c r="O2365" t="str">
        <f t="shared" si="157"/>
        <v>CHP New_2033</v>
      </c>
      <c r="P2365">
        <f t="shared" si="158"/>
        <v>90.742106100000001</v>
      </c>
    </row>
    <row r="2366" spans="4:16" x14ac:dyDescent="0.25">
      <c r="D2366">
        <v>2034</v>
      </c>
      <c r="E2366" t="s">
        <v>227</v>
      </c>
      <c r="F2366" t="s">
        <v>270</v>
      </c>
      <c r="G2366">
        <v>90.742106100000001</v>
      </c>
      <c r="I2366">
        <f t="shared" si="159"/>
        <v>0</v>
      </c>
      <c r="J2366">
        <f t="shared" si="159"/>
        <v>0</v>
      </c>
      <c r="K2366">
        <f t="shared" si="159"/>
        <v>0</v>
      </c>
      <c r="M2366" t="str" cm="1">
        <f t="array" ref="M2366">IFERROR(INDEX($I$2:$K$2,0,MATCH(TRUE,I2366:K2366,0)),E2366)</f>
        <v>CHP New</v>
      </c>
      <c r="O2366" t="str">
        <f t="shared" si="157"/>
        <v>CHP New_2034</v>
      </c>
      <c r="P2366">
        <f t="shared" si="158"/>
        <v>90.742106100000001</v>
      </c>
    </row>
    <row r="2367" spans="4:16" x14ac:dyDescent="0.25">
      <c r="D2367">
        <v>2035</v>
      </c>
      <c r="E2367" t="s">
        <v>227</v>
      </c>
      <c r="F2367" t="s">
        <v>270</v>
      </c>
      <c r="G2367">
        <v>90.742106100000001</v>
      </c>
      <c r="I2367">
        <f t="shared" si="159"/>
        <v>0</v>
      </c>
      <c r="J2367">
        <f t="shared" si="159"/>
        <v>0</v>
      </c>
      <c r="K2367">
        <f t="shared" si="159"/>
        <v>0</v>
      </c>
      <c r="M2367" t="str" cm="1">
        <f t="array" ref="M2367">IFERROR(INDEX($I$2:$K$2,0,MATCH(TRUE,I2367:K2367,0)),E2367)</f>
        <v>CHP New</v>
      </c>
      <c r="O2367" t="str">
        <f t="shared" si="157"/>
        <v>CHP New_2035</v>
      </c>
      <c r="P2367">
        <f t="shared" si="158"/>
        <v>90.742106100000001</v>
      </c>
    </row>
    <row r="2368" spans="4:16" x14ac:dyDescent="0.25">
      <c r="D2368">
        <v>2036</v>
      </c>
      <c r="E2368" t="s">
        <v>227</v>
      </c>
      <c r="F2368" t="s">
        <v>270</v>
      </c>
      <c r="G2368">
        <v>93.636319900000004</v>
      </c>
      <c r="I2368">
        <f t="shared" si="159"/>
        <v>0</v>
      </c>
      <c r="J2368">
        <f t="shared" si="159"/>
        <v>0</v>
      </c>
      <c r="K2368">
        <f t="shared" si="159"/>
        <v>0</v>
      </c>
      <c r="M2368" t="str" cm="1">
        <f t="array" ref="M2368">IFERROR(INDEX($I$2:$K$2,0,MATCH(TRUE,I2368:K2368,0)),E2368)</f>
        <v>CHP New</v>
      </c>
      <c r="O2368" t="str">
        <f t="shared" si="157"/>
        <v>CHP New_2036</v>
      </c>
      <c r="P2368">
        <f t="shared" si="158"/>
        <v>93.636319900000004</v>
      </c>
    </row>
    <row r="2369" spans="4:16" x14ac:dyDescent="0.25">
      <c r="D2369">
        <v>2037</v>
      </c>
      <c r="E2369" t="s">
        <v>227</v>
      </c>
      <c r="F2369" t="s">
        <v>270</v>
      </c>
      <c r="G2369">
        <v>90.742106100000001</v>
      </c>
      <c r="I2369">
        <f t="shared" si="159"/>
        <v>0</v>
      </c>
      <c r="J2369">
        <f t="shared" si="159"/>
        <v>0</v>
      </c>
      <c r="K2369">
        <f t="shared" si="159"/>
        <v>0</v>
      </c>
      <c r="M2369" t="str" cm="1">
        <f t="array" ref="M2369">IFERROR(INDEX($I$2:$K$2,0,MATCH(TRUE,I2369:K2369,0)),E2369)</f>
        <v>CHP New</v>
      </c>
      <c r="O2369" t="str">
        <f t="shared" si="157"/>
        <v>CHP New_2037</v>
      </c>
      <c r="P2369">
        <f t="shared" si="158"/>
        <v>90.742106100000001</v>
      </c>
    </row>
    <row r="2370" spans="4:16" x14ac:dyDescent="0.25">
      <c r="D2370">
        <v>2038</v>
      </c>
      <c r="E2370" t="s">
        <v>227</v>
      </c>
      <c r="F2370" t="s">
        <v>270</v>
      </c>
      <c r="G2370">
        <v>90.742106100000001</v>
      </c>
      <c r="I2370">
        <f t="shared" si="159"/>
        <v>0</v>
      </c>
      <c r="J2370">
        <f t="shared" si="159"/>
        <v>0</v>
      </c>
      <c r="K2370">
        <f t="shared" si="159"/>
        <v>0</v>
      </c>
      <c r="M2370" t="str" cm="1">
        <f t="array" ref="M2370">IFERROR(INDEX($I$2:$K$2,0,MATCH(TRUE,I2370:K2370,0)),E2370)</f>
        <v>CHP New</v>
      </c>
      <c r="O2370" t="str">
        <f t="shared" si="157"/>
        <v>CHP New_2038</v>
      </c>
      <c r="P2370">
        <f t="shared" si="158"/>
        <v>90.742106100000001</v>
      </c>
    </row>
    <row r="2371" spans="4:16" x14ac:dyDescent="0.25">
      <c r="D2371">
        <v>2039</v>
      </c>
      <c r="E2371" t="s">
        <v>227</v>
      </c>
      <c r="F2371" t="s">
        <v>270</v>
      </c>
      <c r="G2371">
        <v>90.742106100000001</v>
      </c>
      <c r="I2371">
        <f t="shared" si="159"/>
        <v>0</v>
      </c>
      <c r="J2371">
        <f t="shared" si="159"/>
        <v>0</v>
      </c>
      <c r="K2371">
        <f t="shared" si="159"/>
        <v>0</v>
      </c>
      <c r="M2371" t="str" cm="1">
        <f t="array" ref="M2371">IFERROR(INDEX($I$2:$K$2,0,MATCH(TRUE,I2371:K2371,0)),E2371)</f>
        <v>CHP New</v>
      </c>
      <c r="O2371" t="str">
        <f t="shared" si="157"/>
        <v>CHP New_2039</v>
      </c>
      <c r="P2371">
        <f t="shared" si="158"/>
        <v>90.742106100000001</v>
      </c>
    </row>
    <row r="2372" spans="4:16" x14ac:dyDescent="0.25">
      <c r="D2372">
        <v>2040</v>
      </c>
      <c r="E2372" t="s">
        <v>227</v>
      </c>
      <c r="F2372" t="s">
        <v>270</v>
      </c>
      <c r="G2372">
        <v>93.636319900000004</v>
      </c>
      <c r="I2372">
        <f t="shared" si="159"/>
        <v>0</v>
      </c>
      <c r="J2372">
        <f t="shared" si="159"/>
        <v>0</v>
      </c>
      <c r="K2372">
        <f t="shared" si="159"/>
        <v>0</v>
      </c>
      <c r="M2372" t="str" cm="1">
        <f t="array" ref="M2372">IFERROR(INDEX($I$2:$K$2,0,MATCH(TRUE,I2372:K2372,0)),E2372)</f>
        <v>CHP New</v>
      </c>
      <c r="O2372" t="str">
        <f t="shared" si="157"/>
        <v>CHP New_2040</v>
      </c>
      <c r="P2372">
        <f t="shared" si="158"/>
        <v>93.636319900000004</v>
      </c>
    </row>
    <row r="2373" spans="4:16" x14ac:dyDescent="0.25">
      <c r="D2373">
        <v>2025</v>
      </c>
      <c r="E2373" t="s">
        <v>227</v>
      </c>
      <c r="F2373" t="s">
        <v>271</v>
      </c>
      <c r="G2373">
        <v>0</v>
      </c>
      <c r="I2373">
        <f t="shared" si="159"/>
        <v>0</v>
      </c>
      <c r="J2373">
        <f t="shared" si="159"/>
        <v>0</v>
      </c>
      <c r="K2373">
        <f t="shared" si="159"/>
        <v>0</v>
      </c>
      <c r="M2373" t="str" cm="1">
        <f t="array" ref="M2373">IFERROR(INDEX($I$2:$K$2,0,MATCH(TRUE,I2373:K2373,0)),E2373)</f>
        <v>CHP New</v>
      </c>
      <c r="O2373" t="str">
        <f t="shared" si="157"/>
        <v>CHP New_2025</v>
      </c>
      <c r="P2373">
        <f t="shared" si="158"/>
        <v>0</v>
      </c>
    </row>
    <row r="2374" spans="4:16" x14ac:dyDescent="0.25">
      <c r="D2374">
        <v>2026</v>
      </c>
      <c r="E2374" t="s">
        <v>227</v>
      </c>
      <c r="F2374" t="s">
        <v>271</v>
      </c>
      <c r="G2374">
        <v>68.056579580000005</v>
      </c>
      <c r="I2374">
        <f t="shared" si="159"/>
        <v>0</v>
      </c>
      <c r="J2374">
        <f t="shared" si="159"/>
        <v>0</v>
      </c>
      <c r="K2374">
        <f t="shared" si="159"/>
        <v>0</v>
      </c>
      <c r="M2374" t="str" cm="1">
        <f t="array" ref="M2374">IFERROR(INDEX($I$2:$K$2,0,MATCH(TRUE,I2374:K2374,0)),E2374)</f>
        <v>CHP New</v>
      </c>
      <c r="O2374" t="str">
        <f t="shared" si="157"/>
        <v>CHP New_2026</v>
      </c>
      <c r="P2374">
        <f t="shared" si="158"/>
        <v>68.056579580000005</v>
      </c>
    </row>
    <row r="2375" spans="4:16" x14ac:dyDescent="0.25">
      <c r="D2375">
        <v>2027</v>
      </c>
      <c r="E2375" t="s">
        <v>227</v>
      </c>
      <c r="F2375" t="s">
        <v>271</v>
      </c>
      <c r="G2375">
        <v>68.056579580000005</v>
      </c>
      <c r="I2375">
        <f t="shared" si="159"/>
        <v>0</v>
      </c>
      <c r="J2375">
        <f t="shared" si="159"/>
        <v>0</v>
      </c>
      <c r="K2375">
        <f t="shared" si="159"/>
        <v>0</v>
      </c>
      <c r="M2375" t="str" cm="1">
        <f t="array" ref="M2375">IFERROR(INDEX($I$2:$K$2,0,MATCH(TRUE,I2375:K2375,0)),E2375)</f>
        <v>CHP New</v>
      </c>
      <c r="O2375" t="str">
        <f t="shared" si="157"/>
        <v>CHP New_2027</v>
      </c>
      <c r="P2375">
        <f t="shared" si="158"/>
        <v>68.056579580000005</v>
      </c>
    </row>
    <row r="2376" spans="4:16" x14ac:dyDescent="0.25">
      <c r="D2376">
        <v>2028</v>
      </c>
      <c r="E2376" t="s">
        <v>227</v>
      </c>
      <c r="F2376" t="s">
        <v>271</v>
      </c>
      <c r="G2376">
        <v>68.056579580000005</v>
      </c>
      <c r="I2376">
        <f t="shared" si="159"/>
        <v>0</v>
      </c>
      <c r="J2376">
        <f t="shared" si="159"/>
        <v>0</v>
      </c>
      <c r="K2376">
        <f t="shared" si="159"/>
        <v>0</v>
      </c>
      <c r="M2376" t="str" cm="1">
        <f t="array" ref="M2376">IFERROR(INDEX($I$2:$K$2,0,MATCH(TRUE,I2376:K2376,0)),E2376)</f>
        <v>CHP New</v>
      </c>
      <c r="O2376" t="str">
        <f t="shared" si="157"/>
        <v>CHP New_2028</v>
      </c>
      <c r="P2376">
        <f t="shared" si="158"/>
        <v>68.056579580000005</v>
      </c>
    </row>
    <row r="2377" spans="4:16" x14ac:dyDescent="0.25">
      <c r="D2377">
        <v>2029</v>
      </c>
      <c r="E2377" t="s">
        <v>227</v>
      </c>
      <c r="F2377" t="s">
        <v>271</v>
      </c>
      <c r="G2377">
        <v>68.056579580000005</v>
      </c>
      <c r="I2377">
        <f t="shared" si="159"/>
        <v>0</v>
      </c>
      <c r="J2377">
        <f t="shared" si="159"/>
        <v>0</v>
      </c>
      <c r="K2377">
        <f t="shared" si="159"/>
        <v>0</v>
      </c>
      <c r="M2377" t="str" cm="1">
        <f t="array" ref="M2377">IFERROR(INDEX($I$2:$K$2,0,MATCH(TRUE,I2377:K2377,0)),E2377)</f>
        <v>CHP New</v>
      </c>
      <c r="O2377" t="str">
        <f t="shared" si="157"/>
        <v>CHP New_2029</v>
      </c>
      <c r="P2377">
        <f t="shared" si="158"/>
        <v>68.056579580000005</v>
      </c>
    </row>
    <row r="2378" spans="4:16" x14ac:dyDescent="0.25">
      <c r="D2378">
        <v>2030</v>
      </c>
      <c r="E2378" t="s">
        <v>227</v>
      </c>
      <c r="F2378" t="s">
        <v>271</v>
      </c>
      <c r="G2378">
        <v>68.056579580000005</v>
      </c>
      <c r="I2378">
        <f t="shared" si="159"/>
        <v>0</v>
      </c>
      <c r="J2378">
        <f t="shared" si="159"/>
        <v>0</v>
      </c>
      <c r="K2378">
        <f t="shared" si="159"/>
        <v>0</v>
      </c>
      <c r="M2378" t="str" cm="1">
        <f t="array" ref="M2378">IFERROR(INDEX($I$2:$K$2,0,MATCH(TRUE,I2378:K2378,0)),E2378)</f>
        <v>CHP New</v>
      </c>
      <c r="O2378" t="str">
        <f t="shared" si="157"/>
        <v>CHP New_2030</v>
      </c>
      <c r="P2378">
        <f t="shared" si="158"/>
        <v>68.056579580000005</v>
      </c>
    </row>
    <row r="2379" spans="4:16" x14ac:dyDescent="0.25">
      <c r="D2379">
        <v>2031</v>
      </c>
      <c r="E2379" t="s">
        <v>227</v>
      </c>
      <c r="F2379" t="s">
        <v>271</v>
      </c>
      <c r="G2379">
        <v>68.056579580000005</v>
      </c>
      <c r="I2379">
        <f t="shared" si="159"/>
        <v>0</v>
      </c>
      <c r="J2379">
        <f t="shared" si="159"/>
        <v>0</v>
      </c>
      <c r="K2379">
        <f t="shared" si="159"/>
        <v>0</v>
      </c>
      <c r="M2379" t="str" cm="1">
        <f t="array" ref="M2379">IFERROR(INDEX($I$2:$K$2,0,MATCH(TRUE,I2379:K2379,0)),E2379)</f>
        <v>CHP New</v>
      </c>
      <c r="O2379" t="str">
        <f t="shared" si="157"/>
        <v>CHP New_2031</v>
      </c>
      <c r="P2379">
        <f t="shared" si="158"/>
        <v>68.056579580000005</v>
      </c>
    </row>
    <row r="2380" spans="4:16" x14ac:dyDescent="0.25">
      <c r="D2380">
        <v>2032</v>
      </c>
      <c r="E2380" t="s">
        <v>227</v>
      </c>
      <c r="F2380" t="s">
        <v>271</v>
      </c>
      <c r="G2380">
        <v>68.056579580000005</v>
      </c>
      <c r="I2380">
        <f t="shared" si="159"/>
        <v>0</v>
      </c>
      <c r="J2380">
        <f t="shared" si="159"/>
        <v>0</v>
      </c>
      <c r="K2380">
        <f t="shared" si="159"/>
        <v>0</v>
      </c>
      <c r="M2380" t="str" cm="1">
        <f t="array" ref="M2380">IFERROR(INDEX($I$2:$K$2,0,MATCH(TRUE,I2380:K2380,0)),E2380)</f>
        <v>CHP New</v>
      </c>
      <c r="O2380" t="str">
        <f t="shared" si="157"/>
        <v>CHP New_2032</v>
      </c>
      <c r="P2380">
        <f t="shared" si="158"/>
        <v>68.056579580000005</v>
      </c>
    </row>
    <row r="2381" spans="4:16" x14ac:dyDescent="0.25">
      <c r="D2381">
        <v>2033</v>
      </c>
      <c r="E2381" t="s">
        <v>227</v>
      </c>
      <c r="F2381" t="s">
        <v>271</v>
      </c>
      <c r="G2381">
        <v>68.056579580000005</v>
      </c>
      <c r="I2381">
        <f t="shared" si="159"/>
        <v>0</v>
      </c>
      <c r="J2381">
        <f t="shared" si="159"/>
        <v>0</v>
      </c>
      <c r="K2381">
        <f t="shared" si="159"/>
        <v>0</v>
      </c>
      <c r="M2381" t="str" cm="1">
        <f t="array" ref="M2381">IFERROR(INDEX($I$2:$K$2,0,MATCH(TRUE,I2381:K2381,0)),E2381)</f>
        <v>CHP New</v>
      </c>
      <c r="O2381" t="str">
        <f t="shared" si="157"/>
        <v>CHP New_2033</v>
      </c>
      <c r="P2381">
        <f t="shared" si="158"/>
        <v>68.056579580000005</v>
      </c>
    </row>
    <row r="2382" spans="4:16" x14ac:dyDescent="0.25">
      <c r="D2382">
        <v>2034</v>
      </c>
      <c r="E2382" t="s">
        <v>227</v>
      </c>
      <c r="F2382" t="s">
        <v>271</v>
      </c>
      <c r="G2382">
        <v>68.056579580000005</v>
      </c>
      <c r="I2382">
        <f t="shared" si="159"/>
        <v>0</v>
      </c>
      <c r="J2382">
        <f t="shared" si="159"/>
        <v>0</v>
      </c>
      <c r="K2382">
        <f t="shared" si="159"/>
        <v>0</v>
      </c>
      <c r="M2382" t="str" cm="1">
        <f t="array" ref="M2382">IFERROR(INDEX($I$2:$K$2,0,MATCH(TRUE,I2382:K2382,0)),E2382)</f>
        <v>CHP New</v>
      </c>
      <c r="O2382" t="str">
        <f t="shared" si="157"/>
        <v>CHP New_2034</v>
      </c>
      <c r="P2382">
        <f t="shared" si="158"/>
        <v>68.056579580000005</v>
      </c>
    </row>
    <row r="2383" spans="4:16" x14ac:dyDescent="0.25">
      <c r="D2383">
        <v>2035</v>
      </c>
      <c r="E2383" t="s">
        <v>227</v>
      </c>
      <c r="F2383" t="s">
        <v>271</v>
      </c>
      <c r="G2383">
        <v>68.056579580000005</v>
      </c>
      <c r="I2383">
        <f t="shared" si="159"/>
        <v>0</v>
      </c>
      <c r="J2383">
        <f t="shared" si="159"/>
        <v>0</v>
      </c>
      <c r="K2383">
        <f t="shared" si="159"/>
        <v>0</v>
      </c>
      <c r="M2383" t="str" cm="1">
        <f t="array" ref="M2383">IFERROR(INDEX($I$2:$K$2,0,MATCH(TRUE,I2383:K2383,0)),E2383)</f>
        <v>CHP New</v>
      </c>
      <c r="O2383" t="str">
        <f t="shared" si="157"/>
        <v>CHP New_2035</v>
      </c>
      <c r="P2383">
        <f t="shared" si="158"/>
        <v>68.056579580000005</v>
      </c>
    </row>
    <row r="2384" spans="4:16" x14ac:dyDescent="0.25">
      <c r="D2384">
        <v>2036</v>
      </c>
      <c r="E2384" t="s">
        <v>227</v>
      </c>
      <c r="F2384" t="s">
        <v>271</v>
      </c>
      <c r="G2384">
        <v>70.227239920000002</v>
      </c>
      <c r="I2384">
        <f t="shared" si="159"/>
        <v>0</v>
      </c>
      <c r="J2384">
        <f t="shared" si="159"/>
        <v>0</v>
      </c>
      <c r="K2384">
        <f t="shared" si="159"/>
        <v>0</v>
      </c>
      <c r="M2384" t="str" cm="1">
        <f t="array" ref="M2384">IFERROR(INDEX($I$2:$K$2,0,MATCH(TRUE,I2384:K2384,0)),E2384)</f>
        <v>CHP New</v>
      </c>
      <c r="O2384" t="str">
        <f t="shared" si="157"/>
        <v>CHP New_2036</v>
      </c>
      <c r="P2384">
        <f t="shared" si="158"/>
        <v>70.227239920000002</v>
      </c>
    </row>
    <row r="2385" spans="4:16" x14ac:dyDescent="0.25">
      <c r="D2385">
        <v>2037</v>
      </c>
      <c r="E2385" t="s">
        <v>227</v>
      </c>
      <c r="F2385" t="s">
        <v>271</v>
      </c>
      <c r="G2385">
        <v>68.056579580000005</v>
      </c>
      <c r="I2385">
        <f t="shared" si="159"/>
        <v>0</v>
      </c>
      <c r="J2385">
        <f t="shared" si="159"/>
        <v>0</v>
      </c>
      <c r="K2385">
        <f t="shared" si="159"/>
        <v>0</v>
      </c>
      <c r="M2385" t="str" cm="1">
        <f t="array" ref="M2385">IFERROR(INDEX($I$2:$K$2,0,MATCH(TRUE,I2385:K2385,0)),E2385)</f>
        <v>CHP New</v>
      </c>
      <c r="O2385" t="str">
        <f t="shared" si="157"/>
        <v>CHP New_2037</v>
      </c>
      <c r="P2385">
        <f t="shared" si="158"/>
        <v>68.056579580000005</v>
      </c>
    </row>
    <row r="2386" spans="4:16" x14ac:dyDescent="0.25">
      <c r="D2386">
        <v>2038</v>
      </c>
      <c r="E2386" t="s">
        <v>227</v>
      </c>
      <c r="F2386" t="s">
        <v>271</v>
      </c>
      <c r="G2386">
        <v>68.056579580000005</v>
      </c>
      <c r="I2386">
        <f t="shared" si="159"/>
        <v>0</v>
      </c>
      <c r="J2386">
        <f t="shared" si="159"/>
        <v>0</v>
      </c>
      <c r="K2386">
        <f t="shared" si="159"/>
        <v>0</v>
      </c>
      <c r="M2386" t="str" cm="1">
        <f t="array" ref="M2386">IFERROR(INDEX($I$2:$K$2,0,MATCH(TRUE,I2386:K2386,0)),E2386)</f>
        <v>CHP New</v>
      </c>
      <c r="O2386" t="str">
        <f t="shared" si="157"/>
        <v>CHP New_2038</v>
      </c>
      <c r="P2386">
        <f t="shared" si="158"/>
        <v>68.056579580000005</v>
      </c>
    </row>
    <row r="2387" spans="4:16" x14ac:dyDescent="0.25">
      <c r="D2387">
        <v>2039</v>
      </c>
      <c r="E2387" t="s">
        <v>227</v>
      </c>
      <c r="F2387" t="s">
        <v>271</v>
      </c>
      <c r="G2387">
        <v>68.056579580000005</v>
      </c>
      <c r="I2387">
        <f t="shared" si="159"/>
        <v>0</v>
      </c>
      <c r="J2387">
        <f t="shared" si="159"/>
        <v>0</v>
      </c>
      <c r="K2387">
        <f t="shared" si="159"/>
        <v>0</v>
      </c>
      <c r="M2387" t="str" cm="1">
        <f t="array" ref="M2387">IFERROR(INDEX($I$2:$K$2,0,MATCH(TRUE,I2387:K2387,0)),E2387)</f>
        <v>CHP New</v>
      </c>
      <c r="O2387" t="str">
        <f t="shared" ref="O2387:O2450" si="160">M2387&amp;"_"&amp;D2387</f>
        <v>CHP New_2039</v>
      </c>
      <c r="P2387">
        <f t="shared" ref="P2387:P2450" si="161">G2387</f>
        <v>68.056579580000005</v>
      </c>
    </row>
    <row r="2388" spans="4:16" x14ac:dyDescent="0.25">
      <c r="D2388">
        <v>2040</v>
      </c>
      <c r="E2388" t="s">
        <v>227</v>
      </c>
      <c r="F2388" t="s">
        <v>271</v>
      </c>
      <c r="G2388">
        <v>70.227239920000002</v>
      </c>
      <c r="I2388">
        <f t="shared" si="159"/>
        <v>0</v>
      </c>
      <c r="J2388">
        <f t="shared" si="159"/>
        <v>0</v>
      </c>
      <c r="K2388">
        <f t="shared" si="159"/>
        <v>0</v>
      </c>
      <c r="M2388" t="str" cm="1">
        <f t="array" ref="M2388">IFERROR(INDEX($I$2:$K$2,0,MATCH(TRUE,I2388:K2388,0)),E2388)</f>
        <v>CHP New</v>
      </c>
      <c r="O2388" t="str">
        <f t="shared" si="160"/>
        <v>CHP New_2040</v>
      </c>
      <c r="P2388">
        <f t="shared" si="161"/>
        <v>70.227239920000002</v>
      </c>
    </row>
    <row r="2389" spans="4:16" x14ac:dyDescent="0.25">
      <c r="D2389">
        <v>2021</v>
      </c>
      <c r="E2389" t="s">
        <v>227</v>
      </c>
      <c r="F2389" t="s">
        <v>272</v>
      </c>
      <c r="G2389">
        <v>27.786475889999998</v>
      </c>
      <c r="I2389">
        <f t="shared" ref="I2389:K2452" si="162">IFERROR(FIND(I$2,$E2389,1)&gt;0,0)</f>
        <v>0</v>
      </c>
      <c r="J2389">
        <f t="shared" si="162"/>
        <v>0</v>
      </c>
      <c r="K2389">
        <f t="shared" si="162"/>
        <v>0</v>
      </c>
      <c r="M2389" t="str" cm="1">
        <f t="array" ref="M2389">IFERROR(INDEX($I$2:$K$2,0,MATCH(TRUE,I2389:K2389,0)),E2389)</f>
        <v>CHP New</v>
      </c>
      <c r="O2389" t="str">
        <f t="shared" si="160"/>
        <v>CHP New_2021</v>
      </c>
      <c r="P2389">
        <f t="shared" si="161"/>
        <v>27.786475889999998</v>
      </c>
    </row>
    <row r="2390" spans="4:16" x14ac:dyDescent="0.25">
      <c r="D2390">
        <v>2022</v>
      </c>
      <c r="E2390" t="s">
        <v>227</v>
      </c>
      <c r="F2390" t="s">
        <v>272</v>
      </c>
      <c r="G2390">
        <v>27.786475889999998</v>
      </c>
      <c r="I2390">
        <f t="shared" si="162"/>
        <v>0</v>
      </c>
      <c r="J2390">
        <f t="shared" si="162"/>
        <v>0</v>
      </c>
      <c r="K2390">
        <f t="shared" si="162"/>
        <v>0</v>
      </c>
      <c r="M2390" t="str" cm="1">
        <f t="array" ref="M2390">IFERROR(INDEX($I$2:$K$2,0,MATCH(TRUE,I2390:K2390,0)),E2390)</f>
        <v>CHP New</v>
      </c>
      <c r="O2390" t="str">
        <f t="shared" si="160"/>
        <v>CHP New_2022</v>
      </c>
      <c r="P2390">
        <f t="shared" si="161"/>
        <v>27.786475889999998</v>
      </c>
    </row>
    <row r="2391" spans="4:16" x14ac:dyDescent="0.25">
      <c r="D2391">
        <v>2023</v>
      </c>
      <c r="E2391" t="s">
        <v>227</v>
      </c>
      <c r="F2391" t="s">
        <v>272</v>
      </c>
      <c r="G2391">
        <v>27.786475889999998</v>
      </c>
      <c r="I2391">
        <f t="shared" si="162"/>
        <v>0</v>
      </c>
      <c r="J2391">
        <f t="shared" si="162"/>
        <v>0</v>
      </c>
      <c r="K2391">
        <f t="shared" si="162"/>
        <v>0</v>
      </c>
      <c r="M2391" t="str" cm="1">
        <f t="array" ref="M2391">IFERROR(INDEX($I$2:$K$2,0,MATCH(TRUE,I2391:K2391,0)),E2391)</f>
        <v>CHP New</v>
      </c>
      <c r="O2391" t="str">
        <f t="shared" si="160"/>
        <v>CHP New_2023</v>
      </c>
      <c r="P2391">
        <f t="shared" si="161"/>
        <v>27.786475889999998</v>
      </c>
    </row>
    <row r="2392" spans="4:16" x14ac:dyDescent="0.25">
      <c r="D2392">
        <v>2024</v>
      </c>
      <c r="E2392" t="s">
        <v>227</v>
      </c>
      <c r="F2392" t="s">
        <v>272</v>
      </c>
      <c r="G2392">
        <v>28.544833199999999</v>
      </c>
      <c r="I2392">
        <f t="shared" si="162"/>
        <v>0</v>
      </c>
      <c r="J2392">
        <f t="shared" si="162"/>
        <v>0</v>
      </c>
      <c r="K2392">
        <f t="shared" si="162"/>
        <v>0</v>
      </c>
      <c r="M2392" t="str" cm="1">
        <f t="array" ref="M2392">IFERROR(INDEX($I$2:$K$2,0,MATCH(TRUE,I2392:K2392,0)),E2392)</f>
        <v>CHP New</v>
      </c>
      <c r="O2392" t="str">
        <f t="shared" si="160"/>
        <v>CHP New_2024</v>
      </c>
      <c r="P2392">
        <f t="shared" si="161"/>
        <v>28.544833199999999</v>
      </c>
    </row>
    <row r="2393" spans="4:16" x14ac:dyDescent="0.25">
      <c r="D2393">
        <v>2025</v>
      </c>
      <c r="E2393" t="s">
        <v>227</v>
      </c>
      <c r="F2393" t="s">
        <v>272</v>
      </c>
      <c r="G2393">
        <v>27.786475889999998</v>
      </c>
      <c r="I2393">
        <f t="shared" si="162"/>
        <v>0</v>
      </c>
      <c r="J2393">
        <f t="shared" si="162"/>
        <v>0</v>
      </c>
      <c r="K2393">
        <f t="shared" si="162"/>
        <v>0</v>
      </c>
      <c r="M2393" t="str" cm="1">
        <f t="array" ref="M2393">IFERROR(INDEX($I$2:$K$2,0,MATCH(TRUE,I2393:K2393,0)),E2393)</f>
        <v>CHP New</v>
      </c>
      <c r="O2393" t="str">
        <f t="shared" si="160"/>
        <v>CHP New_2025</v>
      </c>
      <c r="P2393">
        <f t="shared" si="161"/>
        <v>27.786475889999998</v>
      </c>
    </row>
    <row r="2394" spans="4:16" x14ac:dyDescent="0.25">
      <c r="D2394">
        <v>2026</v>
      </c>
      <c r="E2394" t="s">
        <v>227</v>
      </c>
      <c r="F2394" t="s">
        <v>272</v>
      </c>
      <c r="G2394">
        <v>27.786475889999998</v>
      </c>
      <c r="I2394">
        <f t="shared" si="162"/>
        <v>0</v>
      </c>
      <c r="J2394">
        <f t="shared" si="162"/>
        <v>0</v>
      </c>
      <c r="K2394">
        <f t="shared" si="162"/>
        <v>0</v>
      </c>
      <c r="M2394" t="str" cm="1">
        <f t="array" ref="M2394">IFERROR(INDEX($I$2:$K$2,0,MATCH(TRUE,I2394:K2394,0)),E2394)</f>
        <v>CHP New</v>
      </c>
      <c r="O2394" t="str">
        <f t="shared" si="160"/>
        <v>CHP New_2026</v>
      </c>
      <c r="P2394">
        <f t="shared" si="161"/>
        <v>27.786475889999998</v>
      </c>
    </row>
    <row r="2395" spans="4:16" x14ac:dyDescent="0.25">
      <c r="D2395">
        <v>2027</v>
      </c>
      <c r="E2395" t="s">
        <v>227</v>
      </c>
      <c r="F2395" t="s">
        <v>272</v>
      </c>
      <c r="G2395">
        <v>27.786475889999998</v>
      </c>
      <c r="I2395">
        <f t="shared" si="162"/>
        <v>0</v>
      </c>
      <c r="J2395">
        <f t="shared" si="162"/>
        <v>0</v>
      </c>
      <c r="K2395">
        <f t="shared" si="162"/>
        <v>0</v>
      </c>
      <c r="M2395" t="str" cm="1">
        <f t="array" ref="M2395">IFERROR(INDEX($I$2:$K$2,0,MATCH(TRUE,I2395:K2395,0)),E2395)</f>
        <v>CHP New</v>
      </c>
      <c r="O2395" t="str">
        <f t="shared" si="160"/>
        <v>CHP New_2027</v>
      </c>
      <c r="P2395">
        <f t="shared" si="161"/>
        <v>27.786475889999998</v>
      </c>
    </row>
    <row r="2396" spans="4:16" x14ac:dyDescent="0.25">
      <c r="D2396">
        <v>2028</v>
      </c>
      <c r="E2396" t="s">
        <v>227</v>
      </c>
      <c r="F2396" t="s">
        <v>272</v>
      </c>
      <c r="G2396">
        <v>27.786475889999998</v>
      </c>
      <c r="I2396">
        <f t="shared" si="162"/>
        <v>0</v>
      </c>
      <c r="J2396">
        <f t="shared" si="162"/>
        <v>0</v>
      </c>
      <c r="K2396">
        <f t="shared" si="162"/>
        <v>0</v>
      </c>
      <c r="M2396" t="str" cm="1">
        <f t="array" ref="M2396">IFERROR(INDEX($I$2:$K$2,0,MATCH(TRUE,I2396:K2396,0)),E2396)</f>
        <v>CHP New</v>
      </c>
      <c r="O2396" t="str">
        <f t="shared" si="160"/>
        <v>CHP New_2028</v>
      </c>
      <c r="P2396">
        <f t="shared" si="161"/>
        <v>27.786475889999998</v>
      </c>
    </row>
    <row r="2397" spans="4:16" x14ac:dyDescent="0.25">
      <c r="D2397">
        <v>2029</v>
      </c>
      <c r="E2397" t="s">
        <v>227</v>
      </c>
      <c r="F2397" t="s">
        <v>272</v>
      </c>
      <c r="G2397">
        <v>27.786475889999998</v>
      </c>
      <c r="I2397">
        <f t="shared" si="162"/>
        <v>0</v>
      </c>
      <c r="J2397">
        <f t="shared" si="162"/>
        <v>0</v>
      </c>
      <c r="K2397">
        <f t="shared" si="162"/>
        <v>0</v>
      </c>
      <c r="M2397" t="str" cm="1">
        <f t="array" ref="M2397">IFERROR(INDEX($I$2:$K$2,0,MATCH(TRUE,I2397:K2397,0)),E2397)</f>
        <v>CHP New</v>
      </c>
      <c r="O2397" t="str">
        <f t="shared" si="160"/>
        <v>CHP New_2029</v>
      </c>
      <c r="P2397">
        <f t="shared" si="161"/>
        <v>27.786475889999998</v>
      </c>
    </row>
    <row r="2398" spans="4:16" x14ac:dyDescent="0.25">
      <c r="D2398">
        <v>2030</v>
      </c>
      <c r="E2398" t="s">
        <v>227</v>
      </c>
      <c r="F2398" t="s">
        <v>272</v>
      </c>
      <c r="G2398">
        <v>27.786475889999998</v>
      </c>
      <c r="I2398">
        <f t="shared" si="162"/>
        <v>0</v>
      </c>
      <c r="J2398">
        <f t="shared" si="162"/>
        <v>0</v>
      </c>
      <c r="K2398">
        <f t="shared" si="162"/>
        <v>0</v>
      </c>
      <c r="M2398" t="str" cm="1">
        <f t="array" ref="M2398">IFERROR(INDEX($I$2:$K$2,0,MATCH(TRUE,I2398:K2398,0)),E2398)</f>
        <v>CHP New</v>
      </c>
      <c r="O2398" t="str">
        <f t="shared" si="160"/>
        <v>CHP New_2030</v>
      </c>
      <c r="P2398">
        <f t="shared" si="161"/>
        <v>27.786475889999998</v>
      </c>
    </row>
    <row r="2399" spans="4:16" x14ac:dyDescent="0.25">
      <c r="D2399">
        <v>2031</v>
      </c>
      <c r="E2399" t="s">
        <v>227</v>
      </c>
      <c r="F2399" t="s">
        <v>272</v>
      </c>
      <c r="G2399">
        <v>27.786475889999998</v>
      </c>
      <c r="I2399">
        <f t="shared" si="162"/>
        <v>0</v>
      </c>
      <c r="J2399">
        <f t="shared" si="162"/>
        <v>0</v>
      </c>
      <c r="K2399">
        <f t="shared" si="162"/>
        <v>0</v>
      </c>
      <c r="M2399" t="str" cm="1">
        <f t="array" ref="M2399">IFERROR(INDEX($I$2:$K$2,0,MATCH(TRUE,I2399:K2399,0)),E2399)</f>
        <v>CHP New</v>
      </c>
      <c r="O2399" t="str">
        <f t="shared" si="160"/>
        <v>CHP New_2031</v>
      </c>
      <c r="P2399">
        <f t="shared" si="161"/>
        <v>27.786475889999998</v>
      </c>
    </row>
    <row r="2400" spans="4:16" x14ac:dyDescent="0.25">
      <c r="D2400">
        <v>2032</v>
      </c>
      <c r="E2400" t="s">
        <v>227</v>
      </c>
      <c r="F2400" t="s">
        <v>272</v>
      </c>
      <c r="G2400">
        <v>27.786475889999998</v>
      </c>
      <c r="I2400">
        <f t="shared" si="162"/>
        <v>0</v>
      </c>
      <c r="J2400">
        <f t="shared" si="162"/>
        <v>0</v>
      </c>
      <c r="K2400">
        <f t="shared" si="162"/>
        <v>0</v>
      </c>
      <c r="M2400" t="str" cm="1">
        <f t="array" ref="M2400">IFERROR(INDEX($I$2:$K$2,0,MATCH(TRUE,I2400:K2400,0)),E2400)</f>
        <v>CHP New</v>
      </c>
      <c r="O2400" t="str">
        <f t="shared" si="160"/>
        <v>CHP New_2032</v>
      </c>
      <c r="P2400">
        <f t="shared" si="161"/>
        <v>27.786475889999998</v>
      </c>
    </row>
    <row r="2401" spans="4:16" x14ac:dyDescent="0.25">
      <c r="D2401">
        <v>2033</v>
      </c>
      <c r="E2401" t="s">
        <v>227</v>
      </c>
      <c r="F2401" t="s">
        <v>272</v>
      </c>
      <c r="G2401">
        <v>27.786475889999998</v>
      </c>
      <c r="I2401">
        <f t="shared" si="162"/>
        <v>0</v>
      </c>
      <c r="J2401">
        <f t="shared" si="162"/>
        <v>0</v>
      </c>
      <c r="K2401">
        <f t="shared" si="162"/>
        <v>0</v>
      </c>
      <c r="M2401" t="str" cm="1">
        <f t="array" ref="M2401">IFERROR(INDEX($I$2:$K$2,0,MATCH(TRUE,I2401:K2401,0)),E2401)</f>
        <v>CHP New</v>
      </c>
      <c r="O2401" t="str">
        <f t="shared" si="160"/>
        <v>CHP New_2033</v>
      </c>
      <c r="P2401">
        <f t="shared" si="161"/>
        <v>27.786475889999998</v>
      </c>
    </row>
    <row r="2402" spans="4:16" x14ac:dyDescent="0.25">
      <c r="D2402">
        <v>2034</v>
      </c>
      <c r="E2402" t="s">
        <v>227</v>
      </c>
      <c r="F2402" t="s">
        <v>272</v>
      </c>
      <c r="G2402">
        <v>27.786475889999998</v>
      </c>
      <c r="I2402">
        <f t="shared" si="162"/>
        <v>0</v>
      </c>
      <c r="J2402">
        <f t="shared" si="162"/>
        <v>0</v>
      </c>
      <c r="K2402">
        <f t="shared" si="162"/>
        <v>0</v>
      </c>
      <c r="M2402" t="str" cm="1">
        <f t="array" ref="M2402">IFERROR(INDEX($I$2:$K$2,0,MATCH(TRUE,I2402:K2402,0)),E2402)</f>
        <v>CHP New</v>
      </c>
      <c r="O2402" t="str">
        <f t="shared" si="160"/>
        <v>CHP New_2034</v>
      </c>
      <c r="P2402">
        <f t="shared" si="161"/>
        <v>27.786475889999998</v>
      </c>
    </row>
    <row r="2403" spans="4:16" x14ac:dyDescent="0.25">
      <c r="D2403">
        <v>2035</v>
      </c>
      <c r="E2403" t="s">
        <v>227</v>
      </c>
      <c r="F2403" t="s">
        <v>272</v>
      </c>
      <c r="G2403">
        <v>27.786475889999998</v>
      </c>
      <c r="I2403">
        <f t="shared" si="162"/>
        <v>0</v>
      </c>
      <c r="J2403">
        <f t="shared" si="162"/>
        <v>0</v>
      </c>
      <c r="K2403">
        <f t="shared" si="162"/>
        <v>0</v>
      </c>
      <c r="M2403" t="str" cm="1">
        <f t="array" ref="M2403">IFERROR(INDEX($I$2:$K$2,0,MATCH(TRUE,I2403:K2403,0)),E2403)</f>
        <v>CHP New</v>
      </c>
      <c r="O2403" t="str">
        <f t="shared" si="160"/>
        <v>CHP New_2035</v>
      </c>
      <c r="P2403">
        <f t="shared" si="161"/>
        <v>27.786475889999998</v>
      </c>
    </row>
    <row r="2404" spans="4:16" x14ac:dyDescent="0.25">
      <c r="D2404">
        <v>2036</v>
      </c>
      <c r="E2404" t="s">
        <v>227</v>
      </c>
      <c r="F2404" t="s">
        <v>272</v>
      </c>
      <c r="G2404">
        <v>28.544833199999999</v>
      </c>
      <c r="I2404">
        <f t="shared" si="162"/>
        <v>0</v>
      </c>
      <c r="J2404">
        <f t="shared" si="162"/>
        <v>0</v>
      </c>
      <c r="K2404">
        <f t="shared" si="162"/>
        <v>0</v>
      </c>
      <c r="M2404" t="str" cm="1">
        <f t="array" ref="M2404">IFERROR(INDEX($I$2:$K$2,0,MATCH(TRUE,I2404:K2404,0)),E2404)</f>
        <v>CHP New</v>
      </c>
      <c r="O2404" t="str">
        <f t="shared" si="160"/>
        <v>CHP New_2036</v>
      </c>
      <c r="P2404">
        <f t="shared" si="161"/>
        <v>28.544833199999999</v>
      </c>
    </row>
    <row r="2405" spans="4:16" x14ac:dyDescent="0.25">
      <c r="D2405">
        <v>2037</v>
      </c>
      <c r="E2405" t="s">
        <v>227</v>
      </c>
      <c r="F2405" t="s">
        <v>272</v>
      </c>
      <c r="G2405">
        <v>27.786475889999998</v>
      </c>
      <c r="I2405">
        <f t="shared" si="162"/>
        <v>0</v>
      </c>
      <c r="J2405">
        <f t="shared" si="162"/>
        <v>0</v>
      </c>
      <c r="K2405">
        <f t="shared" si="162"/>
        <v>0</v>
      </c>
      <c r="M2405" t="str" cm="1">
        <f t="array" ref="M2405">IFERROR(INDEX($I$2:$K$2,0,MATCH(TRUE,I2405:K2405,0)),E2405)</f>
        <v>CHP New</v>
      </c>
      <c r="O2405" t="str">
        <f t="shared" si="160"/>
        <v>CHP New_2037</v>
      </c>
      <c r="P2405">
        <f t="shared" si="161"/>
        <v>27.786475889999998</v>
      </c>
    </row>
    <row r="2406" spans="4:16" x14ac:dyDescent="0.25">
      <c r="D2406">
        <v>2038</v>
      </c>
      <c r="E2406" t="s">
        <v>227</v>
      </c>
      <c r="F2406" t="s">
        <v>272</v>
      </c>
      <c r="G2406">
        <v>27.786475889999998</v>
      </c>
      <c r="I2406">
        <f t="shared" si="162"/>
        <v>0</v>
      </c>
      <c r="J2406">
        <f t="shared" si="162"/>
        <v>0</v>
      </c>
      <c r="K2406">
        <f t="shared" si="162"/>
        <v>0</v>
      </c>
      <c r="M2406" t="str" cm="1">
        <f t="array" ref="M2406">IFERROR(INDEX($I$2:$K$2,0,MATCH(TRUE,I2406:K2406,0)),E2406)</f>
        <v>CHP New</v>
      </c>
      <c r="O2406" t="str">
        <f t="shared" si="160"/>
        <v>CHP New_2038</v>
      </c>
      <c r="P2406">
        <f t="shared" si="161"/>
        <v>27.786475889999998</v>
      </c>
    </row>
    <row r="2407" spans="4:16" x14ac:dyDescent="0.25">
      <c r="D2407">
        <v>2039</v>
      </c>
      <c r="E2407" t="s">
        <v>227</v>
      </c>
      <c r="F2407" t="s">
        <v>272</v>
      </c>
      <c r="G2407">
        <v>27.786475889999998</v>
      </c>
      <c r="I2407">
        <f t="shared" si="162"/>
        <v>0</v>
      </c>
      <c r="J2407">
        <f t="shared" si="162"/>
        <v>0</v>
      </c>
      <c r="K2407">
        <f t="shared" si="162"/>
        <v>0</v>
      </c>
      <c r="M2407" t="str" cm="1">
        <f t="array" ref="M2407">IFERROR(INDEX($I$2:$K$2,0,MATCH(TRUE,I2407:K2407,0)),E2407)</f>
        <v>CHP New</v>
      </c>
      <c r="O2407" t="str">
        <f t="shared" si="160"/>
        <v>CHP New_2039</v>
      </c>
      <c r="P2407">
        <f t="shared" si="161"/>
        <v>27.786475889999998</v>
      </c>
    </row>
    <row r="2408" spans="4:16" x14ac:dyDescent="0.25">
      <c r="D2408">
        <v>2040</v>
      </c>
      <c r="E2408" t="s">
        <v>227</v>
      </c>
      <c r="F2408" t="s">
        <v>272</v>
      </c>
      <c r="G2408">
        <v>28.544833199999999</v>
      </c>
      <c r="I2408">
        <f t="shared" si="162"/>
        <v>0</v>
      </c>
      <c r="J2408">
        <f t="shared" si="162"/>
        <v>0</v>
      </c>
      <c r="K2408">
        <f t="shared" si="162"/>
        <v>0</v>
      </c>
      <c r="M2408" t="str" cm="1">
        <f t="array" ref="M2408">IFERROR(INDEX($I$2:$K$2,0,MATCH(TRUE,I2408:K2408,0)),E2408)</f>
        <v>CHP New</v>
      </c>
      <c r="O2408" t="str">
        <f t="shared" si="160"/>
        <v>CHP New_2040</v>
      </c>
      <c r="P2408">
        <f t="shared" si="161"/>
        <v>28.544833199999999</v>
      </c>
    </row>
    <row r="2409" spans="4:16" x14ac:dyDescent="0.25">
      <c r="D2409">
        <v>2025</v>
      </c>
      <c r="E2409" t="s">
        <v>227</v>
      </c>
      <c r="F2409" t="s">
        <v>273</v>
      </c>
      <c r="G2409">
        <v>0</v>
      </c>
      <c r="I2409">
        <f t="shared" si="162"/>
        <v>0</v>
      </c>
      <c r="J2409">
        <f t="shared" si="162"/>
        <v>0</v>
      </c>
      <c r="K2409">
        <f t="shared" si="162"/>
        <v>0</v>
      </c>
      <c r="M2409" t="str" cm="1">
        <f t="array" ref="M2409">IFERROR(INDEX($I$2:$K$2,0,MATCH(TRUE,I2409:K2409,0)),E2409)</f>
        <v>CHP New</v>
      </c>
      <c r="O2409" t="str">
        <f t="shared" si="160"/>
        <v>CHP New_2025</v>
      </c>
      <c r="P2409">
        <f t="shared" si="161"/>
        <v>0</v>
      </c>
    </row>
    <row r="2410" spans="4:16" x14ac:dyDescent="0.25">
      <c r="D2410">
        <v>2026</v>
      </c>
      <c r="E2410" t="s">
        <v>227</v>
      </c>
      <c r="F2410" t="s">
        <v>273</v>
      </c>
      <c r="G2410">
        <v>117.05731686999999</v>
      </c>
      <c r="I2410">
        <f t="shared" si="162"/>
        <v>0</v>
      </c>
      <c r="J2410">
        <f t="shared" si="162"/>
        <v>0</v>
      </c>
      <c r="K2410">
        <f t="shared" si="162"/>
        <v>0</v>
      </c>
      <c r="M2410" t="str" cm="1">
        <f t="array" ref="M2410">IFERROR(INDEX($I$2:$K$2,0,MATCH(TRUE,I2410:K2410,0)),E2410)</f>
        <v>CHP New</v>
      </c>
      <c r="O2410" t="str">
        <f t="shared" si="160"/>
        <v>CHP New_2026</v>
      </c>
      <c r="P2410">
        <f t="shared" si="161"/>
        <v>117.05731686999999</v>
      </c>
    </row>
    <row r="2411" spans="4:16" x14ac:dyDescent="0.25">
      <c r="D2411">
        <v>2027</v>
      </c>
      <c r="E2411" t="s">
        <v>227</v>
      </c>
      <c r="F2411" t="s">
        <v>273</v>
      </c>
      <c r="G2411">
        <v>117.05731686999999</v>
      </c>
      <c r="I2411">
        <f t="shared" si="162"/>
        <v>0</v>
      </c>
      <c r="J2411">
        <f t="shared" si="162"/>
        <v>0</v>
      </c>
      <c r="K2411">
        <f t="shared" si="162"/>
        <v>0</v>
      </c>
      <c r="M2411" t="str" cm="1">
        <f t="array" ref="M2411">IFERROR(INDEX($I$2:$K$2,0,MATCH(TRUE,I2411:K2411,0)),E2411)</f>
        <v>CHP New</v>
      </c>
      <c r="O2411" t="str">
        <f t="shared" si="160"/>
        <v>CHP New_2027</v>
      </c>
      <c r="P2411">
        <f t="shared" si="161"/>
        <v>117.05731686999999</v>
      </c>
    </row>
    <row r="2412" spans="4:16" x14ac:dyDescent="0.25">
      <c r="D2412">
        <v>2028</v>
      </c>
      <c r="E2412" t="s">
        <v>227</v>
      </c>
      <c r="F2412" t="s">
        <v>273</v>
      </c>
      <c r="G2412">
        <v>117.05731686999999</v>
      </c>
      <c r="I2412">
        <f t="shared" si="162"/>
        <v>0</v>
      </c>
      <c r="J2412">
        <f t="shared" si="162"/>
        <v>0</v>
      </c>
      <c r="K2412">
        <f t="shared" si="162"/>
        <v>0</v>
      </c>
      <c r="M2412" t="str" cm="1">
        <f t="array" ref="M2412">IFERROR(INDEX($I$2:$K$2,0,MATCH(TRUE,I2412:K2412,0)),E2412)</f>
        <v>CHP New</v>
      </c>
      <c r="O2412" t="str">
        <f t="shared" si="160"/>
        <v>CHP New_2028</v>
      </c>
      <c r="P2412">
        <f t="shared" si="161"/>
        <v>117.05731686999999</v>
      </c>
    </row>
    <row r="2413" spans="4:16" x14ac:dyDescent="0.25">
      <c r="D2413">
        <v>2029</v>
      </c>
      <c r="E2413" t="s">
        <v>227</v>
      </c>
      <c r="F2413" t="s">
        <v>273</v>
      </c>
      <c r="G2413">
        <v>117.05731686999999</v>
      </c>
      <c r="I2413">
        <f t="shared" si="162"/>
        <v>0</v>
      </c>
      <c r="J2413">
        <f t="shared" si="162"/>
        <v>0</v>
      </c>
      <c r="K2413">
        <f t="shared" si="162"/>
        <v>0</v>
      </c>
      <c r="M2413" t="str" cm="1">
        <f t="array" ref="M2413">IFERROR(INDEX($I$2:$K$2,0,MATCH(TRUE,I2413:K2413,0)),E2413)</f>
        <v>CHP New</v>
      </c>
      <c r="O2413" t="str">
        <f t="shared" si="160"/>
        <v>CHP New_2029</v>
      </c>
      <c r="P2413">
        <f t="shared" si="161"/>
        <v>117.05731686999999</v>
      </c>
    </row>
    <row r="2414" spans="4:16" x14ac:dyDescent="0.25">
      <c r="D2414">
        <v>2030</v>
      </c>
      <c r="E2414" t="s">
        <v>227</v>
      </c>
      <c r="F2414" t="s">
        <v>273</v>
      </c>
      <c r="G2414">
        <v>117.05731686999999</v>
      </c>
      <c r="I2414">
        <f t="shared" si="162"/>
        <v>0</v>
      </c>
      <c r="J2414">
        <f t="shared" si="162"/>
        <v>0</v>
      </c>
      <c r="K2414">
        <f t="shared" si="162"/>
        <v>0</v>
      </c>
      <c r="M2414" t="str" cm="1">
        <f t="array" ref="M2414">IFERROR(INDEX($I$2:$K$2,0,MATCH(TRUE,I2414:K2414,0)),E2414)</f>
        <v>CHP New</v>
      </c>
      <c r="O2414" t="str">
        <f t="shared" si="160"/>
        <v>CHP New_2030</v>
      </c>
      <c r="P2414">
        <f t="shared" si="161"/>
        <v>117.05731686999999</v>
      </c>
    </row>
    <row r="2415" spans="4:16" x14ac:dyDescent="0.25">
      <c r="D2415">
        <v>2031</v>
      </c>
      <c r="E2415" t="s">
        <v>227</v>
      </c>
      <c r="F2415" t="s">
        <v>273</v>
      </c>
      <c r="G2415">
        <v>117.05731686999999</v>
      </c>
      <c r="I2415">
        <f t="shared" si="162"/>
        <v>0</v>
      </c>
      <c r="J2415">
        <f t="shared" si="162"/>
        <v>0</v>
      </c>
      <c r="K2415">
        <f t="shared" si="162"/>
        <v>0</v>
      </c>
      <c r="M2415" t="str" cm="1">
        <f t="array" ref="M2415">IFERROR(INDEX($I$2:$K$2,0,MATCH(TRUE,I2415:K2415,0)),E2415)</f>
        <v>CHP New</v>
      </c>
      <c r="O2415" t="str">
        <f t="shared" si="160"/>
        <v>CHP New_2031</v>
      </c>
      <c r="P2415">
        <f t="shared" si="161"/>
        <v>117.05731686999999</v>
      </c>
    </row>
    <row r="2416" spans="4:16" x14ac:dyDescent="0.25">
      <c r="D2416">
        <v>2032</v>
      </c>
      <c r="E2416" t="s">
        <v>227</v>
      </c>
      <c r="F2416" t="s">
        <v>273</v>
      </c>
      <c r="G2416">
        <v>117.05731686999999</v>
      </c>
      <c r="I2416">
        <f t="shared" si="162"/>
        <v>0</v>
      </c>
      <c r="J2416">
        <f t="shared" si="162"/>
        <v>0</v>
      </c>
      <c r="K2416">
        <f t="shared" si="162"/>
        <v>0</v>
      </c>
      <c r="M2416" t="str" cm="1">
        <f t="array" ref="M2416">IFERROR(INDEX($I$2:$K$2,0,MATCH(TRUE,I2416:K2416,0)),E2416)</f>
        <v>CHP New</v>
      </c>
      <c r="O2416" t="str">
        <f t="shared" si="160"/>
        <v>CHP New_2032</v>
      </c>
      <c r="P2416">
        <f t="shared" si="161"/>
        <v>117.05731686999999</v>
      </c>
    </row>
    <row r="2417" spans="4:16" x14ac:dyDescent="0.25">
      <c r="D2417">
        <v>2033</v>
      </c>
      <c r="E2417" t="s">
        <v>227</v>
      </c>
      <c r="F2417" t="s">
        <v>273</v>
      </c>
      <c r="G2417">
        <v>117.05731686999999</v>
      </c>
      <c r="I2417">
        <f t="shared" si="162"/>
        <v>0</v>
      </c>
      <c r="J2417">
        <f t="shared" si="162"/>
        <v>0</v>
      </c>
      <c r="K2417">
        <f t="shared" si="162"/>
        <v>0</v>
      </c>
      <c r="M2417" t="str" cm="1">
        <f t="array" ref="M2417">IFERROR(INDEX($I$2:$K$2,0,MATCH(TRUE,I2417:K2417,0)),E2417)</f>
        <v>CHP New</v>
      </c>
      <c r="O2417" t="str">
        <f t="shared" si="160"/>
        <v>CHP New_2033</v>
      </c>
      <c r="P2417">
        <f t="shared" si="161"/>
        <v>117.05731686999999</v>
      </c>
    </row>
    <row r="2418" spans="4:16" x14ac:dyDescent="0.25">
      <c r="D2418">
        <v>2034</v>
      </c>
      <c r="E2418" t="s">
        <v>227</v>
      </c>
      <c r="F2418" t="s">
        <v>273</v>
      </c>
      <c r="G2418">
        <v>117.05731686999999</v>
      </c>
      <c r="I2418">
        <f t="shared" si="162"/>
        <v>0</v>
      </c>
      <c r="J2418">
        <f t="shared" si="162"/>
        <v>0</v>
      </c>
      <c r="K2418">
        <f t="shared" si="162"/>
        <v>0</v>
      </c>
      <c r="M2418" t="str" cm="1">
        <f t="array" ref="M2418">IFERROR(INDEX($I$2:$K$2,0,MATCH(TRUE,I2418:K2418,0)),E2418)</f>
        <v>CHP New</v>
      </c>
      <c r="O2418" t="str">
        <f t="shared" si="160"/>
        <v>CHP New_2034</v>
      </c>
      <c r="P2418">
        <f t="shared" si="161"/>
        <v>117.05731686999999</v>
      </c>
    </row>
    <row r="2419" spans="4:16" x14ac:dyDescent="0.25">
      <c r="D2419">
        <v>2035</v>
      </c>
      <c r="E2419" t="s">
        <v>227</v>
      </c>
      <c r="F2419" t="s">
        <v>273</v>
      </c>
      <c r="G2419">
        <v>117.05731686999999</v>
      </c>
      <c r="I2419">
        <f t="shared" si="162"/>
        <v>0</v>
      </c>
      <c r="J2419">
        <f t="shared" si="162"/>
        <v>0</v>
      </c>
      <c r="K2419">
        <f t="shared" si="162"/>
        <v>0</v>
      </c>
      <c r="M2419" t="str" cm="1">
        <f t="array" ref="M2419">IFERROR(INDEX($I$2:$K$2,0,MATCH(TRUE,I2419:K2419,0)),E2419)</f>
        <v>CHP New</v>
      </c>
      <c r="O2419" t="str">
        <f t="shared" si="160"/>
        <v>CHP New_2035</v>
      </c>
      <c r="P2419">
        <f t="shared" si="161"/>
        <v>117.05731686999999</v>
      </c>
    </row>
    <row r="2420" spans="4:16" x14ac:dyDescent="0.25">
      <c r="D2420">
        <v>2036</v>
      </c>
      <c r="E2420" t="s">
        <v>227</v>
      </c>
      <c r="F2420" t="s">
        <v>273</v>
      </c>
      <c r="G2420">
        <v>120.79085267000001</v>
      </c>
      <c r="I2420">
        <f t="shared" si="162"/>
        <v>0</v>
      </c>
      <c r="J2420">
        <f t="shared" si="162"/>
        <v>0</v>
      </c>
      <c r="K2420">
        <f t="shared" si="162"/>
        <v>0</v>
      </c>
      <c r="M2420" t="str" cm="1">
        <f t="array" ref="M2420">IFERROR(INDEX($I$2:$K$2,0,MATCH(TRUE,I2420:K2420,0)),E2420)</f>
        <v>CHP New</v>
      </c>
      <c r="O2420" t="str">
        <f t="shared" si="160"/>
        <v>CHP New_2036</v>
      </c>
      <c r="P2420">
        <f t="shared" si="161"/>
        <v>120.79085267000001</v>
      </c>
    </row>
    <row r="2421" spans="4:16" x14ac:dyDescent="0.25">
      <c r="D2421">
        <v>2037</v>
      </c>
      <c r="E2421" t="s">
        <v>227</v>
      </c>
      <c r="F2421" t="s">
        <v>273</v>
      </c>
      <c r="G2421">
        <v>117.05731686999999</v>
      </c>
      <c r="I2421">
        <f t="shared" si="162"/>
        <v>0</v>
      </c>
      <c r="J2421">
        <f t="shared" si="162"/>
        <v>0</v>
      </c>
      <c r="K2421">
        <f t="shared" si="162"/>
        <v>0</v>
      </c>
      <c r="M2421" t="str" cm="1">
        <f t="array" ref="M2421">IFERROR(INDEX($I$2:$K$2,0,MATCH(TRUE,I2421:K2421,0)),E2421)</f>
        <v>CHP New</v>
      </c>
      <c r="O2421" t="str">
        <f t="shared" si="160"/>
        <v>CHP New_2037</v>
      </c>
      <c r="P2421">
        <f t="shared" si="161"/>
        <v>117.05731686999999</v>
      </c>
    </row>
    <row r="2422" spans="4:16" x14ac:dyDescent="0.25">
      <c r="D2422">
        <v>2038</v>
      </c>
      <c r="E2422" t="s">
        <v>227</v>
      </c>
      <c r="F2422" t="s">
        <v>273</v>
      </c>
      <c r="G2422">
        <v>117.05731686999999</v>
      </c>
      <c r="I2422">
        <f t="shared" si="162"/>
        <v>0</v>
      </c>
      <c r="J2422">
        <f t="shared" si="162"/>
        <v>0</v>
      </c>
      <c r="K2422">
        <f t="shared" si="162"/>
        <v>0</v>
      </c>
      <c r="M2422" t="str" cm="1">
        <f t="array" ref="M2422">IFERROR(INDEX($I$2:$K$2,0,MATCH(TRUE,I2422:K2422,0)),E2422)</f>
        <v>CHP New</v>
      </c>
      <c r="O2422" t="str">
        <f t="shared" si="160"/>
        <v>CHP New_2038</v>
      </c>
      <c r="P2422">
        <f t="shared" si="161"/>
        <v>117.05731686999999</v>
      </c>
    </row>
    <row r="2423" spans="4:16" x14ac:dyDescent="0.25">
      <c r="D2423">
        <v>2039</v>
      </c>
      <c r="E2423" t="s">
        <v>227</v>
      </c>
      <c r="F2423" t="s">
        <v>273</v>
      </c>
      <c r="G2423">
        <v>117.05731686999999</v>
      </c>
      <c r="I2423">
        <f t="shared" si="162"/>
        <v>0</v>
      </c>
      <c r="J2423">
        <f t="shared" si="162"/>
        <v>0</v>
      </c>
      <c r="K2423">
        <f t="shared" si="162"/>
        <v>0</v>
      </c>
      <c r="M2423" t="str" cm="1">
        <f t="array" ref="M2423">IFERROR(INDEX($I$2:$K$2,0,MATCH(TRUE,I2423:K2423,0)),E2423)</f>
        <v>CHP New</v>
      </c>
      <c r="O2423" t="str">
        <f t="shared" si="160"/>
        <v>CHP New_2039</v>
      </c>
      <c r="P2423">
        <f t="shared" si="161"/>
        <v>117.05731686999999</v>
      </c>
    </row>
    <row r="2424" spans="4:16" x14ac:dyDescent="0.25">
      <c r="D2424">
        <v>2040</v>
      </c>
      <c r="E2424" t="s">
        <v>227</v>
      </c>
      <c r="F2424" t="s">
        <v>273</v>
      </c>
      <c r="G2424">
        <v>120.79085267000001</v>
      </c>
      <c r="I2424">
        <f t="shared" si="162"/>
        <v>0</v>
      </c>
      <c r="J2424">
        <f t="shared" si="162"/>
        <v>0</v>
      </c>
      <c r="K2424">
        <f t="shared" si="162"/>
        <v>0</v>
      </c>
      <c r="M2424" t="str" cm="1">
        <f t="array" ref="M2424">IFERROR(INDEX($I$2:$K$2,0,MATCH(TRUE,I2424:K2424,0)),E2424)</f>
        <v>CHP New</v>
      </c>
      <c r="O2424" t="str">
        <f t="shared" si="160"/>
        <v>CHP New_2040</v>
      </c>
      <c r="P2424">
        <f t="shared" si="161"/>
        <v>120.79085267000001</v>
      </c>
    </row>
    <row r="2425" spans="4:16" x14ac:dyDescent="0.25">
      <c r="D2425">
        <v>2022</v>
      </c>
      <c r="E2425" t="s">
        <v>227</v>
      </c>
      <c r="F2425" t="s">
        <v>274</v>
      </c>
      <c r="G2425">
        <v>74.09726904</v>
      </c>
      <c r="I2425">
        <f t="shared" si="162"/>
        <v>0</v>
      </c>
      <c r="J2425">
        <f t="shared" si="162"/>
        <v>0</v>
      </c>
      <c r="K2425">
        <f t="shared" si="162"/>
        <v>0</v>
      </c>
      <c r="M2425" t="str" cm="1">
        <f t="array" ref="M2425">IFERROR(INDEX($I$2:$K$2,0,MATCH(TRUE,I2425:K2425,0)),E2425)</f>
        <v>CHP New</v>
      </c>
      <c r="O2425" t="str">
        <f t="shared" si="160"/>
        <v>CHP New_2022</v>
      </c>
      <c r="P2425">
        <f t="shared" si="161"/>
        <v>74.09726904</v>
      </c>
    </row>
    <row r="2426" spans="4:16" x14ac:dyDescent="0.25">
      <c r="D2426">
        <v>2023</v>
      </c>
      <c r="E2426" t="s">
        <v>227</v>
      </c>
      <c r="F2426" t="s">
        <v>274</v>
      </c>
      <c r="G2426">
        <v>74.09726904</v>
      </c>
      <c r="I2426">
        <f t="shared" si="162"/>
        <v>0</v>
      </c>
      <c r="J2426">
        <f t="shared" si="162"/>
        <v>0</v>
      </c>
      <c r="K2426">
        <f t="shared" si="162"/>
        <v>0</v>
      </c>
      <c r="M2426" t="str" cm="1">
        <f t="array" ref="M2426">IFERROR(INDEX($I$2:$K$2,0,MATCH(TRUE,I2426:K2426,0)),E2426)</f>
        <v>CHP New</v>
      </c>
      <c r="O2426" t="str">
        <f t="shared" si="160"/>
        <v>CHP New_2023</v>
      </c>
      <c r="P2426">
        <f t="shared" si="161"/>
        <v>74.09726904</v>
      </c>
    </row>
    <row r="2427" spans="4:16" x14ac:dyDescent="0.25">
      <c r="D2427">
        <v>2024</v>
      </c>
      <c r="E2427" t="s">
        <v>227</v>
      </c>
      <c r="F2427" t="s">
        <v>274</v>
      </c>
      <c r="G2427">
        <v>76.119555199999994</v>
      </c>
      <c r="I2427">
        <f t="shared" si="162"/>
        <v>0</v>
      </c>
      <c r="J2427">
        <f t="shared" si="162"/>
        <v>0</v>
      </c>
      <c r="K2427">
        <f t="shared" si="162"/>
        <v>0</v>
      </c>
      <c r="M2427" t="str" cm="1">
        <f t="array" ref="M2427">IFERROR(INDEX($I$2:$K$2,0,MATCH(TRUE,I2427:K2427,0)),E2427)</f>
        <v>CHP New</v>
      </c>
      <c r="O2427" t="str">
        <f t="shared" si="160"/>
        <v>CHP New_2024</v>
      </c>
      <c r="P2427">
        <f t="shared" si="161"/>
        <v>76.119555199999994</v>
      </c>
    </row>
    <row r="2428" spans="4:16" x14ac:dyDescent="0.25">
      <c r="D2428">
        <v>2025</v>
      </c>
      <c r="E2428" t="s">
        <v>227</v>
      </c>
      <c r="F2428" t="s">
        <v>274</v>
      </c>
      <c r="G2428">
        <v>74.09726904</v>
      </c>
      <c r="I2428">
        <f t="shared" si="162"/>
        <v>0</v>
      </c>
      <c r="J2428">
        <f t="shared" si="162"/>
        <v>0</v>
      </c>
      <c r="K2428">
        <f t="shared" si="162"/>
        <v>0</v>
      </c>
      <c r="M2428" t="str" cm="1">
        <f t="array" ref="M2428">IFERROR(INDEX($I$2:$K$2,0,MATCH(TRUE,I2428:K2428,0)),E2428)</f>
        <v>CHP New</v>
      </c>
      <c r="O2428" t="str">
        <f t="shared" si="160"/>
        <v>CHP New_2025</v>
      </c>
      <c r="P2428">
        <f t="shared" si="161"/>
        <v>74.09726904</v>
      </c>
    </row>
    <row r="2429" spans="4:16" x14ac:dyDescent="0.25">
      <c r="D2429">
        <v>2026</v>
      </c>
      <c r="E2429" t="s">
        <v>227</v>
      </c>
      <c r="F2429" t="s">
        <v>274</v>
      </c>
      <c r="G2429">
        <v>74.09726904</v>
      </c>
      <c r="I2429">
        <f t="shared" si="162"/>
        <v>0</v>
      </c>
      <c r="J2429">
        <f t="shared" si="162"/>
        <v>0</v>
      </c>
      <c r="K2429">
        <f t="shared" si="162"/>
        <v>0</v>
      </c>
      <c r="M2429" t="str" cm="1">
        <f t="array" ref="M2429">IFERROR(INDEX($I$2:$K$2,0,MATCH(TRUE,I2429:K2429,0)),E2429)</f>
        <v>CHP New</v>
      </c>
      <c r="O2429" t="str">
        <f t="shared" si="160"/>
        <v>CHP New_2026</v>
      </c>
      <c r="P2429">
        <f t="shared" si="161"/>
        <v>74.09726904</v>
      </c>
    </row>
    <row r="2430" spans="4:16" x14ac:dyDescent="0.25">
      <c r="D2430">
        <v>2027</v>
      </c>
      <c r="E2430" t="s">
        <v>227</v>
      </c>
      <c r="F2430" t="s">
        <v>274</v>
      </c>
      <c r="G2430">
        <v>74.09726904</v>
      </c>
      <c r="I2430">
        <f t="shared" si="162"/>
        <v>0</v>
      </c>
      <c r="J2430">
        <f t="shared" si="162"/>
        <v>0</v>
      </c>
      <c r="K2430">
        <f t="shared" si="162"/>
        <v>0</v>
      </c>
      <c r="M2430" t="str" cm="1">
        <f t="array" ref="M2430">IFERROR(INDEX($I$2:$K$2,0,MATCH(TRUE,I2430:K2430,0)),E2430)</f>
        <v>CHP New</v>
      </c>
      <c r="O2430" t="str">
        <f t="shared" si="160"/>
        <v>CHP New_2027</v>
      </c>
      <c r="P2430">
        <f t="shared" si="161"/>
        <v>74.09726904</v>
      </c>
    </row>
    <row r="2431" spans="4:16" x14ac:dyDescent="0.25">
      <c r="D2431">
        <v>2028</v>
      </c>
      <c r="E2431" t="s">
        <v>227</v>
      </c>
      <c r="F2431" t="s">
        <v>274</v>
      </c>
      <c r="G2431">
        <v>74.09726904</v>
      </c>
      <c r="I2431">
        <f t="shared" si="162"/>
        <v>0</v>
      </c>
      <c r="J2431">
        <f t="shared" si="162"/>
        <v>0</v>
      </c>
      <c r="K2431">
        <f t="shared" si="162"/>
        <v>0</v>
      </c>
      <c r="M2431" t="str" cm="1">
        <f t="array" ref="M2431">IFERROR(INDEX($I$2:$K$2,0,MATCH(TRUE,I2431:K2431,0)),E2431)</f>
        <v>CHP New</v>
      </c>
      <c r="O2431" t="str">
        <f t="shared" si="160"/>
        <v>CHP New_2028</v>
      </c>
      <c r="P2431">
        <f t="shared" si="161"/>
        <v>74.09726904</v>
      </c>
    </row>
    <row r="2432" spans="4:16" x14ac:dyDescent="0.25">
      <c r="D2432">
        <v>2029</v>
      </c>
      <c r="E2432" t="s">
        <v>227</v>
      </c>
      <c r="F2432" t="s">
        <v>274</v>
      </c>
      <c r="G2432">
        <v>74.09726904</v>
      </c>
      <c r="I2432">
        <f t="shared" si="162"/>
        <v>0</v>
      </c>
      <c r="J2432">
        <f t="shared" si="162"/>
        <v>0</v>
      </c>
      <c r="K2432">
        <f t="shared" si="162"/>
        <v>0</v>
      </c>
      <c r="M2432" t="str" cm="1">
        <f t="array" ref="M2432">IFERROR(INDEX($I$2:$K$2,0,MATCH(TRUE,I2432:K2432,0)),E2432)</f>
        <v>CHP New</v>
      </c>
      <c r="O2432" t="str">
        <f t="shared" si="160"/>
        <v>CHP New_2029</v>
      </c>
      <c r="P2432">
        <f t="shared" si="161"/>
        <v>74.09726904</v>
      </c>
    </row>
    <row r="2433" spans="4:16" x14ac:dyDescent="0.25">
      <c r="D2433">
        <v>2030</v>
      </c>
      <c r="E2433" t="s">
        <v>227</v>
      </c>
      <c r="F2433" t="s">
        <v>274</v>
      </c>
      <c r="G2433">
        <v>74.09726904</v>
      </c>
      <c r="I2433">
        <f t="shared" si="162"/>
        <v>0</v>
      </c>
      <c r="J2433">
        <f t="shared" si="162"/>
        <v>0</v>
      </c>
      <c r="K2433">
        <f t="shared" si="162"/>
        <v>0</v>
      </c>
      <c r="M2433" t="str" cm="1">
        <f t="array" ref="M2433">IFERROR(INDEX($I$2:$K$2,0,MATCH(TRUE,I2433:K2433,0)),E2433)</f>
        <v>CHP New</v>
      </c>
      <c r="O2433" t="str">
        <f t="shared" si="160"/>
        <v>CHP New_2030</v>
      </c>
      <c r="P2433">
        <f t="shared" si="161"/>
        <v>74.09726904</v>
      </c>
    </row>
    <row r="2434" spans="4:16" x14ac:dyDescent="0.25">
      <c r="D2434">
        <v>2031</v>
      </c>
      <c r="E2434" t="s">
        <v>227</v>
      </c>
      <c r="F2434" t="s">
        <v>274</v>
      </c>
      <c r="G2434">
        <v>74.09726904</v>
      </c>
      <c r="I2434">
        <f t="shared" si="162"/>
        <v>0</v>
      </c>
      <c r="J2434">
        <f t="shared" si="162"/>
        <v>0</v>
      </c>
      <c r="K2434">
        <f t="shared" si="162"/>
        <v>0</v>
      </c>
      <c r="M2434" t="str" cm="1">
        <f t="array" ref="M2434">IFERROR(INDEX($I$2:$K$2,0,MATCH(TRUE,I2434:K2434,0)),E2434)</f>
        <v>CHP New</v>
      </c>
      <c r="O2434" t="str">
        <f t="shared" si="160"/>
        <v>CHP New_2031</v>
      </c>
      <c r="P2434">
        <f t="shared" si="161"/>
        <v>74.09726904</v>
      </c>
    </row>
    <row r="2435" spans="4:16" x14ac:dyDescent="0.25">
      <c r="D2435">
        <v>2032</v>
      </c>
      <c r="E2435" t="s">
        <v>227</v>
      </c>
      <c r="F2435" t="s">
        <v>274</v>
      </c>
      <c r="G2435">
        <v>74.09726904</v>
      </c>
      <c r="I2435">
        <f t="shared" si="162"/>
        <v>0</v>
      </c>
      <c r="J2435">
        <f t="shared" si="162"/>
        <v>0</v>
      </c>
      <c r="K2435">
        <f t="shared" si="162"/>
        <v>0</v>
      </c>
      <c r="M2435" t="str" cm="1">
        <f t="array" ref="M2435">IFERROR(INDEX($I$2:$K$2,0,MATCH(TRUE,I2435:K2435,0)),E2435)</f>
        <v>CHP New</v>
      </c>
      <c r="O2435" t="str">
        <f t="shared" si="160"/>
        <v>CHP New_2032</v>
      </c>
      <c r="P2435">
        <f t="shared" si="161"/>
        <v>74.09726904</v>
      </c>
    </row>
    <row r="2436" spans="4:16" x14ac:dyDescent="0.25">
      <c r="D2436">
        <v>2033</v>
      </c>
      <c r="E2436" t="s">
        <v>227</v>
      </c>
      <c r="F2436" t="s">
        <v>274</v>
      </c>
      <c r="G2436">
        <v>74.09726904</v>
      </c>
      <c r="I2436">
        <f t="shared" si="162"/>
        <v>0</v>
      </c>
      <c r="J2436">
        <f t="shared" si="162"/>
        <v>0</v>
      </c>
      <c r="K2436">
        <f t="shared" si="162"/>
        <v>0</v>
      </c>
      <c r="M2436" t="str" cm="1">
        <f t="array" ref="M2436">IFERROR(INDEX($I$2:$K$2,0,MATCH(TRUE,I2436:K2436,0)),E2436)</f>
        <v>CHP New</v>
      </c>
      <c r="O2436" t="str">
        <f t="shared" si="160"/>
        <v>CHP New_2033</v>
      </c>
      <c r="P2436">
        <f t="shared" si="161"/>
        <v>74.09726904</v>
      </c>
    </row>
    <row r="2437" spans="4:16" x14ac:dyDescent="0.25">
      <c r="D2437">
        <v>2034</v>
      </c>
      <c r="E2437" t="s">
        <v>227</v>
      </c>
      <c r="F2437" t="s">
        <v>274</v>
      </c>
      <c r="G2437">
        <v>74.09726904</v>
      </c>
      <c r="I2437">
        <f t="shared" si="162"/>
        <v>0</v>
      </c>
      <c r="J2437">
        <f t="shared" si="162"/>
        <v>0</v>
      </c>
      <c r="K2437">
        <f t="shared" si="162"/>
        <v>0</v>
      </c>
      <c r="M2437" t="str" cm="1">
        <f t="array" ref="M2437">IFERROR(INDEX($I$2:$K$2,0,MATCH(TRUE,I2437:K2437,0)),E2437)</f>
        <v>CHP New</v>
      </c>
      <c r="O2437" t="str">
        <f t="shared" si="160"/>
        <v>CHP New_2034</v>
      </c>
      <c r="P2437">
        <f t="shared" si="161"/>
        <v>74.09726904</v>
      </c>
    </row>
    <row r="2438" spans="4:16" x14ac:dyDescent="0.25">
      <c r="D2438">
        <v>2035</v>
      </c>
      <c r="E2438" t="s">
        <v>227</v>
      </c>
      <c r="F2438" t="s">
        <v>274</v>
      </c>
      <c r="G2438">
        <v>74.09726904</v>
      </c>
      <c r="I2438">
        <f t="shared" si="162"/>
        <v>0</v>
      </c>
      <c r="J2438">
        <f t="shared" si="162"/>
        <v>0</v>
      </c>
      <c r="K2438">
        <f t="shared" si="162"/>
        <v>0</v>
      </c>
      <c r="M2438" t="str" cm="1">
        <f t="array" ref="M2438">IFERROR(INDEX($I$2:$K$2,0,MATCH(TRUE,I2438:K2438,0)),E2438)</f>
        <v>CHP New</v>
      </c>
      <c r="O2438" t="str">
        <f t="shared" si="160"/>
        <v>CHP New_2035</v>
      </c>
      <c r="P2438">
        <f t="shared" si="161"/>
        <v>74.09726904</v>
      </c>
    </row>
    <row r="2439" spans="4:16" x14ac:dyDescent="0.25">
      <c r="D2439">
        <v>2036</v>
      </c>
      <c r="E2439" t="s">
        <v>227</v>
      </c>
      <c r="F2439" t="s">
        <v>274</v>
      </c>
      <c r="G2439">
        <v>76.119555199999994</v>
      </c>
      <c r="I2439">
        <f t="shared" si="162"/>
        <v>0</v>
      </c>
      <c r="J2439">
        <f t="shared" si="162"/>
        <v>0</v>
      </c>
      <c r="K2439">
        <f t="shared" si="162"/>
        <v>0</v>
      </c>
      <c r="M2439" t="str" cm="1">
        <f t="array" ref="M2439">IFERROR(INDEX($I$2:$K$2,0,MATCH(TRUE,I2439:K2439,0)),E2439)</f>
        <v>CHP New</v>
      </c>
      <c r="O2439" t="str">
        <f t="shared" si="160"/>
        <v>CHP New_2036</v>
      </c>
      <c r="P2439">
        <f t="shared" si="161"/>
        <v>76.119555199999994</v>
      </c>
    </row>
    <row r="2440" spans="4:16" x14ac:dyDescent="0.25">
      <c r="D2440">
        <v>2037</v>
      </c>
      <c r="E2440" t="s">
        <v>227</v>
      </c>
      <c r="F2440" t="s">
        <v>274</v>
      </c>
      <c r="G2440">
        <v>74.09726904</v>
      </c>
      <c r="I2440">
        <f t="shared" si="162"/>
        <v>0</v>
      </c>
      <c r="J2440">
        <f t="shared" si="162"/>
        <v>0</v>
      </c>
      <c r="K2440">
        <f t="shared" si="162"/>
        <v>0</v>
      </c>
      <c r="M2440" t="str" cm="1">
        <f t="array" ref="M2440">IFERROR(INDEX($I$2:$K$2,0,MATCH(TRUE,I2440:K2440,0)),E2440)</f>
        <v>CHP New</v>
      </c>
      <c r="O2440" t="str">
        <f t="shared" si="160"/>
        <v>CHP New_2037</v>
      </c>
      <c r="P2440">
        <f t="shared" si="161"/>
        <v>74.09726904</v>
      </c>
    </row>
    <row r="2441" spans="4:16" x14ac:dyDescent="0.25">
      <c r="D2441">
        <v>2038</v>
      </c>
      <c r="E2441" t="s">
        <v>227</v>
      </c>
      <c r="F2441" t="s">
        <v>274</v>
      </c>
      <c r="G2441">
        <v>74.09726904</v>
      </c>
      <c r="I2441">
        <f t="shared" si="162"/>
        <v>0</v>
      </c>
      <c r="J2441">
        <f t="shared" si="162"/>
        <v>0</v>
      </c>
      <c r="K2441">
        <f t="shared" si="162"/>
        <v>0</v>
      </c>
      <c r="M2441" t="str" cm="1">
        <f t="array" ref="M2441">IFERROR(INDEX($I$2:$K$2,0,MATCH(TRUE,I2441:K2441,0)),E2441)</f>
        <v>CHP New</v>
      </c>
      <c r="O2441" t="str">
        <f t="shared" si="160"/>
        <v>CHP New_2038</v>
      </c>
      <c r="P2441">
        <f t="shared" si="161"/>
        <v>74.09726904</v>
      </c>
    </row>
    <row r="2442" spans="4:16" x14ac:dyDescent="0.25">
      <c r="D2442">
        <v>2039</v>
      </c>
      <c r="E2442" t="s">
        <v>227</v>
      </c>
      <c r="F2442" t="s">
        <v>274</v>
      </c>
      <c r="G2442">
        <v>74.09726904</v>
      </c>
      <c r="I2442">
        <f t="shared" si="162"/>
        <v>0</v>
      </c>
      <c r="J2442">
        <f t="shared" si="162"/>
        <v>0</v>
      </c>
      <c r="K2442">
        <f t="shared" si="162"/>
        <v>0</v>
      </c>
      <c r="M2442" t="str" cm="1">
        <f t="array" ref="M2442">IFERROR(INDEX($I$2:$K$2,0,MATCH(TRUE,I2442:K2442,0)),E2442)</f>
        <v>CHP New</v>
      </c>
      <c r="O2442" t="str">
        <f t="shared" si="160"/>
        <v>CHP New_2039</v>
      </c>
      <c r="P2442">
        <f t="shared" si="161"/>
        <v>74.09726904</v>
      </c>
    </row>
    <row r="2443" spans="4:16" x14ac:dyDescent="0.25">
      <c r="D2443">
        <v>2040</v>
      </c>
      <c r="E2443" t="s">
        <v>227</v>
      </c>
      <c r="F2443" t="s">
        <v>274</v>
      </c>
      <c r="G2443">
        <v>76.119555199999994</v>
      </c>
      <c r="I2443">
        <f t="shared" si="162"/>
        <v>0</v>
      </c>
      <c r="J2443">
        <f t="shared" si="162"/>
        <v>0</v>
      </c>
      <c r="K2443">
        <f t="shared" si="162"/>
        <v>0</v>
      </c>
      <c r="M2443" t="str" cm="1">
        <f t="array" ref="M2443">IFERROR(INDEX($I$2:$K$2,0,MATCH(TRUE,I2443:K2443,0)),E2443)</f>
        <v>CHP New</v>
      </c>
      <c r="O2443" t="str">
        <f t="shared" si="160"/>
        <v>CHP New_2040</v>
      </c>
      <c r="P2443">
        <f t="shared" si="161"/>
        <v>76.119555199999994</v>
      </c>
    </row>
    <row r="2444" spans="4:16" x14ac:dyDescent="0.25">
      <c r="D2444">
        <v>2025</v>
      </c>
      <c r="E2444" t="s">
        <v>227</v>
      </c>
      <c r="F2444" t="s">
        <v>275</v>
      </c>
      <c r="G2444">
        <v>0</v>
      </c>
      <c r="I2444">
        <f t="shared" si="162"/>
        <v>0</v>
      </c>
      <c r="J2444">
        <f t="shared" si="162"/>
        <v>0</v>
      </c>
      <c r="K2444">
        <f t="shared" si="162"/>
        <v>0</v>
      </c>
      <c r="M2444" t="str" cm="1">
        <f t="array" ref="M2444">IFERROR(INDEX($I$2:$K$2,0,MATCH(TRUE,I2444:K2444,0)),E2444)</f>
        <v>CHP New</v>
      </c>
      <c r="O2444" t="str">
        <f t="shared" si="160"/>
        <v>CHP New_2025</v>
      </c>
      <c r="P2444">
        <f t="shared" si="161"/>
        <v>0</v>
      </c>
    </row>
    <row r="2445" spans="4:16" x14ac:dyDescent="0.25">
      <c r="D2445">
        <v>2026</v>
      </c>
      <c r="E2445" t="s">
        <v>227</v>
      </c>
      <c r="F2445" t="s">
        <v>275</v>
      </c>
      <c r="G2445">
        <v>235.92947586</v>
      </c>
      <c r="I2445">
        <f t="shared" si="162"/>
        <v>0</v>
      </c>
      <c r="J2445">
        <f t="shared" si="162"/>
        <v>0</v>
      </c>
      <c r="K2445">
        <f t="shared" si="162"/>
        <v>0</v>
      </c>
      <c r="M2445" t="str" cm="1">
        <f t="array" ref="M2445">IFERROR(INDEX($I$2:$K$2,0,MATCH(TRUE,I2445:K2445,0)),E2445)</f>
        <v>CHP New</v>
      </c>
      <c r="O2445" t="str">
        <f t="shared" si="160"/>
        <v>CHP New_2026</v>
      </c>
      <c r="P2445">
        <f t="shared" si="161"/>
        <v>235.92947586</v>
      </c>
    </row>
    <row r="2446" spans="4:16" x14ac:dyDescent="0.25">
      <c r="D2446">
        <v>2027</v>
      </c>
      <c r="E2446" t="s">
        <v>227</v>
      </c>
      <c r="F2446" t="s">
        <v>275</v>
      </c>
      <c r="G2446">
        <v>235.92947586</v>
      </c>
      <c r="I2446">
        <f t="shared" si="162"/>
        <v>0</v>
      </c>
      <c r="J2446">
        <f t="shared" si="162"/>
        <v>0</v>
      </c>
      <c r="K2446">
        <f t="shared" si="162"/>
        <v>0</v>
      </c>
      <c r="M2446" t="str" cm="1">
        <f t="array" ref="M2446">IFERROR(INDEX($I$2:$K$2,0,MATCH(TRUE,I2446:K2446,0)),E2446)</f>
        <v>CHP New</v>
      </c>
      <c r="O2446" t="str">
        <f t="shared" si="160"/>
        <v>CHP New_2027</v>
      </c>
      <c r="P2446">
        <f t="shared" si="161"/>
        <v>235.92947586</v>
      </c>
    </row>
    <row r="2447" spans="4:16" x14ac:dyDescent="0.25">
      <c r="D2447">
        <v>2028</v>
      </c>
      <c r="E2447" t="s">
        <v>227</v>
      </c>
      <c r="F2447" t="s">
        <v>275</v>
      </c>
      <c r="G2447">
        <v>235.92947586</v>
      </c>
      <c r="I2447">
        <f t="shared" si="162"/>
        <v>0</v>
      </c>
      <c r="J2447">
        <f t="shared" si="162"/>
        <v>0</v>
      </c>
      <c r="K2447">
        <f t="shared" si="162"/>
        <v>0</v>
      </c>
      <c r="M2447" t="str" cm="1">
        <f t="array" ref="M2447">IFERROR(INDEX($I$2:$K$2,0,MATCH(TRUE,I2447:K2447,0)),E2447)</f>
        <v>CHP New</v>
      </c>
      <c r="O2447" t="str">
        <f t="shared" si="160"/>
        <v>CHP New_2028</v>
      </c>
      <c r="P2447">
        <f t="shared" si="161"/>
        <v>235.92947586</v>
      </c>
    </row>
    <row r="2448" spans="4:16" x14ac:dyDescent="0.25">
      <c r="D2448">
        <v>2029</v>
      </c>
      <c r="E2448" t="s">
        <v>227</v>
      </c>
      <c r="F2448" t="s">
        <v>275</v>
      </c>
      <c r="G2448">
        <v>235.92947586</v>
      </c>
      <c r="I2448">
        <f t="shared" si="162"/>
        <v>0</v>
      </c>
      <c r="J2448">
        <f t="shared" si="162"/>
        <v>0</v>
      </c>
      <c r="K2448">
        <f t="shared" si="162"/>
        <v>0</v>
      </c>
      <c r="M2448" t="str" cm="1">
        <f t="array" ref="M2448">IFERROR(INDEX($I$2:$K$2,0,MATCH(TRUE,I2448:K2448,0)),E2448)</f>
        <v>CHP New</v>
      </c>
      <c r="O2448" t="str">
        <f t="shared" si="160"/>
        <v>CHP New_2029</v>
      </c>
      <c r="P2448">
        <f t="shared" si="161"/>
        <v>235.92947586</v>
      </c>
    </row>
    <row r="2449" spans="4:16" x14ac:dyDescent="0.25">
      <c r="D2449">
        <v>2030</v>
      </c>
      <c r="E2449" t="s">
        <v>227</v>
      </c>
      <c r="F2449" t="s">
        <v>275</v>
      </c>
      <c r="G2449">
        <v>235.92947586</v>
      </c>
      <c r="I2449">
        <f t="shared" si="162"/>
        <v>0</v>
      </c>
      <c r="J2449">
        <f t="shared" si="162"/>
        <v>0</v>
      </c>
      <c r="K2449">
        <f t="shared" si="162"/>
        <v>0</v>
      </c>
      <c r="M2449" t="str" cm="1">
        <f t="array" ref="M2449">IFERROR(INDEX($I$2:$K$2,0,MATCH(TRUE,I2449:K2449,0)),E2449)</f>
        <v>CHP New</v>
      </c>
      <c r="O2449" t="str">
        <f t="shared" si="160"/>
        <v>CHP New_2030</v>
      </c>
      <c r="P2449">
        <f t="shared" si="161"/>
        <v>235.92947586</v>
      </c>
    </row>
    <row r="2450" spans="4:16" x14ac:dyDescent="0.25">
      <c r="D2450">
        <v>2031</v>
      </c>
      <c r="E2450" t="s">
        <v>227</v>
      </c>
      <c r="F2450" t="s">
        <v>275</v>
      </c>
      <c r="G2450">
        <v>235.92947586</v>
      </c>
      <c r="I2450">
        <f t="shared" si="162"/>
        <v>0</v>
      </c>
      <c r="J2450">
        <f t="shared" si="162"/>
        <v>0</v>
      </c>
      <c r="K2450">
        <f t="shared" si="162"/>
        <v>0</v>
      </c>
      <c r="M2450" t="str" cm="1">
        <f t="array" ref="M2450">IFERROR(INDEX($I$2:$K$2,0,MATCH(TRUE,I2450:K2450,0)),E2450)</f>
        <v>CHP New</v>
      </c>
      <c r="O2450" t="str">
        <f t="shared" si="160"/>
        <v>CHP New_2031</v>
      </c>
      <c r="P2450">
        <f t="shared" si="161"/>
        <v>235.92947586</v>
      </c>
    </row>
    <row r="2451" spans="4:16" x14ac:dyDescent="0.25">
      <c r="D2451">
        <v>2032</v>
      </c>
      <c r="E2451" t="s">
        <v>227</v>
      </c>
      <c r="F2451" t="s">
        <v>275</v>
      </c>
      <c r="G2451">
        <v>235.92947586</v>
      </c>
      <c r="I2451">
        <f t="shared" si="162"/>
        <v>0</v>
      </c>
      <c r="J2451">
        <f t="shared" si="162"/>
        <v>0</v>
      </c>
      <c r="K2451">
        <f t="shared" si="162"/>
        <v>0</v>
      </c>
      <c r="M2451" t="str" cm="1">
        <f t="array" ref="M2451">IFERROR(INDEX($I$2:$K$2,0,MATCH(TRUE,I2451:K2451,0)),E2451)</f>
        <v>CHP New</v>
      </c>
      <c r="O2451" t="str">
        <f t="shared" ref="O2451:O2514" si="163">M2451&amp;"_"&amp;D2451</f>
        <v>CHP New_2032</v>
      </c>
      <c r="P2451">
        <f t="shared" ref="P2451:P2514" si="164">G2451</f>
        <v>235.92947586</v>
      </c>
    </row>
    <row r="2452" spans="4:16" x14ac:dyDescent="0.25">
      <c r="D2452">
        <v>2033</v>
      </c>
      <c r="E2452" t="s">
        <v>227</v>
      </c>
      <c r="F2452" t="s">
        <v>275</v>
      </c>
      <c r="G2452">
        <v>235.92947586</v>
      </c>
      <c r="I2452">
        <f t="shared" si="162"/>
        <v>0</v>
      </c>
      <c r="J2452">
        <f t="shared" si="162"/>
        <v>0</v>
      </c>
      <c r="K2452">
        <f t="shared" si="162"/>
        <v>0</v>
      </c>
      <c r="M2452" t="str" cm="1">
        <f t="array" ref="M2452">IFERROR(INDEX($I$2:$K$2,0,MATCH(TRUE,I2452:K2452,0)),E2452)</f>
        <v>CHP New</v>
      </c>
      <c r="O2452" t="str">
        <f t="shared" si="163"/>
        <v>CHP New_2033</v>
      </c>
      <c r="P2452">
        <f t="shared" si="164"/>
        <v>235.92947586</v>
      </c>
    </row>
    <row r="2453" spans="4:16" x14ac:dyDescent="0.25">
      <c r="D2453">
        <v>2034</v>
      </c>
      <c r="E2453" t="s">
        <v>227</v>
      </c>
      <c r="F2453" t="s">
        <v>275</v>
      </c>
      <c r="G2453">
        <v>235.92947586</v>
      </c>
      <c r="I2453">
        <f t="shared" ref="I2453:K2516" si="165">IFERROR(FIND(I$2,$E2453,1)&gt;0,0)</f>
        <v>0</v>
      </c>
      <c r="J2453">
        <f t="shared" si="165"/>
        <v>0</v>
      </c>
      <c r="K2453">
        <f t="shared" si="165"/>
        <v>0</v>
      </c>
      <c r="M2453" t="str" cm="1">
        <f t="array" ref="M2453">IFERROR(INDEX($I$2:$K$2,0,MATCH(TRUE,I2453:K2453,0)),E2453)</f>
        <v>CHP New</v>
      </c>
      <c r="O2453" t="str">
        <f t="shared" si="163"/>
        <v>CHP New_2034</v>
      </c>
      <c r="P2453">
        <f t="shared" si="164"/>
        <v>235.92947586</v>
      </c>
    </row>
    <row r="2454" spans="4:16" x14ac:dyDescent="0.25">
      <c r="D2454">
        <v>2035</v>
      </c>
      <c r="E2454" t="s">
        <v>227</v>
      </c>
      <c r="F2454" t="s">
        <v>275</v>
      </c>
      <c r="G2454">
        <v>235.92947586</v>
      </c>
      <c r="I2454">
        <f t="shared" si="165"/>
        <v>0</v>
      </c>
      <c r="J2454">
        <f t="shared" si="165"/>
        <v>0</v>
      </c>
      <c r="K2454">
        <f t="shared" si="165"/>
        <v>0</v>
      </c>
      <c r="M2454" t="str" cm="1">
        <f t="array" ref="M2454">IFERROR(INDEX($I$2:$K$2,0,MATCH(TRUE,I2454:K2454,0)),E2454)</f>
        <v>CHP New</v>
      </c>
      <c r="O2454" t="str">
        <f t="shared" si="163"/>
        <v>CHP New_2035</v>
      </c>
      <c r="P2454">
        <f t="shared" si="164"/>
        <v>235.92947586</v>
      </c>
    </row>
    <row r="2455" spans="4:16" x14ac:dyDescent="0.25">
      <c r="D2455">
        <v>2036</v>
      </c>
      <c r="E2455" t="s">
        <v>227</v>
      </c>
      <c r="F2455" t="s">
        <v>275</v>
      </c>
      <c r="G2455">
        <v>243.45443173999999</v>
      </c>
      <c r="I2455">
        <f t="shared" si="165"/>
        <v>0</v>
      </c>
      <c r="J2455">
        <f t="shared" si="165"/>
        <v>0</v>
      </c>
      <c r="K2455">
        <f t="shared" si="165"/>
        <v>0</v>
      </c>
      <c r="M2455" t="str" cm="1">
        <f t="array" ref="M2455">IFERROR(INDEX($I$2:$K$2,0,MATCH(TRUE,I2455:K2455,0)),E2455)</f>
        <v>CHP New</v>
      </c>
      <c r="O2455" t="str">
        <f t="shared" si="163"/>
        <v>CHP New_2036</v>
      </c>
      <c r="P2455">
        <f t="shared" si="164"/>
        <v>243.45443173999999</v>
      </c>
    </row>
    <row r="2456" spans="4:16" x14ac:dyDescent="0.25">
      <c r="D2456">
        <v>2037</v>
      </c>
      <c r="E2456" t="s">
        <v>227</v>
      </c>
      <c r="F2456" t="s">
        <v>275</v>
      </c>
      <c r="G2456">
        <v>235.92947586</v>
      </c>
      <c r="I2456">
        <f t="shared" si="165"/>
        <v>0</v>
      </c>
      <c r="J2456">
        <f t="shared" si="165"/>
        <v>0</v>
      </c>
      <c r="K2456">
        <f t="shared" si="165"/>
        <v>0</v>
      </c>
      <c r="M2456" t="str" cm="1">
        <f t="array" ref="M2456">IFERROR(INDEX($I$2:$K$2,0,MATCH(TRUE,I2456:K2456,0)),E2456)</f>
        <v>CHP New</v>
      </c>
      <c r="O2456" t="str">
        <f t="shared" si="163"/>
        <v>CHP New_2037</v>
      </c>
      <c r="P2456">
        <f t="shared" si="164"/>
        <v>235.92947586</v>
      </c>
    </row>
    <row r="2457" spans="4:16" x14ac:dyDescent="0.25">
      <c r="D2457">
        <v>2038</v>
      </c>
      <c r="E2457" t="s">
        <v>227</v>
      </c>
      <c r="F2457" t="s">
        <v>275</v>
      </c>
      <c r="G2457">
        <v>235.92947586</v>
      </c>
      <c r="I2457">
        <f t="shared" si="165"/>
        <v>0</v>
      </c>
      <c r="J2457">
        <f t="shared" si="165"/>
        <v>0</v>
      </c>
      <c r="K2457">
        <f t="shared" si="165"/>
        <v>0</v>
      </c>
      <c r="M2457" t="str" cm="1">
        <f t="array" ref="M2457">IFERROR(INDEX($I$2:$K$2,0,MATCH(TRUE,I2457:K2457,0)),E2457)</f>
        <v>CHP New</v>
      </c>
      <c r="O2457" t="str">
        <f t="shared" si="163"/>
        <v>CHP New_2038</v>
      </c>
      <c r="P2457">
        <f t="shared" si="164"/>
        <v>235.92947586</v>
      </c>
    </row>
    <row r="2458" spans="4:16" x14ac:dyDescent="0.25">
      <c r="D2458">
        <v>2039</v>
      </c>
      <c r="E2458" t="s">
        <v>227</v>
      </c>
      <c r="F2458" t="s">
        <v>275</v>
      </c>
      <c r="G2458">
        <v>235.92947586</v>
      </c>
      <c r="I2458">
        <f t="shared" si="165"/>
        <v>0</v>
      </c>
      <c r="J2458">
        <f t="shared" si="165"/>
        <v>0</v>
      </c>
      <c r="K2458">
        <f t="shared" si="165"/>
        <v>0</v>
      </c>
      <c r="M2458" t="str" cm="1">
        <f t="array" ref="M2458">IFERROR(INDEX($I$2:$K$2,0,MATCH(TRUE,I2458:K2458,0)),E2458)</f>
        <v>CHP New</v>
      </c>
      <c r="O2458" t="str">
        <f t="shared" si="163"/>
        <v>CHP New_2039</v>
      </c>
      <c r="P2458">
        <f t="shared" si="164"/>
        <v>235.92947586</v>
      </c>
    </row>
    <row r="2459" spans="4:16" x14ac:dyDescent="0.25">
      <c r="D2459">
        <v>2040</v>
      </c>
      <c r="E2459" t="s">
        <v>227</v>
      </c>
      <c r="F2459" t="s">
        <v>275</v>
      </c>
      <c r="G2459">
        <v>243.45443173999999</v>
      </c>
      <c r="I2459">
        <f t="shared" si="165"/>
        <v>0</v>
      </c>
      <c r="J2459">
        <f t="shared" si="165"/>
        <v>0</v>
      </c>
      <c r="K2459">
        <f t="shared" si="165"/>
        <v>0</v>
      </c>
      <c r="M2459" t="str" cm="1">
        <f t="array" ref="M2459">IFERROR(INDEX($I$2:$K$2,0,MATCH(TRUE,I2459:K2459,0)),E2459)</f>
        <v>CHP New</v>
      </c>
      <c r="O2459" t="str">
        <f t="shared" si="163"/>
        <v>CHP New_2040</v>
      </c>
      <c r="P2459">
        <f t="shared" si="164"/>
        <v>243.45443173999999</v>
      </c>
    </row>
    <row r="2460" spans="4:16" x14ac:dyDescent="0.25">
      <c r="D2460">
        <v>2024</v>
      </c>
      <c r="E2460" t="s">
        <v>227</v>
      </c>
      <c r="F2460" t="s">
        <v>276</v>
      </c>
      <c r="G2460">
        <v>0</v>
      </c>
      <c r="I2460">
        <f t="shared" si="165"/>
        <v>0</v>
      </c>
      <c r="J2460">
        <f t="shared" si="165"/>
        <v>0</v>
      </c>
      <c r="K2460">
        <f t="shared" si="165"/>
        <v>0</v>
      </c>
      <c r="M2460" t="str" cm="1">
        <f t="array" ref="M2460">IFERROR(INDEX($I$2:$K$2,0,MATCH(TRUE,I2460:K2460,0)),E2460)</f>
        <v>CHP New</v>
      </c>
      <c r="O2460" t="str">
        <f t="shared" si="163"/>
        <v>CHP New_2024</v>
      </c>
      <c r="P2460">
        <f t="shared" si="164"/>
        <v>0</v>
      </c>
    </row>
    <row r="2461" spans="4:16" x14ac:dyDescent="0.25">
      <c r="D2461">
        <v>2025</v>
      </c>
      <c r="E2461" t="s">
        <v>227</v>
      </c>
      <c r="F2461" t="s">
        <v>276</v>
      </c>
      <c r="G2461">
        <v>156.98384354999999</v>
      </c>
      <c r="I2461">
        <f t="shared" si="165"/>
        <v>0</v>
      </c>
      <c r="J2461">
        <f t="shared" si="165"/>
        <v>0</v>
      </c>
      <c r="K2461">
        <f t="shared" si="165"/>
        <v>0</v>
      </c>
      <c r="M2461" t="str" cm="1">
        <f t="array" ref="M2461">IFERROR(INDEX($I$2:$K$2,0,MATCH(TRUE,I2461:K2461,0)),E2461)</f>
        <v>CHP New</v>
      </c>
      <c r="O2461" t="str">
        <f t="shared" si="163"/>
        <v>CHP New_2025</v>
      </c>
      <c r="P2461">
        <f t="shared" si="164"/>
        <v>156.98384354999999</v>
      </c>
    </row>
    <row r="2462" spans="4:16" x14ac:dyDescent="0.25">
      <c r="D2462">
        <v>2026</v>
      </c>
      <c r="E2462" t="s">
        <v>227</v>
      </c>
      <c r="F2462" t="s">
        <v>276</v>
      </c>
      <c r="G2462">
        <v>156.98384354999999</v>
      </c>
      <c r="I2462">
        <f t="shared" si="165"/>
        <v>0</v>
      </c>
      <c r="J2462">
        <f t="shared" si="165"/>
        <v>0</v>
      </c>
      <c r="K2462">
        <f t="shared" si="165"/>
        <v>0</v>
      </c>
      <c r="M2462" t="str" cm="1">
        <f t="array" ref="M2462">IFERROR(INDEX($I$2:$K$2,0,MATCH(TRUE,I2462:K2462,0)),E2462)</f>
        <v>CHP New</v>
      </c>
      <c r="O2462" t="str">
        <f t="shared" si="163"/>
        <v>CHP New_2026</v>
      </c>
      <c r="P2462">
        <f t="shared" si="164"/>
        <v>156.98384354999999</v>
      </c>
    </row>
    <row r="2463" spans="4:16" x14ac:dyDescent="0.25">
      <c r="D2463">
        <v>2027</v>
      </c>
      <c r="E2463" t="s">
        <v>227</v>
      </c>
      <c r="F2463" t="s">
        <v>276</v>
      </c>
      <c r="G2463">
        <v>156.98384354999999</v>
      </c>
      <c r="I2463">
        <f t="shared" si="165"/>
        <v>0</v>
      </c>
      <c r="J2463">
        <f t="shared" si="165"/>
        <v>0</v>
      </c>
      <c r="K2463">
        <f t="shared" si="165"/>
        <v>0</v>
      </c>
      <c r="M2463" t="str" cm="1">
        <f t="array" ref="M2463">IFERROR(INDEX($I$2:$K$2,0,MATCH(TRUE,I2463:K2463,0)),E2463)</f>
        <v>CHP New</v>
      </c>
      <c r="O2463" t="str">
        <f t="shared" si="163"/>
        <v>CHP New_2027</v>
      </c>
      <c r="P2463">
        <f t="shared" si="164"/>
        <v>156.98384354999999</v>
      </c>
    </row>
    <row r="2464" spans="4:16" x14ac:dyDescent="0.25">
      <c r="D2464">
        <v>2028</v>
      </c>
      <c r="E2464" t="s">
        <v>227</v>
      </c>
      <c r="F2464" t="s">
        <v>276</v>
      </c>
      <c r="G2464">
        <v>156.98384354999999</v>
      </c>
      <c r="I2464">
        <f t="shared" si="165"/>
        <v>0</v>
      </c>
      <c r="J2464">
        <f t="shared" si="165"/>
        <v>0</v>
      </c>
      <c r="K2464">
        <f t="shared" si="165"/>
        <v>0</v>
      </c>
      <c r="M2464" t="str" cm="1">
        <f t="array" ref="M2464">IFERROR(INDEX($I$2:$K$2,0,MATCH(TRUE,I2464:K2464,0)),E2464)</f>
        <v>CHP New</v>
      </c>
      <c r="O2464" t="str">
        <f t="shared" si="163"/>
        <v>CHP New_2028</v>
      </c>
      <c r="P2464">
        <f t="shared" si="164"/>
        <v>156.98384354999999</v>
      </c>
    </row>
    <row r="2465" spans="4:16" x14ac:dyDescent="0.25">
      <c r="D2465">
        <v>2029</v>
      </c>
      <c r="E2465" t="s">
        <v>227</v>
      </c>
      <c r="F2465" t="s">
        <v>276</v>
      </c>
      <c r="G2465">
        <v>156.98384354999999</v>
      </c>
      <c r="I2465">
        <f t="shared" si="165"/>
        <v>0</v>
      </c>
      <c r="J2465">
        <f t="shared" si="165"/>
        <v>0</v>
      </c>
      <c r="K2465">
        <f t="shared" si="165"/>
        <v>0</v>
      </c>
      <c r="M2465" t="str" cm="1">
        <f t="array" ref="M2465">IFERROR(INDEX($I$2:$K$2,0,MATCH(TRUE,I2465:K2465,0)),E2465)</f>
        <v>CHP New</v>
      </c>
      <c r="O2465" t="str">
        <f t="shared" si="163"/>
        <v>CHP New_2029</v>
      </c>
      <c r="P2465">
        <f t="shared" si="164"/>
        <v>156.98384354999999</v>
      </c>
    </row>
    <row r="2466" spans="4:16" x14ac:dyDescent="0.25">
      <c r="D2466">
        <v>2030</v>
      </c>
      <c r="E2466" t="s">
        <v>227</v>
      </c>
      <c r="F2466" t="s">
        <v>276</v>
      </c>
      <c r="G2466">
        <v>156.98384354999999</v>
      </c>
      <c r="I2466">
        <f t="shared" si="165"/>
        <v>0</v>
      </c>
      <c r="J2466">
        <f t="shared" si="165"/>
        <v>0</v>
      </c>
      <c r="K2466">
        <f t="shared" si="165"/>
        <v>0</v>
      </c>
      <c r="M2466" t="str" cm="1">
        <f t="array" ref="M2466">IFERROR(INDEX($I$2:$K$2,0,MATCH(TRUE,I2466:K2466,0)),E2466)</f>
        <v>CHP New</v>
      </c>
      <c r="O2466" t="str">
        <f t="shared" si="163"/>
        <v>CHP New_2030</v>
      </c>
      <c r="P2466">
        <f t="shared" si="164"/>
        <v>156.98384354999999</v>
      </c>
    </row>
    <row r="2467" spans="4:16" x14ac:dyDescent="0.25">
      <c r="D2467">
        <v>2031</v>
      </c>
      <c r="E2467" t="s">
        <v>227</v>
      </c>
      <c r="F2467" t="s">
        <v>276</v>
      </c>
      <c r="G2467">
        <v>156.98384354999999</v>
      </c>
      <c r="I2467">
        <f t="shared" si="165"/>
        <v>0</v>
      </c>
      <c r="J2467">
        <f t="shared" si="165"/>
        <v>0</v>
      </c>
      <c r="K2467">
        <f t="shared" si="165"/>
        <v>0</v>
      </c>
      <c r="M2467" t="str" cm="1">
        <f t="array" ref="M2467">IFERROR(INDEX($I$2:$K$2,0,MATCH(TRUE,I2467:K2467,0)),E2467)</f>
        <v>CHP New</v>
      </c>
      <c r="O2467" t="str">
        <f t="shared" si="163"/>
        <v>CHP New_2031</v>
      </c>
      <c r="P2467">
        <f t="shared" si="164"/>
        <v>156.98384354999999</v>
      </c>
    </row>
    <row r="2468" spans="4:16" x14ac:dyDescent="0.25">
      <c r="D2468">
        <v>2032</v>
      </c>
      <c r="E2468" t="s">
        <v>227</v>
      </c>
      <c r="F2468" t="s">
        <v>276</v>
      </c>
      <c r="G2468">
        <v>156.98384354999999</v>
      </c>
      <c r="I2468">
        <f t="shared" si="165"/>
        <v>0</v>
      </c>
      <c r="J2468">
        <f t="shared" si="165"/>
        <v>0</v>
      </c>
      <c r="K2468">
        <f t="shared" si="165"/>
        <v>0</v>
      </c>
      <c r="M2468" t="str" cm="1">
        <f t="array" ref="M2468">IFERROR(INDEX($I$2:$K$2,0,MATCH(TRUE,I2468:K2468,0)),E2468)</f>
        <v>CHP New</v>
      </c>
      <c r="O2468" t="str">
        <f t="shared" si="163"/>
        <v>CHP New_2032</v>
      </c>
      <c r="P2468">
        <f t="shared" si="164"/>
        <v>156.98384354999999</v>
      </c>
    </row>
    <row r="2469" spans="4:16" x14ac:dyDescent="0.25">
      <c r="D2469">
        <v>2033</v>
      </c>
      <c r="E2469" t="s">
        <v>227</v>
      </c>
      <c r="F2469" t="s">
        <v>276</v>
      </c>
      <c r="G2469">
        <v>156.98384354999999</v>
      </c>
      <c r="I2469">
        <f t="shared" si="165"/>
        <v>0</v>
      </c>
      <c r="J2469">
        <f t="shared" si="165"/>
        <v>0</v>
      </c>
      <c r="K2469">
        <f t="shared" si="165"/>
        <v>0</v>
      </c>
      <c r="M2469" t="str" cm="1">
        <f t="array" ref="M2469">IFERROR(INDEX($I$2:$K$2,0,MATCH(TRUE,I2469:K2469,0)),E2469)</f>
        <v>CHP New</v>
      </c>
      <c r="O2469" t="str">
        <f t="shared" si="163"/>
        <v>CHP New_2033</v>
      </c>
      <c r="P2469">
        <f t="shared" si="164"/>
        <v>156.98384354999999</v>
      </c>
    </row>
    <row r="2470" spans="4:16" x14ac:dyDescent="0.25">
      <c r="D2470">
        <v>2034</v>
      </c>
      <c r="E2470" t="s">
        <v>227</v>
      </c>
      <c r="F2470" t="s">
        <v>276</v>
      </c>
      <c r="G2470">
        <v>156.98384354999999</v>
      </c>
      <c r="I2470">
        <f t="shared" si="165"/>
        <v>0</v>
      </c>
      <c r="J2470">
        <f t="shared" si="165"/>
        <v>0</v>
      </c>
      <c r="K2470">
        <f t="shared" si="165"/>
        <v>0</v>
      </c>
      <c r="M2470" t="str" cm="1">
        <f t="array" ref="M2470">IFERROR(INDEX($I$2:$K$2,0,MATCH(TRUE,I2470:K2470,0)),E2470)</f>
        <v>CHP New</v>
      </c>
      <c r="O2470" t="str">
        <f t="shared" si="163"/>
        <v>CHP New_2034</v>
      </c>
      <c r="P2470">
        <f t="shared" si="164"/>
        <v>156.98384354999999</v>
      </c>
    </row>
    <row r="2471" spans="4:16" x14ac:dyDescent="0.25">
      <c r="D2471">
        <v>2035</v>
      </c>
      <c r="E2471" t="s">
        <v>227</v>
      </c>
      <c r="F2471" t="s">
        <v>276</v>
      </c>
      <c r="G2471">
        <v>156.98384354999999</v>
      </c>
      <c r="I2471">
        <f t="shared" si="165"/>
        <v>0</v>
      </c>
      <c r="J2471">
        <f t="shared" si="165"/>
        <v>0</v>
      </c>
      <c r="K2471">
        <f t="shared" si="165"/>
        <v>0</v>
      </c>
      <c r="M2471" t="str" cm="1">
        <f t="array" ref="M2471">IFERROR(INDEX($I$2:$K$2,0,MATCH(TRUE,I2471:K2471,0)),E2471)</f>
        <v>CHP New</v>
      </c>
      <c r="O2471" t="str">
        <f t="shared" si="163"/>
        <v>CHP New_2035</v>
      </c>
      <c r="P2471">
        <f t="shared" si="164"/>
        <v>156.98384354999999</v>
      </c>
    </row>
    <row r="2472" spans="4:16" x14ac:dyDescent="0.25">
      <c r="D2472">
        <v>2036</v>
      </c>
      <c r="E2472" t="s">
        <v>227</v>
      </c>
      <c r="F2472" t="s">
        <v>276</v>
      </c>
      <c r="G2472">
        <v>161.99083343000001</v>
      </c>
      <c r="I2472">
        <f t="shared" si="165"/>
        <v>0</v>
      </c>
      <c r="J2472">
        <f t="shared" si="165"/>
        <v>0</v>
      </c>
      <c r="K2472">
        <f t="shared" si="165"/>
        <v>0</v>
      </c>
      <c r="M2472" t="str" cm="1">
        <f t="array" ref="M2472">IFERROR(INDEX($I$2:$K$2,0,MATCH(TRUE,I2472:K2472,0)),E2472)</f>
        <v>CHP New</v>
      </c>
      <c r="O2472" t="str">
        <f t="shared" si="163"/>
        <v>CHP New_2036</v>
      </c>
      <c r="P2472">
        <f t="shared" si="164"/>
        <v>161.99083343000001</v>
      </c>
    </row>
    <row r="2473" spans="4:16" x14ac:dyDescent="0.25">
      <c r="D2473">
        <v>2037</v>
      </c>
      <c r="E2473" t="s">
        <v>227</v>
      </c>
      <c r="F2473" t="s">
        <v>276</v>
      </c>
      <c r="G2473">
        <v>156.98384354999999</v>
      </c>
      <c r="I2473">
        <f t="shared" si="165"/>
        <v>0</v>
      </c>
      <c r="J2473">
        <f t="shared" si="165"/>
        <v>0</v>
      </c>
      <c r="K2473">
        <f t="shared" si="165"/>
        <v>0</v>
      </c>
      <c r="M2473" t="str" cm="1">
        <f t="array" ref="M2473">IFERROR(INDEX($I$2:$K$2,0,MATCH(TRUE,I2473:K2473,0)),E2473)</f>
        <v>CHP New</v>
      </c>
      <c r="O2473" t="str">
        <f t="shared" si="163"/>
        <v>CHP New_2037</v>
      </c>
      <c r="P2473">
        <f t="shared" si="164"/>
        <v>156.98384354999999</v>
      </c>
    </row>
    <row r="2474" spans="4:16" x14ac:dyDescent="0.25">
      <c r="D2474">
        <v>2038</v>
      </c>
      <c r="E2474" t="s">
        <v>227</v>
      </c>
      <c r="F2474" t="s">
        <v>276</v>
      </c>
      <c r="G2474">
        <v>156.98384354999999</v>
      </c>
      <c r="I2474">
        <f t="shared" si="165"/>
        <v>0</v>
      </c>
      <c r="J2474">
        <f t="shared" si="165"/>
        <v>0</v>
      </c>
      <c r="K2474">
        <f t="shared" si="165"/>
        <v>0</v>
      </c>
      <c r="M2474" t="str" cm="1">
        <f t="array" ref="M2474">IFERROR(INDEX($I$2:$K$2,0,MATCH(TRUE,I2474:K2474,0)),E2474)</f>
        <v>CHP New</v>
      </c>
      <c r="O2474" t="str">
        <f t="shared" si="163"/>
        <v>CHP New_2038</v>
      </c>
      <c r="P2474">
        <f t="shared" si="164"/>
        <v>156.98384354999999</v>
      </c>
    </row>
    <row r="2475" spans="4:16" x14ac:dyDescent="0.25">
      <c r="D2475">
        <v>2039</v>
      </c>
      <c r="E2475" t="s">
        <v>227</v>
      </c>
      <c r="F2475" t="s">
        <v>276</v>
      </c>
      <c r="G2475">
        <v>156.98384354999999</v>
      </c>
      <c r="I2475">
        <f t="shared" si="165"/>
        <v>0</v>
      </c>
      <c r="J2475">
        <f t="shared" si="165"/>
        <v>0</v>
      </c>
      <c r="K2475">
        <f t="shared" si="165"/>
        <v>0</v>
      </c>
      <c r="M2475" t="str" cm="1">
        <f t="array" ref="M2475">IFERROR(INDEX($I$2:$K$2,0,MATCH(TRUE,I2475:K2475,0)),E2475)</f>
        <v>CHP New</v>
      </c>
      <c r="O2475" t="str">
        <f t="shared" si="163"/>
        <v>CHP New_2039</v>
      </c>
      <c r="P2475">
        <f t="shared" si="164"/>
        <v>156.98384354999999</v>
      </c>
    </row>
    <row r="2476" spans="4:16" x14ac:dyDescent="0.25">
      <c r="D2476">
        <v>2040</v>
      </c>
      <c r="E2476" t="s">
        <v>227</v>
      </c>
      <c r="F2476" t="s">
        <v>276</v>
      </c>
      <c r="G2476">
        <v>161.99083343000001</v>
      </c>
      <c r="I2476">
        <f t="shared" si="165"/>
        <v>0</v>
      </c>
      <c r="J2476">
        <f t="shared" si="165"/>
        <v>0</v>
      </c>
      <c r="K2476">
        <f t="shared" si="165"/>
        <v>0</v>
      </c>
      <c r="M2476" t="str" cm="1">
        <f t="array" ref="M2476">IFERROR(INDEX($I$2:$K$2,0,MATCH(TRUE,I2476:K2476,0)),E2476)</f>
        <v>CHP New</v>
      </c>
      <c r="O2476" t="str">
        <f t="shared" si="163"/>
        <v>CHP New_2040</v>
      </c>
      <c r="P2476">
        <f t="shared" si="164"/>
        <v>161.99083343000001</v>
      </c>
    </row>
    <row r="2477" spans="4:16" x14ac:dyDescent="0.25">
      <c r="D2477">
        <v>2022</v>
      </c>
      <c r="E2477" t="s">
        <v>227</v>
      </c>
      <c r="F2477" t="s">
        <v>277</v>
      </c>
      <c r="G2477">
        <v>0</v>
      </c>
      <c r="I2477">
        <f t="shared" si="165"/>
        <v>0</v>
      </c>
      <c r="J2477">
        <f t="shared" si="165"/>
        <v>0</v>
      </c>
      <c r="K2477">
        <f t="shared" si="165"/>
        <v>0</v>
      </c>
      <c r="M2477" t="str" cm="1">
        <f t="array" ref="M2477">IFERROR(INDEX($I$2:$K$2,0,MATCH(TRUE,I2477:K2477,0)),E2477)</f>
        <v>CHP New</v>
      </c>
      <c r="O2477" t="str">
        <f t="shared" si="163"/>
        <v>CHP New_2022</v>
      </c>
      <c r="P2477">
        <f t="shared" si="164"/>
        <v>0</v>
      </c>
    </row>
    <row r="2478" spans="4:16" x14ac:dyDescent="0.25">
      <c r="D2478">
        <v>2023</v>
      </c>
      <c r="E2478" t="s">
        <v>227</v>
      </c>
      <c r="F2478" t="s">
        <v>277</v>
      </c>
      <c r="G2478">
        <v>172.41000159000001</v>
      </c>
      <c r="I2478">
        <f t="shared" si="165"/>
        <v>0</v>
      </c>
      <c r="J2478">
        <f t="shared" si="165"/>
        <v>0</v>
      </c>
      <c r="K2478">
        <f t="shared" si="165"/>
        <v>0</v>
      </c>
      <c r="M2478" t="str" cm="1">
        <f t="array" ref="M2478">IFERROR(INDEX($I$2:$K$2,0,MATCH(TRUE,I2478:K2478,0)),E2478)</f>
        <v>CHP New</v>
      </c>
      <c r="O2478" t="str">
        <f t="shared" si="163"/>
        <v>CHP New_2023</v>
      </c>
      <c r="P2478">
        <f t="shared" si="164"/>
        <v>172.41000159000001</v>
      </c>
    </row>
    <row r="2479" spans="4:16" x14ac:dyDescent="0.25">
      <c r="D2479">
        <v>2024</v>
      </c>
      <c r="E2479" t="s">
        <v>227</v>
      </c>
      <c r="F2479" t="s">
        <v>277</v>
      </c>
      <c r="G2479">
        <v>177.90900780999999</v>
      </c>
      <c r="I2479">
        <f t="shared" si="165"/>
        <v>0</v>
      </c>
      <c r="J2479">
        <f t="shared" si="165"/>
        <v>0</v>
      </c>
      <c r="K2479">
        <f t="shared" si="165"/>
        <v>0</v>
      </c>
      <c r="M2479" t="str" cm="1">
        <f t="array" ref="M2479">IFERROR(INDEX($I$2:$K$2,0,MATCH(TRUE,I2479:K2479,0)),E2479)</f>
        <v>CHP New</v>
      </c>
      <c r="O2479" t="str">
        <f t="shared" si="163"/>
        <v>CHP New_2024</v>
      </c>
      <c r="P2479">
        <f t="shared" si="164"/>
        <v>177.90900780999999</v>
      </c>
    </row>
    <row r="2480" spans="4:16" x14ac:dyDescent="0.25">
      <c r="D2480">
        <v>2025</v>
      </c>
      <c r="E2480" t="s">
        <v>227</v>
      </c>
      <c r="F2480" t="s">
        <v>277</v>
      </c>
      <c r="G2480">
        <v>172.41000159000001</v>
      </c>
      <c r="I2480">
        <f t="shared" si="165"/>
        <v>0</v>
      </c>
      <c r="J2480">
        <f t="shared" si="165"/>
        <v>0</v>
      </c>
      <c r="K2480">
        <f t="shared" si="165"/>
        <v>0</v>
      </c>
      <c r="M2480" t="str" cm="1">
        <f t="array" ref="M2480">IFERROR(INDEX($I$2:$K$2,0,MATCH(TRUE,I2480:K2480,0)),E2480)</f>
        <v>CHP New</v>
      </c>
      <c r="O2480" t="str">
        <f t="shared" si="163"/>
        <v>CHP New_2025</v>
      </c>
      <c r="P2480">
        <f t="shared" si="164"/>
        <v>172.41000159000001</v>
      </c>
    </row>
    <row r="2481" spans="4:16" x14ac:dyDescent="0.25">
      <c r="D2481">
        <v>2026</v>
      </c>
      <c r="E2481" t="s">
        <v>227</v>
      </c>
      <c r="F2481" t="s">
        <v>277</v>
      </c>
      <c r="G2481">
        <v>172.41000159000001</v>
      </c>
      <c r="I2481">
        <f t="shared" si="165"/>
        <v>0</v>
      </c>
      <c r="J2481">
        <f t="shared" si="165"/>
        <v>0</v>
      </c>
      <c r="K2481">
        <f t="shared" si="165"/>
        <v>0</v>
      </c>
      <c r="M2481" t="str" cm="1">
        <f t="array" ref="M2481">IFERROR(INDEX($I$2:$K$2,0,MATCH(TRUE,I2481:K2481,0)),E2481)</f>
        <v>CHP New</v>
      </c>
      <c r="O2481" t="str">
        <f t="shared" si="163"/>
        <v>CHP New_2026</v>
      </c>
      <c r="P2481">
        <f t="shared" si="164"/>
        <v>172.41000159000001</v>
      </c>
    </row>
    <row r="2482" spans="4:16" x14ac:dyDescent="0.25">
      <c r="D2482">
        <v>2027</v>
      </c>
      <c r="E2482" t="s">
        <v>227</v>
      </c>
      <c r="F2482" t="s">
        <v>277</v>
      </c>
      <c r="G2482">
        <v>172.41000159000001</v>
      </c>
      <c r="I2482">
        <f t="shared" si="165"/>
        <v>0</v>
      </c>
      <c r="J2482">
        <f t="shared" si="165"/>
        <v>0</v>
      </c>
      <c r="K2482">
        <f t="shared" si="165"/>
        <v>0</v>
      </c>
      <c r="M2482" t="str" cm="1">
        <f t="array" ref="M2482">IFERROR(INDEX($I$2:$K$2,0,MATCH(TRUE,I2482:K2482,0)),E2482)</f>
        <v>CHP New</v>
      </c>
      <c r="O2482" t="str">
        <f t="shared" si="163"/>
        <v>CHP New_2027</v>
      </c>
      <c r="P2482">
        <f t="shared" si="164"/>
        <v>172.41000159000001</v>
      </c>
    </row>
    <row r="2483" spans="4:16" x14ac:dyDescent="0.25">
      <c r="D2483">
        <v>2028</v>
      </c>
      <c r="E2483" t="s">
        <v>227</v>
      </c>
      <c r="F2483" t="s">
        <v>277</v>
      </c>
      <c r="G2483">
        <v>172.41000159000001</v>
      </c>
      <c r="I2483">
        <f t="shared" si="165"/>
        <v>0</v>
      </c>
      <c r="J2483">
        <f t="shared" si="165"/>
        <v>0</v>
      </c>
      <c r="K2483">
        <f t="shared" si="165"/>
        <v>0</v>
      </c>
      <c r="M2483" t="str" cm="1">
        <f t="array" ref="M2483">IFERROR(INDEX($I$2:$K$2,0,MATCH(TRUE,I2483:K2483,0)),E2483)</f>
        <v>CHP New</v>
      </c>
      <c r="O2483" t="str">
        <f t="shared" si="163"/>
        <v>CHP New_2028</v>
      </c>
      <c r="P2483">
        <f t="shared" si="164"/>
        <v>172.41000159000001</v>
      </c>
    </row>
    <row r="2484" spans="4:16" x14ac:dyDescent="0.25">
      <c r="D2484">
        <v>2029</v>
      </c>
      <c r="E2484" t="s">
        <v>227</v>
      </c>
      <c r="F2484" t="s">
        <v>277</v>
      </c>
      <c r="G2484">
        <v>172.41000159000001</v>
      </c>
      <c r="I2484">
        <f t="shared" si="165"/>
        <v>0</v>
      </c>
      <c r="J2484">
        <f t="shared" si="165"/>
        <v>0</v>
      </c>
      <c r="K2484">
        <f t="shared" si="165"/>
        <v>0</v>
      </c>
      <c r="M2484" t="str" cm="1">
        <f t="array" ref="M2484">IFERROR(INDEX($I$2:$K$2,0,MATCH(TRUE,I2484:K2484,0)),E2484)</f>
        <v>CHP New</v>
      </c>
      <c r="O2484" t="str">
        <f t="shared" si="163"/>
        <v>CHP New_2029</v>
      </c>
      <c r="P2484">
        <f t="shared" si="164"/>
        <v>172.41000159000001</v>
      </c>
    </row>
    <row r="2485" spans="4:16" x14ac:dyDescent="0.25">
      <c r="D2485">
        <v>2030</v>
      </c>
      <c r="E2485" t="s">
        <v>227</v>
      </c>
      <c r="F2485" t="s">
        <v>277</v>
      </c>
      <c r="G2485">
        <v>172.41000159000001</v>
      </c>
      <c r="I2485">
        <f t="shared" si="165"/>
        <v>0</v>
      </c>
      <c r="J2485">
        <f t="shared" si="165"/>
        <v>0</v>
      </c>
      <c r="K2485">
        <f t="shared" si="165"/>
        <v>0</v>
      </c>
      <c r="M2485" t="str" cm="1">
        <f t="array" ref="M2485">IFERROR(INDEX($I$2:$K$2,0,MATCH(TRUE,I2485:K2485,0)),E2485)</f>
        <v>CHP New</v>
      </c>
      <c r="O2485" t="str">
        <f t="shared" si="163"/>
        <v>CHP New_2030</v>
      </c>
      <c r="P2485">
        <f t="shared" si="164"/>
        <v>172.41000159000001</v>
      </c>
    </row>
    <row r="2486" spans="4:16" x14ac:dyDescent="0.25">
      <c r="D2486">
        <v>2031</v>
      </c>
      <c r="E2486" t="s">
        <v>227</v>
      </c>
      <c r="F2486" t="s">
        <v>277</v>
      </c>
      <c r="G2486">
        <v>172.41000159000001</v>
      </c>
      <c r="I2486">
        <f t="shared" si="165"/>
        <v>0</v>
      </c>
      <c r="J2486">
        <f t="shared" si="165"/>
        <v>0</v>
      </c>
      <c r="K2486">
        <f t="shared" si="165"/>
        <v>0</v>
      </c>
      <c r="M2486" t="str" cm="1">
        <f t="array" ref="M2486">IFERROR(INDEX($I$2:$K$2,0,MATCH(TRUE,I2486:K2486,0)),E2486)</f>
        <v>CHP New</v>
      </c>
      <c r="O2486" t="str">
        <f t="shared" si="163"/>
        <v>CHP New_2031</v>
      </c>
      <c r="P2486">
        <f t="shared" si="164"/>
        <v>172.41000159000001</v>
      </c>
    </row>
    <row r="2487" spans="4:16" x14ac:dyDescent="0.25">
      <c r="D2487">
        <v>2032</v>
      </c>
      <c r="E2487" t="s">
        <v>227</v>
      </c>
      <c r="F2487" t="s">
        <v>277</v>
      </c>
      <c r="G2487">
        <v>172.41000159000001</v>
      </c>
      <c r="I2487">
        <f t="shared" si="165"/>
        <v>0</v>
      </c>
      <c r="J2487">
        <f t="shared" si="165"/>
        <v>0</v>
      </c>
      <c r="K2487">
        <f t="shared" si="165"/>
        <v>0</v>
      </c>
      <c r="M2487" t="str" cm="1">
        <f t="array" ref="M2487">IFERROR(INDEX($I$2:$K$2,0,MATCH(TRUE,I2487:K2487,0)),E2487)</f>
        <v>CHP New</v>
      </c>
      <c r="O2487" t="str">
        <f t="shared" si="163"/>
        <v>CHP New_2032</v>
      </c>
      <c r="P2487">
        <f t="shared" si="164"/>
        <v>172.41000159000001</v>
      </c>
    </row>
    <row r="2488" spans="4:16" x14ac:dyDescent="0.25">
      <c r="D2488">
        <v>2033</v>
      </c>
      <c r="E2488" t="s">
        <v>227</v>
      </c>
      <c r="F2488" t="s">
        <v>277</v>
      </c>
      <c r="G2488">
        <v>172.41000159000001</v>
      </c>
      <c r="I2488">
        <f t="shared" si="165"/>
        <v>0</v>
      </c>
      <c r="J2488">
        <f t="shared" si="165"/>
        <v>0</v>
      </c>
      <c r="K2488">
        <f t="shared" si="165"/>
        <v>0</v>
      </c>
      <c r="M2488" t="str" cm="1">
        <f t="array" ref="M2488">IFERROR(INDEX($I$2:$K$2,0,MATCH(TRUE,I2488:K2488,0)),E2488)</f>
        <v>CHP New</v>
      </c>
      <c r="O2488" t="str">
        <f t="shared" si="163"/>
        <v>CHP New_2033</v>
      </c>
      <c r="P2488">
        <f t="shared" si="164"/>
        <v>172.41000159000001</v>
      </c>
    </row>
    <row r="2489" spans="4:16" x14ac:dyDescent="0.25">
      <c r="D2489">
        <v>2034</v>
      </c>
      <c r="E2489" t="s">
        <v>227</v>
      </c>
      <c r="F2489" t="s">
        <v>277</v>
      </c>
      <c r="G2489">
        <v>172.41000159000001</v>
      </c>
      <c r="I2489">
        <f t="shared" si="165"/>
        <v>0</v>
      </c>
      <c r="J2489">
        <f t="shared" si="165"/>
        <v>0</v>
      </c>
      <c r="K2489">
        <f t="shared" si="165"/>
        <v>0</v>
      </c>
      <c r="M2489" t="str" cm="1">
        <f t="array" ref="M2489">IFERROR(INDEX($I$2:$K$2,0,MATCH(TRUE,I2489:K2489,0)),E2489)</f>
        <v>CHP New</v>
      </c>
      <c r="O2489" t="str">
        <f t="shared" si="163"/>
        <v>CHP New_2034</v>
      </c>
      <c r="P2489">
        <f t="shared" si="164"/>
        <v>172.41000159000001</v>
      </c>
    </row>
    <row r="2490" spans="4:16" x14ac:dyDescent="0.25">
      <c r="D2490">
        <v>2035</v>
      </c>
      <c r="E2490" t="s">
        <v>227</v>
      </c>
      <c r="F2490" t="s">
        <v>277</v>
      </c>
      <c r="G2490">
        <v>172.41000159000001</v>
      </c>
      <c r="I2490">
        <f t="shared" si="165"/>
        <v>0</v>
      </c>
      <c r="J2490">
        <f t="shared" si="165"/>
        <v>0</v>
      </c>
      <c r="K2490">
        <f t="shared" si="165"/>
        <v>0</v>
      </c>
      <c r="M2490" t="str" cm="1">
        <f t="array" ref="M2490">IFERROR(INDEX($I$2:$K$2,0,MATCH(TRUE,I2490:K2490,0)),E2490)</f>
        <v>CHP New</v>
      </c>
      <c r="O2490" t="str">
        <f t="shared" si="163"/>
        <v>CHP New_2035</v>
      </c>
      <c r="P2490">
        <f t="shared" si="164"/>
        <v>172.41000159000001</v>
      </c>
    </row>
    <row r="2491" spans="4:16" x14ac:dyDescent="0.25">
      <c r="D2491">
        <v>2036</v>
      </c>
      <c r="E2491" t="s">
        <v>227</v>
      </c>
      <c r="F2491" t="s">
        <v>277</v>
      </c>
      <c r="G2491">
        <v>177.90900780999999</v>
      </c>
      <c r="I2491">
        <f t="shared" si="165"/>
        <v>0</v>
      </c>
      <c r="J2491">
        <f t="shared" si="165"/>
        <v>0</v>
      </c>
      <c r="K2491">
        <f t="shared" si="165"/>
        <v>0</v>
      </c>
      <c r="M2491" t="str" cm="1">
        <f t="array" ref="M2491">IFERROR(INDEX($I$2:$K$2,0,MATCH(TRUE,I2491:K2491,0)),E2491)</f>
        <v>CHP New</v>
      </c>
      <c r="O2491" t="str">
        <f t="shared" si="163"/>
        <v>CHP New_2036</v>
      </c>
      <c r="P2491">
        <f t="shared" si="164"/>
        <v>177.90900780999999</v>
      </c>
    </row>
    <row r="2492" spans="4:16" x14ac:dyDescent="0.25">
      <c r="D2492">
        <v>2037</v>
      </c>
      <c r="E2492" t="s">
        <v>227</v>
      </c>
      <c r="F2492" t="s">
        <v>277</v>
      </c>
      <c r="G2492">
        <v>172.41000159000001</v>
      </c>
      <c r="I2492">
        <f t="shared" si="165"/>
        <v>0</v>
      </c>
      <c r="J2492">
        <f t="shared" si="165"/>
        <v>0</v>
      </c>
      <c r="K2492">
        <f t="shared" si="165"/>
        <v>0</v>
      </c>
      <c r="M2492" t="str" cm="1">
        <f t="array" ref="M2492">IFERROR(INDEX($I$2:$K$2,0,MATCH(TRUE,I2492:K2492,0)),E2492)</f>
        <v>CHP New</v>
      </c>
      <c r="O2492" t="str">
        <f t="shared" si="163"/>
        <v>CHP New_2037</v>
      </c>
      <c r="P2492">
        <f t="shared" si="164"/>
        <v>172.41000159000001</v>
      </c>
    </row>
    <row r="2493" spans="4:16" x14ac:dyDescent="0.25">
      <c r="D2493">
        <v>2038</v>
      </c>
      <c r="E2493" t="s">
        <v>227</v>
      </c>
      <c r="F2493" t="s">
        <v>277</v>
      </c>
      <c r="G2493">
        <v>172.41000159000001</v>
      </c>
      <c r="I2493">
        <f t="shared" si="165"/>
        <v>0</v>
      </c>
      <c r="J2493">
        <f t="shared" si="165"/>
        <v>0</v>
      </c>
      <c r="K2493">
        <f t="shared" si="165"/>
        <v>0</v>
      </c>
      <c r="M2493" t="str" cm="1">
        <f t="array" ref="M2493">IFERROR(INDEX($I$2:$K$2,0,MATCH(TRUE,I2493:K2493,0)),E2493)</f>
        <v>CHP New</v>
      </c>
      <c r="O2493" t="str">
        <f t="shared" si="163"/>
        <v>CHP New_2038</v>
      </c>
      <c r="P2493">
        <f t="shared" si="164"/>
        <v>172.41000159000001</v>
      </c>
    </row>
    <row r="2494" spans="4:16" x14ac:dyDescent="0.25">
      <c r="D2494">
        <v>2039</v>
      </c>
      <c r="E2494" t="s">
        <v>227</v>
      </c>
      <c r="F2494" t="s">
        <v>277</v>
      </c>
      <c r="G2494">
        <v>172.41000159000001</v>
      </c>
      <c r="I2494">
        <f t="shared" si="165"/>
        <v>0</v>
      </c>
      <c r="J2494">
        <f t="shared" si="165"/>
        <v>0</v>
      </c>
      <c r="K2494">
        <f t="shared" si="165"/>
        <v>0</v>
      </c>
      <c r="M2494" t="str" cm="1">
        <f t="array" ref="M2494">IFERROR(INDEX($I$2:$K$2,0,MATCH(TRUE,I2494:K2494,0)),E2494)</f>
        <v>CHP New</v>
      </c>
      <c r="O2494" t="str">
        <f t="shared" si="163"/>
        <v>CHP New_2039</v>
      </c>
      <c r="P2494">
        <f t="shared" si="164"/>
        <v>172.41000159000001</v>
      </c>
    </row>
    <row r="2495" spans="4:16" x14ac:dyDescent="0.25">
      <c r="D2495">
        <v>2040</v>
      </c>
      <c r="E2495" t="s">
        <v>227</v>
      </c>
      <c r="F2495" t="s">
        <v>277</v>
      </c>
      <c r="G2495">
        <v>177.90900780999999</v>
      </c>
      <c r="I2495">
        <f t="shared" si="165"/>
        <v>0</v>
      </c>
      <c r="J2495">
        <f t="shared" si="165"/>
        <v>0</v>
      </c>
      <c r="K2495">
        <f t="shared" si="165"/>
        <v>0</v>
      </c>
      <c r="M2495" t="str" cm="1">
        <f t="array" ref="M2495">IFERROR(INDEX($I$2:$K$2,0,MATCH(TRUE,I2495:K2495,0)),E2495)</f>
        <v>CHP New</v>
      </c>
      <c r="O2495" t="str">
        <f t="shared" si="163"/>
        <v>CHP New_2040</v>
      </c>
      <c r="P2495">
        <f t="shared" si="164"/>
        <v>177.90900780999999</v>
      </c>
    </row>
    <row r="2496" spans="4:16" x14ac:dyDescent="0.25">
      <c r="D2496">
        <v>2021</v>
      </c>
      <c r="E2496" t="s">
        <v>227</v>
      </c>
      <c r="F2496" t="s">
        <v>278</v>
      </c>
      <c r="G2496">
        <v>0</v>
      </c>
      <c r="I2496">
        <f t="shared" si="165"/>
        <v>0</v>
      </c>
      <c r="J2496">
        <f t="shared" si="165"/>
        <v>0</v>
      </c>
      <c r="K2496">
        <f t="shared" si="165"/>
        <v>0</v>
      </c>
      <c r="M2496" t="str" cm="1">
        <f t="array" ref="M2496">IFERROR(INDEX($I$2:$K$2,0,MATCH(TRUE,I2496:K2496,0)),E2496)</f>
        <v>CHP New</v>
      </c>
      <c r="O2496" t="str">
        <f t="shared" si="163"/>
        <v>CHP New_2021</v>
      </c>
      <c r="P2496">
        <f t="shared" si="164"/>
        <v>0</v>
      </c>
    </row>
    <row r="2497" spans="4:16" x14ac:dyDescent="0.25">
      <c r="D2497">
        <v>2022</v>
      </c>
      <c r="E2497" t="s">
        <v>227</v>
      </c>
      <c r="F2497" t="s">
        <v>278</v>
      </c>
      <c r="G2497">
        <v>74.408527000000007</v>
      </c>
      <c r="I2497">
        <f t="shared" si="165"/>
        <v>0</v>
      </c>
      <c r="J2497">
        <f t="shared" si="165"/>
        <v>0</v>
      </c>
      <c r="K2497">
        <f t="shared" si="165"/>
        <v>0</v>
      </c>
      <c r="M2497" t="str" cm="1">
        <f t="array" ref="M2497">IFERROR(INDEX($I$2:$K$2,0,MATCH(TRUE,I2497:K2497,0)),E2497)</f>
        <v>CHP New</v>
      </c>
      <c r="O2497" t="str">
        <f t="shared" si="163"/>
        <v>CHP New_2022</v>
      </c>
      <c r="P2497">
        <f t="shared" si="164"/>
        <v>74.408527000000007</v>
      </c>
    </row>
    <row r="2498" spans="4:16" x14ac:dyDescent="0.25">
      <c r="D2498">
        <v>2023</v>
      </c>
      <c r="E2498" t="s">
        <v>227</v>
      </c>
      <c r="F2498" t="s">
        <v>278</v>
      </c>
      <c r="G2498">
        <v>74.408527000000007</v>
      </c>
      <c r="I2498">
        <f t="shared" si="165"/>
        <v>0</v>
      </c>
      <c r="J2498">
        <f t="shared" si="165"/>
        <v>0</v>
      </c>
      <c r="K2498">
        <f t="shared" si="165"/>
        <v>0</v>
      </c>
      <c r="M2498" t="str" cm="1">
        <f t="array" ref="M2498">IFERROR(INDEX($I$2:$K$2,0,MATCH(TRUE,I2498:K2498,0)),E2498)</f>
        <v>CHP New</v>
      </c>
      <c r="O2498" t="str">
        <f t="shared" si="163"/>
        <v>CHP New_2023</v>
      </c>
      <c r="P2498">
        <f t="shared" si="164"/>
        <v>74.408527000000007</v>
      </c>
    </row>
    <row r="2499" spans="4:16" x14ac:dyDescent="0.25">
      <c r="D2499">
        <v>2024</v>
      </c>
      <c r="E2499" t="s">
        <v>227</v>
      </c>
      <c r="F2499" t="s">
        <v>278</v>
      </c>
      <c r="G2499">
        <v>76.781782320000005</v>
      </c>
      <c r="I2499">
        <f t="shared" si="165"/>
        <v>0</v>
      </c>
      <c r="J2499">
        <f t="shared" si="165"/>
        <v>0</v>
      </c>
      <c r="K2499">
        <f t="shared" si="165"/>
        <v>0</v>
      </c>
      <c r="M2499" t="str" cm="1">
        <f t="array" ref="M2499">IFERROR(INDEX($I$2:$K$2,0,MATCH(TRUE,I2499:K2499,0)),E2499)</f>
        <v>CHP New</v>
      </c>
      <c r="O2499" t="str">
        <f t="shared" si="163"/>
        <v>CHP New_2024</v>
      </c>
      <c r="P2499">
        <f t="shared" si="164"/>
        <v>76.781782320000005</v>
      </c>
    </row>
    <row r="2500" spans="4:16" x14ac:dyDescent="0.25">
      <c r="D2500">
        <v>2025</v>
      </c>
      <c r="E2500" t="s">
        <v>227</v>
      </c>
      <c r="F2500" t="s">
        <v>278</v>
      </c>
      <c r="G2500">
        <v>74.408527000000007</v>
      </c>
      <c r="I2500">
        <f t="shared" si="165"/>
        <v>0</v>
      </c>
      <c r="J2500">
        <f t="shared" si="165"/>
        <v>0</v>
      </c>
      <c r="K2500">
        <f t="shared" si="165"/>
        <v>0</v>
      </c>
      <c r="M2500" t="str" cm="1">
        <f t="array" ref="M2500">IFERROR(INDEX($I$2:$K$2,0,MATCH(TRUE,I2500:K2500,0)),E2500)</f>
        <v>CHP New</v>
      </c>
      <c r="O2500" t="str">
        <f t="shared" si="163"/>
        <v>CHP New_2025</v>
      </c>
      <c r="P2500">
        <f t="shared" si="164"/>
        <v>74.408527000000007</v>
      </c>
    </row>
    <row r="2501" spans="4:16" x14ac:dyDescent="0.25">
      <c r="D2501">
        <v>2026</v>
      </c>
      <c r="E2501" t="s">
        <v>227</v>
      </c>
      <c r="F2501" t="s">
        <v>278</v>
      </c>
      <c r="G2501">
        <v>74.408527000000007</v>
      </c>
      <c r="I2501">
        <f t="shared" si="165"/>
        <v>0</v>
      </c>
      <c r="J2501">
        <f t="shared" si="165"/>
        <v>0</v>
      </c>
      <c r="K2501">
        <f t="shared" si="165"/>
        <v>0</v>
      </c>
      <c r="M2501" t="str" cm="1">
        <f t="array" ref="M2501">IFERROR(INDEX($I$2:$K$2,0,MATCH(TRUE,I2501:K2501,0)),E2501)</f>
        <v>CHP New</v>
      </c>
      <c r="O2501" t="str">
        <f t="shared" si="163"/>
        <v>CHP New_2026</v>
      </c>
      <c r="P2501">
        <f t="shared" si="164"/>
        <v>74.408527000000007</v>
      </c>
    </row>
    <row r="2502" spans="4:16" x14ac:dyDescent="0.25">
      <c r="D2502">
        <v>2027</v>
      </c>
      <c r="E2502" t="s">
        <v>227</v>
      </c>
      <c r="F2502" t="s">
        <v>278</v>
      </c>
      <c r="G2502">
        <v>74.408527000000007</v>
      </c>
      <c r="I2502">
        <f t="shared" si="165"/>
        <v>0</v>
      </c>
      <c r="J2502">
        <f t="shared" si="165"/>
        <v>0</v>
      </c>
      <c r="K2502">
        <f t="shared" si="165"/>
        <v>0</v>
      </c>
      <c r="M2502" t="str" cm="1">
        <f t="array" ref="M2502">IFERROR(INDEX($I$2:$K$2,0,MATCH(TRUE,I2502:K2502,0)),E2502)</f>
        <v>CHP New</v>
      </c>
      <c r="O2502" t="str">
        <f t="shared" si="163"/>
        <v>CHP New_2027</v>
      </c>
      <c r="P2502">
        <f t="shared" si="164"/>
        <v>74.408527000000007</v>
      </c>
    </row>
    <row r="2503" spans="4:16" x14ac:dyDescent="0.25">
      <c r="D2503">
        <v>2028</v>
      </c>
      <c r="E2503" t="s">
        <v>227</v>
      </c>
      <c r="F2503" t="s">
        <v>278</v>
      </c>
      <c r="G2503">
        <v>74.408527000000007</v>
      </c>
      <c r="I2503">
        <f t="shared" si="165"/>
        <v>0</v>
      </c>
      <c r="J2503">
        <f t="shared" si="165"/>
        <v>0</v>
      </c>
      <c r="K2503">
        <f t="shared" si="165"/>
        <v>0</v>
      </c>
      <c r="M2503" t="str" cm="1">
        <f t="array" ref="M2503">IFERROR(INDEX($I$2:$K$2,0,MATCH(TRUE,I2503:K2503,0)),E2503)</f>
        <v>CHP New</v>
      </c>
      <c r="O2503" t="str">
        <f t="shared" si="163"/>
        <v>CHP New_2028</v>
      </c>
      <c r="P2503">
        <f t="shared" si="164"/>
        <v>74.408527000000007</v>
      </c>
    </row>
    <row r="2504" spans="4:16" x14ac:dyDescent="0.25">
      <c r="D2504">
        <v>2029</v>
      </c>
      <c r="E2504" t="s">
        <v>227</v>
      </c>
      <c r="F2504" t="s">
        <v>278</v>
      </c>
      <c r="G2504">
        <v>74.408527000000007</v>
      </c>
      <c r="I2504">
        <f t="shared" si="165"/>
        <v>0</v>
      </c>
      <c r="J2504">
        <f t="shared" si="165"/>
        <v>0</v>
      </c>
      <c r="K2504">
        <f t="shared" si="165"/>
        <v>0</v>
      </c>
      <c r="M2504" t="str" cm="1">
        <f t="array" ref="M2504">IFERROR(INDEX($I$2:$K$2,0,MATCH(TRUE,I2504:K2504,0)),E2504)</f>
        <v>CHP New</v>
      </c>
      <c r="O2504" t="str">
        <f t="shared" si="163"/>
        <v>CHP New_2029</v>
      </c>
      <c r="P2504">
        <f t="shared" si="164"/>
        <v>74.408527000000007</v>
      </c>
    </row>
    <row r="2505" spans="4:16" x14ac:dyDescent="0.25">
      <c r="D2505">
        <v>2030</v>
      </c>
      <c r="E2505" t="s">
        <v>227</v>
      </c>
      <c r="F2505" t="s">
        <v>278</v>
      </c>
      <c r="G2505">
        <v>74.408527000000007</v>
      </c>
      <c r="I2505">
        <f t="shared" si="165"/>
        <v>0</v>
      </c>
      <c r="J2505">
        <f t="shared" si="165"/>
        <v>0</v>
      </c>
      <c r="K2505">
        <f t="shared" si="165"/>
        <v>0</v>
      </c>
      <c r="M2505" t="str" cm="1">
        <f t="array" ref="M2505">IFERROR(INDEX($I$2:$K$2,0,MATCH(TRUE,I2505:K2505,0)),E2505)</f>
        <v>CHP New</v>
      </c>
      <c r="O2505" t="str">
        <f t="shared" si="163"/>
        <v>CHP New_2030</v>
      </c>
      <c r="P2505">
        <f t="shared" si="164"/>
        <v>74.408527000000007</v>
      </c>
    </row>
    <row r="2506" spans="4:16" x14ac:dyDescent="0.25">
      <c r="D2506">
        <v>2031</v>
      </c>
      <c r="E2506" t="s">
        <v>227</v>
      </c>
      <c r="F2506" t="s">
        <v>278</v>
      </c>
      <c r="G2506">
        <v>74.408527000000007</v>
      </c>
      <c r="I2506">
        <f t="shared" si="165"/>
        <v>0</v>
      </c>
      <c r="J2506">
        <f t="shared" si="165"/>
        <v>0</v>
      </c>
      <c r="K2506">
        <f t="shared" si="165"/>
        <v>0</v>
      </c>
      <c r="M2506" t="str" cm="1">
        <f t="array" ref="M2506">IFERROR(INDEX($I$2:$K$2,0,MATCH(TRUE,I2506:K2506,0)),E2506)</f>
        <v>CHP New</v>
      </c>
      <c r="O2506" t="str">
        <f t="shared" si="163"/>
        <v>CHP New_2031</v>
      </c>
      <c r="P2506">
        <f t="shared" si="164"/>
        <v>74.408527000000007</v>
      </c>
    </row>
    <row r="2507" spans="4:16" x14ac:dyDescent="0.25">
      <c r="D2507">
        <v>2032</v>
      </c>
      <c r="E2507" t="s">
        <v>227</v>
      </c>
      <c r="F2507" t="s">
        <v>278</v>
      </c>
      <c r="G2507">
        <v>74.408527000000007</v>
      </c>
      <c r="I2507">
        <f t="shared" si="165"/>
        <v>0</v>
      </c>
      <c r="J2507">
        <f t="shared" si="165"/>
        <v>0</v>
      </c>
      <c r="K2507">
        <f t="shared" si="165"/>
        <v>0</v>
      </c>
      <c r="M2507" t="str" cm="1">
        <f t="array" ref="M2507">IFERROR(INDEX($I$2:$K$2,0,MATCH(TRUE,I2507:K2507,0)),E2507)</f>
        <v>CHP New</v>
      </c>
      <c r="O2507" t="str">
        <f t="shared" si="163"/>
        <v>CHP New_2032</v>
      </c>
      <c r="P2507">
        <f t="shared" si="164"/>
        <v>74.408527000000007</v>
      </c>
    </row>
    <row r="2508" spans="4:16" x14ac:dyDescent="0.25">
      <c r="D2508">
        <v>2033</v>
      </c>
      <c r="E2508" t="s">
        <v>227</v>
      </c>
      <c r="F2508" t="s">
        <v>278</v>
      </c>
      <c r="G2508">
        <v>74.408527000000007</v>
      </c>
      <c r="I2508">
        <f t="shared" si="165"/>
        <v>0</v>
      </c>
      <c r="J2508">
        <f t="shared" si="165"/>
        <v>0</v>
      </c>
      <c r="K2508">
        <f t="shared" si="165"/>
        <v>0</v>
      </c>
      <c r="M2508" t="str" cm="1">
        <f t="array" ref="M2508">IFERROR(INDEX($I$2:$K$2,0,MATCH(TRUE,I2508:K2508,0)),E2508)</f>
        <v>CHP New</v>
      </c>
      <c r="O2508" t="str">
        <f t="shared" si="163"/>
        <v>CHP New_2033</v>
      </c>
      <c r="P2508">
        <f t="shared" si="164"/>
        <v>74.408527000000007</v>
      </c>
    </row>
    <row r="2509" spans="4:16" x14ac:dyDescent="0.25">
      <c r="D2509">
        <v>2034</v>
      </c>
      <c r="E2509" t="s">
        <v>227</v>
      </c>
      <c r="F2509" t="s">
        <v>278</v>
      </c>
      <c r="G2509">
        <v>74.408527000000007</v>
      </c>
      <c r="I2509">
        <f t="shared" si="165"/>
        <v>0</v>
      </c>
      <c r="J2509">
        <f t="shared" si="165"/>
        <v>0</v>
      </c>
      <c r="K2509">
        <f t="shared" si="165"/>
        <v>0</v>
      </c>
      <c r="M2509" t="str" cm="1">
        <f t="array" ref="M2509">IFERROR(INDEX($I$2:$K$2,0,MATCH(TRUE,I2509:K2509,0)),E2509)</f>
        <v>CHP New</v>
      </c>
      <c r="O2509" t="str">
        <f t="shared" si="163"/>
        <v>CHP New_2034</v>
      </c>
      <c r="P2509">
        <f t="shared" si="164"/>
        <v>74.408527000000007</v>
      </c>
    </row>
    <row r="2510" spans="4:16" x14ac:dyDescent="0.25">
      <c r="D2510">
        <v>2035</v>
      </c>
      <c r="E2510" t="s">
        <v>227</v>
      </c>
      <c r="F2510" t="s">
        <v>278</v>
      </c>
      <c r="G2510">
        <v>74.408527000000007</v>
      </c>
      <c r="I2510">
        <f t="shared" si="165"/>
        <v>0</v>
      </c>
      <c r="J2510">
        <f t="shared" si="165"/>
        <v>0</v>
      </c>
      <c r="K2510">
        <f t="shared" si="165"/>
        <v>0</v>
      </c>
      <c r="M2510" t="str" cm="1">
        <f t="array" ref="M2510">IFERROR(INDEX($I$2:$K$2,0,MATCH(TRUE,I2510:K2510,0)),E2510)</f>
        <v>CHP New</v>
      </c>
      <c r="O2510" t="str">
        <f t="shared" si="163"/>
        <v>CHP New_2035</v>
      </c>
      <c r="P2510">
        <f t="shared" si="164"/>
        <v>74.408527000000007</v>
      </c>
    </row>
    <row r="2511" spans="4:16" x14ac:dyDescent="0.25">
      <c r="D2511">
        <v>2036</v>
      </c>
      <c r="E2511" t="s">
        <v>227</v>
      </c>
      <c r="F2511" t="s">
        <v>278</v>
      </c>
      <c r="G2511">
        <v>76.781782320000005</v>
      </c>
      <c r="I2511">
        <f t="shared" si="165"/>
        <v>0</v>
      </c>
      <c r="J2511">
        <f t="shared" si="165"/>
        <v>0</v>
      </c>
      <c r="K2511">
        <f t="shared" si="165"/>
        <v>0</v>
      </c>
      <c r="M2511" t="str" cm="1">
        <f t="array" ref="M2511">IFERROR(INDEX($I$2:$K$2,0,MATCH(TRUE,I2511:K2511,0)),E2511)</f>
        <v>CHP New</v>
      </c>
      <c r="O2511" t="str">
        <f t="shared" si="163"/>
        <v>CHP New_2036</v>
      </c>
      <c r="P2511">
        <f t="shared" si="164"/>
        <v>76.781782320000005</v>
      </c>
    </row>
    <row r="2512" spans="4:16" x14ac:dyDescent="0.25">
      <c r="D2512">
        <v>2037</v>
      </c>
      <c r="E2512" t="s">
        <v>227</v>
      </c>
      <c r="F2512" t="s">
        <v>278</v>
      </c>
      <c r="G2512">
        <v>74.408527000000007</v>
      </c>
      <c r="I2512">
        <f t="shared" si="165"/>
        <v>0</v>
      </c>
      <c r="J2512">
        <f t="shared" si="165"/>
        <v>0</v>
      </c>
      <c r="K2512">
        <f t="shared" si="165"/>
        <v>0</v>
      </c>
      <c r="M2512" t="str" cm="1">
        <f t="array" ref="M2512">IFERROR(INDEX($I$2:$K$2,0,MATCH(TRUE,I2512:K2512,0)),E2512)</f>
        <v>CHP New</v>
      </c>
      <c r="O2512" t="str">
        <f t="shared" si="163"/>
        <v>CHP New_2037</v>
      </c>
      <c r="P2512">
        <f t="shared" si="164"/>
        <v>74.408527000000007</v>
      </c>
    </row>
    <row r="2513" spans="4:16" x14ac:dyDescent="0.25">
      <c r="D2513">
        <v>2038</v>
      </c>
      <c r="E2513" t="s">
        <v>227</v>
      </c>
      <c r="F2513" t="s">
        <v>278</v>
      </c>
      <c r="G2513">
        <v>74.408527000000007</v>
      </c>
      <c r="I2513">
        <f t="shared" si="165"/>
        <v>0</v>
      </c>
      <c r="J2513">
        <f t="shared" si="165"/>
        <v>0</v>
      </c>
      <c r="K2513">
        <f t="shared" si="165"/>
        <v>0</v>
      </c>
      <c r="M2513" t="str" cm="1">
        <f t="array" ref="M2513">IFERROR(INDEX($I$2:$K$2,0,MATCH(TRUE,I2513:K2513,0)),E2513)</f>
        <v>CHP New</v>
      </c>
      <c r="O2513" t="str">
        <f t="shared" si="163"/>
        <v>CHP New_2038</v>
      </c>
      <c r="P2513">
        <f t="shared" si="164"/>
        <v>74.408527000000007</v>
      </c>
    </row>
    <row r="2514" spans="4:16" x14ac:dyDescent="0.25">
      <c r="D2514">
        <v>2039</v>
      </c>
      <c r="E2514" t="s">
        <v>227</v>
      </c>
      <c r="F2514" t="s">
        <v>278</v>
      </c>
      <c r="G2514">
        <v>74.408527000000007</v>
      </c>
      <c r="I2514">
        <f t="shared" si="165"/>
        <v>0</v>
      </c>
      <c r="J2514">
        <f t="shared" si="165"/>
        <v>0</v>
      </c>
      <c r="K2514">
        <f t="shared" si="165"/>
        <v>0</v>
      </c>
      <c r="M2514" t="str" cm="1">
        <f t="array" ref="M2514">IFERROR(INDEX($I$2:$K$2,0,MATCH(TRUE,I2514:K2514,0)),E2514)</f>
        <v>CHP New</v>
      </c>
      <c r="O2514" t="str">
        <f t="shared" si="163"/>
        <v>CHP New_2039</v>
      </c>
      <c r="P2514">
        <f t="shared" si="164"/>
        <v>74.408527000000007</v>
      </c>
    </row>
    <row r="2515" spans="4:16" x14ac:dyDescent="0.25">
      <c r="D2515">
        <v>2040</v>
      </c>
      <c r="E2515" t="s">
        <v>227</v>
      </c>
      <c r="F2515" t="s">
        <v>278</v>
      </c>
      <c r="G2515">
        <v>76.781782320000005</v>
      </c>
      <c r="I2515">
        <f t="shared" si="165"/>
        <v>0</v>
      </c>
      <c r="J2515">
        <f t="shared" si="165"/>
        <v>0</v>
      </c>
      <c r="K2515">
        <f t="shared" si="165"/>
        <v>0</v>
      </c>
      <c r="M2515" t="str" cm="1">
        <f t="array" ref="M2515">IFERROR(INDEX($I$2:$K$2,0,MATCH(TRUE,I2515:K2515,0)),E2515)</f>
        <v>CHP New</v>
      </c>
      <c r="O2515" t="str">
        <f t="shared" ref="O2515:O2578" si="166">M2515&amp;"_"&amp;D2515</f>
        <v>CHP New_2040</v>
      </c>
      <c r="P2515">
        <f t="shared" ref="P2515:P2578" si="167">G2515</f>
        <v>76.781782320000005</v>
      </c>
    </row>
    <row r="2516" spans="4:16" x14ac:dyDescent="0.25">
      <c r="D2516">
        <v>2021</v>
      </c>
      <c r="E2516" t="s">
        <v>279</v>
      </c>
      <c r="F2516" t="s">
        <v>280</v>
      </c>
      <c r="G2516">
        <v>278</v>
      </c>
      <c r="I2516">
        <f t="shared" si="165"/>
        <v>0</v>
      </c>
      <c r="J2516">
        <f t="shared" si="165"/>
        <v>0</v>
      </c>
      <c r="K2516">
        <f t="shared" si="165"/>
        <v>0</v>
      </c>
      <c r="M2516" t="str" cm="1">
        <f t="array" ref="M2516">IFERROR(INDEX($I$2:$K$2,0,MATCH(TRUE,I2516:K2516,0)),E2516)</f>
        <v>Coal</v>
      </c>
      <c r="O2516" t="str">
        <f t="shared" si="166"/>
        <v>Coal_2021</v>
      </c>
      <c r="P2516">
        <f t="shared" si="167"/>
        <v>278</v>
      </c>
    </row>
    <row r="2517" spans="4:16" x14ac:dyDescent="0.25">
      <c r="D2517">
        <v>2022</v>
      </c>
      <c r="E2517" t="s">
        <v>279</v>
      </c>
      <c r="F2517" t="s">
        <v>280</v>
      </c>
      <c r="G2517">
        <v>278</v>
      </c>
      <c r="I2517">
        <f t="shared" ref="I2517:K2580" si="168">IFERROR(FIND(I$2,$E2517,1)&gt;0,0)</f>
        <v>0</v>
      </c>
      <c r="J2517">
        <f t="shared" si="168"/>
        <v>0</v>
      </c>
      <c r="K2517">
        <f t="shared" si="168"/>
        <v>0</v>
      </c>
      <c r="M2517" t="str" cm="1">
        <f t="array" ref="M2517">IFERROR(INDEX($I$2:$K$2,0,MATCH(TRUE,I2517:K2517,0)),E2517)</f>
        <v>Coal</v>
      </c>
      <c r="O2517" t="str">
        <f t="shared" si="166"/>
        <v>Coal_2022</v>
      </c>
      <c r="P2517">
        <f t="shared" si="167"/>
        <v>278</v>
      </c>
    </row>
    <row r="2518" spans="4:16" x14ac:dyDescent="0.25">
      <c r="D2518">
        <v>2023</v>
      </c>
      <c r="E2518" t="s">
        <v>279</v>
      </c>
      <c r="F2518" t="s">
        <v>280</v>
      </c>
      <c r="G2518">
        <v>278</v>
      </c>
      <c r="I2518">
        <f t="shared" si="168"/>
        <v>0</v>
      </c>
      <c r="J2518">
        <f t="shared" si="168"/>
        <v>0</v>
      </c>
      <c r="K2518">
        <f t="shared" si="168"/>
        <v>0</v>
      </c>
      <c r="M2518" t="str" cm="1">
        <f t="array" ref="M2518">IFERROR(INDEX($I$2:$K$2,0,MATCH(TRUE,I2518:K2518,0)),E2518)</f>
        <v>Coal</v>
      </c>
      <c r="O2518" t="str">
        <f t="shared" si="166"/>
        <v>Coal_2023</v>
      </c>
      <c r="P2518">
        <f t="shared" si="167"/>
        <v>278</v>
      </c>
    </row>
    <row r="2519" spans="4:16" x14ac:dyDescent="0.25">
      <c r="D2519">
        <v>2024</v>
      </c>
      <c r="E2519" t="s">
        <v>279</v>
      </c>
      <c r="F2519" t="s">
        <v>280</v>
      </c>
      <c r="G2519">
        <v>278</v>
      </c>
      <c r="I2519">
        <f t="shared" si="168"/>
        <v>0</v>
      </c>
      <c r="J2519">
        <f t="shared" si="168"/>
        <v>0</v>
      </c>
      <c r="K2519">
        <f t="shared" si="168"/>
        <v>0</v>
      </c>
      <c r="M2519" t="str" cm="1">
        <f t="array" ref="M2519">IFERROR(INDEX($I$2:$K$2,0,MATCH(TRUE,I2519:K2519,0)),E2519)</f>
        <v>Coal</v>
      </c>
      <c r="O2519" t="str">
        <f t="shared" si="166"/>
        <v>Coal_2024</v>
      </c>
      <c r="P2519">
        <f t="shared" si="167"/>
        <v>278</v>
      </c>
    </row>
    <row r="2520" spans="4:16" x14ac:dyDescent="0.25">
      <c r="D2520">
        <v>2021</v>
      </c>
      <c r="E2520" t="s">
        <v>279</v>
      </c>
      <c r="F2520" t="s">
        <v>281</v>
      </c>
      <c r="G2520">
        <v>119</v>
      </c>
      <c r="I2520">
        <f t="shared" si="168"/>
        <v>0</v>
      </c>
      <c r="J2520">
        <f t="shared" si="168"/>
        <v>0</v>
      </c>
      <c r="K2520">
        <f t="shared" si="168"/>
        <v>0</v>
      </c>
      <c r="M2520" t="str" cm="1">
        <f t="array" ref="M2520">IFERROR(INDEX($I$2:$K$2,0,MATCH(TRUE,I2520:K2520,0)),E2520)</f>
        <v>Coal</v>
      </c>
      <c r="O2520" t="str">
        <f t="shared" si="166"/>
        <v>Coal_2021</v>
      </c>
      <c r="P2520">
        <f t="shared" si="167"/>
        <v>119</v>
      </c>
    </row>
    <row r="2521" spans="4:16" x14ac:dyDescent="0.25">
      <c r="D2521">
        <v>2022</v>
      </c>
      <c r="E2521" t="s">
        <v>279</v>
      </c>
      <c r="F2521" t="s">
        <v>281</v>
      </c>
      <c r="G2521">
        <v>119</v>
      </c>
      <c r="I2521">
        <f t="shared" si="168"/>
        <v>0</v>
      </c>
      <c r="J2521">
        <f t="shared" si="168"/>
        <v>0</v>
      </c>
      <c r="K2521">
        <f t="shared" si="168"/>
        <v>0</v>
      </c>
      <c r="M2521" t="str" cm="1">
        <f t="array" ref="M2521">IFERROR(INDEX($I$2:$K$2,0,MATCH(TRUE,I2521:K2521,0)),E2521)</f>
        <v>Coal</v>
      </c>
      <c r="O2521" t="str">
        <f t="shared" si="166"/>
        <v>Coal_2022</v>
      </c>
      <c r="P2521">
        <f t="shared" si="167"/>
        <v>119</v>
      </c>
    </row>
    <row r="2522" spans="4:16" x14ac:dyDescent="0.25">
      <c r="D2522">
        <v>2023</v>
      </c>
      <c r="E2522" t="s">
        <v>279</v>
      </c>
      <c r="F2522" t="s">
        <v>281</v>
      </c>
      <c r="G2522">
        <v>119</v>
      </c>
      <c r="I2522">
        <f t="shared" si="168"/>
        <v>0</v>
      </c>
      <c r="J2522">
        <f t="shared" si="168"/>
        <v>0</v>
      </c>
      <c r="K2522">
        <f t="shared" si="168"/>
        <v>0</v>
      </c>
      <c r="M2522" t="str" cm="1">
        <f t="array" ref="M2522">IFERROR(INDEX($I$2:$K$2,0,MATCH(TRUE,I2522:K2522,0)),E2522)</f>
        <v>Coal</v>
      </c>
      <c r="O2522" t="str">
        <f t="shared" si="166"/>
        <v>Coal_2023</v>
      </c>
      <c r="P2522">
        <f t="shared" si="167"/>
        <v>119</v>
      </c>
    </row>
    <row r="2523" spans="4:16" x14ac:dyDescent="0.25">
      <c r="D2523">
        <v>2024</v>
      </c>
      <c r="E2523" t="s">
        <v>279</v>
      </c>
      <c r="F2523" t="s">
        <v>281</v>
      </c>
      <c r="G2523">
        <v>119</v>
      </c>
      <c r="I2523">
        <f t="shared" si="168"/>
        <v>0</v>
      </c>
      <c r="J2523">
        <f t="shared" si="168"/>
        <v>0</v>
      </c>
      <c r="K2523">
        <f t="shared" si="168"/>
        <v>0</v>
      </c>
      <c r="M2523" t="str" cm="1">
        <f t="array" ref="M2523">IFERROR(INDEX($I$2:$K$2,0,MATCH(TRUE,I2523:K2523,0)),E2523)</f>
        <v>Coal</v>
      </c>
      <c r="O2523" t="str">
        <f t="shared" si="166"/>
        <v>Coal_2024</v>
      </c>
      <c r="P2523">
        <f t="shared" si="167"/>
        <v>119</v>
      </c>
    </row>
    <row r="2524" spans="4:16" x14ac:dyDescent="0.25">
      <c r="D2524">
        <v>2021</v>
      </c>
      <c r="E2524" t="s">
        <v>279</v>
      </c>
      <c r="F2524" t="s">
        <v>282</v>
      </c>
      <c r="G2524">
        <v>26</v>
      </c>
      <c r="I2524">
        <f t="shared" si="168"/>
        <v>0</v>
      </c>
      <c r="J2524">
        <f t="shared" si="168"/>
        <v>0</v>
      </c>
      <c r="K2524">
        <f t="shared" si="168"/>
        <v>0</v>
      </c>
      <c r="M2524" t="str" cm="1">
        <f t="array" ref="M2524">IFERROR(INDEX($I$2:$K$2,0,MATCH(TRUE,I2524:K2524,0)),E2524)</f>
        <v>Coal</v>
      </c>
      <c r="O2524" t="str">
        <f t="shared" si="166"/>
        <v>Coal_2021</v>
      </c>
      <c r="P2524">
        <f t="shared" si="167"/>
        <v>26</v>
      </c>
    </row>
    <row r="2525" spans="4:16" x14ac:dyDescent="0.25">
      <c r="D2525">
        <v>2022</v>
      </c>
      <c r="E2525" t="s">
        <v>279</v>
      </c>
      <c r="F2525" t="s">
        <v>282</v>
      </c>
      <c r="G2525">
        <v>26</v>
      </c>
      <c r="I2525">
        <f t="shared" si="168"/>
        <v>0</v>
      </c>
      <c r="J2525">
        <f t="shared" si="168"/>
        <v>0</v>
      </c>
      <c r="K2525">
        <f t="shared" si="168"/>
        <v>0</v>
      </c>
      <c r="M2525" t="str" cm="1">
        <f t="array" ref="M2525">IFERROR(INDEX($I$2:$K$2,0,MATCH(TRUE,I2525:K2525,0)),E2525)</f>
        <v>Coal</v>
      </c>
      <c r="O2525" t="str">
        <f t="shared" si="166"/>
        <v>Coal_2022</v>
      </c>
      <c r="P2525">
        <f t="shared" si="167"/>
        <v>26</v>
      </c>
    </row>
    <row r="2526" spans="4:16" x14ac:dyDescent="0.25">
      <c r="D2526">
        <v>2023</v>
      </c>
      <c r="E2526" t="s">
        <v>279</v>
      </c>
      <c r="F2526" t="s">
        <v>282</v>
      </c>
      <c r="G2526">
        <v>26</v>
      </c>
      <c r="I2526">
        <f t="shared" si="168"/>
        <v>0</v>
      </c>
      <c r="J2526">
        <f t="shared" si="168"/>
        <v>0</v>
      </c>
      <c r="K2526">
        <f t="shared" si="168"/>
        <v>0</v>
      </c>
      <c r="M2526" t="str" cm="1">
        <f t="array" ref="M2526">IFERROR(INDEX($I$2:$K$2,0,MATCH(TRUE,I2526:K2526,0)),E2526)</f>
        <v>Coal</v>
      </c>
      <c r="O2526" t="str">
        <f t="shared" si="166"/>
        <v>Coal_2023</v>
      </c>
      <c r="P2526">
        <f t="shared" si="167"/>
        <v>26</v>
      </c>
    </row>
    <row r="2527" spans="4:16" x14ac:dyDescent="0.25">
      <c r="D2527">
        <v>2024</v>
      </c>
      <c r="E2527" t="s">
        <v>279</v>
      </c>
      <c r="F2527" t="s">
        <v>282</v>
      </c>
      <c r="G2527">
        <v>26</v>
      </c>
      <c r="I2527">
        <f t="shared" si="168"/>
        <v>0</v>
      </c>
      <c r="J2527">
        <f t="shared" si="168"/>
        <v>0</v>
      </c>
      <c r="K2527">
        <f t="shared" si="168"/>
        <v>0</v>
      </c>
      <c r="M2527" t="str" cm="1">
        <f t="array" ref="M2527">IFERROR(INDEX($I$2:$K$2,0,MATCH(TRUE,I2527:K2527,0)),E2527)</f>
        <v>Coal</v>
      </c>
      <c r="O2527" t="str">
        <f t="shared" si="166"/>
        <v>Coal_2024</v>
      </c>
      <c r="P2527">
        <f t="shared" si="167"/>
        <v>26</v>
      </c>
    </row>
    <row r="2528" spans="4:16" x14ac:dyDescent="0.25">
      <c r="D2528">
        <v>2025</v>
      </c>
      <c r="E2528" t="s">
        <v>279</v>
      </c>
      <c r="F2528" t="s">
        <v>282</v>
      </c>
      <c r="G2528">
        <v>26</v>
      </c>
      <c r="I2528">
        <f t="shared" si="168"/>
        <v>0</v>
      </c>
      <c r="J2528">
        <f t="shared" si="168"/>
        <v>0</v>
      </c>
      <c r="K2528">
        <f t="shared" si="168"/>
        <v>0</v>
      </c>
      <c r="M2528" t="str" cm="1">
        <f t="array" ref="M2528">IFERROR(INDEX($I$2:$K$2,0,MATCH(TRUE,I2528:K2528,0)),E2528)</f>
        <v>Coal</v>
      </c>
      <c r="O2528" t="str">
        <f t="shared" si="166"/>
        <v>Coal_2025</v>
      </c>
      <c r="P2528">
        <f t="shared" si="167"/>
        <v>26</v>
      </c>
    </row>
    <row r="2529" spans="4:16" x14ac:dyDescent="0.25">
      <c r="D2529">
        <v>2026</v>
      </c>
      <c r="E2529" t="s">
        <v>279</v>
      </c>
      <c r="F2529" t="s">
        <v>282</v>
      </c>
      <c r="G2529">
        <v>26</v>
      </c>
      <c r="I2529">
        <f t="shared" si="168"/>
        <v>0</v>
      </c>
      <c r="J2529">
        <f t="shared" si="168"/>
        <v>0</v>
      </c>
      <c r="K2529">
        <f t="shared" si="168"/>
        <v>0</v>
      </c>
      <c r="M2529" t="str" cm="1">
        <f t="array" ref="M2529">IFERROR(INDEX($I$2:$K$2,0,MATCH(TRUE,I2529:K2529,0)),E2529)</f>
        <v>Coal</v>
      </c>
      <c r="O2529" t="str">
        <f t="shared" si="166"/>
        <v>Coal_2026</v>
      </c>
      <c r="P2529">
        <f t="shared" si="167"/>
        <v>26</v>
      </c>
    </row>
    <row r="2530" spans="4:16" x14ac:dyDescent="0.25">
      <c r="D2530">
        <v>2027</v>
      </c>
      <c r="E2530" t="s">
        <v>279</v>
      </c>
      <c r="F2530" t="s">
        <v>282</v>
      </c>
      <c r="G2530">
        <v>26</v>
      </c>
      <c r="I2530">
        <f t="shared" si="168"/>
        <v>0</v>
      </c>
      <c r="J2530">
        <f t="shared" si="168"/>
        <v>0</v>
      </c>
      <c r="K2530">
        <f t="shared" si="168"/>
        <v>0</v>
      </c>
      <c r="M2530" t="str" cm="1">
        <f t="array" ref="M2530">IFERROR(INDEX($I$2:$K$2,0,MATCH(TRUE,I2530:K2530,0)),E2530)</f>
        <v>Coal</v>
      </c>
      <c r="O2530" t="str">
        <f t="shared" si="166"/>
        <v>Coal_2027</v>
      </c>
      <c r="P2530">
        <f t="shared" si="167"/>
        <v>26</v>
      </c>
    </row>
    <row r="2531" spans="4:16" x14ac:dyDescent="0.25">
      <c r="D2531">
        <v>2028</v>
      </c>
      <c r="E2531" t="s">
        <v>279</v>
      </c>
      <c r="F2531" t="s">
        <v>282</v>
      </c>
      <c r="G2531">
        <v>26</v>
      </c>
      <c r="I2531">
        <f t="shared" si="168"/>
        <v>0</v>
      </c>
      <c r="J2531">
        <f t="shared" si="168"/>
        <v>0</v>
      </c>
      <c r="K2531">
        <f t="shared" si="168"/>
        <v>0</v>
      </c>
      <c r="M2531" t="str" cm="1">
        <f t="array" ref="M2531">IFERROR(INDEX($I$2:$K$2,0,MATCH(TRUE,I2531:K2531,0)),E2531)</f>
        <v>Coal</v>
      </c>
      <c r="O2531" t="str">
        <f t="shared" si="166"/>
        <v>Coal_2028</v>
      </c>
      <c r="P2531">
        <f t="shared" si="167"/>
        <v>26</v>
      </c>
    </row>
    <row r="2532" spans="4:16" x14ac:dyDescent="0.25">
      <c r="D2532">
        <v>2029</v>
      </c>
      <c r="E2532" t="s">
        <v>279</v>
      </c>
      <c r="F2532" t="s">
        <v>282</v>
      </c>
      <c r="G2532">
        <v>26</v>
      </c>
      <c r="I2532">
        <f t="shared" si="168"/>
        <v>0</v>
      </c>
      <c r="J2532">
        <f t="shared" si="168"/>
        <v>0</v>
      </c>
      <c r="K2532">
        <f t="shared" si="168"/>
        <v>0</v>
      </c>
      <c r="M2532" t="str" cm="1">
        <f t="array" ref="M2532">IFERROR(INDEX($I$2:$K$2,0,MATCH(TRUE,I2532:K2532,0)),E2532)</f>
        <v>Coal</v>
      </c>
      <c r="O2532" t="str">
        <f t="shared" si="166"/>
        <v>Coal_2029</v>
      </c>
      <c r="P2532">
        <f t="shared" si="167"/>
        <v>26</v>
      </c>
    </row>
    <row r="2533" spans="4:16" x14ac:dyDescent="0.25">
      <c r="D2533">
        <v>2030</v>
      </c>
      <c r="E2533" t="s">
        <v>279</v>
      </c>
      <c r="F2533" t="s">
        <v>282</v>
      </c>
      <c r="G2533">
        <v>26</v>
      </c>
      <c r="I2533">
        <f t="shared" si="168"/>
        <v>0</v>
      </c>
      <c r="J2533">
        <f t="shared" si="168"/>
        <v>0</v>
      </c>
      <c r="K2533">
        <f t="shared" si="168"/>
        <v>0</v>
      </c>
      <c r="M2533" t="str" cm="1">
        <f t="array" ref="M2533">IFERROR(INDEX($I$2:$K$2,0,MATCH(TRUE,I2533:K2533,0)),E2533)</f>
        <v>Coal</v>
      </c>
      <c r="O2533" t="str">
        <f t="shared" si="166"/>
        <v>Coal_2030</v>
      </c>
      <c r="P2533">
        <f t="shared" si="167"/>
        <v>26</v>
      </c>
    </row>
    <row r="2534" spans="4:16" x14ac:dyDescent="0.25">
      <c r="D2534">
        <v>2021</v>
      </c>
      <c r="E2534" t="s">
        <v>279</v>
      </c>
      <c r="F2534" t="s">
        <v>283</v>
      </c>
      <c r="G2534">
        <v>130</v>
      </c>
      <c r="I2534">
        <f t="shared" si="168"/>
        <v>0</v>
      </c>
      <c r="J2534">
        <f t="shared" si="168"/>
        <v>0</v>
      </c>
      <c r="K2534">
        <f t="shared" si="168"/>
        <v>0</v>
      </c>
      <c r="M2534" t="str" cm="1">
        <f t="array" ref="M2534">IFERROR(INDEX($I$2:$K$2,0,MATCH(TRUE,I2534:K2534,0)),E2534)</f>
        <v>Coal</v>
      </c>
      <c r="O2534" t="str">
        <f t="shared" si="166"/>
        <v>Coal_2021</v>
      </c>
      <c r="P2534">
        <f t="shared" si="167"/>
        <v>130</v>
      </c>
    </row>
    <row r="2535" spans="4:16" x14ac:dyDescent="0.25">
      <c r="D2535">
        <v>2022</v>
      </c>
      <c r="E2535" t="s">
        <v>279</v>
      </c>
      <c r="F2535" t="s">
        <v>283</v>
      </c>
      <c r="G2535">
        <v>130</v>
      </c>
      <c r="I2535">
        <f t="shared" si="168"/>
        <v>0</v>
      </c>
      <c r="J2535">
        <f t="shared" si="168"/>
        <v>0</v>
      </c>
      <c r="K2535">
        <f t="shared" si="168"/>
        <v>0</v>
      </c>
      <c r="M2535" t="str" cm="1">
        <f t="array" ref="M2535">IFERROR(INDEX($I$2:$K$2,0,MATCH(TRUE,I2535:K2535,0)),E2535)</f>
        <v>Coal</v>
      </c>
      <c r="O2535" t="str">
        <f t="shared" si="166"/>
        <v>Coal_2022</v>
      </c>
      <c r="P2535">
        <f t="shared" si="167"/>
        <v>130</v>
      </c>
    </row>
    <row r="2536" spans="4:16" x14ac:dyDescent="0.25">
      <c r="D2536">
        <v>2023</v>
      </c>
      <c r="E2536" t="s">
        <v>279</v>
      </c>
      <c r="F2536" t="s">
        <v>283</v>
      </c>
      <c r="G2536">
        <v>130</v>
      </c>
      <c r="I2536">
        <f t="shared" si="168"/>
        <v>0</v>
      </c>
      <c r="J2536">
        <f t="shared" si="168"/>
        <v>0</v>
      </c>
      <c r="K2536">
        <f t="shared" si="168"/>
        <v>0</v>
      </c>
      <c r="M2536" t="str" cm="1">
        <f t="array" ref="M2536">IFERROR(INDEX($I$2:$K$2,0,MATCH(TRUE,I2536:K2536,0)),E2536)</f>
        <v>Coal</v>
      </c>
      <c r="O2536" t="str">
        <f t="shared" si="166"/>
        <v>Coal_2023</v>
      </c>
      <c r="P2536">
        <f t="shared" si="167"/>
        <v>130</v>
      </c>
    </row>
    <row r="2537" spans="4:16" x14ac:dyDescent="0.25">
      <c r="D2537">
        <v>2024</v>
      </c>
      <c r="E2537" t="s">
        <v>279</v>
      </c>
      <c r="F2537" t="s">
        <v>283</v>
      </c>
      <c r="G2537">
        <v>130</v>
      </c>
      <c r="I2537">
        <f t="shared" si="168"/>
        <v>0</v>
      </c>
      <c r="J2537">
        <f t="shared" si="168"/>
        <v>0</v>
      </c>
      <c r="K2537">
        <f t="shared" si="168"/>
        <v>0</v>
      </c>
      <c r="M2537" t="str" cm="1">
        <f t="array" ref="M2537">IFERROR(INDEX($I$2:$K$2,0,MATCH(TRUE,I2537:K2537,0)),E2537)</f>
        <v>Coal</v>
      </c>
      <c r="O2537" t="str">
        <f t="shared" si="166"/>
        <v>Coal_2024</v>
      </c>
      <c r="P2537">
        <f t="shared" si="167"/>
        <v>130</v>
      </c>
    </row>
    <row r="2538" spans="4:16" x14ac:dyDescent="0.25">
      <c r="D2538">
        <v>2025</v>
      </c>
      <c r="E2538" t="s">
        <v>279</v>
      </c>
      <c r="F2538" t="s">
        <v>283</v>
      </c>
      <c r="G2538">
        <v>130</v>
      </c>
      <c r="I2538">
        <f t="shared" si="168"/>
        <v>0</v>
      </c>
      <c r="J2538">
        <f t="shared" si="168"/>
        <v>0</v>
      </c>
      <c r="K2538">
        <f t="shared" si="168"/>
        <v>0</v>
      </c>
      <c r="M2538" t="str" cm="1">
        <f t="array" ref="M2538">IFERROR(INDEX($I$2:$K$2,0,MATCH(TRUE,I2538:K2538,0)),E2538)</f>
        <v>Coal</v>
      </c>
      <c r="O2538" t="str">
        <f t="shared" si="166"/>
        <v>Coal_2025</v>
      </c>
      <c r="P2538">
        <f t="shared" si="167"/>
        <v>130</v>
      </c>
    </row>
    <row r="2539" spans="4:16" x14ac:dyDescent="0.25">
      <c r="D2539">
        <v>2021</v>
      </c>
      <c r="E2539" t="s">
        <v>279</v>
      </c>
      <c r="F2539" t="s">
        <v>284</v>
      </c>
      <c r="G2539">
        <v>130</v>
      </c>
      <c r="I2539">
        <f t="shared" si="168"/>
        <v>0</v>
      </c>
      <c r="J2539">
        <f t="shared" si="168"/>
        <v>0</v>
      </c>
      <c r="K2539">
        <f t="shared" si="168"/>
        <v>0</v>
      </c>
      <c r="M2539" t="str" cm="1">
        <f t="array" ref="M2539">IFERROR(INDEX($I$2:$K$2,0,MATCH(TRUE,I2539:K2539,0)),E2539)</f>
        <v>Coal</v>
      </c>
      <c r="O2539" t="str">
        <f t="shared" si="166"/>
        <v>Coal_2021</v>
      </c>
      <c r="P2539">
        <f t="shared" si="167"/>
        <v>130</v>
      </c>
    </row>
    <row r="2540" spans="4:16" x14ac:dyDescent="0.25">
      <c r="D2540">
        <v>2022</v>
      </c>
      <c r="E2540" t="s">
        <v>279</v>
      </c>
      <c r="F2540" t="s">
        <v>284</v>
      </c>
      <c r="G2540">
        <v>130</v>
      </c>
      <c r="I2540">
        <f t="shared" si="168"/>
        <v>0</v>
      </c>
      <c r="J2540">
        <f t="shared" si="168"/>
        <v>0</v>
      </c>
      <c r="K2540">
        <f t="shared" si="168"/>
        <v>0</v>
      </c>
      <c r="M2540" t="str" cm="1">
        <f t="array" ref="M2540">IFERROR(INDEX($I$2:$K$2,0,MATCH(TRUE,I2540:K2540,0)),E2540)</f>
        <v>Coal</v>
      </c>
      <c r="O2540" t="str">
        <f t="shared" si="166"/>
        <v>Coal_2022</v>
      </c>
      <c r="P2540">
        <f t="shared" si="167"/>
        <v>130</v>
      </c>
    </row>
    <row r="2541" spans="4:16" x14ac:dyDescent="0.25">
      <c r="D2541">
        <v>2023</v>
      </c>
      <c r="E2541" t="s">
        <v>279</v>
      </c>
      <c r="F2541" t="s">
        <v>284</v>
      </c>
      <c r="G2541">
        <v>130</v>
      </c>
      <c r="I2541">
        <f t="shared" si="168"/>
        <v>0</v>
      </c>
      <c r="J2541">
        <f t="shared" si="168"/>
        <v>0</v>
      </c>
      <c r="K2541">
        <f t="shared" si="168"/>
        <v>0</v>
      </c>
      <c r="M2541" t="str" cm="1">
        <f t="array" ref="M2541">IFERROR(INDEX($I$2:$K$2,0,MATCH(TRUE,I2541:K2541,0)),E2541)</f>
        <v>Coal</v>
      </c>
      <c r="O2541" t="str">
        <f t="shared" si="166"/>
        <v>Coal_2023</v>
      </c>
      <c r="P2541">
        <f t="shared" si="167"/>
        <v>130</v>
      </c>
    </row>
    <row r="2542" spans="4:16" x14ac:dyDescent="0.25">
      <c r="D2542">
        <v>2024</v>
      </c>
      <c r="E2542" t="s">
        <v>279</v>
      </c>
      <c r="F2542" t="s">
        <v>284</v>
      </c>
      <c r="G2542">
        <v>130</v>
      </c>
      <c r="I2542">
        <f t="shared" si="168"/>
        <v>0</v>
      </c>
      <c r="J2542">
        <f t="shared" si="168"/>
        <v>0</v>
      </c>
      <c r="K2542">
        <f t="shared" si="168"/>
        <v>0</v>
      </c>
      <c r="M2542" t="str" cm="1">
        <f t="array" ref="M2542">IFERROR(INDEX($I$2:$K$2,0,MATCH(TRUE,I2542:K2542,0)),E2542)</f>
        <v>Coal</v>
      </c>
      <c r="O2542" t="str">
        <f t="shared" si="166"/>
        <v>Coal_2024</v>
      </c>
      <c r="P2542">
        <f t="shared" si="167"/>
        <v>130</v>
      </c>
    </row>
    <row r="2543" spans="4:16" x14ac:dyDescent="0.25">
      <c r="D2543">
        <v>2025</v>
      </c>
      <c r="E2543" t="s">
        <v>279</v>
      </c>
      <c r="F2543" t="s">
        <v>284</v>
      </c>
      <c r="G2543">
        <v>130</v>
      </c>
      <c r="I2543">
        <f t="shared" si="168"/>
        <v>0</v>
      </c>
      <c r="J2543">
        <f t="shared" si="168"/>
        <v>0</v>
      </c>
      <c r="K2543">
        <f t="shared" si="168"/>
        <v>0</v>
      </c>
      <c r="M2543" t="str" cm="1">
        <f t="array" ref="M2543">IFERROR(INDEX($I$2:$K$2,0,MATCH(TRUE,I2543:K2543,0)),E2543)</f>
        <v>Coal</v>
      </c>
      <c r="O2543" t="str">
        <f t="shared" si="166"/>
        <v>Coal_2025</v>
      </c>
      <c r="P2543">
        <f t="shared" si="167"/>
        <v>130</v>
      </c>
    </row>
    <row r="2544" spans="4:16" x14ac:dyDescent="0.25">
      <c r="D2544">
        <v>2021</v>
      </c>
      <c r="E2544" t="s">
        <v>279</v>
      </c>
      <c r="F2544" t="s">
        <v>285</v>
      </c>
      <c r="G2544">
        <v>39.6</v>
      </c>
      <c r="I2544">
        <f t="shared" si="168"/>
        <v>0</v>
      </c>
      <c r="J2544">
        <f t="shared" si="168"/>
        <v>0</v>
      </c>
      <c r="K2544">
        <f t="shared" si="168"/>
        <v>0</v>
      </c>
      <c r="M2544" t="str" cm="1">
        <f t="array" ref="M2544">IFERROR(INDEX($I$2:$K$2,0,MATCH(TRUE,I2544:K2544,0)),E2544)</f>
        <v>Coal</v>
      </c>
      <c r="O2544" t="str">
        <f t="shared" si="166"/>
        <v>Coal_2021</v>
      </c>
      <c r="P2544">
        <f t="shared" si="167"/>
        <v>39.6</v>
      </c>
    </row>
    <row r="2545" spans="4:16" x14ac:dyDescent="0.25">
      <c r="D2545">
        <v>2022</v>
      </c>
      <c r="E2545" t="s">
        <v>279</v>
      </c>
      <c r="F2545" t="s">
        <v>285</v>
      </c>
      <c r="G2545">
        <v>39.6</v>
      </c>
      <c r="I2545">
        <f t="shared" si="168"/>
        <v>0</v>
      </c>
      <c r="J2545">
        <f t="shared" si="168"/>
        <v>0</v>
      </c>
      <c r="K2545">
        <f t="shared" si="168"/>
        <v>0</v>
      </c>
      <c r="M2545" t="str" cm="1">
        <f t="array" ref="M2545">IFERROR(INDEX($I$2:$K$2,0,MATCH(TRUE,I2545:K2545,0)),E2545)</f>
        <v>Coal</v>
      </c>
      <c r="O2545" t="str">
        <f t="shared" si="166"/>
        <v>Coal_2022</v>
      </c>
      <c r="P2545">
        <f t="shared" si="167"/>
        <v>39.6</v>
      </c>
    </row>
    <row r="2546" spans="4:16" x14ac:dyDescent="0.25">
      <c r="D2546">
        <v>2023</v>
      </c>
      <c r="E2546" t="s">
        <v>279</v>
      </c>
      <c r="F2546" t="s">
        <v>285</v>
      </c>
      <c r="G2546">
        <v>39.6</v>
      </c>
      <c r="I2546">
        <f t="shared" si="168"/>
        <v>0</v>
      </c>
      <c r="J2546">
        <f t="shared" si="168"/>
        <v>0</v>
      </c>
      <c r="K2546">
        <f t="shared" si="168"/>
        <v>0</v>
      </c>
      <c r="M2546" t="str" cm="1">
        <f t="array" ref="M2546">IFERROR(INDEX($I$2:$K$2,0,MATCH(TRUE,I2546:K2546,0)),E2546)</f>
        <v>Coal</v>
      </c>
      <c r="O2546" t="str">
        <f t="shared" si="166"/>
        <v>Coal_2023</v>
      </c>
      <c r="P2546">
        <f t="shared" si="167"/>
        <v>39.6</v>
      </c>
    </row>
    <row r="2547" spans="4:16" x14ac:dyDescent="0.25">
      <c r="D2547">
        <v>2021</v>
      </c>
      <c r="E2547" t="s">
        <v>279</v>
      </c>
      <c r="F2547" t="s">
        <v>286</v>
      </c>
      <c r="G2547">
        <v>211</v>
      </c>
      <c r="I2547">
        <f t="shared" si="168"/>
        <v>0</v>
      </c>
      <c r="J2547">
        <f t="shared" si="168"/>
        <v>0</v>
      </c>
      <c r="K2547">
        <f t="shared" si="168"/>
        <v>0</v>
      </c>
      <c r="M2547" t="str" cm="1">
        <f t="array" ref="M2547">IFERROR(INDEX($I$2:$K$2,0,MATCH(TRUE,I2547:K2547,0)),E2547)</f>
        <v>Coal</v>
      </c>
      <c r="O2547" t="str">
        <f t="shared" si="166"/>
        <v>Coal_2021</v>
      </c>
      <c r="P2547">
        <f t="shared" si="167"/>
        <v>211</v>
      </c>
    </row>
    <row r="2548" spans="4:16" x14ac:dyDescent="0.25">
      <c r="D2548">
        <v>2022</v>
      </c>
      <c r="E2548" t="s">
        <v>279</v>
      </c>
      <c r="F2548" t="s">
        <v>286</v>
      </c>
      <c r="G2548">
        <v>211</v>
      </c>
      <c r="I2548">
        <f t="shared" si="168"/>
        <v>0</v>
      </c>
      <c r="J2548">
        <f t="shared" si="168"/>
        <v>0</v>
      </c>
      <c r="K2548">
        <f t="shared" si="168"/>
        <v>0</v>
      </c>
      <c r="M2548" t="str" cm="1">
        <f t="array" ref="M2548">IFERROR(INDEX($I$2:$K$2,0,MATCH(TRUE,I2548:K2548,0)),E2548)</f>
        <v>Coal</v>
      </c>
      <c r="O2548" t="str">
        <f t="shared" si="166"/>
        <v>Coal_2022</v>
      </c>
      <c r="P2548">
        <f t="shared" si="167"/>
        <v>211</v>
      </c>
    </row>
    <row r="2549" spans="4:16" x14ac:dyDescent="0.25">
      <c r="D2549">
        <v>2023</v>
      </c>
      <c r="E2549" t="s">
        <v>279</v>
      </c>
      <c r="F2549" t="s">
        <v>286</v>
      </c>
      <c r="G2549">
        <v>211</v>
      </c>
      <c r="I2549">
        <f t="shared" si="168"/>
        <v>0</v>
      </c>
      <c r="J2549">
        <f t="shared" si="168"/>
        <v>0</v>
      </c>
      <c r="K2549">
        <f t="shared" si="168"/>
        <v>0</v>
      </c>
      <c r="M2549" t="str" cm="1">
        <f t="array" ref="M2549">IFERROR(INDEX($I$2:$K$2,0,MATCH(TRUE,I2549:K2549,0)),E2549)</f>
        <v>Coal</v>
      </c>
      <c r="O2549" t="str">
        <f t="shared" si="166"/>
        <v>Coal_2023</v>
      </c>
      <c r="P2549">
        <f t="shared" si="167"/>
        <v>211</v>
      </c>
    </row>
    <row r="2550" spans="4:16" x14ac:dyDescent="0.25">
      <c r="D2550">
        <v>2024</v>
      </c>
      <c r="E2550" t="s">
        <v>279</v>
      </c>
      <c r="F2550" t="s">
        <v>286</v>
      </c>
      <c r="G2550">
        <v>211</v>
      </c>
      <c r="I2550">
        <f t="shared" si="168"/>
        <v>0</v>
      </c>
      <c r="J2550">
        <f t="shared" si="168"/>
        <v>0</v>
      </c>
      <c r="K2550">
        <f t="shared" si="168"/>
        <v>0</v>
      </c>
      <c r="M2550" t="str" cm="1">
        <f t="array" ref="M2550">IFERROR(INDEX($I$2:$K$2,0,MATCH(TRUE,I2550:K2550,0)),E2550)</f>
        <v>Coal</v>
      </c>
      <c r="O2550" t="str">
        <f t="shared" si="166"/>
        <v>Coal_2024</v>
      </c>
      <c r="P2550">
        <f t="shared" si="167"/>
        <v>211</v>
      </c>
    </row>
    <row r="2551" spans="4:16" x14ac:dyDescent="0.25">
      <c r="D2551">
        <v>2025</v>
      </c>
      <c r="E2551" t="s">
        <v>279</v>
      </c>
      <c r="F2551" t="s">
        <v>286</v>
      </c>
      <c r="G2551">
        <v>211</v>
      </c>
      <c r="I2551">
        <f t="shared" si="168"/>
        <v>0</v>
      </c>
      <c r="J2551">
        <f t="shared" si="168"/>
        <v>0</v>
      </c>
      <c r="K2551">
        <f t="shared" si="168"/>
        <v>0</v>
      </c>
      <c r="M2551" t="str" cm="1">
        <f t="array" ref="M2551">IFERROR(INDEX($I$2:$K$2,0,MATCH(TRUE,I2551:K2551,0)),E2551)</f>
        <v>Coal</v>
      </c>
      <c r="O2551" t="str">
        <f t="shared" si="166"/>
        <v>Coal_2025</v>
      </c>
      <c r="P2551">
        <f t="shared" si="167"/>
        <v>211</v>
      </c>
    </row>
    <row r="2552" spans="4:16" x14ac:dyDescent="0.25">
      <c r="D2552">
        <v>2021</v>
      </c>
      <c r="E2552" t="s">
        <v>279</v>
      </c>
      <c r="F2552" t="s">
        <v>287</v>
      </c>
      <c r="G2552">
        <v>302</v>
      </c>
      <c r="I2552">
        <f t="shared" si="168"/>
        <v>0</v>
      </c>
      <c r="J2552">
        <f t="shared" si="168"/>
        <v>0</v>
      </c>
      <c r="K2552">
        <f t="shared" si="168"/>
        <v>0</v>
      </c>
      <c r="M2552" t="str" cm="1">
        <f t="array" ref="M2552">IFERROR(INDEX($I$2:$K$2,0,MATCH(TRUE,I2552:K2552,0)),E2552)</f>
        <v>Coal</v>
      </c>
      <c r="O2552" t="str">
        <f t="shared" si="166"/>
        <v>Coal_2021</v>
      </c>
      <c r="P2552">
        <f t="shared" si="167"/>
        <v>302</v>
      </c>
    </row>
    <row r="2553" spans="4:16" x14ac:dyDescent="0.25">
      <c r="D2553">
        <v>2022</v>
      </c>
      <c r="E2553" t="s">
        <v>279</v>
      </c>
      <c r="F2553" t="s">
        <v>287</v>
      </c>
      <c r="G2553">
        <v>302</v>
      </c>
      <c r="I2553">
        <f t="shared" si="168"/>
        <v>0</v>
      </c>
      <c r="J2553">
        <f t="shared" si="168"/>
        <v>0</v>
      </c>
      <c r="K2553">
        <f t="shared" si="168"/>
        <v>0</v>
      </c>
      <c r="M2553" t="str" cm="1">
        <f t="array" ref="M2553">IFERROR(INDEX($I$2:$K$2,0,MATCH(TRUE,I2553:K2553,0)),E2553)</f>
        <v>Coal</v>
      </c>
      <c r="O2553" t="str">
        <f t="shared" si="166"/>
        <v>Coal_2022</v>
      </c>
      <c r="P2553">
        <f t="shared" si="167"/>
        <v>302</v>
      </c>
    </row>
    <row r="2554" spans="4:16" x14ac:dyDescent="0.25">
      <c r="D2554">
        <v>2023</v>
      </c>
      <c r="E2554" t="s">
        <v>279</v>
      </c>
      <c r="F2554" t="s">
        <v>287</v>
      </c>
      <c r="G2554">
        <v>302</v>
      </c>
      <c r="I2554">
        <f t="shared" si="168"/>
        <v>0</v>
      </c>
      <c r="J2554">
        <f t="shared" si="168"/>
        <v>0</v>
      </c>
      <c r="K2554">
        <f t="shared" si="168"/>
        <v>0</v>
      </c>
      <c r="M2554" t="str" cm="1">
        <f t="array" ref="M2554">IFERROR(INDEX($I$2:$K$2,0,MATCH(TRUE,I2554:K2554,0)),E2554)</f>
        <v>Coal</v>
      </c>
      <c r="O2554" t="str">
        <f t="shared" si="166"/>
        <v>Coal_2023</v>
      </c>
      <c r="P2554">
        <f t="shared" si="167"/>
        <v>302</v>
      </c>
    </row>
    <row r="2555" spans="4:16" x14ac:dyDescent="0.25">
      <c r="D2555">
        <v>2024</v>
      </c>
      <c r="E2555" t="s">
        <v>279</v>
      </c>
      <c r="F2555" t="s">
        <v>287</v>
      </c>
      <c r="G2555">
        <v>302</v>
      </c>
      <c r="I2555">
        <f t="shared" si="168"/>
        <v>0</v>
      </c>
      <c r="J2555">
        <f t="shared" si="168"/>
        <v>0</v>
      </c>
      <c r="K2555">
        <f t="shared" si="168"/>
        <v>0</v>
      </c>
      <c r="M2555" t="str" cm="1">
        <f t="array" ref="M2555">IFERROR(INDEX($I$2:$K$2,0,MATCH(TRUE,I2555:K2555,0)),E2555)</f>
        <v>Coal</v>
      </c>
      <c r="O2555" t="str">
        <f t="shared" si="166"/>
        <v>Coal_2024</v>
      </c>
      <c r="P2555">
        <f t="shared" si="167"/>
        <v>302</v>
      </c>
    </row>
    <row r="2556" spans="4:16" x14ac:dyDescent="0.25">
      <c r="D2556">
        <v>2025</v>
      </c>
      <c r="E2556" t="s">
        <v>279</v>
      </c>
      <c r="F2556" t="s">
        <v>287</v>
      </c>
      <c r="G2556">
        <v>302</v>
      </c>
      <c r="I2556">
        <f t="shared" si="168"/>
        <v>0</v>
      </c>
      <c r="J2556">
        <f t="shared" si="168"/>
        <v>0</v>
      </c>
      <c r="K2556">
        <f t="shared" si="168"/>
        <v>0</v>
      </c>
      <c r="M2556" t="str" cm="1">
        <f t="array" ref="M2556">IFERROR(INDEX($I$2:$K$2,0,MATCH(TRUE,I2556:K2556,0)),E2556)</f>
        <v>Coal</v>
      </c>
      <c r="O2556" t="str">
        <f t="shared" si="166"/>
        <v>Coal_2025</v>
      </c>
      <c r="P2556">
        <f t="shared" si="167"/>
        <v>302</v>
      </c>
    </row>
    <row r="2557" spans="4:16" x14ac:dyDescent="0.25">
      <c r="D2557">
        <v>2021</v>
      </c>
      <c r="E2557" t="s">
        <v>279</v>
      </c>
      <c r="F2557" t="s">
        <v>288</v>
      </c>
      <c r="G2557">
        <v>43.3</v>
      </c>
      <c r="I2557">
        <f t="shared" si="168"/>
        <v>0</v>
      </c>
      <c r="J2557">
        <f t="shared" si="168"/>
        <v>0</v>
      </c>
      <c r="K2557">
        <f t="shared" si="168"/>
        <v>0</v>
      </c>
      <c r="M2557" t="str" cm="1">
        <f t="array" ref="M2557">IFERROR(INDEX($I$2:$K$2,0,MATCH(TRUE,I2557:K2557,0)),E2557)</f>
        <v>Coal</v>
      </c>
      <c r="O2557" t="str">
        <f t="shared" si="166"/>
        <v>Coal_2021</v>
      </c>
      <c r="P2557">
        <f t="shared" si="167"/>
        <v>43.3</v>
      </c>
    </row>
    <row r="2558" spans="4:16" x14ac:dyDescent="0.25">
      <c r="D2558">
        <v>2022</v>
      </c>
      <c r="E2558" t="s">
        <v>279</v>
      </c>
      <c r="F2558" t="s">
        <v>288</v>
      </c>
      <c r="G2558">
        <v>43.3</v>
      </c>
      <c r="I2558">
        <f t="shared" si="168"/>
        <v>0</v>
      </c>
      <c r="J2558">
        <f t="shared" si="168"/>
        <v>0</v>
      </c>
      <c r="K2558">
        <f t="shared" si="168"/>
        <v>0</v>
      </c>
      <c r="M2558" t="str" cm="1">
        <f t="array" ref="M2558">IFERROR(INDEX($I$2:$K$2,0,MATCH(TRUE,I2558:K2558,0)),E2558)</f>
        <v>Coal</v>
      </c>
      <c r="O2558" t="str">
        <f t="shared" si="166"/>
        <v>Coal_2022</v>
      </c>
      <c r="P2558">
        <f t="shared" si="167"/>
        <v>43.3</v>
      </c>
    </row>
    <row r="2559" spans="4:16" x14ac:dyDescent="0.25">
      <c r="D2559">
        <v>2021</v>
      </c>
      <c r="E2559" t="s">
        <v>279</v>
      </c>
      <c r="F2559" t="s">
        <v>289</v>
      </c>
      <c r="G2559">
        <v>70</v>
      </c>
      <c r="I2559">
        <f t="shared" si="168"/>
        <v>0</v>
      </c>
      <c r="J2559">
        <f t="shared" si="168"/>
        <v>0</v>
      </c>
      <c r="K2559">
        <f t="shared" si="168"/>
        <v>0</v>
      </c>
      <c r="M2559" t="str" cm="1">
        <f t="array" ref="M2559">IFERROR(INDEX($I$2:$K$2,0,MATCH(TRUE,I2559:K2559,0)),E2559)</f>
        <v>Coal</v>
      </c>
      <c r="O2559" t="str">
        <f t="shared" si="166"/>
        <v>Coal_2021</v>
      </c>
      <c r="P2559">
        <f t="shared" si="167"/>
        <v>70</v>
      </c>
    </row>
    <row r="2560" spans="4:16" x14ac:dyDescent="0.25">
      <c r="D2560">
        <v>2022</v>
      </c>
      <c r="E2560" t="s">
        <v>279</v>
      </c>
      <c r="F2560" t="s">
        <v>289</v>
      </c>
      <c r="G2560">
        <v>70</v>
      </c>
      <c r="I2560">
        <f t="shared" si="168"/>
        <v>0</v>
      </c>
      <c r="J2560">
        <f t="shared" si="168"/>
        <v>0</v>
      </c>
      <c r="K2560">
        <f t="shared" si="168"/>
        <v>0</v>
      </c>
      <c r="M2560" t="str" cm="1">
        <f t="array" ref="M2560">IFERROR(INDEX($I$2:$K$2,0,MATCH(TRUE,I2560:K2560,0)),E2560)</f>
        <v>Coal</v>
      </c>
      <c r="O2560" t="str">
        <f t="shared" si="166"/>
        <v>Coal_2022</v>
      </c>
      <c r="P2560">
        <f t="shared" si="167"/>
        <v>70</v>
      </c>
    </row>
    <row r="2561" spans="4:16" x14ac:dyDescent="0.25">
      <c r="D2561">
        <v>2021</v>
      </c>
      <c r="E2561" t="s">
        <v>279</v>
      </c>
      <c r="F2561" t="s">
        <v>290</v>
      </c>
      <c r="G2561">
        <v>29</v>
      </c>
      <c r="I2561">
        <f t="shared" si="168"/>
        <v>0</v>
      </c>
      <c r="J2561">
        <f t="shared" si="168"/>
        <v>0</v>
      </c>
      <c r="K2561">
        <f t="shared" si="168"/>
        <v>0</v>
      </c>
      <c r="M2561" t="str" cm="1">
        <f t="array" ref="M2561">IFERROR(INDEX($I$2:$K$2,0,MATCH(TRUE,I2561:K2561,0)),E2561)</f>
        <v>Coal</v>
      </c>
      <c r="O2561" t="str">
        <f t="shared" si="166"/>
        <v>Coal_2021</v>
      </c>
      <c r="P2561">
        <f t="shared" si="167"/>
        <v>29</v>
      </c>
    </row>
    <row r="2562" spans="4:16" x14ac:dyDescent="0.25">
      <c r="D2562">
        <v>2022</v>
      </c>
      <c r="E2562" t="s">
        <v>279</v>
      </c>
      <c r="F2562" t="s">
        <v>290</v>
      </c>
      <c r="G2562">
        <v>29</v>
      </c>
      <c r="I2562">
        <f t="shared" si="168"/>
        <v>0</v>
      </c>
      <c r="J2562">
        <f t="shared" si="168"/>
        <v>0</v>
      </c>
      <c r="K2562">
        <f t="shared" si="168"/>
        <v>0</v>
      </c>
      <c r="M2562" t="str" cm="1">
        <f t="array" ref="M2562">IFERROR(INDEX($I$2:$K$2,0,MATCH(TRUE,I2562:K2562,0)),E2562)</f>
        <v>Coal</v>
      </c>
      <c r="O2562" t="str">
        <f t="shared" si="166"/>
        <v>Coal_2022</v>
      </c>
      <c r="P2562">
        <f t="shared" si="167"/>
        <v>29</v>
      </c>
    </row>
    <row r="2563" spans="4:16" x14ac:dyDescent="0.25">
      <c r="D2563">
        <v>2021</v>
      </c>
      <c r="E2563" t="s">
        <v>279</v>
      </c>
      <c r="F2563" t="s">
        <v>291</v>
      </c>
      <c r="G2563">
        <v>27</v>
      </c>
      <c r="I2563">
        <f t="shared" si="168"/>
        <v>0</v>
      </c>
      <c r="J2563">
        <f t="shared" si="168"/>
        <v>0</v>
      </c>
      <c r="K2563">
        <f t="shared" si="168"/>
        <v>0</v>
      </c>
      <c r="M2563" t="str" cm="1">
        <f t="array" ref="M2563">IFERROR(INDEX($I$2:$K$2,0,MATCH(TRUE,I2563:K2563,0)),E2563)</f>
        <v>Coal</v>
      </c>
      <c r="O2563" t="str">
        <f t="shared" si="166"/>
        <v>Coal_2021</v>
      </c>
      <c r="P2563">
        <f t="shared" si="167"/>
        <v>27</v>
      </c>
    </row>
    <row r="2564" spans="4:16" x14ac:dyDescent="0.25">
      <c r="D2564">
        <v>2022</v>
      </c>
      <c r="E2564" t="s">
        <v>279</v>
      </c>
      <c r="F2564" t="s">
        <v>291</v>
      </c>
      <c r="G2564">
        <v>27</v>
      </c>
      <c r="I2564">
        <f t="shared" si="168"/>
        <v>0</v>
      </c>
      <c r="J2564">
        <f t="shared" si="168"/>
        <v>0</v>
      </c>
      <c r="K2564">
        <f t="shared" si="168"/>
        <v>0</v>
      </c>
      <c r="M2564" t="str" cm="1">
        <f t="array" ref="M2564">IFERROR(INDEX($I$2:$K$2,0,MATCH(TRUE,I2564:K2564,0)),E2564)</f>
        <v>Coal</v>
      </c>
      <c r="O2564" t="str">
        <f t="shared" si="166"/>
        <v>Coal_2022</v>
      </c>
      <c r="P2564">
        <f t="shared" si="167"/>
        <v>27</v>
      </c>
    </row>
    <row r="2565" spans="4:16" x14ac:dyDescent="0.25">
      <c r="D2565">
        <v>2023</v>
      </c>
      <c r="E2565" t="s">
        <v>279</v>
      </c>
      <c r="F2565" t="s">
        <v>291</v>
      </c>
      <c r="G2565">
        <v>27</v>
      </c>
      <c r="I2565">
        <f t="shared" si="168"/>
        <v>0</v>
      </c>
      <c r="J2565">
        <f t="shared" si="168"/>
        <v>0</v>
      </c>
      <c r="K2565">
        <f t="shared" si="168"/>
        <v>0</v>
      </c>
      <c r="M2565" t="str" cm="1">
        <f t="array" ref="M2565">IFERROR(INDEX($I$2:$K$2,0,MATCH(TRUE,I2565:K2565,0)),E2565)</f>
        <v>Coal</v>
      </c>
      <c r="O2565" t="str">
        <f t="shared" si="166"/>
        <v>Coal_2023</v>
      </c>
      <c r="P2565">
        <f t="shared" si="167"/>
        <v>27</v>
      </c>
    </row>
    <row r="2566" spans="4:16" x14ac:dyDescent="0.25">
      <c r="D2566">
        <v>2024</v>
      </c>
      <c r="E2566" t="s">
        <v>279</v>
      </c>
      <c r="F2566" t="s">
        <v>291</v>
      </c>
      <c r="G2566">
        <v>27</v>
      </c>
      <c r="I2566">
        <f t="shared" si="168"/>
        <v>0</v>
      </c>
      <c r="J2566">
        <f t="shared" si="168"/>
        <v>0</v>
      </c>
      <c r="K2566">
        <f t="shared" si="168"/>
        <v>0</v>
      </c>
      <c r="M2566" t="str" cm="1">
        <f t="array" ref="M2566">IFERROR(INDEX($I$2:$K$2,0,MATCH(TRUE,I2566:K2566,0)),E2566)</f>
        <v>Coal</v>
      </c>
      <c r="O2566" t="str">
        <f t="shared" si="166"/>
        <v>Coal_2024</v>
      </c>
      <c r="P2566">
        <f t="shared" si="167"/>
        <v>27</v>
      </c>
    </row>
    <row r="2567" spans="4:16" x14ac:dyDescent="0.25">
      <c r="D2567">
        <v>2021</v>
      </c>
      <c r="E2567" t="s">
        <v>279</v>
      </c>
      <c r="F2567" t="s">
        <v>292</v>
      </c>
      <c r="G2567">
        <v>33</v>
      </c>
      <c r="I2567">
        <f t="shared" si="168"/>
        <v>0</v>
      </c>
      <c r="J2567">
        <f t="shared" si="168"/>
        <v>0</v>
      </c>
      <c r="K2567">
        <f t="shared" si="168"/>
        <v>0</v>
      </c>
      <c r="M2567" t="str" cm="1">
        <f t="array" ref="M2567">IFERROR(INDEX($I$2:$K$2,0,MATCH(TRUE,I2567:K2567,0)),E2567)</f>
        <v>Coal</v>
      </c>
      <c r="O2567" t="str">
        <f t="shared" si="166"/>
        <v>Coal_2021</v>
      </c>
      <c r="P2567">
        <f t="shared" si="167"/>
        <v>33</v>
      </c>
    </row>
    <row r="2568" spans="4:16" x14ac:dyDescent="0.25">
      <c r="D2568">
        <v>2022</v>
      </c>
      <c r="E2568" t="s">
        <v>279</v>
      </c>
      <c r="F2568" t="s">
        <v>292</v>
      </c>
      <c r="G2568">
        <v>33</v>
      </c>
      <c r="I2568">
        <f t="shared" si="168"/>
        <v>0</v>
      </c>
      <c r="J2568">
        <f t="shared" si="168"/>
        <v>0</v>
      </c>
      <c r="K2568">
        <f t="shared" si="168"/>
        <v>0</v>
      </c>
      <c r="M2568" t="str" cm="1">
        <f t="array" ref="M2568">IFERROR(INDEX($I$2:$K$2,0,MATCH(TRUE,I2568:K2568,0)),E2568)</f>
        <v>Coal</v>
      </c>
      <c r="O2568" t="str">
        <f t="shared" si="166"/>
        <v>Coal_2022</v>
      </c>
      <c r="P2568">
        <f t="shared" si="167"/>
        <v>33</v>
      </c>
    </row>
    <row r="2569" spans="4:16" x14ac:dyDescent="0.25">
      <c r="D2569">
        <v>2021</v>
      </c>
      <c r="E2569" t="s">
        <v>279</v>
      </c>
      <c r="F2569" t="s">
        <v>293</v>
      </c>
      <c r="G2569">
        <v>61.5</v>
      </c>
      <c r="I2569">
        <f t="shared" si="168"/>
        <v>0</v>
      </c>
      <c r="J2569">
        <f t="shared" si="168"/>
        <v>0</v>
      </c>
      <c r="K2569">
        <f t="shared" si="168"/>
        <v>0</v>
      </c>
      <c r="M2569" t="str" cm="1">
        <f t="array" ref="M2569">IFERROR(INDEX($I$2:$K$2,0,MATCH(TRUE,I2569:K2569,0)),E2569)</f>
        <v>Coal</v>
      </c>
      <c r="O2569" t="str">
        <f t="shared" si="166"/>
        <v>Coal_2021</v>
      </c>
      <c r="P2569">
        <f t="shared" si="167"/>
        <v>61.5</v>
      </c>
    </row>
    <row r="2570" spans="4:16" x14ac:dyDescent="0.25">
      <c r="D2570">
        <v>2022</v>
      </c>
      <c r="E2570" t="s">
        <v>279</v>
      </c>
      <c r="F2570" t="s">
        <v>293</v>
      </c>
      <c r="G2570">
        <v>61.5</v>
      </c>
      <c r="I2570">
        <f t="shared" si="168"/>
        <v>0</v>
      </c>
      <c r="J2570">
        <f t="shared" si="168"/>
        <v>0</v>
      </c>
      <c r="K2570">
        <f t="shared" si="168"/>
        <v>0</v>
      </c>
      <c r="M2570" t="str" cm="1">
        <f t="array" ref="M2570">IFERROR(INDEX($I$2:$K$2,0,MATCH(TRUE,I2570:K2570,0)),E2570)</f>
        <v>Coal</v>
      </c>
      <c r="O2570" t="str">
        <f t="shared" si="166"/>
        <v>Coal_2022</v>
      </c>
      <c r="P2570">
        <f t="shared" si="167"/>
        <v>61.5</v>
      </c>
    </row>
    <row r="2571" spans="4:16" x14ac:dyDescent="0.25">
      <c r="D2571">
        <v>2023</v>
      </c>
      <c r="E2571" t="s">
        <v>279</v>
      </c>
      <c r="F2571" t="s">
        <v>293</v>
      </c>
      <c r="G2571">
        <v>61.5</v>
      </c>
      <c r="I2571">
        <f t="shared" si="168"/>
        <v>0</v>
      </c>
      <c r="J2571">
        <f t="shared" si="168"/>
        <v>0</v>
      </c>
      <c r="K2571">
        <f t="shared" si="168"/>
        <v>0</v>
      </c>
      <c r="M2571" t="str" cm="1">
        <f t="array" ref="M2571">IFERROR(INDEX($I$2:$K$2,0,MATCH(TRUE,I2571:K2571,0)),E2571)</f>
        <v>Coal</v>
      </c>
      <c r="O2571" t="str">
        <f t="shared" si="166"/>
        <v>Coal_2023</v>
      </c>
      <c r="P2571">
        <f t="shared" si="167"/>
        <v>61.5</v>
      </c>
    </row>
    <row r="2572" spans="4:16" x14ac:dyDescent="0.25">
      <c r="D2572">
        <v>2024</v>
      </c>
      <c r="E2572" t="s">
        <v>279</v>
      </c>
      <c r="F2572" t="s">
        <v>293</v>
      </c>
      <c r="G2572">
        <v>61.5</v>
      </c>
      <c r="I2572">
        <f t="shared" si="168"/>
        <v>0</v>
      </c>
      <c r="J2572">
        <f t="shared" si="168"/>
        <v>0</v>
      </c>
      <c r="K2572">
        <f t="shared" si="168"/>
        <v>0</v>
      </c>
      <c r="M2572" t="str" cm="1">
        <f t="array" ref="M2572">IFERROR(INDEX($I$2:$K$2,0,MATCH(TRUE,I2572:K2572,0)),E2572)</f>
        <v>Coal</v>
      </c>
      <c r="O2572" t="str">
        <f t="shared" si="166"/>
        <v>Coal_2024</v>
      </c>
      <c r="P2572">
        <f t="shared" si="167"/>
        <v>61.5</v>
      </c>
    </row>
    <row r="2573" spans="4:16" x14ac:dyDescent="0.25">
      <c r="D2573">
        <v>2025</v>
      </c>
      <c r="E2573" t="s">
        <v>279</v>
      </c>
      <c r="F2573" t="s">
        <v>293</v>
      </c>
      <c r="G2573">
        <v>61.5</v>
      </c>
      <c r="I2573">
        <f t="shared" si="168"/>
        <v>0</v>
      </c>
      <c r="J2573">
        <f t="shared" si="168"/>
        <v>0</v>
      </c>
      <c r="K2573">
        <f t="shared" si="168"/>
        <v>0</v>
      </c>
      <c r="M2573" t="str" cm="1">
        <f t="array" ref="M2573">IFERROR(INDEX($I$2:$K$2,0,MATCH(TRUE,I2573:K2573,0)),E2573)</f>
        <v>Coal</v>
      </c>
      <c r="O2573" t="str">
        <f t="shared" si="166"/>
        <v>Coal_2025</v>
      </c>
      <c r="P2573">
        <f t="shared" si="167"/>
        <v>61.5</v>
      </c>
    </row>
    <row r="2574" spans="4:16" x14ac:dyDescent="0.25">
      <c r="D2574">
        <v>2021</v>
      </c>
      <c r="E2574" t="s">
        <v>279</v>
      </c>
      <c r="F2574" t="s">
        <v>294</v>
      </c>
      <c r="G2574">
        <v>61.5</v>
      </c>
      <c r="I2574">
        <f t="shared" si="168"/>
        <v>0</v>
      </c>
      <c r="J2574">
        <f t="shared" si="168"/>
        <v>0</v>
      </c>
      <c r="K2574">
        <f t="shared" si="168"/>
        <v>0</v>
      </c>
      <c r="M2574" t="str" cm="1">
        <f t="array" ref="M2574">IFERROR(INDEX($I$2:$K$2,0,MATCH(TRUE,I2574:K2574,0)),E2574)</f>
        <v>Coal</v>
      </c>
      <c r="O2574" t="str">
        <f t="shared" si="166"/>
        <v>Coal_2021</v>
      </c>
      <c r="P2574">
        <f t="shared" si="167"/>
        <v>61.5</v>
      </c>
    </row>
    <row r="2575" spans="4:16" x14ac:dyDescent="0.25">
      <c r="D2575">
        <v>2022</v>
      </c>
      <c r="E2575" t="s">
        <v>279</v>
      </c>
      <c r="F2575" t="s">
        <v>294</v>
      </c>
      <c r="G2575">
        <v>61.5</v>
      </c>
      <c r="I2575">
        <f t="shared" si="168"/>
        <v>0</v>
      </c>
      <c r="J2575">
        <f t="shared" si="168"/>
        <v>0</v>
      </c>
      <c r="K2575">
        <f t="shared" si="168"/>
        <v>0</v>
      </c>
      <c r="M2575" t="str" cm="1">
        <f t="array" ref="M2575">IFERROR(INDEX($I$2:$K$2,0,MATCH(TRUE,I2575:K2575,0)),E2575)</f>
        <v>Coal</v>
      </c>
      <c r="O2575" t="str">
        <f t="shared" si="166"/>
        <v>Coal_2022</v>
      </c>
      <c r="P2575">
        <f t="shared" si="167"/>
        <v>61.5</v>
      </c>
    </row>
    <row r="2576" spans="4:16" x14ac:dyDescent="0.25">
      <c r="D2576">
        <v>2023</v>
      </c>
      <c r="E2576" t="s">
        <v>279</v>
      </c>
      <c r="F2576" t="s">
        <v>294</v>
      </c>
      <c r="G2576">
        <v>61.5</v>
      </c>
      <c r="I2576">
        <f t="shared" si="168"/>
        <v>0</v>
      </c>
      <c r="J2576">
        <f t="shared" si="168"/>
        <v>0</v>
      </c>
      <c r="K2576">
        <f t="shared" si="168"/>
        <v>0</v>
      </c>
      <c r="M2576" t="str" cm="1">
        <f t="array" ref="M2576">IFERROR(INDEX($I$2:$K$2,0,MATCH(TRUE,I2576:K2576,0)),E2576)</f>
        <v>Coal</v>
      </c>
      <c r="O2576" t="str">
        <f t="shared" si="166"/>
        <v>Coal_2023</v>
      </c>
      <c r="P2576">
        <f t="shared" si="167"/>
        <v>61.5</v>
      </c>
    </row>
    <row r="2577" spans="4:16" x14ac:dyDescent="0.25">
      <c r="D2577">
        <v>2024</v>
      </c>
      <c r="E2577" t="s">
        <v>279</v>
      </c>
      <c r="F2577" t="s">
        <v>294</v>
      </c>
      <c r="G2577">
        <v>61.5</v>
      </c>
      <c r="I2577">
        <f t="shared" si="168"/>
        <v>0</v>
      </c>
      <c r="J2577">
        <f t="shared" si="168"/>
        <v>0</v>
      </c>
      <c r="K2577">
        <f t="shared" si="168"/>
        <v>0</v>
      </c>
      <c r="M2577" t="str" cm="1">
        <f t="array" ref="M2577">IFERROR(INDEX($I$2:$K$2,0,MATCH(TRUE,I2577:K2577,0)),E2577)</f>
        <v>Coal</v>
      </c>
      <c r="O2577" t="str">
        <f t="shared" si="166"/>
        <v>Coal_2024</v>
      </c>
      <c r="P2577">
        <f t="shared" si="167"/>
        <v>61.5</v>
      </c>
    </row>
    <row r="2578" spans="4:16" x14ac:dyDescent="0.25">
      <c r="D2578">
        <v>2025</v>
      </c>
      <c r="E2578" t="s">
        <v>279</v>
      </c>
      <c r="F2578" t="s">
        <v>294</v>
      </c>
      <c r="G2578">
        <v>61.5</v>
      </c>
      <c r="I2578">
        <f t="shared" si="168"/>
        <v>0</v>
      </c>
      <c r="J2578">
        <f t="shared" si="168"/>
        <v>0</v>
      </c>
      <c r="K2578">
        <f t="shared" si="168"/>
        <v>0</v>
      </c>
      <c r="M2578" t="str" cm="1">
        <f t="array" ref="M2578">IFERROR(INDEX($I$2:$K$2,0,MATCH(TRUE,I2578:K2578,0)),E2578)</f>
        <v>Coal</v>
      </c>
      <c r="O2578" t="str">
        <f t="shared" si="166"/>
        <v>Coal_2025</v>
      </c>
      <c r="P2578">
        <f t="shared" si="167"/>
        <v>61.5</v>
      </c>
    </row>
    <row r="2579" spans="4:16" x14ac:dyDescent="0.25">
      <c r="D2579">
        <v>2021</v>
      </c>
      <c r="E2579" t="s">
        <v>279</v>
      </c>
      <c r="F2579" t="s">
        <v>295</v>
      </c>
      <c r="G2579">
        <v>778</v>
      </c>
      <c r="I2579">
        <f t="shared" si="168"/>
        <v>0</v>
      </c>
      <c r="J2579">
        <f t="shared" si="168"/>
        <v>0</v>
      </c>
      <c r="K2579">
        <f t="shared" si="168"/>
        <v>0</v>
      </c>
      <c r="M2579" t="str" cm="1">
        <f t="array" ref="M2579">IFERROR(INDEX($I$2:$K$2,0,MATCH(TRUE,I2579:K2579,0)),E2579)</f>
        <v>Coal</v>
      </c>
      <c r="O2579" t="str">
        <f t="shared" ref="O2579:O2642" si="169">M2579&amp;"_"&amp;D2579</f>
        <v>Coal_2021</v>
      </c>
      <c r="P2579">
        <f t="shared" ref="P2579:P2642" si="170">G2579</f>
        <v>778</v>
      </c>
    </row>
    <row r="2580" spans="4:16" x14ac:dyDescent="0.25">
      <c r="D2580">
        <v>2022</v>
      </c>
      <c r="E2580" t="s">
        <v>279</v>
      </c>
      <c r="F2580" t="s">
        <v>295</v>
      </c>
      <c r="G2580">
        <v>778</v>
      </c>
      <c r="I2580">
        <f t="shared" si="168"/>
        <v>0</v>
      </c>
      <c r="J2580">
        <f t="shared" si="168"/>
        <v>0</v>
      </c>
      <c r="K2580">
        <f t="shared" si="168"/>
        <v>0</v>
      </c>
      <c r="M2580" t="str" cm="1">
        <f t="array" ref="M2580">IFERROR(INDEX($I$2:$K$2,0,MATCH(TRUE,I2580:K2580,0)),E2580)</f>
        <v>Coal</v>
      </c>
      <c r="O2580" t="str">
        <f t="shared" si="169"/>
        <v>Coal_2022</v>
      </c>
      <c r="P2580">
        <f t="shared" si="170"/>
        <v>778</v>
      </c>
    </row>
    <row r="2581" spans="4:16" x14ac:dyDescent="0.25">
      <c r="D2581">
        <v>2023</v>
      </c>
      <c r="E2581" t="s">
        <v>279</v>
      </c>
      <c r="F2581" t="s">
        <v>295</v>
      </c>
      <c r="G2581">
        <v>778</v>
      </c>
      <c r="I2581">
        <f t="shared" ref="I2581:K2644" si="171">IFERROR(FIND(I$2,$E2581,1)&gt;0,0)</f>
        <v>0</v>
      </c>
      <c r="J2581">
        <f t="shared" si="171"/>
        <v>0</v>
      </c>
      <c r="K2581">
        <f t="shared" si="171"/>
        <v>0</v>
      </c>
      <c r="M2581" t="str" cm="1">
        <f t="array" ref="M2581">IFERROR(INDEX($I$2:$K$2,0,MATCH(TRUE,I2581:K2581,0)),E2581)</f>
        <v>Coal</v>
      </c>
      <c r="O2581" t="str">
        <f t="shared" si="169"/>
        <v>Coal_2023</v>
      </c>
      <c r="P2581">
        <f t="shared" si="170"/>
        <v>778</v>
      </c>
    </row>
    <row r="2582" spans="4:16" x14ac:dyDescent="0.25">
      <c r="D2582">
        <v>2024</v>
      </c>
      <c r="E2582" t="s">
        <v>279</v>
      </c>
      <c r="F2582" t="s">
        <v>295</v>
      </c>
      <c r="G2582">
        <v>778</v>
      </c>
      <c r="I2582">
        <f t="shared" si="171"/>
        <v>0</v>
      </c>
      <c r="J2582">
        <f t="shared" si="171"/>
        <v>0</v>
      </c>
      <c r="K2582">
        <f t="shared" si="171"/>
        <v>0</v>
      </c>
      <c r="M2582" t="str" cm="1">
        <f t="array" ref="M2582">IFERROR(INDEX($I$2:$K$2,0,MATCH(TRUE,I2582:K2582,0)),E2582)</f>
        <v>Coal</v>
      </c>
      <c r="O2582" t="str">
        <f t="shared" si="169"/>
        <v>Coal_2024</v>
      </c>
      <c r="P2582">
        <f t="shared" si="170"/>
        <v>778</v>
      </c>
    </row>
    <row r="2583" spans="4:16" x14ac:dyDescent="0.25">
      <c r="D2583">
        <v>2025</v>
      </c>
      <c r="E2583" t="s">
        <v>279</v>
      </c>
      <c r="F2583" t="s">
        <v>295</v>
      </c>
      <c r="G2583">
        <v>778</v>
      </c>
      <c r="I2583">
        <f t="shared" si="171"/>
        <v>0</v>
      </c>
      <c r="J2583">
        <f t="shared" si="171"/>
        <v>0</v>
      </c>
      <c r="K2583">
        <f t="shared" si="171"/>
        <v>0</v>
      </c>
      <c r="M2583" t="str" cm="1">
        <f t="array" ref="M2583">IFERROR(INDEX($I$2:$K$2,0,MATCH(TRUE,I2583:K2583,0)),E2583)</f>
        <v>Coal</v>
      </c>
      <c r="O2583" t="str">
        <f t="shared" si="169"/>
        <v>Coal_2025</v>
      </c>
      <c r="P2583">
        <f t="shared" si="170"/>
        <v>778</v>
      </c>
    </row>
    <row r="2584" spans="4:16" x14ac:dyDescent="0.25">
      <c r="D2584">
        <v>2026</v>
      </c>
      <c r="E2584" t="s">
        <v>279</v>
      </c>
      <c r="F2584" t="s">
        <v>295</v>
      </c>
      <c r="G2584">
        <v>778</v>
      </c>
      <c r="I2584">
        <f t="shared" si="171"/>
        <v>0</v>
      </c>
      <c r="J2584">
        <f t="shared" si="171"/>
        <v>0</v>
      </c>
      <c r="K2584">
        <f t="shared" si="171"/>
        <v>0</v>
      </c>
      <c r="M2584" t="str" cm="1">
        <f t="array" ref="M2584">IFERROR(INDEX($I$2:$K$2,0,MATCH(TRUE,I2584:K2584,0)),E2584)</f>
        <v>Coal</v>
      </c>
      <c r="O2584" t="str">
        <f t="shared" si="169"/>
        <v>Coal_2026</v>
      </c>
      <c r="P2584">
        <f t="shared" si="170"/>
        <v>778</v>
      </c>
    </row>
    <row r="2585" spans="4:16" x14ac:dyDescent="0.25">
      <c r="D2585">
        <v>2027</v>
      </c>
      <c r="E2585" t="s">
        <v>279</v>
      </c>
      <c r="F2585" t="s">
        <v>295</v>
      </c>
      <c r="G2585">
        <v>778</v>
      </c>
      <c r="I2585">
        <f t="shared" si="171"/>
        <v>0</v>
      </c>
      <c r="J2585">
        <f t="shared" si="171"/>
        <v>0</v>
      </c>
      <c r="K2585">
        <f t="shared" si="171"/>
        <v>0</v>
      </c>
      <c r="M2585" t="str" cm="1">
        <f t="array" ref="M2585">IFERROR(INDEX($I$2:$K$2,0,MATCH(TRUE,I2585:K2585,0)),E2585)</f>
        <v>Coal</v>
      </c>
      <c r="O2585" t="str">
        <f t="shared" si="169"/>
        <v>Coal_2027</v>
      </c>
      <c r="P2585">
        <f t="shared" si="170"/>
        <v>778</v>
      </c>
    </row>
    <row r="2586" spans="4:16" x14ac:dyDescent="0.25">
      <c r="D2586">
        <v>2028</v>
      </c>
      <c r="E2586" t="s">
        <v>279</v>
      </c>
      <c r="F2586" t="s">
        <v>295</v>
      </c>
      <c r="G2586">
        <v>778</v>
      </c>
      <c r="I2586">
        <f t="shared" si="171"/>
        <v>0</v>
      </c>
      <c r="J2586">
        <f t="shared" si="171"/>
        <v>0</v>
      </c>
      <c r="K2586">
        <f t="shared" si="171"/>
        <v>0</v>
      </c>
      <c r="M2586" t="str" cm="1">
        <f t="array" ref="M2586">IFERROR(INDEX($I$2:$K$2,0,MATCH(TRUE,I2586:K2586,0)),E2586)</f>
        <v>Coal</v>
      </c>
      <c r="O2586" t="str">
        <f t="shared" si="169"/>
        <v>Coal_2028</v>
      </c>
      <c r="P2586">
        <f t="shared" si="170"/>
        <v>778</v>
      </c>
    </row>
    <row r="2587" spans="4:16" x14ac:dyDescent="0.25">
      <c r="D2587">
        <v>2029</v>
      </c>
      <c r="E2587" t="s">
        <v>279</v>
      </c>
      <c r="F2587" t="s">
        <v>295</v>
      </c>
      <c r="G2587">
        <v>778</v>
      </c>
      <c r="I2587">
        <f t="shared" si="171"/>
        <v>0</v>
      </c>
      <c r="J2587">
        <f t="shared" si="171"/>
        <v>0</v>
      </c>
      <c r="K2587">
        <f t="shared" si="171"/>
        <v>0</v>
      </c>
      <c r="M2587" t="str" cm="1">
        <f t="array" ref="M2587">IFERROR(INDEX($I$2:$K$2,0,MATCH(TRUE,I2587:K2587,0)),E2587)</f>
        <v>Coal</v>
      </c>
      <c r="O2587" t="str">
        <f t="shared" si="169"/>
        <v>Coal_2029</v>
      </c>
      <c r="P2587">
        <f t="shared" si="170"/>
        <v>778</v>
      </c>
    </row>
    <row r="2588" spans="4:16" x14ac:dyDescent="0.25">
      <c r="D2588">
        <v>2030</v>
      </c>
      <c r="E2588" t="s">
        <v>279</v>
      </c>
      <c r="F2588" t="s">
        <v>295</v>
      </c>
      <c r="G2588">
        <v>778</v>
      </c>
      <c r="I2588">
        <f t="shared" si="171"/>
        <v>0</v>
      </c>
      <c r="J2588">
        <f t="shared" si="171"/>
        <v>0</v>
      </c>
      <c r="K2588">
        <f t="shared" si="171"/>
        <v>0</v>
      </c>
      <c r="M2588" t="str" cm="1">
        <f t="array" ref="M2588">IFERROR(INDEX($I$2:$K$2,0,MATCH(TRUE,I2588:K2588,0)),E2588)</f>
        <v>Coal</v>
      </c>
      <c r="O2588" t="str">
        <f t="shared" si="169"/>
        <v>Coal_2030</v>
      </c>
      <c r="P2588">
        <f t="shared" si="170"/>
        <v>778</v>
      </c>
    </row>
    <row r="2589" spans="4:16" x14ac:dyDescent="0.25">
      <c r="D2589">
        <v>2031</v>
      </c>
      <c r="E2589" t="s">
        <v>279</v>
      </c>
      <c r="F2589" t="s">
        <v>295</v>
      </c>
      <c r="G2589">
        <v>0</v>
      </c>
      <c r="I2589">
        <f t="shared" si="171"/>
        <v>0</v>
      </c>
      <c r="J2589">
        <f t="shared" si="171"/>
        <v>0</v>
      </c>
      <c r="K2589">
        <f t="shared" si="171"/>
        <v>0</v>
      </c>
      <c r="M2589" t="str" cm="1">
        <f t="array" ref="M2589">IFERROR(INDEX($I$2:$K$2,0,MATCH(TRUE,I2589:K2589,0)),E2589)</f>
        <v>Coal</v>
      </c>
      <c r="O2589" t="str">
        <f t="shared" si="169"/>
        <v>Coal_2031</v>
      </c>
      <c r="P2589">
        <f t="shared" si="170"/>
        <v>0</v>
      </c>
    </row>
    <row r="2590" spans="4:16" x14ac:dyDescent="0.25">
      <c r="D2590">
        <v>2021</v>
      </c>
      <c r="E2590" t="s">
        <v>279</v>
      </c>
      <c r="F2590" t="s">
        <v>296</v>
      </c>
      <c r="G2590">
        <v>449</v>
      </c>
      <c r="I2590">
        <f t="shared" si="171"/>
        <v>0</v>
      </c>
      <c r="J2590">
        <f t="shared" si="171"/>
        <v>0</v>
      </c>
      <c r="K2590">
        <f t="shared" si="171"/>
        <v>0</v>
      </c>
      <c r="M2590" t="str" cm="1">
        <f t="array" ref="M2590">IFERROR(INDEX($I$2:$K$2,0,MATCH(TRUE,I2590:K2590,0)),E2590)</f>
        <v>Coal</v>
      </c>
      <c r="O2590" t="str">
        <f t="shared" si="169"/>
        <v>Coal_2021</v>
      </c>
      <c r="P2590">
        <f t="shared" si="170"/>
        <v>449</v>
      </c>
    </row>
    <row r="2591" spans="4:16" x14ac:dyDescent="0.25">
      <c r="D2591">
        <v>2022</v>
      </c>
      <c r="E2591" t="s">
        <v>279</v>
      </c>
      <c r="F2591" t="s">
        <v>296</v>
      </c>
      <c r="G2591">
        <v>449</v>
      </c>
      <c r="I2591">
        <f t="shared" si="171"/>
        <v>0</v>
      </c>
      <c r="J2591">
        <f t="shared" si="171"/>
        <v>0</v>
      </c>
      <c r="K2591">
        <f t="shared" si="171"/>
        <v>0</v>
      </c>
      <c r="M2591" t="str" cm="1">
        <f t="array" ref="M2591">IFERROR(INDEX($I$2:$K$2,0,MATCH(TRUE,I2591:K2591,0)),E2591)</f>
        <v>Coal</v>
      </c>
      <c r="O2591" t="str">
        <f t="shared" si="169"/>
        <v>Coal_2022</v>
      </c>
      <c r="P2591">
        <f t="shared" si="170"/>
        <v>449</v>
      </c>
    </row>
    <row r="2592" spans="4:16" x14ac:dyDescent="0.25">
      <c r="D2592">
        <v>2021</v>
      </c>
      <c r="E2592" t="s">
        <v>279</v>
      </c>
      <c r="F2592" t="s">
        <v>297</v>
      </c>
      <c r="G2592">
        <v>66</v>
      </c>
      <c r="I2592">
        <f t="shared" si="171"/>
        <v>0</v>
      </c>
      <c r="J2592">
        <f t="shared" si="171"/>
        <v>0</v>
      </c>
      <c r="K2592">
        <f t="shared" si="171"/>
        <v>0</v>
      </c>
      <c r="M2592" t="str" cm="1">
        <f t="array" ref="M2592">IFERROR(INDEX($I$2:$K$2,0,MATCH(TRUE,I2592:K2592,0)),E2592)</f>
        <v>Coal</v>
      </c>
      <c r="O2592" t="str">
        <f t="shared" si="169"/>
        <v>Coal_2021</v>
      </c>
      <c r="P2592">
        <f t="shared" si="170"/>
        <v>66</v>
      </c>
    </row>
    <row r="2593" spans="4:16" x14ac:dyDescent="0.25">
      <c r="D2593">
        <v>2022</v>
      </c>
      <c r="E2593" t="s">
        <v>279</v>
      </c>
      <c r="F2593" t="s">
        <v>297</v>
      </c>
      <c r="G2593">
        <v>66</v>
      </c>
      <c r="I2593">
        <f t="shared" si="171"/>
        <v>0</v>
      </c>
      <c r="J2593">
        <f t="shared" si="171"/>
        <v>0</v>
      </c>
      <c r="K2593">
        <f t="shared" si="171"/>
        <v>0</v>
      </c>
      <c r="M2593" t="str" cm="1">
        <f t="array" ref="M2593">IFERROR(INDEX($I$2:$K$2,0,MATCH(TRUE,I2593:K2593,0)),E2593)</f>
        <v>Coal</v>
      </c>
      <c r="O2593" t="str">
        <f t="shared" si="169"/>
        <v>Coal_2022</v>
      </c>
      <c r="P2593">
        <f t="shared" si="170"/>
        <v>66</v>
      </c>
    </row>
    <row r="2594" spans="4:16" x14ac:dyDescent="0.25">
      <c r="D2594">
        <v>2023</v>
      </c>
      <c r="E2594" t="s">
        <v>279</v>
      </c>
      <c r="F2594" t="s">
        <v>297</v>
      </c>
      <c r="G2594">
        <v>66</v>
      </c>
      <c r="I2594">
        <f t="shared" si="171"/>
        <v>0</v>
      </c>
      <c r="J2594">
        <f t="shared" si="171"/>
        <v>0</v>
      </c>
      <c r="K2594">
        <f t="shared" si="171"/>
        <v>0</v>
      </c>
      <c r="M2594" t="str" cm="1">
        <f t="array" ref="M2594">IFERROR(INDEX($I$2:$K$2,0,MATCH(TRUE,I2594:K2594,0)),E2594)</f>
        <v>Coal</v>
      </c>
      <c r="O2594" t="str">
        <f t="shared" si="169"/>
        <v>Coal_2023</v>
      </c>
      <c r="P2594">
        <f t="shared" si="170"/>
        <v>66</v>
      </c>
    </row>
    <row r="2595" spans="4:16" x14ac:dyDescent="0.25">
      <c r="D2595">
        <v>2024</v>
      </c>
      <c r="E2595" t="s">
        <v>279</v>
      </c>
      <c r="F2595" t="s">
        <v>297</v>
      </c>
      <c r="G2595">
        <v>66</v>
      </c>
      <c r="I2595">
        <f t="shared" si="171"/>
        <v>0</v>
      </c>
      <c r="J2595">
        <f t="shared" si="171"/>
        <v>0</v>
      </c>
      <c r="K2595">
        <f t="shared" si="171"/>
        <v>0</v>
      </c>
      <c r="M2595" t="str" cm="1">
        <f t="array" ref="M2595">IFERROR(INDEX($I$2:$K$2,0,MATCH(TRUE,I2595:K2595,0)),E2595)</f>
        <v>Coal</v>
      </c>
      <c r="O2595" t="str">
        <f t="shared" si="169"/>
        <v>Coal_2024</v>
      </c>
      <c r="P2595">
        <f t="shared" si="170"/>
        <v>66</v>
      </c>
    </row>
    <row r="2596" spans="4:16" x14ac:dyDescent="0.25">
      <c r="D2596">
        <v>2025</v>
      </c>
      <c r="E2596" t="s">
        <v>279</v>
      </c>
      <c r="F2596" t="s">
        <v>297</v>
      </c>
      <c r="G2596">
        <v>66</v>
      </c>
      <c r="I2596">
        <f t="shared" si="171"/>
        <v>0</v>
      </c>
      <c r="J2596">
        <f t="shared" si="171"/>
        <v>0</v>
      </c>
      <c r="K2596">
        <f t="shared" si="171"/>
        <v>0</v>
      </c>
      <c r="M2596" t="str" cm="1">
        <f t="array" ref="M2596">IFERROR(INDEX($I$2:$K$2,0,MATCH(TRUE,I2596:K2596,0)),E2596)</f>
        <v>Coal</v>
      </c>
      <c r="O2596" t="str">
        <f t="shared" si="169"/>
        <v>Coal_2025</v>
      </c>
      <c r="P2596">
        <f t="shared" si="170"/>
        <v>66</v>
      </c>
    </row>
    <row r="2597" spans="4:16" x14ac:dyDescent="0.25">
      <c r="D2597">
        <v>2021</v>
      </c>
      <c r="E2597" t="s">
        <v>279</v>
      </c>
      <c r="F2597" t="s">
        <v>298</v>
      </c>
      <c r="G2597">
        <v>54</v>
      </c>
      <c r="I2597">
        <f t="shared" si="171"/>
        <v>0</v>
      </c>
      <c r="J2597">
        <f t="shared" si="171"/>
        <v>0</v>
      </c>
      <c r="K2597">
        <f t="shared" si="171"/>
        <v>0</v>
      </c>
      <c r="M2597" t="str" cm="1">
        <f t="array" ref="M2597">IFERROR(INDEX($I$2:$K$2,0,MATCH(TRUE,I2597:K2597,0)),E2597)</f>
        <v>Coal</v>
      </c>
      <c r="O2597" t="str">
        <f t="shared" si="169"/>
        <v>Coal_2021</v>
      </c>
      <c r="P2597">
        <f t="shared" si="170"/>
        <v>54</v>
      </c>
    </row>
    <row r="2598" spans="4:16" x14ac:dyDescent="0.25">
      <c r="D2598">
        <v>2022</v>
      </c>
      <c r="E2598" t="s">
        <v>279</v>
      </c>
      <c r="F2598" t="s">
        <v>298</v>
      </c>
      <c r="G2598">
        <v>54</v>
      </c>
      <c r="I2598">
        <f t="shared" si="171"/>
        <v>0</v>
      </c>
      <c r="J2598">
        <f t="shared" si="171"/>
        <v>0</v>
      </c>
      <c r="K2598">
        <f t="shared" si="171"/>
        <v>0</v>
      </c>
      <c r="M2598" t="str" cm="1">
        <f t="array" ref="M2598">IFERROR(INDEX($I$2:$K$2,0,MATCH(TRUE,I2598:K2598,0)),E2598)</f>
        <v>Coal</v>
      </c>
      <c r="O2598" t="str">
        <f t="shared" si="169"/>
        <v>Coal_2022</v>
      </c>
      <c r="P2598">
        <f t="shared" si="170"/>
        <v>54</v>
      </c>
    </row>
    <row r="2599" spans="4:16" x14ac:dyDescent="0.25">
      <c r="D2599">
        <v>2023</v>
      </c>
      <c r="E2599" t="s">
        <v>279</v>
      </c>
      <c r="F2599" t="s">
        <v>298</v>
      </c>
      <c r="G2599">
        <v>54</v>
      </c>
      <c r="I2599">
        <f t="shared" si="171"/>
        <v>0</v>
      </c>
      <c r="J2599">
        <f t="shared" si="171"/>
        <v>0</v>
      </c>
      <c r="K2599">
        <f t="shared" si="171"/>
        <v>0</v>
      </c>
      <c r="M2599" t="str" cm="1">
        <f t="array" ref="M2599">IFERROR(INDEX($I$2:$K$2,0,MATCH(TRUE,I2599:K2599,0)),E2599)</f>
        <v>Coal</v>
      </c>
      <c r="O2599" t="str">
        <f t="shared" si="169"/>
        <v>Coal_2023</v>
      </c>
      <c r="P2599">
        <f t="shared" si="170"/>
        <v>54</v>
      </c>
    </row>
    <row r="2600" spans="4:16" x14ac:dyDescent="0.25">
      <c r="D2600">
        <v>2024</v>
      </c>
      <c r="E2600" t="s">
        <v>279</v>
      </c>
      <c r="F2600" t="s">
        <v>298</v>
      </c>
      <c r="G2600">
        <v>54</v>
      </c>
      <c r="I2600">
        <f t="shared" si="171"/>
        <v>0</v>
      </c>
      <c r="J2600">
        <f t="shared" si="171"/>
        <v>0</v>
      </c>
      <c r="K2600">
        <f t="shared" si="171"/>
        <v>0</v>
      </c>
      <c r="M2600" t="str" cm="1">
        <f t="array" ref="M2600">IFERROR(INDEX($I$2:$K$2,0,MATCH(TRUE,I2600:K2600,0)),E2600)</f>
        <v>Coal</v>
      </c>
      <c r="O2600" t="str">
        <f t="shared" si="169"/>
        <v>Coal_2024</v>
      </c>
      <c r="P2600">
        <f t="shared" si="170"/>
        <v>54</v>
      </c>
    </row>
    <row r="2601" spans="4:16" x14ac:dyDescent="0.25">
      <c r="D2601">
        <v>2025</v>
      </c>
      <c r="E2601" t="s">
        <v>279</v>
      </c>
      <c r="F2601" t="s">
        <v>298</v>
      </c>
      <c r="G2601">
        <v>54</v>
      </c>
      <c r="I2601">
        <f t="shared" si="171"/>
        <v>0</v>
      </c>
      <c r="J2601">
        <f t="shared" si="171"/>
        <v>0</v>
      </c>
      <c r="K2601">
        <f t="shared" si="171"/>
        <v>0</v>
      </c>
      <c r="M2601" t="str" cm="1">
        <f t="array" ref="M2601">IFERROR(INDEX($I$2:$K$2,0,MATCH(TRUE,I2601:K2601,0)),E2601)</f>
        <v>Coal</v>
      </c>
      <c r="O2601" t="str">
        <f t="shared" si="169"/>
        <v>Coal_2025</v>
      </c>
      <c r="P2601">
        <f t="shared" si="170"/>
        <v>54</v>
      </c>
    </row>
    <row r="2602" spans="4:16" x14ac:dyDescent="0.25">
      <c r="D2602">
        <v>2021</v>
      </c>
      <c r="E2602" t="s">
        <v>279</v>
      </c>
      <c r="F2602" t="s">
        <v>299</v>
      </c>
      <c r="G2602">
        <v>26.9</v>
      </c>
      <c r="I2602">
        <f t="shared" si="171"/>
        <v>0</v>
      </c>
      <c r="J2602">
        <f t="shared" si="171"/>
        <v>0</v>
      </c>
      <c r="K2602">
        <f t="shared" si="171"/>
        <v>0</v>
      </c>
      <c r="M2602" t="str" cm="1">
        <f t="array" ref="M2602">IFERROR(INDEX($I$2:$K$2,0,MATCH(TRUE,I2602:K2602,0)),E2602)</f>
        <v>Coal</v>
      </c>
      <c r="O2602" t="str">
        <f t="shared" si="169"/>
        <v>Coal_2021</v>
      </c>
      <c r="P2602">
        <f t="shared" si="170"/>
        <v>26.9</v>
      </c>
    </row>
    <row r="2603" spans="4:16" x14ac:dyDescent="0.25">
      <c r="D2603">
        <v>2022</v>
      </c>
      <c r="E2603" t="s">
        <v>279</v>
      </c>
      <c r="F2603" t="s">
        <v>299</v>
      </c>
      <c r="G2603">
        <v>26.9</v>
      </c>
      <c r="I2603">
        <f t="shared" si="171"/>
        <v>0</v>
      </c>
      <c r="J2603">
        <f t="shared" si="171"/>
        <v>0</v>
      </c>
      <c r="K2603">
        <f t="shared" si="171"/>
        <v>0</v>
      </c>
      <c r="M2603" t="str" cm="1">
        <f t="array" ref="M2603">IFERROR(INDEX($I$2:$K$2,0,MATCH(TRUE,I2603:K2603,0)),E2603)</f>
        <v>Coal</v>
      </c>
      <c r="O2603" t="str">
        <f t="shared" si="169"/>
        <v>Coal_2022</v>
      </c>
      <c r="P2603">
        <f t="shared" si="170"/>
        <v>26.9</v>
      </c>
    </row>
    <row r="2604" spans="4:16" x14ac:dyDescent="0.25">
      <c r="D2604">
        <v>2021</v>
      </c>
      <c r="E2604" t="s">
        <v>279</v>
      </c>
      <c r="F2604" t="s">
        <v>300</v>
      </c>
      <c r="G2604">
        <v>24.79</v>
      </c>
      <c r="I2604">
        <f t="shared" si="171"/>
        <v>0</v>
      </c>
      <c r="J2604">
        <f t="shared" si="171"/>
        <v>0</v>
      </c>
      <c r="K2604">
        <f t="shared" si="171"/>
        <v>0</v>
      </c>
      <c r="M2604" t="str" cm="1">
        <f t="array" ref="M2604">IFERROR(INDEX($I$2:$K$2,0,MATCH(TRUE,I2604:K2604,0)),E2604)</f>
        <v>Coal</v>
      </c>
      <c r="O2604" t="str">
        <f t="shared" si="169"/>
        <v>Coal_2021</v>
      </c>
      <c r="P2604">
        <f t="shared" si="170"/>
        <v>24.79</v>
      </c>
    </row>
    <row r="2605" spans="4:16" x14ac:dyDescent="0.25">
      <c r="D2605">
        <v>2022</v>
      </c>
      <c r="E2605" t="s">
        <v>279</v>
      </c>
      <c r="F2605" t="s">
        <v>300</v>
      </c>
      <c r="G2605">
        <v>24.79</v>
      </c>
      <c r="I2605">
        <f t="shared" si="171"/>
        <v>0</v>
      </c>
      <c r="J2605">
        <f t="shared" si="171"/>
        <v>0</v>
      </c>
      <c r="K2605">
        <f t="shared" si="171"/>
        <v>0</v>
      </c>
      <c r="M2605" t="str" cm="1">
        <f t="array" ref="M2605">IFERROR(INDEX($I$2:$K$2,0,MATCH(TRUE,I2605:K2605,0)),E2605)</f>
        <v>Coal</v>
      </c>
      <c r="O2605" t="str">
        <f t="shared" si="169"/>
        <v>Coal_2022</v>
      </c>
      <c r="P2605">
        <f t="shared" si="170"/>
        <v>24.79</v>
      </c>
    </row>
    <row r="2606" spans="4:16" x14ac:dyDescent="0.25">
      <c r="D2606">
        <v>2023</v>
      </c>
      <c r="E2606" t="s">
        <v>279</v>
      </c>
      <c r="F2606" t="s">
        <v>300</v>
      </c>
      <c r="G2606">
        <v>24.79</v>
      </c>
      <c r="I2606">
        <f t="shared" si="171"/>
        <v>0</v>
      </c>
      <c r="J2606">
        <f t="shared" si="171"/>
        <v>0</v>
      </c>
      <c r="K2606">
        <f t="shared" si="171"/>
        <v>0</v>
      </c>
      <c r="M2606" t="str" cm="1">
        <f t="array" ref="M2606">IFERROR(INDEX($I$2:$K$2,0,MATCH(TRUE,I2606:K2606,0)),E2606)</f>
        <v>Coal</v>
      </c>
      <c r="O2606" t="str">
        <f t="shared" si="169"/>
        <v>Coal_2023</v>
      </c>
      <c r="P2606">
        <f t="shared" si="170"/>
        <v>24.79</v>
      </c>
    </row>
    <row r="2607" spans="4:16" x14ac:dyDescent="0.25">
      <c r="D2607">
        <v>2024</v>
      </c>
      <c r="E2607" t="s">
        <v>279</v>
      </c>
      <c r="F2607" t="s">
        <v>300</v>
      </c>
      <c r="G2607">
        <v>24.79</v>
      </c>
      <c r="I2607">
        <f t="shared" si="171"/>
        <v>0</v>
      </c>
      <c r="J2607">
        <f t="shared" si="171"/>
        <v>0</v>
      </c>
      <c r="K2607">
        <f t="shared" si="171"/>
        <v>0</v>
      </c>
      <c r="M2607" t="str" cm="1">
        <f t="array" ref="M2607">IFERROR(INDEX($I$2:$K$2,0,MATCH(TRUE,I2607:K2607,0)),E2607)</f>
        <v>Coal</v>
      </c>
      <c r="O2607" t="str">
        <f t="shared" si="169"/>
        <v>Coal_2024</v>
      </c>
      <c r="P2607">
        <f t="shared" si="170"/>
        <v>24.79</v>
      </c>
    </row>
    <row r="2608" spans="4:16" x14ac:dyDescent="0.25">
      <c r="D2608">
        <v>2021</v>
      </c>
      <c r="E2608" t="s">
        <v>279</v>
      </c>
      <c r="F2608" t="s">
        <v>301</v>
      </c>
      <c r="G2608">
        <v>45</v>
      </c>
      <c r="I2608">
        <f t="shared" si="171"/>
        <v>0</v>
      </c>
      <c r="J2608">
        <f t="shared" si="171"/>
        <v>0</v>
      </c>
      <c r="K2608">
        <f t="shared" si="171"/>
        <v>0</v>
      </c>
      <c r="M2608" t="str" cm="1">
        <f t="array" ref="M2608">IFERROR(INDEX($I$2:$K$2,0,MATCH(TRUE,I2608:K2608,0)),E2608)</f>
        <v>Coal</v>
      </c>
      <c r="O2608" t="str">
        <f t="shared" si="169"/>
        <v>Coal_2021</v>
      </c>
      <c r="P2608">
        <f t="shared" si="170"/>
        <v>45</v>
      </c>
    </row>
    <row r="2609" spans="4:16" x14ac:dyDescent="0.25">
      <c r="D2609">
        <v>2022</v>
      </c>
      <c r="E2609" t="s">
        <v>279</v>
      </c>
      <c r="F2609" t="s">
        <v>301</v>
      </c>
      <c r="G2609">
        <v>45</v>
      </c>
      <c r="I2609">
        <f t="shared" si="171"/>
        <v>0</v>
      </c>
      <c r="J2609">
        <f t="shared" si="171"/>
        <v>0</v>
      </c>
      <c r="K2609">
        <f t="shared" si="171"/>
        <v>0</v>
      </c>
      <c r="M2609" t="str" cm="1">
        <f t="array" ref="M2609">IFERROR(INDEX($I$2:$K$2,0,MATCH(TRUE,I2609:K2609,0)),E2609)</f>
        <v>Coal</v>
      </c>
      <c r="O2609" t="str">
        <f t="shared" si="169"/>
        <v>Coal_2022</v>
      </c>
      <c r="P2609">
        <f t="shared" si="170"/>
        <v>45</v>
      </c>
    </row>
    <row r="2610" spans="4:16" x14ac:dyDescent="0.25">
      <c r="D2610">
        <v>2023</v>
      </c>
      <c r="E2610" t="s">
        <v>279</v>
      </c>
      <c r="F2610" t="s">
        <v>301</v>
      </c>
      <c r="G2610">
        <v>45</v>
      </c>
      <c r="I2610">
        <f t="shared" si="171"/>
        <v>0</v>
      </c>
      <c r="J2610">
        <f t="shared" si="171"/>
        <v>0</v>
      </c>
      <c r="K2610">
        <f t="shared" si="171"/>
        <v>0</v>
      </c>
      <c r="M2610" t="str" cm="1">
        <f t="array" ref="M2610">IFERROR(INDEX($I$2:$K$2,0,MATCH(TRUE,I2610:K2610,0)),E2610)</f>
        <v>Coal</v>
      </c>
      <c r="O2610" t="str">
        <f t="shared" si="169"/>
        <v>Coal_2023</v>
      </c>
      <c r="P2610">
        <f t="shared" si="170"/>
        <v>45</v>
      </c>
    </row>
    <row r="2611" spans="4:16" x14ac:dyDescent="0.25">
      <c r="D2611">
        <v>2024</v>
      </c>
      <c r="E2611" t="s">
        <v>279</v>
      </c>
      <c r="F2611" t="s">
        <v>301</v>
      </c>
      <c r="G2611">
        <v>45</v>
      </c>
      <c r="I2611">
        <f t="shared" si="171"/>
        <v>0</v>
      </c>
      <c r="J2611">
        <f t="shared" si="171"/>
        <v>0</v>
      </c>
      <c r="K2611">
        <f t="shared" si="171"/>
        <v>0</v>
      </c>
      <c r="M2611" t="str" cm="1">
        <f t="array" ref="M2611">IFERROR(INDEX($I$2:$K$2,0,MATCH(TRUE,I2611:K2611,0)),E2611)</f>
        <v>Coal</v>
      </c>
      <c r="O2611" t="str">
        <f t="shared" si="169"/>
        <v>Coal_2024</v>
      </c>
      <c r="P2611">
        <f t="shared" si="170"/>
        <v>45</v>
      </c>
    </row>
    <row r="2612" spans="4:16" x14ac:dyDescent="0.25">
      <c r="D2612">
        <v>2025</v>
      </c>
      <c r="E2612" t="s">
        <v>279</v>
      </c>
      <c r="F2612" t="s">
        <v>301</v>
      </c>
      <c r="G2612">
        <v>45</v>
      </c>
      <c r="I2612">
        <f t="shared" si="171"/>
        <v>0</v>
      </c>
      <c r="J2612">
        <f t="shared" si="171"/>
        <v>0</v>
      </c>
      <c r="K2612">
        <f t="shared" si="171"/>
        <v>0</v>
      </c>
      <c r="M2612" t="str" cm="1">
        <f t="array" ref="M2612">IFERROR(INDEX($I$2:$K$2,0,MATCH(TRUE,I2612:K2612,0)),E2612)</f>
        <v>Coal</v>
      </c>
      <c r="O2612" t="str">
        <f t="shared" si="169"/>
        <v>Coal_2025</v>
      </c>
      <c r="P2612">
        <f t="shared" si="170"/>
        <v>45</v>
      </c>
    </row>
    <row r="2613" spans="4:16" x14ac:dyDescent="0.25">
      <c r="D2613">
        <v>2021</v>
      </c>
      <c r="E2613" t="s">
        <v>279</v>
      </c>
      <c r="F2613" t="s">
        <v>302</v>
      </c>
      <c r="G2613">
        <v>45</v>
      </c>
      <c r="I2613">
        <f t="shared" si="171"/>
        <v>0</v>
      </c>
      <c r="J2613">
        <f t="shared" si="171"/>
        <v>0</v>
      </c>
      <c r="K2613">
        <f t="shared" si="171"/>
        <v>0</v>
      </c>
      <c r="M2613" t="str" cm="1">
        <f t="array" ref="M2613">IFERROR(INDEX($I$2:$K$2,0,MATCH(TRUE,I2613:K2613,0)),E2613)</f>
        <v>Coal</v>
      </c>
      <c r="O2613" t="str">
        <f t="shared" si="169"/>
        <v>Coal_2021</v>
      </c>
      <c r="P2613">
        <f t="shared" si="170"/>
        <v>45</v>
      </c>
    </row>
    <row r="2614" spans="4:16" x14ac:dyDescent="0.25">
      <c r="D2614">
        <v>2022</v>
      </c>
      <c r="E2614" t="s">
        <v>279</v>
      </c>
      <c r="F2614" t="s">
        <v>302</v>
      </c>
      <c r="G2614">
        <v>45</v>
      </c>
      <c r="I2614">
        <f t="shared" si="171"/>
        <v>0</v>
      </c>
      <c r="J2614">
        <f t="shared" si="171"/>
        <v>0</v>
      </c>
      <c r="K2614">
        <f t="shared" si="171"/>
        <v>0</v>
      </c>
      <c r="M2614" t="str" cm="1">
        <f t="array" ref="M2614">IFERROR(INDEX($I$2:$K$2,0,MATCH(TRUE,I2614:K2614,0)),E2614)</f>
        <v>Coal</v>
      </c>
      <c r="O2614" t="str">
        <f t="shared" si="169"/>
        <v>Coal_2022</v>
      </c>
      <c r="P2614">
        <f t="shared" si="170"/>
        <v>45</v>
      </c>
    </row>
    <row r="2615" spans="4:16" x14ac:dyDescent="0.25">
      <c r="D2615">
        <v>2023</v>
      </c>
      <c r="E2615" t="s">
        <v>279</v>
      </c>
      <c r="F2615" t="s">
        <v>302</v>
      </c>
      <c r="G2615">
        <v>45</v>
      </c>
      <c r="I2615">
        <f t="shared" si="171"/>
        <v>0</v>
      </c>
      <c r="J2615">
        <f t="shared" si="171"/>
        <v>0</v>
      </c>
      <c r="K2615">
        <f t="shared" si="171"/>
        <v>0</v>
      </c>
      <c r="M2615" t="str" cm="1">
        <f t="array" ref="M2615">IFERROR(INDEX($I$2:$K$2,0,MATCH(TRUE,I2615:K2615,0)),E2615)</f>
        <v>Coal</v>
      </c>
      <c r="O2615" t="str">
        <f t="shared" si="169"/>
        <v>Coal_2023</v>
      </c>
      <c r="P2615">
        <f t="shared" si="170"/>
        <v>45</v>
      </c>
    </row>
    <row r="2616" spans="4:16" x14ac:dyDescent="0.25">
      <c r="D2616">
        <v>2024</v>
      </c>
      <c r="E2616" t="s">
        <v>279</v>
      </c>
      <c r="F2616" t="s">
        <v>302</v>
      </c>
      <c r="G2616">
        <v>45</v>
      </c>
      <c r="I2616">
        <f t="shared" si="171"/>
        <v>0</v>
      </c>
      <c r="J2616">
        <f t="shared" si="171"/>
        <v>0</v>
      </c>
      <c r="K2616">
        <f t="shared" si="171"/>
        <v>0</v>
      </c>
      <c r="M2616" t="str" cm="1">
        <f t="array" ref="M2616">IFERROR(INDEX($I$2:$K$2,0,MATCH(TRUE,I2616:K2616,0)),E2616)</f>
        <v>Coal</v>
      </c>
      <c r="O2616" t="str">
        <f t="shared" si="169"/>
        <v>Coal_2024</v>
      </c>
      <c r="P2616">
        <f t="shared" si="170"/>
        <v>45</v>
      </c>
    </row>
    <row r="2617" spans="4:16" x14ac:dyDescent="0.25">
      <c r="D2617">
        <v>2025</v>
      </c>
      <c r="E2617" t="s">
        <v>279</v>
      </c>
      <c r="F2617" t="s">
        <v>302</v>
      </c>
      <c r="G2617">
        <v>45</v>
      </c>
      <c r="I2617">
        <f t="shared" si="171"/>
        <v>0</v>
      </c>
      <c r="J2617">
        <f t="shared" si="171"/>
        <v>0</v>
      </c>
      <c r="K2617">
        <f t="shared" si="171"/>
        <v>0</v>
      </c>
      <c r="M2617" t="str" cm="1">
        <f t="array" ref="M2617">IFERROR(INDEX($I$2:$K$2,0,MATCH(TRUE,I2617:K2617,0)),E2617)</f>
        <v>Coal</v>
      </c>
      <c r="O2617" t="str">
        <f t="shared" si="169"/>
        <v>Coal_2025</v>
      </c>
      <c r="P2617">
        <f t="shared" si="170"/>
        <v>45</v>
      </c>
    </row>
    <row r="2618" spans="4:16" x14ac:dyDescent="0.25">
      <c r="D2618">
        <v>2021</v>
      </c>
      <c r="E2618" t="s">
        <v>279</v>
      </c>
      <c r="F2618" t="s">
        <v>303</v>
      </c>
      <c r="G2618">
        <v>194</v>
      </c>
      <c r="I2618">
        <f t="shared" si="171"/>
        <v>0</v>
      </c>
      <c r="J2618">
        <f t="shared" si="171"/>
        <v>0</v>
      </c>
      <c r="K2618">
        <f t="shared" si="171"/>
        <v>0</v>
      </c>
      <c r="M2618" t="str" cm="1">
        <f t="array" ref="M2618">IFERROR(INDEX($I$2:$K$2,0,MATCH(TRUE,I2618:K2618,0)),E2618)</f>
        <v>Coal</v>
      </c>
      <c r="O2618" t="str">
        <f t="shared" si="169"/>
        <v>Coal_2021</v>
      </c>
      <c r="P2618">
        <f t="shared" si="170"/>
        <v>194</v>
      </c>
    </row>
    <row r="2619" spans="4:16" x14ac:dyDescent="0.25">
      <c r="D2619">
        <v>2022</v>
      </c>
      <c r="E2619" t="s">
        <v>279</v>
      </c>
      <c r="F2619" t="s">
        <v>303</v>
      </c>
      <c r="G2619">
        <v>194</v>
      </c>
      <c r="I2619">
        <f t="shared" si="171"/>
        <v>0</v>
      </c>
      <c r="J2619">
        <f t="shared" si="171"/>
        <v>0</v>
      </c>
      <c r="K2619">
        <f t="shared" si="171"/>
        <v>0</v>
      </c>
      <c r="M2619" t="str" cm="1">
        <f t="array" ref="M2619">IFERROR(INDEX($I$2:$K$2,0,MATCH(TRUE,I2619:K2619,0)),E2619)</f>
        <v>Coal</v>
      </c>
      <c r="O2619" t="str">
        <f t="shared" si="169"/>
        <v>Coal_2022</v>
      </c>
      <c r="P2619">
        <f t="shared" si="170"/>
        <v>194</v>
      </c>
    </row>
    <row r="2620" spans="4:16" x14ac:dyDescent="0.25">
      <c r="D2620">
        <v>2023</v>
      </c>
      <c r="E2620" t="s">
        <v>279</v>
      </c>
      <c r="F2620" t="s">
        <v>303</v>
      </c>
      <c r="G2620">
        <v>194</v>
      </c>
      <c r="I2620">
        <f t="shared" si="171"/>
        <v>0</v>
      </c>
      <c r="J2620">
        <f t="shared" si="171"/>
        <v>0</v>
      </c>
      <c r="K2620">
        <f t="shared" si="171"/>
        <v>0</v>
      </c>
      <c r="M2620" t="str" cm="1">
        <f t="array" ref="M2620">IFERROR(INDEX($I$2:$K$2,0,MATCH(TRUE,I2620:K2620,0)),E2620)</f>
        <v>Coal</v>
      </c>
      <c r="O2620" t="str">
        <f t="shared" si="169"/>
        <v>Coal_2023</v>
      </c>
      <c r="P2620">
        <f t="shared" si="170"/>
        <v>194</v>
      </c>
    </row>
    <row r="2621" spans="4:16" x14ac:dyDescent="0.25">
      <c r="D2621">
        <v>2024</v>
      </c>
      <c r="E2621" t="s">
        <v>279</v>
      </c>
      <c r="F2621" t="s">
        <v>303</v>
      </c>
      <c r="G2621">
        <v>194</v>
      </c>
      <c r="I2621">
        <f t="shared" si="171"/>
        <v>0</v>
      </c>
      <c r="J2621">
        <f t="shared" si="171"/>
        <v>0</v>
      </c>
      <c r="K2621">
        <f t="shared" si="171"/>
        <v>0</v>
      </c>
      <c r="M2621" t="str" cm="1">
        <f t="array" ref="M2621">IFERROR(INDEX($I$2:$K$2,0,MATCH(TRUE,I2621:K2621,0)),E2621)</f>
        <v>Coal</v>
      </c>
      <c r="O2621" t="str">
        <f t="shared" si="169"/>
        <v>Coal_2024</v>
      </c>
      <c r="P2621">
        <f t="shared" si="170"/>
        <v>194</v>
      </c>
    </row>
    <row r="2622" spans="4:16" x14ac:dyDescent="0.25">
      <c r="D2622">
        <v>2025</v>
      </c>
      <c r="E2622" t="s">
        <v>279</v>
      </c>
      <c r="F2622" t="s">
        <v>303</v>
      </c>
      <c r="G2622">
        <v>194</v>
      </c>
      <c r="I2622">
        <f t="shared" si="171"/>
        <v>0</v>
      </c>
      <c r="J2622">
        <f t="shared" si="171"/>
        <v>0</v>
      </c>
      <c r="K2622">
        <f t="shared" si="171"/>
        <v>0</v>
      </c>
      <c r="M2622" t="str" cm="1">
        <f t="array" ref="M2622">IFERROR(INDEX($I$2:$K$2,0,MATCH(TRUE,I2622:K2622,0)),E2622)</f>
        <v>Coal</v>
      </c>
      <c r="O2622" t="str">
        <f t="shared" si="169"/>
        <v>Coal_2025</v>
      </c>
      <c r="P2622">
        <f t="shared" si="170"/>
        <v>194</v>
      </c>
    </row>
    <row r="2623" spans="4:16" x14ac:dyDescent="0.25">
      <c r="D2623">
        <v>2021</v>
      </c>
      <c r="E2623" t="s">
        <v>279</v>
      </c>
      <c r="F2623" t="s">
        <v>304</v>
      </c>
      <c r="G2623">
        <v>61.5</v>
      </c>
      <c r="I2623">
        <f t="shared" si="171"/>
        <v>0</v>
      </c>
      <c r="J2623">
        <f t="shared" si="171"/>
        <v>0</v>
      </c>
      <c r="K2623">
        <f t="shared" si="171"/>
        <v>0</v>
      </c>
      <c r="M2623" t="str" cm="1">
        <f t="array" ref="M2623">IFERROR(INDEX($I$2:$K$2,0,MATCH(TRUE,I2623:K2623,0)),E2623)</f>
        <v>Coal</v>
      </c>
      <c r="O2623" t="str">
        <f t="shared" si="169"/>
        <v>Coal_2021</v>
      </c>
      <c r="P2623">
        <f t="shared" si="170"/>
        <v>61.5</v>
      </c>
    </row>
    <row r="2624" spans="4:16" x14ac:dyDescent="0.25">
      <c r="D2624">
        <v>2021</v>
      </c>
      <c r="E2624" t="s">
        <v>279</v>
      </c>
      <c r="F2624" t="s">
        <v>305</v>
      </c>
      <c r="G2624">
        <v>138.5</v>
      </c>
      <c r="I2624">
        <f t="shared" si="171"/>
        <v>0</v>
      </c>
      <c r="J2624">
        <f t="shared" si="171"/>
        <v>0</v>
      </c>
      <c r="K2624">
        <f t="shared" si="171"/>
        <v>0</v>
      </c>
      <c r="M2624" t="str" cm="1">
        <f t="array" ref="M2624">IFERROR(INDEX($I$2:$K$2,0,MATCH(TRUE,I2624:K2624,0)),E2624)</f>
        <v>Coal</v>
      </c>
      <c r="O2624" t="str">
        <f t="shared" si="169"/>
        <v>Coal_2021</v>
      </c>
      <c r="P2624">
        <f t="shared" si="170"/>
        <v>138.5</v>
      </c>
    </row>
    <row r="2625" spans="4:16" x14ac:dyDescent="0.25">
      <c r="D2625">
        <v>2022</v>
      </c>
      <c r="E2625" t="s">
        <v>279</v>
      </c>
      <c r="F2625" t="s">
        <v>305</v>
      </c>
      <c r="G2625">
        <v>138.5</v>
      </c>
      <c r="I2625">
        <f t="shared" si="171"/>
        <v>0</v>
      </c>
      <c r="J2625">
        <f t="shared" si="171"/>
        <v>0</v>
      </c>
      <c r="K2625">
        <f t="shared" si="171"/>
        <v>0</v>
      </c>
      <c r="M2625" t="str" cm="1">
        <f t="array" ref="M2625">IFERROR(INDEX($I$2:$K$2,0,MATCH(TRUE,I2625:K2625,0)),E2625)</f>
        <v>Coal</v>
      </c>
      <c r="O2625" t="str">
        <f t="shared" si="169"/>
        <v>Coal_2022</v>
      </c>
      <c r="P2625">
        <f t="shared" si="170"/>
        <v>138.5</v>
      </c>
    </row>
    <row r="2626" spans="4:16" x14ac:dyDescent="0.25">
      <c r="D2626">
        <v>2021</v>
      </c>
      <c r="E2626" t="s">
        <v>279</v>
      </c>
      <c r="F2626" t="s">
        <v>306</v>
      </c>
      <c r="G2626">
        <v>138.5</v>
      </c>
      <c r="I2626">
        <f t="shared" si="171"/>
        <v>0</v>
      </c>
      <c r="J2626">
        <f t="shared" si="171"/>
        <v>0</v>
      </c>
      <c r="K2626">
        <f t="shared" si="171"/>
        <v>0</v>
      </c>
      <c r="M2626" t="str" cm="1">
        <f t="array" ref="M2626">IFERROR(INDEX($I$2:$K$2,0,MATCH(TRUE,I2626:K2626,0)),E2626)</f>
        <v>Coal</v>
      </c>
      <c r="O2626" t="str">
        <f t="shared" si="169"/>
        <v>Coal_2021</v>
      </c>
      <c r="P2626">
        <f t="shared" si="170"/>
        <v>138.5</v>
      </c>
    </row>
    <row r="2627" spans="4:16" x14ac:dyDescent="0.25">
      <c r="D2627">
        <v>2022</v>
      </c>
      <c r="E2627" t="s">
        <v>279</v>
      </c>
      <c r="F2627" t="s">
        <v>306</v>
      </c>
      <c r="G2627">
        <v>138.5</v>
      </c>
      <c r="I2627">
        <f t="shared" si="171"/>
        <v>0</v>
      </c>
      <c r="J2627">
        <f t="shared" si="171"/>
        <v>0</v>
      </c>
      <c r="K2627">
        <f t="shared" si="171"/>
        <v>0</v>
      </c>
      <c r="M2627" t="str" cm="1">
        <f t="array" ref="M2627">IFERROR(INDEX($I$2:$K$2,0,MATCH(TRUE,I2627:K2627,0)),E2627)</f>
        <v>Coal</v>
      </c>
      <c r="O2627" t="str">
        <f t="shared" si="169"/>
        <v>Coal_2022</v>
      </c>
      <c r="P2627">
        <f t="shared" si="170"/>
        <v>138.5</v>
      </c>
    </row>
    <row r="2628" spans="4:16" x14ac:dyDescent="0.25">
      <c r="D2628">
        <v>2021</v>
      </c>
      <c r="E2628" t="s">
        <v>279</v>
      </c>
      <c r="F2628" t="s">
        <v>307</v>
      </c>
      <c r="G2628">
        <v>61.5</v>
      </c>
      <c r="I2628">
        <f t="shared" si="171"/>
        <v>0</v>
      </c>
      <c r="J2628">
        <f t="shared" si="171"/>
        <v>0</v>
      </c>
      <c r="K2628">
        <f t="shared" si="171"/>
        <v>0</v>
      </c>
      <c r="M2628" t="str" cm="1">
        <f t="array" ref="M2628">IFERROR(INDEX($I$2:$K$2,0,MATCH(TRUE,I2628:K2628,0)),E2628)</f>
        <v>Coal</v>
      </c>
      <c r="O2628" t="str">
        <f t="shared" si="169"/>
        <v>Coal_2021</v>
      </c>
      <c r="P2628">
        <f t="shared" si="170"/>
        <v>61.5</v>
      </c>
    </row>
    <row r="2629" spans="4:16" x14ac:dyDescent="0.25">
      <c r="D2629">
        <v>2021</v>
      </c>
      <c r="E2629" t="s">
        <v>279</v>
      </c>
      <c r="F2629" t="s">
        <v>308</v>
      </c>
      <c r="G2629">
        <v>110</v>
      </c>
      <c r="I2629">
        <f t="shared" si="171"/>
        <v>0</v>
      </c>
      <c r="J2629">
        <f t="shared" si="171"/>
        <v>0</v>
      </c>
      <c r="K2629">
        <f t="shared" si="171"/>
        <v>0</v>
      </c>
      <c r="M2629" t="str" cm="1">
        <f t="array" ref="M2629">IFERROR(INDEX($I$2:$K$2,0,MATCH(TRUE,I2629:K2629,0)),E2629)</f>
        <v>Coal</v>
      </c>
      <c r="O2629" t="str">
        <f t="shared" si="169"/>
        <v>Coal_2021</v>
      </c>
      <c r="P2629">
        <f t="shared" si="170"/>
        <v>110</v>
      </c>
    </row>
    <row r="2630" spans="4:16" x14ac:dyDescent="0.25">
      <c r="D2630">
        <v>2022</v>
      </c>
      <c r="E2630" t="s">
        <v>279</v>
      </c>
      <c r="F2630" t="s">
        <v>308</v>
      </c>
      <c r="G2630">
        <v>110</v>
      </c>
      <c r="I2630">
        <f t="shared" si="171"/>
        <v>0</v>
      </c>
      <c r="J2630">
        <f t="shared" si="171"/>
        <v>0</v>
      </c>
      <c r="K2630">
        <f t="shared" si="171"/>
        <v>0</v>
      </c>
      <c r="M2630" t="str" cm="1">
        <f t="array" ref="M2630">IFERROR(INDEX($I$2:$K$2,0,MATCH(TRUE,I2630:K2630,0)),E2630)</f>
        <v>Coal</v>
      </c>
      <c r="O2630" t="str">
        <f t="shared" si="169"/>
        <v>Coal_2022</v>
      </c>
      <c r="P2630">
        <f t="shared" si="170"/>
        <v>110</v>
      </c>
    </row>
    <row r="2631" spans="4:16" x14ac:dyDescent="0.25">
      <c r="D2631">
        <v>2023</v>
      </c>
      <c r="E2631" t="s">
        <v>279</v>
      </c>
      <c r="F2631" t="s">
        <v>308</v>
      </c>
      <c r="G2631">
        <v>110</v>
      </c>
      <c r="I2631">
        <f t="shared" si="171"/>
        <v>0</v>
      </c>
      <c r="J2631">
        <f t="shared" si="171"/>
        <v>0</v>
      </c>
      <c r="K2631">
        <f t="shared" si="171"/>
        <v>0</v>
      </c>
      <c r="M2631" t="str" cm="1">
        <f t="array" ref="M2631">IFERROR(INDEX($I$2:$K$2,0,MATCH(TRUE,I2631:K2631,0)),E2631)</f>
        <v>Coal</v>
      </c>
      <c r="O2631" t="str">
        <f t="shared" si="169"/>
        <v>Coal_2023</v>
      </c>
      <c r="P2631">
        <f t="shared" si="170"/>
        <v>110</v>
      </c>
    </row>
    <row r="2632" spans="4:16" x14ac:dyDescent="0.25">
      <c r="D2632">
        <v>2024</v>
      </c>
      <c r="E2632" t="s">
        <v>279</v>
      </c>
      <c r="F2632" t="s">
        <v>308</v>
      </c>
      <c r="G2632">
        <v>110</v>
      </c>
      <c r="I2632">
        <f t="shared" si="171"/>
        <v>0</v>
      </c>
      <c r="J2632">
        <f t="shared" si="171"/>
        <v>0</v>
      </c>
      <c r="K2632">
        <f t="shared" si="171"/>
        <v>0</v>
      </c>
      <c r="M2632" t="str" cm="1">
        <f t="array" ref="M2632">IFERROR(INDEX($I$2:$K$2,0,MATCH(TRUE,I2632:K2632,0)),E2632)</f>
        <v>Coal</v>
      </c>
      <c r="O2632" t="str">
        <f t="shared" si="169"/>
        <v>Coal_2024</v>
      </c>
      <c r="P2632">
        <f t="shared" si="170"/>
        <v>110</v>
      </c>
    </row>
    <row r="2633" spans="4:16" x14ac:dyDescent="0.25">
      <c r="D2633">
        <v>2021</v>
      </c>
      <c r="E2633" t="s">
        <v>279</v>
      </c>
      <c r="F2633" t="s">
        <v>309</v>
      </c>
      <c r="G2633">
        <v>103</v>
      </c>
      <c r="I2633">
        <f t="shared" si="171"/>
        <v>0</v>
      </c>
      <c r="J2633">
        <f t="shared" si="171"/>
        <v>0</v>
      </c>
      <c r="K2633">
        <f t="shared" si="171"/>
        <v>0</v>
      </c>
      <c r="M2633" t="str" cm="1">
        <f t="array" ref="M2633">IFERROR(INDEX($I$2:$K$2,0,MATCH(TRUE,I2633:K2633,0)),E2633)</f>
        <v>Coal</v>
      </c>
      <c r="O2633" t="str">
        <f t="shared" si="169"/>
        <v>Coal_2021</v>
      </c>
      <c r="P2633">
        <f t="shared" si="170"/>
        <v>103</v>
      </c>
    </row>
    <row r="2634" spans="4:16" x14ac:dyDescent="0.25">
      <c r="D2634">
        <v>2022</v>
      </c>
      <c r="E2634" t="s">
        <v>279</v>
      </c>
      <c r="F2634" t="s">
        <v>309</v>
      </c>
      <c r="G2634">
        <v>103</v>
      </c>
      <c r="I2634">
        <f t="shared" si="171"/>
        <v>0</v>
      </c>
      <c r="J2634">
        <f t="shared" si="171"/>
        <v>0</v>
      </c>
      <c r="K2634">
        <f t="shared" si="171"/>
        <v>0</v>
      </c>
      <c r="M2634" t="str" cm="1">
        <f t="array" ref="M2634">IFERROR(INDEX($I$2:$K$2,0,MATCH(TRUE,I2634:K2634,0)),E2634)</f>
        <v>Coal</v>
      </c>
      <c r="O2634" t="str">
        <f t="shared" si="169"/>
        <v>Coal_2022</v>
      </c>
      <c r="P2634">
        <f t="shared" si="170"/>
        <v>103</v>
      </c>
    </row>
    <row r="2635" spans="4:16" x14ac:dyDescent="0.25">
      <c r="D2635">
        <v>2023</v>
      </c>
      <c r="E2635" t="s">
        <v>279</v>
      </c>
      <c r="F2635" t="s">
        <v>309</v>
      </c>
      <c r="G2635">
        <v>103</v>
      </c>
      <c r="I2635">
        <f t="shared" si="171"/>
        <v>0</v>
      </c>
      <c r="J2635">
        <f t="shared" si="171"/>
        <v>0</v>
      </c>
      <c r="K2635">
        <f t="shared" si="171"/>
        <v>0</v>
      </c>
      <c r="M2635" t="str" cm="1">
        <f t="array" ref="M2635">IFERROR(INDEX($I$2:$K$2,0,MATCH(TRUE,I2635:K2635,0)),E2635)</f>
        <v>Coal</v>
      </c>
      <c r="O2635" t="str">
        <f t="shared" si="169"/>
        <v>Coal_2023</v>
      </c>
      <c r="P2635">
        <f t="shared" si="170"/>
        <v>103</v>
      </c>
    </row>
    <row r="2636" spans="4:16" x14ac:dyDescent="0.25">
      <c r="D2636">
        <v>2024</v>
      </c>
      <c r="E2636" t="s">
        <v>279</v>
      </c>
      <c r="F2636" t="s">
        <v>309</v>
      </c>
      <c r="G2636">
        <v>103</v>
      </c>
      <c r="I2636">
        <f t="shared" si="171"/>
        <v>0</v>
      </c>
      <c r="J2636">
        <f t="shared" si="171"/>
        <v>0</v>
      </c>
      <c r="K2636">
        <f t="shared" si="171"/>
        <v>0</v>
      </c>
      <c r="M2636" t="str" cm="1">
        <f t="array" ref="M2636">IFERROR(INDEX($I$2:$K$2,0,MATCH(TRUE,I2636:K2636,0)),E2636)</f>
        <v>Coal</v>
      </c>
      <c r="O2636" t="str">
        <f t="shared" si="169"/>
        <v>Coal_2024</v>
      </c>
      <c r="P2636">
        <f t="shared" si="170"/>
        <v>103</v>
      </c>
    </row>
    <row r="2637" spans="4:16" x14ac:dyDescent="0.25">
      <c r="D2637">
        <v>2021</v>
      </c>
      <c r="E2637" t="s">
        <v>279</v>
      </c>
      <c r="F2637" t="s">
        <v>310</v>
      </c>
      <c r="G2637">
        <v>255</v>
      </c>
      <c r="I2637">
        <f t="shared" si="171"/>
        <v>0</v>
      </c>
      <c r="J2637">
        <f t="shared" si="171"/>
        <v>0</v>
      </c>
      <c r="K2637">
        <f t="shared" si="171"/>
        <v>0</v>
      </c>
      <c r="M2637" t="str" cm="1">
        <f t="array" ref="M2637">IFERROR(INDEX($I$2:$K$2,0,MATCH(TRUE,I2637:K2637,0)),E2637)</f>
        <v>Coal</v>
      </c>
      <c r="O2637" t="str">
        <f t="shared" si="169"/>
        <v>Coal_2021</v>
      </c>
      <c r="P2637">
        <f t="shared" si="170"/>
        <v>255</v>
      </c>
    </row>
    <row r="2638" spans="4:16" x14ac:dyDescent="0.25">
      <c r="D2638">
        <v>2021</v>
      </c>
      <c r="E2638" t="s">
        <v>279</v>
      </c>
      <c r="F2638" t="s">
        <v>311</v>
      </c>
      <c r="G2638">
        <v>435</v>
      </c>
      <c r="I2638">
        <f t="shared" si="171"/>
        <v>0</v>
      </c>
      <c r="J2638">
        <f t="shared" si="171"/>
        <v>0</v>
      </c>
      <c r="K2638">
        <f t="shared" si="171"/>
        <v>0</v>
      </c>
      <c r="M2638" t="str" cm="1">
        <f t="array" ref="M2638">IFERROR(INDEX($I$2:$K$2,0,MATCH(TRUE,I2638:K2638,0)),E2638)</f>
        <v>Coal</v>
      </c>
      <c r="O2638" t="str">
        <f t="shared" si="169"/>
        <v>Coal_2021</v>
      </c>
      <c r="P2638">
        <f t="shared" si="170"/>
        <v>435</v>
      </c>
    </row>
    <row r="2639" spans="4:16" x14ac:dyDescent="0.25">
      <c r="D2639">
        <v>2021</v>
      </c>
      <c r="E2639" t="s">
        <v>279</v>
      </c>
      <c r="F2639" t="s">
        <v>312</v>
      </c>
      <c r="G2639">
        <v>62.6</v>
      </c>
      <c r="I2639">
        <f t="shared" si="171"/>
        <v>0</v>
      </c>
      <c r="J2639">
        <f t="shared" si="171"/>
        <v>0</v>
      </c>
      <c r="K2639">
        <f t="shared" si="171"/>
        <v>0</v>
      </c>
      <c r="M2639" t="str" cm="1">
        <f t="array" ref="M2639">IFERROR(INDEX($I$2:$K$2,0,MATCH(TRUE,I2639:K2639,0)),E2639)</f>
        <v>Coal</v>
      </c>
      <c r="O2639" t="str">
        <f t="shared" si="169"/>
        <v>Coal_2021</v>
      </c>
      <c r="P2639">
        <f t="shared" si="170"/>
        <v>62.6</v>
      </c>
    </row>
    <row r="2640" spans="4:16" x14ac:dyDescent="0.25">
      <c r="D2640">
        <v>2022</v>
      </c>
      <c r="E2640" t="s">
        <v>279</v>
      </c>
      <c r="F2640" t="s">
        <v>312</v>
      </c>
      <c r="G2640">
        <v>62.6</v>
      </c>
      <c r="I2640">
        <f t="shared" si="171"/>
        <v>0</v>
      </c>
      <c r="J2640">
        <f t="shared" si="171"/>
        <v>0</v>
      </c>
      <c r="K2640">
        <f t="shared" si="171"/>
        <v>0</v>
      </c>
      <c r="M2640" t="str" cm="1">
        <f t="array" ref="M2640">IFERROR(INDEX($I$2:$K$2,0,MATCH(TRUE,I2640:K2640,0)),E2640)</f>
        <v>Coal</v>
      </c>
      <c r="O2640" t="str">
        <f t="shared" si="169"/>
        <v>Coal_2022</v>
      </c>
      <c r="P2640">
        <f t="shared" si="170"/>
        <v>62.6</v>
      </c>
    </row>
    <row r="2641" spans="4:16" x14ac:dyDescent="0.25">
      <c r="D2641">
        <v>2021</v>
      </c>
      <c r="E2641" t="s">
        <v>279</v>
      </c>
      <c r="F2641" t="s">
        <v>313</v>
      </c>
      <c r="G2641">
        <v>74.900000000000006</v>
      </c>
      <c r="I2641">
        <f t="shared" si="171"/>
        <v>0</v>
      </c>
      <c r="J2641">
        <f t="shared" si="171"/>
        <v>0</v>
      </c>
      <c r="K2641">
        <f t="shared" si="171"/>
        <v>0</v>
      </c>
      <c r="M2641" t="str" cm="1">
        <f t="array" ref="M2641">IFERROR(INDEX($I$2:$K$2,0,MATCH(TRUE,I2641:K2641,0)),E2641)</f>
        <v>Coal</v>
      </c>
      <c r="O2641" t="str">
        <f t="shared" si="169"/>
        <v>Coal_2021</v>
      </c>
      <c r="P2641">
        <f t="shared" si="170"/>
        <v>74.900000000000006</v>
      </c>
    </row>
    <row r="2642" spans="4:16" x14ac:dyDescent="0.25">
      <c r="D2642">
        <v>2022</v>
      </c>
      <c r="E2642" t="s">
        <v>279</v>
      </c>
      <c r="F2642" t="s">
        <v>313</v>
      </c>
      <c r="G2642">
        <v>74.900000000000006</v>
      </c>
      <c r="I2642">
        <f t="shared" si="171"/>
        <v>0</v>
      </c>
      <c r="J2642">
        <f t="shared" si="171"/>
        <v>0</v>
      </c>
      <c r="K2642">
        <f t="shared" si="171"/>
        <v>0</v>
      </c>
      <c r="M2642" t="str" cm="1">
        <f t="array" ref="M2642">IFERROR(INDEX($I$2:$K$2,0,MATCH(TRUE,I2642:K2642,0)),E2642)</f>
        <v>Coal</v>
      </c>
      <c r="O2642" t="str">
        <f t="shared" si="169"/>
        <v>Coal_2022</v>
      </c>
      <c r="P2642">
        <f t="shared" si="170"/>
        <v>74.900000000000006</v>
      </c>
    </row>
    <row r="2643" spans="4:16" x14ac:dyDescent="0.25">
      <c r="D2643">
        <v>2021</v>
      </c>
      <c r="E2643" t="s">
        <v>279</v>
      </c>
      <c r="F2643" t="s">
        <v>314</v>
      </c>
      <c r="G2643">
        <v>179</v>
      </c>
      <c r="I2643">
        <f t="shared" si="171"/>
        <v>0</v>
      </c>
      <c r="J2643">
        <f t="shared" si="171"/>
        <v>0</v>
      </c>
      <c r="K2643">
        <f t="shared" si="171"/>
        <v>0</v>
      </c>
      <c r="M2643" t="str" cm="1">
        <f t="array" ref="M2643">IFERROR(INDEX($I$2:$K$2,0,MATCH(TRUE,I2643:K2643,0)),E2643)</f>
        <v>Coal</v>
      </c>
      <c r="O2643" t="str">
        <f t="shared" ref="O2643:O2706" si="172">M2643&amp;"_"&amp;D2643</f>
        <v>Coal_2021</v>
      </c>
      <c r="P2643">
        <f t="shared" ref="P2643:P2706" si="173">G2643</f>
        <v>179</v>
      </c>
    </row>
    <row r="2644" spans="4:16" x14ac:dyDescent="0.25">
      <c r="D2644">
        <v>2022</v>
      </c>
      <c r="E2644" t="s">
        <v>279</v>
      </c>
      <c r="F2644" t="s">
        <v>314</v>
      </c>
      <c r="G2644">
        <v>179</v>
      </c>
      <c r="I2644">
        <f t="shared" si="171"/>
        <v>0</v>
      </c>
      <c r="J2644">
        <f t="shared" si="171"/>
        <v>0</v>
      </c>
      <c r="K2644">
        <f t="shared" si="171"/>
        <v>0</v>
      </c>
      <c r="M2644" t="str" cm="1">
        <f t="array" ref="M2644">IFERROR(INDEX($I$2:$K$2,0,MATCH(TRUE,I2644:K2644,0)),E2644)</f>
        <v>Coal</v>
      </c>
      <c r="O2644" t="str">
        <f t="shared" si="172"/>
        <v>Coal_2022</v>
      </c>
      <c r="P2644">
        <f t="shared" si="173"/>
        <v>179</v>
      </c>
    </row>
    <row r="2645" spans="4:16" x14ac:dyDescent="0.25">
      <c r="D2645">
        <v>2023</v>
      </c>
      <c r="E2645" t="s">
        <v>279</v>
      </c>
      <c r="F2645" t="s">
        <v>314</v>
      </c>
      <c r="G2645">
        <v>179</v>
      </c>
      <c r="I2645">
        <f t="shared" ref="I2645:K2708" si="174">IFERROR(FIND(I$2,$E2645,1)&gt;0,0)</f>
        <v>0</v>
      </c>
      <c r="J2645">
        <f t="shared" si="174"/>
        <v>0</v>
      </c>
      <c r="K2645">
        <f t="shared" si="174"/>
        <v>0</v>
      </c>
      <c r="M2645" t="str" cm="1">
        <f t="array" ref="M2645">IFERROR(INDEX($I$2:$K$2,0,MATCH(TRUE,I2645:K2645,0)),E2645)</f>
        <v>Coal</v>
      </c>
      <c r="O2645" t="str">
        <f t="shared" si="172"/>
        <v>Coal_2023</v>
      </c>
      <c r="P2645">
        <f t="shared" si="173"/>
        <v>179</v>
      </c>
    </row>
    <row r="2646" spans="4:16" x14ac:dyDescent="0.25">
      <c r="D2646">
        <v>2024</v>
      </c>
      <c r="E2646" t="s">
        <v>279</v>
      </c>
      <c r="F2646" t="s">
        <v>314</v>
      </c>
      <c r="G2646">
        <v>179</v>
      </c>
      <c r="I2646">
        <f t="shared" si="174"/>
        <v>0</v>
      </c>
      <c r="J2646">
        <f t="shared" si="174"/>
        <v>0</v>
      </c>
      <c r="K2646">
        <f t="shared" si="174"/>
        <v>0</v>
      </c>
      <c r="M2646" t="str" cm="1">
        <f t="array" ref="M2646">IFERROR(INDEX($I$2:$K$2,0,MATCH(TRUE,I2646:K2646,0)),E2646)</f>
        <v>Coal</v>
      </c>
      <c r="O2646" t="str">
        <f t="shared" si="172"/>
        <v>Coal_2024</v>
      </c>
      <c r="P2646">
        <f t="shared" si="173"/>
        <v>179</v>
      </c>
    </row>
    <row r="2647" spans="4:16" x14ac:dyDescent="0.25">
      <c r="D2647">
        <v>2021</v>
      </c>
      <c r="E2647" t="s">
        <v>279</v>
      </c>
      <c r="F2647" t="s">
        <v>315</v>
      </c>
      <c r="G2647">
        <v>89</v>
      </c>
      <c r="I2647">
        <f t="shared" si="174"/>
        <v>0</v>
      </c>
      <c r="J2647">
        <f t="shared" si="174"/>
        <v>0</v>
      </c>
      <c r="K2647">
        <f t="shared" si="174"/>
        <v>0</v>
      </c>
      <c r="M2647" t="str" cm="1">
        <f t="array" ref="M2647">IFERROR(INDEX($I$2:$K$2,0,MATCH(TRUE,I2647:K2647,0)),E2647)</f>
        <v>Coal</v>
      </c>
      <c r="O2647" t="str">
        <f t="shared" si="172"/>
        <v>Coal_2021</v>
      </c>
      <c r="P2647">
        <f t="shared" si="173"/>
        <v>89</v>
      </c>
    </row>
    <row r="2648" spans="4:16" x14ac:dyDescent="0.25">
      <c r="D2648">
        <v>2022</v>
      </c>
      <c r="E2648" t="s">
        <v>279</v>
      </c>
      <c r="F2648" t="s">
        <v>315</v>
      </c>
      <c r="G2648">
        <v>89</v>
      </c>
      <c r="I2648">
        <f t="shared" si="174"/>
        <v>0</v>
      </c>
      <c r="J2648">
        <f t="shared" si="174"/>
        <v>0</v>
      </c>
      <c r="K2648">
        <f t="shared" si="174"/>
        <v>0</v>
      </c>
      <c r="M2648" t="str" cm="1">
        <f t="array" ref="M2648">IFERROR(INDEX($I$2:$K$2,0,MATCH(TRUE,I2648:K2648,0)),E2648)</f>
        <v>Coal</v>
      </c>
      <c r="O2648" t="str">
        <f t="shared" si="172"/>
        <v>Coal_2022</v>
      </c>
      <c r="P2648">
        <f t="shared" si="173"/>
        <v>89</v>
      </c>
    </row>
    <row r="2649" spans="4:16" x14ac:dyDescent="0.25">
      <c r="D2649">
        <v>2023</v>
      </c>
      <c r="E2649" t="s">
        <v>279</v>
      </c>
      <c r="F2649" t="s">
        <v>315</v>
      </c>
      <c r="G2649">
        <v>89</v>
      </c>
      <c r="I2649">
        <f t="shared" si="174"/>
        <v>0</v>
      </c>
      <c r="J2649">
        <f t="shared" si="174"/>
        <v>0</v>
      </c>
      <c r="K2649">
        <f t="shared" si="174"/>
        <v>0</v>
      </c>
      <c r="M2649" t="str" cm="1">
        <f t="array" ref="M2649">IFERROR(INDEX($I$2:$K$2,0,MATCH(TRUE,I2649:K2649,0)),E2649)</f>
        <v>Coal</v>
      </c>
      <c r="O2649" t="str">
        <f t="shared" si="172"/>
        <v>Coal_2023</v>
      </c>
      <c r="P2649">
        <f t="shared" si="173"/>
        <v>89</v>
      </c>
    </row>
    <row r="2650" spans="4:16" x14ac:dyDescent="0.25">
      <c r="D2650">
        <v>2024</v>
      </c>
      <c r="E2650" t="s">
        <v>279</v>
      </c>
      <c r="F2650" t="s">
        <v>315</v>
      </c>
      <c r="G2650">
        <v>89</v>
      </c>
      <c r="I2650">
        <f t="shared" si="174"/>
        <v>0</v>
      </c>
      <c r="J2650">
        <f t="shared" si="174"/>
        <v>0</v>
      </c>
      <c r="K2650">
        <f t="shared" si="174"/>
        <v>0</v>
      </c>
      <c r="M2650" t="str" cm="1">
        <f t="array" ref="M2650">IFERROR(INDEX($I$2:$K$2,0,MATCH(TRUE,I2650:K2650,0)),E2650)</f>
        <v>Coal</v>
      </c>
      <c r="O2650" t="str">
        <f t="shared" si="172"/>
        <v>Coal_2024</v>
      </c>
      <c r="P2650">
        <f t="shared" si="173"/>
        <v>89</v>
      </c>
    </row>
    <row r="2651" spans="4:16" x14ac:dyDescent="0.25">
      <c r="D2651">
        <v>2025</v>
      </c>
      <c r="E2651" t="s">
        <v>279</v>
      </c>
      <c r="F2651" t="s">
        <v>315</v>
      </c>
      <c r="G2651">
        <v>89</v>
      </c>
      <c r="I2651">
        <f t="shared" si="174"/>
        <v>0</v>
      </c>
      <c r="J2651">
        <f t="shared" si="174"/>
        <v>0</v>
      </c>
      <c r="K2651">
        <f t="shared" si="174"/>
        <v>0</v>
      </c>
      <c r="M2651" t="str" cm="1">
        <f t="array" ref="M2651">IFERROR(INDEX($I$2:$K$2,0,MATCH(TRUE,I2651:K2651,0)),E2651)</f>
        <v>Coal</v>
      </c>
      <c r="O2651" t="str">
        <f t="shared" si="172"/>
        <v>Coal_2025</v>
      </c>
      <c r="P2651">
        <f t="shared" si="173"/>
        <v>89</v>
      </c>
    </row>
    <row r="2652" spans="4:16" x14ac:dyDescent="0.25">
      <c r="D2652">
        <v>2021</v>
      </c>
      <c r="E2652" t="s">
        <v>279</v>
      </c>
      <c r="F2652" t="s">
        <v>316</v>
      </c>
      <c r="G2652">
        <v>333</v>
      </c>
      <c r="I2652">
        <f t="shared" si="174"/>
        <v>0</v>
      </c>
      <c r="J2652">
        <f t="shared" si="174"/>
        <v>0</v>
      </c>
      <c r="K2652">
        <f t="shared" si="174"/>
        <v>0</v>
      </c>
      <c r="M2652" t="str" cm="1">
        <f t="array" ref="M2652">IFERROR(INDEX($I$2:$K$2,0,MATCH(TRUE,I2652:K2652,0)),E2652)</f>
        <v>Coal</v>
      </c>
      <c r="O2652" t="str">
        <f t="shared" si="172"/>
        <v>Coal_2021</v>
      </c>
      <c r="P2652">
        <f t="shared" si="173"/>
        <v>333</v>
      </c>
    </row>
    <row r="2653" spans="4:16" x14ac:dyDescent="0.25">
      <c r="D2653">
        <v>2022</v>
      </c>
      <c r="E2653" t="s">
        <v>279</v>
      </c>
      <c r="F2653" t="s">
        <v>316</v>
      </c>
      <c r="G2653">
        <v>333</v>
      </c>
      <c r="I2653">
        <f t="shared" si="174"/>
        <v>0</v>
      </c>
      <c r="J2653">
        <f t="shared" si="174"/>
        <v>0</v>
      </c>
      <c r="K2653">
        <f t="shared" si="174"/>
        <v>0</v>
      </c>
      <c r="M2653" t="str" cm="1">
        <f t="array" ref="M2653">IFERROR(INDEX($I$2:$K$2,0,MATCH(TRUE,I2653:K2653,0)),E2653)</f>
        <v>Coal</v>
      </c>
      <c r="O2653" t="str">
        <f t="shared" si="172"/>
        <v>Coal_2022</v>
      </c>
      <c r="P2653">
        <f t="shared" si="173"/>
        <v>333</v>
      </c>
    </row>
    <row r="2654" spans="4:16" x14ac:dyDescent="0.25">
      <c r="D2654">
        <v>2023</v>
      </c>
      <c r="E2654" t="s">
        <v>279</v>
      </c>
      <c r="F2654" t="s">
        <v>316</v>
      </c>
      <c r="G2654">
        <v>333</v>
      </c>
      <c r="I2654">
        <f t="shared" si="174"/>
        <v>0</v>
      </c>
      <c r="J2654">
        <f t="shared" si="174"/>
        <v>0</v>
      </c>
      <c r="K2654">
        <f t="shared" si="174"/>
        <v>0</v>
      </c>
      <c r="M2654" t="str" cm="1">
        <f t="array" ref="M2654">IFERROR(INDEX($I$2:$K$2,0,MATCH(TRUE,I2654:K2654,0)),E2654)</f>
        <v>Coal</v>
      </c>
      <c r="O2654" t="str">
        <f t="shared" si="172"/>
        <v>Coal_2023</v>
      </c>
      <c r="P2654">
        <f t="shared" si="173"/>
        <v>333</v>
      </c>
    </row>
    <row r="2655" spans="4:16" x14ac:dyDescent="0.25">
      <c r="D2655">
        <v>2024</v>
      </c>
      <c r="E2655" t="s">
        <v>279</v>
      </c>
      <c r="F2655" t="s">
        <v>316</v>
      </c>
      <c r="G2655">
        <v>333</v>
      </c>
      <c r="I2655">
        <f t="shared" si="174"/>
        <v>0</v>
      </c>
      <c r="J2655">
        <f t="shared" si="174"/>
        <v>0</v>
      </c>
      <c r="K2655">
        <f t="shared" si="174"/>
        <v>0</v>
      </c>
      <c r="M2655" t="str" cm="1">
        <f t="array" ref="M2655">IFERROR(INDEX($I$2:$K$2,0,MATCH(TRUE,I2655:K2655,0)),E2655)</f>
        <v>Coal</v>
      </c>
      <c r="O2655" t="str">
        <f t="shared" si="172"/>
        <v>Coal_2024</v>
      </c>
      <c r="P2655">
        <f t="shared" si="173"/>
        <v>333</v>
      </c>
    </row>
    <row r="2656" spans="4:16" x14ac:dyDescent="0.25">
      <c r="D2656">
        <v>2025</v>
      </c>
      <c r="E2656" t="s">
        <v>279</v>
      </c>
      <c r="F2656" t="s">
        <v>316</v>
      </c>
      <c r="G2656">
        <v>333</v>
      </c>
      <c r="I2656">
        <f t="shared" si="174"/>
        <v>0</v>
      </c>
      <c r="J2656">
        <f t="shared" si="174"/>
        <v>0</v>
      </c>
      <c r="K2656">
        <f t="shared" si="174"/>
        <v>0</v>
      </c>
      <c r="M2656" t="str" cm="1">
        <f t="array" ref="M2656">IFERROR(INDEX($I$2:$K$2,0,MATCH(TRUE,I2656:K2656,0)),E2656)</f>
        <v>Coal</v>
      </c>
      <c r="O2656" t="str">
        <f t="shared" si="172"/>
        <v>Coal_2025</v>
      </c>
      <c r="P2656">
        <f t="shared" si="173"/>
        <v>333</v>
      </c>
    </row>
    <row r="2657" spans="4:16" x14ac:dyDescent="0.25">
      <c r="D2657">
        <v>2021</v>
      </c>
      <c r="E2657" t="s">
        <v>279</v>
      </c>
      <c r="F2657" t="s">
        <v>317</v>
      </c>
      <c r="G2657">
        <v>505</v>
      </c>
      <c r="I2657">
        <f t="shared" si="174"/>
        <v>0</v>
      </c>
      <c r="J2657">
        <f t="shared" si="174"/>
        <v>0</v>
      </c>
      <c r="K2657">
        <f t="shared" si="174"/>
        <v>0</v>
      </c>
      <c r="M2657" t="str" cm="1">
        <f t="array" ref="M2657">IFERROR(INDEX($I$2:$K$2,0,MATCH(TRUE,I2657:K2657,0)),E2657)</f>
        <v>Coal</v>
      </c>
      <c r="O2657" t="str">
        <f t="shared" si="172"/>
        <v>Coal_2021</v>
      </c>
      <c r="P2657">
        <f t="shared" si="173"/>
        <v>505</v>
      </c>
    </row>
    <row r="2658" spans="4:16" x14ac:dyDescent="0.25">
      <c r="D2658">
        <v>2022</v>
      </c>
      <c r="E2658" t="s">
        <v>279</v>
      </c>
      <c r="F2658" t="s">
        <v>317</v>
      </c>
      <c r="G2658">
        <v>505</v>
      </c>
      <c r="I2658">
        <f t="shared" si="174"/>
        <v>0</v>
      </c>
      <c r="J2658">
        <f t="shared" si="174"/>
        <v>0</v>
      </c>
      <c r="K2658">
        <f t="shared" si="174"/>
        <v>0</v>
      </c>
      <c r="M2658" t="str" cm="1">
        <f t="array" ref="M2658">IFERROR(INDEX($I$2:$K$2,0,MATCH(TRUE,I2658:K2658,0)),E2658)</f>
        <v>Coal</v>
      </c>
      <c r="O2658" t="str">
        <f t="shared" si="172"/>
        <v>Coal_2022</v>
      </c>
      <c r="P2658">
        <f t="shared" si="173"/>
        <v>505</v>
      </c>
    </row>
    <row r="2659" spans="4:16" x14ac:dyDescent="0.25">
      <c r="D2659">
        <v>2023</v>
      </c>
      <c r="E2659" t="s">
        <v>279</v>
      </c>
      <c r="F2659" t="s">
        <v>317</v>
      </c>
      <c r="G2659">
        <v>0</v>
      </c>
      <c r="I2659">
        <f t="shared" si="174"/>
        <v>0</v>
      </c>
      <c r="J2659">
        <f t="shared" si="174"/>
        <v>0</v>
      </c>
      <c r="K2659">
        <f t="shared" si="174"/>
        <v>0</v>
      </c>
      <c r="M2659" t="str" cm="1">
        <f t="array" ref="M2659">IFERROR(INDEX($I$2:$K$2,0,MATCH(TRUE,I2659:K2659,0)),E2659)</f>
        <v>Coal</v>
      </c>
      <c r="O2659" t="str">
        <f t="shared" si="172"/>
        <v>Coal_2023</v>
      </c>
      <c r="P2659">
        <f t="shared" si="173"/>
        <v>0</v>
      </c>
    </row>
    <row r="2660" spans="4:16" x14ac:dyDescent="0.25">
      <c r="D2660">
        <v>2021</v>
      </c>
      <c r="E2660" t="s">
        <v>279</v>
      </c>
      <c r="F2660" t="s">
        <v>318</v>
      </c>
      <c r="G2660">
        <v>20.5</v>
      </c>
      <c r="I2660">
        <f t="shared" si="174"/>
        <v>0</v>
      </c>
      <c r="J2660">
        <f t="shared" si="174"/>
        <v>0</v>
      </c>
      <c r="K2660">
        <f t="shared" si="174"/>
        <v>0</v>
      </c>
      <c r="M2660" t="str" cm="1">
        <f t="array" ref="M2660">IFERROR(INDEX($I$2:$K$2,0,MATCH(TRUE,I2660:K2660,0)),E2660)</f>
        <v>Coal</v>
      </c>
      <c r="O2660" t="str">
        <f t="shared" si="172"/>
        <v>Coal_2021</v>
      </c>
      <c r="P2660">
        <f t="shared" si="173"/>
        <v>20.5</v>
      </c>
    </row>
    <row r="2661" spans="4:16" x14ac:dyDescent="0.25">
      <c r="D2661">
        <v>2022</v>
      </c>
      <c r="E2661" t="s">
        <v>279</v>
      </c>
      <c r="F2661" t="s">
        <v>318</v>
      </c>
      <c r="G2661">
        <v>20.5</v>
      </c>
      <c r="I2661">
        <f t="shared" si="174"/>
        <v>0</v>
      </c>
      <c r="J2661">
        <f t="shared" si="174"/>
        <v>0</v>
      </c>
      <c r="K2661">
        <f t="shared" si="174"/>
        <v>0</v>
      </c>
      <c r="M2661" t="str" cm="1">
        <f t="array" ref="M2661">IFERROR(INDEX($I$2:$K$2,0,MATCH(TRUE,I2661:K2661,0)),E2661)</f>
        <v>Coal</v>
      </c>
      <c r="O2661" t="str">
        <f t="shared" si="172"/>
        <v>Coal_2022</v>
      </c>
      <c r="P2661">
        <f t="shared" si="173"/>
        <v>20.5</v>
      </c>
    </row>
    <row r="2662" spans="4:16" x14ac:dyDescent="0.25">
      <c r="D2662">
        <v>2021</v>
      </c>
      <c r="E2662" t="s">
        <v>279</v>
      </c>
      <c r="F2662" t="s">
        <v>319</v>
      </c>
      <c r="G2662">
        <v>282</v>
      </c>
      <c r="I2662">
        <f t="shared" si="174"/>
        <v>0</v>
      </c>
      <c r="J2662">
        <f t="shared" si="174"/>
        <v>0</v>
      </c>
      <c r="K2662">
        <f t="shared" si="174"/>
        <v>0</v>
      </c>
      <c r="M2662" t="str" cm="1">
        <f t="array" ref="M2662">IFERROR(INDEX($I$2:$K$2,0,MATCH(TRUE,I2662:K2662,0)),E2662)</f>
        <v>Coal</v>
      </c>
      <c r="O2662" t="str">
        <f t="shared" si="172"/>
        <v>Coal_2021</v>
      </c>
      <c r="P2662">
        <f t="shared" si="173"/>
        <v>282</v>
      </c>
    </row>
    <row r="2663" spans="4:16" x14ac:dyDescent="0.25">
      <c r="D2663">
        <v>2022</v>
      </c>
      <c r="E2663" t="s">
        <v>279</v>
      </c>
      <c r="F2663" t="s">
        <v>319</v>
      </c>
      <c r="G2663">
        <v>282</v>
      </c>
      <c r="I2663">
        <f t="shared" si="174"/>
        <v>0</v>
      </c>
      <c r="J2663">
        <f t="shared" si="174"/>
        <v>0</v>
      </c>
      <c r="K2663">
        <f t="shared" si="174"/>
        <v>0</v>
      </c>
      <c r="M2663" t="str" cm="1">
        <f t="array" ref="M2663">IFERROR(INDEX($I$2:$K$2,0,MATCH(TRUE,I2663:K2663,0)),E2663)</f>
        <v>Coal</v>
      </c>
      <c r="O2663" t="str">
        <f t="shared" si="172"/>
        <v>Coal_2022</v>
      </c>
      <c r="P2663">
        <f t="shared" si="173"/>
        <v>282</v>
      </c>
    </row>
    <row r="2664" spans="4:16" x14ac:dyDescent="0.25">
      <c r="D2664">
        <v>2023</v>
      </c>
      <c r="E2664" t="s">
        <v>279</v>
      </c>
      <c r="F2664" t="s">
        <v>319</v>
      </c>
      <c r="G2664">
        <v>282</v>
      </c>
      <c r="I2664">
        <f t="shared" si="174"/>
        <v>0</v>
      </c>
      <c r="J2664">
        <f t="shared" si="174"/>
        <v>0</v>
      </c>
      <c r="K2664">
        <f t="shared" si="174"/>
        <v>0</v>
      </c>
      <c r="M2664" t="str" cm="1">
        <f t="array" ref="M2664">IFERROR(INDEX($I$2:$K$2,0,MATCH(TRUE,I2664:K2664,0)),E2664)</f>
        <v>Coal</v>
      </c>
      <c r="O2664" t="str">
        <f t="shared" si="172"/>
        <v>Coal_2023</v>
      </c>
      <c r="P2664">
        <f t="shared" si="173"/>
        <v>282</v>
      </c>
    </row>
    <row r="2665" spans="4:16" x14ac:dyDescent="0.25">
      <c r="D2665">
        <v>2024</v>
      </c>
      <c r="E2665" t="s">
        <v>279</v>
      </c>
      <c r="F2665" t="s">
        <v>319</v>
      </c>
      <c r="G2665">
        <v>282</v>
      </c>
      <c r="I2665">
        <f t="shared" si="174"/>
        <v>0</v>
      </c>
      <c r="J2665">
        <f t="shared" si="174"/>
        <v>0</v>
      </c>
      <c r="K2665">
        <f t="shared" si="174"/>
        <v>0</v>
      </c>
      <c r="M2665" t="str" cm="1">
        <f t="array" ref="M2665">IFERROR(INDEX($I$2:$K$2,0,MATCH(TRUE,I2665:K2665,0)),E2665)</f>
        <v>Coal</v>
      </c>
      <c r="O2665" t="str">
        <f t="shared" si="172"/>
        <v>Coal_2024</v>
      </c>
      <c r="P2665">
        <f t="shared" si="173"/>
        <v>282</v>
      </c>
    </row>
    <row r="2666" spans="4:16" x14ac:dyDescent="0.25">
      <c r="D2666">
        <v>2021</v>
      </c>
      <c r="E2666" t="s">
        <v>279</v>
      </c>
      <c r="F2666" t="s">
        <v>320</v>
      </c>
      <c r="G2666">
        <v>282</v>
      </c>
      <c r="I2666">
        <f t="shared" si="174"/>
        <v>0</v>
      </c>
      <c r="J2666">
        <f t="shared" si="174"/>
        <v>0</v>
      </c>
      <c r="K2666">
        <f t="shared" si="174"/>
        <v>0</v>
      </c>
      <c r="M2666" t="str" cm="1">
        <f t="array" ref="M2666">IFERROR(INDEX($I$2:$K$2,0,MATCH(TRUE,I2666:K2666,0)),E2666)</f>
        <v>Coal</v>
      </c>
      <c r="O2666" t="str">
        <f t="shared" si="172"/>
        <v>Coal_2021</v>
      </c>
      <c r="P2666">
        <f t="shared" si="173"/>
        <v>282</v>
      </c>
    </row>
    <row r="2667" spans="4:16" x14ac:dyDescent="0.25">
      <c r="D2667">
        <v>2022</v>
      </c>
      <c r="E2667" t="s">
        <v>279</v>
      </c>
      <c r="F2667" t="s">
        <v>320</v>
      </c>
      <c r="G2667">
        <v>282</v>
      </c>
      <c r="I2667">
        <f t="shared" si="174"/>
        <v>0</v>
      </c>
      <c r="J2667">
        <f t="shared" si="174"/>
        <v>0</v>
      </c>
      <c r="K2667">
        <f t="shared" si="174"/>
        <v>0</v>
      </c>
      <c r="M2667" t="str" cm="1">
        <f t="array" ref="M2667">IFERROR(INDEX($I$2:$K$2,0,MATCH(TRUE,I2667:K2667,0)),E2667)</f>
        <v>Coal</v>
      </c>
      <c r="O2667" t="str">
        <f t="shared" si="172"/>
        <v>Coal_2022</v>
      </c>
      <c r="P2667">
        <f t="shared" si="173"/>
        <v>282</v>
      </c>
    </row>
    <row r="2668" spans="4:16" x14ac:dyDescent="0.25">
      <c r="D2668">
        <v>2023</v>
      </c>
      <c r="E2668" t="s">
        <v>279</v>
      </c>
      <c r="F2668" t="s">
        <v>320</v>
      </c>
      <c r="G2668">
        <v>282</v>
      </c>
      <c r="I2668">
        <f t="shared" si="174"/>
        <v>0</v>
      </c>
      <c r="J2668">
        <f t="shared" si="174"/>
        <v>0</v>
      </c>
      <c r="K2668">
        <f t="shared" si="174"/>
        <v>0</v>
      </c>
      <c r="M2668" t="str" cm="1">
        <f t="array" ref="M2668">IFERROR(INDEX($I$2:$K$2,0,MATCH(TRUE,I2668:K2668,0)),E2668)</f>
        <v>Coal</v>
      </c>
      <c r="O2668" t="str">
        <f t="shared" si="172"/>
        <v>Coal_2023</v>
      </c>
      <c r="P2668">
        <f t="shared" si="173"/>
        <v>282</v>
      </c>
    </row>
    <row r="2669" spans="4:16" x14ac:dyDescent="0.25">
      <c r="D2669">
        <v>2024</v>
      </c>
      <c r="E2669" t="s">
        <v>279</v>
      </c>
      <c r="F2669" t="s">
        <v>320</v>
      </c>
      <c r="G2669">
        <v>282</v>
      </c>
      <c r="I2669">
        <f t="shared" si="174"/>
        <v>0</v>
      </c>
      <c r="J2669">
        <f t="shared" si="174"/>
        <v>0</v>
      </c>
      <c r="K2669">
        <f t="shared" si="174"/>
        <v>0</v>
      </c>
      <c r="M2669" t="str" cm="1">
        <f t="array" ref="M2669">IFERROR(INDEX($I$2:$K$2,0,MATCH(TRUE,I2669:K2669,0)),E2669)</f>
        <v>Coal</v>
      </c>
      <c r="O2669" t="str">
        <f t="shared" si="172"/>
        <v>Coal_2024</v>
      </c>
      <c r="P2669">
        <f t="shared" si="173"/>
        <v>282</v>
      </c>
    </row>
    <row r="2670" spans="4:16" x14ac:dyDescent="0.25">
      <c r="D2670">
        <v>2025</v>
      </c>
      <c r="E2670" t="s">
        <v>279</v>
      </c>
      <c r="F2670" t="s">
        <v>320</v>
      </c>
      <c r="G2670">
        <v>282</v>
      </c>
      <c r="I2670">
        <f t="shared" si="174"/>
        <v>0</v>
      </c>
      <c r="J2670">
        <f t="shared" si="174"/>
        <v>0</v>
      </c>
      <c r="K2670">
        <f t="shared" si="174"/>
        <v>0</v>
      </c>
      <c r="M2670" t="str" cm="1">
        <f t="array" ref="M2670">IFERROR(INDEX($I$2:$K$2,0,MATCH(TRUE,I2670:K2670,0)),E2670)</f>
        <v>Coal</v>
      </c>
      <c r="O2670" t="str">
        <f t="shared" si="172"/>
        <v>Coal_2025</v>
      </c>
      <c r="P2670">
        <f t="shared" si="173"/>
        <v>282</v>
      </c>
    </row>
    <row r="2671" spans="4:16" x14ac:dyDescent="0.25">
      <c r="D2671">
        <v>2021</v>
      </c>
      <c r="E2671" t="s">
        <v>279</v>
      </c>
      <c r="F2671" t="s">
        <v>321</v>
      </c>
      <c r="G2671">
        <v>508</v>
      </c>
      <c r="I2671">
        <f t="shared" si="174"/>
        <v>0</v>
      </c>
      <c r="J2671">
        <f t="shared" si="174"/>
        <v>0</v>
      </c>
      <c r="K2671">
        <f t="shared" si="174"/>
        <v>0</v>
      </c>
      <c r="M2671" t="str" cm="1">
        <f t="array" ref="M2671">IFERROR(INDEX($I$2:$K$2,0,MATCH(TRUE,I2671:K2671,0)),E2671)</f>
        <v>Coal</v>
      </c>
      <c r="O2671" t="str">
        <f t="shared" si="172"/>
        <v>Coal_2021</v>
      </c>
      <c r="P2671">
        <f t="shared" si="173"/>
        <v>508</v>
      </c>
    </row>
    <row r="2672" spans="4:16" x14ac:dyDescent="0.25">
      <c r="D2672">
        <v>2022</v>
      </c>
      <c r="E2672" t="s">
        <v>279</v>
      </c>
      <c r="F2672" t="s">
        <v>321</v>
      </c>
      <c r="G2672">
        <v>508</v>
      </c>
      <c r="I2672">
        <f t="shared" si="174"/>
        <v>0</v>
      </c>
      <c r="J2672">
        <f t="shared" si="174"/>
        <v>0</v>
      </c>
      <c r="K2672">
        <f t="shared" si="174"/>
        <v>0</v>
      </c>
      <c r="M2672" t="str" cm="1">
        <f t="array" ref="M2672">IFERROR(INDEX($I$2:$K$2,0,MATCH(TRUE,I2672:K2672,0)),E2672)</f>
        <v>Coal</v>
      </c>
      <c r="O2672" t="str">
        <f t="shared" si="172"/>
        <v>Coal_2022</v>
      </c>
      <c r="P2672">
        <f t="shared" si="173"/>
        <v>508</v>
      </c>
    </row>
    <row r="2673" spans="4:16" x14ac:dyDescent="0.25">
      <c r="D2673">
        <v>2023</v>
      </c>
      <c r="E2673" t="s">
        <v>279</v>
      </c>
      <c r="F2673" t="s">
        <v>321</v>
      </c>
      <c r="G2673">
        <v>0</v>
      </c>
      <c r="I2673">
        <f t="shared" si="174"/>
        <v>0</v>
      </c>
      <c r="J2673">
        <f t="shared" si="174"/>
        <v>0</v>
      </c>
      <c r="K2673">
        <f t="shared" si="174"/>
        <v>0</v>
      </c>
      <c r="M2673" t="str" cm="1">
        <f t="array" ref="M2673">IFERROR(INDEX($I$2:$K$2,0,MATCH(TRUE,I2673:K2673,0)),E2673)</f>
        <v>Coal</v>
      </c>
      <c r="O2673" t="str">
        <f t="shared" si="172"/>
        <v>Coal_2023</v>
      </c>
      <c r="P2673">
        <f t="shared" si="173"/>
        <v>0</v>
      </c>
    </row>
    <row r="2674" spans="4:16" x14ac:dyDescent="0.25">
      <c r="D2674">
        <v>2021</v>
      </c>
      <c r="E2674" t="s">
        <v>279</v>
      </c>
      <c r="F2674" t="s">
        <v>322</v>
      </c>
      <c r="G2674">
        <v>345</v>
      </c>
      <c r="I2674">
        <f t="shared" si="174"/>
        <v>0</v>
      </c>
      <c r="J2674">
        <f t="shared" si="174"/>
        <v>0</v>
      </c>
      <c r="K2674">
        <f t="shared" si="174"/>
        <v>0</v>
      </c>
      <c r="M2674" t="str" cm="1">
        <f t="array" ref="M2674">IFERROR(INDEX($I$2:$K$2,0,MATCH(TRUE,I2674:K2674,0)),E2674)</f>
        <v>Coal</v>
      </c>
      <c r="O2674" t="str">
        <f t="shared" si="172"/>
        <v>Coal_2021</v>
      </c>
      <c r="P2674">
        <f t="shared" si="173"/>
        <v>345</v>
      </c>
    </row>
    <row r="2675" spans="4:16" x14ac:dyDescent="0.25">
      <c r="D2675">
        <v>2022</v>
      </c>
      <c r="E2675" t="s">
        <v>279</v>
      </c>
      <c r="F2675" t="s">
        <v>322</v>
      </c>
      <c r="G2675">
        <v>345</v>
      </c>
      <c r="I2675">
        <f t="shared" si="174"/>
        <v>0</v>
      </c>
      <c r="J2675">
        <f t="shared" si="174"/>
        <v>0</v>
      </c>
      <c r="K2675">
        <f t="shared" si="174"/>
        <v>0</v>
      </c>
      <c r="M2675" t="str" cm="1">
        <f t="array" ref="M2675">IFERROR(INDEX($I$2:$K$2,0,MATCH(TRUE,I2675:K2675,0)),E2675)</f>
        <v>Coal</v>
      </c>
      <c r="O2675" t="str">
        <f t="shared" si="172"/>
        <v>Coal_2022</v>
      </c>
      <c r="P2675">
        <f t="shared" si="173"/>
        <v>345</v>
      </c>
    </row>
    <row r="2676" spans="4:16" x14ac:dyDescent="0.25">
      <c r="D2676">
        <v>2021</v>
      </c>
      <c r="E2676" t="s">
        <v>279</v>
      </c>
      <c r="F2676" t="s">
        <v>323</v>
      </c>
      <c r="G2676">
        <v>345</v>
      </c>
      <c r="I2676">
        <f t="shared" si="174"/>
        <v>0</v>
      </c>
      <c r="J2676">
        <f t="shared" si="174"/>
        <v>0</v>
      </c>
      <c r="K2676">
        <f t="shared" si="174"/>
        <v>0</v>
      </c>
      <c r="M2676" t="str" cm="1">
        <f t="array" ref="M2676">IFERROR(INDEX($I$2:$K$2,0,MATCH(TRUE,I2676:K2676,0)),E2676)</f>
        <v>Coal</v>
      </c>
      <c r="O2676" t="str">
        <f t="shared" si="172"/>
        <v>Coal_2021</v>
      </c>
      <c r="P2676">
        <f t="shared" si="173"/>
        <v>345</v>
      </c>
    </row>
    <row r="2677" spans="4:16" x14ac:dyDescent="0.25">
      <c r="D2677">
        <v>2022</v>
      </c>
      <c r="E2677" t="s">
        <v>279</v>
      </c>
      <c r="F2677" t="s">
        <v>323</v>
      </c>
      <c r="G2677">
        <v>345</v>
      </c>
      <c r="I2677">
        <f t="shared" si="174"/>
        <v>0</v>
      </c>
      <c r="J2677">
        <f t="shared" si="174"/>
        <v>0</v>
      </c>
      <c r="K2677">
        <f t="shared" si="174"/>
        <v>0</v>
      </c>
      <c r="M2677" t="str" cm="1">
        <f t="array" ref="M2677">IFERROR(INDEX($I$2:$K$2,0,MATCH(TRUE,I2677:K2677,0)),E2677)</f>
        <v>Coal</v>
      </c>
      <c r="O2677" t="str">
        <f t="shared" si="172"/>
        <v>Coal_2022</v>
      </c>
      <c r="P2677">
        <f t="shared" si="173"/>
        <v>345</v>
      </c>
    </row>
    <row r="2678" spans="4:16" x14ac:dyDescent="0.25">
      <c r="D2678">
        <v>2021</v>
      </c>
      <c r="E2678" t="s">
        <v>279</v>
      </c>
      <c r="F2678" t="s">
        <v>324</v>
      </c>
      <c r="G2678">
        <v>510</v>
      </c>
      <c r="I2678">
        <f t="shared" si="174"/>
        <v>0</v>
      </c>
      <c r="J2678">
        <f t="shared" si="174"/>
        <v>0</v>
      </c>
      <c r="K2678">
        <f t="shared" si="174"/>
        <v>0</v>
      </c>
      <c r="M2678" t="str" cm="1">
        <f t="array" ref="M2678">IFERROR(INDEX($I$2:$K$2,0,MATCH(TRUE,I2678:K2678,0)),E2678)</f>
        <v>Coal</v>
      </c>
      <c r="O2678" t="str">
        <f t="shared" si="172"/>
        <v>Coal_2021</v>
      </c>
      <c r="P2678">
        <f t="shared" si="173"/>
        <v>510</v>
      </c>
    </row>
    <row r="2679" spans="4:16" x14ac:dyDescent="0.25">
      <c r="D2679">
        <v>2022</v>
      </c>
      <c r="E2679" t="s">
        <v>279</v>
      </c>
      <c r="F2679" t="s">
        <v>324</v>
      </c>
      <c r="G2679">
        <v>510</v>
      </c>
      <c r="I2679">
        <f t="shared" si="174"/>
        <v>0</v>
      </c>
      <c r="J2679">
        <f t="shared" si="174"/>
        <v>0</v>
      </c>
      <c r="K2679">
        <f t="shared" si="174"/>
        <v>0</v>
      </c>
      <c r="M2679" t="str" cm="1">
        <f t="array" ref="M2679">IFERROR(INDEX($I$2:$K$2,0,MATCH(TRUE,I2679:K2679,0)),E2679)</f>
        <v>Coal</v>
      </c>
      <c r="O2679" t="str">
        <f t="shared" si="172"/>
        <v>Coal_2022</v>
      </c>
      <c r="P2679">
        <f t="shared" si="173"/>
        <v>510</v>
      </c>
    </row>
    <row r="2680" spans="4:16" x14ac:dyDescent="0.25">
      <c r="D2680">
        <v>2023</v>
      </c>
      <c r="E2680" t="s">
        <v>279</v>
      </c>
      <c r="F2680" t="s">
        <v>324</v>
      </c>
      <c r="G2680">
        <v>0</v>
      </c>
      <c r="I2680">
        <f t="shared" si="174"/>
        <v>0</v>
      </c>
      <c r="J2680">
        <f t="shared" si="174"/>
        <v>0</v>
      </c>
      <c r="K2680">
        <f t="shared" si="174"/>
        <v>0</v>
      </c>
      <c r="M2680" t="str" cm="1">
        <f t="array" ref="M2680">IFERROR(INDEX($I$2:$K$2,0,MATCH(TRUE,I2680:K2680,0)),E2680)</f>
        <v>Coal</v>
      </c>
      <c r="O2680" t="str">
        <f t="shared" si="172"/>
        <v>Coal_2023</v>
      </c>
      <c r="P2680">
        <f t="shared" si="173"/>
        <v>0</v>
      </c>
    </row>
    <row r="2681" spans="4:16" x14ac:dyDescent="0.25">
      <c r="D2681">
        <v>2021</v>
      </c>
      <c r="E2681" t="s">
        <v>279</v>
      </c>
      <c r="F2681" t="s">
        <v>325</v>
      </c>
      <c r="G2681">
        <v>370</v>
      </c>
      <c r="I2681">
        <f t="shared" si="174"/>
        <v>0</v>
      </c>
      <c r="J2681">
        <f t="shared" si="174"/>
        <v>0</v>
      </c>
      <c r="K2681">
        <f t="shared" si="174"/>
        <v>0</v>
      </c>
      <c r="M2681" t="str" cm="1">
        <f t="array" ref="M2681">IFERROR(INDEX($I$2:$K$2,0,MATCH(TRUE,I2681:K2681,0)),E2681)</f>
        <v>Coal</v>
      </c>
      <c r="O2681" t="str">
        <f t="shared" si="172"/>
        <v>Coal_2021</v>
      </c>
      <c r="P2681">
        <f t="shared" si="173"/>
        <v>370</v>
      </c>
    </row>
    <row r="2682" spans="4:16" x14ac:dyDescent="0.25">
      <c r="D2682">
        <v>2022</v>
      </c>
      <c r="E2682" t="s">
        <v>279</v>
      </c>
      <c r="F2682" t="s">
        <v>325</v>
      </c>
      <c r="G2682">
        <v>370</v>
      </c>
      <c r="I2682">
        <f t="shared" si="174"/>
        <v>0</v>
      </c>
      <c r="J2682">
        <f t="shared" si="174"/>
        <v>0</v>
      </c>
      <c r="K2682">
        <f t="shared" si="174"/>
        <v>0</v>
      </c>
      <c r="M2682" t="str" cm="1">
        <f t="array" ref="M2682">IFERROR(INDEX($I$2:$K$2,0,MATCH(TRUE,I2682:K2682,0)),E2682)</f>
        <v>Coal</v>
      </c>
      <c r="O2682" t="str">
        <f t="shared" si="172"/>
        <v>Coal_2022</v>
      </c>
      <c r="P2682">
        <f t="shared" si="173"/>
        <v>370</v>
      </c>
    </row>
    <row r="2683" spans="4:16" x14ac:dyDescent="0.25">
      <c r="D2683">
        <v>2023</v>
      </c>
      <c r="E2683" t="s">
        <v>279</v>
      </c>
      <c r="F2683" t="s">
        <v>325</v>
      </c>
      <c r="G2683">
        <v>370</v>
      </c>
      <c r="I2683">
        <f t="shared" si="174"/>
        <v>0</v>
      </c>
      <c r="J2683">
        <f t="shared" si="174"/>
        <v>0</v>
      </c>
      <c r="K2683">
        <f t="shared" si="174"/>
        <v>0</v>
      </c>
      <c r="M2683" t="str" cm="1">
        <f t="array" ref="M2683">IFERROR(INDEX($I$2:$K$2,0,MATCH(TRUE,I2683:K2683,0)),E2683)</f>
        <v>Coal</v>
      </c>
      <c r="O2683" t="str">
        <f t="shared" si="172"/>
        <v>Coal_2023</v>
      </c>
      <c r="P2683">
        <f t="shared" si="173"/>
        <v>370</v>
      </c>
    </row>
    <row r="2684" spans="4:16" x14ac:dyDescent="0.25">
      <c r="D2684">
        <v>2024</v>
      </c>
      <c r="E2684" t="s">
        <v>279</v>
      </c>
      <c r="F2684" t="s">
        <v>325</v>
      </c>
      <c r="G2684">
        <v>370</v>
      </c>
      <c r="I2684">
        <f t="shared" si="174"/>
        <v>0</v>
      </c>
      <c r="J2684">
        <f t="shared" si="174"/>
        <v>0</v>
      </c>
      <c r="K2684">
        <f t="shared" si="174"/>
        <v>0</v>
      </c>
      <c r="M2684" t="str" cm="1">
        <f t="array" ref="M2684">IFERROR(INDEX($I$2:$K$2,0,MATCH(TRUE,I2684:K2684,0)),E2684)</f>
        <v>Coal</v>
      </c>
      <c r="O2684" t="str">
        <f t="shared" si="172"/>
        <v>Coal_2024</v>
      </c>
      <c r="P2684">
        <f t="shared" si="173"/>
        <v>370</v>
      </c>
    </row>
    <row r="2685" spans="4:16" x14ac:dyDescent="0.25">
      <c r="D2685">
        <v>2021</v>
      </c>
      <c r="E2685" t="s">
        <v>279</v>
      </c>
      <c r="F2685" t="s">
        <v>326</v>
      </c>
      <c r="G2685">
        <v>137</v>
      </c>
      <c r="I2685">
        <f t="shared" si="174"/>
        <v>0</v>
      </c>
      <c r="J2685">
        <f t="shared" si="174"/>
        <v>0</v>
      </c>
      <c r="K2685">
        <f t="shared" si="174"/>
        <v>0</v>
      </c>
      <c r="M2685" t="str" cm="1">
        <f t="array" ref="M2685">IFERROR(INDEX($I$2:$K$2,0,MATCH(TRUE,I2685:K2685,0)),E2685)</f>
        <v>Coal</v>
      </c>
      <c r="O2685" t="str">
        <f t="shared" si="172"/>
        <v>Coal_2021</v>
      </c>
      <c r="P2685">
        <f t="shared" si="173"/>
        <v>137</v>
      </c>
    </row>
    <row r="2686" spans="4:16" x14ac:dyDescent="0.25">
      <c r="D2686">
        <v>2022</v>
      </c>
      <c r="E2686" t="s">
        <v>279</v>
      </c>
      <c r="F2686" t="s">
        <v>326</v>
      </c>
      <c r="G2686">
        <v>137</v>
      </c>
      <c r="I2686">
        <f t="shared" si="174"/>
        <v>0</v>
      </c>
      <c r="J2686">
        <f t="shared" si="174"/>
        <v>0</v>
      </c>
      <c r="K2686">
        <f t="shared" si="174"/>
        <v>0</v>
      </c>
      <c r="M2686" t="str" cm="1">
        <f t="array" ref="M2686">IFERROR(INDEX($I$2:$K$2,0,MATCH(TRUE,I2686:K2686,0)),E2686)</f>
        <v>Coal</v>
      </c>
      <c r="O2686" t="str">
        <f t="shared" si="172"/>
        <v>Coal_2022</v>
      </c>
      <c r="P2686">
        <f t="shared" si="173"/>
        <v>137</v>
      </c>
    </row>
    <row r="2687" spans="4:16" x14ac:dyDescent="0.25">
      <c r="D2687">
        <v>2023</v>
      </c>
      <c r="E2687" t="s">
        <v>279</v>
      </c>
      <c r="F2687" t="s">
        <v>326</v>
      </c>
      <c r="G2687">
        <v>137</v>
      </c>
      <c r="I2687">
        <f t="shared" si="174"/>
        <v>0</v>
      </c>
      <c r="J2687">
        <f t="shared" si="174"/>
        <v>0</v>
      </c>
      <c r="K2687">
        <f t="shared" si="174"/>
        <v>0</v>
      </c>
      <c r="M2687" t="str" cm="1">
        <f t="array" ref="M2687">IFERROR(INDEX($I$2:$K$2,0,MATCH(TRUE,I2687:K2687,0)),E2687)</f>
        <v>Coal</v>
      </c>
      <c r="O2687" t="str">
        <f t="shared" si="172"/>
        <v>Coal_2023</v>
      </c>
      <c r="P2687">
        <f t="shared" si="173"/>
        <v>137</v>
      </c>
    </row>
    <row r="2688" spans="4:16" x14ac:dyDescent="0.25">
      <c r="D2688">
        <v>2024</v>
      </c>
      <c r="E2688" t="s">
        <v>279</v>
      </c>
      <c r="F2688" t="s">
        <v>326</v>
      </c>
      <c r="G2688">
        <v>137</v>
      </c>
      <c r="I2688">
        <f t="shared" si="174"/>
        <v>0</v>
      </c>
      <c r="J2688">
        <f t="shared" si="174"/>
        <v>0</v>
      </c>
      <c r="K2688">
        <f t="shared" si="174"/>
        <v>0</v>
      </c>
      <c r="M2688" t="str" cm="1">
        <f t="array" ref="M2688">IFERROR(INDEX($I$2:$K$2,0,MATCH(TRUE,I2688:K2688,0)),E2688)</f>
        <v>Coal</v>
      </c>
      <c r="O2688" t="str">
        <f t="shared" si="172"/>
        <v>Coal_2024</v>
      </c>
      <c r="P2688">
        <f t="shared" si="173"/>
        <v>137</v>
      </c>
    </row>
    <row r="2689" spans="4:16" x14ac:dyDescent="0.25">
      <c r="D2689">
        <v>2021</v>
      </c>
      <c r="E2689" t="s">
        <v>279</v>
      </c>
      <c r="F2689" t="s">
        <v>327</v>
      </c>
      <c r="G2689">
        <v>123</v>
      </c>
      <c r="I2689">
        <f t="shared" si="174"/>
        <v>0</v>
      </c>
      <c r="J2689">
        <f t="shared" si="174"/>
        <v>0</v>
      </c>
      <c r="K2689">
        <f t="shared" si="174"/>
        <v>0</v>
      </c>
      <c r="M2689" t="str" cm="1">
        <f t="array" ref="M2689">IFERROR(INDEX($I$2:$K$2,0,MATCH(TRUE,I2689:K2689,0)),E2689)</f>
        <v>Coal</v>
      </c>
      <c r="O2689" t="str">
        <f t="shared" si="172"/>
        <v>Coal_2021</v>
      </c>
      <c r="P2689">
        <f t="shared" si="173"/>
        <v>123</v>
      </c>
    </row>
    <row r="2690" spans="4:16" x14ac:dyDescent="0.25">
      <c r="D2690">
        <v>2022</v>
      </c>
      <c r="E2690" t="s">
        <v>279</v>
      </c>
      <c r="F2690" t="s">
        <v>327</v>
      </c>
      <c r="G2690">
        <v>123</v>
      </c>
      <c r="I2690">
        <f t="shared" si="174"/>
        <v>0</v>
      </c>
      <c r="J2690">
        <f t="shared" si="174"/>
        <v>0</v>
      </c>
      <c r="K2690">
        <f t="shared" si="174"/>
        <v>0</v>
      </c>
      <c r="M2690" t="str" cm="1">
        <f t="array" ref="M2690">IFERROR(INDEX($I$2:$K$2,0,MATCH(TRUE,I2690:K2690,0)),E2690)</f>
        <v>Coal</v>
      </c>
      <c r="O2690" t="str">
        <f t="shared" si="172"/>
        <v>Coal_2022</v>
      </c>
      <c r="P2690">
        <f t="shared" si="173"/>
        <v>123</v>
      </c>
    </row>
    <row r="2691" spans="4:16" x14ac:dyDescent="0.25">
      <c r="D2691">
        <v>2023</v>
      </c>
      <c r="E2691" t="s">
        <v>279</v>
      </c>
      <c r="F2691" t="s">
        <v>327</v>
      </c>
      <c r="G2691">
        <v>123</v>
      </c>
      <c r="I2691">
        <f t="shared" si="174"/>
        <v>0</v>
      </c>
      <c r="J2691">
        <f t="shared" si="174"/>
        <v>0</v>
      </c>
      <c r="K2691">
        <f t="shared" si="174"/>
        <v>0</v>
      </c>
      <c r="M2691" t="str" cm="1">
        <f t="array" ref="M2691">IFERROR(INDEX($I$2:$K$2,0,MATCH(TRUE,I2691:K2691,0)),E2691)</f>
        <v>Coal</v>
      </c>
      <c r="O2691" t="str">
        <f t="shared" si="172"/>
        <v>Coal_2023</v>
      </c>
      <c r="P2691">
        <f t="shared" si="173"/>
        <v>123</v>
      </c>
    </row>
    <row r="2692" spans="4:16" x14ac:dyDescent="0.25">
      <c r="D2692">
        <v>2024</v>
      </c>
      <c r="E2692" t="s">
        <v>279</v>
      </c>
      <c r="F2692" t="s">
        <v>327</v>
      </c>
      <c r="G2692">
        <v>123</v>
      </c>
      <c r="I2692">
        <f t="shared" si="174"/>
        <v>0</v>
      </c>
      <c r="J2692">
        <f t="shared" si="174"/>
        <v>0</v>
      </c>
      <c r="K2692">
        <f t="shared" si="174"/>
        <v>0</v>
      </c>
      <c r="M2692" t="str" cm="1">
        <f t="array" ref="M2692">IFERROR(INDEX($I$2:$K$2,0,MATCH(TRUE,I2692:K2692,0)),E2692)</f>
        <v>Coal</v>
      </c>
      <c r="O2692" t="str">
        <f t="shared" si="172"/>
        <v>Coal_2024</v>
      </c>
      <c r="P2692">
        <f t="shared" si="173"/>
        <v>123</v>
      </c>
    </row>
    <row r="2693" spans="4:16" x14ac:dyDescent="0.25">
      <c r="D2693">
        <v>2021</v>
      </c>
      <c r="E2693" t="s">
        <v>279</v>
      </c>
      <c r="F2693" t="s">
        <v>328</v>
      </c>
      <c r="G2693">
        <v>468</v>
      </c>
      <c r="I2693">
        <f t="shared" si="174"/>
        <v>0</v>
      </c>
      <c r="J2693">
        <f t="shared" si="174"/>
        <v>0</v>
      </c>
      <c r="K2693">
        <f t="shared" si="174"/>
        <v>0</v>
      </c>
      <c r="M2693" t="str" cm="1">
        <f t="array" ref="M2693">IFERROR(INDEX($I$2:$K$2,0,MATCH(TRUE,I2693:K2693,0)),E2693)</f>
        <v>Coal</v>
      </c>
      <c r="O2693" t="str">
        <f t="shared" si="172"/>
        <v>Coal_2021</v>
      </c>
      <c r="P2693">
        <f t="shared" si="173"/>
        <v>468</v>
      </c>
    </row>
    <row r="2694" spans="4:16" x14ac:dyDescent="0.25">
      <c r="D2694">
        <v>2022</v>
      </c>
      <c r="E2694" t="s">
        <v>279</v>
      </c>
      <c r="F2694" t="s">
        <v>328</v>
      </c>
      <c r="G2694">
        <v>468</v>
      </c>
      <c r="I2694">
        <f t="shared" si="174"/>
        <v>0</v>
      </c>
      <c r="J2694">
        <f t="shared" si="174"/>
        <v>0</v>
      </c>
      <c r="K2694">
        <f t="shared" si="174"/>
        <v>0</v>
      </c>
      <c r="M2694" t="str" cm="1">
        <f t="array" ref="M2694">IFERROR(INDEX($I$2:$K$2,0,MATCH(TRUE,I2694:K2694,0)),E2694)</f>
        <v>Coal</v>
      </c>
      <c r="O2694" t="str">
        <f t="shared" si="172"/>
        <v>Coal_2022</v>
      </c>
      <c r="P2694">
        <f t="shared" si="173"/>
        <v>468</v>
      </c>
    </row>
    <row r="2695" spans="4:16" x14ac:dyDescent="0.25">
      <c r="D2695">
        <v>2023</v>
      </c>
      <c r="E2695" t="s">
        <v>279</v>
      </c>
      <c r="F2695" t="s">
        <v>328</v>
      </c>
      <c r="G2695">
        <v>468</v>
      </c>
      <c r="I2695">
        <f t="shared" si="174"/>
        <v>0</v>
      </c>
      <c r="J2695">
        <f t="shared" si="174"/>
        <v>0</v>
      </c>
      <c r="K2695">
        <f t="shared" si="174"/>
        <v>0</v>
      </c>
      <c r="M2695" t="str" cm="1">
        <f t="array" ref="M2695">IFERROR(INDEX($I$2:$K$2,0,MATCH(TRUE,I2695:K2695,0)),E2695)</f>
        <v>Coal</v>
      </c>
      <c r="O2695" t="str">
        <f t="shared" si="172"/>
        <v>Coal_2023</v>
      </c>
      <c r="P2695">
        <f t="shared" si="173"/>
        <v>468</v>
      </c>
    </row>
    <row r="2696" spans="4:16" x14ac:dyDescent="0.25">
      <c r="D2696">
        <v>2024</v>
      </c>
      <c r="E2696" t="s">
        <v>279</v>
      </c>
      <c r="F2696" t="s">
        <v>328</v>
      </c>
      <c r="G2696">
        <v>468</v>
      </c>
      <c r="I2696">
        <f t="shared" si="174"/>
        <v>0</v>
      </c>
      <c r="J2696">
        <f t="shared" si="174"/>
        <v>0</v>
      </c>
      <c r="K2696">
        <f t="shared" si="174"/>
        <v>0</v>
      </c>
      <c r="M2696" t="str" cm="1">
        <f t="array" ref="M2696">IFERROR(INDEX($I$2:$K$2,0,MATCH(TRUE,I2696:K2696,0)),E2696)</f>
        <v>Coal</v>
      </c>
      <c r="O2696" t="str">
        <f t="shared" si="172"/>
        <v>Coal_2024</v>
      </c>
      <c r="P2696">
        <f t="shared" si="173"/>
        <v>468</v>
      </c>
    </row>
    <row r="2697" spans="4:16" x14ac:dyDescent="0.25">
      <c r="D2697">
        <v>2021</v>
      </c>
      <c r="E2697" t="s">
        <v>329</v>
      </c>
      <c r="F2697" t="s">
        <v>330</v>
      </c>
      <c r="G2697">
        <v>1055</v>
      </c>
      <c r="I2697">
        <f t="shared" si="174"/>
        <v>0</v>
      </c>
      <c r="J2697">
        <f t="shared" si="174"/>
        <v>0</v>
      </c>
      <c r="K2697">
        <f t="shared" si="174"/>
        <v>0</v>
      </c>
      <c r="M2697" t="str" cm="1">
        <f t="array" ref="M2697">IFERROR(INDEX($I$2:$K$2,0,MATCH(TRUE,I2697:K2697,0)),E2697)</f>
        <v>Coal new</v>
      </c>
      <c r="O2697" t="str">
        <f t="shared" si="172"/>
        <v>Coal new_2021</v>
      </c>
      <c r="P2697">
        <f t="shared" si="173"/>
        <v>1055</v>
      </c>
    </row>
    <row r="2698" spans="4:16" x14ac:dyDescent="0.25">
      <c r="D2698">
        <v>2022</v>
      </c>
      <c r="E2698" t="s">
        <v>329</v>
      </c>
      <c r="F2698" t="s">
        <v>330</v>
      </c>
      <c r="G2698">
        <v>1055</v>
      </c>
      <c r="I2698">
        <f t="shared" si="174"/>
        <v>0</v>
      </c>
      <c r="J2698">
        <f t="shared" si="174"/>
        <v>0</v>
      </c>
      <c r="K2698">
        <f t="shared" si="174"/>
        <v>0</v>
      </c>
      <c r="M2698" t="str" cm="1">
        <f t="array" ref="M2698">IFERROR(INDEX($I$2:$K$2,0,MATCH(TRUE,I2698:K2698,0)),E2698)</f>
        <v>Coal new</v>
      </c>
      <c r="O2698" t="str">
        <f t="shared" si="172"/>
        <v>Coal new_2022</v>
      </c>
      <c r="P2698">
        <f t="shared" si="173"/>
        <v>1055</v>
      </c>
    </row>
    <row r="2699" spans="4:16" x14ac:dyDescent="0.25">
      <c r="D2699">
        <v>2023</v>
      </c>
      <c r="E2699" t="s">
        <v>329</v>
      </c>
      <c r="F2699" t="s">
        <v>330</v>
      </c>
      <c r="G2699">
        <v>1055</v>
      </c>
      <c r="I2699">
        <f t="shared" si="174"/>
        <v>0</v>
      </c>
      <c r="J2699">
        <f t="shared" si="174"/>
        <v>0</v>
      </c>
      <c r="K2699">
        <f t="shared" si="174"/>
        <v>0</v>
      </c>
      <c r="M2699" t="str" cm="1">
        <f t="array" ref="M2699">IFERROR(INDEX($I$2:$K$2,0,MATCH(TRUE,I2699:K2699,0)),E2699)</f>
        <v>Coal new</v>
      </c>
      <c r="O2699" t="str">
        <f t="shared" si="172"/>
        <v>Coal new_2023</v>
      </c>
      <c r="P2699">
        <f t="shared" si="173"/>
        <v>1055</v>
      </c>
    </row>
    <row r="2700" spans="4:16" x14ac:dyDescent="0.25">
      <c r="D2700">
        <v>2024</v>
      </c>
      <c r="E2700" t="s">
        <v>329</v>
      </c>
      <c r="F2700" t="s">
        <v>330</v>
      </c>
      <c r="G2700">
        <v>1055</v>
      </c>
      <c r="I2700">
        <f t="shared" si="174"/>
        <v>0</v>
      </c>
      <c r="J2700">
        <f t="shared" si="174"/>
        <v>0</v>
      </c>
      <c r="K2700">
        <f t="shared" si="174"/>
        <v>0</v>
      </c>
      <c r="M2700" t="str" cm="1">
        <f t="array" ref="M2700">IFERROR(INDEX($I$2:$K$2,0,MATCH(TRUE,I2700:K2700,0)),E2700)</f>
        <v>Coal new</v>
      </c>
      <c r="O2700" t="str">
        <f t="shared" si="172"/>
        <v>Coal new_2024</v>
      </c>
      <c r="P2700">
        <f t="shared" si="173"/>
        <v>1055</v>
      </c>
    </row>
    <row r="2701" spans="4:16" x14ac:dyDescent="0.25">
      <c r="D2701">
        <v>2025</v>
      </c>
      <c r="E2701" t="s">
        <v>329</v>
      </c>
      <c r="F2701" t="s">
        <v>330</v>
      </c>
      <c r="G2701">
        <v>1055</v>
      </c>
      <c r="I2701">
        <f t="shared" si="174"/>
        <v>0</v>
      </c>
      <c r="J2701">
        <f t="shared" si="174"/>
        <v>0</v>
      </c>
      <c r="K2701">
        <f t="shared" si="174"/>
        <v>0</v>
      </c>
      <c r="M2701" t="str" cm="1">
        <f t="array" ref="M2701">IFERROR(INDEX($I$2:$K$2,0,MATCH(TRUE,I2701:K2701,0)),E2701)</f>
        <v>Coal new</v>
      </c>
      <c r="O2701" t="str">
        <f t="shared" si="172"/>
        <v>Coal new_2025</v>
      </c>
      <c r="P2701">
        <f t="shared" si="173"/>
        <v>1055</v>
      </c>
    </row>
    <row r="2702" spans="4:16" x14ac:dyDescent="0.25">
      <c r="D2702">
        <v>2026</v>
      </c>
      <c r="E2702" t="s">
        <v>329</v>
      </c>
      <c r="F2702" t="s">
        <v>330</v>
      </c>
      <c r="G2702">
        <v>1055</v>
      </c>
      <c r="I2702">
        <f t="shared" si="174"/>
        <v>0</v>
      </c>
      <c r="J2702">
        <f t="shared" si="174"/>
        <v>0</v>
      </c>
      <c r="K2702">
        <f t="shared" si="174"/>
        <v>0</v>
      </c>
      <c r="M2702" t="str" cm="1">
        <f t="array" ref="M2702">IFERROR(INDEX($I$2:$K$2,0,MATCH(TRUE,I2702:K2702,0)),E2702)</f>
        <v>Coal new</v>
      </c>
      <c r="O2702" t="str">
        <f t="shared" si="172"/>
        <v>Coal new_2026</v>
      </c>
      <c r="P2702">
        <f t="shared" si="173"/>
        <v>1055</v>
      </c>
    </row>
    <row r="2703" spans="4:16" x14ac:dyDescent="0.25">
      <c r="D2703">
        <v>2027</v>
      </c>
      <c r="E2703" t="s">
        <v>329</v>
      </c>
      <c r="F2703" t="s">
        <v>330</v>
      </c>
      <c r="G2703">
        <v>1055</v>
      </c>
      <c r="I2703">
        <f t="shared" si="174"/>
        <v>0</v>
      </c>
      <c r="J2703">
        <f t="shared" si="174"/>
        <v>0</v>
      </c>
      <c r="K2703">
        <f t="shared" si="174"/>
        <v>0</v>
      </c>
      <c r="M2703" t="str" cm="1">
        <f t="array" ref="M2703">IFERROR(INDEX($I$2:$K$2,0,MATCH(TRUE,I2703:K2703,0)),E2703)</f>
        <v>Coal new</v>
      </c>
      <c r="O2703" t="str">
        <f t="shared" si="172"/>
        <v>Coal new_2027</v>
      </c>
      <c r="P2703">
        <f t="shared" si="173"/>
        <v>1055</v>
      </c>
    </row>
    <row r="2704" spans="4:16" x14ac:dyDescent="0.25">
      <c r="D2704">
        <v>2028</v>
      </c>
      <c r="E2704" t="s">
        <v>329</v>
      </c>
      <c r="F2704" t="s">
        <v>330</v>
      </c>
      <c r="G2704">
        <v>1055</v>
      </c>
      <c r="I2704">
        <f t="shared" si="174"/>
        <v>0</v>
      </c>
      <c r="J2704">
        <f t="shared" si="174"/>
        <v>0</v>
      </c>
      <c r="K2704">
        <f t="shared" si="174"/>
        <v>0</v>
      </c>
      <c r="M2704" t="str" cm="1">
        <f t="array" ref="M2704">IFERROR(INDEX($I$2:$K$2,0,MATCH(TRUE,I2704:K2704,0)),E2704)</f>
        <v>Coal new</v>
      </c>
      <c r="O2704" t="str">
        <f t="shared" si="172"/>
        <v>Coal new_2028</v>
      </c>
      <c r="P2704">
        <f t="shared" si="173"/>
        <v>1055</v>
      </c>
    </row>
    <row r="2705" spans="4:16" x14ac:dyDescent="0.25">
      <c r="D2705">
        <v>2029</v>
      </c>
      <c r="E2705" t="s">
        <v>329</v>
      </c>
      <c r="F2705" t="s">
        <v>330</v>
      </c>
      <c r="G2705">
        <v>1055</v>
      </c>
      <c r="I2705">
        <f t="shared" si="174"/>
        <v>0</v>
      </c>
      <c r="J2705">
        <f t="shared" si="174"/>
        <v>0</v>
      </c>
      <c r="K2705">
        <f t="shared" si="174"/>
        <v>0</v>
      </c>
      <c r="M2705" t="str" cm="1">
        <f t="array" ref="M2705">IFERROR(INDEX($I$2:$K$2,0,MATCH(TRUE,I2705:K2705,0)),E2705)</f>
        <v>Coal new</v>
      </c>
      <c r="O2705" t="str">
        <f t="shared" si="172"/>
        <v>Coal new_2029</v>
      </c>
      <c r="P2705">
        <f t="shared" si="173"/>
        <v>1055</v>
      </c>
    </row>
    <row r="2706" spans="4:16" x14ac:dyDescent="0.25">
      <c r="D2706">
        <v>2030</v>
      </c>
      <c r="E2706" t="s">
        <v>329</v>
      </c>
      <c r="F2706" t="s">
        <v>330</v>
      </c>
      <c r="G2706">
        <v>1055</v>
      </c>
      <c r="I2706">
        <f t="shared" si="174"/>
        <v>0</v>
      </c>
      <c r="J2706">
        <f t="shared" si="174"/>
        <v>0</v>
      </c>
      <c r="K2706">
        <f t="shared" si="174"/>
        <v>0</v>
      </c>
      <c r="M2706" t="str" cm="1">
        <f t="array" ref="M2706">IFERROR(INDEX($I$2:$K$2,0,MATCH(TRUE,I2706:K2706,0)),E2706)</f>
        <v>Coal new</v>
      </c>
      <c r="O2706" t="str">
        <f t="shared" si="172"/>
        <v>Coal new_2030</v>
      </c>
      <c r="P2706">
        <f t="shared" si="173"/>
        <v>1055</v>
      </c>
    </row>
    <row r="2707" spans="4:16" x14ac:dyDescent="0.25">
      <c r="D2707">
        <v>2031</v>
      </c>
      <c r="E2707" t="s">
        <v>329</v>
      </c>
      <c r="F2707" t="s">
        <v>330</v>
      </c>
      <c r="G2707">
        <v>1055</v>
      </c>
      <c r="I2707">
        <f t="shared" si="174"/>
        <v>0</v>
      </c>
      <c r="J2707">
        <f t="shared" si="174"/>
        <v>0</v>
      </c>
      <c r="K2707">
        <f t="shared" si="174"/>
        <v>0</v>
      </c>
      <c r="M2707" t="str" cm="1">
        <f t="array" ref="M2707">IFERROR(INDEX($I$2:$K$2,0,MATCH(TRUE,I2707:K2707,0)),E2707)</f>
        <v>Coal new</v>
      </c>
      <c r="O2707" t="str">
        <f t="shared" ref="O2707:O2770" si="175">M2707&amp;"_"&amp;D2707</f>
        <v>Coal new_2031</v>
      </c>
      <c r="P2707">
        <f t="shared" ref="P2707:P2770" si="176">G2707</f>
        <v>1055</v>
      </c>
    </row>
    <row r="2708" spans="4:16" x14ac:dyDescent="0.25">
      <c r="D2708">
        <v>2032</v>
      </c>
      <c r="E2708" t="s">
        <v>329</v>
      </c>
      <c r="F2708" t="s">
        <v>330</v>
      </c>
      <c r="G2708">
        <v>1055</v>
      </c>
      <c r="I2708">
        <f t="shared" si="174"/>
        <v>0</v>
      </c>
      <c r="J2708">
        <f t="shared" si="174"/>
        <v>0</v>
      </c>
      <c r="K2708">
        <f t="shared" si="174"/>
        <v>0</v>
      </c>
      <c r="M2708" t="str" cm="1">
        <f t="array" ref="M2708">IFERROR(INDEX($I$2:$K$2,0,MATCH(TRUE,I2708:K2708,0)),E2708)</f>
        <v>Coal new</v>
      </c>
      <c r="O2708" t="str">
        <f t="shared" si="175"/>
        <v>Coal new_2032</v>
      </c>
      <c r="P2708">
        <f t="shared" si="176"/>
        <v>1055</v>
      </c>
    </row>
    <row r="2709" spans="4:16" x14ac:dyDescent="0.25">
      <c r="D2709">
        <v>2033</v>
      </c>
      <c r="E2709" t="s">
        <v>329</v>
      </c>
      <c r="F2709" t="s">
        <v>330</v>
      </c>
      <c r="G2709">
        <v>1055</v>
      </c>
      <c r="I2709">
        <f t="shared" ref="I2709:K2772" si="177">IFERROR(FIND(I$2,$E2709,1)&gt;0,0)</f>
        <v>0</v>
      </c>
      <c r="J2709">
        <f t="shared" si="177"/>
        <v>0</v>
      </c>
      <c r="K2709">
        <f t="shared" si="177"/>
        <v>0</v>
      </c>
      <c r="M2709" t="str" cm="1">
        <f t="array" ref="M2709">IFERROR(INDEX($I$2:$K$2,0,MATCH(TRUE,I2709:K2709,0)),E2709)</f>
        <v>Coal new</v>
      </c>
      <c r="O2709" t="str">
        <f t="shared" si="175"/>
        <v>Coal new_2033</v>
      </c>
      <c r="P2709">
        <f t="shared" si="176"/>
        <v>1055</v>
      </c>
    </row>
    <row r="2710" spans="4:16" x14ac:dyDescent="0.25">
      <c r="D2710">
        <v>2034</v>
      </c>
      <c r="E2710" t="s">
        <v>329</v>
      </c>
      <c r="F2710" t="s">
        <v>330</v>
      </c>
      <c r="G2710">
        <v>0</v>
      </c>
      <c r="I2710">
        <f t="shared" si="177"/>
        <v>0</v>
      </c>
      <c r="J2710">
        <f t="shared" si="177"/>
        <v>0</v>
      </c>
      <c r="K2710">
        <f t="shared" si="177"/>
        <v>0</v>
      </c>
      <c r="M2710" t="str" cm="1">
        <f t="array" ref="M2710">IFERROR(INDEX($I$2:$K$2,0,MATCH(TRUE,I2710:K2710,0)),E2710)</f>
        <v>Coal new</v>
      </c>
      <c r="O2710" t="str">
        <f t="shared" si="175"/>
        <v>Coal new_2034</v>
      </c>
      <c r="P2710">
        <f t="shared" si="176"/>
        <v>0</v>
      </c>
    </row>
    <row r="2711" spans="4:16" x14ac:dyDescent="0.25">
      <c r="D2711">
        <v>2021</v>
      </c>
      <c r="E2711" t="s">
        <v>329</v>
      </c>
      <c r="F2711" t="s">
        <v>331</v>
      </c>
      <c r="G2711">
        <v>845</v>
      </c>
      <c r="I2711">
        <f t="shared" si="177"/>
        <v>0</v>
      </c>
      <c r="J2711">
        <f t="shared" si="177"/>
        <v>0</v>
      </c>
      <c r="K2711">
        <f t="shared" si="177"/>
        <v>0</v>
      </c>
      <c r="M2711" t="str" cm="1">
        <f t="array" ref="M2711">IFERROR(INDEX($I$2:$K$2,0,MATCH(TRUE,I2711:K2711,0)),E2711)</f>
        <v>Coal new</v>
      </c>
      <c r="O2711" t="str">
        <f t="shared" si="175"/>
        <v>Coal new_2021</v>
      </c>
      <c r="P2711">
        <f t="shared" si="176"/>
        <v>845</v>
      </c>
    </row>
    <row r="2712" spans="4:16" x14ac:dyDescent="0.25">
      <c r="D2712">
        <v>2022</v>
      </c>
      <c r="E2712" t="s">
        <v>329</v>
      </c>
      <c r="F2712" t="s">
        <v>331</v>
      </c>
      <c r="G2712">
        <v>845</v>
      </c>
      <c r="I2712">
        <f t="shared" si="177"/>
        <v>0</v>
      </c>
      <c r="J2712">
        <f t="shared" si="177"/>
        <v>0</v>
      </c>
      <c r="K2712">
        <f t="shared" si="177"/>
        <v>0</v>
      </c>
      <c r="M2712" t="str" cm="1">
        <f t="array" ref="M2712">IFERROR(INDEX($I$2:$K$2,0,MATCH(TRUE,I2712:K2712,0)),E2712)</f>
        <v>Coal new</v>
      </c>
      <c r="O2712" t="str">
        <f t="shared" si="175"/>
        <v>Coal new_2022</v>
      </c>
      <c r="P2712">
        <f t="shared" si="176"/>
        <v>845</v>
      </c>
    </row>
    <row r="2713" spans="4:16" x14ac:dyDescent="0.25">
      <c r="D2713">
        <v>2023</v>
      </c>
      <c r="E2713" t="s">
        <v>329</v>
      </c>
      <c r="F2713" t="s">
        <v>331</v>
      </c>
      <c r="G2713">
        <v>845</v>
      </c>
      <c r="I2713">
        <f t="shared" si="177"/>
        <v>0</v>
      </c>
      <c r="J2713">
        <f t="shared" si="177"/>
        <v>0</v>
      </c>
      <c r="K2713">
        <f t="shared" si="177"/>
        <v>0</v>
      </c>
      <c r="M2713" t="str" cm="1">
        <f t="array" ref="M2713">IFERROR(INDEX($I$2:$K$2,0,MATCH(TRUE,I2713:K2713,0)),E2713)</f>
        <v>Coal new</v>
      </c>
      <c r="O2713" t="str">
        <f t="shared" si="175"/>
        <v>Coal new_2023</v>
      </c>
      <c r="P2713">
        <f t="shared" si="176"/>
        <v>845</v>
      </c>
    </row>
    <row r="2714" spans="4:16" x14ac:dyDescent="0.25">
      <c r="D2714">
        <v>2024</v>
      </c>
      <c r="E2714" t="s">
        <v>329</v>
      </c>
      <c r="F2714" t="s">
        <v>331</v>
      </c>
      <c r="G2714">
        <v>845</v>
      </c>
      <c r="I2714">
        <f t="shared" si="177"/>
        <v>0</v>
      </c>
      <c r="J2714">
        <f t="shared" si="177"/>
        <v>0</v>
      </c>
      <c r="K2714">
        <f t="shared" si="177"/>
        <v>0</v>
      </c>
      <c r="M2714" t="str" cm="1">
        <f t="array" ref="M2714">IFERROR(INDEX($I$2:$K$2,0,MATCH(TRUE,I2714:K2714,0)),E2714)</f>
        <v>Coal new</v>
      </c>
      <c r="O2714" t="str">
        <f t="shared" si="175"/>
        <v>Coal new_2024</v>
      </c>
      <c r="P2714">
        <f t="shared" si="176"/>
        <v>845</v>
      </c>
    </row>
    <row r="2715" spans="4:16" x14ac:dyDescent="0.25">
      <c r="D2715">
        <v>2025</v>
      </c>
      <c r="E2715" t="s">
        <v>329</v>
      </c>
      <c r="F2715" t="s">
        <v>331</v>
      </c>
      <c r="G2715">
        <v>845</v>
      </c>
      <c r="I2715">
        <f t="shared" si="177"/>
        <v>0</v>
      </c>
      <c r="J2715">
        <f t="shared" si="177"/>
        <v>0</v>
      </c>
      <c r="K2715">
        <f t="shared" si="177"/>
        <v>0</v>
      </c>
      <c r="M2715" t="str" cm="1">
        <f t="array" ref="M2715">IFERROR(INDEX($I$2:$K$2,0,MATCH(TRUE,I2715:K2715,0)),E2715)</f>
        <v>Coal new</v>
      </c>
      <c r="O2715" t="str">
        <f t="shared" si="175"/>
        <v>Coal new_2025</v>
      </c>
      <c r="P2715">
        <f t="shared" si="176"/>
        <v>845</v>
      </c>
    </row>
    <row r="2716" spans="4:16" x14ac:dyDescent="0.25">
      <c r="D2716">
        <v>2026</v>
      </c>
      <c r="E2716" t="s">
        <v>329</v>
      </c>
      <c r="F2716" t="s">
        <v>331</v>
      </c>
      <c r="G2716">
        <v>845</v>
      </c>
      <c r="I2716">
        <f t="shared" si="177"/>
        <v>0</v>
      </c>
      <c r="J2716">
        <f t="shared" si="177"/>
        <v>0</v>
      </c>
      <c r="K2716">
        <f t="shared" si="177"/>
        <v>0</v>
      </c>
      <c r="M2716" t="str" cm="1">
        <f t="array" ref="M2716">IFERROR(INDEX($I$2:$K$2,0,MATCH(TRUE,I2716:K2716,0)),E2716)</f>
        <v>Coal new</v>
      </c>
      <c r="O2716" t="str">
        <f t="shared" si="175"/>
        <v>Coal new_2026</v>
      </c>
      <c r="P2716">
        <f t="shared" si="176"/>
        <v>845</v>
      </c>
    </row>
    <row r="2717" spans="4:16" x14ac:dyDescent="0.25">
      <c r="D2717">
        <v>2027</v>
      </c>
      <c r="E2717" t="s">
        <v>329</v>
      </c>
      <c r="F2717" t="s">
        <v>331</v>
      </c>
      <c r="G2717">
        <v>845</v>
      </c>
      <c r="I2717">
        <f t="shared" si="177"/>
        <v>0</v>
      </c>
      <c r="J2717">
        <f t="shared" si="177"/>
        <v>0</v>
      </c>
      <c r="K2717">
        <f t="shared" si="177"/>
        <v>0</v>
      </c>
      <c r="M2717" t="str" cm="1">
        <f t="array" ref="M2717">IFERROR(INDEX($I$2:$K$2,0,MATCH(TRUE,I2717:K2717,0)),E2717)</f>
        <v>Coal new</v>
      </c>
      <c r="O2717" t="str">
        <f t="shared" si="175"/>
        <v>Coal new_2027</v>
      </c>
      <c r="P2717">
        <f t="shared" si="176"/>
        <v>845</v>
      </c>
    </row>
    <row r="2718" spans="4:16" x14ac:dyDescent="0.25">
      <c r="D2718">
        <v>2028</v>
      </c>
      <c r="E2718" t="s">
        <v>329</v>
      </c>
      <c r="F2718" t="s">
        <v>331</v>
      </c>
      <c r="G2718">
        <v>845</v>
      </c>
      <c r="I2718">
        <f t="shared" si="177"/>
        <v>0</v>
      </c>
      <c r="J2718">
        <f t="shared" si="177"/>
        <v>0</v>
      </c>
      <c r="K2718">
        <f t="shared" si="177"/>
        <v>0</v>
      </c>
      <c r="M2718" t="str" cm="1">
        <f t="array" ref="M2718">IFERROR(INDEX($I$2:$K$2,0,MATCH(TRUE,I2718:K2718,0)),E2718)</f>
        <v>Coal new</v>
      </c>
      <c r="O2718" t="str">
        <f t="shared" si="175"/>
        <v>Coal new_2028</v>
      </c>
      <c r="P2718">
        <f t="shared" si="176"/>
        <v>845</v>
      </c>
    </row>
    <row r="2719" spans="4:16" x14ac:dyDescent="0.25">
      <c r="D2719">
        <v>2029</v>
      </c>
      <c r="E2719" t="s">
        <v>329</v>
      </c>
      <c r="F2719" t="s">
        <v>331</v>
      </c>
      <c r="G2719">
        <v>845</v>
      </c>
      <c r="I2719">
        <f t="shared" si="177"/>
        <v>0</v>
      </c>
      <c r="J2719">
        <f t="shared" si="177"/>
        <v>0</v>
      </c>
      <c r="K2719">
        <f t="shared" si="177"/>
        <v>0</v>
      </c>
      <c r="M2719" t="str" cm="1">
        <f t="array" ref="M2719">IFERROR(INDEX($I$2:$K$2,0,MATCH(TRUE,I2719:K2719,0)),E2719)</f>
        <v>Coal new</v>
      </c>
      <c r="O2719" t="str">
        <f t="shared" si="175"/>
        <v>Coal new_2029</v>
      </c>
      <c r="P2719">
        <f t="shared" si="176"/>
        <v>845</v>
      </c>
    </row>
    <row r="2720" spans="4:16" x14ac:dyDescent="0.25">
      <c r="D2720">
        <v>2030</v>
      </c>
      <c r="E2720" t="s">
        <v>329</v>
      </c>
      <c r="F2720" t="s">
        <v>331</v>
      </c>
      <c r="G2720">
        <v>845</v>
      </c>
      <c r="I2720">
        <f t="shared" si="177"/>
        <v>0</v>
      </c>
      <c r="J2720">
        <f t="shared" si="177"/>
        <v>0</v>
      </c>
      <c r="K2720">
        <f t="shared" si="177"/>
        <v>0</v>
      </c>
      <c r="M2720" t="str" cm="1">
        <f t="array" ref="M2720">IFERROR(INDEX($I$2:$K$2,0,MATCH(TRUE,I2720:K2720,0)),E2720)</f>
        <v>Coal new</v>
      </c>
      <c r="O2720" t="str">
        <f t="shared" si="175"/>
        <v>Coal new_2030</v>
      </c>
      <c r="P2720">
        <f t="shared" si="176"/>
        <v>845</v>
      </c>
    </row>
    <row r="2721" spans="4:16" x14ac:dyDescent="0.25">
      <c r="D2721">
        <v>2031</v>
      </c>
      <c r="E2721" t="s">
        <v>329</v>
      </c>
      <c r="F2721" t="s">
        <v>331</v>
      </c>
      <c r="G2721">
        <v>845</v>
      </c>
      <c r="I2721">
        <f t="shared" si="177"/>
        <v>0</v>
      </c>
      <c r="J2721">
        <f t="shared" si="177"/>
        <v>0</v>
      </c>
      <c r="K2721">
        <f t="shared" si="177"/>
        <v>0</v>
      </c>
      <c r="M2721" t="str" cm="1">
        <f t="array" ref="M2721">IFERROR(INDEX($I$2:$K$2,0,MATCH(TRUE,I2721:K2721,0)),E2721)</f>
        <v>Coal new</v>
      </c>
      <c r="O2721" t="str">
        <f t="shared" si="175"/>
        <v>Coal new_2031</v>
      </c>
      <c r="P2721">
        <f t="shared" si="176"/>
        <v>845</v>
      </c>
    </row>
    <row r="2722" spans="4:16" x14ac:dyDescent="0.25">
      <c r="D2722">
        <v>2032</v>
      </c>
      <c r="E2722" t="s">
        <v>329</v>
      </c>
      <c r="F2722" t="s">
        <v>331</v>
      </c>
      <c r="G2722">
        <v>845</v>
      </c>
      <c r="I2722">
        <f t="shared" si="177"/>
        <v>0</v>
      </c>
      <c r="J2722">
        <f t="shared" si="177"/>
        <v>0</v>
      </c>
      <c r="K2722">
        <f t="shared" si="177"/>
        <v>0</v>
      </c>
      <c r="M2722" t="str" cm="1">
        <f t="array" ref="M2722">IFERROR(INDEX($I$2:$K$2,0,MATCH(TRUE,I2722:K2722,0)),E2722)</f>
        <v>Coal new</v>
      </c>
      <c r="O2722" t="str">
        <f t="shared" si="175"/>
        <v>Coal new_2032</v>
      </c>
      <c r="P2722">
        <f t="shared" si="176"/>
        <v>845</v>
      </c>
    </row>
    <row r="2723" spans="4:16" x14ac:dyDescent="0.25">
      <c r="D2723">
        <v>2033</v>
      </c>
      <c r="E2723" t="s">
        <v>329</v>
      </c>
      <c r="F2723" t="s">
        <v>331</v>
      </c>
      <c r="G2723">
        <v>0</v>
      </c>
      <c r="I2723">
        <f t="shared" si="177"/>
        <v>0</v>
      </c>
      <c r="J2723">
        <f t="shared" si="177"/>
        <v>0</v>
      </c>
      <c r="K2723">
        <f t="shared" si="177"/>
        <v>0</v>
      </c>
      <c r="M2723" t="str" cm="1">
        <f t="array" ref="M2723">IFERROR(INDEX($I$2:$K$2,0,MATCH(TRUE,I2723:K2723,0)),E2723)</f>
        <v>Coal new</v>
      </c>
      <c r="O2723" t="str">
        <f t="shared" si="175"/>
        <v>Coal new_2033</v>
      </c>
      <c r="P2723">
        <f t="shared" si="176"/>
        <v>0</v>
      </c>
    </row>
    <row r="2724" spans="4:16" x14ac:dyDescent="0.25">
      <c r="D2724">
        <v>2021</v>
      </c>
      <c r="E2724" t="s">
        <v>329</v>
      </c>
      <c r="F2724" t="s">
        <v>332</v>
      </c>
      <c r="G2724">
        <v>750</v>
      </c>
      <c r="I2724">
        <f t="shared" si="177"/>
        <v>0</v>
      </c>
      <c r="J2724">
        <f t="shared" si="177"/>
        <v>0</v>
      </c>
      <c r="K2724">
        <f t="shared" si="177"/>
        <v>0</v>
      </c>
      <c r="M2724" t="str" cm="1">
        <f t="array" ref="M2724">IFERROR(INDEX($I$2:$K$2,0,MATCH(TRUE,I2724:K2724,0)),E2724)</f>
        <v>Coal new</v>
      </c>
      <c r="O2724" t="str">
        <f t="shared" si="175"/>
        <v>Coal new_2021</v>
      </c>
      <c r="P2724">
        <f t="shared" si="176"/>
        <v>750</v>
      </c>
    </row>
    <row r="2725" spans="4:16" x14ac:dyDescent="0.25">
      <c r="D2725">
        <v>2022</v>
      </c>
      <c r="E2725" t="s">
        <v>329</v>
      </c>
      <c r="F2725" t="s">
        <v>332</v>
      </c>
      <c r="G2725">
        <v>750</v>
      </c>
      <c r="I2725">
        <f t="shared" si="177"/>
        <v>0</v>
      </c>
      <c r="J2725">
        <f t="shared" si="177"/>
        <v>0</v>
      </c>
      <c r="K2725">
        <f t="shared" si="177"/>
        <v>0</v>
      </c>
      <c r="M2725" t="str" cm="1">
        <f t="array" ref="M2725">IFERROR(INDEX($I$2:$K$2,0,MATCH(TRUE,I2725:K2725,0)),E2725)</f>
        <v>Coal new</v>
      </c>
      <c r="O2725" t="str">
        <f t="shared" si="175"/>
        <v>Coal new_2022</v>
      </c>
      <c r="P2725">
        <f t="shared" si="176"/>
        <v>750</v>
      </c>
    </row>
    <row r="2726" spans="4:16" x14ac:dyDescent="0.25">
      <c r="D2726">
        <v>2023</v>
      </c>
      <c r="E2726" t="s">
        <v>329</v>
      </c>
      <c r="F2726" t="s">
        <v>332</v>
      </c>
      <c r="G2726">
        <v>750</v>
      </c>
      <c r="I2726">
        <f t="shared" si="177"/>
        <v>0</v>
      </c>
      <c r="J2726">
        <f t="shared" si="177"/>
        <v>0</v>
      </c>
      <c r="K2726">
        <f t="shared" si="177"/>
        <v>0</v>
      </c>
      <c r="M2726" t="str" cm="1">
        <f t="array" ref="M2726">IFERROR(INDEX($I$2:$K$2,0,MATCH(TRUE,I2726:K2726,0)),E2726)</f>
        <v>Coal new</v>
      </c>
      <c r="O2726" t="str">
        <f t="shared" si="175"/>
        <v>Coal new_2023</v>
      </c>
      <c r="P2726">
        <f t="shared" si="176"/>
        <v>750</v>
      </c>
    </row>
    <row r="2727" spans="4:16" x14ac:dyDescent="0.25">
      <c r="D2727">
        <v>2024</v>
      </c>
      <c r="E2727" t="s">
        <v>329</v>
      </c>
      <c r="F2727" t="s">
        <v>332</v>
      </c>
      <c r="G2727">
        <v>750</v>
      </c>
      <c r="I2727">
        <f t="shared" si="177"/>
        <v>0</v>
      </c>
      <c r="J2727">
        <f t="shared" si="177"/>
        <v>0</v>
      </c>
      <c r="K2727">
        <f t="shared" si="177"/>
        <v>0</v>
      </c>
      <c r="M2727" t="str" cm="1">
        <f t="array" ref="M2727">IFERROR(INDEX($I$2:$K$2,0,MATCH(TRUE,I2727:K2727,0)),E2727)</f>
        <v>Coal new</v>
      </c>
      <c r="O2727" t="str">
        <f t="shared" si="175"/>
        <v>Coal new_2024</v>
      </c>
      <c r="P2727">
        <f t="shared" si="176"/>
        <v>750</v>
      </c>
    </row>
    <row r="2728" spans="4:16" x14ac:dyDescent="0.25">
      <c r="D2728">
        <v>2025</v>
      </c>
      <c r="E2728" t="s">
        <v>329</v>
      </c>
      <c r="F2728" t="s">
        <v>332</v>
      </c>
      <c r="G2728">
        <v>750</v>
      </c>
      <c r="I2728">
        <f t="shared" si="177"/>
        <v>0</v>
      </c>
      <c r="J2728">
        <f t="shared" si="177"/>
        <v>0</v>
      </c>
      <c r="K2728">
        <f t="shared" si="177"/>
        <v>0</v>
      </c>
      <c r="M2728" t="str" cm="1">
        <f t="array" ref="M2728">IFERROR(INDEX($I$2:$K$2,0,MATCH(TRUE,I2728:K2728,0)),E2728)</f>
        <v>Coal new</v>
      </c>
      <c r="O2728" t="str">
        <f t="shared" si="175"/>
        <v>Coal new_2025</v>
      </c>
      <c r="P2728">
        <f t="shared" si="176"/>
        <v>750</v>
      </c>
    </row>
    <row r="2729" spans="4:16" x14ac:dyDescent="0.25">
      <c r="D2729">
        <v>2026</v>
      </c>
      <c r="E2729" t="s">
        <v>329</v>
      </c>
      <c r="F2729" t="s">
        <v>332</v>
      </c>
      <c r="G2729">
        <v>750</v>
      </c>
      <c r="I2729">
        <f t="shared" si="177"/>
        <v>0</v>
      </c>
      <c r="J2729">
        <f t="shared" si="177"/>
        <v>0</v>
      </c>
      <c r="K2729">
        <f t="shared" si="177"/>
        <v>0</v>
      </c>
      <c r="M2729" t="str" cm="1">
        <f t="array" ref="M2729">IFERROR(INDEX($I$2:$K$2,0,MATCH(TRUE,I2729:K2729,0)),E2729)</f>
        <v>Coal new</v>
      </c>
      <c r="O2729" t="str">
        <f t="shared" si="175"/>
        <v>Coal new_2026</v>
      </c>
      <c r="P2729">
        <f t="shared" si="176"/>
        <v>750</v>
      </c>
    </row>
    <row r="2730" spans="4:16" x14ac:dyDescent="0.25">
      <c r="D2730">
        <v>2027</v>
      </c>
      <c r="E2730" t="s">
        <v>329</v>
      </c>
      <c r="F2730" t="s">
        <v>332</v>
      </c>
      <c r="G2730">
        <v>750</v>
      </c>
      <c r="I2730">
        <f t="shared" si="177"/>
        <v>0</v>
      </c>
      <c r="J2730">
        <f t="shared" si="177"/>
        <v>0</v>
      </c>
      <c r="K2730">
        <f t="shared" si="177"/>
        <v>0</v>
      </c>
      <c r="M2730" t="str" cm="1">
        <f t="array" ref="M2730">IFERROR(INDEX($I$2:$K$2,0,MATCH(TRUE,I2730:K2730,0)),E2730)</f>
        <v>Coal new</v>
      </c>
      <c r="O2730" t="str">
        <f t="shared" si="175"/>
        <v>Coal new_2027</v>
      </c>
      <c r="P2730">
        <f t="shared" si="176"/>
        <v>750</v>
      </c>
    </row>
    <row r="2731" spans="4:16" x14ac:dyDescent="0.25">
      <c r="D2731">
        <v>2028</v>
      </c>
      <c r="E2731" t="s">
        <v>329</v>
      </c>
      <c r="F2731" t="s">
        <v>332</v>
      </c>
      <c r="G2731">
        <v>750</v>
      </c>
      <c r="I2731">
        <f t="shared" si="177"/>
        <v>0</v>
      </c>
      <c r="J2731">
        <f t="shared" si="177"/>
        <v>0</v>
      </c>
      <c r="K2731">
        <f t="shared" si="177"/>
        <v>0</v>
      </c>
      <c r="M2731" t="str" cm="1">
        <f t="array" ref="M2731">IFERROR(INDEX($I$2:$K$2,0,MATCH(TRUE,I2731:K2731,0)),E2731)</f>
        <v>Coal new</v>
      </c>
      <c r="O2731" t="str">
        <f t="shared" si="175"/>
        <v>Coal new_2028</v>
      </c>
      <c r="P2731">
        <f t="shared" si="176"/>
        <v>750</v>
      </c>
    </row>
    <row r="2732" spans="4:16" x14ac:dyDescent="0.25">
      <c r="D2732">
        <v>2029</v>
      </c>
      <c r="E2732" t="s">
        <v>329</v>
      </c>
      <c r="F2732" t="s">
        <v>332</v>
      </c>
      <c r="G2732">
        <v>750</v>
      </c>
      <c r="I2732">
        <f t="shared" si="177"/>
        <v>0</v>
      </c>
      <c r="J2732">
        <f t="shared" si="177"/>
        <v>0</v>
      </c>
      <c r="K2732">
        <f t="shared" si="177"/>
        <v>0</v>
      </c>
      <c r="M2732" t="str" cm="1">
        <f t="array" ref="M2732">IFERROR(INDEX($I$2:$K$2,0,MATCH(TRUE,I2732:K2732,0)),E2732)</f>
        <v>Coal new</v>
      </c>
      <c r="O2732" t="str">
        <f t="shared" si="175"/>
        <v>Coal new_2029</v>
      </c>
      <c r="P2732">
        <f t="shared" si="176"/>
        <v>750</v>
      </c>
    </row>
    <row r="2733" spans="4:16" x14ac:dyDescent="0.25">
      <c r="D2733">
        <v>2030</v>
      </c>
      <c r="E2733" t="s">
        <v>329</v>
      </c>
      <c r="F2733" t="s">
        <v>332</v>
      </c>
      <c r="G2733">
        <v>750</v>
      </c>
      <c r="I2733">
        <f t="shared" si="177"/>
        <v>0</v>
      </c>
      <c r="J2733">
        <f t="shared" si="177"/>
        <v>0</v>
      </c>
      <c r="K2733">
        <f t="shared" si="177"/>
        <v>0</v>
      </c>
      <c r="M2733" t="str" cm="1">
        <f t="array" ref="M2733">IFERROR(INDEX($I$2:$K$2,0,MATCH(TRUE,I2733:K2733,0)),E2733)</f>
        <v>Coal new</v>
      </c>
      <c r="O2733" t="str">
        <f t="shared" si="175"/>
        <v>Coal new_2030</v>
      </c>
      <c r="P2733">
        <f t="shared" si="176"/>
        <v>750</v>
      </c>
    </row>
    <row r="2734" spans="4:16" x14ac:dyDescent="0.25">
      <c r="D2734">
        <v>2031</v>
      </c>
      <c r="E2734" t="s">
        <v>329</v>
      </c>
      <c r="F2734" t="s">
        <v>332</v>
      </c>
      <c r="G2734">
        <v>0</v>
      </c>
      <c r="I2734">
        <f t="shared" si="177"/>
        <v>0</v>
      </c>
      <c r="J2734">
        <f t="shared" si="177"/>
        <v>0</v>
      </c>
      <c r="K2734">
        <f t="shared" si="177"/>
        <v>0</v>
      </c>
      <c r="M2734" t="str" cm="1">
        <f t="array" ref="M2734">IFERROR(INDEX($I$2:$K$2,0,MATCH(TRUE,I2734:K2734,0)),E2734)</f>
        <v>Coal new</v>
      </c>
      <c r="O2734" t="str">
        <f t="shared" si="175"/>
        <v>Coal new_2031</v>
      </c>
      <c r="P2734">
        <f t="shared" si="176"/>
        <v>0</v>
      </c>
    </row>
    <row r="2735" spans="4:16" x14ac:dyDescent="0.25">
      <c r="D2735">
        <v>2021</v>
      </c>
      <c r="E2735" t="s">
        <v>329</v>
      </c>
      <c r="F2735" t="s">
        <v>333</v>
      </c>
      <c r="G2735">
        <v>766</v>
      </c>
      <c r="I2735">
        <f t="shared" si="177"/>
        <v>0</v>
      </c>
      <c r="J2735">
        <f t="shared" si="177"/>
        <v>0</v>
      </c>
      <c r="K2735">
        <f t="shared" si="177"/>
        <v>0</v>
      </c>
      <c r="M2735" t="str" cm="1">
        <f t="array" ref="M2735">IFERROR(INDEX($I$2:$K$2,0,MATCH(TRUE,I2735:K2735,0)),E2735)</f>
        <v>Coal new</v>
      </c>
      <c r="O2735" t="str">
        <f t="shared" si="175"/>
        <v>Coal new_2021</v>
      </c>
      <c r="P2735">
        <f t="shared" si="176"/>
        <v>766</v>
      </c>
    </row>
    <row r="2736" spans="4:16" x14ac:dyDescent="0.25">
      <c r="D2736">
        <v>2022</v>
      </c>
      <c r="E2736" t="s">
        <v>329</v>
      </c>
      <c r="F2736" t="s">
        <v>333</v>
      </c>
      <c r="G2736">
        <v>766</v>
      </c>
      <c r="I2736">
        <f t="shared" si="177"/>
        <v>0</v>
      </c>
      <c r="J2736">
        <f t="shared" si="177"/>
        <v>0</v>
      </c>
      <c r="K2736">
        <f t="shared" si="177"/>
        <v>0</v>
      </c>
      <c r="M2736" t="str" cm="1">
        <f t="array" ref="M2736">IFERROR(INDEX($I$2:$K$2,0,MATCH(TRUE,I2736:K2736,0)),E2736)</f>
        <v>Coal new</v>
      </c>
      <c r="O2736" t="str">
        <f t="shared" si="175"/>
        <v>Coal new_2022</v>
      </c>
      <c r="P2736">
        <f t="shared" si="176"/>
        <v>766</v>
      </c>
    </row>
    <row r="2737" spans="4:16" x14ac:dyDescent="0.25">
      <c r="D2737">
        <v>2023</v>
      </c>
      <c r="E2737" t="s">
        <v>329</v>
      </c>
      <c r="F2737" t="s">
        <v>333</v>
      </c>
      <c r="G2737">
        <v>766</v>
      </c>
      <c r="I2737">
        <f t="shared" si="177"/>
        <v>0</v>
      </c>
      <c r="J2737">
        <f t="shared" si="177"/>
        <v>0</v>
      </c>
      <c r="K2737">
        <f t="shared" si="177"/>
        <v>0</v>
      </c>
      <c r="M2737" t="str" cm="1">
        <f t="array" ref="M2737">IFERROR(INDEX($I$2:$K$2,0,MATCH(TRUE,I2737:K2737,0)),E2737)</f>
        <v>Coal new</v>
      </c>
      <c r="O2737" t="str">
        <f t="shared" si="175"/>
        <v>Coal new_2023</v>
      </c>
      <c r="P2737">
        <f t="shared" si="176"/>
        <v>766</v>
      </c>
    </row>
    <row r="2738" spans="4:16" x14ac:dyDescent="0.25">
      <c r="D2738">
        <v>2024</v>
      </c>
      <c r="E2738" t="s">
        <v>329</v>
      </c>
      <c r="F2738" t="s">
        <v>333</v>
      </c>
      <c r="G2738">
        <v>766</v>
      </c>
      <c r="I2738">
        <f t="shared" si="177"/>
        <v>0</v>
      </c>
      <c r="J2738">
        <f t="shared" si="177"/>
        <v>0</v>
      </c>
      <c r="K2738">
        <f t="shared" si="177"/>
        <v>0</v>
      </c>
      <c r="M2738" t="str" cm="1">
        <f t="array" ref="M2738">IFERROR(INDEX($I$2:$K$2,0,MATCH(TRUE,I2738:K2738,0)),E2738)</f>
        <v>Coal new</v>
      </c>
      <c r="O2738" t="str">
        <f t="shared" si="175"/>
        <v>Coal new_2024</v>
      </c>
      <c r="P2738">
        <f t="shared" si="176"/>
        <v>766</v>
      </c>
    </row>
    <row r="2739" spans="4:16" x14ac:dyDescent="0.25">
      <c r="D2739">
        <v>2025</v>
      </c>
      <c r="E2739" t="s">
        <v>329</v>
      </c>
      <c r="F2739" t="s">
        <v>333</v>
      </c>
      <c r="G2739">
        <v>766</v>
      </c>
      <c r="I2739">
        <f t="shared" si="177"/>
        <v>0</v>
      </c>
      <c r="J2739">
        <f t="shared" si="177"/>
        <v>0</v>
      </c>
      <c r="K2739">
        <f t="shared" si="177"/>
        <v>0</v>
      </c>
      <c r="M2739" t="str" cm="1">
        <f t="array" ref="M2739">IFERROR(INDEX($I$2:$K$2,0,MATCH(TRUE,I2739:K2739,0)),E2739)</f>
        <v>Coal new</v>
      </c>
      <c r="O2739" t="str">
        <f t="shared" si="175"/>
        <v>Coal new_2025</v>
      </c>
      <c r="P2739">
        <f t="shared" si="176"/>
        <v>766</v>
      </c>
    </row>
    <row r="2740" spans="4:16" x14ac:dyDescent="0.25">
      <c r="D2740">
        <v>2026</v>
      </c>
      <c r="E2740" t="s">
        <v>329</v>
      </c>
      <c r="F2740" t="s">
        <v>333</v>
      </c>
      <c r="G2740">
        <v>766</v>
      </c>
      <c r="I2740">
        <f t="shared" si="177"/>
        <v>0</v>
      </c>
      <c r="J2740">
        <f t="shared" si="177"/>
        <v>0</v>
      </c>
      <c r="K2740">
        <f t="shared" si="177"/>
        <v>0</v>
      </c>
      <c r="M2740" t="str" cm="1">
        <f t="array" ref="M2740">IFERROR(INDEX($I$2:$K$2,0,MATCH(TRUE,I2740:K2740,0)),E2740)</f>
        <v>Coal new</v>
      </c>
      <c r="O2740" t="str">
        <f t="shared" si="175"/>
        <v>Coal new_2026</v>
      </c>
      <c r="P2740">
        <f t="shared" si="176"/>
        <v>766</v>
      </c>
    </row>
    <row r="2741" spans="4:16" x14ac:dyDescent="0.25">
      <c r="D2741">
        <v>2027</v>
      </c>
      <c r="E2741" t="s">
        <v>329</v>
      </c>
      <c r="F2741" t="s">
        <v>333</v>
      </c>
      <c r="G2741">
        <v>766</v>
      </c>
      <c r="I2741">
        <f t="shared" si="177"/>
        <v>0</v>
      </c>
      <c r="J2741">
        <f t="shared" si="177"/>
        <v>0</v>
      </c>
      <c r="K2741">
        <f t="shared" si="177"/>
        <v>0</v>
      </c>
      <c r="M2741" t="str" cm="1">
        <f t="array" ref="M2741">IFERROR(INDEX($I$2:$K$2,0,MATCH(TRUE,I2741:K2741,0)),E2741)</f>
        <v>Coal new</v>
      </c>
      <c r="O2741" t="str">
        <f t="shared" si="175"/>
        <v>Coal new_2027</v>
      </c>
      <c r="P2741">
        <f t="shared" si="176"/>
        <v>766</v>
      </c>
    </row>
    <row r="2742" spans="4:16" x14ac:dyDescent="0.25">
      <c r="D2742">
        <v>2028</v>
      </c>
      <c r="E2742" t="s">
        <v>329</v>
      </c>
      <c r="F2742" t="s">
        <v>333</v>
      </c>
      <c r="G2742">
        <v>766</v>
      </c>
      <c r="I2742">
        <f t="shared" si="177"/>
        <v>0</v>
      </c>
      <c r="J2742">
        <f t="shared" si="177"/>
        <v>0</v>
      </c>
      <c r="K2742">
        <f t="shared" si="177"/>
        <v>0</v>
      </c>
      <c r="M2742" t="str" cm="1">
        <f t="array" ref="M2742">IFERROR(INDEX($I$2:$K$2,0,MATCH(TRUE,I2742:K2742,0)),E2742)</f>
        <v>Coal new</v>
      </c>
      <c r="O2742" t="str">
        <f t="shared" si="175"/>
        <v>Coal new_2028</v>
      </c>
      <c r="P2742">
        <f t="shared" si="176"/>
        <v>766</v>
      </c>
    </row>
    <row r="2743" spans="4:16" x14ac:dyDescent="0.25">
      <c r="D2743">
        <v>2029</v>
      </c>
      <c r="E2743" t="s">
        <v>329</v>
      </c>
      <c r="F2743" t="s">
        <v>333</v>
      </c>
      <c r="G2743">
        <v>766</v>
      </c>
      <c r="I2743">
        <f t="shared" si="177"/>
        <v>0</v>
      </c>
      <c r="J2743">
        <f t="shared" si="177"/>
        <v>0</v>
      </c>
      <c r="K2743">
        <f t="shared" si="177"/>
        <v>0</v>
      </c>
      <c r="M2743" t="str" cm="1">
        <f t="array" ref="M2743">IFERROR(INDEX($I$2:$K$2,0,MATCH(TRUE,I2743:K2743,0)),E2743)</f>
        <v>Coal new</v>
      </c>
      <c r="O2743" t="str">
        <f t="shared" si="175"/>
        <v>Coal new_2029</v>
      </c>
      <c r="P2743">
        <f t="shared" si="176"/>
        <v>766</v>
      </c>
    </row>
    <row r="2744" spans="4:16" x14ac:dyDescent="0.25">
      <c r="D2744">
        <v>2030</v>
      </c>
      <c r="E2744" t="s">
        <v>329</v>
      </c>
      <c r="F2744" t="s">
        <v>333</v>
      </c>
      <c r="G2744">
        <v>766</v>
      </c>
      <c r="I2744">
        <f t="shared" si="177"/>
        <v>0</v>
      </c>
      <c r="J2744">
        <f t="shared" si="177"/>
        <v>0</v>
      </c>
      <c r="K2744">
        <f t="shared" si="177"/>
        <v>0</v>
      </c>
      <c r="M2744" t="str" cm="1">
        <f t="array" ref="M2744">IFERROR(INDEX($I$2:$K$2,0,MATCH(TRUE,I2744:K2744,0)),E2744)</f>
        <v>Coal new</v>
      </c>
      <c r="O2744" t="str">
        <f t="shared" si="175"/>
        <v>Coal new_2030</v>
      </c>
      <c r="P2744">
        <f t="shared" si="176"/>
        <v>766</v>
      </c>
    </row>
    <row r="2745" spans="4:16" x14ac:dyDescent="0.25">
      <c r="D2745">
        <v>2031</v>
      </c>
      <c r="E2745" t="s">
        <v>329</v>
      </c>
      <c r="F2745" t="s">
        <v>333</v>
      </c>
      <c r="G2745">
        <v>766</v>
      </c>
      <c r="I2745">
        <f t="shared" si="177"/>
        <v>0</v>
      </c>
      <c r="J2745">
        <f t="shared" si="177"/>
        <v>0</v>
      </c>
      <c r="K2745">
        <f t="shared" si="177"/>
        <v>0</v>
      </c>
      <c r="M2745" t="str" cm="1">
        <f t="array" ref="M2745">IFERROR(INDEX($I$2:$K$2,0,MATCH(TRUE,I2745:K2745,0)),E2745)</f>
        <v>Coal new</v>
      </c>
      <c r="O2745" t="str">
        <f t="shared" si="175"/>
        <v>Coal new_2031</v>
      </c>
      <c r="P2745">
        <f t="shared" si="176"/>
        <v>766</v>
      </c>
    </row>
    <row r="2746" spans="4:16" x14ac:dyDescent="0.25">
      <c r="D2746">
        <v>2032</v>
      </c>
      <c r="E2746" t="s">
        <v>329</v>
      </c>
      <c r="F2746" t="s">
        <v>333</v>
      </c>
      <c r="G2746">
        <v>766</v>
      </c>
      <c r="I2746">
        <f t="shared" si="177"/>
        <v>0</v>
      </c>
      <c r="J2746">
        <f t="shared" si="177"/>
        <v>0</v>
      </c>
      <c r="K2746">
        <f t="shared" si="177"/>
        <v>0</v>
      </c>
      <c r="M2746" t="str" cm="1">
        <f t="array" ref="M2746">IFERROR(INDEX($I$2:$K$2,0,MATCH(TRUE,I2746:K2746,0)),E2746)</f>
        <v>Coal new</v>
      </c>
      <c r="O2746" t="str">
        <f t="shared" si="175"/>
        <v>Coal new_2032</v>
      </c>
      <c r="P2746">
        <f t="shared" si="176"/>
        <v>766</v>
      </c>
    </row>
    <row r="2747" spans="4:16" x14ac:dyDescent="0.25">
      <c r="D2747">
        <v>2033</v>
      </c>
      <c r="E2747" t="s">
        <v>329</v>
      </c>
      <c r="F2747" t="s">
        <v>333</v>
      </c>
      <c r="G2747">
        <v>0</v>
      </c>
      <c r="I2747">
        <f t="shared" si="177"/>
        <v>0</v>
      </c>
      <c r="J2747">
        <f t="shared" si="177"/>
        <v>0</v>
      </c>
      <c r="K2747">
        <f t="shared" si="177"/>
        <v>0</v>
      </c>
      <c r="M2747" t="str" cm="1">
        <f t="array" ref="M2747">IFERROR(INDEX($I$2:$K$2,0,MATCH(TRUE,I2747:K2747,0)),E2747)</f>
        <v>Coal new</v>
      </c>
      <c r="O2747" t="str">
        <f t="shared" si="175"/>
        <v>Coal new_2033</v>
      </c>
      <c r="P2747">
        <f t="shared" si="176"/>
        <v>0</v>
      </c>
    </row>
    <row r="2748" spans="4:16" x14ac:dyDescent="0.25">
      <c r="D2748">
        <v>2021</v>
      </c>
      <c r="E2748" t="s">
        <v>329</v>
      </c>
      <c r="F2748" t="s">
        <v>334</v>
      </c>
      <c r="G2748">
        <v>766</v>
      </c>
      <c r="I2748">
        <f t="shared" si="177"/>
        <v>0</v>
      </c>
      <c r="J2748">
        <f t="shared" si="177"/>
        <v>0</v>
      </c>
      <c r="K2748">
        <f t="shared" si="177"/>
        <v>0</v>
      </c>
      <c r="M2748" t="str" cm="1">
        <f t="array" ref="M2748">IFERROR(INDEX($I$2:$K$2,0,MATCH(TRUE,I2748:K2748,0)),E2748)</f>
        <v>Coal new</v>
      </c>
      <c r="O2748" t="str">
        <f t="shared" si="175"/>
        <v>Coal new_2021</v>
      </c>
      <c r="P2748">
        <f t="shared" si="176"/>
        <v>766</v>
      </c>
    </row>
    <row r="2749" spans="4:16" x14ac:dyDescent="0.25">
      <c r="D2749">
        <v>2022</v>
      </c>
      <c r="E2749" t="s">
        <v>329</v>
      </c>
      <c r="F2749" t="s">
        <v>334</v>
      </c>
      <c r="G2749">
        <v>766</v>
      </c>
      <c r="I2749">
        <f t="shared" si="177"/>
        <v>0</v>
      </c>
      <c r="J2749">
        <f t="shared" si="177"/>
        <v>0</v>
      </c>
      <c r="K2749">
        <f t="shared" si="177"/>
        <v>0</v>
      </c>
      <c r="M2749" t="str" cm="1">
        <f t="array" ref="M2749">IFERROR(INDEX($I$2:$K$2,0,MATCH(TRUE,I2749:K2749,0)),E2749)</f>
        <v>Coal new</v>
      </c>
      <c r="O2749" t="str">
        <f t="shared" si="175"/>
        <v>Coal new_2022</v>
      </c>
      <c r="P2749">
        <f t="shared" si="176"/>
        <v>766</v>
      </c>
    </row>
    <row r="2750" spans="4:16" x14ac:dyDescent="0.25">
      <c r="D2750">
        <v>2023</v>
      </c>
      <c r="E2750" t="s">
        <v>329</v>
      </c>
      <c r="F2750" t="s">
        <v>334</v>
      </c>
      <c r="G2750">
        <v>766</v>
      </c>
      <c r="I2750">
        <f t="shared" si="177"/>
        <v>0</v>
      </c>
      <c r="J2750">
        <f t="shared" si="177"/>
        <v>0</v>
      </c>
      <c r="K2750">
        <f t="shared" si="177"/>
        <v>0</v>
      </c>
      <c r="M2750" t="str" cm="1">
        <f t="array" ref="M2750">IFERROR(INDEX($I$2:$K$2,0,MATCH(TRUE,I2750:K2750,0)),E2750)</f>
        <v>Coal new</v>
      </c>
      <c r="O2750" t="str">
        <f t="shared" si="175"/>
        <v>Coal new_2023</v>
      </c>
      <c r="P2750">
        <f t="shared" si="176"/>
        <v>766</v>
      </c>
    </row>
    <row r="2751" spans="4:16" x14ac:dyDescent="0.25">
      <c r="D2751">
        <v>2024</v>
      </c>
      <c r="E2751" t="s">
        <v>329</v>
      </c>
      <c r="F2751" t="s">
        <v>334</v>
      </c>
      <c r="G2751">
        <v>766</v>
      </c>
      <c r="I2751">
        <f t="shared" si="177"/>
        <v>0</v>
      </c>
      <c r="J2751">
        <f t="shared" si="177"/>
        <v>0</v>
      </c>
      <c r="K2751">
        <f t="shared" si="177"/>
        <v>0</v>
      </c>
      <c r="M2751" t="str" cm="1">
        <f t="array" ref="M2751">IFERROR(INDEX($I$2:$K$2,0,MATCH(TRUE,I2751:K2751,0)),E2751)</f>
        <v>Coal new</v>
      </c>
      <c r="O2751" t="str">
        <f t="shared" si="175"/>
        <v>Coal new_2024</v>
      </c>
      <c r="P2751">
        <f t="shared" si="176"/>
        <v>766</v>
      </c>
    </row>
    <row r="2752" spans="4:16" x14ac:dyDescent="0.25">
      <c r="D2752">
        <v>2025</v>
      </c>
      <c r="E2752" t="s">
        <v>329</v>
      </c>
      <c r="F2752" t="s">
        <v>334</v>
      </c>
      <c r="G2752">
        <v>766</v>
      </c>
      <c r="I2752">
        <f t="shared" si="177"/>
        <v>0</v>
      </c>
      <c r="J2752">
        <f t="shared" si="177"/>
        <v>0</v>
      </c>
      <c r="K2752">
        <f t="shared" si="177"/>
        <v>0</v>
      </c>
      <c r="M2752" t="str" cm="1">
        <f t="array" ref="M2752">IFERROR(INDEX($I$2:$K$2,0,MATCH(TRUE,I2752:K2752,0)),E2752)</f>
        <v>Coal new</v>
      </c>
      <c r="O2752" t="str">
        <f t="shared" si="175"/>
        <v>Coal new_2025</v>
      </c>
      <c r="P2752">
        <f t="shared" si="176"/>
        <v>766</v>
      </c>
    </row>
    <row r="2753" spans="4:16" x14ac:dyDescent="0.25">
      <c r="D2753">
        <v>2026</v>
      </c>
      <c r="E2753" t="s">
        <v>329</v>
      </c>
      <c r="F2753" t="s">
        <v>334</v>
      </c>
      <c r="G2753">
        <v>766</v>
      </c>
      <c r="I2753">
        <f t="shared" si="177"/>
        <v>0</v>
      </c>
      <c r="J2753">
        <f t="shared" si="177"/>
        <v>0</v>
      </c>
      <c r="K2753">
        <f t="shared" si="177"/>
        <v>0</v>
      </c>
      <c r="M2753" t="str" cm="1">
        <f t="array" ref="M2753">IFERROR(INDEX($I$2:$K$2,0,MATCH(TRUE,I2753:K2753,0)),E2753)</f>
        <v>Coal new</v>
      </c>
      <c r="O2753" t="str">
        <f t="shared" si="175"/>
        <v>Coal new_2026</v>
      </c>
      <c r="P2753">
        <f t="shared" si="176"/>
        <v>766</v>
      </c>
    </row>
    <row r="2754" spans="4:16" x14ac:dyDescent="0.25">
      <c r="D2754">
        <v>2027</v>
      </c>
      <c r="E2754" t="s">
        <v>329</v>
      </c>
      <c r="F2754" t="s">
        <v>334</v>
      </c>
      <c r="G2754">
        <v>766</v>
      </c>
      <c r="I2754">
        <f t="shared" si="177"/>
        <v>0</v>
      </c>
      <c r="J2754">
        <f t="shared" si="177"/>
        <v>0</v>
      </c>
      <c r="K2754">
        <f t="shared" si="177"/>
        <v>0</v>
      </c>
      <c r="M2754" t="str" cm="1">
        <f t="array" ref="M2754">IFERROR(INDEX($I$2:$K$2,0,MATCH(TRUE,I2754:K2754,0)),E2754)</f>
        <v>Coal new</v>
      </c>
      <c r="O2754" t="str">
        <f t="shared" si="175"/>
        <v>Coal new_2027</v>
      </c>
      <c r="P2754">
        <f t="shared" si="176"/>
        <v>766</v>
      </c>
    </row>
    <row r="2755" spans="4:16" x14ac:dyDescent="0.25">
      <c r="D2755">
        <v>2028</v>
      </c>
      <c r="E2755" t="s">
        <v>329</v>
      </c>
      <c r="F2755" t="s">
        <v>334</v>
      </c>
      <c r="G2755">
        <v>766</v>
      </c>
      <c r="I2755">
        <f t="shared" si="177"/>
        <v>0</v>
      </c>
      <c r="J2755">
        <f t="shared" si="177"/>
        <v>0</v>
      </c>
      <c r="K2755">
        <f t="shared" si="177"/>
        <v>0</v>
      </c>
      <c r="M2755" t="str" cm="1">
        <f t="array" ref="M2755">IFERROR(INDEX($I$2:$K$2,0,MATCH(TRUE,I2755:K2755,0)),E2755)</f>
        <v>Coal new</v>
      </c>
      <c r="O2755" t="str">
        <f t="shared" si="175"/>
        <v>Coal new_2028</v>
      </c>
      <c r="P2755">
        <f t="shared" si="176"/>
        <v>766</v>
      </c>
    </row>
    <row r="2756" spans="4:16" x14ac:dyDescent="0.25">
      <c r="D2756">
        <v>2029</v>
      </c>
      <c r="E2756" t="s">
        <v>329</v>
      </c>
      <c r="F2756" t="s">
        <v>334</v>
      </c>
      <c r="G2756">
        <v>766</v>
      </c>
      <c r="I2756">
        <f t="shared" si="177"/>
        <v>0</v>
      </c>
      <c r="J2756">
        <f t="shared" si="177"/>
        <v>0</v>
      </c>
      <c r="K2756">
        <f t="shared" si="177"/>
        <v>0</v>
      </c>
      <c r="M2756" t="str" cm="1">
        <f t="array" ref="M2756">IFERROR(INDEX($I$2:$K$2,0,MATCH(TRUE,I2756:K2756,0)),E2756)</f>
        <v>Coal new</v>
      </c>
      <c r="O2756" t="str">
        <f t="shared" si="175"/>
        <v>Coal new_2029</v>
      </c>
      <c r="P2756">
        <f t="shared" si="176"/>
        <v>766</v>
      </c>
    </row>
    <row r="2757" spans="4:16" x14ac:dyDescent="0.25">
      <c r="D2757">
        <v>2030</v>
      </c>
      <c r="E2757" t="s">
        <v>329</v>
      </c>
      <c r="F2757" t="s">
        <v>334</v>
      </c>
      <c r="G2757">
        <v>766</v>
      </c>
      <c r="I2757">
        <f t="shared" si="177"/>
        <v>0</v>
      </c>
      <c r="J2757">
        <f t="shared" si="177"/>
        <v>0</v>
      </c>
      <c r="K2757">
        <f t="shared" si="177"/>
        <v>0</v>
      </c>
      <c r="M2757" t="str" cm="1">
        <f t="array" ref="M2757">IFERROR(INDEX($I$2:$K$2,0,MATCH(TRUE,I2757:K2757,0)),E2757)</f>
        <v>Coal new</v>
      </c>
      <c r="O2757" t="str">
        <f t="shared" si="175"/>
        <v>Coal new_2030</v>
      </c>
      <c r="P2757">
        <f t="shared" si="176"/>
        <v>766</v>
      </c>
    </row>
    <row r="2758" spans="4:16" x14ac:dyDescent="0.25">
      <c r="D2758">
        <v>2031</v>
      </c>
      <c r="E2758" t="s">
        <v>329</v>
      </c>
      <c r="F2758" t="s">
        <v>334</v>
      </c>
      <c r="G2758">
        <v>766</v>
      </c>
      <c r="I2758">
        <f t="shared" si="177"/>
        <v>0</v>
      </c>
      <c r="J2758">
        <f t="shared" si="177"/>
        <v>0</v>
      </c>
      <c r="K2758">
        <f t="shared" si="177"/>
        <v>0</v>
      </c>
      <c r="M2758" t="str" cm="1">
        <f t="array" ref="M2758">IFERROR(INDEX($I$2:$K$2,0,MATCH(TRUE,I2758:K2758,0)),E2758)</f>
        <v>Coal new</v>
      </c>
      <c r="O2758" t="str">
        <f t="shared" si="175"/>
        <v>Coal new_2031</v>
      </c>
      <c r="P2758">
        <f t="shared" si="176"/>
        <v>766</v>
      </c>
    </row>
    <row r="2759" spans="4:16" x14ac:dyDescent="0.25">
      <c r="D2759">
        <v>2032</v>
      </c>
      <c r="E2759" t="s">
        <v>329</v>
      </c>
      <c r="F2759" t="s">
        <v>334</v>
      </c>
      <c r="G2759">
        <v>766</v>
      </c>
      <c r="I2759">
        <f t="shared" si="177"/>
        <v>0</v>
      </c>
      <c r="J2759">
        <f t="shared" si="177"/>
        <v>0</v>
      </c>
      <c r="K2759">
        <f t="shared" si="177"/>
        <v>0</v>
      </c>
      <c r="M2759" t="str" cm="1">
        <f t="array" ref="M2759">IFERROR(INDEX($I$2:$K$2,0,MATCH(TRUE,I2759:K2759,0)),E2759)</f>
        <v>Coal new</v>
      </c>
      <c r="O2759" t="str">
        <f t="shared" si="175"/>
        <v>Coal new_2032</v>
      </c>
      <c r="P2759">
        <f t="shared" si="176"/>
        <v>766</v>
      </c>
    </row>
    <row r="2760" spans="4:16" x14ac:dyDescent="0.25">
      <c r="D2760">
        <v>2033</v>
      </c>
      <c r="E2760" t="s">
        <v>329</v>
      </c>
      <c r="F2760" t="s">
        <v>334</v>
      </c>
      <c r="G2760">
        <v>0</v>
      </c>
      <c r="I2760">
        <f t="shared" si="177"/>
        <v>0</v>
      </c>
      <c r="J2760">
        <f t="shared" si="177"/>
        <v>0</v>
      </c>
      <c r="K2760">
        <f t="shared" si="177"/>
        <v>0</v>
      </c>
      <c r="M2760" t="str" cm="1">
        <f t="array" ref="M2760">IFERROR(INDEX($I$2:$K$2,0,MATCH(TRUE,I2760:K2760,0)),E2760)</f>
        <v>Coal new</v>
      </c>
      <c r="O2760" t="str">
        <f t="shared" si="175"/>
        <v>Coal new_2033</v>
      </c>
      <c r="P2760">
        <f t="shared" si="176"/>
        <v>0</v>
      </c>
    </row>
    <row r="2761" spans="4:16" x14ac:dyDescent="0.25">
      <c r="D2761">
        <v>2021</v>
      </c>
      <c r="E2761" t="s">
        <v>329</v>
      </c>
      <c r="F2761" t="s">
        <v>335</v>
      </c>
      <c r="G2761">
        <v>874</v>
      </c>
      <c r="I2761">
        <f t="shared" si="177"/>
        <v>0</v>
      </c>
      <c r="J2761">
        <f t="shared" si="177"/>
        <v>0</v>
      </c>
      <c r="K2761">
        <f t="shared" si="177"/>
        <v>0</v>
      </c>
      <c r="M2761" t="str" cm="1">
        <f t="array" ref="M2761">IFERROR(INDEX($I$2:$K$2,0,MATCH(TRUE,I2761:K2761,0)),E2761)</f>
        <v>Coal new</v>
      </c>
      <c r="O2761" t="str">
        <f t="shared" si="175"/>
        <v>Coal new_2021</v>
      </c>
      <c r="P2761">
        <f t="shared" si="176"/>
        <v>874</v>
      </c>
    </row>
    <row r="2762" spans="4:16" x14ac:dyDescent="0.25">
      <c r="D2762">
        <v>2022</v>
      </c>
      <c r="E2762" t="s">
        <v>329</v>
      </c>
      <c r="F2762" t="s">
        <v>335</v>
      </c>
      <c r="G2762">
        <v>874</v>
      </c>
      <c r="I2762">
        <f t="shared" si="177"/>
        <v>0</v>
      </c>
      <c r="J2762">
        <f t="shared" si="177"/>
        <v>0</v>
      </c>
      <c r="K2762">
        <f t="shared" si="177"/>
        <v>0</v>
      </c>
      <c r="M2762" t="str" cm="1">
        <f t="array" ref="M2762">IFERROR(INDEX($I$2:$K$2,0,MATCH(TRUE,I2762:K2762,0)),E2762)</f>
        <v>Coal new</v>
      </c>
      <c r="O2762" t="str">
        <f t="shared" si="175"/>
        <v>Coal new_2022</v>
      </c>
      <c r="P2762">
        <f t="shared" si="176"/>
        <v>874</v>
      </c>
    </row>
    <row r="2763" spans="4:16" x14ac:dyDescent="0.25">
      <c r="D2763">
        <v>2023</v>
      </c>
      <c r="E2763" t="s">
        <v>329</v>
      </c>
      <c r="F2763" t="s">
        <v>335</v>
      </c>
      <c r="G2763">
        <v>874</v>
      </c>
      <c r="I2763">
        <f t="shared" si="177"/>
        <v>0</v>
      </c>
      <c r="J2763">
        <f t="shared" si="177"/>
        <v>0</v>
      </c>
      <c r="K2763">
        <f t="shared" si="177"/>
        <v>0</v>
      </c>
      <c r="M2763" t="str" cm="1">
        <f t="array" ref="M2763">IFERROR(INDEX($I$2:$K$2,0,MATCH(TRUE,I2763:K2763,0)),E2763)</f>
        <v>Coal new</v>
      </c>
      <c r="O2763" t="str">
        <f t="shared" si="175"/>
        <v>Coal new_2023</v>
      </c>
      <c r="P2763">
        <f t="shared" si="176"/>
        <v>874</v>
      </c>
    </row>
    <row r="2764" spans="4:16" x14ac:dyDescent="0.25">
      <c r="D2764">
        <v>2024</v>
      </c>
      <c r="E2764" t="s">
        <v>329</v>
      </c>
      <c r="F2764" t="s">
        <v>335</v>
      </c>
      <c r="G2764">
        <v>874</v>
      </c>
      <c r="I2764">
        <f t="shared" si="177"/>
        <v>0</v>
      </c>
      <c r="J2764">
        <f t="shared" si="177"/>
        <v>0</v>
      </c>
      <c r="K2764">
        <f t="shared" si="177"/>
        <v>0</v>
      </c>
      <c r="M2764" t="str" cm="1">
        <f t="array" ref="M2764">IFERROR(INDEX($I$2:$K$2,0,MATCH(TRUE,I2764:K2764,0)),E2764)</f>
        <v>Coal new</v>
      </c>
      <c r="O2764" t="str">
        <f t="shared" si="175"/>
        <v>Coal new_2024</v>
      </c>
      <c r="P2764">
        <f t="shared" si="176"/>
        <v>874</v>
      </c>
    </row>
    <row r="2765" spans="4:16" x14ac:dyDescent="0.25">
      <c r="D2765">
        <v>2025</v>
      </c>
      <c r="E2765" t="s">
        <v>329</v>
      </c>
      <c r="F2765" t="s">
        <v>335</v>
      </c>
      <c r="G2765">
        <v>874</v>
      </c>
      <c r="I2765">
        <f t="shared" si="177"/>
        <v>0</v>
      </c>
      <c r="J2765">
        <f t="shared" si="177"/>
        <v>0</v>
      </c>
      <c r="K2765">
        <f t="shared" si="177"/>
        <v>0</v>
      </c>
      <c r="M2765" t="str" cm="1">
        <f t="array" ref="M2765">IFERROR(INDEX($I$2:$K$2,0,MATCH(TRUE,I2765:K2765,0)),E2765)</f>
        <v>Coal new</v>
      </c>
      <c r="O2765" t="str">
        <f t="shared" si="175"/>
        <v>Coal new_2025</v>
      </c>
      <c r="P2765">
        <f t="shared" si="176"/>
        <v>874</v>
      </c>
    </row>
    <row r="2766" spans="4:16" x14ac:dyDescent="0.25">
      <c r="D2766">
        <v>2026</v>
      </c>
      <c r="E2766" t="s">
        <v>329</v>
      </c>
      <c r="F2766" t="s">
        <v>335</v>
      </c>
      <c r="G2766">
        <v>874</v>
      </c>
      <c r="I2766">
        <f t="shared" si="177"/>
        <v>0</v>
      </c>
      <c r="J2766">
        <f t="shared" si="177"/>
        <v>0</v>
      </c>
      <c r="K2766">
        <f t="shared" si="177"/>
        <v>0</v>
      </c>
      <c r="M2766" t="str" cm="1">
        <f t="array" ref="M2766">IFERROR(INDEX($I$2:$K$2,0,MATCH(TRUE,I2766:K2766,0)),E2766)</f>
        <v>Coal new</v>
      </c>
      <c r="O2766" t="str">
        <f t="shared" si="175"/>
        <v>Coal new_2026</v>
      </c>
      <c r="P2766">
        <f t="shared" si="176"/>
        <v>874</v>
      </c>
    </row>
    <row r="2767" spans="4:16" x14ac:dyDescent="0.25">
      <c r="D2767">
        <v>2027</v>
      </c>
      <c r="E2767" t="s">
        <v>329</v>
      </c>
      <c r="F2767" t="s">
        <v>335</v>
      </c>
      <c r="G2767">
        <v>874</v>
      </c>
      <c r="I2767">
        <f t="shared" si="177"/>
        <v>0</v>
      </c>
      <c r="J2767">
        <f t="shared" si="177"/>
        <v>0</v>
      </c>
      <c r="K2767">
        <f t="shared" si="177"/>
        <v>0</v>
      </c>
      <c r="M2767" t="str" cm="1">
        <f t="array" ref="M2767">IFERROR(INDEX($I$2:$K$2,0,MATCH(TRUE,I2767:K2767,0)),E2767)</f>
        <v>Coal new</v>
      </c>
      <c r="O2767" t="str">
        <f t="shared" si="175"/>
        <v>Coal new_2027</v>
      </c>
      <c r="P2767">
        <f t="shared" si="176"/>
        <v>874</v>
      </c>
    </row>
    <row r="2768" spans="4:16" x14ac:dyDescent="0.25">
      <c r="D2768">
        <v>2028</v>
      </c>
      <c r="E2768" t="s">
        <v>329</v>
      </c>
      <c r="F2768" t="s">
        <v>335</v>
      </c>
      <c r="G2768">
        <v>874</v>
      </c>
      <c r="I2768">
        <f t="shared" si="177"/>
        <v>0</v>
      </c>
      <c r="J2768">
        <f t="shared" si="177"/>
        <v>0</v>
      </c>
      <c r="K2768">
        <f t="shared" si="177"/>
        <v>0</v>
      </c>
      <c r="M2768" t="str" cm="1">
        <f t="array" ref="M2768">IFERROR(INDEX($I$2:$K$2,0,MATCH(TRUE,I2768:K2768,0)),E2768)</f>
        <v>Coal new</v>
      </c>
      <c r="O2768" t="str">
        <f t="shared" si="175"/>
        <v>Coal new_2028</v>
      </c>
      <c r="P2768">
        <f t="shared" si="176"/>
        <v>874</v>
      </c>
    </row>
    <row r="2769" spans="4:16" x14ac:dyDescent="0.25">
      <c r="D2769">
        <v>2029</v>
      </c>
      <c r="E2769" t="s">
        <v>329</v>
      </c>
      <c r="F2769" t="s">
        <v>335</v>
      </c>
      <c r="G2769">
        <v>874</v>
      </c>
      <c r="I2769">
        <f t="shared" si="177"/>
        <v>0</v>
      </c>
      <c r="J2769">
        <f t="shared" si="177"/>
        <v>0</v>
      </c>
      <c r="K2769">
        <f t="shared" si="177"/>
        <v>0</v>
      </c>
      <c r="M2769" t="str" cm="1">
        <f t="array" ref="M2769">IFERROR(INDEX($I$2:$K$2,0,MATCH(TRUE,I2769:K2769,0)),E2769)</f>
        <v>Coal new</v>
      </c>
      <c r="O2769" t="str">
        <f t="shared" si="175"/>
        <v>Coal new_2029</v>
      </c>
      <c r="P2769">
        <f t="shared" si="176"/>
        <v>874</v>
      </c>
    </row>
    <row r="2770" spans="4:16" x14ac:dyDescent="0.25">
      <c r="D2770">
        <v>2030</v>
      </c>
      <c r="E2770" t="s">
        <v>329</v>
      </c>
      <c r="F2770" t="s">
        <v>335</v>
      </c>
      <c r="G2770">
        <v>874</v>
      </c>
      <c r="I2770">
        <f t="shared" si="177"/>
        <v>0</v>
      </c>
      <c r="J2770">
        <f t="shared" si="177"/>
        <v>0</v>
      </c>
      <c r="K2770">
        <f t="shared" si="177"/>
        <v>0</v>
      </c>
      <c r="M2770" t="str" cm="1">
        <f t="array" ref="M2770">IFERROR(INDEX($I$2:$K$2,0,MATCH(TRUE,I2770:K2770,0)),E2770)</f>
        <v>Coal new</v>
      </c>
      <c r="O2770" t="str">
        <f t="shared" si="175"/>
        <v>Coal new_2030</v>
      </c>
      <c r="P2770">
        <f t="shared" si="176"/>
        <v>874</v>
      </c>
    </row>
    <row r="2771" spans="4:16" x14ac:dyDescent="0.25">
      <c r="D2771">
        <v>2031</v>
      </c>
      <c r="E2771" t="s">
        <v>329</v>
      </c>
      <c r="F2771" t="s">
        <v>335</v>
      </c>
      <c r="G2771">
        <v>874</v>
      </c>
      <c r="I2771">
        <f t="shared" si="177"/>
        <v>0</v>
      </c>
      <c r="J2771">
        <f t="shared" si="177"/>
        <v>0</v>
      </c>
      <c r="K2771">
        <f t="shared" si="177"/>
        <v>0</v>
      </c>
      <c r="M2771" t="str" cm="1">
        <f t="array" ref="M2771">IFERROR(INDEX($I$2:$K$2,0,MATCH(TRUE,I2771:K2771,0)),E2771)</f>
        <v>Coal new</v>
      </c>
      <c r="O2771" t="str">
        <f t="shared" ref="O2771:O2834" si="178">M2771&amp;"_"&amp;D2771</f>
        <v>Coal new_2031</v>
      </c>
      <c r="P2771">
        <f t="shared" ref="P2771:P2834" si="179">G2771</f>
        <v>874</v>
      </c>
    </row>
    <row r="2772" spans="4:16" x14ac:dyDescent="0.25">
      <c r="D2772">
        <v>2032</v>
      </c>
      <c r="E2772" t="s">
        <v>329</v>
      </c>
      <c r="F2772" t="s">
        <v>335</v>
      </c>
      <c r="G2772">
        <v>0</v>
      </c>
      <c r="I2772">
        <f t="shared" si="177"/>
        <v>0</v>
      </c>
      <c r="J2772">
        <f t="shared" si="177"/>
        <v>0</v>
      </c>
      <c r="K2772">
        <f t="shared" si="177"/>
        <v>0</v>
      </c>
      <c r="M2772" t="str" cm="1">
        <f t="array" ref="M2772">IFERROR(INDEX($I$2:$K$2,0,MATCH(TRUE,I2772:K2772,0)),E2772)</f>
        <v>Coal new</v>
      </c>
      <c r="O2772" t="str">
        <f t="shared" si="178"/>
        <v>Coal new_2032</v>
      </c>
      <c r="P2772">
        <f t="shared" si="179"/>
        <v>0</v>
      </c>
    </row>
    <row r="2773" spans="4:16" x14ac:dyDescent="0.25">
      <c r="D2773">
        <v>2021</v>
      </c>
      <c r="E2773" t="s">
        <v>329</v>
      </c>
      <c r="F2773" t="s">
        <v>336</v>
      </c>
      <c r="G2773">
        <v>725</v>
      </c>
      <c r="I2773">
        <f t="shared" ref="I2773:K2836" si="180">IFERROR(FIND(I$2,$E2773,1)&gt;0,0)</f>
        <v>0</v>
      </c>
      <c r="J2773">
        <f t="shared" si="180"/>
        <v>0</v>
      </c>
      <c r="K2773">
        <f t="shared" si="180"/>
        <v>0</v>
      </c>
      <c r="M2773" t="str" cm="1">
        <f t="array" ref="M2773">IFERROR(INDEX($I$2:$K$2,0,MATCH(TRUE,I2773:K2773,0)),E2773)</f>
        <v>Coal new</v>
      </c>
      <c r="O2773" t="str">
        <f t="shared" si="178"/>
        <v>Coal new_2021</v>
      </c>
      <c r="P2773">
        <f t="shared" si="179"/>
        <v>725</v>
      </c>
    </row>
    <row r="2774" spans="4:16" x14ac:dyDescent="0.25">
      <c r="D2774">
        <v>2022</v>
      </c>
      <c r="E2774" t="s">
        <v>329</v>
      </c>
      <c r="F2774" t="s">
        <v>336</v>
      </c>
      <c r="G2774">
        <v>725</v>
      </c>
      <c r="I2774">
        <f t="shared" si="180"/>
        <v>0</v>
      </c>
      <c r="J2774">
        <f t="shared" si="180"/>
        <v>0</v>
      </c>
      <c r="K2774">
        <f t="shared" si="180"/>
        <v>0</v>
      </c>
      <c r="M2774" t="str" cm="1">
        <f t="array" ref="M2774">IFERROR(INDEX($I$2:$K$2,0,MATCH(TRUE,I2774:K2774,0)),E2774)</f>
        <v>Coal new</v>
      </c>
      <c r="O2774" t="str">
        <f t="shared" si="178"/>
        <v>Coal new_2022</v>
      </c>
      <c r="P2774">
        <f t="shared" si="179"/>
        <v>725</v>
      </c>
    </row>
    <row r="2775" spans="4:16" x14ac:dyDescent="0.25">
      <c r="D2775">
        <v>2023</v>
      </c>
      <c r="E2775" t="s">
        <v>329</v>
      </c>
      <c r="F2775" t="s">
        <v>336</v>
      </c>
      <c r="G2775">
        <v>725</v>
      </c>
      <c r="I2775">
        <f t="shared" si="180"/>
        <v>0</v>
      </c>
      <c r="J2775">
        <f t="shared" si="180"/>
        <v>0</v>
      </c>
      <c r="K2775">
        <f t="shared" si="180"/>
        <v>0</v>
      </c>
      <c r="M2775" t="str" cm="1">
        <f t="array" ref="M2775">IFERROR(INDEX($I$2:$K$2,0,MATCH(TRUE,I2775:K2775,0)),E2775)</f>
        <v>Coal new</v>
      </c>
      <c r="O2775" t="str">
        <f t="shared" si="178"/>
        <v>Coal new_2023</v>
      </c>
      <c r="P2775">
        <f t="shared" si="179"/>
        <v>725</v>
      </c>
    </row>
    <row r="2776" spans="4:16" x14ac:dyDescent="0.25">
      <c r="D2776">
        <v>2024</v>
      </c>
      <c r="E2776" t="s">
        <v>329</v>
      </c>
      <c r="F2776" t="s">
        <v>336</v>
      </c>
      <c r="G2776">
        <v>725</v>
      </c>
      <c r="I2776">
        <f t="shared" si="180"/>
        <v>0</v>
      </c>
      <c r="J2776">
        <f t="shared" si="180"/>
        <v>0</v>
      </c>
      <c r="K2776">
        <f t="shared" si="180"/>
        <v>0</v>
      </c>
      <c r="M2776" t="str" cm="1">
        <f t="array" ref="M2776">IFERROR(INDEX($I$2:$K$2,0,MATCH(TRUE,I2776:K2776,0)),E2776)</f>
        <v>Coal new</v>
      </c>
      <c r="O2776" t="str">
        <f t="shared" si="178"/>
        <v>Coal new_2024</v>
      </c>
      <c r="P2776">
        <f t="shared" si="179"/>
        <v>725</v>
      </c>
    </row>
    <row r="2777" spans="4:16" x14ac:dyDescent="0.25">
      <c r="D2777">
        <v>2025</v>
      </c>
      <c r="E2777" t="s">
        <v>329</v>
      </c>
      <c r="F2777" t="s">
        <v>336</v>
      </c>
      <c r="G2777">
        <v>725</v>
      </c>
      <c r="I2777">
        <f t="shared" si="180"/>
        <v>0</v>
      </c>
      <c r="J2777">
        <f t="shared" si="180"/>
        <v>0</v>
      </c>
      <c r="K2777">
        <f t="shared" si="180"/>
        <v>0</v>
      </c>
      <c r="M2777" t="str" cm="1">
        <f t="array" ref="M2777">IFERROR(INDEX($I$2:$K$2,0,MATCH(TRUE,I2777:K2777,0)),E2777)</f>
        <v>Coal new</v>
      </c>
      <c r="O2777" t="str">
        <f t="shared" si="178"/>
        <v>Coal new_2025</v>
      </c>
      <c r="P2777">
        <f t="shared" si="179"/>
        <v>725</v>
      </c>
    </row>
    <row r="2778" spans="4:16" x14ac:dyDescent="0.25">
      <c r="D2778">
        <v>2026</v>
      </c>
      <c r="E2778" t="s">
        <v>329</v>
      </c>
      <c r="F2778" t="s">
        <v>336</v>
      </c>
      <c r="G2778">
        <v>725</v>
      </c>
      <c r="I2778">
        <f t="shared" si="180"/>
        <v>0</v>
      </c>
      <c r="J2778">
        <f t="shared" si="180"/>
        <v>0</v>
      </c>
      <c r="K2778">
        <f t="shared" si="180"/>
        <v>0</v>
      </c>
      <c r="M2778" t="str" cm="1">
        <f t="array" ref="M2778">IFERROR(INDEX($I$2:$K$2,0,MATCH(TRUE,I2778:K2778,0)),E2778)</f>
        <v>Coal new</v>
      </c>
      <c r="O2778" t="str">
        <f t="shared" si="178"/>
        <v>Coal new_2026</v>
      </c>
      <c r="P2778">
        <f t="shared" si="179"/>
        <v>725</v>
      </c>
    </row>
    <row r="2779" spans="4:16" x14ac:dyDescent="0.25">
      <c r="D2779">
        <v>2027</v>
      </c>
      <c r="E2779" t="s">
        <v>329</v>
      </c>
      <c r="F2779" t="s">
        <v>336</v>
      </c>
      <c r="G2779">
        <v>725</v>
      </c>
      <c r="I2779">
        <f t="shared" si="180"/>
        <v>0</v>
      </c>
      <c r="J2779">
        <f t="shared" si="180"/>
        <v>0</v>
      </c>
      <c r="K2779">
        <f t="shared" si="180"/>
        <v>0</v>
      </c>
      <c r="M2779" t="str" cm="1">
        <f t="array" ref="M2779">IFERROR(INDEX($I$2:$K$2,0,MATCH(TRUE,I2779:K2779,0)),E2779)</f>
        <v>Coal new</v>
      </c>
      <c r="O2779" t="str">
        <f t="shared" si="178"/>
        <v>Coal new_2027</v>
      </c>
      <c r="P2779">
        <f t="shared" si="179"/>
        <v>725</v>
      </c>
    </row>
    <row r="2780" spans="4:16" x14ac:dyDescent="0.25">
      <c r="D2780">
        <v>2028</v>
      </c>
      <c r="E2780" t="s">
        <v>329</v>
      </c>
      <c r="F2780" t="s">
        <v>336</v>
      </c>
      <c r="G2780">
        <v>725</v>
      </c>
      <c r="I2780">
        <f t="shared" si="180"/>
        <v>0</v>
      </c>
      <c r="J2780">
        <f t="shared" si="180"/>
        <v>0</v>
      </c>
      <c r="K2780">
        <f t="shared" si="180"/>
        <v>0</v>
      </c>
      <c r="M2780" t="str" cm="1">
        <f t="array" ref="M2780">IFERROR(INDEX($I$2:$K$2,0,MATCH(TRUE,I2780:K2780,0)),E2780)</f>
        <v>Coal new</v>
      </c>
      <c r="O2780" t="str">
        <f t="shared" si="178"/>
        <v>Coal new_2028</v>
      </c>
      <c r="P2780">
        <f t="shared" si="179"/>
        <v>725</v>
      </c>
    </row>
    <row r="2781" spans="4:16" x14ac:dyDescent="0.25">
      <c r="D2781">
        <v>2029</v>
      </c>
      <c r="E2781" t="s">
        <v>329</v>
      </c>
      <c r="F2781" t="s">
        <v>336</v>
      </c>
      <c r="G2781">
        <v>725</v>
      </c>
      <c r="I2781">
        <f t="shared" si="180"/>
        <v>0</v>
      </c>
      <c r="J2781">
        <f t="shared" si="180"/>
        <v>0</v>
      </c>
      <c r="K2781">
        <f t="shared" si="180"/>
        <v>0</v>
      </c>
      <c r="M2781" t="str" cm="1">
        <f t="array" ref="M2781">IFERROR(INDEX($I$2:$K$2,0,MATCH(TRUE,I2781:K2781,0)),E2781)</f>
        <v>Coal new</v>
      </c>
      <c r="O2781" t="str">
        <f t="shared" si="178"/>
        <v>Coal new_2029</v>
      </c>
      <c r="P2781">
        <f t="shared" si="179"/>
        <v>725</v>
      </c>
    </row>
    <row r="2782" spans="4:16" x14ac:dyDescent="0.25">
      <c r="D2782">
        <v>2030</v>
      </c>
      <c r="E2782" t="s">
        <v>329</v>
      </c>
      <c r="F2782" t="s">
        <v>336</v>
      </c>
      <c r="G2782">
        <v>725</v>
      </c>
      <c r="I2782">
        <f t="shared" si="180"/>
        <v>0</v>
      </c>
      <c r="J2782">
        <f t="shared" si="180"/>
        <v>0</v>
      </c>
      <c r="K2782">
        <f t="shared" si="180"/>
        <v>0</v>
      </c>
      <c r="M2782" t="str" cm="1">
        <f t="array" ref="M2782">IFERROR(INDEX($I$2:$K$2,0,MATCH(TRUE,I2782:K2782,0)),E2782)</f>
        <v>Coal new</v>
      </c>
      <c r="O2782" t="str">
        <f t="shared" si="178"/>
        <v>Coal new_2030</v>
      </c>
      <c r="P2782">
        <f t="shared" si="179"/>
        <v>725</v>
      </c>
    </row>
    <row r="2783" spans="4:16" x14ac:dyDescent="0.25">
      <c r="D2783">
        <v>2031</v>
      </c>
      <c r="E2783" t="s">
        <v>329</v>
      </c>
      <c r="F2783" t="s">
        <v>336</v>
      </c>
      <c r="G2783">
        <v>0</v>
      </c>
      <c r="I2783">
        <f t="shared" si="180"/>
        <v>0</v>
      </c>
      <c r="J2783">
        <f t="shared" si="180"/>
        <v>0</v>
      </c>
      <c r="K2783">
        <f t="shared" si="180"/>
        <v>0</v>
      </c>
      <c r="M2783" t="str" cm="1">
        <f t="array" ref="M2783">IFERROR(INDEX($I$2:$K$2,0,MATCH(TRUE,I2783:K2783,0)),E2783)</f>
        <v>Coal new</v>
      </c>
      <c r="O2783" t="str">
        <f t="shared" si="178"/>
        <v>Coal new_2031</v>
      </c>
      <c r="P2783">
        <f t="shared" si="179"/>
        <v>0</v>
      </c>
    </row>
    <row r="2784" spans="4:16" x14ac:dyDescent="0.25">
      <c r="D2784">
        <v>2021</v>
      </c>
      <c r="E2784" t="s">
        <v>329</v>
      </c>
      <c r="F2784" t="s">
        <v>337</v>
      </c>
      <c r="G2784">
        <v>780</v>
      </c>
      <c r="I2784">
        <f t="shared" si="180"/>
        <v>0</v>
      </c>
      <c r="J2784">
        <f t="shared" si="180"/>
        <v>0</v>
      </c>
      <c r="K2784">
        <f t="shared" si="180"/>
        <v>0</v>
      </c>
      <c r="M2784" t="str" cm="1">
        <f t="array" ref="M2784">IFERROR(INDEX($I$2:$K$2,0,MATCH(TRUE,I2784:K2784,0)),E2784)</f>
        <v>Coal new</v>
      </c>
      <c r="O2784" t="str">
        <f t="shared" si="178"/>
        <v>Coal new_2021</v>
      </c>
      <c r="P2784">
        <f t="shared" si="179"/>
        <v>780</v>
      </c>
    </row>
    <row r="2785" spans="4:16" x14ac:dyDescent="0.25">
      <c r="D2785">
        <v>2022</v>
      </c>
      <c r="E2785" t="s">
        <v>329</v>
      </c>
      <c r="F2785" t="s">
        <v>337</v>
      </c>
      <c r="G2785">
        <v>780</v>
      </c>
      <c r="I2785">
        <f t="shared" si="180"/>
        <v>0</v>
      </c>
      <c r="J2785">
        <f t="shared" si="180"/>
        <v>0</v>
      </c>
      <c r="K2785">
        <f t="shared" si="180"/>
        <v>0</v>
      </c>
      <c r="M2785" t="str" cm="1">
        <f t="array" ref="M2785">IFERROR(INDEX($I$2:$K$2,0,MATCH(TRUE,I2785:K2785,0)),E2785)</f>
        <v>Coal new</v>
      </c>
      <c r="O2785" t="str">
        <f t="shared" si="178"/>
        <v>Coal new_2022</v>
      </c>
      <c r="P2785">
        <f t="shared" si="179"/>
        <v>780</v>
      </c>
    </row>
    <row r="2786" spans="4:16" x14ac:dyDescent="0.25">
      <c r="D2786">
        <v>2023</v>
      </c>
      <c r="E2786" t="s">
        <v>329</v>
      </c>
      <c r="F2786" t="s">
        <v>337</v>
      </c>
      <c r="G2786">
        <v>780</v>
      </c>
      <c r="I2786">
        <f t="shared" si="180"/>
        <v>0</v>
      </c>
      <c r="J2786">
        <f t="shared" si="180"/>
        <v>0</v>
      </c>
      <c r="K2786">
        <f t="shared" si="180"/>
        <v>0</v>
      </c>
      <c r="M2786" t="str" cm="1">
        <f t="array" ref="M2786">IFERROR(INDEX($I$2:$K$2,0,MATCH(TRUE,I2786:K2786,0)),E2786)</f>
        <v>Coal new</v>
      </c>
      <c r="O2786" t="str">
        <f t="shared" si="178"/>
        <v>Coal new_2023</v>
      </c>
      <c r="P2786">
        <f t="shared" si="179"/>
        <v>780</v>
      </c>
    </row>
    <row r="2787" spans="4:16" x14ac:dyDescent="0.25">
      <c r="D2787">
        <v>2024</v>
      </c>
      <c r="E2787" t="s">
        <v>329</v>
      </c>
      <c r="F2787" t="s">
        <v>337</v>
      </c>
      <c r="G2787">
        <v>780</v>
      </c>
      <c r="I2787">
        <f t="shared" si="180"/>
        <v>0</v>
      </c>
      <c r="J2787">
        <f t="shared" si="180"/>
        <v>0</v>
      </c>
      <c r="K2787">
        <f t="shared" si="180"/>
        <v>0</v>
      </c>
      <c r="M2787" t="str" cm="1">
        <f t="array" ref="M2787">IFERROR(INDEX($I$2:$K$2,0,MATCH(TRUE,I2787:K2787,0)),E2787)</f>
        <v>Coal new</v>
      </c>
      <c r="O2787" t="str">
        <f t="shared" si="178"/>
        <v>Coal new_2024</v>
      </c>
      <c r="P2787">
        <f t="shared" si="179"/>
        <v>780</v>
      </c>
    </row>
    <row r="2788" spans="4:16" x14ac:dyDescent="0.25">
      <c r="D2788">
        <v>2025</v>
      </c>
      <c r="E2788" t="s">
        <v>329</v>
      </c>
      <c r="F2788" t="s">
        <v>337</v>
      </c>
      <c r="G2788">
        <v>780</v>
      </c>
      <c r="I2788">
        <f t="shared" si="180"/>
        <v>0</v>
      </c>
      <c r="J2788">
        <f t="shared" si="180"/>
        <v>0</v>
      </c>
      <c r="K2788">
        <f t="shared" si="180"/>
        <v>0</v>
      </c>
      <c r="M2788" t="str" cm="1">
        <f t="array" ref="M2788">IFERROR(INDEX($I$2:$K$2,0,MATCH(TRUE,I2788:K2788,0)),E2788)</f>
        <v>Coal new</v>
      </c>
      <c r="O2788" t="str">
        <f t="shared" si="178"/>
        <v>Coal new_2025</v>
      </c>
      <c r="P2788">
        <f t="shared" si="179"/>
        <v>780</v>
      </c>
    </row>
    <row r="2789" spans="4:16" x14ac:dyDescent="0.25">
      <c r="D2789">
        <v>2026</v>
      </c>
      <c r="E2789" t="s">
        <v>329</v>
      </c>
      <c r="F2789" t="s">
        <v>337</v>
      </c>
      <c r="G2789">
        <v>780</v>
      </c>
      <c r="I2789">
        <f t="shared" si="180"/>
        <v>0</v>
      </c>
      <c r="J2789">
        <f t="shared" si="180"/>
        <v>0</v>
      </c>
      <c r="K2789">
        <f t="shared" si="180"/>
        <v>0</v>
      </c>
      <c r="M2789" t="str" cm="1">
        <f t="array" ref="M2789">IFERROR(INDEX($I$2:$K$2,0,MATCH(TRUE,I2789:K2789,0)),E2789)</f>
        <v>Coal new</v>
      </c>
      <c r="O2789" t="str">
        <f t="shared" si="178"/>
        <v>Coal new_2026</v>
      </c>
      <c r="P2789">
        <f t="shared" si="179"/>
        <v>780</v>
      </c>
    </row>
    <row r="2790" spans="4:16" x14ac:dyDescent="0.25">
      <c r="D2790">
        <v>2027</v>
      </c>
      <c r="E2790" t="s">
        <v>329</v>
      </c>
      <c r="F2790" t="s">
        <v>337</v>
      </c>
      <c r="G2790">
        <v>780</v>
      </c>
      <c r="I2790">
        <f t="shared" si="180"/>
        <v>0</v>
      </c>
      <c r="J2790">
        <f t="shared" si="180"/>
        <v>0</v>
      </c>
      <c r="K2790">
        <f t="shared" si="180"/>
        <v>0</v>
      </c>
      <c r="M2790" t="str" cm="1">
        <f t="array" ref="M2790">IFERROR(INDEX($I$2:$K$2,0,MATCH(TRUE,I2790:K2790,0)),E2790)</f>
        <v>Coal new</v>
      </c>
      <c r="O2790" t="str">
        <f t="shared" si="178"/>
        <v>Coal new_2027</v>
      </c>
      <c r="P2790">
        <f t="shared" si="179"/>
        <v>780</v>
      </c>
    </row>
    <row r="2791" spans="4:16" x14ac:dyDescent="0.25">
      <c r="D2791">
        <v>2028</v>
      </c>
      <c r="E2791" t="s">
        <v>329</v>
      </c>
      <c r="F2791" t="s">
        <v>337</v>
      </c>
      <c r="G2791">
        <v>780</v>
      </c>
      <c r="I2791">
        <f t="shared" si="180"/>
        <v>0</v>
      </c>
      <c r="J2791">
        <f t="shared" si="180"/>
        <v>0</v>
      </c>
      <c r="K2791">
        <f t="shared" si="180"/>
        <v>0</v>
      </c>
      <c r="M2791" t="str" cm="1">
        <f t="array" ref="M2791">IFERROR(INDEX($I$2:$K$2,0,MATCH(TRUE,I2791:K2791,0)),E2791)</f>
        <v>Coal new</v>
      </c>
      <c r="O2791" t="str">
        <f t="shared" si="178"/>
        <v>Coal new_2028</v>
      </c>
      <c r="P2791">
        <f t="shared" si="179"/>
        <v>780</v>
      </c>
    </row>
    <row r="2792" spans="4:16" x14ac:dyDescent="0.25">
      <c r="D2792">
        <v>2029</v>
      </c>
      <c r="E2792" t="s">
        <v>329</v>
      </c>
      <c r="F2792" t="s">
        <v>337</v>
      </c>
      <c r="G2792">
        <v>780</v>
      </c>
      <c r="I2792">
        <f t="shared" si="180"/>
        <v>0</v>
      </c>
      <c r="J2792">
        <f t="shared" si="180"/>
        <v>0</v>
      </c>
      <c r="K2792">
        <f t="shared" si="180"/>
        <v>0</v>
      </c>
      <c r="M2792" t="str" cm="1">
        <f t="array" ref="M2792">IFERROR(INDEX($I$2:$K$2,0,MATCH(TRUE,I2792:K2792,0)),E2792)</f>
        <v>Coal new</v>
      </c>
      <c r="O2792" t="str">
        <f t="shared" si="178"/>
        <v>Coal new_2029</v>
      </c>
      <c r="P2792">
        <f t="shared" si="179"/>
        <v>780</v>
      </c>
    </row>
    <row r="2793" spans="4:16" x14ac:dyDescent="0.25">
      <c r="D2793">
        <v>2030</v>
      </c>
      <c r="E2793" t="s">
        <v>329</v>
      </c>
      <c r="F2793" t="s">
        <v>337</v>
      </c>
      <c r="G2793">
        <v>780</v>
      </c>
      <c r="I2793">
        <f t="shared" si="180"/>
        <v>0</v>
      </c>
      <c r="J2793">
        <f t="shared" si="180"/>
        <v>0</v>
      </c>
      <c r="K2793">
        <f t="shared" si="180"/>
        <v>0</v>
      </c>
      <c r="M2793" t="str" cm="1">
        <f t="array" ref="M2793">IFERROR(INDEX($I$2:$K$2,0,MATCH(TRUE,I2793:K2793,0)),E2793)</f>
        <v>Coal new</v>
      </c>
      <c r="O2793" t="str">
        <f t="shared" si="178"/>
        <v>Coal new_2030</v>
      </c>
      <c r="P2793">
        <f t="shared" si="179"/>
        <v>780</v>
      </c>
    </row>
    <row r="2794" spans="4:16" x14ac:dyDescent="0.25">
      <c r="D2794">
        <v>2031</v>
      </c>
      <c r="E2794" t="s">
        <v>329</v>
      </c>
      <c r="F2794" t="s">
        <v>337</v>
      </c>
      <c r="G2794">
        <v>780</v>
      </c>
      <c r="I2794">
        <f t="shared" si="180"/>
        <v>0</v>
      </c>
      <c r="J2794">
        <f t="shared" si="180"/>
        <v>0</v>
      </c>
      <c r="K2794">
        <f t="shared" si="180"/>
        <v>0</v>
      </c>
      <c r="M2794" t="str" cm="1">
        <f t="array" ref="M2794">IFERROR(INDEX($I$2:$K$2,0,MATCH(TRUE,I2794:K2794,0)),E2794)</f>
        <v>Coal new</v>
      </c>
      <c r="O2794" t="str">
        <f t="shared" si="178"/>
        <v>Coal new_2031</v>
      </c>
      <c r="P2794">
        <f t="shared" si="179"/>
        <v>780</v>
      </c>
    </row>
    <row r="2795" spans="4:16" x14ac:dyDescent="0.25">
      <c r="D2795">
        <v>2032</v>
      </c>
      <c r="E2795" t="s">
        <v>329</v>
      </c>
      <c r="F2795" t="s">
        <v>337</v>
      </c>
      <c r="G2795">
        <v>0</v>
      </c>
      <c r="I2795">
        <f t="shared" si="180"/>
        <v>0</v>
      </c>
      <c r="J2795">
        <f t="shared" si="180"/>
        <v>0</v>
      </c>
      <c r="K2795">
        <f t="shared" si="180"/>
        <v>0</v>
      </c>
      <c r="M2795" t="str" cm="1">
        <f t="array" ref="M2795">IFERROR(INDEX($I$2:$K$2,0,MATCH(TRUE,I2795:K2795,0)),E2795)</f>
        <v>Coal new</v>
      </c>
      <c r="O2795" t="str">
        <f t="shared" si="178"/>
        <v>Coal new_2032</v>
      </c>
      <c r="P2795">
        <f t="shared" si="179"/>
        <v>0</v>
      </c>
    </row>
    <row r="2796" spans="4:16" x14ac:dyDescent="0.25">
      <c r="D2796">
        <v>2021</v>
      </c>
      <c r="E2796" t="s">
        <v>329</v>
      </c>
      <c r="F2796" t="s">
        <v>338</v>
      </c>
      <c r="G2796">
        <v>731</v>
      </c>
      <c r="I2796">
        <f t="shared" si="180"/>
        <v>0</v>
      </c>
      <c r="J2796">
        <f t="shared" si="180"/>
        <v>0</v>
      </c>
      <c r="K2796">
        <f t="shared" si="180"/>
        <v>0</v>
      </c>
      <c r="M2796" t="str" cm="1">
        <f t="array" ref="M2796">IFERROR(INDEX($I$2:$K$2,0,MATCH(TRUE,I2796:K2796,0)),E2796)</f>
        <v>Coal new</v>
      </c>
      <c r="O2796" t="str">
        <f t="shared" si="178"/>
        <v>Coal new_2021</v>
      </c>
      <c r="P2796">
        <f t="shared" si="179"/>
        <v>731</v>
      </c>
    </row>
    <row r="2797" spans="4:16" x14ac:dyDescent="0.25">
      <c r="D2797">
        <v>2022</v>
      </c>
      <c r="E2797" t="s">
        <v>329</v>
      </c>
      <c r="F2797" t="s">
        <v>338</v>
      </c>
      <c r="G2797">
        <v>731</v>
      </c>
      <c r="I2797">
        <f t="shared" si="180"/>
        <v>0</v>
      </c>
      <c r="J2797">
        <f t="shared" si="180"/>
        <v>0</v>
      </c>
      <c r="K2797">
        <f t="shared" si="180"/>
        <v>0</v>
      </c>
      <c r="M2797" t="str" cm="1">
        <f t="array" ref="M2797">IFERROR(INDEX($I$2:$K$2,0,MATCH(TRUE,I2797:K2797,0)),E2797)</f>
        <v>Coal new</v>
      </c>
      <c r="O2797" t="str">
        <f t="shared" si="178"/>
        <v>Coal new_2022</v>
      </c>
      <c r="P2797">
        <f t="shared" si="179"/>
        <v>731</v>
      </c>
    </row>
    <row r="2798" spans="4:16" x14ac:dyDescent="0.25">
      <c r="D2798">
        <v>2023</v>
      </c>
      <c r="E2798" t="s">
        <v>329</v>
      </c>
      <c r="F2798" t="s">
        <v>338</v>
      </c>
      <c r="G2798">
        <v>731</v>
      </c>
      <c r="I2798">
        <f t="shared" si="180"/>
        <v>0</v>
      </c>
      <c r="J2798">
        <f t="shared" si="180"/>
        <v>0</v>
      </c>
      <c r="K2798">
        <f t="shared" si="180"/>
        <v>0</v>
      </c>
      <c r="M2798" t="str" cm="1">
        <f t="array" ref="M2798">IFERROR(INDEX($I$2:$K$2,0,MATCH(TRUE,I2798:K2798,0)),E2798)</f>
        <v>Coal new</v>
      </c>
      <c r="O2798" t="str">
        <f t="shared" si="178"/>
        <v>Coal new_2023</v>
      </c>
      <c r="P2798">
        <f t="shared" si="179"/>
        <v>731</v>
      </c>
    </row>
    <row r="2799" spans="4:16" x14ac:dyDescent="0.25">
      <c r="D2799">
        <v>2024</v>
      </c>
      <c r="E2799" t="s">
        <v>329</v>
      </c>
      <c r="F2799" t="s">
        <v>338</v>
      </c>
      <c r="G2799">
        <v>731</v>
      </c>
      <c r="I2799">
        <f t="shared" si="180"/>
        <v>0</v>
      </c>
      <c r="J2799">
        <f t="shared" si="180"/>
        <v>0</v>
      </c>
      <c r="K2799">
        <f t="shared" si="180"/>
        <v>0</v>
      </c>
      <c r="M2799" t="str" cm="1">
        <f t="array" ref="M2799">IFERROR(INDEX($I$2:$K$2,0,MATCH(TRUE,I2799:K2799,0)),E2799)</f>
        <v>Coal new</v>
      </c>
      <c r="O2799" t="str">
        <f t="shared" si="178"/>
        <v>Coal new_2024</v>
      </c>
      <c r="P2799">
        <f t="shared" si="179"/>
        <v>731</v>
      </c>
    </row>
    <row r="2800" spans="4:16" x14ac:dyDescent="0.25">
      <c r="D2800">
        <v>2025</v>
      </c>
      <c r="E2800" t="s">
        <v>329</v>
      </c>
      <c r="F2800" t="s">
        <v>338</v>
      </c>
      <c r="G2800">
        <v>731</v>
      </c>
      <c r="I2800">
        <f t="shared" si="180"/>
        <v>0</v>
      </c>
      <c r="J2800">
        <f t="shared" si="180"/>
        <v>0</v>
      </c>
      <c r="K2800">
        <f t="shared" si="180"/>
        <v>0</v>
      </c>
      <c r="M2800" t="str" cm="1">
        <f t="array" ref="M2800">IFERROR(INDEX($I$2:$K$2,0,MATCH(TRUE,I2800:K2800,0)),E2800)</f>
        <v>Coal new</v>
      </c>
      <c r="O2800" t="str">
        <f t="shared" si="178"/>
        <v>Coal new_2025</v>
      </c>
      <c r="P2800">
        <f t="shared" si="179"/>
        <v>731</v>
      </c>
    </row>
    <row r="2801" spans="4:16" x14ac:dyDescent="0.25">
      <c r="D2801">
        <v>2026</v>
      </c>
      <c r="E2801" t="s">
        <v>329</v>
      </c>
      <c r="F2801" t="s">
        <v>338</v>
      </c>
      <c r="G2801">
        <v>731</v>
      </c>
      <c r="I2801">
        <f t="shared" si="180"/>
        <v>0</v>
      </c>
      <c r="J2801">
        <f t="shared" si="180"/>
        <v>0</v>
      </c>
      <c r="K2801">
        <f t="shared" si="180"/>
        <v>0</v>
      </c>
      <c r="M2801" t="str" cm="1">
        <f t="array" ref="M2801">IFERROR(INDEX($I$2:$K$2,0,MATCH(TRUE,I2801:K2801,0)),E2801)</f>
        <v>Coal new</v>
      </c>
      <c r="O2801" t="str">
        <f t="shared" si="178"/>
        <v>Coal new_2026</v>
      </c>
      <c r="P2801">
        <f t="shared" si="179"/>
        <v>731</v>
      </c>
    </row>
    <row r="2802" spans="4:16" x14ac:dyDescent="0.25">
      <c r="D2802">
        <v>2027</v>
      </c>
      <c r="E2802" t="s">
        <v>329</v>
      </c>
      <c r="F2802" t="s">
        <v>338</v>
      </c>
      <c r="G2802">
        <v>731</v>
      </c>
      <c r="I2802">
        <f t="shared" si="180"/>
        <v>0</v>
      </c>
      <c r="J2802">
        <f t="shared" si="180"/>
        <v>0</v>
      </c>
      <c r="K2802">
        <f t="shared" si="180"/>
        <v>0</v>
      </c>
      <c r="M2802" t="str" cm="1">
        <f t="array" ref="M2802">IFERROR(INDEX($I$2:$K$2,0,MATCH(TRUE,I2802:K2802,0)),E2802)</f>
        <v>Coal new</v>
      </c>
      <c r="O2802" t="str">
        <f t="shared" si="178"/>
        <v>Coal new_2027</v>
      </c>
      <c r="P2802">
        <f t="shared" si="179"/>
        <v>731</v>
      </c>
    </row>
    <row r="2803" spans="4:16" x14ac:dyDescent="0.25">
      <c r="D2803">
        <v>2028</v>
      </c>
      <c r="E2803" t="s">
        <v>329</v>
      </c>
      <c r="F2803" t="s">
        <v>338</v>
      </c>
      <c r="G2803">
        <v>731</v>
      </c>
      <c r="I2803">
        <f t="shared" si="180"/>
        <v>0</v>
      </c>
      <c r="J2803">
        <f t="shared" si="180"/>
        <v>0</v>
      </c>
      <c r="K2803">
        <f t="shared" si="180"/>
        <v>0</v>
      </c>
      <c r="M2803" t="str" cm="1">
        <f t="array" ref="M2803">IFERROR(INDEX($I$2:$K$2,0,MATCH(TRUE,I2803:K2803,0)),E2803)</f>
        <v>Coal new</v>
      </c>
      <c r="O2803" t="str">
        <f t="shared" si="178"/>
        <v>Coal new_2028</v>
      </c>
      <c r="P2803">
        <f t="shared" si="179"/>
        <v>731</v>
      </c>
    </row>
    <row r="2804" spans="4:16" x14ac:dyDescent="0.25">
      <c r="D2804">
        <v>2029</v>
      </c>
      <c r="E2804" t="s">
        <v>329</v>
      </c>
      <c r="F2804" t="s">
        <v>338</v>
      </c>
      <c r="G2804">
        <v>731</v>
      </c>
      <c r="I2804">
        <f t="shared" si="180"/>
        <v>0</v>
      </c>
      <c r="J2804">
        <f t="shared" si="180"/>
        <v>0</v>
      </c>
      <c r="K2804">
        <f t="shared" si="180"/>
        <v>0</v>
      </c>
      <c r="M2804" t="str" cm="1">
        <f t="array" ref="M2804">IFERROR(INDEX($I$2:$K$2,0,MATCH(TRUE,I2804:K2804,0)),E2804)</f>
        <v>Coal new</v>
      </c>
      <c r="O2804" t="str">
        <f t="shared" si="178"/>
        <v>Coal new_2029</v>
      </c>
      <c r="P2804">
        <f t="shared" si="179"/>
        <v>731</v>
      </c>
    </row>
    <row r="2805" spans="4:16" x14ac:dyDescent="0.25">
      <c r="D2805">
        <v>2030</v>
      </c>
      <c r="E2805" t="s">
        <v>329</v>
      </c>
      <c r="F2805" t="s">
        <v>338</v>
      </c>
      <c r="G2805">
        <v>731</v>
      </c>
      <c r="I2805">
        <f t="shared" si="180"/>
        <v>0</v>
      </c>
      <c r="J2805">
        <f t="shared" si="180"/>
        <v>0</v>
      </c>
      <c r="K2805">
        <f t="shared" si="180"/>
        <v>0</v>
      </c>
      <c r="M2805" t="str" cm="1">
        <f t="array" ref="M2805">IFERROR(INDEX($I$2:$K$2,0,MATCH(TRUE,I2805:K2805,0)),E2805)</f>
        <v>Coal new</v>
      </c>
      <c r="O2805" t="str">
        <f t="shared" si="178"/>
        <v>Coal new_2030</v>
      </c>
      <c r="P2805">
        <f t="shared" si="179"/>
        <v>731</v>
      </c>
    </row>
    <row r="2806" spans="4:16" x14ac:dyDescent="0.25">
      <c r="D2806">
        <v>2031</v>
      </c>
      <c r="E2806" t="s">
        <v>329</v>
      </c>
      <c r="F2806" t="s">
        <v>338</v>
      </c>
      <c r="G2806">
        <v>731</v>
      </c>
      <c r="I2806">
        <f t="shared" si="180"/>
        <v>0</v>
      </c>
      <c r="J2806">
        <f t="shared" si="180"/>
        <v>0</v>
      </c>
      <c r="K2806">
        <f t="shared" si="180"/>
        <v>0</v>
      </c>
      <c r="M2806" t="str" cm="1">
        <f t="array" ref="M2806">IFERROR(INDEX($I$2:$K$2,0,MATCH(TRUE,I2806:K2806,0)),E2806)</f>
        <v>Coal new</v>
      </c>
      <c r="O2806" t="str">
        <f t="shared" si="178"/>
        <v>Coal new_2031</v>
      </c>
      <c r="P2806">
        <f t="shared" si="179"/>
        <v>731</v>
      </c>
    </row>
    <row r="2807" spans="4:16" x14ac:dyDescent="0.25">
      <c r="D2807">
        <v>2032</v>
      </c>
      <c r="E2807" t="s">
        <v>329</v>
      </c>
      <c r="F2807" t="s">
        <v>338</v>
      </c>
      <c r="G2807">
        <v>731</v>
      </c>
      <c r="I2807">
        <f t="shared" si="180"/>
        <v>0</v>
      </c>
      <c r="J2807">
        <f t="shared" si="180"/>
        <v>0</v>
      </c>
      <c r="K2807">
        <f t="shared" si="180"/>
        <v>0</v>
      </c>
      <c r="M2807" t="str" cm="1">
        <f t="array" ref="M2807">IFERROR(INDEX($I$2:$K$2,0,MATCH(TRUE,I2807:K2807,0)),E2807)</f>
        <v>Coal new</v>
      </c>
      <c r="O2807" t="str">
        <f t="shared" si="178"/>
        <v>Coal new_2032</v>
      </c>
      <c r="P2807">
        <f t="shared" si="179"/>
        <v>731</v>
      </c>
    </row>
    <row r="2808" spans="4:16" x14ac:dyDescent="0.25">
      <c r="D2808">
        <v>2033</v>
      </c>
      <c r="E2808" t="s">
        <v>329</v>
      </c>
      <c r="F2808" t="s">
        <v>338</v>
      </c>
      <c r="G2808">
        <v>731</v>
      </c>
      <c r="I2808">
        <f t="shared" si="180"/>
        <v>0</v>
      </c>
      <c r="J2808">
        <f t="shared" si="180"/>
        <v>0</v>
      </c>
      <c r="K2808">
        <f t="shared" si="180"/>
        <v>0</v>
      </c>
      <c r="M2808" t="str" cm="1">
        <f t="array" ref="M2808">IFERROR(INDEX($I$2:$K$2,0,MATCH(TRUE,I2808:K2808,0)),E2808)</f>
        <v>Coal new</v>
      </c>
      <c r="O2808" t="str">
        <f t="shared" si="178"/>
        <v>Coal new_2033</v>
      </c>
      <c r="P2808">
        <f t="shared" si="179"/>
        <v>731</v>
      </c>
    </row>
    <row r="2809" spans="4:16" x14ac:dyDescent="0.25">
      <c r="D2809">
        <v>2034</v>
      </c>
      <c r="E2809" t="s">
        <v>329</v>
      </c>
      <c r="F2809" t="s">
        <v>338</v>
      </c>
      <c r="G2809">
        <v>0</v>
      </c>
      <c r="I2809">
        <f t="shared" si="180"/>
        <v>0</v>
      </c>
      <c r="J2809">
        <f t="shared" si="180"/>
        <v>0</v>
      </c>
      <c r="K2809">
        <f t="shared" si="180"/>
        <v>0</v>
      </c>
      <c r="M2809" t="str" cm="1">
        <f t="array" ref="M2809">IFERROR(INDEX($I$2:$K$2,0,MATCH(TRUE,I2809:K2809,0)),E2809)</f>
        <v>Coal new</v>
      </c>
      <c r="O2809" t="str">
        <f t="shared" si="178"/>
        <v>Coal new_2034</v>
      </c>
      <c r="P2809">
        <f t="shared" si="179"/>
        <v>0</v>
      </c>
    </row>
    <row r="2810" spans="4:16" x14ac:dyDescent="0.25">
      <c r="D2810">
        <v>2021</v>
      </c>
      <c r="E2810" t="s">
        <v>339</v>
      </c>
      <c r="F2810" t="s">
        <v>340</v>
      </c>
      <c r="G2810">
        <v>575.20000000000005</v>
      </c>
      <c r="I2810">
        <f t="shared" si="180"/>
        <v>0</v>
      </c>
      <c r="J2810">
        <f t="shared" si="180"/>
        <v>0</v>
      </c>
      <c r="K2810">
        <f t="shared" si="180"/>
        <v>0</v>
      </c>
      <c r="M2810" t="str" cm="1">
        <f t="array" ref="M2810">IFERROR(INDEX($I$2:$K$2,0,MATCH(TRUE,I2810:K2810,0)),E2810)</f>
        <v>Decentral unknown oil</v>
      </c>
      <c r="O2810" t="str">
        <f t="shared" si="178"/>
        <v>Decentral unknown oil_2021</v>
      </c>
      <c r="P2810">
        <f t="shared" si="179"/>
        <v>575.20000000000005</v>
      </c>
    </row>
    <row r="2811" spans="4:16" x14ac:dyDescent="0.25">
      <c r="D2811">
        <v>2022</v>
      </c>
      <c r="E2811" t="s">
        <v>339</v>
      </c>
      <c r="F2811" t="s">
        <v>340</v>
      </c>
      <c r="G2811">
        <v>575.20000000000005</v>
      </c>
      <c r="I2811">
        <f t="shared" si="180"/>
        <v>0</v>
      </c>
      <c r="J2811">
        <f t="shared" si="180"/>
        <v>0</v>
      </c>
      <c r="K2811">
        <f t="shared" si="180"/>
        <v>0</v>
      </c>
      <c r="M2811" t="str" cm="1">
        <f t="array" ref="M2811">IFERROR(INDEX($I$2:$K$2,0,MATCH(TRUE,I2811:K2811,0)),E2811)</f>
        <v>Decentral unknown oil</v>
      </c>
      <c r="O2811" t="str">
        <f t="shared" si="178"/>
        <v>Decentral unknown oil_2022</v>
      </c>
      <c r="P2811">
        <f t="shared" si="179"/>
        <v>575.20000000000005</v>
      </c>
    </row>
    <row r="2812" spans="4:16" x14ac:dyDescent="0.25">
      <c r="D2812">
        <v>2023</v>
      </c>
      <c r="E2812" t="s">
        <v>339</v>
      </c>
      <c r="F2812" t="s">
        <v>340</v>
      </c>
      <c r="G2812">
        <v>575.20000000000005</v>
      </c>
      <c r="I2812">
        <f t="shared" si="180"/>
        <v>0</v>
      </c>
      <c r="J2812">
        <f t="shared" si="180"/>
        <v>0</v>
      </c>
      <c r="K2812">
        <f t="shared" si="180"/>
        <v>0</v>
      </c>
      <c r="M2812" t="str" cm="1">
        <f t="array" ref="M2812">IFERROR(INDEX($I$2:$K$2,0,MATCH(TRUE,I2812:K2812,0)),E2812)</f>
        <v>Decentral unknown oil</v>
      </c>
      <c r="O2812" t="str">
        <f t="shared" si="178"/>
        <v>Decentral unknown oil_2023</v>
      </c>
      <c r="P2812">
        <f t="shared" si="179"/>
        <v>575.20000000000005</v>
      </c>
    </row>
    <row r="2813" spans="4:16" x14ac:dyDescent="0.25">
      <c r="D2813">
        <v>2024</v>
      </c>
      <c r="E2813" t="s">
        <v>339</v>
      </c>
      <c r="F2813" t="s">
        <v>340</v>
      </c>
      <c r="G2813">
        <v>575.20000000000005</v>
      </c>
      <c r="I2813">
        <f t="shared" si="180"/>
        <v>0</v>
      </c>
      <c r="J2813">
        <f t="shared" si="180"/>
        <v>0</v>
      </c>
      <c r="K2813">
        <f t="shared" si="180"/>
        <v>0</v>
      </c>
      <c r="M2813" t="str" cm="1">
        <f t="array" ref="M2813">IFERROR(INDEX($I$2:$K$2,0,MATCH(TRUE,I2813:K2813,0)),E2813)</f>
        <v>Decentral unknown oil</v>
      </c>
      <c r="O2813" t="str">
        <f t="shared" si="178"/>
        <v>Decentral unknown oil_2024</v>
      </c>
      <c r="P2813">
        <f t="shared" si="179"/>
        <v>575.20000000000005</v>
      </c>
    </row>
    <row r="2814" spans="4:16" x14ac:dyDescent="0.25">
      <c r="D2814">
        <v>2025</v>
      </c>
      <c r="E2814" t="s">
        <v>339</v>
      </c>
      <c r="F2814" t="s">
        <v>340</v>
      </c>
      <c r="G2814">
        <v>575.20000000000005</v>
      </c>
      <c r="I2814">
        <f t="shared" si="180"/>
        <v>0</v>
      </c>
      <c r="J2814">
        <f t="shared" si="180"/>
        <v>0</v>
      </c>
      <c r="K2814">
        <f t="shared" si="180"/>
        <v>0</v>
      </c>
      <c r="M2814" t="str" cm="1">
        <f t="array" ref="M2814">IFERROR(INDEX($I$2:$K$2,0,MATCH(TRUE,I2814:K2814,0)),E2814)</f>
        <v>Decentral unknown oil</v>
      </c>
      <c r="O2814" t="str">
        <f t="shared" si="178"/>
        <v>Decentral unknown oil_2025</v>
      </c>
      <c r="P2814">
        <f t="shared" si="179"/>
        <v>575.20000000000005</v>
      </c>
    </row>
    <row r="2815" spans="4:16" x14ac:dyDescent="0.25">
      <c r="D2815">
        <v>2026</v>
      </c>
      <c r="E2815" t="s">
        <v>339</v>
      </c>
      <c r="F2815" t="s">
        <v>340</v>
      </c>
      <c r="G2815">
        <v>575.20000000000005</v>
      </c>
      <c r="I2815">
        <f t="shared" si="180"/>
        <v>0</v>
      </c>
      <c r="J2815">
        <f t="shared" si="180"/>
        <v>0</v>
      </c>
      <c r="K2815">
        <f t="shared" si="180"/>
        <v>0</v>
      </c>
      <c r="M2815" t="str" cm="1">
        <f t="array" ref="M2815">IFERROR(INDEX($I$2:$K$2,0,MATCH(TRUE,I2815:K2815,0)),E2815)</f>
        <v>Decentral unknown oil</v>
      </c>
      <c r="O2815" t="str">
        <f t="shared" si="178"/>
        <v>Decentral unknown oil_2026</v>
      </c>
      <c r="P2815">
        <f t="shared" si="179"/>
        <v>575.20000000000005</v>
      </c>
    </row>
    <row r="2816" spans="4:16" x14ac:dyDescent="0.25">
      <c r="D2816">
        <v>2027</v>
      </c>
      <c r="E2816" t="s">
        <v>339</v>
      </c>
      <c r="F2816" t="s">
        <v>340</v>
      </c>
      <c r="G2816">
        <v>575.20000000000005</v>
      </c>
      <c r="I2816">
        <f t="shared" si="180"/>
        <v>0</v>
      </c>
      <c r="J2816">
        <f t="shared" si="180"/>
        <v>0</v>
      </c>
      <c r="K2816">
        <f t="shared" si="180"/>
        <v>0</v>
      </c>
      <c r="M2816" t="str" cm="1">
        <f t="array" ref="M2816">IFERROR(INDEX($I$2:$K$2,0,MATCH(TRUE,I2816:K2816,0)),E2816)</f>
        <v>Decentral unknown oil</v>
      </c>
      <c r="O2816" t="str">
        <f t="shared" si="178"/>
        <v>Decentral unknown oil_2027</v>
      </c>
      <c r="P2816">
        <f t="shared" si="179"/>
        <v>575.20000000000005</v>
      </c>
    </row>
    <row r="2817" spans="4:16" x14ac:dyDescent="0.25">
      <c r="D2817">
        <v>2028</v>
      </c>
      <c r="E2817" t="s">
        <v>339</v>
      </c>
      <c r="F2817" t="s">
        <v>340</v>
      </c>
      <c r="G2817">
        <v>575.20000000000005</v>
      </c>
      <c r="I2817">
        <f t="shared" si="180"/>
        <v>0</v>
      </c>
      <c r="J2817">
        <f t="shared" si="180"/>
        <v>0</v>
      </c>
      <c r="K2817">
        <f t="shared" si="180"/>
        <v>0</v>
      </c>
      <c r="M2817" t="str" cm="1">
        <f t="array" ref="M2817">IFERROR(INDEX($I$2:$K$2,0,MATCH(TRUE,I2817:K2817,0)),E2817)</f>
        <v>Decentral unknown oil</v>
      </c>
      <c r="O2817" t="str">
        <f t="shared" si="178"/>
        <v>Decentral unknown oil_2028</v>
      </c>
      <c r="P2817">
        <f t="shared" si="179"/>
        <v>575.20000000000005</v>
      </c>
    </row>
    <row r="2818" spans="4:16" x14ac:dyDescent="0.25">
      <c r="D2818">
        <v>2029</v>
      </c>
      <c r="E2818" t="s">
        <v>339</v>
      </c>
      <c r="F2818" t="s">
        <v>340</v>
      </c>
      <c r="G2818">
        <v>575.20000000000005</v>
      </c>
      <c r="I2818">
        <f t="shared" si="180"/>
        <v>0</v>
      </c>
      <c r="J2818">
        <f t="shared" si="180"/>
        <v>0</v>
      </c>
      <c r="K2818">
        <f t="shared" si="180"/>
        <v>0</v>
      </c>
      <c r="M2818" t="str" cm="1">
        <f t="array" ref="M2818">IFERROR(INDEX($I$2:$K$2,0,MATCH(TRUE,I2818:K2818,0)),E2818)</f>
        <v>Decentral unknown oil</v>
      </c>
      <c r="O2818" t="str">
        <f t="shared" si="178"/>
        <v>Decentral unknown oil_2029</v>
      </c>
      <c r="P2818">
        <f t="shared" si="179"/>
        <v>575.20000000000005</v>
      </c>
    </row>
    <row r="2819" spans="4:16" x14ac:dyDescent="0.25">
      <c r="D2819">
        <v>2030</v>
      </c>
      <c r="E2819" t="s">
        <v>339</v>
      </c>
      <c r="F2819" t="s">
        <v>340</v>
      </c>
      <c r="G2819">
        <v>575.20000000000005</v>
      </c>
      <c r="I2819">
        <f t="shared" si="180"/>
        <v>0</v>
      </c>
      <c r="J2819">
        <f t="shared" si="180"/>
        <v>0</v>
      </c>
      <c r="K2819">
        <f t="shared" si="180"/>
        <v>0</v>
      </c>
      <c r="M2819" t="str" cm="1">
        <f t="array" ref="M2819">IFERROR(INDEX($I$2:$K$2,0,MATCH(TRUE,I2819:K2819,0)),E2819)</f>
        <v>Decentral unknown oil</v>
      </c>
      <c r="O2819" t="str">
        <f t="shared" si="178"/>
        <v>Decentral unknown oil_2030</v>
      </c>
      <c r="P2819">
        <f t="shared" si="179"/>
        <v>575.20000000000005</v>
      </c>
    </row>
    <row r="2820" spans="4:16" x14ac:dyDescent="0.25">
      <c r="D2820">
        <v>2031</v>
      </c>
      <c r="E2820" t="s">
        <v>339</v>
      </c>
      <c r="F2820" t="s">
        <v>340</v>
      </c>
      <c r="G2820">
        <v>575.20000000000005</v>
      </c>
      <c r="I2820">
        <f t="shared" si="180"/>
        <v>0</v>
      </c>
      <c r="J2820">
        <f t="shared" si="180"/>
        <v>0</v>
      </c>
      <c r="K2820">
        <f t="shared" si="180"/>
        <v>0</v>
      </c>
      <c r="M2820" t="str" cm="1">
        <f t="array" ref="M2820">IFERROR(INDEX($I$2:$K$2,0,MATCH(TRUE,I2820:K2820,0)),E2820)</f>
        <v>Decentral unknown oil</v>
      </c>
      <c r="O2820" t="str">
        <f t="shared" si="178"/>
        <v>Decentral unknown oil_2031</v>
      </c>
      <c r="P2820">
        <f t="shared" si="179"/>
        <v>575.20000000000005</v>
      </c>
    </row>
    <row r="2821" spans="4:16" x14ac:dyDescent="0.25">
      <c r="D2821">
        <v>2032</v>
      </c>
      <c r="E2821" t="s">
        <v>339</v>
      </c>
      <c r="F2821" t="s">
        <v>340</v>
      </c>
      <c r="G2821">
        <v>575.20000000000005</v>
      </c>
      <c r="I2821">
        <f t="shared" si="180"/>
        <v>0</v>
      </c>
      <c r="J2821">
        <f t="shared" si="180"/>
        <v>0</v>
      </c>
      <c r="K2821">
        <f t="shared" si="180"/>
        <v>0</v>
      </c>
      <c r="M2821" t="str" cm="1">
        <f t="array" ref="M2821">IFERROR(INDEX($I$2:$K$2,0,MATCH(TRUE,I2821:K2821,0)),E2821)</f>
        <v>Decentral unknown oil</v>
      </c>
      <c r="O2821" t="str">
        <f t="shared" si="178"/>
        <v>Decentral unknown oil_2032</v>
      </c>
      <c r="P2821">
        <f t="shared" si="179"/>
        <v>575.20000000000005</v>
      </c>
    </row>
    <row r="2822" spans="4:16" x14ac:dyDescent="0.25">
      <c r="D2822">
        <v>2033</v>
      </c>
      <c r="E2822" t="s">
        <v>339</v>
      </c>
      <c r="F2822" t="s">
        <v>340</v>
      </c>
      <c r="G2822">
        <v>575.20000000000005</v>
      </c>
      <c r="I2822">
        <f t="shared" si="180"/>
        <v>0</v>
      </c>
      <c r="J2822">
        <f t="shared" si="180"/>
        <v>0</v>
      </c>
      <c r="K2822">
        <f t="shared" si="180"/>
        <v>0</v>
      </c>
      <c r="M2822" t="str" cm="1">
        <f t="array" ref="M2822">IFERROR(INDEX($I$2:$K$2,0,MATCH(TRUE,I2822:K2822,0)),E2822)</f>
        <v>Decentral unknown oil</v>
      </c>
      <c r="O2822" t="str">
        <f t="shared" si="178"/>
        <v>Decentral unknown oil_2033</v>
      </c>
      <c r="P2822">
        <f t="shared" si="179"/>
        <v>575.20000000000005</v>
      </c>
    </row>
    <row r="2823" spans="4:16" x14ac:dyDescent="0.25">
      <c r="D2823">
        <v>2034</v>
      </c>
      <c r="E2823" t="s">
        <v>339</v>
      </c>
      <c r="F2823" t="s">
        <v>340</v>
      </c>
      <c r="G2823">
        <v>575.20000000000005</v>
      </c>
      <c r="I2823">
        <f t="shared" si="180"/>
        <v>0</v>
      </c>
      <c r="J2823">
        <f t="shared" si="180"/>
        <v>0</v>
      </c>
      <c r="K2823">
        <f t="shared" si="180"/>
        <v>0</v>
      </c>
      <c r="M2823" t="str" cm="1">
        <f t="array" ref="M2823">IFERROR(INDEX($I$2:$K$2,0,MATCH(TRUE,I2823:K2823,0)),E2823)</f>
        <v>Decentral unknown oil</v>
      </c>
      <c r="O2823" t="str">
        <f t="shared" si="178"/>
        <v>Decentral unknown oil_2034</v>
      </c>
      <c r="P2823">
        <f t="shared" si="179"/>
        <v>575.20000000000005</v>
      </c>
    </row>
    <row r="2824" spans="4:16" x14ac:dyDescent="0.25">
      <c r="D2824">
        <v>2035</v>
      </c>
      <c r="E2824" t="s">
        <v>339</v>
      </c>
      <c r="F2824" t="s">
        <v>340</v>
      </c>
      <c r="G2824">
        <v>575.20000000000005</v>
      </c>
      <c r="I2824">
        <f t="shared" si="180"/>
        <v>0</v>
      </c>
      <c r="J2824">
        <f t="shared" si="180"/>
        <v>0</v>
      </c>
      <c r="K2824">
        <f t="shared" si="180"/>
        <v>0</v>
      </c>
      <c r="M2824" t="str" cm="1">
        <f t="array" ref="M2824">IFERROR(INDEX($I$2:$K$2,0,MATCH(TRUE,I2824:K2824,0)),E2824)</f>
        <v>Decentral unknown oil</v>
      </c>
      <c r="O2824" t="str">
        <f t="shared" si="178"/>
        <v>Decentral unknown oil_2035</v>
      </c>
      <c r="P2824">
        <f t="shared" si="179"/>
        <v>575.20000000000005</v>
      </c>
    </row>
    <row r="2825" spans="4:16" x14ac:dyDescent="0.25">
      <c r="D2825">
        <v>2021</v>
      </c>
      <c r="E2825" t="s">
        <v>339</v>
      </c>
      <c r="F2825" t="s">
        <v>341</v>
      </c>
      <c r="G2825">
        <v>575.20000000000005</v>
      </c>
      <c r="I2825">
        <f t="shared" si="180"/>
        <v>0</v>
      </c>
      <c r="J2825">
        <f t="shared" si="180"/>
        <v>0</v>
      </c>
      <c r="K2825">
        <f t="shared" si="180"/>
        <v>0</v>
      </c>
      <c r="M2825" t="str" cm="1">
        <f t="array" ref="M2825">IFERROR(INDEX($I$2:$K$2,0,MATCH(TRUE,I2825:K2825,0)),E2825)</f>
        <v>Decentral unknown oil</v>
      </c>
      <c r="O2825" t="str">
        <f t="shared" si="178"/>
        <v>Decentral unknown oil_2021</v>
      </c>
      <c r="P2825">
        <f t="shared" si="179"/>
        <v>575.20000000000005</v>
      </c>
    </row>
    <row r="2826" spans="4:16" x14ac:dyDescent="0.25">
      <c r="D2826">
        <v>2022</v>
      </c>
      <c r="E2826" t="s">
        <v>339</v>
      </c>
      <c r="F2826" t="s">
        <v>341</v>
      </c>
      <c r="G2826">
        <v>575.20000000000005</v>
      </c>
      <c r="I2826">
        <f t="shared" si="180"/>
        <v>0</v>
      </c>
      <c r="J2826">
        <f t="shared" si="180"/>
        <v>0</v>
      </c>
      <c r="K2826">
        <f t="shared" si="180"/>
        <v>0</v>
      </c>
      <c r="M2826" t="str" cm="1">
        <f t="array" ref="M2826">IFERROR(INDEX($I$2:$K$2,0,MATCH(TRUE,I2826:K2826,0)),E2826)</f>
        <v>Decentral unknown oil</v>
      </c>
      <c r="O2826" t="str">
        <f t="shared" si="178"/>
        <v>Decentral unknown oil_2022</v>
      </c>
      <c r="P2826">
        <f t="shared" si="179"/>
        <v>575.20000000000005</v>
      </c>
    </row>
    <row r="2827" spans="4:16" x14ac:dyDescent="0.25">
      <c r="D2827">
        <v>2023</v>
      </c>
      <c r="E2827" t="s">
        <v>339</v>
      </c>
      <c r="F2827" t="s">
        <v>341</v>
      </c>
      <c r="G2827">
        <v>575.20000000000005</v>
      </c>
      <c r="I2827">
        <f t="shared" si="180"/>
        <v>0</v>
      </c>
      <c r="J2827">
        <f t="shared" si="180"/>
        <v>0</v>
      </c>
      <c r="K2827">
        <f t="shared" si="180"/>
        <v>0</v>
      </c>
      <c r="M2827" t="str" cm="1">
        <f t="array" ref="M2827">IFERROR(INDEX($I$2:$K$2,0,MATCH(TRUE,I2827:K2827,0)),E2827)</f>
        <v>Decentral unknown oil</v>
      </c>
      <c r="O2827" t="str">
        <f t="shared" si="178"/>
        <v>Decentral unknown oil_2023</v>
      </c>
      <c r="P2827">
        <f t="shared" si="179"/>
        <v>575.20000000000005</v>
      </c>
    </row>
    <row r="2828" spans="4:16" x14ac:dyDescent="0.25">
      <c r="D2828">
        <v>2024</v>
      </c>
      <c r="E2828" t="s">
        <v>339</v>
      </c>
      <c r="F2828" t="s">
        <v>341</v>
      </c>
      <c r="G2828">
        <v>575.20000000000005</v>
      </c>
      <c r="I2828">
        <f t="shared" si="180"/>
        <v>0</v>
      </c>
      <c r="J2828">
        <f t="shared" si="180"/>
        <v>0</v>
      </c>
      <c r="K2828">
        <f t="shared" si="180"/>
        <v>0</v>
      </c>
      <c r="M2828" t="str" cm="1">
        <f t="array" ref="M2828">IFERROR(INDEX($I$2:$K$2,0,MATCH(TRUE,I2828:K2828,0)),E2828)</f>
        <v>Decentral unknown oil</v>
      </c>
      <c r="O2828" t="str">
        <f t="shared" si="178"/>
        <v>Decentral unknown oil_2024</v>
      </c>
      <c r="P2828">
        <f t="shared" si="179"/>
        <v>575.20000000000005</v>
      </c>
    </row>
    <row r="2829" spans="4:16" x14ac:dyDescent="0.25">
      <c r="D2829">
        <v>2025</v>
      </c>
      <c r="E2829" t="s">
        <v>339</v>
      </c>
      <c r="F2829" t="s">
        <v>341</v>
      </c>
      <c r="G2829">
        <v>575.20000000000005</v>
      </c>
      <c r="I2829">
        <f t="shared" si="180"/>
        <v>0</v>
      </c>
      <c r="J2829">
        <f t="shared" si="180"/>
        <v>0</v>
      </c>
      <c r="K2829">
        <f t="shared" si="180"/>
        <v>0</v>
      </c>
      <c r="M2829" t="str" cm="1">
        <f t="array" ref="M2829">IFERROR(INDEX($I$2:$K$2,0,MATCH(TRUE,I2829:K2829,0)),E2829)</f>
        <v>Decentral unknown oil</v>
      </c>
      <c r="O2829" t="str">
        <f t="shared" si="178"/>
        <v>Decentral unknown oil_2025</v>
      </c>
      <c r="P2829">
        <f t="shared" si="179"/>
        <v>575.20000000000005</v>
      </c>
    </row>
    <row r="2830" spans="4:16" x14ac:dyDescent="0.25">
      <c r="D2830">
        <v>2026</v>
      </c>
      <c r="E2830" t="s">
        <v>339</v>
      </c>
      <c r="F2830" t="s">
        <v>341</v>
      </c>
      <c r="G2830">
        <v>575.20000000000005</v>
      </c>
      <c r="I2830">
        <f t="shared" si="180"/>
        <v>0</v>
      </c>
      <c r="J2830">
        <f t="shared" si="180"/>
        <v>0</v>
      </c>
      <c r="K2830">
        <f t="shared" si="180"/>
        <v>0</v>
      </c>
      <c r="M2830" t="str" cm="1">
        <f t="array" ref="M2830">IFERROR(INDEX($I$2:$K$2,0,MATCH(TRUE,I2830:K2830,0)),E2830)</f>
        <v>Decentral unknown oil</v>
      </c>
      <c r="O2830" t="str">
        <f t="shared" si="178"/>
        <v>Decentral unknown oil_2026</v>
      </c>
      <c r="P2830">
        <f t="shared" si="179"/>
        <v>575.20000000000005</v>
      </c>
    </row>
    <row r="2831" spans="4:16" x14ac:dyDescent="0.25">
      <c r="D2831">
        <v>2027</v>
      </c>
      <c r="E2831" t="s">
        <v>339</v>
      </c>
      <c r="F2831" t="s">
        <v>341</v>
      </c>
      <c r="G2831">
        <v>575.20000000000005</v>
      </c>
      <c r="I2831">
        <f t="shared" si="180"/>
        <v>0</v>
      </c>
      <c r="J2831">
        <f t="shared" si="180"/>
        <v>0</v>
      </c>
      <c r="K2831">
        <f t="shared" si="180"/>
        <v>0</v>
      </c>
      <c r="M2831" t="str" cm="1">
        <f t="array" ref="M2831">IFERROR(INDEX($I$2:$K$2,0,MATCH(TRUE,I2831:K2831,0)),E2831)</f>
        <v>Decentral unknown oil</v>
      </c>
      <c r="O2831" t="str">
        <f t="shared" si="178"/>
        <v>Decentral unknown oil_2027</v>
      </c>
      <c r="P2831">
        <f t="shared" si="179"/>
        <v>575.20000000000005</v>
      </c>
    </row>
    <row r="2832" spans="4:16" x14ac:dyDescent="0.25">
      <c r="D2832">
        <v>2028</v>
      </c>
      <c r="E2832" t="s">
        <v>339</v>
      </c>
      <c r="F2832" t="s">
        <v>341</v>
      </c>
      <c r="G2832">
        <v>575.20000000000005</v>
      </c>
      <c r="I2832">
        <f t="shared" si="180"/>
        <v>0</v>
      </c>
      <c r="J2832">
        <f t="shared" si="180"/>
        <v>0</v>
      </c>
      <c r="K2832">
        <f t="shared" si="180"/>
        <v>0</v>
      </c>
      <c r="M2832" t="str" cm="1">
        <f t="array" ref="M2832">IFERROR(INDEX($I$2:$K$2,0,MATCH(TRUE,I2832:K2832,0)),E2832)</f>
        <v>Decentral unknown oil</v>
      </c>
      <c r="O2832" t="str">
        <f t="shared" si="178"/>
        <v>Decentral unknown oil_2028</v>
      </c>
      <c r="P2832">
        <f t="shared" si="179"/>
        <v>575.20000000000005</v>
      </c>
    </row>
    <row r="2833" spans="4:16" x14ac:dyDescent="0.25">
      <c r="D2833">
        <v>2029</v>
      </c>
      <c r="E2833" t="s">
        <v>339</v>
      </c>
      <c r="F2833" t="s">
        <v>341</v>
      </c>
      <c r="G2833">
        <v>575.20000000000005</v>
      </c>
      <c r="I2833">
        <f t="shared" si="180"/>
        <v>0</v>
      </c>
      <c r="J2833">
        <f t="shared" si="180"/>
        <v>0</v>
      </c>
      <c r="K2833">
        <f t="shared" si="180"/>
        <v>0</v>
      </c>
      <c r="M2833" t="str" cm="1">
        <f t="array" ref="M2833">IFERROR(INDEX($I$2:$K$2,0,MATCH(TRUE,I2833:K2833,0)),E2833)</f>
        <v>Decentral unknown oil</v>
      </c>
      <c r="O2833" t="str">
        <f t="shared" si="178"/>
        <v>Decentral unknown oil_2029</v>
      </c>
      <c r="P2833">
        <f t="shared" si="179"/>
        <v>575.20000000000005</v>
      </c>
    </row>
    <row r="2834" spans="4:16" x14ac:dyDescent="0.25">
      <c r="D2834">
        <v>2030</v>
      </c>
      <c r="E2834" t="s">
        <v>339</v>
      </c>
      <c r="F2834" t="s">
        <v>341</v>
      </c>
      <c r="G2834">
        <v>575.20000000000005</v>
      </c>
      <c r="I2834">
        <f t="shared" si="180"/>
        <v>0</v>
      </c>
      <c r="J2834">
        <f t="shared" si="180"/>
        <v>0</v>
      </c>
      <c r="K2834">
        <f t="shared" si="180"/>
        <v>0</v>
      </c>
      <c r="M2834" t="str" cm="1">
        <f t="array" ref="M2834">IFERROR(INDEX($I$2:$K$2,0,MATCH(TRUE,I2834:K2834,0)),E2834)</f>
        <v>Decentral unknown oil</v>
      </c>
      <c r="O2834" t="str">
        <f t="shared" si="178"/>
        <v>Decentral unknown oil_2030</v>
      </c>
      <c r="P2834">
        <f t="shared" si="179"/>
        <v>575.20000000000005</v>
      </c>
    </row>
    <row r="2835" spans="4:16" x14ac:dyDescent="0.25">
      <c r="D2835">
        <v>2031</v>
      </c>
      <c r="E2835" t="s">
        <v>339</v>
      </c>
      <c r="F2835" t="s">
        <v>341</v>
      </c>
      <c r="G2835">
        <v>575.20000000000005</v>
      </c>
      <c r="I2835">
        <f t="shared" si="180"/>
        <v>0</v>
      </c>
      <c r="J2835">
        <f t="shared" si="180"/>
        <v>0</v>
      </c>
      <c r="K2835">
        <f t="shared" si="180"/>
        <v>0</v>
      </c>
      <c r="M2835" t="str" cm="1">
        <f t="array" ref="M2835">IFERROR(INDEX($I$2:$K$2,0,MATCH(TRUE,I2835:K2835,0)),E2835)</f>
        <v>Decentral unknown oil</v>
      </c>
      <c r="O2835" t="str">
        <f t="shared" ref="O2835:O2898" si="181">M2835&amp;"_"&amp;D2835</f>
        <v>Decentral unknown oil_2031</v>
      </c>
      <c r="P2835">
        <f t="shared" ref="P2835:P2898" si="182">G2835</f>
        <v>575.20000000000005</v>
      </c>
    </row>
    <row r="2836" spans="4:16" x14ac:dyDescent="0.25">
      <c r="D2836">
        <v>2032</v>
      </c>
      <c r="E2836" t="s">
        <v>339</v>
      </c>
      <c r="F2836" t="s">
        <v>341</v>
      </c>
      <c r="G2836">
        <v>575.20000000000005</v>
      </c>
      <c r="I2836">
        <f t="shared" si="180"/>
        <v>0</v>
      </c>
      <c r="J2836">
        <f t="shared" si="180"/>
        <v>0</v>
      </c>
      <c r="K2836">
        <f t="shared" si="180"/>
        <v>0</v>
      </c>
      <c r="M2836" t="str" cm="1">
        <f t="array" ref="M2836">IFERROR(INDEX($I$2:$K$2,0,MATCH(TRUE,I2836:K2836,0)),E2836)</f>
        <v>Decentral unknown oil</v>
      </c>
      <c r="O2836" t="str">
        <f t="shared" si="181"/>
        <v>Decentral unknown oil_2032</v>
      </c>
      <c r="P2836">
        <f t="shared" si="182"/>
        <v>575.20000000000005</v>
      </c>
    </row>
    <row r="2837" spans="4:16" x14ac:dyDescent="0.25">
      <c r="D2837">
        <v>2033</v>
      </c>
      <c r="E2837" t="s">
        <v>339</v>
      </c>
      <c r="F2837" t="s">
        <v>341</v>
      </c>
      <c r="G2837">
        <v>575.20000000000005</v>
      </c>
      <c r="I2837">
        <f t="shared" ref="I2837:K2900" si="183">IFERROR(FIND(I$2,$E2837,1)&gt;0,0)</f>
        <v>0</v>
      </c>
      <c r="J2837">
        <f t="shared" si="183"/>
        <v>0</v>
      </c>
      <c r="K2837">
        <f t="shared" si="183"/>
        <v>0</v>
      </c>
      <c r="M2837" t="str" cm="1">
        <f t="array" ref="M2837">IFERROR(INDEX($I$2:$K$2,0,MATCH(TRUE,I2837:K2837,0)),E2837)</f>
        <v>Decentral unknown oil</v>
      </c>
      <c r="O2837" t="str">
        <f t="shared" si="181"/>
        <v>Decentral unknown oil_2033</v>
      </c>
      <c r="P2837">
        <f t="shared" si="182"/>
        <v>575.20000000000005</v>
      </c>
    </row>
    <row r="2838" spans="4:16" x14ac:dyDescent="0.25">
      <c r="D2838">
        <v>2034</v>
      </c>
      <c r="E2838" t="s">
        <v>339</v>
      </c>
      <c r="F2838" t="s">
        <v>341</v>
      </c>
      <c r="G2838">
        <v>575.20000000000005</v>
      </c>
      <c r="I2838">
        <f t="shared" si="183"/>
        <v>0</v>
      </c>
      <c r="J2838">
        <f t="shared" si="183"/>
        <v>0</v>
      </c>
      <c r="K2838">
        <f t="shared" si="183"/>
        <v>0</v>
      </c>
      <c r="M2838" t="str" cm="1">
        <f t="array" ref="M2838">IFERROR(INDEX($I$2:$K$2,0,MATCH(TRUE,I2838:K2838,0)),E2838)</f>
        <v>Decentral unknown oil</v>
      </c>
      <c r="O2838" t="str">
        <f t="shared" si="181"/>
        <v>Decentral unknown oil_2034</v>
      </c>
      <c r="P2838">
        <f t="shared" si="182"/>
        <v>575.20000000000005</v>
      </c>
    </row>
    <row r="2839" spans="4:16" x14ac:dyDescent="0.25">
      <c r="D2839">
        <v>2035</v>
      </c>
      <c r="E2839" t="s">
        <v>339</v>
      </c>
      <c r="F2839" t="s">
        <v>341</v>
      </c>
      <c r="G2839">
        <v>575.20000000000005</v>
      </c>
      <c r="I2839">
        <f t="shared" si="183"/>
        <v>0</v>
      </c>
      <c r="J2839">
        <f t="shared" si="183"/>
        <v>0</v>
      </c>
      <c r="K2839">
        <f t="shared" si="183"/>
        <v>0</v>
      </c>
      <c r="M2839" t="str" cm="1">
        <f t="array" ref="M2839">IFERROR(INDEX($I$2:$K$2,0,MATCH(TRUE,I2839:K2839,0)),E2839)</f>
        <v>Decentral unknown oil</v>
      </c>
      <c r="O2839" t="str">
        <f t="shared" si="181"/>
        <v>Decentral unknown oil_2035</v>
      </c>
      <c r="P2839">
        <f t="shared" si="182"/>
        <v>575.20000000000005</v>
      </c>
    </row>
    <row r="2840" spans="4:16" x14ac:dyDescent="0.25">
      <c r="D2840">
        <v>2021</v>
      </c>
      <c r="E2840" t="s">
        <v>339</v>
      </c>
      <c r="F2840" t="s">
        <v>342</v>
      </c>
      <c r="G2840">
        <v>575.20000000000005</v>
      </c>
      <c r="I2840">
        <f t="shared" si="183"/>
        <v>0</v>
      </c>
      <c r="J2840">
        <f t="shared" si="183"/>
        <v>0</v>
      </c>
      <c r="K2840">
        <f t="shared" si="183"/>
        <v>0</v>
      </c>
      <c r="M2840" t="str" cm="1">
        <f t="array" ref="M2840">IFERROR(INDEX($I$2:$K$2,0,MATCH(TRUE,I2840:K2840,0)),E2840)</f>
        <v>Decentral unknown oil</v>
      </c>
      <c r="O2840" t="str">
        <f t="shared" si="181"/>
        <v>Decentral unknown oil_2021</v>
      </c>
      <c r="P2840">
        <f t="shared" si="182"/>
        <v>575.20000000000005</v>
      </c>
    </row>
    <row r="2841" spans="4:16" x14ac:dyDescent="0.25">
      <c r="D2841">
        <v>2022</v>
      </c>
      <c r="E2841" t="s">
        <v>339</v>
      </c>
      <c r="F2841" t="s">
        <v>342</v>
      </c>
      <c r="G2841">
        <v>575.20000000000005</v>
      </c>
      <c r="I2841">
        <f t="shared" si="183"/>
        <v>0</v>
      </c>
      <c r="J2841">
        <f t="shared" si="183"/>
        <v>0</v>
      </c>
      <c r="K2841">
        <f t="shared" si="183"/>
        <v>0</v>
      </c>
      <c r="M2841" t="str" cm="1">
        <f t="array" ref="M2841">IFERROR(INDEX($I$2:$K$2,0,MATCH(TRUE,I2841:K2841,0)),E2841)</f>
        <v>Decentral unknown oil</v>
      </c>
      <c r="O2841" t="str">
        <f t="shared" si="181"/>
        <v>Decentral unknown oil_2022</v>
      </c>
      <c r="P2841">
        <f t="shared" si="182"/>
        <v>575.20000000000005</v>
      </c>
    </row>
    <row r="2842" spans="4:16" x14ac:dyDescent="0.25">
      <c r="D2842">
        <v>2023</v>
      </c>
      <c r="E2842" t="s">
        <v>339</v>
      </c>
      <c r="F2842" t="s">
        <v>342</v>
      </c>
      <c r="G2842">
        <v>575.20000000000005</v>
      </c>
      <c r="I2842">
        <f t="shared" si="183"/>
        <v>0</v>
      </c>
      <c r="J2842">
        <f t="shared" si="183"/>
        <v>0</v>
      </c>
      <c r="K2842">
        <f t="shared" si="183"/>
        <v>0</v>
      </c>
      <c r="M2842" t="str" cm="1">
        <f t="array" ref="M2842">IFERROR(INDEX($I$2:$K$2,0,MATCH(TRUE,I2842:K2842,0)),E2842)</f>
        <v>Decentral unknown oil</v>
      </c>
      <c r="O2842" t="str">
        <f t="shared" si="181"/>
        <v>Decentral unknown oil_2023</v>
      </c>
      <c r="P2842">
        <f t="shared" si="182"/>
        <v>575.20000000000005</v>
      </c>
    </row>
    <row r="2843" spans="4:16" x14ac:dyDescent="0.25">
      <c r="D2843">
        <v>2024</v>
      </c>
      <c r="E2843" t="s">
        <v>339</v>
      </c>
      <c r="F2843" t="s">
        <v>342</v>
      </c>
      <c r="G2843">
        <v>575.20000000000005</v>
      </c>
      <c r="I2843">
        <f t="shared" si="183"/>
        <v>0</v>
      </c>
      <c r="J2843">
        <f t="shared" si="183"/>
        <v>0</v>
      </c>
      <c r="K2843">
        <f t="shared" si="183"/>
        <v>0</v>
      </c>
      <c r="M2843" t="str" cm="1">
        <f t="array" ref="M2843">IFERROR(INDEX($I$2:$K$2,0,MATCH(TRUE,I2843:K2843,0)),E2843)</f>
        <v>Decentral unknown oil</v>
      </c>
      <c r="O2843" t="str">
        <f t="shared" si="181"/>
        <v>Decentral unknown oil_2024</v>
      </c>
      <c r="P2843">
        <f t="shared" si="182"/>
        <v>575.20000000000005</v>
      </c>
    </row>
    <row r="2844" spans="4:16" x14ac:dyDescent="0.25">
      <c r="D2844">
        <v>2025</v>
      </c>
      <c r="E2844" t="s">
        <v>339</v>
      </c>
      <c r="F2844" t="s">
        <v>342</v>
      </c>
      <c r="G2844">
        <v>575.20000000000005</v>
      </c>
      <c r="I2844">
        <f t="shared" si="183"/>
        <v>0</v>
      </c>
      <c r="J2844">
        <f t="shared" si="183"/>
        <v>0</v>
      </c>
      <c r="K2844">
        <f t="shared" si="183"/>
        <v>0</v>
      </c>
      <c r="M2844" t="str" cm="1">
        <f t="array" ref="M2844">IFERROR(INDEX($I$2:$K$2,0,MATCH(TRUE,I2844:K2844,0)),E2844)</f>
        <v>Decentral unknown oil</v>
      </c>
      <c r="O2844" t="str">
        <f t="shared" si="181"/>
        <v>Decentral unknown oil_2025</v>
      </c>
      <c r="P2844">
        <f t="shared" si="182"/>
        <v>575.20000000000005</v>
      </c>
    </row>
    <row r="2845" spans="4:16" x14ac:dyDescent="0.25">
      <c r="D2845">
        <v>2026</v>
      </c>
      <c r="E2845" t="s">
        <v>339</v>
      </c>
      <c r="F2845" t="s">
        <v>342</v>
      </c>
      <c r="G2845">
        <v>575.20000000000005</v>
      </c>
      <c r="I2845">
        <f t="shared" si="183"/>
        <v>0</v>
      </c>
      <c r="J2845">
        <f t="shared" si="183"/>
        <v>0</v>
      </c>
      <c r="K2845">
        <f t="shared" si="183"/>
        <v>0</v>
      </c>
      <c r="M2845" t="str" cm="1">
        <f t="array" ref="M2845">IFERROR(INDEX($I$2:$K$2,0,MATCH(TRUE,I2845:K2845,0)),E2845)</f>
        <v>Decentral unknown oil</v>
      </c>
      <c r="O2845" t="str">
        <f t="shared" si="181"/>
        <v>Decentral unknown oil_2026</v>
      </c>
      <c r="P2845">
        <f t="shared" si="182"/>
        <v>575.20000000000005</v>
      </c>
    </row>
    <row r="2846" spans="4:16" x14ac:dyDescent="0.25">
      <c r="D2846">
        <v>2027</v>
      </c>
      <c r="E2846" t="s">
        <v>339</v>
      </c>
      <c r="F2846" t="s">
        <v>342</v>
      </c>
      <c r="G2846">
        <v>575.20000000000005</v>
      </c>
      <c r="I2846">
        <f t="shared" si="183"/>
        <v>0</v>
      </c>
      <c r="J2846">
        <f t="shared" si="183"/>
        <v>0</v>
      </c>
      <c r="K2846">
        <f t="shared" si="183"/>
        <v>0</v>
      </c>
      <c r="M2846" t="str" cm="1">
        <f t="array" ref="M2846">IFERROR(INDEX($I$2:$K$2,0,MATCH(TRUE,I2846:K2846,0)),E2846)</f>
        <v>Decentral unknown oil</v>
      </c>
      <c r="O2846" t="str">
        <f t="shared" si="181"/>
        <v>Decentral unknown oil_2027</v>
      </c>
      <c r="P2846">
        <f t="shared" si="182"/>
        <v>575.20000000000005</v>
      </c>
    </row>
    <row r="2847" spans="4:16" x14ac:dyDescent="0.25">
      <c r="D2847">
        <v>2028</v>
      </c>
      <c r="E2847" t="s">
        <v>339</v>
      </c>
      <c r="F2847" t="s">
        <v>342</v>
      </c>
      <c r="G2847">
        <v>575.20000000000005</v>
      </c>
      <c r="I2847">
        <f t="shared" si="183"/>
        <v>0</v>
      </c>
      <c r="J2847">
        <f t="shared" si="183"/>
        <v>0</v>
      </c>
      <c r="K2847">
        <f t="shared" si="183"/>
        <v>0</v>
      </c>
      <c r="M2847" t="str" cm="1">
        <f t="array" ref="M2847">IFERROR(INDEX($I$2:$K$2,0,MATCH(TRUE,I2847:K2847,0)),E2847)</f>
        <v>Decentral unknown oil</v>
      </c>
      <c r="O2847" t="str">
        <f t="shared" si="181"/>
        <v>Decentral unknown oil_2028</v>
      </c>
      <c r="P2847">
        <f t="shared" si="182"/>
        <v>575.20000000000005</v>
      </c>
    </row>
    <row r="2848" spans="4:16" x14ac:dyDescent="0.25">
      <c r="D2848">
        <v>2029</v>
      </c>
      <c r="E2848" t="s">
        <v>339</v>
      </c>
      <c r="F2848" t="s">
        <v>342</v>
      </c>
      <c r="G2848">
        <v>575.20000000000005</v>
      </c>
      <c r="I2848">
        <f t="shared" si="183"/>
        <v>0</v>
      </c>
      <c r="J2848">
        <f t="shared" si="183"/>
        <v>0</v>
      </c>
      <c r="K2848">
        <f t="shared" si="183"/>
        <v>0</v>
      </c>
      <c r="M2848" t="str" cm="1">
        <f t="array" ref="M2848">IFERROR(INDEX($I$2:$K$2,0,MATCH(TRUE,I2848:K2848,0)),E2848)</f>
        <v>Decentral unknown oil</v>
      </c>
      <c r="O2848" t="str">
        <f t="shared" si="181"/>
        <v>Decentral unknown oil_2029</v>
      </c>
      <c r="P2848">
        <f t="shared" si="182"/>
        <v>575.20000000000005</v>
      </c>
    </row>
    <row r="2849" spans="4:16" x14ac:dyDescent="0.25">
      <c r="D2849">
        <v>2030</v>
      </c>
      <c r="E2849" t="s">
        <v>339</v>
      </c>
      <c r="F2849" t="s">
        <v>342</v>
      </c>
      <c r="G2849">
        <v>575.20000000000005</v>
      </c>
      <c r="I2849">
        <f t="shared" si="183"/>
        <v>0</v>
      </c>
      <c r="J2849">
        <f t="shared" si="183"/>
        <v>0</v>
      </c>
      <c r="K2849">
        <f t="shared" si="183"/>
        <v>0</v>
      </c>
      <c r="M2849" t="str" cm="1">
        <f t="array" ref="M2849">IFERROR(INDEX($I$2:$K$2,0,MATCH(TRUE,I2849:K2849,0)),E2849)</f>
        <v>Decentral unknown oil</v>
      </c>
      <c r="O2849" t="str">
        <f t="shared" si="181"/>
        <v>Decentral unknown oil_2030</v>
      </c>
      <c r="P2849">
        <f t="shared" si="182"/>
        <v>575.20000000000005</v>
      </c>
    </row>
    <row r="2850" spans="4:16" x14ac:dyDescent="0.25">
      <c r="D2850">
        <v>2031</v>
      </c>
      <c r="E2850" t="s">
        <v>339</v>
      </c>
      <c r="F2850" t="s">
        <v>342</v>
      </c>
      <c r="G2850">
        <v>575.20000000000005</v>
      </c>
      <c r="I2850">
        <f t="shared" si="183"/>
        <v>0</v>
      </c>
      <c r="J2850">
        <f t="shared" si="183"/>
        <v>0</v>
      </c>
      <c r="K2850">
        <f t="shared" si="183"/>
        <v>0</v>
      </c>
      <c r="M2850" t="str" cm="1">
        <f t="array" ref="M2850">IFERROR(INDEX($I$2:$K$2,0,MATCH(TRUE,I2850:K2850,0)),E2850)</f>
        <v>Decentral unknown oil</v>
      </c>
      <c r="O2850" t="str">
        <f t="shared" si="181"/>
        <v>Decentral unknown oil_2031</v>
      </c>
      <c r="P2850">
        <f t="shared" si="182"/>
        <v>575.20000000000005</v>
      </c>
    </row>
    <row r="2851" spans="4:16" x14ac:dyDescent="0.25">
      <c r="D2851">
        <v>2032</v>
      </c>
      <c r="E2851" t="s">
        <v>339</v>
      </c>
      <c r="F2851" t="s">
        <v>342</v>
      </c>
      <c r="G2851">
        <v>575.20000000000005</v>
      </c>
      <c r="I2851">
        <f t="shared" si="183"/>
        <v>0</v>
      </c>
      <c r="J2851">
        <f t="shared" si="183"/>
        <v>0</v>
      </c>
      <c r="K2851">
        <f t="shared" si="183"/>
        <v>0</v>
      </c>
      <c r="M2851" t="str" cm="1">
        <f t="array" ref="M2851">IFERROR(INDEX($I$2:$K$2,0,MATCH(TRUE,I2851:K2851,0)),E2851)</f>
        <v>Decentral unknown oil</v>
      </c>
      <c r="O2851" t="str">
        <f t="shared" si="181"/>
        <v>Decentral unknown oil_2032</v>
      </c>
      <c r="P2851">
        <f t="shared" si="182"/>
        <v>575.20000000000005</v>
      </c>
    </row>
    <row r="2852" spans="4:16" x14ac:dyDescent="0.25">
      <c r="D2852">
        <v>2033</v>
      </c>
      <c r="E2852" t="s">
        <v>339</v>
      </c>
      <c r="F2852" t="s">
        <v>342</v>
      </c>
      <c r="G2852">
        <v>575.20000000000005</v>
      </c>
      <c r="I2852">
        <f t="shared" si="183"/>
        <v>0</v>
      </c>
      <c r="J2852">
        <f t="shared" si="183"/>
        <v>0</v>
      </c>
      <c r="K2852">
        <f t="shared" si="183"/>
        <v>0</v>
      </c>
      <c r="M2852" t="str" cm="1">
        <f t="array" ref="M2852">IFERROR(INDEX($I$2:$K$2,0,MATCH(TRUE,I2852:K2852,0)),E2852)</f>
        <v>Decentral unknown oil</v>
      </c>
      <c r="O2852" t="str">
        <f t="shared" si="181"/>
        <v>Decentral unknown oil_2033</v>
      </c>
      <c r="P2852">
        <f t="shared" si="182"/>
        <v>575.20000000000005</v>
      </c>
    </row>
    <row r="2853" spans="4:16" x14ac:dyDescent="0.25">
      <c r="D2853">
        <v>2034</v>
      </c>
      <c r="E2853" t="s">
        <v>339</v>
      </c>
      <c r="F2853" t="s">
        <v>342</v>
      </c>
      <c r="G2853">
        <v>575.20000000000005</v>
      </c>
      <c r="I2853">
        <f t="shared" si="183"/>
        <v>0</v>
      </c>
      <c r="J2853">
        <f t="shared" si="183"/>
        <v>0</v>
      </c>
      <c r="K2853">
        <f t="shared" si="183"/>
        <v>0</v>
      </c>
      <c r="M2853" t="str" cm="1">
        <f t="array" ref="M2853">IFERROR(INDEX($I$2:$K$2,0,MATCH(TRUE,I2853:K2853,0)),E2853)</f>
        <v>Decentral unknown oil</v>
      </c>
      <c r="O2853" t="str">
        <f t="shared" si="181"/>
        <v>Decentral unknown oil_2034</v>
      </c>
      <c r="P2853">
        <f t="shared" si="182"/>
        <v>575.20000000000005</v>
      </c>
    </row>
    <row r="2854" spans="4:16" x14ac:dyDescent="0.25">
      <c r="D2854">
        <v>2035</v>
      </c>
      <c r="E2854" t="s">
        <v>339</v>
      </c>
      <c r="F2854" t="s">
        <v>342</v>
      </c>
      <c r="G2854">
        <v>575.20000000000005</v>
      </c>
      <c r="I2854">
        <f t="shared" si="183"/>
        <v>0</v>
      </c>
      <c r="J2854">
        <f t="shared" si="183"/>
        <v>0</v>
      </c>
      <c r="K2854">
        <f t="shared" si="183"/>
        <v>0</v>
      </c>
      <c r="M2854" t="str" cm="1">
        <f t="array" ref="M2854">IFERROR(INDEX($I$2:$K$2,0,MATCH(TRUE,I2854:K2854,0)),E2854)</f>
        <v>Decentral unknown oil</v>
      </c>
      <c r="O2854" t="str">
        <f t="shared" si="181"/>
        <v>Decentral unknown oil_2035</v>
      </c>
      <c r="P2854">
        <f t="shared" si="182"/>
        <v>575.20000000000005</v>
      </c>
    </row>
    <row r="2855" spans="4:16" x14ac:dyDescent="0.25">
      <c r="D2855">
        <v>2021</v>
      </c>
      <c r="E2855" t="s">
        <v>339</v>
      </c>
      <c r="F2855" t="s">
        <v>343</v>
      </c>
      <c r="G2855">
        <v>575.20000000000005</v>
      </c>
      <c r="I2855">
        <f t="shared" si="183"/>
        <v>0</v>
      </c>
      <c r="J2855">
        <f t="shared" si="183"/>
        <v>0</v>
      </c>
      <c r="K2855">
        <f t="shared" si="183"/>
        <v>0</v>
      </c>
      <c r="M2855" t="str" cm="1">
        <f t="array" ref="M2855">IFERROR(INDEX($I$2:$K$2,0,MATCH(TRUE,I2855:K2855,0)),E2855)</f>
        <v>Decentral unknown oil</v>
      </c>
      <c r="O2855" t="str">
        <f t="shared" si="181"/>
        <v>Decentral unknown oil_2021</v>
      </c>
      <c r="P2855">
        <f t="shared" si="182"/>
        <v>575.20000000000005</v>
      </c>
    </row>
    <row r="2856" spans="4:16" x14ac:dyDescent="0.25">
      <c r="D2856">
        <v>2022</v>
      </c>
      <c r="E2856" t="s">
        <v>339</v>
      </c>
      <c r="F2856" t="s">
        <v>343</v>
      </c>
      <c r="G2856">
        <v>575.20000000000005</v>
      </c>
      <c r="I2856">
        <f t="shared" si="183"/>
        <v>0</v>
      </c>
      <c r="J2856">
        <f t="shared" si="183"/>
        <v>0</v>
      </c>
      <c r="K2856">
        <f t="shared" si="183"/>
        <v>0</v>
      </c>
      <c r="M2856" t="str" cm="1">
        <f t="array" ref="M2856">IFERROR(INDEX($I$2:$K$2,0,MATCH(TRUE,I2856:K2856,0)),E2856)</f>
        <v>Decentral unknown oil</v>
      </c>
      <c r="O2856" t="str">
        <f t="shared" si="181"/>
        <v>Decentral unknown oil_2022</v>
      </c>
      <c r="P2856">
        <f t="shared" si="182"/>
        <v>575.20000000000005</v>
      </c>
    </row>
    <row r="2857" spans="4:16" x14ac:dyDescent="0.25">
      <c r="D2857">
        <v>2023</v>
      </c>
      <c r="E2857" t="s">
        <v>339</v>
      </c>
      <c r="F2857" t="s">
        <v>343</v>
      </c>
      <c r="G2857">
        <v>575.20000000000005</v>
      </c>
      <c r="I2857">
        <f t="shared" si="183"/>
        <v>0</v>
      </c>
      <c r="J2857">
        <f t="shared" si="183"/>
        <v>0</v>
      </c>
      <c r="K2857">
        <f t="shared" si="183"/>
        <v>0</v>
      </c>
      <c r="M2857" t="str" cm="1">
        <f t="array" ref="M2857">IFERROR(INDEX($I$2:$K$2,0,MATCH(TRUE,I2857:K2857,0)),E2857)</f>
        <v>Decentral unknown oil</v>
      </c>
      <c r="O2857" t="str">
        <f t="shared" si="181"/>
        <v>Decentral unknown oil_2023</v>
      </c>
      <c r="P2857">
        <f t="shared" si="182"/>
        <v>575.20000000000005</v>
      </c>
    </row>
    <row r="2858" spans="4:16" x14ac:dyDescent="0.25">
      <c r="D2858">
        <v>2024</v>
      </c>
      <c r="E2858" t="s">
        <v>339</v>
      </c>
      <c r="F2858" t="s">
        <v>343</v>
      </c>
      <c r="G2858">
        <v>575.20000000000005</v>
      </c>
      <c r="I2858">
        <f t="shared" si="183"/>
        <v>0</v>
      </c>
      <c r="J2858">
        <f t="shared" si="183"/>
        <v>0</v>
      </c>
      <c r="K2858">
        <f t="shared" si="183"/>
        <v>0</v>
      </c>
      <c r="M2858" t="str" cm="1">
        <f t="array" ref="M2858">IFERROR(INDEX($I$2:$K$2,0,MATCH(TRUE,I2858:K2858,0)),E2858)</f>
        <v>Decentral unknown oil</v>
      </c>
      <c r="O2858" t="str">
        <f t="shared" si="181"/>
        <v>Decentral unknown oil_2024</v>
      </c>
      <c r="P2858">
        <f t="shared" si="182"/>
        <v>575.20000000000005</v>
      </c>
    </row>
    <row r="2859" spans="4:16" x14ac:dyDescent="0.25">
      <c r="D2859">
        <v>2025</v>
      </c>
      <c r="E2859" t="s">
        <v>339</v>
      </c>
      <c r="F2859" t="s">
        <v>343</v>
      </c>
      <c r="G2859">
        <v>575.20000000000005</v>
      </c>
      <c r="I2859">
        <f t="shared" si="183"/>
        <v>0</v>
      </c>
      <c r="J2859">
        <f t="shared" si="183"/>
        <v>0</v>
      </c>
      <c r="K2859">
        <f t="shared" si="183"/>
        <v>0</v>
      </c>
      <c r="M2859" t="str" cm="1">
        <f t="array" ref="M2859">IFERROR(INDEX($I$2:$K$2,0,MATCH(TRUE,I2859:K2859,0)),E2859)</f>
        <v>Decentral unknown oil</v>
      </c>
      <c r="O2859" t="str">
        <f t="shared" si="181"/>
        <v>Decentral unknown oil_2025</v>
      </c>
      <c r="P2859">
        <f t="shared" si="182"/>
        <v>575.20000000000005</v>
      </c>
    </row>
    <row r="2860" spans="4:16" x14ac:dyDescent="0.25">
      <c r="D2860">
        <v>2026</v>
      </c>
      <c r="E2860" t="s">
        <v>339</v>
      </c>
      <c r="F2860" t="s">
        <v>343</v>
      </c>
      <c r="G2860">
        <v>575.20000000000005</v>
      </c>
      <c r="I2860">
        <f t="shared" si="183"/>
        <v>0</v>
      </c>
      <c r="J2860">
        <f t="shared" si="183"/>
        <v>0</v>
      </c>
      <c r="K2860">
        <f t="shared" si="183"/>
        <v>0</v>
      </c>
      <c r="M2860" t="str" cm="1">
        <f t="array" ref="M2860">IFERROR(INDEX($I$2:$K$2,0,MATCH(TRUE,I2860:K2860,0)),E2860)</f>
        <v>Decentral unknown oil</v>
      </c>
      <c r="O2860" t="str">
        <f t="shared" si="181"/>
        <v>Decentral unknown oil_2026</v>
      </c>
      <c r="P2860">
        <f t="shared" si="182"/>
        <v>575.20000000000005</v>
      </c>
    </row>
    <row r="2861" spans="4:16" x14ac:dyDescent="0.25">
      <c r="D2861">
        <v>2027</v>
      </c>
      <c r="E2861" t="s">
        <v>339</v>
      </c>
      <c r="F2861" t="s">
        <v>343</v>
      </c>
      <c r="G2861">
        <v>575.20000000000005</v>
      </c>
      <c r="I2861">
        <f t="shared" si="183"/>
        <v>0</v>
      </c>
      <c r="J2861">
        <f t="shared" si="183"/>
        <v>0</v>
      </c>
      <c r="K2861">
        <f t="shared" si="183"/>
        <v>0</v>
      </c>
      <c r="M2861" t="str" cm="1">
        <f t="array" ref="M2861">IFERROR(INDEX($I$2:$K$2,0,MATCH(TRUE,I2861:K2861,0)),E2861)</f>
        <v>Decentral unknown oil</v>
      </c>
      <c r="O2861" t="str">
        <f t="shared" si="181"/>
        <v>Decentral unknown oil_2027</v>
      </c>
      <c r="P2861">
        <f t="shared" si="182"/>
        <v>575.20000000000005</v>
      </c>
    </row>
    <row r="2862" spans="4:16" x14ac:dyDescent="0.25">
      <c r="D2862">
        <v>2028</v>
      </c>
      <c r="E2862" t="s">
        <v>339</v>
      </c>
      <c r="F2862" t="s">
        <v>343</v>
      </c>
      <c r="G2862">
        <v>575.20000000000005</v>
      </c>
      <c r="I2862">
        <f t="shared" si="183"/>
        <v>0</v>
      </c>
      <c r="J2862">
        <f t="shared" si="183"/>
        <v>0</v>
      </c>
      <c r="K2862">
        <f t="shared" si="183"/>
        <v>0</v>
      </c>
      <c r="M2862" t="str" cm="1">
        <f t="array" ref="M2862">IFERROR(INDEX($I$2:$K$2,0,MATCH(TRUE,I2862:K2862,0)),E2862)</f>
        <v>Decentral unknown oil</v>
      </c>
      <c r="O2862" t="str">
        <f t="shared" si="181"/>
        <v>Decentral unknown oil_2028</v>
      </c>
      <c r="P2862">
        <f t="shared" si="182"/>
        <v>575.20000000000005</v>
      </c>
    </row>
    <row r="2863" spans="4:16" x14ac:dyDescent="0.25">
      <c r="D2863">
        <v>2029</v>
      </c>
      <c r="E2863" t="s">
        <v>339</v>
      </c>
      <c r="F2863" t="s">
        <v>343</v>
      </c>
      <c r="G2863">
        <v>575.20000000000005</v>
      </c>
      <c r="I2863">
        <f t="shared" si="183"/>
        <v>0</v>
      </c>
      <c r="J2863">
        <f t="shared" si="183"/>
        <v>0</v>
      </c>
      <c r="K2863">
        <f t="shared" si="183"/>
        <v>0</v>
      </c>
      <c r="M2863" t="str" cm="1">
        <f t="array" ref="M2863">IFERROR(INDEX($I$2:$K$2,0,MATCH(TRUE,I2863:K2863,0)),E2863)</f>
        <v>Decentral unknown oil</v>
      </c>
      <c r="O2863" t="str">
        <f t="shared" si="181"/>
        <v>Decentral unknown oil_2029</v>
      </c>
      <c r="P2863">
        <f t="shared" si="182"/>
        <v>575.20000000000005</v>
      </c>
    </row>
    <row r="2864" spans="4:16" x14ac:dyDescent="0.25">
      <c r="D2864">
        <v>2030</v>
      </c>
      <c r="E2864" t="s">
        <v>339</v>
      </c>
      <c r="F2864" t="s">
        <v>343</v>
      </c>
      <c r="G2864">
        <v>575.20000000000005</v>
      </c>
      <c r="I2864">
        <f t="shared" si="183"/>
        <v>0</v>
      </c>
      <c r="J2864">
        <f t="shared" si="183"/>
        <v>0</v>
      </c>
      <c r="K2864">
        <f t="shared" si="183"/>
        <v>0</v>
      </c>
      <c r="M2864" t="str" cm="1">
        <f t="array" ref="M2864">IFERROR(INDEX($I$2:$K$2,0,MATCH(TRUE,I2864:K2864,0)),E2864)</f>
        <v>Decentral unknown oil</v>
      </c>
      <c r="O2864" t="str">
        <f t="shared" si="181"/>
        <v>Decentral unknown oil_2030</v>
      </c>
      <c r="P2864">
        <f t="shared" si="182"/>
        <v>575.20000000000005</v>
      </c>
    </row>
    <row r="2865" spans="4:16" x14ac:dyDescent="0.25">
      <c r="D2865">
        <v>2031</v>
      </c>
      <c r="E2865" t="s">
        <v>339</v>
      </c>
      <c r="F2865" t="s">
        <v>343</v>
      </c>
      <c r="G2865">
        <v>575.20000000000005</v>
      </c>
      <c r="I2865">
        <f t="shared" si="183"/>
        <v>0</v>
      </c>
      <c r="J2865">
        <f t="shared" si="183"/>
        <v>0</v>
      </c>
      <c r="K2865">
        <f t="shared" si="183"/>
        <v>0</v>
      </c>
      <c r="M2865" t="str" cm="1">
        <f t="array" ref="M2865">IFERROR(INDEX($I$2:$K$2,0,MATCH(TRUE,I2865:K2865,0)),E2865)</f>
        <v>Decentral unknown oil</v>
      </c>
      <c r="O2865" t="str">
        <f t="shared" si="181"/>
        <v>Decentral unknown oil_2031</v>
      </c>
      <c r="P2865">
        <f t="shared" si="182"/>
        <v>575.20000000000005</v>
      </c>
    </row>
    <row r="2866" spans="4:16" x14ac:dyDescent="0.25">
      <c r="D2866">
        <v>2032</v>
      </c>
      <c r="E2866" t="s">
        <v>339</v>
      </c>
      <c r="F2866" t="s">
        <v>343</v>
      </c>
      <c r="G2866">
        <v>575.20000000000005</v>
      </c>
      <c r="I2866">
        <f t="shared" si="183"/>
        <v>0</v>
      </c>
      <c r="J2866">
        <f t="shared" si="183"/>
        <v>0</v>
      </c>
      <c r="K2866">
        <f t="shared" si="183"/>
        <v>0</v>
      </c>
      <c r="M2866" t="str" cm="1">
        <f t="array" ref="M2866">IFERROR(INDEX($I$2:$K$2,0,MATCH(TRUE,I2866:K2866,0)),E2866)</f>
        <v>Decentral unknown oil</v>
      </c>
      <c r="O2866" t="str">
        <f t="shared" si="181"/>
        <v>Decentral unknown oil_2032</v>
      </c>
      <c r="P2866">
        <f t="shared" si="182"/>
        <v>575.20000000000005</v>
      </c>
    </row>
    <row r="2867" spans="4:16" x14ac:dyDescent="0.25">
      <c r="D2867">
        <v>2033</v>
      </c>
      <c r="E2867" t="s">
        <v>339</v>
      </c>
      <c r="F2867" t="s">
        <v>343</v>
      </c>
      <c r="G2867">
        <v>575.20000000000005</v>
      </c>
      <c r="I2867">
        <f t="shared" si="183"/>
        <v>0</v>
      </c>
      <c r="J2867">
        <f t="shared" si="183"/>
        <v>0</v>
      </c>
      <c r="K2867">
        <f t="shared" si="183"/>
        <v>0</v>
      </c>
      <c r="M2867" t="str" cm="1">
        <f t="array" ref="M2867">IFERROR(INDEX($I$2:$K$2,0,MATCH(TRUE,I2867:K2867,0)),E2867)</f>
        <v>Decentral unknown oil</v>
      </c>
      <c r="O2867" t="str">
        <f t="shared" si="181"/>
        <v>Decentral unknown oil_2033</v>
      </c>
      <c r="P2867">
        <f t="shared" si="182"/>
        <v>575.20000000000005</v>
      </c>
    </row>
    <row r="2868" spans="4:16" x14ac:dyDescent="0.25">
      <c r="D2868">
        <v>2034</v>
      </c>
      <c r="E2868" t="s">
        <v>339</v>
      </c>
      <c r="F2868" t="s">
        <v>343</v>
      </c>
      <c r="G2868">
        <v>575.20000000000005</v>
      </c>
      <c r="I2868">
        <f t="shared" si="183"/>
        <v>0</v>
      </c>
      <c r="J2868">
        <f t="shared" si="183"/>
        <v>0</v>
      </c>
      <c r="K2868">
        <f t="shared" si="183"/>
        <v>0</v>
      </c>
      <c r="M2868" t="str" cm="1">
        <f t="array" ref="M2868">IFERROR(INDEX($I$2:$K$2,0,MATCH(TRUE,I2868:K2868,0)),E2868)</f>
        <v>Decentral unknown oil</v>
      </c>
      <c r="O2868" t="str">
        <f t="shared" si="181"/>
        <v>Decentral unknown oil_2034</v>
      </c>
      <c r="P2868">
        <f t="shared" si="182"/>
        <v>575.20000000000005</v>
      </c>
    </row>
    <row r="2869" spans="4:16" x14ac:dyDescent="0.25">
      <c r="D2869">
        <v>2035</v>
      </c>
      <c r="E2869" t="s">
        <v>339</v>
      </c>
      <c r="F2869" t="s">
        <v>343</v>
      </c>
      <c r="G2869">
        <v>575.20000000000005</v>
      </c>
      <c r="I2869">
        <f t="shared" si="183"/>
        <v>0</v>
      </c>
      <c r="J2869">
        <f t="shared" si="183"/>
        <v>0</v>
      </c>
      <c r="K2869">
        <f t="shared" si="183"/>
        <v>0</v>
      </c>
      <c r="M2869" t="str" cm="1">
        <f t="array" ref="M2869">IFERROR(INDEX($I$2:$K$2,0,MATCH(TRUE,I2869:K2869,0)),E2869)</f>
        <v>Decentral unknown oil</v>
      </c>
      <c r="O2869" t="str">
        <f t="shared" si="181"/>
        <v>Decentral unknown oil_2035</v>
      </c>
      <c r="P2869">
        <f t="shared" si="182"/>
        <v>575.20000000000005</v>
      </c>
    </row>
    <row r="2870" spans="4:16" x14ac:dyDescent="0.25">
      <c r="D2870">
        <v>2021</v>
      </c>
      <c r="E2870" t="s">
        <v>339</v>
      </c>
      <c r="F2870" t="s">
        <v>344</v>
      </c>
      <c r="G2870">
        <v>575.20000000000005</v>
      </c>
      <c r="I2870">
        <f t="shared" si="183"/>
        <v>0</v>
      </c>
      <c r="J2870">
        <f t="shared" si="183"/>
        <v>0</v>
      </c>
      <c r="K2870">
        <f t="shared" si="183"/>
        <v>0</v>
      </c>
      <c r="M2870" t="str" cm="1">
        <f t="array" ref="M2870">IFERROR(INDEX($I$2:$K$2,0,MATCH(TRUE,I2870:K2870,0)),E2870)</f>
        <v>Decentral unknown oil</v>
      </c>
      <c r="O2870" t="str">
        <f t="shared" si="181"/>
        <v>Decentral unknown oil_2021</v>
      </c>
      <c r="P2870">
        <f t="shared" si="182"/>
        <v>575.20000000000005</v>
      </c>
    </row>
    <row r="2871" spans="4:16" x14ac:dyDescent="0.25">
      <c r="D2871">
        <v>2022</v>
      </c>
      <c r="E2871" t="s">
        <v>339</v>
      </c>
      <c r="F2871" t="s">
        <v>344</v>
      </c>
      <c r="G2871">
        <v>575.20000000000005</v>
      </c>
      <c r="I2871">
        <f t="shared" si="183"/>
        <v>0</v>
      </c>
      <c r="J2871">
        <f t="shared" si="183"/>
        <v>0</v>
      </c>
      <c r="K2871">
        <f t="shared" si="183"/>
        <v>0</v>
      </c>
      <c r="M2871" t="str" cm="1">
        <f t="array" ref="M2871">IFERROR(INDEX($I$2:$K$2,0,MATCH(TRUE,I2871:K2871,0)),E2871)</f>
        <v>Decentral unknown oil</v>
      </c>
      <c r="O2871" t="str">
        <f t="shared" si="181"/>
        <v>Decentral unknown oil_2022</v>
      </c>
      <c r="P2871">
        <f t="shared" si="182"/>
        <v>575.20000000000005</v>
      </c>
    </row>
    <row r="2872" spans="4:16" x14ac:dyDescent="0.25">
      <c r="D2872">
        <v>2023</v>
      </c>
      <c r="E2872" t="s">
        <v>339</v>
      </c>
      <c r="F2872" t="s">
        <v>344</v>
      </c>
      <c r="G2872">
        <v>575.20000000000005</v>
      </c>
      <c r="I2872">
        <f t="shared" si="183"/>
        <v>0</v>
      </c>
      <c r="J2872">
        <f t="shared" si="183"/>
        <v>0</v>
      </c>
      <c r="K2872">
        <f t="shared" si="183"/>
        <v>0</v>
      </c>
      <c r="M2872" t="str" cm="1">
        <f t="array" ref="M2872">IFERROR(INDEX($I$2:$K$2,0,MATCH(TRUE,I2872:K2872,0)),E2872)</f>
        <v>Decentral unknown oil</v>
      </c>
      <c r="O2872" t="str">
        <f t="shared" si="181"/>
        <v>Decentral unknown oil_2023</v>
      </c>
      <c r="P2872">
        <f t="shared" si="182"/>
        <v>575.20000000000005</v>
      </c>
    </row>
    <row r="2873" spans="4:16" x14ac:dyDescent="0.25">
      <c r="D2873">
        <v>2024</v>
      </c>
      <c r="E2873" t="s">
        <v>339</v>
      </c>
      <c r="F2873" t="s">
        <v>344</v>
      </c>
      <c r="G2873">
        <v>575.20000000000005</v>
      </c>
      <c r="I2873">
        <f t="shared" si="183"/>
        <v>0</v>
      </c>
      <c r="J2873">
        <f t="shared" si="183"/>
        <v>0</v>
      </c>
      <c r="K2873">
        <f t="shared" si="183"/>
        <v>0</v>
      </c>
      <c r="M2873" t="str" cm="1">
        <f t="array" ref="M2873">IFERROR(INDEX($I$2:$K$2,0,MATCH(TRUE,I2873:K2873,0)),E2873)</f>
        <v>Decentral unknown oil</v>
      </c>
      <c r="O2873" t="str">
        <f t="shared" si="181"/>
        <v>Decentral unknown oil_2024</v>
      </c>
      <c r="P2873">
        <f t="shared" si="182"/>
        <v>575.20000000000005</v>
      </c>
    </row>
    <row r="2874" spans="4:16" x14ac:dyDescent="0.25">
      <c r="D2874">
        <v>2025</v>
      </c>
      <c r="E2874" t="s">
        <v>339</v>
      </c>
      <c r="F2874" t="s">
        <v>344</v>
      </c>
      <c r="G2874">
        <v>575.20000000000005</v>
      </c>
      <c r="I2874">
        <f t="shared" si="183"/>
        <v>0</v>
      </c>
      <c r="J2874">
        <f t="shared" si="183"/>
        <v>0</v>
      </c>
      <c r="K2874">
        <f t="shared" si="183"/>
        <v>0</v>
      </c>
      <c r="M2874" t="str" cm="1">
        <f t="array" ref="M2874">IFERROR(INDEX($I$2:$K$2,0,MATCH(TRUE,I2874:K2874,0)),E2874)</f>
        <v>Decentral unknown oil</v>
      </c>
      <c r="O2874" t="str">
        <f t="shared" si="181"/>
        <v>Decentral unknown oil_2025</v>
      </c>
      <c r="P2874">
        <f t="shared" si="182"/>
        <v>575.20000000000005</v>
      </c>
    </row>
    <row r="2875" spans="4:16" x14ac:dyDescent="0.25">
      <c r="D2875">
        <v>2026</v>
      </c>
      <c r="E2875" t="s">
        <v>339</v>
      </c>
      <c r="F2875" t="s">
        <v>344</v>
      </c>
      <c r="G2875">
        <v>575.20000000000005</v>
      </c>
      <c r="I2875">
        <f t="shared" si="183"/>
        <v>0</v>
      </c>
      <c r="J2875">
        <f t="shared" si="183"/>
        <v>0</v>
      </c>
      <c r="K2875">
        <f t="shared" si="183"/>
        <v>0</v>
      </c>
      <c r="M2875" t="str" cm="1">
        <f t="array" ref="M2875">IFERROR(INDEX($I$2:$K$2,0,MATCH(TRUE,I2875:K2875,0)),E2875)</f>
        <v>Decentral unknown oil</v>
      </c>
      <c r="O2875" t="str">
        <f t="shared" si="181"/>
        <v>Decentral unknown oil_2026</v>
      </c>
      <c r="P2875">
        <f t="shared" si="182"/>
        <v>575.20000000000005</v>
      </c>
    </row>
    <row r="2876" spans="4:16" x14ac:dyDescent="0.25">
      <c r="D2876">
        <v>2027</v>
      </c>
      <c r="E2876" t="s">
        <v>339</v>
      </c>
      <c r="F2876" t="s">
        <v>344</v>
      </c>
      <c r="G2876">
        <v>575.20000000000005</v>
      </c>
      <c r="I2876">
        <f t="shared" si="183"/>
        <v>0</v>
      </c>
      <c r="J2876">
        <f t="shared" si="183"/>
        <v>0</v>
      </c>
      <c r="K2876">
        <f t="shared" si="183"/>
        <v>0</v>
      </c>
      <c r="M2876" t="str" cm="1">
        <f t="array" ref="M2876">IFERROR(INDEX($I$2:$K$2,0,MATCH(TRUE,I2876:K2876,0)),E2876)</f>
        <v>Decentral unknown oil</v>
      </c>
      <c r="O2876" t="str">
        <f t="shared" si="181"/>
        <v>Decentral unknown oil_2027</v>
      </c>
      <c r="P2876">
        <f t="shared" si="182"/>
        <v>575.20000000000005</v>
      </c>
    </row>
    <row r="2877" spans="4:16" x14ac:dyDescent="0.25">
      <c r="D2877">
        <v>2028</v>
      </c>
      <c r="E2877" t="s">
        <v>339</v>
      </c>
      <c r="F2877" t="s">
        <v>344</v>
      </c>
      <c r="G2877">
        <v>575.20000000000005</v>
      </c>
      <c r="I2877">
        <f t="shared" si="183"/>
        <v>0</v>
      </c>
      <c r="J2877">
        <f t="shared" si="183"/>
        <v>0</v>
      </c>
      <c r="K2877">
        <f t="shared" si="183"/>
        <v>0</v>
      </c>
      <c r="M2877" t="str" cm="1">
        <f t="array" ref="M2877">IFERROR(INDEX($I$2:$K$2,0,MATCH(TRUE,I2877:K2877,0)),E2877)</f>
        <v>Decentral unknown oil</v>
      </c>
      <c r="O2877" t="str">
        <f t="shared" si="181"/>
        <v>Decentral unknown oil_2028</v>
      </c>
      <c r="P2877">
        <f t="shared" si="182"/>
        <v>575.20000000000005</v>
      </c>
    </row>
    <row r="2878" spans="4:16" x14ac:dyDescent="0.25">
      <c r="D2878">
        <v>2029</v>
      </c>
      <c r="E2878" t="s">
        <v>339</v>
      </c>
      <c r="F2878" t="s">
        <v>344</v>
      </c>
      <c r="G2878">
        <v>575.20000000000005</v>
      </c>
      <c r="I2878">
        <f t="shared" si="183"/>
        <v>0</v>
      </c>
      <c r="J2878">
        <f t="shared" si="183"/>
        <v>0</v>
      </c>
      <c r="K2878">
        <f t="shared" si="183"/>
        <v>0</v>
      </c>
      <c r="M2878" t="str" cm="1">
        <f t="array" ref="M2878">IFERROR(INDEX($I$2:$K$2,0,MATCH(TRUE,I2878:K2878,0)),E2878)</f>
        <v>Decentral unknown oil</v>
      </c>
      <c r="O2878" t="str">
        <f t="shared" si="181"/>
        <v>Decentral unknown oil_2029</v>
      </c>
      <c r="P2878">
        <f t="shared" si="182"/>
        <v>575.20000000000005</v>
      </c>
    </row>
    <row r="2879" spans="4:16" x14ac:dyDescent="0.25">
      <c r="D2879">
        <v>2030</v>
      </c>
      <c r="E2879" t="s">
        <v>339</v>
      </c>
      <c r="F2879" t="s">
        <v>344</v>
      </c>
      <c r="G2879">
        <v>575.20000000000005</v>
      </c>
      <c r="I2879">
        <f t="shared" si="183"/>
        <v>0</v>
      </c>
      <c r="J2879">
        <f t="shared" si="183"/>
        <v>0</v>
      </c>
      <c r="K2879">
        <f t="shared" si="183"/>
        <v>0</v>
      </c>
      <c r="M2879" t="str" cm="1">
        <f t="array" ref="M2879">IFERROR(INDEX($I$2:$K$2,0,MATCH(TRUE,I2879:K2879,0)),E2879)</f>
        <v>Decentral unknown oil</v>
      </c>
      <c r="O2879" t="str">
        <f t="shared" si="181"/>
        <v>Decentral unknown oil_2030</v>
      </c>
      <c r="P2879">
        <f t="shared" si="182"/>
        <v>575.20000000000005</v>
      </c>
    </row>
    <row r="2880" spans="4:16" x14ac:dyDescent="0.25">
      <c r="D2880">
        <v>2031</v>
      </c>
      <c r="E2880" t="s">
        <v>339</v>
      </c>
      <c r="F2880" t="s">
        <v>344</v>
      </c>
      <c r="G2880">
        <v>575.20000000000005</v>
      </c>
      <c r="I2880">
        <f t="shared" si="183"/>
        <v>0</v>
      </c>
      <c r="J2880">
        <f t="shared" si="183"/>
        <v>0</v>
      </c>
      <c r="K2880">
        <f t="shared" si="183"/>
        <v>0</v>
      </c>
      <c r="M2880" t="str" cm="1">
        <f t="array" ref="M2880">IFERROR(INDEX($I$2:$K$2,0,MATCH(TRUE,I2880:K2880,0)),E2880)</f>
        <v>Decentral unknown oil</v>
      </c>
      <c r="O2880" t="str">
        <f t="shared" si="181"/>
        <v>Decentral unknown oil_2031</v>
      </c>
      <c r="P2880">
        <f t="shared" si="182"/>
        <v>575.20000000000005</v>
      </c>
    </row>
    <row r="2881" spans="4:16" x14ac:dyDescent="0.25">
      <c r="D2881">
        <v>2032</v>
      </c>
      <c r="E2881" t="s">
        <v>339</v>
      </c>
      <c r="F2881" t="s">
        <v>344</v>
      </c>
      <c r="G2881">
        <v>575.20000000000005</v>
      </c>
      <c r="I2881">
        <f t="shared" si="183"/>
        <v>0</v>
      </c>
      <c r="J2881">
        <f t="shared" si="183"/>
        <v>0</v>
      </c>
      <c r="K2881">
        <f t="shared" si="183"/>
        <v>0</v>
      </c>
      <c r="M2881" t="str" cm="1">
        <f t="array" ref="M2881">IFERROR(INDEX($I$2:$K$2,0,MATCH(TRUE,I2881:K2881,0)),E2881)</f>
        <v>Decentral unknown oil</v>
      </c>
      <c r="O2881" t="str">
        <f t="shared" si="181"/>
        <v>Decentral unknown oil_2032</v>
      </c>
      <c r="P2881">
        <f t="shared" si="182"/>
        <v>575.20000000000005</v>
      </c>
    </row>
    <row r="2882" spans="4:16" x14ac:dyDescent="0.25">
      <c r="D2882">
        <v>2033</v>
      </c>
      <c r="E2882" t="s">
        <v>339</v>
      </c>
      <c r="F2882" t="s">
        <v>344</v>
      </c>
      <c r="G2882">
        <v>575.20000000000005</v>
      </c>
      <c r="I2882">
        <f t="shared" si="183"/>
        <v>0</v>
      </c>
      <c r="J2882">
        <f t="shared" si="183"/>
        <v>0</v>
      </c>
      <c r="K2882">
        <f t="shared" si="183"/>
        <v>0</v>
      </c>
      <c r="M2882" t="str" cm="1">
        <f t="array" ref="M2882">IFERROR(INDEX($I$2:$K$2,0,MATCH(TRUE,I2882:K2882,0)),E2882)</f>
        <v>Decentral unknown oil</v>
      </c>
      <c r="O2882" t="str">
        <f t="shared" si="181"/>
        <v>Decentral unknown oil_2033</v>
      </c>
      <c r="P2882">
        <f t="shared" si="182"/>
        <v>575.20000000000005</v>
      </c>
    </row>
    <row r="2883" spans="4:16" x14ac:dyDescent="0.25">
      <c r="D2883">
        <v>2034</v>
      </c>
      <c r="E2883" t="s">
        <v>339</v>
      </c>
      <c r="F2883" t="s">
        <v>344</v>
      </c>
      <c r="G2883">
        <v>575.20000000000005</v>
      </c>
      <c r="I2883">
        <f t="shared" si="183"/>
        <v>0</v>
      </c>
      <c r="J2883">
        <f t="shared" si="183"/>
        <v>0</v>
      </c>
      <c r="K2883">
        <f t="shared" si="183"/>
        <v>0</v>
      </c>
      <c r="M2883" t="str" cm="1">
        <f t="array" ref="M2883">IFERROR(INDEX($I$2:$K$2,0,MATCH(TRUE,I2883:K2883,0)),E2883)</f>
        <v>Decentral unknown oil</v>
      </c>
      <c r="O2883" t="str">
        <f t="shared" si="181"/>
        <v>Decentral unknown oil_2034</v>
      </c>
      <c r="P2883">
        <f t="shared" si="182"/>
        <v>575.20000000000005</v>
      </c>
    </row>
    <row r="2884" spans="4:16" x14ac:dyDescent="0.25">
      <c r="D2884">
        <v>2035</v>
      </c>
      <c r="E2884" t="s">
        <v>339</v>
      </c>
      <c r="F2884" t="s">
        <v>344</v>
      </c>
      <c r="G2884">
        <v>575.20000000000005</v>
      </c>
      <c r="I2884">
        <f t="shared" si="183"/>
        <v>0</v>
      </c>
      <c r="J2884">
        <f t="shared" si="183"/>
        <v>0</v>
      </c>
      <c r="K2884">
        <f t="shared" si="183"/>
        <v>0</v>
      </c>
      <c r="M2884" t="str" cm="1">
        <f t="array" ref="M2884">IFERROR(INDEX($I$2:$K$2,0,MATCH(TRUE,I2884:K2884,0)),E2884)</f>
        <v>Decentral unknown oil</v>
      </c>
      <c r="O2884" t="str">
        <f t="shared" si="181"/>
        <v>Decentral unknown oil_2035</v>
      </c>
      <c r="P2884">
        <f t="shared" si="182"/>
        <v>575.20000000000005</v>
      </c>
    </row>
    <row r="2885" spans="4:16" x14ac:dyDescent="0.25">
      <c r="D2885">
        <v>2021</v>
      </c>
      <c r="E2885" t="s">
        <v>124</v>
      </c>
      <c r="F2885" t="s">
        <v>345</v>
      </c>
      <c r="G2885">
        <v>601.03301999999996</v>
      </c>
      <c r="I2885">
        <f t="shared" si="183"/>
        <v>0</v>
      </c>
      <c r="J2885">
        <f t="shared" si="183"/>
        <v>0</v>
      </c>
      <c r="K2885">
        <f t="shared" si="183"/>
        <v>0</v>
      </c>
      <c r="M2885" t="str" cm="1">
        <f t="array" ref="M2885">IFERROR(INDEX($I$2:$K$2,0,MATCH(TRUE,I2885:K2885,0)),E2885)</f>
        <v>DSR</v>
      </c>
      <c r="O2885" t="str">
        <f t="shared" si="181"/>
        <v>DSR_2021</v>
      </c>
      <c r="P2885">
        <f t="shared" si="182"/>
        <v>601.03301999999996</v>
      </c>
    </row>
    <row r="2886" spans="4:16" x14ac:dyDescent="0.25">
      <c r="D2886">
        <v>2022</v>
      </c>
      <c r="E2886" t="s">
        <v>124</v>
      </c>
      <c r="F2886" t="s">
        <v>345</v>
      </c>
      <c r="G2886">
        <v>646.73274000000004</v>
      </c>
      <c r="I2886">
        <f t="shared" si="183"/>
        <v>0</v>
      </c>
      <c r="J2886">
        <f t="shared" si="183"/>
        <v>0</v>
      </c>
      <c r="K2886">
        <f t="shared" si="183"/>
        <v>0</v>
      </c>
      <c r="M2886" t="str" cm="1">
        <f t="array" ref="M2886">IFERROR(INDEX($I$2:$K$2,0,MATCH(TRUE,I2886:K2886,0)),E2886)</f>
        <v>DSR</v>
      </c>
      <c r="O2886" t="str">
        <f t="shared" si="181"/>
        <v>DSR_2022</v>
      </c>
      <c r="P2886">
        <f t="shared" si="182"/>
        <v>646.73274000000004</v>
      </c>
    </row>
    <row r="2887" spans="4:16" x14ac:dyDescent="0.25">
      <c r="D2887">
        <v>2023</v>
      </c>
      <c r="E2887" t="s">
        <v>124</v>
      </c>
      <c r="F2887" t="s">
        <v>345</v>
      </c>
      <c r="G2887">
        <v>696.29862000000003</v>
      </c>
      <c r="I2887">
        <f t="shared" si="183"/>
        <v>0</v>
      </c>
      <c r="J2887">
        <f t="shared" si="183"/>
        <v>0</v>
      </c>
      <c r="K2887">
        <f t="shared" si="183"/>
        <v>0</v>
      </c>
      <c r="M2887" t="str" cm="1">
        <f t="array" ref="M2887">IFERROR(INDEX($I$2:$K$2,0,MATCH(TRUE,I2887:K2887,0)),E2887)</f>
        <v>DSR</v>
      </c>
      <c r="O2887" t="str">
        <f t="shared" si="181"/>
        <v>DSR_2023</v>
      </c>
      <c r="P2887">
        <f t="shared" si="182"/>
        <v>696.29862000000003</v>
      </c>
    </row>
    <row r="2888" spans="4:16" x14ac:dyDescent="0.25">
      <c r="D2888">
        <v>2024</v>
      </c>
      <c r="E2888" t="s">
        <v>124</v>
      </c>
      <c r="F2888" t="s">
        <v>345</v>
      </c>
      <c r="G2888">
        <v>748.22211000000004</v>
      </c>
      <c r="I2888">
        <f t="shared" si="183"/>
        <v>0</v>
      </c>
      <c r="J2888">
        <f t="shared" si="183"/>
        <v>0</v>
      </c>
      <c r="K2888">
        <f t="shared" si="183"/>
        <v>0</v>
      </c>
      <c r="M2888" t="str" cm="1">
        <f t="array" ref="M2888">IFERROR(INDEX($I$2:$K$2,0,MATCH(TRUE,I2888:K2888,0)),E2888)</f>
        <v>DSR</v>
      </c>
      <c r="O2888" t="str">
        <f t="shared" si="181"/>
        <v>DSR_2024</v>
      </c>
      <c r="P2888">
        <f t="shared" si="182"/>
        <v>748.22211000000004</v>
      </c>
    </row>
    <row r="2889" spans="4:16" x14ac:dyDescent="0.25">
      <c r="D2889">
        <v>2025</v>
      </c>
      <c r="E2889" t="s">
        <v>124</v>
      </c>
      <c r="F2889" t="s">
        <v>345</v>
      </c>
      <c r="G2889">
        <v>801</v>
      </c>
      <c r="I2889">
        <f t="shared" si="183"/>
        <v>0</v>
      </c>
      <c r="J2889">
        <f t="shared" si="183"/>
        <v>0</v>
      </c>
      <c r="K2889">
        <f t="shared" si="183"/>
        <v>0</v>
      </c>
      <c r="M2889" t="str" cm="1">
        <f t="array" ref="M2889">IFERROR(INDEX($I$2:$K$2,0,MATCH(TRUE,I2889:K2889,0)),E2889)</f>
        <v>DSR</v>
      </c>
      <c r="O2889" t="str">
        <f t="shared" si="181"/>
        <v>DSR_2025</v>
      </c>
      <c r="P2889">
        <f t="shared" si="182"/>
        <v>801</v>
      </c>
    </row>
    <row r="2890" spans="4:16" x14ac:dyDescent="0.25">
      <c r="D2890">
        <v>2026</v>
      </c>
      <c r="E2890" t="s">
        <v>124</v>
      </c>
      <c r="F2890" t="s">
        <v>345</v>
      </c>
      <c r="G2890">
        <v>853.47083999999995</v>
      </c>
      <c r="I2890">
        <f t="shared" si="183"/>
        <v>0</v>
      </c>
      <c r="J2890">
        <f t="shared" si="183"/>
        <v>0</v>
      </c>
      <c r="K2890">
        <f t="shared" si="183"/>
        <v>0</v>
      </c>
      <c r="M2890" t="str" cm="1">
        <f t="array" ref="M2890">IFERROR(INDEX($I$2:$K$2,0,MATCH(TRUE,I2890:K2890,0)),E2890)</f>
        <v>DSR</v>
      </c>
      <c r="O2890" t="str">
        <f t="shared" si="181"/>
        <v>DSR_2026</v>
      </c>
      <c r="P2890">
        <f t="shared" si="182"/>
        <v>853.47083999999995</v>
      </c>
    </row>
    <row r="2891" spans="4:16" x14ac:dyDescent="0.25">
      <c r="D2891">
        <v>2027</v>
      </c>
      <c r="E2891" t="s">
        <v>124</v>
      </c>
      <c r="F2891" t="s">
        <v>345</v>
      </c>
      <c r="G2891">
        <v>905.85090000000002</v>
      </c>
      <c r="I2891">
        <f t="shared" si="183"/>
        <v>0</v>
      </c>
      <c r="J2891">
        <f t="shared" si="183"/>
        <v>0</v>
      </c>
      <c r="K2891">
        <f t="shared" si="183"/>
        <v>0</v>
      </c>
      <c r="M2891" t="str" cm="1">
        <f t="array" ref="M2891">IFERROR(INDEX($I$2:$K$2,0,MATCH(TRUE,I2891:K2891,0)),E2891)</f>
        <v>DSR</v>
      </c>
      <c r="O2891" t="str">
        <f t="shared" si="181"/>
        <v>DSR_2027</v>
      </c>
      <c r="P2891">
        <f t="shared" si="182"/>
        <v>905.85090000000002</v>
      </c>
    </row>
    <row r="2892" spans="4:16" x14ac:dyDescent="0.25">
      <c r="D2892">
        <v>2028</v>
      </c>
      <c r="E2892" t="s">
        <v>124</v>
      </c>
      <c r="F2892" t="s">
        <v>345</v>
      </c>
      <c r="G2892">
        <v>958.69286999999997</v>
      </c>
      <c r="I2892">
        <f t="shared" si="183"/>
        <v>0</v>
      </c>
      <c r="J2892">
        <f t="shared" si="183"/>
        <v>0</v>
      </c>
      <c r="K2892">
        <f t="shared" si="183"/>
        <v>0</v>
      </c>
      <c r="M2892" t="str" cm="1">
        <f t="array" ref="M2892">IFERROR(INDEX($I$2:$K$2,0,MATCH(TRUE,I2892:K2892,0)),E2892)</f>
        <v>DSR</v>
      </c>
      <c r="O2892" t="str">
        <f t="shared" si="181"/>
        <v>DSR_2028</v>
      </c>
      <c r="P2892">
        <f t="shared" si="182"/>
        <v>958.69286999999997</v>
      </c>
    </row>
    <row r="2893" spans="4:16" x14ac:dyDescent="0.25">
      <c r="D2893">
        <v>2029</v>
      </c>
      <c r="E2893" t="s">
        <v>124</v>
      </c>
      <c r="F2893" t="s">
        <v>345</v>
      </c>
      <c r="G2893">
        <v>1012.55745</v>
      </c>
      <c r="I2893">
        <f t="shared" si="183"/>
        <v>0</v>
      </c>
      <c r="J2893">
        <f t="shared" si="183"/>
        <v>0</v>
      </c>
      <c r="K2893">
        <f t="shared" si="183"/>
        <v>0</v>
      </c>
      <c r="M2893" t="str" cm="1">
        <f t="array" ref="M2893">IFERROR(INDEX($I$2:$K$2,0,MATCH(TRUE,I2893:K2893,0)),E2893)</f>
        <v>DSR</v>
      </c>
      <c r="O2893" t="str">
        <f t="shared" si="181"/>
        <v>DSR_2029</v>
      </c>
      <c r="P2893">
        <f t="shared" si="182"/>
        <v>1012.55745</v>
      </c>
    </row>
    <row r="2894" spans="4:16" x14ac:dyDescent="0.25">
      <c r="D2894">
        <v>2030</v>
      </c>
      <c r="E2894" t="s">
        <v>124</v>
      </c>
      <c r="F2894" t="s">
        <v>345</v>
      </c>
      <c r="G2894">
        <v>1068</v>
      </c>
      <c r="I2894">
        <f t="shared" si="183"/>
        <v>0</v>
      </c>
      <c r="J2894">
        <f t="shared" si="183"/>
        <v>0</v>
      </c>
      <c r="K2894">
        <f t="shared" si="183"/>
        <v>0</v>
      </c>
      <c r="M2894" t="str" cm="1">
        <f t="array" ref="M2894">IFERROR(INDEX($I$2:$K$2,0,MATCH(TRUE,I2894:K2894,0)),E2894)</f>
        <v>DSR</v>
      </c>
      <c r="O2894" t="str">
        <f t="shared" si="181"/>
        <v>DSR_2030</v>
      </c>
      <c r="P2894">
        <f t="shared" si="182"/>
        <v>1068</v>
      </c>
    </row>
    <row r="2895" spans="4:16" x14ac:dyDescent="0.25">
      <c r="D2895">
        <v>2031</v>
      </c>
      <c r="E2895" t="s">
        <v>124</v>
      </c>
      <c r="F2895" t="s">
        <v>345</v>
      </c>
      <c r="G2895">
        <v>1125.1540199999999</v>
      </c>
      <c r="I2895">
        <f t="shared" si="183"/>
        <v>0</v>
      </c>
      <c r="J2895">
        <f t="shared" si="183"/>
        <v>0</v>
      </c>
      <c r="K2895">
        <f t="shared" si="183"/>
        <v>0</v>
      </c>
      <c r="M2895" t="str" cm="1">
        <f t="array" ref="M2895">IFERROR(INDEX($I$2:$K$2,0,MATCH(TRUE,I2895:K2895,0)),E2895)</f>
        <v>DSR</v>
      </c>
      <c r="O2895" t="str">
        <f t="shared" si="181"/>
        <v>DSR_2031</v>
      </c>
      <c r="P2895">
        <f t="shared" si="182"/>
        <v>1125.1540199999999</v>
      </c>
    </row>
    <row r="2896" spans="4:16" x14ac:dyDescent="0.25">
      <c r="D2896">
        <v>2032</v>
      </c>
      <c r="E2896" t="s">
        <v>124</v>
      </c>
      <c r="F2896" t="s">
        <v>345</v>
      </c>
      <c r="G2896">
        <v>1182.4362000000001</v>
      </c>
      <c r="I2896">
        <f t="shared" si="183"/>
        <v>0</v>
      </c>
      <c r="J2896">
        <f t="shared" si="183"/>
        <v>0</v>
      </c>
      <c r="K2896">
        <f t="shared" si="183"/>
        <v>0</v>
      </c>
      <c r="M2896" t="str" cm="1">
        <f t="array" ref="M2896">IFERROR(INDEX($I$2:$K$2,0,MATCH(TRUE,I2896:K2896,0)),E2896)</f>
        <v>DSR</v>
      </c>
      <c r="O2896" t="str">
        <f t="shared" si="181"/>
        <v>DSR_2032</v>
      </c>
      <c r="P2896">
        <f t="shared" si="182"/>
        <v>1182.4362000000001</v>
      </c>
    </row>
    <row r="2897" spans="4:16" x14ac:dyDescent="0.25">
      <c r="D2897">
        <v>2033</v>
      </c>
      <c r="E2897" t="s">
        <v>124</v>
      </c>
      <c r="F2897" t="s">
        <v>345</v>
      </c>
      <c r="G2897">
        <v>1237.8413700000001</v>
      </c>
      <c r="I2897">
        <f t="shared" si="183"/>
        <v>0</v>
      </c>
      <c r="J2897">
        <f t="shared" si="183"/>
        <v>0</v>
      </c>
      <c r="K2897">
        <f t="shared" si="183"/>
        <v>0</v>
      </c>
      <c r="M2897" t="str" cm="1">
        <f t="array" ref="M2897">IFERROR(INDEX($I$2:$K$2,0,MATCH(TRUE,I2897:K2897,0)),E2897)</f>
        <v>DSR</v>
      </c>
      <c r="O2897" t="str">
        <f t="shared" si="181"/>
        <v>DSR_2033</v>
      </c>
      <c r="P2897">
        <f t="shared" si="182"/>
        <v>1237.8413700000001</v>
      </c>
    </row>
    <row r="2898" spans="4:16" x14ac:dyDescent="0.25">
      <c r="D2898">
        <v>2034</v>
      </c>
      <c r="E2898" t="s">
        <v>124</v>
      </c>
      <c r="F2898" t="s">
        <v>345</v>
      </c>
      <c r="G2898">
        <v>1289.36436</v>
      </c>
      <c r="I2898">
        <f t="shared" si="183"/>
        <v>0</v>
      </c>
      <c r="J2898">
        <f t="shared" si="183"/>
        <v>0</v>
      </c>
      <c r="K2898">
        <f t="shared" si="183"/>
        <v>0</v>
      </c>
      <c r="M2898" t="str" cm="1">
        <f t="array" ref="M2898">IFERROR(INDEX($I$2:$K$2,0,MATCH(TRUE,I2898:K2898,0)),E2898)</f>
        <v>DSR</v>
      </c>
      <c r="O2898" t="str">
        <f t="shared" si="181"/>
        <v>DSR_2034</v>
      </c>
      <c r="P2898">
        <f t="shared" si="182"/>
        <v>1289.36436</v>
      </c>
    </row>
    <row r="2899" spans="4:16" x14ac:dyDescent="0.25">
      <c r="D2899">
        <v>2035</v>
      </c>
      <c r="E2899" t="s">
        <v>124</v>
      </c>
      <c r="F2899" t="s">
        <v>345</v>
      </c>
      <c r="G2899">
        <v>1335</v>
      </c>
      <c r="I2899">
        <f t="shared" si="183"/>
        <v>0</v>
      </c>
      <c r="J2899">
        <f t="shared" si="183"/>
        <v>0</v>
      </c>
      <c r="K2899">
        <f t="shared" si="183"/>
        <v>0</v>
      </c>
      <c r="M2899" t="str" cm="1">
        <f t="array" ref="M2899">IFERROR(INDEX($I$2:$K$2,0,MATCH(TRUE,I2899:K2899,0)),E2899)</f>
        <v>DSR</v>
      </c>
      <c r="O2899" t="str">
        <f t="shared" ref="O2899:O2962" si="184">M2899&amp;"_"&amp;D2899</f>
        <v>DSR_2035</v>
      </c>
      <c r="P2899">
        <f t="shared" ref="P2899:P2962" si="185">G2899</f>
        <v>1335</v>
      </c>
    </row>
    <row r="2900" spans="4:16" x14ac:dyDescent="0.25">
      <c r="D2900">
        <v>2036</v>
      </c>
      <c r="E2900" t="s">
        <v>124</v>
      </c>
      <c r="F2900" t="s">
        <v>345</v>
      </c>
      <c r="G2900">
        <v>1373.2504200000001</v>
      </c>
      <c r="I2900">
        <f t="shared" si="183"/>
        <v>0</v>
      </c>
      <c r="J2900">
        <f t="shared" si="183"/>
        <v>0</v>
      </c>
      <c r="K2900">
        <f t="shared" si="183"/>
        <v>0</v>
      </c>
      <c r="M2900" t="str" cm="1">
        <f t="array" ref="M2900">IFERROR(INDEX($I$2:$K$2,0,MATCH(TRUE,I2900:K2900,0)),E2900)</f>
        <v>DSR</v>
      </c>
      <c r="O2900" t="str">
        <f t="shared" si="184"/>
        <v>DSR_2036</v>
      </c>
      <c r="P2900">
        <f t="shared" si="185"/>
        <v>1373.2504200000001</v>
      </c>
    </row>
    <row r="2901" spans="4:16" x14ac:dyDescent="0.25">
      <c r="D2901">
        <v>2037</v>
      </c>
      <c r="E2901" t="s">
        <v>124</v>
      </c>
      <c r="F2901" t="s">
        <v>345</v>
      </c>
      <c r="G2901">
        <v>1404.6629700000001</v>
      </c>
      <c r="I2901">
        <f t="shared" ref="I2901:K2964" si="186">IFERROR(FIND(I$2,$E2901,1)&gt;0,0)</f>
        <v>0</v>
      </c>
      <c r="J2901">
        <f t="shared" si="186"/>
        <v>0</v>
      </c>
      <c r="K2901">
        <f t="shared" si="186"/>
        <v>0</v>
      </c>
      <c r="M2901" t="str" cm="1">
        <f t="array" ref="M2901">IFERROR(INDEX($I$2:$K$2,0,MATCH(TRUE,I2901:K2901,0)),E2901)</f>
        <v>DSR</v>
      </c>
      <c r="O2901" t="str">
        <f t="shared" si="184"/>
        <v>DSR_2037</v>
      </c>
      <c r="P2901">
        <f t="shared" si="185"/>
        <v>1404.6629700000001</v>
      </c>
    </row>
    <row r="2902" spans="4:16" x14ac:dyDescent="0.25">
      <c r="D2902">
        <v>2038</v>
      </c>
      <c r="E2902" t="s">
        <v>124</v>
      </c>
      <c r="F2902" t="s">
        <v>345</v>
      </c>
      <c r="G2902">
        <v>1430.3029799999999</v>
      </c>
      <c r="I2902">
        <f t="shared" si="186"/>
        <v>0</v>
      </c>
      <c r="J2902">
        <f t="shared" si="186"/>
        <v>0</v>
      </c>
      <c r="K2902">
        <f t="shared" si="186"/>
        <v>0</v>
      </c>
      <c r="M2902" t="str" cm="1">
        <f t="array" ref="M2902">IFERROR(INDEX($I$2:$K$2,0,MATCH(TRUE,I2902:K2902,0)),E2902)</f>
        <v>DSR</v>
      </c>
      <c r="O2902" t="str">
        <f t="shared" si="184"/>
        <v>DSR_2038</v>
      </c>
      <c r="P2902">
        <f t="shared" si="185"/>
        <v>1430.3029799999999</v>
      </c>
    </row>
    <row r="2903" spans="4:16" x14ac:dyDescent="0.25">
      <c r="D2903">
        <v>2039</v>
      </c>
      <c r="E2903" t="s">
        <v>124</v>
      </c>
      <c r="F2903" t="s">
        <v>345</v>
      </c>
      <c r="G2903">
        <v>1451.22777</v>
      </c>
      <c r="I2903">
        <f t="shared" si="186"/>
        <v>0</v>
      </c>
      <c r="J2903">
        <f t="shared" si="186"/>
        <v>0</v>
      </c>
      <c r="K2903">
        <f t="shared" si="186"/>
        <v>0</v>
      </c>
      <c r="M2903" t="str" cm="1">
        <f t="array" ref="M2903">IFERROR(INDEX($I$2:$K$2,0,MATCH(TRUE,I2903:K2903,0)),E2903)</f>
        <v>DSR</v>
      </c>
      <c r="O2903" t="str">
        <f t="shared" si="184"/>
        <v>DSR_2039</v>
      </c>
      <c r="P2903">
        <f t="shared" si="185"/>
        <v>1451.22777</v>
      </c>
    </row>
    <row r="2904" spans="4:16" x14ac:dyDescent="0.25">
      <c r="D2904">
        <v>2040</v>
      </c>
      <c r="E2904" t="s">
        <v>124</v>
      </c>
      <c r="F2904" t="s">
        <v>345</v>
      </c>
      <c r="G2904">
        <v>1468.5</v>
      </c>
      <c r="I2904">
        <f t="shared" si="186"/>
        <v>0</v>
      </c>
      <c r="J2904">
        <f t="shared" si="186"/>
        <v>0</v>
      </c>
      <c r="K2904">
        <f t="shared" si="186"/>
        <v>0</v>
      </c>
      <c r="M2904" t="str" cm="1">
        <f t="array" ref="M2904">IFERROR(INDEX($I$2:$K$2,0,MATCH(TRUE,I2904:K2904,0)),E2904)</f>
        <v>DSR</v>
      </c>
      <c r="O2904" t="str">
        <f t="shared" si="184"/>
        <v>DSR_2040</v>
      </c>
      <c r="P2904">
        <f t="shared" si="185"/>
        <v>1468.5</v>
      </c>
    </row>
    <row r="2905" spans="4:16" x14ac:dyDescent="0.25">
      <c r="D2905">
        <v>2021</v>
      </c>
      <c r="E2905" t="s">
        <v>124</v>
      </c>
      <c r="F2905" t="s">
        <v>346</v>
      </c>
      <c r="G2905">
        <v>805.87947999999994</v>
      </c>
      <c r="I2905">
        <f t="shared" si="186"/>
        <v>0</v>
      </c>
      <c r="J2905">
        <f t="shared" si="186"/>
        <v>0</v>
      </c>
      <c r="K2905">
        <f t="shared" si="186"/>
        <v>0</v>
      </c>
      <c r="M2905" t="str" cm="1">
        <f t="array" ref="M2905">IFERROR(INDEX($I$2:$K$2,0,MATCH(TRUE,I2905:K2905,0)),E2905)</f>
        <v>DSR</v>
      </c>
      <c r="O2905" t="str">
        <f t="shared" si="184"/>
        <v>DSR_2021</v>
      </c>
      <c r="P2905">
        <f t="shared" si="185"/>
        <v>805.87947999999994</v>
      </c>
    </row>
    <row r="2906" spans="4:16" x14ac:dyDescent="0.25">
      <c r="D2906">
        <v>2022</v>
      </c>
      <c r="E2906" t="s">
        <v>124</v>
      </c>
      <c r="F2906" t="s">
        <v>346</v>
      </c>
      <c r="G2906">
        <v>867.15476000000001</v>
      </c>
      <c r="I2906">
        <f t="shared" si="186"/>
        <v>0</v>
      </c>
      <c r="J2906">
        <f t="shared" si="186"/>
        <v>0</v>
      </c>
      <c r="K2906">
        <f t="shared" si="186"/>
        <v>0</v>
      </c>
      <c r="M2906" t="str" cm="1">
        <f t="array" ref="M2906">IFERROR(INDEX($I$2:$K$2,0,MATCH(TRUE,I2906:K2906,0)),E2906)</f>
        <v>DSR</v>
      </c>
      <c r="O2906" t="str">
        <f t="shared" si="184"/>
        <v>DSR_2022</v>
      </c>
      <c r="P2906">
        <f t="shared" si="185"/>
        <v>867.15476000000001</v>
      </c>
    </row>
    <row r="2907" spans="4:16" x14ac:dyDescent="0.25">
      <c r="D2907">
        <v>2023</v>
      </c>
      <c r="E2907" t="s">
        <v>124</v>
      </c>
      <c r="F2907" t="s">
        <v>346</v>
      </c>
      <c r="G2907">
        <v>933.61387999999999</v>
      </c>
      <c r="I2907">
        <f t="shared" si="186"/>
        <v>0</v>
      </c>
      <c r="J2907">
        <f t="shared" si="186"/>
        <v>0</v>
      </c>
      <c r="K2907">
        <f t="shared" si="186"/>
        <v>0</v>
      </c>
      <c r="M2907" t="str" cm="1">
        <f t="array" ref="M2907">IFERROR(INDEX($I$2:$K$2,0,MATCH(TRUE,I2907:K2907,0)),E2907)</f>
        <v>DSR</v>
      </c>
      <c r="O2907" t="str">
        <f t="shared" si="184"/>
        <v>DSR_2023</v>
      </c>
      <c r="P2907">
        <f t="shared" si="185"/>
        <v>933.61387999999999</v>
      </c>
    </row>
    <row r="2908" spans="4:16" x14ac:dyDescent="0.25">
      <c r="D2908">
        <v>2024</v>
      </c>
      <c r="E2908" t="s">
        <v>124</v>
      </c>
      <c r="F2908" t="s">
        <v>346</v>
      </c>
      <c r="G2908">
        <v>1003.23414</v>
      </c>
      <c r="I2908">
        <f t="shared" si="186"/>
        <v>0</v>
      </c>
      <c r="J2908">
        <f t="shared" si="186"/>
        <v>0</v>
      </c>
      <c r="K2908">
        <f t="shared" si="186"/>
        <v>0</v>
      </c>
      <c r="M2908" t="str" cm="1">
        <f t="array" ref="M2908">IFERROR(INDEX($I$2:$K$2,0,MATCH(TRUE,I2908:K2908,0)),E2908)</f>
        <v>DSR</v>
      </c>
      <c r="O2908" t="str">
        <f t="shared" si="184"/>
        <v>DSR_2024</v>
      </c>
      <c r="P2908">
        <f t="shared" si="185"/>
        <v>1003.23414</v>
      </c>
    </row>
    <row r="2909" spans="4:16" x14ac:dyDescent="0.25">
      <c r="D2909">
        <v>2025</v>
      </c>
      <c r="E2909" t="s">
        <v>124</v>
      </c>
      <c r="F2909" t="s">
        <v>346</v>
      </c>
      <c r="G2909">
        <v>1074</v>
      </c>
      <c r="I2909">
        <f t="shared" si="186"/>
        <v>0</v>
      </c>
      <c r="J2909">
        <f t="shared" si="186"/>
        <v>0</v>
      </c>
      <c r="K2909">
        <f t="shared" si="186"/>
        <v>0</v>
      </c>
      <c r="M2909" t="str" cm="1">
        <f t="array" ref="M2909">IFERROR(INDEX($I$2:$K$2,0,MATCH(TRUE,I2909:K2909,0)),E2909)</f>
        <v>DSR</v>
      </c>
      <c r="O2909" t="str">
        <f t="shared" si="184"/>
        <v>DSR_2025</v>
      </c>
      <c r="P2909">
        <f t="shared" si="185"/>
        <v>1074</v>
      </c>
    </row>
    <row r="2910" spans="4:16" x14ac:dyDescent="0.25">
      <c r="D2910">
        <v>2026</v>
      </c>
      <c r="E2910" t="s">
        <v>124</v>
      </c>
      <c r="F2910" t="s">
        <v>346</v>
      </c>
      <c r="G2910">
        <v>1144.3541600000001</v>
      </c>
      <c r="I2910">
        <f t="shared" si="186"/>
        <v>0</v>
      </c>
      <c r="J2910">
        <f t="shared" si="186"/>
        <v>0</v>
      </c>
      <c r="K2910">
        <f t="shared" si="186"/>
        <v>0</v>
      </c>
      <c r="M2910" t="str" cm="1">
        <f t="array" ref="M2910">IFERROR(INDEX($I$2:$K$2,0,MATCH(TRUE,I2910:K2910,0)),E2910)</f>
        <v>DSR</v>
      </c>
      <c r="O2910" t="str">
        <f t="shared" si="184"/>
        <v>DSR_2026</v>
      </c>
      <c r="P2910">
        <f t="shared" si="185"/>
        <v>1144.3541600000001</v>
      </c>
    </row>
    <row r="2911" spans="4:16" x14ac:dyDescent="0.25">
      <c r="D2911">
        <v>2027</v>
      </c>
      <c r="E2911" t="s">
        <v>124</v>
      </c>
      <c r="F2911" t="s">
        <v>346</v>
      </c>
      <c r="G2911">
        <v>1214.5866000000001</v>
      </c>
      <c r="I2911">
        <f t="shared" si="186"/>
        <v>0</v>
      </c>
      <c r="J2911">
        <f t="shared" si="186"/>
        <v>0</v>
      </c>
      <c r="K2911">
        <f t="shared" si="186"/>
        <v>0</v>
      </c>
      <c r="M2911" t="str" cm="1">
        <f t="array" ref="M2911">IFERROR(INDEX($I$2:$K$2,0,MATCH(TRUE,I2911:K2911,0)),E2911)</f>
        <v>DSR</v>
      </c>
      <c r="O2911" t="str">
        <f t="shared" si="184"/>
        <v>DSR_2027</v>
      </c>
      <c r="P2911">
        <f t="shared" si="185"/>
        <v>1214.5866000000001</v>
      </c>
    </row>
    <row r="2912" spans="4:16" x14ac:dyDescent="0.25">
      <c r="D2912">
        <v>2028</v>
      </c>
      <c r="E2912" t="s">
        <v>124</v>
      </c>
      <c r="F2912" t="s">
        <v>346</v>
      </c>
      <c r="G2912">
        <v>1285.4383800000001</v>
      </c>
      <c r="I2912">
        <f t="shared" si="186"/>
        <v>0</v>
      </c>
      <c r="J2912">
        <f t="shared" si="186"/>
        <v>0</v>
      </c>
      <c r="K2912">
        <f t="shared" si="186"/>
        <v>0</v>
      </c>
      <c r="M2912" t="str" cm="1">
        <f t="array" ref="M2912">IFERROR(INDEX($I$2:$K$2,0,MATCH(TRUE,I2912:K2912,0)),E2912)</f>
        <v>DSR</v>
      </c>
      <c r="O2912" t="str">
        <f t="shared" si="184"/>
        <v>DSR_2028</v>
      </c>
      <c r="P2912">
        <f t="shared" si="185"/>
        <v>1285.4383800000001</v>
      </c>
    </row>
    <row r="2913" spans="4:16" x14ac:dyDescent="0.25">
      <c r="D2913">
        <v>2029</v>
      </c>
      <c r="E2913" t="s">
        <v>124</v>
      </c>
      <c r="F2913" t="s">
        <v>346</v>
      </c>
      <c r="G2913">
        <v>1357.6613</v>
      </c>
      <c r="I2913">
        <f t="shared" si="186"/>
        <v>0</v>
      </c>
      <c r="J2913">
        <f t="shared" si="186"/>
        <v>0</v>
      </c>
      <c r="K2913">
        <f t="shared" si="186"/>
        <v>0</v>
      </c>
      <c r="M2913" t="str" cm="1">
        <f t="array" ref="M2913">IFERROR(INDEX($I$2:$K$2,0,MATCH(TRUE,I2913:K2913,0)),E2913)</f>
        <v>DSR</v>
      </c>
      <c r="O2913" t="str">
        <f t="shared" si="184"/>
        <v>DSR_2029</v>
      </c>
      <c r="P2913">
        <f t="shared" si="185"/>
        <v>1357.6613</v>
      </c>
    </row>
    <row r="2914" spans="4:16" x14ac:dyDescent="0.25">
      <c r="D2914">
        <v>2030</v>
      </c>
      <c r="E2914" t="s">
        <v>124</v>
      </c>
      <c r="F2914" t="s">
        <v>346</v>
      </c>
      <c r="G2914">
        <v>1432</v>
      </c>
      <c r="I2914">
        <f t="shared" si="186"/>
        <v>0</v>
      </c>
      <c r="J2914">
        <f t="shared" si="186"/>
        <v>0</v>
      </c>
      <c r="K2914">
        <f t="shared" si="186"/>
        <v>0</v>
      </c>
      <c r="M2914" t="str" cm="1">
        <f t="array" ref="M2914">IFERROR(INDEX($I$2:$K$2,0,MATCH(TRUE,I2914:K2914,0)),E2914)</f>
        <v>DSR</v>
      </c>
      <c r="O2914" t="str">
        <f t="shared" si="184"/>
        <v>DSR_2030</v>
      </c>
      <c r="P2914">
        <f t="shared" si="185"/>
        <v>1432</v>
      </c>
    </row>
    <row r="2915" spans="4:16" x14ac:dyDescent="0.25">
      <c r="D2915">
        <v>2031</v>
      </c>
      <c r="E2915" t="s">
        <v>124</v>
      </c>
      <c r="F2915" t="s">
        <v>346</v>
      </c>
      <c r="G2915">
        <v>1508.63348</v>
      </c>
      <c r="I2915">
        <f t="shared" si="186"/>
        <v>0</v>
      </c>
      <c r="J2915">
        <f t="shared" si="186"/>
        <v>0</v>
      </c>
      <c r="K2915">
        <f t="shared" si="186"/>
        <v>0</v>
      </c>
      <c r="M2915" t="str" cm="1">
        <f t="array" ref="M2915">IFERROR(INDEX($I$2:$K$2,0,MATCH(TRUE,I2915:K2915,0)),E2915)</f>
        <v>DSR</v>
      </c>
      <c r="O2915" t="str">
        <f t="shared" si="184"/>
        <v>DSR_2031</v>
      </c>
      <c r="P2915">
        <f t="shared" si="185"/>
        <v>1508.63348</v>
      </c>
    </row>
    <row r="2916" spans="4:16" x14ac:dyDescent="0.25">
      <c r="D2916">
        <v>2032</v>
      </c>
      <c r="E2916" t="s">
        <v>124</v>
      </c>
      <c r="F2916" t="s">
        <v>346</v>
      </c>
      <c r="G2916">
        <v>1585.4387999999999</v>
      </c>
      <c r="I2916">
        <f t="shared" si="186"/>
        <v>0</v>
      </c>
      <c r="J2916">
        <f t="shared" si="186"/>
        <v>0</v>
      </c>
      <c r="K2916">
        <f t="shared" si="186"/>
        <v>0</v>
      </c>
      <c r="M2916" t="str" cm="1">
        <f t="array" ref="M2916">IFERROR(INDEX($I$2:$K$2,0,MATCH(TRUE,I2916:K2916,0)),E2916)</f>
        <v>DSR</v>
      </c>
      <c r="O2916" t="str">
        <f t="shared" si="184"/>
        <v>DSR_2032</v>
      </c>
      <c r="P2916">
        <f t="shared" si="185"/>
        <v>1585.4387999999999</v>
      </c>
    </row>
    <row r="2917" spans="4:16" x14ac:dyDescent="0.25">
      <c r="D2917">
        <v>2033</v>
      </c>
      <c r="E2917" t="s">
        <v>124</v>
      </c>
      <c r="F2917" t="s">
        <v>346</v>
      </c>
      <c r="G2917">
        <v>1659.72738</v>
      </c>
      <c r="I2917">
        <f t="shared" si="186"/>
        <v>0</v>
      </c>
      <c r="J2917">
        <f t="shared" si="186"/>
        <v>0</v>
      </c>
      <c r="K2917">
        <f t="shared" si="186"/>
        <v>0</v>
      </c>
      <c r="M2917" t="str" cm="1">
        <f t="array" ref="M2917">IFERROR(INDEX($I$2:$K$2,0,MATCH(TRUE,I2917:K2917,0)),E2917)</f>
        <v>DSR</v>
      </c>
      <c r="O2917" t="str">
        <f t="shared" si="184"/>
        <v>DSR_2033</v>
      </c>
      <c r="P2917">
        <f t="shared" si="185"/>
        <v>1659.72738</v>
      </c>
    </row>
    <row r="2918" spans="4:16" x14ac:dyDescent="0.25">
      <c r="D2918">
        <v>2034</v>
      </c>
      <c r="E2918" t="s">
        <v>124</v>
      </c>
      <c r="F2918" t="s">
        <v>346</v>
      </c>
      <c r="G2918">
        <v>1728.8106399999999</v>
      </c>
      <c r="I2918">
        <f t="shared" si="186"/>
        <v>0</v>
      </c>
      <c r="J2918">
        <f t="shared" si="186"/>
        <v>0</v>
      </c>
      <c r="K2918">
        <f t="shared" si="186"/>
        <v>0</v>
      </c>
      <c r="M2918" t="str" cm="1">
        <f t="array" ref="M2918">IFERROR(INDEX($I$2:$K$2,0,MATCH(TRUE,I2918:K2918,0)),E2918)</f>
        <v>DSR</v>
      </c>
      <c r="O2918" t="str">
        <f t="shared" si="184"/>
        <v>DSR_2034</v>
      </c>
      <c r="P2918">
        <f t="shared" si="185"/>
        <v>1728.8106399999999</v>
      </c>
    </row>
    <row r="2919" spans="4:16" x14ac:dyDescent="0.25">
      <c r="D2919">
        <v>2035</v>
      </c>
      <c r="E2919" t="s">
        <v>124</v>
      </c>
      <c r="F2919" t="s">
        <v>346</v>
      </c>
      <c r="G2919">
        <v>1790</v>
      </c>
      <c r="I2919">
        <f t="shared" si="186"/>
        <v>0</v>
      </c>
      <c r="J2919">
        <f t="shared" si="186"/>
        <v>0</v>
      </c>
      <c r="K2919">
        <f t="shared" si="186"/>
        <v>0</v>
      </c>
      <c r="M2919" t="str" cm="1">
        <f t="array" ref="M2919">IFERROR(INDEX($I$2:$K$2,0,MATCH(TRUE,I2919:K2919,0)),E2919)</f>
        <v>DSR</v>
      </c>
      <c r="O2919" t="str">
        <f t="shared" si="184"/>
        <v>DSR_2035</v>
      </c>
      <c r="P2919">
        <f t="shared" si="185"/>
        <v>1790</v>
      </c>
    </row>
    <row r="2920" spans="4:16" x14ac:dyDescent="0.25">
      <c r="D2920">
        <v>2036</v>
      </c>
      <c r="E2920" t="s">
        <v>124</v>
      </c>
      <c r="F2920" t="s">
        <v>346</v>
      </c>
      <c r="G2920">
        <v>1841.2870800000001</v>
      </c>
      <c r="I2920">
        <f t="shared" si="186"/>
        <v>0</v>
      </c>
      <c r="J2920">
        <f t="shared" si="186"/>
        <v>0</v>
      </c>
      <c r="K2920">
        <f t="shared" si="186"/>
        <v>0</v>
      </c>
      <c r="M2920" t="str" cm="1">
        <f t="array" ref="M2920">IFERROR(INDEX($I$2:$K$2,0,MATCH(TRUE,I2920:K2920,0)),E2920)</f>
        <v>DSR</v>
      </c>
      <c r="O2920" t="str">
        <f t="shared" si="184"/>
        <v>DSR_2036</v>
      </c>
      <c r="P2920">
        <f t="shared" si="185"/>
        <v>1841.2870800000001</v>
      </c>
    </row>
    <row r="2921" spans="4:16" x14ac:dyDescent="0.25">
      <c r="D2921">
        <v>2037</v>
      </c>
      <c r="E2921" t="s">
        <v>124</v>
      </c>
      <c r="F2921" t="s">
        <v>346</v>
      </c>
      <c r="G2921">
        <v>1883.40578</v>
      </c>
      <c r="I2921">
        <f t="shared" si="186"/>
        <v>0</v>
      </c>
      <c r="J2921">
        <f t="shared" si="186"/>
        <v>0</v>
      </c>
      <c r="K2921">
        <f t="shared" si="186"/>
        <v>0</v>
      </c>
      <c r="M2921" t="str" cm="1">
        <f t="array" ref="M2921">IFERROR(INDEX($I$2:$K$2,0,MATCH(TRUE,I2921:K2921,0)),E2921)</f>
        <v>DSR</v>
      </c>
      <c r="O2921" t="str">
        <f t="shared" si="184"/>
        <v>DSR_2037</v>
      </c>
      <c r="P2921">
        <f t="shared" si="185"/>
        <v>1883.40578</v>
      </c>
    </row>
    <row r="2922" spans="4:16" x14ac:dyDescent="0.25">
      <c r="D2922">
        <v>2038</v>
      </c>
      <c r="E2922" t="s">
        <v>124</v>
      </c>
      <c r="F2922" t="s">
        <v>346</v>
      </c>
      <c r="G2922">
        <v>1917.7845199999999</v>
      </c>
      <c r="I2922">
        <f t="shared" si="186"/>
        <v>0</v>
      </c>
      <c r="J2922">
        <f t="shared" si="186"/>
        <v>0</v>
      </c>
      <c r="K2922">
        <f t="shared" si="186"/>
        <v>0</v>
      </c>
      <c r="M2922" t="str" cm="1">
        <f t="array" ref="M2922">IFERROR(INDEX($I$2:$K$2,0,MATCH(TRUE,I2922:K2922,0)),E2922)</f>
        <v>DSR</v>
      </c>
      <c r="O2922" t="str">
        <f t="shared" si="184"/>
        <v>DSR_2038</v>
      </c>
      <c r="P2922">
        <f t="shared" si="185"/>
        <v>1917.7845199999999</v>
      </c>
    </row>
    <row r="2923" spans="4:16" x14ac:dyDescent="0.25">
      <c r="D2923">
        <v>2039</v>
      </c>
      <c r="E2923" t="s">
        <v>124</v>
      </c>
      <c r="F2923" t="s">
        <v>346</v>
      </c>
      <c r="G2923">
        <v>1945.8409799999999</v>
      </c>
      <c r="I2923">
        <f t="shared" si="186"/>
        <v>0</v>
      </c>
      <c r="J2923">
        <f t="shared" si="186"/>
        <v>0</v>
      </c>
      <c r="K2923">
        <f t="shared" si="186"/>
        <v>0</v>
      </c>
      <c r="M2923" t="str" cm="1">
        <f t="array" ref="M2923">IFERROR(INDEX($I$2:$K$2,0,MATCH(TRUE,I2923:K2923,0)),E2923)</f>
        <v>DSR</v>
      </c>
      <c r="O2923" t="str">
        <f t="shared" si="184"/>
        <v>DSR_2039</v>
      </c>
      <c r="P2923">
        <f t="shared" si="185"/>
        <v>1945.8409799999999</v>
      </c>
    </row>
    <row r="2924" spans="4:16" x14ac:dyDescent="0.25">
      <c r="D2924">
        <v>2040</v>
      </c>
      <c r="E2924" t="s">
        <v>124</v>
      </c>
      <c r="F2924" t="s">
        <v>346</v>
      </c>
      <c r="G2924">
        <v>1969</v>
      </c>
      <c r="I2924">
        <f t="shared" si="186"/>
        <v>0</v>
      </c>
      <c r="J2924">
        <f t="shared" si="186"/>
        <v>0</v>
      </c>
      <c r="K2924">
        <f t="shared" si="186"/>
        <v>0</v>
      </c>
      <c r="M2924" t="str" cm="1">
        <f t="array" ref="M2924">IFERROR(INDEX($I$2:$K$2,0,MATCH(TRUE,I2924:K2924,0)),E2924)</f>
        <v>DSR</v>
      </c>
      <c r="O2924" t="str">
        <f t="shared" si="184"/>
        <v>DSR_2040</v>
      </c>
      <c r="P2924">
        <f t="shared" si="185"/>
        <v>1969</v>
      </c>
    </row>
    <row r="2925" spans="4:16" x14ac:dyDescent="0.25">
      <c r="D2925">
        <v>2021</v>
      </c>
      <c r="E2925" t="s">
        <v>124</v>
      </c>
      <c r="F2925" t="s">
        <v>347</v>
      </c>
      <c r="G2925">
        <v>844.14750000000004</v>
      </c>
      <c r="I2925">
        <f t="shared" si="186"/>
        <v>0</v>
      </c>
      <c r="J2925">
        <f t="shared" si="186"/>
        <v>0</v>
      </c>
      <c r="K2925">
        <f t="shared" si="186"/>
        <v>0</v>
      </c>
      <c r="M2925" t="str" cm="1">
        <f t="array" ref="M2925">IFERROR(INDEX($I$2:$K$2,0,MATCH(TRUE,I2925:K2925,0)),E2925)</f>
        <v>DSR</v>
      </c>
      <c r="O2925" t="str">
        <f t="shared" si="184"/>
        <v>DSR_2021</v>
      </c>
      <c r="P2925">
        <f t="shared" si="185"/>
        <v>844.14750000000004</v>
      </c>
    </row>
    <row r="2926" spans="4:16" x14ac:dyDescent="0.25">
      <c r="D2926">
        <v>2022</v>
      </c>
      <c r="E2926" t="s">
        <v>124</v>
      </c>
      <c r="F2926" t="s">
        <v>347</v>
      </c>
      <c r="G2926">
        <v>908.33249999999998</v>
      </c>
      <c r="I2926">
        <f t="shared" si="186"/>
        <v>0</v>
      </c>
      <c r="J2926">
        <f t="shared" si="186"/>
        <v>0</v>
      </c>
      <c r="K2926">
        <f t="shared" si="186"/>
        <v>0</v>
      </c>
      <c r="M2926" t="str" cm="1">
        <f t="array" ref="M2926">IFERROR(INDEX($I$2:$K$2,0,MATCH(TRUE,I2926:K2926,0)),E2926)</f>
        <v>DSR</v>
      </c>
      <c r="O2926" t="str">
        <f t="shared" si="184"/>
        <v>DSR_2022</v>
      </c>
      <c r="P2926">
        <f t="shared" si="185"/>
        <v>908.33249999999998</v>
      </c>
    </row>
    <row r="2927" spans="4:16" x14ac:dyDescent="0.25">
      <c r="D2927">
        <v>2023</v>
      </c>
      <c r="E2927" t="s">
        <v>124</v>
      </c>
      <c r="F2927" t="s">
        <v>347</v>
      </c>
      <c r="G2927">
        <v>977.94749999999999</v>
      </c>
      <c r="I2927">
        <f t="shared" si="186"/>
        <v>0</v>
      </c>
      <c r="J2927">
        <f t="shared" si="186"/>
        <v>0</v>
      </c>
      <c r="K2927">
        <f t="shared" si="186"/>
        <v>0</v>
      </c>
      <c r="M2927" t="str" cm="1">
        <f t="array" ref="M2927">IFERROR(INDEX($I$2:$K$2,0,MATCH(TRUE,I2927:K2927,0)),E2927)</f>
        <v>DSR</v>
      </c>
      <c r="O2927" t="str">
        <f t="shared" si="184"/>
        <v>DSR_2023</v>
      </c>
      <c r="P2927">
        <f t="shared" si="185"/>
        <v>977.94749999999999</v>
      </c>
    </row>
    <row r="2928" spans="4:16" x14ac:dyDescent="0.25">
      <c r="D2928">
        <v>2024</v>
      </c>
      <c r="E2928" t="s">
        <v>124</v>
      </c>
      <c r="F2928" t="s">
        <v>347</v>
      </c>
      <c r="G2928">
        <v>1050.87375</v>
      </c>
      <c r="I2928">
        <f t="shared" si="186"/>
        <v>0</v>
      </c>
      <c r="J2928">
        <f t="shared" si="186"/>
        <v>0</v>
      </c>
      <c r="K2928">
        <f t="shared" si="186"/>
        <v>0</v>
      </c>
      <c r="M2928" t="str" cm="1">
        <f t="array" ref="M2928">IFERROR(INDEX($I$2:$K$2,0,MATCH(TRUE,I2928:K2928,0)),E2928)</f>
        <v>DSR</v>
      </c>
      <c r="O2928" t="str">
        <f t="shared" si="184"/>
        <v>DSR_2024</v>
      </c>
      <c r="P2928">
        <f t="shared" si="185"/>
        <v>1050.87375</v>
      </c>
    </row>
    <row r="2929" spans="4:16" x14ac:dyDescent="0.25">
      <c r="D2929">
        <v>2025</v>
      </c>
      <c r="E2929" t="s">
        <v>124</v>
      </c>
      <c r="F2929" t="s">
        <v>347</v>
      </c>
      <c r="G2929">
        <v>1125</v>
      </c>
      <c r="I2929">
        <f t="shared" si="186"/>
        <v>0</v>
      </c>
      <c r="J2929">
        <f t="shared" si="186"/>
        <v>0</v>
      </c>
      <c r="K2929">
        <f t="shared" si="186"/>
        <v>0</v>
      </c>
      <c r="M2929" t="str" cm="1">
        <f t="array" ref="M2929">IFERROR(INDEX($I$2:$K$2,0,MATCH(TRUE,I2929:K2929,0)),E2929)</f>
        <v>DSR</v>
      </c>
      <c r="O2929" t="str">
        <f t="shared" si="184"/>
        <v>DSR_2025</v>
      </c>
      <c r="P2929">
        <f t="shared" si="185"/>
        <v>1125</v>
      </c>
    </row>
    <row r="2930" spans="4:16" x14ac:dyDescent="0.25">
      <c r="D2930">
        <v>2026</v>
      </c>
      <c r="E2930" t="s">
        <v>124</v>
      </c>
      <c r="F2930" t="s">
        <v>347</v>
      </c>
      <c r="G2930">
        <v>1198.6949999999999</v>
      </c>
      <c r="I2930">
        <f t="shared" si="186"/>
        <v>0</v>
      </c>
      <c r="J2930">
        <f t="shared" si="186"/>
        <v>0</v>
      </c>
      <c r="K2930">
        <f t="shared" si="186"/>
        <v>0</v>
      </c>
      <c r="M2930" t="str" cm="1">
        <f t="array" ref="M2930">IFERROR(INDEX($I$2:$K$2,0,MATCH(TRUE,I2930:K2930,0)),E2930)</f>
        <v>DSR</v>
      </c>
      <c r="O2930" t="str">
        <f t="shared" si="184"/>
        <v>DSR_2026</v>
      </c>
      <c r="P2930">
        <f t="shared" si="185"/>
        <v>1198.6949999999999</v>
      </c>
    </row>
    <row r="2931" spans="4:16" x14ac:dyDescent="0.25">
      <c r="D2931">
        <v>2027</v>
      </c>
      <c r="E2931" t="s">
        <v>124</v>
      </c>
      <c r="F2931" t="s">
        <v>347</v>
      </c>
      <c r="G2931">
        <v>1272.2625</v>
      </c>
      <c r="I2931">
        <f t="shared" si="186"/>
        <v>0</v>
      </c>
      <c r="J2931">
        <f t="shared" si="186"/>
        <v>0</v>
      </c>
      <c r="K2931">
        <f t="shared" si="186"/>
        <v>0</v>
      </c>
      <c r="M2931" t="str" cm="1">
        <f t="array" ref="M2931">IFERROR(INDEX($I$2:$K$2,0,MATCH(TRUE,I2931:K2931,0)),E2931)</f>
        <v>DSR</v>
      </c>
      <c r="O2931" t="str">
        <f t="shared" si="184"/>
        <v>DSR_2027</v>
      </c>
      <c r="P2931">
        <f t="shared" si="185"/>
        <v>1272.2625</v>
      </c>
    </row>
    <row r="2932" spans="4:16" x14ac:dyDescent="0.25">
      <c r="D2932">
        <v>2028</v>
      </c>
      <c r="E2932" t="s">
        <v>124</v>
      </c>
      <c r="F2932" t="s">
        <v>347</v>
      </c>
      <c r="G2932">
        <v>1346.47875</v>
      </c>
      <c r="I2932">
        <f t="shared" si="186"/>
        <v>0</v>
      </c>
      <c r="J2932">
        <f t="shared" si="186"/>
        <v>0</v>
      </c>
      <c r="K2932">
        <f t="shared" si="186"/>
        <v>0</v>
      </c>
      <c r="M2932" t="str" cm="1">
        <f t="array" ref="M2932">IFERROR(INDEX($I$2:$K$2,0,MATCH(TRUE,I2932:K2932,0)),E2932)</f>
        <v>DSR</v>
      </c>
      <c r="O2932" t="str">
        <f t="shared" si="184"/>
        <v>DSR_2028</v>
      </c>
      <c r="P2932">
        <f t="shared" si="185"/>
        <v>1346.47875</v>
      </c>
    </row>
    <row r="2933" spans="4:16" x14ac:dyDescent="0.25">
      <c r="D2933">
        <v>2029</v>
      </c>
      <c r="E2933" t="s">
        <v>124</v>
      </c>
      <c r="F2933" t="s">
        <v>347</v>
      </c>
      <c r="G2933">
        <v>1422.1312499999999</v>
      </c>
      <c r="I2933">
        <f t="shared" si="186"/>
        <v>0</v>
      </c>
      <c r="J2933">
        <f t="shared" si="186"/>
        <v>0</v>
      </c>
      <c r="K2933">
        <f t="shared" si="186"/>
        <v>0</v>
      </c>
      <c r="M2933" t="str" cm="1">
        <f t="array" ref="M2933">IFERROR(INDEX($I$2:$K$2,0,MATCH(TRUE,I2933:K2933,0)),E2933)</f>
        <v>DSR</v>
      </c>
      <c r="O2933" t="str">
        <f t="shared" si="184"/>
        <v>DSR_2029</v>
      </c>
      <c r="P2933">
        <f t="shared" si="185"/>
        <v>1422.1312499999999</v>
      </c>
    </row>
    <row r="2934" spans="4:16" x14ac:dyDescent="0.25">
      <c r="D2934">
        <v>2030</v>
      </c>
      <c r="E2934" t="s">
        <v>124</v>
      </c>
      <c r="F2934" t="s">
        <v>347</v>
      </c>
      <c r="G2934">
        <v>1500</v>
      </c>
      <c r="I2934">
        <f t="shared" si="186"/>
        <v>0</v>
      </c>
      <c r="J2934">
        <f t="shared" si="186"/>
        <v>0</v>
      </c>
      <c r="K2934">
        <f t="shared" si="186"/>
        <v>0</v>
      </c>
      <c r="M2934" t="str" cm="1">
        <f t="array" ref="M2934">IFERROR(INDEX($I$2:$K$2,0,MATCH(TRUE,I2934:K2934,0)),E2934)</f>
        <v>DSR</v>
      </c>
      <c r="O2934" t="str">
        <f t="shared" si="184"/>
        <v>DSR_2030</v>
      </c>
      <c r="P2934">
        <f t="shared" si="185"/>
        <v>1500</v>
      </c>
    </row>
    <row r="2935" spans="4:16" x14ac:dyDescent="0.25">
      <c r="D2935">
        <v>2031</v>
      </c>
      <c r="E2935" t="s">
        <v>124</v>
      </c>
      <c r="F2935" t="s">
        <v>347</v>
      </c>
      <c r="G2935">
        <v>1580.2725</v>
      </c>
      <c r="I2935">
        <f t="shared" si="186"/>
        <v>0</v>
      </c>
      <c r="J2935">
        <f t="shared" si="186"/>
        <v>0</v>
      </c>
      <c r="K2935">
        <f t="shared" si="186"/>
        <v>0</v>
      </c>
      <c r="M2935" t="str" cm="1">
        <f t="array" ref="M2935">IFERROR(INDEX($I$2:$K$2,0,MATCH(TRUE,I2935:K2935,0)),E2935)</f>
        <v>DSR</v>
      </c>
      <c r="O2935" t="str">
        <f t="shared" si="184"/>
        <v>DSR_2031</v>
      </c>
      <c r="P2935">
        <f t="shared" si="185"/>
        <v>1580.2725</v>
      </c>
    </row>
    <row r="2936" spans="4:16" x14ac:dyDescent="0.25">
      <c r="D2936">
        <v>2032</v>
      </c>
      <c r="E2936" t="s">
        <v>124</v>
      </c>
      <c r="F2936" t="s">
        <v>347</v>
      </c>
      <c r="G2936">
        <v>1660.7249999999999</v>
      </c>
      <c r="I2936">
        <f t="shared" si="186"/>
        <v>0</v>
      </c>
      <c r="J2936">
        <f t="shared" si="186"/>
        <v>0</v>
      </c>
      <c r="K2936">
        <f t="shared" si="186"/>
        <v>0</v>
      </c>
      <c r="M2936" t="str" cm="1">
        <f t="array" ref="M2936">IFERROR(INDEX($I$2:$K$2,0,MATCH(TRUE,I2936:K2936,0)),E2936)</f>
        <v>DSR</v>
      </c>
      <c r="O2936" t="str">
        <f t="shared" si="184"/>
        <v>DSR_2032</v>
      </c>
      <c r="P2936">
        <f t="shared" si="185"/>
        <v>1660.7249999999999</v>
      </c>
    </row>
    <row r="2937" spans="4:16" x14ac:dyDescent="0.25">
      <c r="D2937">
        <v>2033</v>
      </c>
      <c r="E2937" t="s">
        <v>124</v>
      </c>
      <c r="F2937" t="s">
        <v>347</v>
      </c>
      <c r="G2937">
        <v>1738.54125</v>
      </c>
      <c r="I2937">
        <f t="shared" si="186"/>
        <v>0</v>
      </c>
      <c r="J2937">
        <f t="shared" si="186"/>
        <v>0</v>
      </c>
      <c r="K2937">
        <f t="shared" si="186"/>
        <v>0</v>
      </c>
      <c r="M2937" t="str" cm="1">
        <f t="array" ref="M2937">IFERROR(INDEX($I$2:$K$2,0,MATCH(TRUE,I2937:K2937,0)),E2937)</f>
        <v>DSR</v>
      </c>
      <c r="O2937" t="str">
        <f t="shared" si="184"/>
        <v>DSR_2033</v>
      </c>
      <c r="P2937">
        <f t="shared" si="185"/>
        <v>1738.54125</v>
      </c>
    </row>
    <row r="2938" spans="4:16" x14ac:dyDescent="0.25">
      <c r="D2938">
        <v>2034</v>
      </c>
      <c r="E2938" t="s">
        <v>124</v>
      </c>
      <c r="F2938" t="s">
        <v>347</v>
      </c>
      <c r="G2938">
        <v>1810.905</v>
      </c>
      <c r="I2938">
        <f t="shared" si="186"/>
        <v>0</v>
      </c>
      <c r="J2938">
        <f t="shared" si="186"/>
        <v>0</v>
      </c>
      <c r="K2938">
        <f t="shared" si="186"/>
        <v>0</v>
      </c>
      <c r="M2938" t="str" cm="1">
        <f t="array" ref="M2938">IFERROR(INDEX($I$2:$K$2,0,MATCH(TRUE,I2938:K2938,0)),E2938)</f>
        <v>DSR</v>
      </c>
      <c r="O2938" t="str">
        <f t="shared" si="184"/>
        <v>DSR_2034</v>
      </c>
      <c r="P2938">
        <f t="shared" si="185"/>
        <v>1810.905</v>
      </c>
    </row>
    <row r="2939" spans="4:16" x14ac:dyDescent="0.25">
      <c r="D2939">
        <v>2035</v>
      </c>
      <c r="E2939" t="s">
        <v>124</v>
      </c>
      <c r="F2939" t="s">
        <v>347</v>
      </c>
      <c r="G2939">
        <v>1875</v>
      </c>
      <c r="I2939">
        <f t="shared" si="186"/>
        <v>0</v>
      </c>
      <c r="J2939">
        <f t="shared" si="186"/>
        <v>0</v>
      </c>
      <c r="K2939">
        <f t="shared" si="186"/>
        <v>0</v>
      </c>
      <c r="M2939" t="str" cm="1">
        <f t="array" ref="M2939">IFERROR(INDEX($I$2:$K$2,0,MATCH(TRUE,I2939:K2939,0)),E2939)</f>
        <v>DSR</v>
      </c>
      <c r="O2939" t="str">
        <f t="shared" si="184"/>
        <v>DSR_2035</v>
      </c>
      <c r="P2939">
        <f t="shared" si="185"/>
        <v>1875</v>
      </c>
    </row>
    <row r="2940" spans="4:16" x14ac:dyDescent="0.25">
      <c r="D2940">
        <v>2036</v>
      </c>
      <c r="E2940" t="s">
        <v>124</v>
      </c>
      <c r="F2940" t="s">
        <v>347</v>
      </c>
      <c r="G2940">
        <v>1928.7225000000001</v>
      </c>
      <c r="I2940">
        <f t="shared" si="186"/>
        <v>0</v>
      </c>
      <c r="J2940">
        <f t="shared" si="186"/>
        <v>0</v>
      </c>
      <c r="K2940">
        <f t="shared" si="186"/>
        <v>0</v>
      </c>
      <c r="M2940" t="str" cm="1">
        <f t="array" ref="M2940">IFERROR(INDEX($I$2:$K$2,0,MATCH(TRUE,I2940:K2940,0)),E2940)</f>
        <v>DSR</v>
      </c>
      <c r="O2940" t="str">
        <f t="shared" si="184"/>
        <v>DSR_2036</v>
      </c>
      <c r="P2940">
        <f t="shared" si="185"/>
        <v>1928.7225000000001</v>
      </c>
    </row>
    <row r="2941" spans="4:16" x14ac:dyDescent="0.25">
      <c r="D2941">
        <v>2037</v>
      </c>
      <c r="E2941" t="s">
        <v>124</v>
      </c>
      <c r="F2941" t="s">
        <v>347</v>
      </c>
      <c r="G2941">
        <v>1972.8412499999999</v>
      </c>
      <c r="I2941">
        <f t="shared" si="186"/>
        <v>0</v>
      </c>
      <c r="J2941">
        <f t="shared" si="186"/>
        <v>0</v>
      </c>
      <c r="K2941">
        <f t="shared" si="186"/>
        <v>0</v>
      </c>
      <c r="M2941" t="str" cm="1">
        <f t="array" ref="M2941">IFERROR(INDEX($I$2:$K$2,0,MATCH(TRUE,I2941:K2941,0)),E2941)</f>
        <v>DSR</v>
      </c>
      <c r="O2941" t="str">
        <f t="shared" si="184"/>
        <v>DSR_2037</v>
      </c>
      <c r="P2941">
        <f t="shared" si="185"/>
        <v>1972.8412499999999</v>
      </c>
    </row>
    <row r="2942" spans="4:16" x14ac:dyDescent="0.25">
      <c r="D2942">
        <v>2038</v>
      </c>
      <c r="E2942" t="s">
        <v>124</v>
      </c>
      <c r="F2942" t="s">
        <v>347</v>
      </c>
      <c r="G2942">
        <v>2008.8525</v>
      </c>
      <c r="I2942">
        <f t="shared" si="186"/>
        <v>0</v>
      </c>
      <c r="J2942">
        <f t="shared" si="186"/>
        <v>0</v>
      </c>
      <c r="K2942">
        <f t="shared" si="186"/>
        <v>0</v>
      </c>
      <c r="M2942" t="str" cm="1">
        <f t="array" ref="M2942">IFERROR(INDEX($I$2:$K$2,0,MATCH(TRUE,I2942:K2942,0)),E2942)</f>
        <v>DSR</v>
      </c>
      <c r="O2942" t="str">
        <f t="shared" si="184"/>
        <v>DSR_2038</v>
      </c>
      <c r="P2942">
        <f t="shared" si="185"/>
        <v>2008.8525</v>
      </c>
    </row>
    <row r="2943" spans="4:16" x14ac:dyDescent="0.25">
      <c r="D2943">
        <v>2039</v>
      </c>
      <c r="E2943" t="s">
        <v>124</v>
      </c>
      <c r="F2943" t="s">
        <v>347</v>
      </c>
      <c r="G2943">
        <v>2038.24125</v>
      </c>
      <c r="I2943">
        <f t="shared" si="186"/>
        <v>0</v>
      </c>
      <c r="J2943">
        <f t="shared" si="186"/>
        <v>0</v>
      </c>
      <c r="K2943">
        <f t="shared" si="186"/>
        <v>0</v>
      </c>
      <c r="M2943" t="str" cm="1">
        <f t="array" ref="M2943">IFERROR(INDEX($I$2:$K$2,0,MATCH(TRUE,I2943:K2943,0)),E2943)</f>
        <v>DSR</v>
      </c>
      <c r="O2943" t="str">
        <f t="shared" si="184"/>
        <v>DSR_2039</v>
      </c>
      <c r="P2943">
        <f t="shared" si="185"/>
        <v>2038.24125</v>
      </c>
    </row>
    <row r="2944" spans="4:16" x14ac:dyDescent="0.25">
      <c r="D2944">
        <v>2040</v>
      </c>
      <c r="E2944" t="s">
        <v>124</v>
      </c>
      <c r="F2944" t="s">
        <v>347</v>
      </c>
      <c r="G2944">
        <v>2062.5</v>
      </c>
      <c r="I2944">
        <f t="shared" si="186"/>
        <v>0</v>
      </c>
      <c r="J2944">
        <f t="shared" si="186"/>
        <v>0</v>
      </c>
      <c r="K2944">
        <f t="shared" si="186"/>
        <v>0</v>
      </c>
      <c r="M2944" t="str" cm="1">
        <f t="array" ref="M2944">IFERROR(INDEX($I$2:$K$2,0,MATCH(TRUE,I2944:K2944,0)),E2944)</f>
        <v>DSR</v>
      </c>
      <c r="O2944" t="str">
        <f t="shared" si="184"/>
        <v>DSR_2040</v>
      </c>
      <c r="P2944">
        <f t="shared" si="185"/>
        <v>2062.5</v>
      </c>
    </row>
    <row r="2945" spans="4:16" x14ac:dyDescent="0.25">
      <c r="D2945">
        <v>2022</v>
      </c>
      <c r="E2945" t="s">
        <v>348</v>
      </c>
      <c r="F2945" t="s">
        <v>349</v>
      </c>
      <c r="G2945">
        <v>0</v>
      </c>
      <c r="I2945">
        <f t="shared" si="186"/>
        <v>0</v>
      </c>
      <c r="J2945">
        <f t="shared" si="186"/>
        <v>0</v>
      </c>
      <c r="K2945">
        <f t="shared" si="186"/>
        <v>0</v>
      </c>
      <c r="M2945" t="str" cm="1">
        <f t="array" ref="M2945">IFERROR(INDEX($I$2:$K$2,0,MATCH(TRUE,I2945:K2945,0)),E2945)</f>
        <v>Gas_Steam_only</v>
      </c>
      <c r="O2945" t="str">
        <f t="shared" si="184"/>
        <v>Gas_Steam_only_2022</v>
      </c>
      <c r="P2945">
        <f t="shared" si="185"/>
        <v>0</v>
      </c>
    </row>
    <row r="2946" spans="4:16" x14ac:dyDescent="0.25">
      <c r="D2946">
        <v>2023</v>
      </c>
      <c r="E2946" t="s">
        <v>348</v>
      </c>
      <c r="F2946" t="s">
        <v>349</v>
      </c>
      <c r="G2946">
        <v>430</v>
      </c>
      <c r="I2946">
        <f t="shared" si="186"/>
        <v>0</v>
      </c>
      <c r="J2946">
        <f t="shared" si="186"/>
        <v>0</v>
      </c>
      <c r="K2946">
        <f t="shared" si="186"/>
        <v>0</v>
      </c>
      <c r="M2946" t="str" cm="1">
        <f t="array" ref="M2946">IFERROR(INDEX($I$2:$K$2,0,MATCH(TRUE,I2946:K2946,0)),E2946)</f>
        <v>Gas_Steam_only</v>
      </c>
      <c r="O2946" t="str">
        <f t="shared" si="184"/>
        <v>Gas_Steam_only_2023</v>
      </c>
      <c r="P2946">
        <f t="shared" si="185"/>
        <v>430</v>
      </c>
    </row>
    <row r="2947" spans="4:16" x14ac:dyDescent="0.25">
      <c r="D2947">
        <v>2024</v>
      </c>
      <c r="E2947" t="s">
        <v>348</v>
      </c>
      <c r="F2947" t="s">
        <v>349</v>
      </c>
      <c r="G2947">
        <v>430</v>
      </c>
      <c r="I2947">
        <f t="shared" si="186"/>
        <v>0</v>
      </c>
      <c r="J2947">
        <f t="shared" si="186"/>
        <v>0</v>
      </c>
      <c r="K2947">
        <f t="shared" si="186"/>
        <v>0</v>
      </c>
      <c r="M2947" t="str" cm="1">
        <f t="array" ref="M2947">IFERROR(INDEX($I$2:$K$2,0,MATCH(TRUE,I2947:K2947,0)),E2947)</f>
        <v>Gas_Steam_only</v>
      </c>
      <c r="O2947" t="str">
        <f t="shared" si="184"/>
        <v>Gas_Steam_only_2024</v>
      </c>
      <c r="P2947">
        <f t="shared" si="185"/>
        <v>430</v>
      </c>
    </row>
    <row r="2948" spans="4:16" x14ac:dyDescent="0.25">
      <c r="D2948">
        <v>2025</v>
      </c>
      <c r="E2948" t="s">
        <v>348</v>
      </c>
      <c r="F2948" t="s">
        <v>349</v>
      </c>
      <c r="G2948">
        <v>430</v>
      </c>
      <c r="I2948">
        <f t="shared" si="186"/>
        <v>0</v>
      </c>
      <c r="J2948">
        <f t="shared" si="186"/>
        <v>0</v>
      </c>
      <c r="K2948">
        <f t="shared" si="186"/>
        <v>0</v>
      </c>
      <c r="M2948" t="str" cm="1">
        <f t="array" ref="M2948">IFERROR(INDEX($I$2:$K$2,0,MATCH(TRUE,I2948:K2948,0)),E2948)</f>
        <v>Gas_Steam_only</v>
      </c>
      <c r="O2948" t="str">
        <f t="shared" si="184"/>
        <v>Gas_Steam_only_2025</v>
      </c>
      <c r="P2948">
        <f t="shared" si="185"/>
        <v>430</v>
      </c>
    </row>
    <row r="2949" spans="4:16" x14ac:dyDescent="0.25">
      <c r="D2949">
        <v>2026</v>
      </c>
      <c r="E2949" t="s">
        <v>348</v>
      </c>
      <c r="F2949" t="s">
        <v>349</v>
      </c>
      <c r="G2949">
        <v>430</v>
      </c>
      <c r="I2949">
        <f t="shared" si="186"/>
        <v>0</v>
      </c>
      <c r="J2949">
        <f t="shared" si="186"/>
        <v>0</v>
      </c>
      <c r="K2949">
        <f t="shared" si="186"/>
        <v>0</v>
      </c>
      <c r="M2949" t="str" cm="1">
        <f t="array" ref="M2949">IFERROR(INDEX($I$2:$K$2,0,MATCH(TRUE,I2949:K2949,0)),E2949)</f>
        <v>Gas_Steam_only</v>
      </c>
      <c r="O2949" t="str">
        <f t="shared" si="184"/>
        <v>Gas_Steam_only_2026</v>
      </c>
      <c r="P2949">
        <f t="shared" si="185"/>
        <v>430</v>
      </c>
    </row>
    <row r="2950" spans="4:16" x14ac:dyDescent="0.25">
      <c r="D2950">
        <v>2027</v>
      </c>
      <c r="E2950" t="s">
        <v>348</v>
      </c>
      <c r="F2950" t="s">
        <v>349</v>
      </c>
      <c r="G2950">
        <v>430</v>
      </c>
      <c r="I2950">
        <f t="shared" si="186"/>
        <v>0</v>
      </c>
      <c r="J2950">
        <f t="shared" si="186"/>
        <v>0</v>
      </c>
      <c r="K2950">
        <f t="shared" si="186"/>
        <v>0</v>
      </c>
      <c r="M2950" t="str" cm="1">
        <f t="array" ref="M2950">IFERROR(INDEX($I$2:$K$2,0,MATCH(TRUE,I2950:K2950,0)),E2950)</f>
        <v>Gas_Steam_only</v>
      </c>
      <c r="O2950" t="str">
        <f t="shared" si="184"/>
        <v>Gas_Steam_only_2027</v>
      </c>
      <c r="P2950">
        <f t="shared" si="185"/>
        <v>430</v>
      </c>
    </row>
    <row r="2951" spans="4:16" x14ac:dyDescent="0.25">
      <c r="D2951">
        <v>2028</v>
      </c>
      <c r="E2951" t="s">
        <v>348</v>
      </c>
      <c r="F2951" t="s">
        <v>349</v>
      </c>
      <c r="G2951">
        <v>430</v>
      </c>
      <c r="I2951">
        <f t="shared" si="186"/>
        <v>0</v>
      </c>
      <c r="J2951">
        <f t="shared" si="186"/>
        <v>0</v>
      </c>
      <c r="K2951">
        <f t="shared" si="186"/>
        <v>0</v>
      </c>
      <c r="M2951" t="str" cm="1">
        <f t="array" ref="M2951">IFERROR(INDEX($I$2:$K$2,0,MATCH(TRUE,I2951:K2951,0)),E2951)</f>
        <v>Gas_Steam_only</v>
      </c>
      <c r="O2951" t="str">
        <f t="shared" si="184"/>
        <v>Gas_Steam_only_2028</v>
      </c>
      <c r="P2951">
        <f t="shared" si="185"/>
        <v>430</v>
      </c>
    </row>
    <row r="2952" spans="4:16" x14ac:dyDescent="0.25">
      <c r="D2952">
        <v>2029</v>
      </c>
      <c r="E2952" t="s">
        <v>348</v>
      </c>
      <c r="F2952" t="s">
        <v>349</v>
      </c>
      <c r="G2952">
        <v>430</v>
      </c>
      <c r="I2952">
        <f t="shared" si="186"/>
        <v>0</v>
      </c>
      <c r="J2952">
        <f t="shared" si="186"/>
        <v>0</v>
      </c>
      <c r="K2952">
        <f t="shared" si="186"/>
        <v>0</v>
      </c>
      <c r="M2952" t="str" cm="1">
        <f t="array" ref="M2952">IFERROR(INDEX($I$2:$K$2,0,MATCH(TRUE,I2952:K2952,0)),E2952)</f>
        <v>Gas_Steam_only</v>
      </c>
      <c r="O2952" t="str">
        <f t="shared" si="184"/>
        <v>Gas_Steam_only_2029</v>
      </c>
      <c r="P2952">
        <f t="shared" si="185"/>
        <v>430</v>
      </c>
    </row>
    <row r="2953" spans="4:16" x14ac:dyDescent="0.25">
      <c r="D2953">
        <v>2030</v>
      </c>
      <c r="E2953" t="s">
        <v>348</v>
      </c>
      <c r="F2953" t="s">
        <v>349</v>
      </c>
      <c r="G2953">
        <v>430</v>
      </c>
      <c r="I2953">
        <f t="shared" si="186"/>
        <v>0</v>
      </c>
      <c r="J2953">
        <f t="shared" si="186"/>
        <v>0</v>
      </c>
      <c r="K2953">
        <f t="shared" si="186"/>
        <v>0</v>
      </c>
      <c r="M2953" t="str" cm="1">
        <f t="array" ref="M2953">IFERROR(INDEX($I$2:$K$2,0,MATCH(TRUE,I2953:K2953,0)),E2953)</f>
        <v>Gas_Steam_only</v>
      </c>
      <c r="O2953" t="str">
        <f t="shared" si="184"/>
        <v>Gas_Steam_only_2030</v>
      </c>
      <c r="P2953">
        <f t="shared" si="185"/>
        <v>430</v>
      </c>
    </row>
    <row r="2954" spans="4:16" x14ac:dyDescent="0.25">
      <c r="D2954">
        <v>2031</v>
      </c>
      <c r="E2954" t="s">
        <v>348</v>
      </c>
      <c r="F2954" t="s">
        <v>349</v>
      </c>
      <c r="G2954">
        <v>430</v>
      </c>
      <c r="I2954">
        <f t="shared" si="186"/>
        <v>0</v>
      </c>
      <c r="J2954">
        <f t="shared" si="186"/>
        <v>0</v>
      </c>
      <c r="K2954">
        <f t="shared" si="186"/>
        <v>0</v>
      </c>
      <c r="M2954" t="str" cm="1">
        <f t="array" ref="M2954">IFERROR(INDEX($I$2:$K$2,0,MATCH(TRUE,I2954:K2954,0)),E2954)</f>
        <v>Gas_Steam_only</v>
      </c>
      <c r="O2954" t="str">
        <f t="shared" si="184"/>
        <v>Gas_Steam_only_2031</v>
      </c>
      <c r="P2954">
        <f t="shared" si="185"/>
        <v>430</v>
      </c>
    </row>
    <row r="2955" spans="4:16" x14ac:dyDescent="0.25">
      <c r="D2955">
        <v>2032</v>
      </c>
      <c r="E2955" t="s">
        <v>348</v>
      </c>
      <c r="F2955" t="s">
        <v>349</v>
      </c>
      <c r="G2955">
        <v>430</v>
      </c>
      <c r="I2955">
        <f t="shared" si="186"/>
        <v>0</v>
      </c>
      <c r="J2955">
        <f t="shared" si="186"/>
        <v>0</v>
      </c>
      <c r="K2955">
        <f t="shared" si="186"/>
        <v>0</v>
      </c>
      <c r="M2955" t="str" cm="1">
        <f t="array" ref="M2955">IFERROR(INDEX($I$2:$K$2,0,MATCH(TRUE,I2955:K2955,0)),E2955)</f>
        <v>Gas_Steam_only</v>
      </c>
      <c r="O2955" t="str">
        <f t="shared" si="184"/>
        <v>Gas_Steam_only_2032</v>
      </c>
      <c r="P2955">
        <f t="shared" si="185"/>
        <v>430</v>
      </c>
    </row>
    <row r="2956" spans="4:16" x14ac:dyDescent="0.25">
      <c r="D2956">
        <v>2033</v>
      </c>
      <c r="E2956" t="s">
        <v>348</v>
      </c>
      <c r="F2956" t="s">
        <v>349</v>
      </c>
      <c r="G2956">
        <v>430</v>
      </c>
      <c r="I2956">
        <f t="shared" si="186"/>
        <v>0</v>
      </c>
      <c r="J2956">
        <f t="shared" si="186"/>
        <v>0</v>
      </c>
      <c r="K2956">
        <f t="shared" si="186"/>
        <v>0</v>
      </c>
      <c r="M2956" t="str" cm="1">
        <f t="array" ref="M2956">IFERROR(INDEX($I$2:$K$2,0,MATCH(TRUE,I2956:K2956,0)),E2956)</f>
        <v>Gas_Steam_only</v>
      </c>
      <c r="O2956" t="str">
        <f t="shared" si="184"/>
        <v>Gas_Steam_only_2033</v>
      </c>
      <c r="P2956">
        <f t="shared" si="185"/>
        <v>430</v>
      </c>
    </row>
    <row r="2957" spans="4:16" x14ac:dyDescent="0.25">
      <c r="D2957">
        <v>2034</v>
      </c>
      <c r="E2957" t="s">
        <v>348</v>
      </c>
      <c r="F2957" t="s">
        <v>349</v>
      </c>
      <c r="G2957">
        <v>430</v>
      </c>
      <c r="I2957">
        <f t="shared" si="186"/>
        <v>0</v>
      </c>
      <c r="J2957">
        <f t="shared" si="186"/>
        <v>0</v>
      </c>
      <c r="K2957">
        <f t="shared" si="186"/>
        <v>0</v>
      </c>
      <c r="M2957" t="str" cm="1">
        <f t="array" ref="M2957">IFERROR(INDEX($I$2:$K$2,0,MATCH(TRUE,I2957:K2957,0)),E2957)</f>
        <v>Gas_Steam_only</v>
      </c>
      <c r="O2957" t="str">
        <f t="shared" si="184"/>
        <v>Gas_Steam_only_2034</v>
      </c>
      <c r="P2957">
        <f t="shared" si="185"/>
        <v>430</v>
      </c>
    </row>
    <row r="2958" spans="4:16" x14ac:dyDescent="0.25">
      <c r="D2958">
        <v>2035</v>
      </c>
      <c r="E2958" t="s">
        <v>348</v>
      </c>
      <c r="F2958" t="s">
        <v>349</v>
      </c>
      <c r="G2958">
        <v>430</v>
      </c>
      <c r="I2958">
        <f t="shared" si="186"/>
        <v>0</v>
      </c>
      <c r="J2958">
        <f t="shared" si="186"/>
        <v>0</v>
      </c>
      <c r="K2958">
        <f t="shared" si="186"/>
        <v>0</v>
      </c>
      <c r="M2958" t="str" cm="1">
        <f t="array" ref="M2958">IFERROR(INDEX($I$2:$K$2,0,MATCH(TRUE,I2958:K2958,0)),E2958)</f>
        <v>Gas_Steam_only</v>
      </c>
      <c r="O2958" t="str">
        <f t="shared" si="184"/>
        <v>Gas_Steam_only_2035</v>
      </c>
      <c r="P2958">
        <f t="shared" si="185"/>
        <v>430</v>
      </c>
    </row>
    <row r="2959" spans="4:16" x14ac:dyDescent="0.25">
      <c r="D2959">
        <v>2036</v>
      </c>
      <c r="E2959" t="s">
        <v>348</v>
      </c>
      <c r="F2959" t="s">
        <v>349</v>
      </c>
      <c r="G2959">
        <v>430</v>
      </c>
      <c r="I2959">
        <f t="shared" si="186"/>
        <v>0</v>
      </c>
      <c r="J2959">
        <f t="shared" si="186"/>
        <v>0</v>
      </c>
      <c r="K2959">
        <f t="shared" si="186"/>
        <v>0</v>
      </c>
      <c r="M2959" t="str" cm="1">
        <f t="array" ref="M2959">IFERROR(INDEX($I$2:$K$2,0,MATCH(TRUE,I2959:K2959,0)),E2959)</f>
        <v>Gas_Steam_only</v>
      </c>
      <c r="O2959" t="str">
        <f t="shared" si="184"/>
        <v>Gas_Steam_only_2036</v>
      </c>
      <c r="P2959">
        <f t="shared" si="185"/>
        <v>430</v>
      </c>
    </row>
    <row r="2960" spans="4:16" x14ac:dyDescent="0.25">
      <c r="D2960">
        <v>2037</v>
      </c>
      <c r="E2960" t="s">
        <v>348</v>
      </c>
      <c r="F2960" t="s">
        <v>349</v>
      </c>
      <c r="G2960">
        <v>430</v>
      </c>
      <c r="I2960">
        <f t="shared" si="186"/>
        <v>0</v>
      </c>
      <c r="J2960">
        <f t="shared" si="186"/>
        <v>0</v>
      </c>
      <c r="K2960">
        <f t="shared" si="186"/>
        <v>0</v>
      </c>
      <c r="M2960" t="str" cm="1">
        <f t="array" ref="M2960">IFERROR(INDEX($I$2:$K$2,0,MATCH(TRUE,I2960:K2960,0)),E2960)</f>
        <v>Gas_Steam_only</v>
      </c>
      <c r="O2960" t="str">
        <f t="shared" si="184"/>
        <v>Gas_Steam_only_2037</v>
      </c>
      <c r="P2960">
        <f t="shared" si="185"/>
        <v>430</v>
      </c>
    </row>
    <row r="2961" spans="4:16" x14ac:dyDescent="0.25">
      <c r="D2961">
        <v>2038</v>
      </c>
      <c r="E2961" t="s">
        <v>348</v>
      </c>
      <c r="F2961" t="s">
        <v>349</v>
      </c>
      <c r="G2961">
        <v>430</v>
      </c>
      <c r="I2961">
        <f t="shared" si="186"/>
        <v>0</v>
      </c>
      <c r="J2961">
        <f t="shared" si="186"/>
        <v>0</v>
      </c>
      <c r="K2961">
        <f t="shared" si="186"/>
        <v>0</v>
      </c>
      <c r="M2961" t="str" cm="1">
        <f t="array" ref="M2961">IFERROR(INDEX($I$2:$K$2,0,MATCH(TRUE,I2961:K2961,0)),E2961)</f>
        <v>Gas_Steam_only</v>
      </c>
      <c r="O2961" t="str">
        <f t="shared" si="184"/>
        <v>Gas_Steam_only_2038</v>
      </c>
      <c r="P2961">
        <f t="shared" si="185"/>
        <v>430</v>
      </c>
    </row>
    <row r="2962" spans="4:16" x14ac:dyDescent="0.25">
      <c r="D2962">
        <v>2039</v>
      </c>
      <c r="E2962" t="s">
        <v>348</v>
      </c>
      <c r="F2962" t="s">
        <v>349</v>
      </c>
      <c r="G2962">
        <v>430</v>
      </c>
      <c r="I2962">
        <f t="shared" si="186"/>
        <v>0</v>
      </c>
      <c r="J2962">
        <f t="shared" si="186"/>
        <v>0</v>
      </c>
      <c r="K2962">
        <f t="shared" si="186"/>
        <v>0</v>
      </c>
      <c r="M2962" t="str" cm="1">
        <f t="array" ref="M2962">IFERROR(INDEX($I$2:$K$2,0,MATCH(TRUE,I2962:K2962,0)),E2962)</f>
        <v>Gas_Steam_only</v>
      </c>
      <c r="O2962" t="str">
        <f t="shared" si="184"/>
        <v>Gas_Steam_only_2039</v>
      </c>
      <c r="P2962">
        <f t="shared" si="185"/>
        <v>430</v>
      </c>
    </row>
    <row r="2963" spans="4:16" x14ac:dyDescent="0.25">
      <c r="D2963">
        <v>2040</v>
      </c>
      <c r="E2963" t="s">
        <v>348</v>
      </c>
      <c r="F2963" t="s">
        <v>349</v>
      </c>
      <c r="G2963">
        <v>430</v>
      </c>
      <c r="I2963">
        <f t="shared" si="186"/>
        <v>0</v>
      </c>
      <c r="J2963">
        <f t="shared" si="186"/>
        <v>0</v>
      </c>
      <c r="K2963">
        <f t="shared" si="186"/>
        <v>0</v>
      </c>
      <c r="M2963" t="str" cm="1">
        <f t="array" ref="M2963">IFERROR(INDEX($I$2:$K$2,0,MATCH(TRUE,I2963:K2963,0)),E2963)</f>
        <v>Gas_Steam_only</v>
      </c>
      <c r="O2963" t="str">
        <f t="shared" ref="O2963:O3026" si="187">M2963&amp;"_"&amp;D2963</f>
        <v>Gas_Steam_only_2040</v>
      </c>
      <c r="P2963">
        <f t="shared" ref="P2963:P3026" si="188">G2963</f>
        <v>430</v>
      </c>
    </row>
    <row r="2964" spans="4:16" x14ac:dyDescent="0.25">
      <c r="D2964">
        <v>2021</v>
      </c>
      <c r="E2964" t="s">
        <v>348</v>
      </c>
      <c r="F2964" t="s">
        <v>350</v>
      </c>
      <c r="G2964">
        <v>475</v>
      </c>
      <c r="I2964">
        <f t="shared" si="186"/>
        <v>0</v>
      </c>
      <c r="J2964">
        <f t="shared" si="186"/>
        <v>0</v>
      </c>
      <c r="K2964">
        <f t="shared" si="186"/>
        <v>0</v>
      </c>
      <c r="M2964" t="str" cm="1">
        <f t="array" ref="M2964">IFERROR(INDEX($I$2:$K$2,0,MATCH(TRUE,I2964:K2964,0)),E2964)</f>
        <v>Gas_Steam_only</v>
      </c>
      <c r="O2964" t="str">
        <f t="shared" si="187"/>
        <v>Gas_Steam_only_2021</v>
      </c>
      <c r="P2964">
        <f t="shared" si="188"/>
        <v>475</v>
      </c>
    </row>
    <row r="2965" spans="4:16" x14ac:dyDescent="0.25">
      <c r="D2965">
        <v>2022</v>
      </c>
      <c r="E2965" t="s">
        <v>348</v>
      </c>
      <c r="F2965" t="s">
        <v>350</v>
      </c>
      <c r="G2965">
        <v>475</v>
      </c>
      <c r="I2965">
        <f t="shared" ref="I2965:K3028" si="189">IFERROR(FIND(I$2,$E2965,1)&gt;0,0)</f>
        <v>0</v>
      </c>
      <c r="J2965">
        <f t="shared" si="189"/>
        <v>0</v>
      </c>
      <c r="K2965">
        <f t="shared" si="189"/>
        <v>0</v>
      </c>
      <c r="M2965" t="str" cm="1">
        <f t="array" ref="M2965">IFERROR(INDEX($I$2:$K$2,0,MATCH(TRUE,I2965:K2965,0)),E2965)</f>
        <v>Gas_Steam_only</v>
      </c>
      <c r="O2965" t="str">
        <f t="shared" si="187"/>
        <v>Gas_Steam_only_2022</v>
      </c>
      <c r="P2965">
        <f t="shared" si="188"/>
        <v>475</v>
      </c>
    </row>
    <row r="2966" spans="4:16" x14ac:dyDescent="0.25">
      <c r="D2966">
        <v>2023</v>
      </c>
      <c r="E2966" t="s">
        <v>348</v>
      </c>
      <c r="F2966" t="s">
        <v>350</v>
      </c>
      <c r="G2966">
        <v>475</v>
      </c>
      <c r="I2966">
        <f t="shared" si="189"/>
        <v>0</v>
      </c>
      <c r="J2966">
        <f t="shared" si="189"/>
        <v>0</v>
      </c>
      <c r="K2966">
        <f t="shared" si="189"/>
        <v>0</v>
      </c>
      <c r="M2966" t="str" cm="1">
        <f t="array" ref="M2966">IFERROR(INDEX($I$2:$K$2,0,MATCH(TRUE,I2966:K2966,0)),E2966)</f>
        <v>Gas_Steam_only</v>
      </c>
      <c r="O2966" t="str">
        <f t="shared" si="187"/>
        <v>Gas_Steam_only_2023</v>
      </c>
      <c r="P2966">
        <f t="shared" si="188"/>
        <v>475</v>
      </c>
    </row>
    <row r="2967" spans="4:16" x14ac:dyDescent="0.25">
      <c r="D2967">
        <v>2021</v>
      </c>
      <c r="E2967" t="s">
        <v>348</v>
      </c>
      <c r="F2967" t="s">
        <v>351</v>
      </c>
      <c r="G2967">
        <v>475</v>
      </c>
      <c r="I2967">
        <f t="shared" si="189"/>
        <v>0</v>
      </c>
      <c r="J2967">
        <f t="shared" si="189"/>
        <v>0</v>
      </c>
      <c r="K2967">
        <f t="shared" si="189"/>
        <v>0</v>
      </c>
      <c r="M2967" t="str" cm="1">
        <f t="array" ref="M2967">IFERROR(INDEX($I$2:$K$2,0,MATCH(TRUE,I2967:K2967,0)),E2967)</f>
        <v>Gas_Steam_only</v>
      </c>
      <c r="O2967" t="str">
        <f t="shared" si="187"/>
        <v>Gas_Steam_only_2021</v>
      </c>
      <c r="P2967">
        <f t="shared" si="188"/>
        <v>475</v>
      </c>
    </row>
    <row r="2968" spans="4:16" x14ac:dyDescent="0.25">
      <c r="D2968">
        <v>2022</v>
      </c>
      <c r="E2968" t="s">
        <v>348</v>
      </c>
      <c r="F2968" t="s">
        <v>351</v>
      </c>
      <c r="G2968">
        <v>475</v>
      </c>
      <c r="I2968">
        <f t="shared" si="189"/>
        <v>0</v>
      </c>
      <c r="J2968">
        <f t="shared" si="189"/>
        <v>0</v>
      </c>
      <c r="K2968">
        <f t="shared" si="189"/>
        <v>0</v>
      </c>
      <c r="M2968" t="str" cm="1">
        <f t="array" ref="M2968">IFERROR(INDEX($I$2:$K$2,0,MATCH(TRUE,I2968:K2968,0)),E2968)</f>
        <v>Gas_Steam_only</v>
      </c>
      <c r="O2968" t="str">
        <f t="shared" si="187"/>
        <v>Gas_Steam_only_2022</v>
      </c>
      <c r="P2968">
        <f t="shared" si="188"/>
        <v>475</v>
      </c>
    </row>
    <row r="2969" spans="4:16" x14ac:dyDescent="0.25">
      <c r="D2969">
        <v>2023</v>
      </c>
      <c r="E2969" t="s">
        <v>348</v>
      </c>
      <c r="F2969" t="s">
        <v>351</v>
      </c>
      <c r="G2969">
        <v>475</v>
      </c>
      <c r="I2969">
        <f t="shared" si="189"/>
        <v>0</v>
      </c>
      <c r="J2969">
        <f t="shared" si="189"/>
        <v>0</v>
      </c>
      <c r="K2969">
        <f t="shared" si="189"/>
        <v>0</v>
      </c>
      <c r="M2969" t="str" cm="1">
        <f t="array" ref="M2969">IFERROR(INDEX($I$2:$K$2,0,MATCH(TRUE,I2969:K2969,0)),E2969)</f>
        <v>Gas_Steam_only</v>
      </c>
      <c r="O2969" t="str">
        <f t="shared" si="187"/>
        <v>Gas_Steam_only_2023</v>
      </c>
      <c r="P2969">
        <f t="shared" si="188"/>
        <v>475</v>
      </c>
    </row>
    <row r="2970" spans="4:16" x14ac:dyDescent="0.25">
      <c r="D2970">
        <v>2024</v>
      </c>
      <c r="E2970" t="s">
        <v>348</v>
      </c>
      <c r="F2970" t="s">
        <v>351</v>
      </c>
      <c r="G2970">
        <v>475</v>
      </c>
      <c r="I2970">
        <f t="shared" si="189"/>
        <v>0</v>
      </c>
      <c r="J2970">
        <f t="shared" si="189"/>
        <v>0</v>
      </c>
      <c r="K2970">
        <f t="shared" si="189"/>
        <v>0</v>
      </c>
      <c r="M2970" t="str" cm="1">
        <f t="array" ref="M2970">IFERROR(INDEX($I$2:$K$2,0,MATCH(TRUE,I2970:K2970,0)),E2970)</f>
        <v>Gas_Steam_only</v>
      </c>
      <c r="O2970" t="str">
        <f t="shared" si="187"/>
        <v>Gas_Steam_only_2024</v>
      </c>
      <c r="P2970">
        <f t="shared" si="188"/>
        <v>475</v>
      </c>
    </row>
    <row r="2971" spans="4:16" x14ac:dyDescent="0.25">
      <c r="D2971">
        <v>2021</v>
      </c>
      <c r="E2971" t="s">
        <v>348</v>
      </c>
      <c r="F2971" t="s">
        <v>352</v>
      </c>
      <c r="G2971">
        <v>440</v>
      </c>
      <c r="I2971">
        <f t="shared" si="189"/>
        <v>0</v>
      </c>
      <c r="J2971">
        <f t="shared" si="189"/>
        <v>0</v>
      </c>
      <c r="K2971">
        <f t="shared" si="189"/>
        <v>0</v>
      </c>
      <c r="M2971" t="str" cm="1">
        <f t="array" ref="M2971">IFERROR(INDEX($I$2:$K$2,0,MATCH(TRUE,I2971:K2971,0)),E2971)</f>
        <v>Gas_Steam_only</v>
      </c>
      <c r="O2971" t="str">
        <f t="shared" si="187"/>
        <v>Gas_Steam_only_2021</v>
      </c>
      <c r="P2971">
        <f t="shared" si="188"/>
        <v>440</v>
      </c>
    </row>
    <row r="2972" spans="4:16" x14ac:dyDescent="0.25">
      <c r="D2972">
        <v>2022</v>
      </c>
      <c r="E2972" t="s">
        <v>348</v>
      </c>
      <c r="F2972" t="s">
        <v>352</v>
      </c>
      <c r="G2972">
        <v>440</v>
      </c>
      <c r="I2972">
        <f t="shared" si="189"/>
        <v>0</v>
      </c>
      <c r="J2972">
        <f t="shared" si="189"/>
        <v>0</v>
      </c>
      <c r="K2972">
        <f t="shared" si="189"/>
        <v>0</v>
      </c>
      <c r="M2972" t="str" cm="1">
        <f t="array" ref="M2972">IFERROR(INDEX($I$2:$K$2,0,MATCH(TRUE,I2972:K2972,0)),E2972)</f>
        <v>Gas_Steam_only</v>
      </c>
      <c r="O2972" t="str">
        <f t="shared" si="187"/>
        <v>Gas_Steam_only_2022</v>
      </c>
      <c r="P2972">
        <f t="shared" si="188"/>
        <v>440</v>
      </c>
    </row>
    <row r="2973" spans="4:16" x14ac:dyDescent="0.25">
      <c r="D2973">
        <v>2023</v>
      </c>
      <c r="E2973" t="s">
        <v>348</v>
      </c>
      <c r="F2973" t="s">
        <v>352</v>
      </c>
      <c r="G2973">
        <v>440</v>
      </c>
      <c r="I2973">
        <f t="shared" si="189"/>
        <v>0</v>
      </c>
      <c r="J2973">
        <f t="shared" si="189"/>
        <v>0</v>
      </c>
      <c r="K2973">
        <f t="shared" si="189"/>
        <v>0</v>
      </c>
      <c r="M2973" t="str" cm="1">
        <f t="array" ref="M2973">IFERROR(INDEX($I$2:$K$2,0,MATCH(TRUE,I2973:K2973,0)),E2973)</f>
        <v>Gas_Steam_only</v>
      </c>
      <c r="O2973" t="str">
        <f t="shared" si="187"/>
        <v>Gas_Steam_only_2023</v>
      </c>
      <c r="P2973">
        <f t="shared" si="188"/>
        <v>440</v>
      </c>
    </row>
    <row r="2974" spans="4:16" x14ac:dyDescent="0.25">
      <c r="D2974">
        <v>2024</v>
      </c>
      <c r="E2974" t="s">
        <v>348</v>
      </c>
      <c r="F2974" t="s">
        <v>352</v>
      </c>
      <c r="G2974">
        <v>440</v>
      </c>
      <c r="I2974">
        <f t="shared" si="189"/>
        <v>0</v>
      </c>
      <c r="J2974">
        <f t="shared" si="189"/>
        <v>0</v>
      </c>
      <c r="K2974">
        <f t="shared" si="189"/>
        <v>0</v>
      </c>
      <c r="M2974" t="str" cm="1">
        <f t="array" ref="M2974">IFERROR(INDEX($I$2:$K$2,0,MATCH(TRUE,I2974:K2974,0)),E2974)</f>
        <v>Gas_Steam_only</v>
      </c>
      <c r="O2974" t="str">
        <f t="shared" si="187"/>
        <v>Gas_Steam_only_2024</v>
      </c>
      <c r="P2974">
        <f t="shared" si="188"/>
        <v>440</v>
      </c>
    </row>
    <row r="2975" spans="4:16" x14ac:dyDescent="0.25">
      <c r="D2975">
        <v>2025</v>
      </c>
      <c r="E2975" t="s">
        <v>348</v>
      </c>
      <c r="F2975" t="s">
        <v>352</v>
      </c>
      <c r="G2975">
        <v>440</v>
      </c>
      <c r="I2975">
        <f t="shared" si="189"/>
        <v>0</v>
      </c>
      <c r="J2975">
        <f t="shared" si="189"/>
        <v>0</v>
      </c>
      <c r="K2975">
        <f t="shared" si="189"/>
        <v>0</v>
      </c>
      <c r="M2975" t="str" cm="1">
        <f t="array" ref="M2975">IFERROR(INDEX($I$2:$K$2,0,MATCH(TRUE,I2975:K2975,0)),E2975)</f>
        <v>Gas_Steam_only</v>
      </c>
      <c r="O2975" t="str">
        <f t="shared" si="187"/>
        <v>Gas_Steam_only_2025</v>
      </c>
      <c r="P2975">
        <f t="shared" si="188"/>
        <v>440</v>
      </c>
    </row>
    <row r="2976" spans="4:16" x14ac:dyDescent="0.25">
      <c r="D2976">
        <v>2021</v>
      </c>
      <c r="E2976" t="s">
        <v>348</v>
      </c>
      <c r="F2976" t="s">
        <v>353</v>
      </c>
      <c r="G2976">
        <v>383</v>
      </c>
      <c r="I2976">
        <f t="shared" si="189"/>
        <v>0</v>
      </c>
      <c r="J2976">
        <f t="shared" si="189"/>
        <v>0</v>
      </c>
      <c r="K2976">
        <f t="shared" si="189"/>
        <v>0</v>
      </c>
      <c r="M2976" t="str" cm="1">
        <f t="array" ref="M2976">IFERROR(INDEX($I$2:$K$2,0,MATCH(TRUE,I2976:K2976,0)),E2976)</f>
        <v>Gas_Steam_only</v>
      </c>
      <c r="O2976" t="str">
        <f t="shared" si="187"/>
        <v>Gas_Steam_only_2021</v>
      </c>
      <c r="P2976">
        <f t="shared" si="188"/>
        <v>383</v>
      </c>
    </row>
    <row r="2977" spans="4:16" x14ac:dyDescent="0.25">
      <c r="D2977">
        <v>2022</v>
      </c>
      <c r="E2977" t="s">
        <v>348</v>
      </c>
      <c r="F2977" t="s">
        <v>353</v>
      </c>
      <c r="G2977">
        <v>383</v>
      </c>
      <c r="I2977">
        <f t="shared" si="189"/>
        <v>0</v>
      </c>
      <c r="J2977">
        <f t="shared" si="189"/>
        <v>0</v>
      </c>
      <c r="K2977">
        <f t="shared" si="189"/>
        <v>0</v>
      </c>
      <c r="M2977" t="str" cm="1">
        <f t="array" ref="M2977">IFERROR(INDEX($I$2:$K$2,0,MATCH(TRUE,I2977:K2977,0)),E2977)</f>
        <v>Gas_Steam_only</v>
      </c>
      <c r="O2977" t="str">
        <f t="shared" si="187"/>
        <v>Gas_Steam_only_2022</v>
      </c>
      <c r="P2977">
        <f t="shared" si="188"/>
        <v>383</v>
      </c>
    </row>
    <row r="2978" spans="4:16" x14ac:dyDescent="0.25">
      <c r="D2978">
        <v>2022</v>
      </c>
      <c r="E2978" t="s">
        <v>348</v>
      </c>
      <c r="F2978" t="s">
        <v>354</v>
      </c>
      <c r="G2978">
        <v>0</v>
      </c>
      <c r="I2978">
        <f t="shared" si="189"/>
        <v>0</v>
      </c>
      <c r="J2978">
        <f t="shared" si="189"/>
        <v>0</v>
      </c>
      <c r="K2978">
        <f t="shared" si="189"/>
        <v>0</v>
      </c>
      <c r="M2978" t="str" cm="1">
        <f t="array" ref="M2978">IFERROR(INDEX($I$2:$K$2,0,MATCH(TRUE,I2978:K2978,0)),E2978)</f>
        <v>Gas_Steam_only</v>
      </c>
      <c r="O2978" t="str">
        <f t="shared" si="187"/>
        <v>Gas_Steam_only_2022</v>
      </c>
      <c r="P2978">
        <f t="shared" si="188"/>
        <v>0</v>
      </c>
    </row>
    <row r="2979" spans="4:16" x14ac:dyDescent="0.25">
      <c r="D2979">
        <v>2023</v>
      </c>
      <c r="E2979" t="s">
        <v>348</v>
      </c>
      <c r="F2979" t="s">
        <v>354</v>
      </c>
      <c r="G2979">
        <v>230</v>
      </c>
      <c r="I2979">
        <f t="shared" si="189"/>
        <v>0</v>
      </c>
      <c r="J2979">
        <f t="shared" si="189"/>
        <v>0</v>
      </c>
      <c r="K2979">
        <f t="shared" si="189"/>
        <v>0</v>
      </c>
      <c r="M2979" t="str" cm="1">
        <f t="array" ref="M2979">IFERROR(INDEX($I$2:$K$2,0,MATCH(TRUE,I2979:K2979,0)),E2979)</f>
        <v>Gas_Steam_only</v>
      </c>
      <c r="O2979" t="str">
        <f t="shared" si="187"/>
        <v>Gas_Steam_only_2023</v>
      </c>
      <c r="P2979">
        <f t="shared" si="188"/>
        <v>230</v>
      </c>
    </row>
    <row r="2980" spans="4:16" x14ac:dyDescent="0.25">
      <c r="D2980">
        <v>2024</v>
      </c>
      <c r="E2980" t="s">
        <v>348</v>
      </c>
      <c r="F2980" t="s">
        <v>354</v>
      </c>
      <c r="G2980">
        <v>230</v>
      </c>
      <c r="I2980">
        <f t="shared" si="189"/>
        <v>0</v>
      </c>
      <c r="J2980">
        <f t="shared" si="189"/>
        <v>0</v>
      </c>
      <c r="K2980">
        <f t="shared" si="189"/>
        <v>0</v>
      </c>
      <c r="M2980" t="str" cm="1">
        <f t="array" ref="M2980">IFERROR(INDEX($I$2:$K$2,0,MATCH(TRUE,I2980:K2980,0)),E2980)</f>
        <v>Gas_Steam_only</v>
      </c>
      <c r="O2980" t="str">
        <f t="shared" si="187"/>
        <v>Gas_Steam_only_2024</v>
      </c>
      <c r="P2980">
        <f t="shared" si="188"/>
        <v>230</v>
      </c>
    </row>
    <row r="2981" spans="4:16" x14ac:dyDescent="0.25">
      <c r="D2981">
        <v>2025</v>
      </c>
      <c r="E2981" t="s">
        <v>348</v>
      </c>
      <c r="F2981" t="s">
        <v>354</v>
      </c>
      <c r="G2981">
        <v>230</v>
      </c>
      <c r="I2981">
        <f t="shared" si="189"/>
        <v>0</v>
      </c>
      <c r="J2981">
        <f t="shared" si="189"/>
        <v>0</v>
      </c>
      <c r="K2981">
        <f t="shared" si="189"/>
        <v>0</v>
      </c>
      <c r="M2981" t="str" cm="1">
        <f t="array" ref="M2981">IFERROR(INDEX($I$2:$K$2,0,MATCH(TRUE,I2981:K2981,0)),E2981)</f>
        <v>Gas_Steam_only</v>
      </c>
      <c r="O2981" t="str">
        <f t="shared" si="187"/>
        <v>Gas_Steam_only_2025</v>
      </c>
      <c r="P2981">
        <f t="shared" si="188"/>
        <v>230</v>
      </c>
    </row>
    <row r="2982" spans="4:16" x14ac:dyDescent="0.25">
      <c r="D2982">
        <v>2026</v>
      </c>
      <c r="E2982" t="s">
        <v>348</v>
      </c>
      <c r="F2982" t="s">
        <v>354</v>
      </c>
      <c r="G2982">
        <v>230</v>
      </c>
      <c r="I2982">
        <f t="shared" si="189"/>
        <v>0</v>
      </c>
      <c r="J2982">
        <f t="shared" si="189"/>
        <v>0</v>
      </c>
      <c r="K2982">
        <f t="shared" si="189"/>
        <v>0</v>
      </c>
      <c r="M2982" t="str" cm="1">
        <f t="array" ref="M2982">IFERROR(INDEX($I$2:$K$2,0,MATCH(TRUE,I2982:K2982,0)),E2982)</f>
        <v>Gas_Steam_only</v>
      </c>
      <c r="O2982" t="str">
        <f t="shared" si="187"/>
        <v>Gas_Steam_only_2026</v>
      </c>
      <c r="P2982">
        <f t="shared" si="188"/>
        <v>230</v>
      </c>
    </row>
    <row r="2983" spans="4:16" x14ac:dyDescent="0.25">
      <c r="D2983">
        <v>2027</v>
      </c>
      <c r="E2983" t="s">
        <v>348</v>
      </c>
      <c r="F2983" t="s">
        <v>354</v>
      </c>
      <c r="G2983">
        <v>230</v>
      </c>
      <c r="I2983">
        <f t="shared" si="189"/>
        <v>0</v>
      </c>
      <c r="J2983">
        <f t="shared" si="189"/>
        <v>0</v>
      </c>
      <c r="K2983">
        <f t="shared" si="189"/>
        <v>0</v>
      </c>
      <c r="M2983" t="str" cm="1">
        <f t="array" ref="M2983">IFERROR(INDEX($I$2:$K$2,0,MATCH(TRUE,I2983:K2983,0)),E2983)</f>
        <v>Gas_Steam_only</v>
      </c>
      <c r="O2983" t="str">
        <f t="shared" si="187"/>
        <v>Gas_Steam_only_2027</v>
      </c>
      <c r="P2983">
        <f t="shared" si="188"/>
        <v>230</v>
      </c>
    </row>
    <row r="2984" spans="4:16" x14ac:dyDescent="0.25">
      <c r="D2984">
        <v>2028</v>
      </c>
      <c r="E2984" t="s">
        <v>348</v>
      </c>
      <c r="F2984" t="s">
        <v>354</v>
      </c>
      <c r="G2984">
        <v>230</v>
      </c>
      <c r="I2984">
        <f t="shared" si="189"/>
        <v>0</v>
      </c>
      <c r="J2984">
        <f t="shared" si="189"/>
        <v>0</v>
      </c>
      <c r="K2984">
        <f t="shared" si="189"/>
        <v>0</v>
      </c>
      <c r="M2984" t="str" cm="1">
        <f t="array" ref="M2984">IFERROR(INDEX($I$2:$K$2,0,MATCH(TRUE,I2984:K2984,0)),E2984)</f>
        <v>Gas_Steam_only</v>
      </c>
      <c r="O2984" t="str">
        <f t="shared" si="187"/>
        <v>Gas_Steam_only_2028</v>
      </c>
      <c r="P2984">
        <f t="shared" si="188"/>
        <v>230</v>
      </c>
    </row>
    <row r="2985" spans="4:16" x14ac:dyDescent="0.25">
      <c r="D2985">
        <v>2029</v>
      </c>
      <c r="E2985" t="s">
        <v>348</v>
      </c>
      <c r="F2985" t="s">
        <v>354</v>
      </c>
      <c r="G2985">
        <v>230</v>
      </c>
      <c r="I2985">
        <f t="shared" si="189"/>
        <v>0</v>
      </c>
      <c r="J2985">
        <f t="shared" si="189"/>
        <v>0</v>
      </c>
      <c r="K2985">
        <f t="shared" si="189"/>
        <v>0</v>
      </c>
      <c r="M2985" t="str" cm="1">
        <f t="array" ref="M2985">IFERROR(INDEX($I$2:$K$2,0,MATCH(TRUE,I2985:K2985,0)),E2985)</f>
        <v>Gas_Steam_only</v>
      </c>
      <c r="O2985" t="str">
        <f t="shared" si="187"/>
        <v>Gas_Steam_only_2029</v>
      </c>
      <c r="P2985">
        <f t="shared" si="188"/>
        <v>230</v>
      </c>
    </row>
    <row r="2986" spans="4:16" x14ac:dyDescent="0.25">
      <c r="D2986">
        <v>2030</v>
      </c>
      <c r="E2986" t="s">
        <v>348</v>
      </c>
      <c r="F2986" t="s">
        <v>354</v>
      </c>
      <c r="G2986">
        <v>230</v>
      </c>
      <c r="I2986">
        <f t="shared" si="189"/>
        <v>0</v>
      </c>
      <c r="J2986">
        <f t="shared" si="189"/>
        <v>0</v>
      </c>
      <c r="K2986">
        <f t="shared" si="189"/>
        <v>0</v>
      </c>
      <c r="M2986" t="str" cm="1">
        <f t="array" ref="M2986">IFERROR(INDEX($I$2:$K$2,0,MATCH(TRUE,I2986:K2986,0)),E2986)</f>
        <v>Gas_Steam_only</v>
      </c>
      <c r="O2986" t="str">
        <f t="shared" si="187"/>
        <v>Gas_Steam_only_2030</v>
      </c>
      <c r="P2986">
        <f t="shared" si="188"/>
        <v>230</v>
      </c>
    </row>
    <row r="2987" spans="4:16" x14ac:dyDescent="0.25">
      <c r="D2987">
        <v>2031</v>
      </c>
      <c r="E2987" t="s">
        <v>348</v>
      </c>
      <c r="F2987" t="s">
        <v>354</v>
      </c>
      <c r="G2987">
        <v>230</v>
      </c>
      <c r="I2987">
        <f t="shared" si="189"/>
        <v>0</v>
      </c>
      <c r="J2987">
        <f t="shared" si="189"/>
        <v>0</v>
      </c>
      <c r="K2987">
        <f t="shared" si="189"/>
        <v>0</v>
      </c>
      <c r="M2987" t="str" cm="1">
        <f t="array" ref="M2987">IFERROR(INDEX($I$2:$K$2,0,MATCH(TRUE,I2987:K2987,0)),E2987)</f>
        <v>Gas_Steam_only</v>
      </c>
      <c r="O2987" t="str">
        <f t="shared" si="187"/>
        <v>Gas_Steam_only_2031</v>
      </c>
      <c r="P2987">
        <f t="shared" si="188"/>
        <v>230</v>
      </c>
    </row>
    <row r="2988" spans="4:16" x14ac:dyDescent="0.25">
      <c r="D2988">
        <v>2032</v>
      </c>
      <c r="E2988" t="s">
        <v>348</v>
      </c>
      <c r="F2988" t="s">
        <v>354</v>
      </c>
      <c r="G2988">
        <v>230</v>
      </c>
      <c r="I2988">
        <f t="shared" si="189"/>
        <v>0</v>
      </c>
      <c r="J2988">
        <f t="shared" si="189"/>
        <v>0</v>
      </c>
      <c r="K2988">
        <f t="shared" si="189"/>
        <v>0</v>
      </c>
      <c r="M2988" t="str" cm="1">
        <f t="array" ref="M2988">IFERROR(INDEX($I$2:$K$2,0,MATCH(TRUE,I2988:K2988,0)),E2988)</f>
        <v>Gas_Steam_only</v>
      </c>
      <c r="O2988" t="str">
        <f t="shared" si="187"/>
        <v>Gas_Steam_only_2032</v>
      </c>
      <c r="P2988">
        <f t="shared" si="188"/>
        <v>230</v>
      </c>
    </row>
    <row r="2989" spans="4:16" x14ac:dyDescent="0.25">
      <c r="D2989">
        <v>2033</v>
      </c>
      <c r="E2989" t="s">
        <v>348</v>
      </c>
      <c r="F2989" t="s">
        <v>354</v>
      </c>
      <c r="G2989">
        <v>230</v>
      </c>
      <c r="I2989">
        <f t="shared" si="189"/>
        <v>0</v>
      </c>
      <c r="J2989">
        <f t="shared" si="189"/>
        <v>0</v>
      </c>
      <c r="K2989">
        <f t="shared" si="189"/>
        <v>0</v>
      </c>
      <c r="M2989" t="str" cm="1">
        <f t="array" ref="M2989">IFERROR(INDEX($I$2:$K$2,0,MATCH(TRUE,I2989:K2989,0)),E2989)</f>
        <v>Gas_Steam_only</v>
      </c>
      <c r="O2989" t="str">
        <f t="shared" si="187"/>
        <v>Gas_Steam_only_2033</v>
      </c>
      <c r="P2989">
        <f t="shared" si="188"/>
        <v>230</v>
      </c>
    </row>
    <row r="2990" spans="4:16" x14ac:dyDescent="0.25">
      <c r="D2990">
        <v>2034</v>
      </c>
      <c r="E2990" t="s">
        <v>348</v>
      </c>
      <c r="F2990" t="s">
        <v>354</v>
      </c>
      <c r="G2990">
        <v>230</v>
      </c>
      <c r="I2990">
        <f t="shared" si="189"/>
        <v>0</v>
      </c>
      <c r="J2990">
        <f t="shared" si="189"/>
        <v>0</v>
      </c>
      <c r="K2990">
        <f t="shared" si="189"/>
        <v>0</v>
      </c>
      <c r="M2990" t="str" cm="1">
        <f t="array" ref="M2990">IFERROR(INDEX($I$2:$K$2,0,MATCH(TRUE,I2990:K2990,0)),E2990)</f>
        <v>Gas_Steam_only</v>
      </c>
      <c r="O2990" t="str">
        <f t="shared" si="187"/>
        <v>Gas_Steam_only_2034</v>
      </c>
      <c r="P2990">
        <f t="shared" si="188"/>
        <v>230</v>
      </c>
    </row>
    <row r="2991" spans="4:16" x14ac:dyDescent="0.25">
      <c r="D2991">
        <v>2035</v>
      </c>
      <c r="E2991" t="s">
        <v>348</v>
      </c>
      <c r="F2991" t="s">
        <v>354</v>
      </c>
      <c r="G2991">
        <v>230</v>
      </c>
      <c r="I2991">
        <f t="shared" si="189"/>
        <v>0</v>
      </c>
      <c r="J2991">
        <f t="shared" si="189"/>
        <v>0</v>
      </c>
      <c r="K2991">
        <f t="shared" si="189"/>
        <v>0</v>
      </c>
      <c r="M2991" t="str" cm="1">
        <f t="array" ref="M2991">IFERROR(INDEX($I$2:$K$2,0,MATCH(TRUE,I2991:K2991,0)),E2991)</f>
        <v>Gas_Steam_only</v>
      </c>
      <c r="O2991" t="str">
        <f t="shared" si="187"/>
        <v>Gas_Steam_only_2035</v>
      </c>
      <c r="P2991">
        <f t="shared" si="188"/>
        <v>230</v>
      </c>
    </row>
    <row r="2992" spans="4:16" x14ac:dyDescent="0.25">
      <c r="D2992">
        <v>2036</v>
      </c>
      <c r="E2992" t="s">
        <v>348</v>
      </c>
      <c r="F2992" t="s">
        <v>354</v>
      </c>
      <c r="G2992">
        <v>230</v>
      </c>
      <c r="I2992">
        <f t="shared" si="189"/>
        <v>0</v>
      </c>
      <c r="J2992">
        <f t="shared" si="189"/>
        <v>0</v>
      </c>
      <c r="K2992">
        <f t="shared" si="189"/>
        <v>0</v>
      </c>
      <c r="M2992" t="str" cm="1">
        <f t="array" ref="M2992">IFERROR(INDEX($I$2:$K$2,0,MATCH(TRUE,I2992:K2992,0)),E2992)</f>
        <v>Gas_Steam_only</v>
      </c>
      <c r="O2992" t="str">
        <f t="shared" si="187"/>
        <v>Gas_Steam_only_2036</v>
      </c>
      <c r="P2992">
        <f t="shared" si="188"/>
        <v>230</v>
      </c>
    </row>
    <row r="2993" spans="4:16" x14ac:dyDescent="0.25">
      <c r="D2993">
        <v>2037</v>
      </c>
      <c r="E2993" t="s">
        <v>348</v>
      </c>
      <c r="F2993" t="s">
        <v>354</v>
      </c>
      <c r="G2993">
        <v>230</v>
      </c>
      <c r="I2993">
        <f t="shared" si="189"/>
        <v>0</v>
      </c>
      <c r="J2993">
        <f t="shared" si="189"/>
        <v>0</v>
      </c>
      <c r="K2993">
        <f t="shared" si="189"/>
        <v>0</v>
      </c>
      <c r="M2993" t="str" cm="1">
        <f t="array" ref="M2993">IFERROR(INDEX($I$2:$K$2,0,MATCH(TRUE,I2993:K2993,0)),E2993)</f>
        <v>Gas_Steam_only</v>
      </c>
      <c r="O2993" t="str">
        <f t="shared" si="187"/>
        <v>Gas_Steam_only_2037</v>
      </c>
      <c r="P2993">
        <f t="shared" si="188"/>
        <v>230</v>
      </c>
    </row>
    <row r="2994" spans="4:16" x14ac:dyDescent="0.25">
      <c r="D2994">
        <v>2038</v>
      </c>
      <c r="E2994" t="s">
        <v>348</v>
      </c>
      <c r="F2994" t="s">
        <v>354</v>
      </c>
      <c r="G2994">
        <v>230</v>
      </c>
      <c r="I2994">
        <f t="shared" si="189"/>
        <v>0</v>
      </c>
      <c r="J2994">
        <f t="shared" si="189"/>
        <v>0</v>
      </c>
      <c r="K2994">
        <f t="shared" si="189"/>
        <v>0</v>
      </c>
      <c r="M2994" t="str" cm="1">
        <f t="array" ref="M2994">IFERROR(INDEX($I$2:$K$2,0,MATCH(TRUE,I2994:K2994,0)),E2994)</f>
        <v>Gas_Steam_only</v>
      </c>
      <c r="O2994" t="str">
        <f t="shared" si="187"/>
        <v>Gas_Steam_only_2038</v>
      </c>
      <c r="P2994">
        <f t="shared" si="188"/>
        <v>230</v>
      </c>
    </row>
    <row r="2995" spans="4:16" x14ac:dyDescent="0.25">
      <c r="D2995">
        <v>2039</v>
      </c>
      <c r="E2995" t="s">
        <v>348</v>
      </c>
      <c r="F2995" t="s">
        <v>354</v>
      </c>
      <c r="G2995">
        <v>230</v>
      </c>
      <c r="I2995">
        <f t="shared" si="189"/>
        <v>0</v>
      </c>
      <c r="J2995">
        <f t="shared" si="189"/>
        <v>0</v>
      </c>
      <c r="K2995">
        <f t="shared" si="189"/>
        <v>0</v>
      </c>
      <c r="M2995" t="str" cm="1">
        <f t="array" ref="M2995">IFERROR(INDEX($I$2:$K$2,0,MATCH(TRUE,I2995:K2995,0)),E2995)</f>
        <v>Gas_Steam_only</v>
      </c>
      <c r="O2995" t="str">
        <f t="shared" si="187"/>
        <v>Gas_Steam_only_2039</v>
      </c>
      <c r="P2995">
        <f t="shared" si="188"/>
        <v>230</v>
      </c>
    </row>
    <row r="2996" spans="4:16" x14ac:dyDescent="0.25">
      <c r="D2996">
        <v>2040</v>
      </c>
      <c r="E2996" t="s">
        <v>348</v>
      </c>
      <c r="F2996" t="s">
        <v>354</v>
      </c>
      <c r="G2996">
        <v>230</v>
      </c>
      <c r="I2996">
        <f t="shared" si="189"/>
        <v>0</v>
      </c>
      <c r="J2996">
        <f t="shared" si="189"/>
        <v>0</v>
      </c>
      <c r="K2996">
        <f t="shared" si="189"/>
        <v>0</v>
      </c>
      <c r="M2996" t="str" cm="1">
        <f t="array" ref="M2996">IFERROR(INDEX($I$2:$K$2,0,MATCH(TRUE,I2996:K2996,0)),E2996)</f>
        <v>Gas_Steam_only</v>
      </c>
      <c r="O2996" t="str">
        <f t="shared" si="187"/>
        <v>Gas_Steam_only_2040</v>
      </c>
      <c r="P2996">
        <f t="shared" si="188"/>
        <v>230</v>
      </c>
    </row>
    <row r="2997" spans="4:16" x14ac:dyDescent="0.25">
      <c r="D2997">
        <v>2021</v>
      </c>
      <c r="E2997" t="s">
        <v>348</v>
      </c>
      <c r="F2997" t="s">
        <v>355</v>
      </c>
      <c r="G2997">
        <v>52.9</v>
      </c>
      <c r="I2997">
        <f t="shared" si="189"/>
        <v>0</v>
      </c>
      <c r="J2997">
        <f t="shared" si="189"/>
        <v>0</v>
      </c>
      <c r="K2997">
        <f t="shared" si="189"/>
        <v>0</v>
      </c>
      <c r="M2997" t="str" cm="1">
        <f t="array" ref="M2997">IFERROR(INDEX($I$2:$K$2,0,MATCH(TRUE,I2997:K2997,0)),E2997)</f>
        <v>Gas_Steam_only</v>
      </c>
      <c r="O2997" t="str">
        <f t="shared" si="187"/>
        <v>Gas_Steam_only_2021</v>
      </c>
      <c r="P2997">
        <f t="shared" si="188"/>
        <v>52.9</v>
      </c>
    </row>
    <row r="2998" spans="4:16" x14ac:dyDescent="0.25">
      <c r="D2998">
        <v>2022</v>
      </c>
      <c r="E2998" t="s">
        <v>348</v>
      </c>
      <c r="F2998" t="s">
        <v>355</v>
      </c>
      <c r="G2998">
        <v>52.9</v>
      </c>
      <c r="I2998">
        <f t="shared" si="189"/>
        <v>0</v>
      </c>
      <c r="J2998">
        <f t="shared" si="189"/>
        <v>0</v>
      </c>
      <c r="K2998">
        <f t="shared" si="189"/>
        <v>0</v>
      </c>
      <c r="M2998" t="str" cm="1">
        <f t="array" ref="M2998">IFERROR(INDEX($I$2:$K$2,0,MATCH(TRUE,I2998:K2998,0)),E2998)</f>
        <v>Gas_Steam_only</v>
      </c>
      <c r="O2998" t="str">
        <f t="shared" si="187"/>
        <v>Gas_Steam_only_2022</v>
      </c>
      <c r="P2998">
        <f t="shared" si="188"/>
        <v>52.9</v>
      </c>
    </row>
    <row r="2999" spans="4:16" x14ac:dyDescent="0.25">
      <c r="D2999">
        <v>2023</v>
      </c>
      <c r="E2999" t="s">
        <v>348</v>
      </c>
      <c r="F2999" t="s">
        <v>355</v>
      </c>
      <c r="G2999">
        <v>52.9</v>
      </c>
      <c r="I2999">
        <f t="shared" si="189"/>
        <v>0</v>
      </c>
      <c r="J2999">
        <f t="shared" si="189"/>
        <v>0</v>
      </c>
      <c r="K2999">
        <f t="shared" si="189"/>
        <v>0</v>
      </c>
      <c r="M2999" t="str" cm="1">
        <f t="array" ref="M2999">IFERROR(INDEX($I$2:$K$2,0,MATCH(TRUE,I2999:K2999,0)),E2999)</f>
        <v>Gas_Steam_only</v>
      </c>
      <c r="O2999" t="str">
        <f t="shared" si="187"/>
        <v>Gas_Steam_only_2023</v>
      </c>
      <c r="P2999">
        <f t="shared" si="188"/>
        <v>52.9</v>
      </c>
    </row>
    <row r="3000" spans="4:16" x14ac:dyDescent="0.25">
      <c r="D3000">
        <v>2024</v>
      </c>
      <c r="E3000" t="s">
        <v>348</v>
      </c>
      <c r="F3000" t="s">
        <v>355</v>
      </c>
      <c r="G3000">
        <v>52.9</v>
      </c>
      <c r="I3000">
        <f t="shared" si="189"/>
        <v>0</v>
      </c>
      <c r="J3000">
        <f t="shared" si="189"/>
        <v>0</v>
      </c>
      <c r="K3000">
        <f t="shared" si="189"/>
        <v>0</v>
      </c>
      <c r="M3000" t="str" cm="1">
        <f t="array" ref="M3000">IFERROR(INDEX($I$2:$K$2,0,MATCH(TRUE,I3000:K3000,0)),E3000)</f>
        <v>Gas_Steam_only</v>
      </c>
      <c r="O3000" t="str">
        <f t="shared" si="187"/>
        <v>Gas_Steam_only_2024</v>
      </c>
      <c r="P3000">
        <f t="shared" si="188"/>
        <v>52.9</v>
      </c>
    </row>
    <row r="3001" spans="4:16" x14ac:dyDescent="0.25">
      <c r="D3001">
        <v>2025</v>
      </c>
      <c r="E3001" t="s">
        <v>348</v>
      </c>
      <c r="F3001" t="s">
        <v>355</v>
      </c>
      <c r="G3001">
        <v>52.9</v>
      </c>
      <c r="I3001">
        <f t="shared" si="189"/>
        <v>0</v>
      </c>
      <c r="J3001">
        <f t="shared" si="189"/>
        <v>0</v>
      </c>
      <c r="K3001">
        <f t="shared" si="189"/>
        <v>0</v>
      </c>
      <c r="M3001" t="str" cm="1">
        <f t="array" ref="M3001">IFERROR(INDEX($I$2:$K$2,0,MATCH(TRUE,I3001:K3001,0)),E3001)</f>
        <v>Gas_Steam_only</v>
      </c>
      <c r="O3001" t="str">
        <f t="shared" si="187"/>
        <v>Gas_Steam_only_2025</v>
      </c>
      <c r="P3001">
        <f t="shared" si="188"/>
        <v>52.9</v>
      </c>
    </row>
    <row r="3002" spans="4:16" x14ac:dyDescent="0.25">
      <c r="D3002">
        <v>2026</v>
      </c>
      <c r="E3002" t="s">
        <v>348</v>
      </c>
      <c r="F3002" t="s">
        <v>355</v>
      </c>
      <c r="G3002">
        <v>52.9</v>
      </c>
      <c r="I3002">
        <f t="shared" si="189"/>
        <v>0</v>
      </c>
      <c r="J3002">
        <f t="shared" si="189"/>
        <v>0</v>
      </c>
      <c r="K3002">
        <f t="shared" si="189"/>
        <v>0</v>
      </c>
      <c r="M3002" t="str" cm="1">
        <f t="array" ref="M3002">IFERROR(INDEX($I$2:$K$2,0,MATCH(TRUE,I3002:K3002,0)),E3002)</f>
        <v>Gas_Steam_only</v>
      </c>
      <c r="O3002" t="str">
        <f t="shared" si="187"/>
        <v>Gas_Steam_only_2026</v>
      </c>
      <c r="P3002">
        <f t="shared" si="188"/>
        <v>52.9</v>
      </c>
    </row>
    <row r="3003" spans="4:16" x14ac:dyDescent="0.25">
      <c r="D3003">
        <v>2027</v>
      </c>
      <c r="E3003" t="s">
        <v>348</v>
      </c>
      <c r="F3003" t="s">
        <v>355</v>
      </c>
      <c r="G3003">
        <v>52.9</v>
      </c>
      <c r="I3003">
        <f t="shared" si="189"/>
        <v>0</v>
      </c>
      <c r="J3003">
        <f t="shared" si="189"/>
        <v>0</v>
      </c>
      <c r="K3003">
        <f t="shared" si="189"/>
        <v>0</v>
      </c>
      <c r="M3003" t="str" cm="1">
        <f t="array" ref="M3003">IFERROR(INDEX($I$2:$K$2,0,MATCH(TRUE,I3003:K3003,0)),E3003)</f>
        <v>Gas_Steam_only</v>
      </c>
      <c r="O3003" t="str">
        <f t="shared" si="187"/>
        <v>Gas_Steam_only_2027</v>
      </c>
      <c r="P3003">
        <f t="shared" si="188"/>
        <v>52.9</v>
      </c>
    </row>
    <row r="3004" spans="4:16" x14ac:dyDescent="0.25">
      <c r="D3004">
        <v>2028</v>
      </c>
      <c r="E3004" t="s">
        <v>348</v>
      </c>
      <c r="F3004" t="s">
        <v>355</v>
      </c>
      <c r="G3004">
        <v>52.9</v>
      </c>
      <c r="I3004">
        <f t="shared" si="189"/>
        <v>0</v>
      </c>
      <c r="J3004">
        <f t="shared" si="189"/>
        <v>0</v>
      </c>
      <c r="K3004">
        <f t="shared" si="189"/>
        <v>0</v>
      </c>
      <c r="M3004" t="str" cm="1">
        <f t="array" ref="M3004">IFERROR(INDEX($I$2:$K$2,0,MATCH(TRUE,I3004:K3004,0)),E3004)</f>
        <v>Gas_Steam_only</v>
      </c>
      <c r="O3004" t="str">
        <f t="shared" si="187"/>
        <v>Gas_Steam_only_2028</v>
      </c>
      <c r="P3004">
        <f t="shared" si="188"/>
        <v>52.9</v>
      </c>
    </row>
    <row r="3005" spans="4:16" x14ac:dyDescent="0.25">
      <c r="D3005">
        <v>2029</v>
      </c>
      <c r="E3005" t="s">
        <v>348</v>
      </c>
      <c r="F3005" t="s">
        <v>355</v>
      </c>
      <c r="G3005">
        <v>52.9</v>
      </c>
      <c r="I3005">
        <f t="shared" si="189"/>
        <v>0</v>
      </c>
      <c r="J3005">
        <f t="shared" si="189"/>
        <v>0</v>
      </c>
      <c r="K3005">
        <f t="shared" si="189"/>
        <v>0</v>
      </c>
      <c r="M3005" t="str" cm="1">
        <f t="array" ref="M3005">IFERROR(INDEX($I$2:$K$2,0,MATCH(TRUE,I3005:K3005,0)),E3005)</f>
        <v>Gas_Steam_only</v>
      </c>
      <c r="O3005" t="str">
        <f t="shared" si="187"/>
        <v>Gas_Steam_only_2029</v>
      </c>
      <c r="P3005">
        <f t="shared" si="188"/>
        <v>52.9</v>
      </c>
    </row>
    <row r="3006" spans="4:16" x14ac:dyDescent="0.25">
      <c r="D3006">
        <v>2030</v>
      </c>
      <c r="E3006" t="s">
        <v>348</v>
      </c>
      <c r="F3006" t="s">
        <v>355</v>
      </c>
      <c r="G3006">
        <v>52.9</v>
      </c>
      <c r="I3006">
        <f t="shared" si="189"/>
        <v>0</v>
      </c>
      <c r="J3006">
        <f t="shared" si="189"/>
        <v>0</v>
      </c>
      <c r="K3006">
        <f t="shared" si="189"/>
        <v>0</v>
      </c>
      <c r="M3006" t="str" cm="1">
        <f t="array" ref="M3006">IFERROR(INDEX($I$2:$K$2,0,MATCH(TRUE,I3006:K3006,0)),E3006)</f>
        <v>Gas_Steam_only</v>
      </c>
      <c r="O3006" t="str">
        <f t="shared" si="187"/>
        <v>Gas_Steam_only_2030</v>
      </c>
      <c r="P3006">
        <f t="shared" si="188"/>
        <v>52.9</v>
      </c>
    </row>
    <row r="3007" spans="4:16" x14ac:dyDescent="0.25">
      <c r="D3007">
        <v>2031</v>
      </c>
      <c r="E3007" t="s">
        <v>348</v>
      </c>
      <c r="F3007" t="s">
        <v>355</v>
      </c>
      <c r="G3007">
        <v>52.9</v>
      </c>
      <c r="I3007">
        <f t="shared" si="189"/>
        <v>0</v>
      </c>
      <c r="J3007">
        <f t="shared" si="189"/>
        <v>0</v>
      </c>
      <c r="K3007">
        <f t="shared" si="189"/>
        <v>0</v>
      </c>
      <c r="M3007" t="str" cm="1">
        <f t="array" ref="M3007">IFERROR(INDEX($I$2:$K$2,0,MATCH(TRUE,I3007:K3007,0)),E3007)</f>
        <v>Gas_Steam_only</v>
      </c>
      <c r="O3007" t="str">
        <f t="shared" si="187"/>
        <v>Gas_Steam_only_2031</v>
      </c>
      <c r="P3007">
        <f t="shared" si="188"/>
        <v>52.9</v>
      </c>
    </row>
    <row r="3008" spans="4:16" x14ac:dyDescent="0.25">
      <c r="D3008">
        <v>2032</v>
      </c>
      <c r="E3008" t="s">
        <v>348</v>
      </c>
      <c r="F3008" t="s">
        <v>355</v>
      </c>
      <c r="G3008">
        <v>52.9</v>
      </c>
      <c r="I3008">
        <f t="shared" si="189"/>
        <v>0</v>
      </c>
      <c r="J3008">
        <f t="shared" si="189"/>
        <v>0</v>
      </c>
      <c r="K3008">
        <f t="shared" si="189"/>
        <v>0</v>
      </c>
      <c r="M3008" t="str" cm="1">
        <f t="array" ref="M3008">IFERROR(INDEX($I$2:$K$2,0,MATCH(TRUE,I3008:K3008,0)),E3008)</f>
        <v>Gas_Steam_only</v>
      </c>
      <c r="O3008" t="str">
        <f t="shared" si="187"/>
        <v>Gas_Steam_only_2032</v>
      </c>
      <c r="P3008">
        <f t="shared" si="188"/>
        <v>52.9</v>
      </c>
    </row>
    <row r="3009" spans="4:16" x14ac:dyDescent="0.25">
      <c r="D3009">
        <v>2033</v>
      </c>
      <c r="E3009" t="s">
        <v>348</v>
      </c>
      <c r="F3009" t="s">
        <v>355</v>
      </c>
      <c r="G3009">
        <v>52.9</v>
      </c>
      <c r="I3009">
        <f t="shared" si="189"/>
        <v>0</v>
      </c>
      <c r="J3009">
        <f t="shared" si="189"/>
        <v>0</v>
      </c>
      <c r="K3009">
        <f t="shared" si="189"/>
        <v>0</v>
      </c>
      <c r="M3009" t="str" cm="1">
        <f t="array" ref="M3009">IFERROR(INDEX($I$2:$K$2,0,MATCH(TRUE,I3009:K3009,0)),E3009)</f>
        <v>Gas_Steam_only</v>
      </c>
      <c r="O3009" t="str">
        <f t="shared" si="187"/>
        <v>Gas_Steam_only_2033</v>
      </c>
      <c r="P3009">
        <f t="shared" si="188"/>
        <v>52.9</v>
      </c>
    </row>
    <row r="3010" spans="4:16" x14ac:dyDescent="0.25">
      <c r="D3010">
        <v>2034</v>
      </c>
      <c r="E3010" t="s">
        <v>348</v>
      </c>
      <c r="F3010" t="s">
        <v>355</v>
      </c>
      <c r="G3010">
        <v>52.9</v>
      </c>
      <c r="I3010">
        <f t="shared" si="189"/>
        <v>0</v>
      </c>
      <c r="J3010">
        <f t="shared" si="189"/>
        <v>0</v>
      </c>
      <c r="K3010">
        <f t="shared" si="189"/>
        <v>0</v>
      </c>
      <c r="M3010" t="str" cm="1">
        <f t="array" ref="M3010">IFERROR(INDEX($I$2:$K$2,0,MATCH(TRUE,I3010:K3010,0)),E3010)</f>
        <v>Gas_Steam_only</v>
      </c>
      <c r="O3010" t="str">
        <f t="shared" si="187"/>
        <v>Gas_Steam_only_2034</v>
      </c>
      <c r="P3010">
        <f t="shared" si="188"/>
        <v>52.9</v>
      </c>
    </row>
    <row r="3011" spans="4:16" x14ac:dyDescent="0.25">
      <c r="D3011">
        <v>2035</v>
      </c>
      <c r="E3011" t="s">
        <v>348</v>
      </c>
      <c r="F3011" t="s">
        <v>355</v>
      </c>
      <c r="G3011">
        <v>52.9</v>
      </c>
      <c r="I3011">
        <f t="shared" si="189"/>
        <v>0</v>
      </c>
      <c r="J3011">
        <f t="shared" si="189"/>
        <v>0</v>
      </c>
      <c r="K3011">
        <f t="shared" si="189"/>
        <v>0</v>
      </c>
      <c r="M3011" t="str" cm="1">
        <f t="array" ref="M3011">IFERROR(INDEX($I$2:$K$2,0,MATCH(TRUE,I3011:K3011,0)),E3011)</f>
        <v>Gas_Steam_only</v>
      </c>
      <c r="O3011" t="str">
        <f t="shared" si="187"/>
        <v>Gas_Steam_only_2035</v>
      </c>
      <c r="P3011">
        <f t="shared" si="188"/>
        <v>52.9</v>
      </c>
    </row>
    <row r="3012" spans="4:16" x14ac:dyDescent="0.25">
      <c r="D3012">
        <v>2036</v>
      </c>
      <c r="E3012" t="s">
        <v>348</v>
      </c>
      <c r="F3012" t="s">
        <v>355</v>
      </c>
      <c r="G3012">
        <v>52.9</v>
      </c>
      <c r="I3012">
        <f t="shared" si="189"/>
        <v>0</v>
      </c>
      <c r="J3012">
        <f t="shared" si="189"/>
        <v>0</v>
      </c>
      <c r="K3012">
        <f t="shared" si="189"/>
        <v>0</v>
      </c>
      <c r="M3012" t="str" cm="1">
        <f t="array" ref="M3012">IFERROR(INDEX($I$2:$K$2,0,MATCH(TRUE,I3012:K3012,0)),E3012)</f>
        <v>Gas_Steam_only</v>
      </c>
      <c r="O3012" t="str">
        <f t="shared" si="187"/>
        <v>Gas_Steam_only_2036</v>
      </c>
      <c r="P3012">
        <f t="shared" si="188"/>
        <v>52.9</v>
      </c>
    </row>
    <row r="3013" spans="4:16" x14ac:dyDescent="0.25">
      <c r="D3013">
        <v>2021</v>
      </c>
      <c r="E3013" t="s">
        <v>348</v>
      </c>
      <c r="F3013" t="s">
        <v>356</v>
      </c>
      <c r="G3013">
        <v>41.2</v>
      </c>
      <c r="I3013">
        <f t="shared" si="189"/>
        <v>0</v>
      </c>
      <c r="J3013">
        <f t="shared" si="189"/>
        <v>0</v>
      </c>
      <c r="K3013">
        <f t="shared" si="189"/>
        <v>0</v>
      </c>
      <c r="M3013" t="str" cm="1">
        <f t="array" ref="M3013">IFERROR(INDEX($I$2:$K$2,0,MATCH(TRUE,I3013:K3013,0)),E3013)</f>
        <v>Gas_Steam_only</v>
      </c>
      <c r="O3013" t="str">
        <f t="shared" si="187"/>
        <v>Gas_Steam_only_2021</v>
      </c>
      <c r="P3013">
        <f t="shared" si="188"/>
        <v>41.2</v>
      </c>
    </row>
    <row r="3014" spans="4:16" x14ac:dyDescent="0.25">
      <c r="D3014">
        <v>2021</v>
      </c>
      <c r="E3014" t="s">
        <v>348</v>
      </c>
      <c r="F3014" t="s">
        <v>357</v>
      </c>
      <c r="G3014">
        <v>75</v>
      </c>
      <c r="I3014">
        <f t="shared" si="189"/>
        <v>0</v>
      </c>
      <c r="J3014">
        <f t="shared" si="189"/>
        <v>0</v>
      </c>
      <c r="K3014">
        <f t="shared" si="189"/>
        <v>0</v>
      </c>
      <c r="M3014" t="str" cm="1">
        <f t="array" ref="M3014">IFERROR(INDEX($I$2:$K$2,0,MATCH(TRUE,I3014:K3014,0)),E3014)</f>
        <v>Gas_Steam_only</v>
      </c>
      <c r="O3014" t="str">
        <f t="shared" si="187"/>
        <v>Gas_Steam_only_2021</v>
      </c>
      <c r="P3014">
        <f t="shared" si="188"/>
        <v>75</v>
      </c>
    </row>
    <row r="3015" spans="4:16" x14ac:dyDescent="0.25">
      <c r="D3015">
        <v>2022</v>
      </c>
      <c r="E3015" t="s">
        <v>348</v>
      </c>
      <c r="F3015" t="s">
        <v>357</v>
      </c>
      <c r="G3015">
        <v>75</v>
      </c>
      <c r="I3015">
        <f t="shared" si="189"/>
        <v>0</v>
      </c>
      <c r="J3015">
        <f t="shared" si="189"/>
        <v>0</v>
      </c>
      <c r="K3015">
        <f t="shared" si="189"/>
        <v>0</v>
      </c>
      <c r="M3015" t="str" cm="1">
        <f t="array" ref="M3015">IFERROR(INDEX($I$2:$K$2,0,MATCH(TRUE,I3015:K3015,0)),E3015)</f>
        <v>Gas_Steam_only</v>
      </c>
      <c r="O3015" t="str">
        <f t="shared" si="187"/>
        <v>Gas_Steam_only_2022</v>
      </c>
      <c r="P3015">
        <f t="shared" si="188"/>
        <v>75</v>
      </c>
    </row>
    <row r="3016" spans="4:16" x14ac:dyDescent="0.25">
      <c r="D3016">
        <v>2023</v>
      </c>
      <c r="E3016" t="s">
        <v>348</v>
      </c>
      <c r="F3016" t="s">
        <v>357</v>
      </c>
      <c r="G3016">
        <v>75</v>
      </c>
      <c r="I3016">
        <f t="shared" si="189"/>
        <v>0</v>
      </c>
      <c r="J3016">
        <f t="shared" si="189"/>
        <v>0</v>
      </c>
      <c r="K3016">
        <f t="shared" si="189"/>
        <v>0</v>
      </c>
      <c r="M3016" t="str" cm="1">
        <f t="array" ref="M3016">IFERROR(INDEX($I$2:$K$2,0,MATCH(TRUE,I3016:K3016,0)),E3016)</f>
        <v>Gas_Steam_only</v>
      </c>
      <c r="O3016" t="str">
        <f t="shared" si="187"/>
        <v>Gas_Steam_only_2023</v>
      </c>
      <c r="P3016">
        <f t="shared" si="188"/>
        <v>75</v>
      </c>
    </row>
    <row r="3017" spans="4:16" x14ac:dyDescent="0.25">
      <c r="D3017">
        <v>2024</v>
      </c>
      <c r="E3017" t="s">
        <v>348</v>
      </c>
      <c r="F3017" t="s">
        <v>357</v>
      </c>
      <c r="G3017">
        <v>75</v>
      </c>
      <c r="I3017">
        <f t="shared" si="189"/>
        <v>0</v>
      </c>
      <c r="J3017">
        <f t="shared" si="189"/>
        <v>0</v>
      </c>
      <c r="K3017">
        <f t="shared" si="189"/>
        <v>0</v>
      </c>
      <c r="M3017" t="str" cm="1">
        <f t="array" ref="M3017">IFERROR(INDEX($I$2:$K$2,0,MATCH(TRUE,I3017:K3017,0)),E3017)</f>
        <v>Gas_Steam_only</v>
      </c>
      <c r="O3017" t="str">
        <f t="shared" si="187"/>
        <v>Gas_Steam_only_2024</v>
      </c>
      <c r="P3017">
        <f t="shared" si="188"/>
        <v>75</v>
      </c>
    </row>
    <row r="3018" spans="4:16" x14ac:dyDescent="0.25">
      <c r="D3018">
        <v>2025</v>
      </c>
      <c r="E3018" t="s">
        <v>348</v>
      </c>
      <c r="F3018" t="s">
        <v>357</v>
      </c>
      <c r="G3018">
        <v>75</v>
      </c>
      <c r="I3018">
        <f t="shared" si="189"/>
        <v>0</v>
      </c>
      <c r="J3018">
        <f t="shared" si="189"/>
        <v>0</v>
      </c>
      <c r="K3018">
        <f t="shared" si="189"/>
        <v>0</v>
      </c>
      <c r="M3018" t="str" cm="1">
        <f t="array" ref="M3018">IFERROR(INDEX($I$2:$K$2,0,MATCH(TRUE,I3018:K3018,0)),E3018)</f>
        <v>Gas_Steam_only</v>
      </c>
      <c r="O3018" t="str">
        <f t="shared" si="187"/>
        <v>Gas_Steam_only_2025</v>
      </c>
      <c r="P3018">
        <f t="shared" si="188"/>
        <v>75</v>
      </c>
    </row>
    <row r="3019" spans="4:16" x14ac:dyDescent="0.25">
      <c r="D3019">
        <v>2026</v>
      </c>
      <c r="E3019" t="s">
        <v>348</v>
      </c>
      <c r="F3019" t="s">
        <v>357</v>
      </c>
      <c r="G3019">
        <v>75</v>
      </c>
      <c r="I3019">
        <f t="shared" si="189"/>
        <v>0</v>
      </c>
      <c r="J3019">
        <f t="shared" si="189"/>
        <v>0</v>
      </c>
      <c r="K3019">
        <f t="shared" si="189"/>
        <v>0</v>
      </c>
      <c r="M3019" t="str" cm="1">
        <f t="array" ref="M3019">IFERROR(INDEX($I$2:$K$2,0,MATCH(TRUE,I3019:K3019,0)),E3019)</f>
        <v>Gas_Steam_only</v>
      </c>
      <c r="O3019" t="str">
        <f t="shared" si="187"/>
        <v>Gas_Steam_only_2026</v>
      </c>
      <c r="P3019">
        <f t="shared" si="188"/>
        <v>75</v>
      </c>
    </row>
    <row r="3020" spans="4:16" x14ac:dyDescent="0.25">
      <c r="D3020">
        <v>2027</v>
      </c>
      <c r="E3020" t="s">
        <v>348</v>
      </c>
      <c r="F3020" t="s">
        <v>357</v>
      </c>
      <c r="G3020">
        <v>75</v>
      </c>
      <c r="I3020">
        <f t="shared" si="189"/>
        <v>0</v>
      </c>
      <c r="J3020">
        <f t="shared" si="189"/>
        <v>0</v>
      </c>
      <c r="K3020">
        <f t="shared" si="189"/>
        <v>0</v>
      </c>
      <c r="M3020" t="str" cm="1">
        <f t="array" ref="M3020">IFERROR(INDEX($I$2:$K$2,0,MATCH(TRUE,I3020:K3020,0)),E3020)</f>
        <v>Gas_Steam_only</v>
      </c>
      <c r="O3020" t="str">
        <f t="shared" si="187"/>
        <v>Gas_Steam_only_2027</v>
      </c>
      <c r="P3020">
        <f t="shared" si="188"/>
        <v>75</v>
      </c>
    </row>
    <row r="3021" spans="4:16" x14ac:dyDescent="0.25">
      <c r="D3021">
        <v>2028</v>
      </c>
      <c r="E3021" t="s">
        <v>348</v>
      </c>
      <c r="F3021" t="s">
        <v>357</v>
      </c>
      <c r="G3021">
        <v>75</v>
      </c>
      <c r="I3021">
        <f t="shared" si="189"/>
        <v>0</v>
      </c>
      <c r="J3021">
        <f t="shared" si="189"/>
        <v>0</v>
      </c>
      <c r="K3021">
        <f t="shared" si="189"/>
        <v>0</v>
      </c>
      <c r="M3021" t="str" cm="1">
        <f t="array" ref="M3021">IFERROR(INDEX($I$2:$K$2,0,MATCH(TRUE,I3021:K3021,0)),E3021)</f>
        <v>Gas_Steam_only</v>
      </c>
      <c r="O3021" t="str">
        <f t="shared" si="187"/>
        <v>Gas_Steam_only_2028</v>
      </c>
      <c r="P3021">
        <f t="shared" si="188"/>
        <v>75</v>
      </c>
    </row>
    <row r="3022" spans="4:16" x14ac:dyDescent="0.25">
      <c r="D3022">
        <v>2029</v>
      </c>
      <c r="E3022" t="s">
        <v>348</v>
      </c>
      <c r="F3022" t="s">
        <v>357</v>
      </c>
      <c r="G3022">
        <v>75</v>
      </c>
      <c r="I3022">
        <f t="shared" si="189"/>
        <v>0</v>
      </c>
      <c r="J3022">
        <f t="shared" si="189"/>
        <v>0</v>
      </c>
      <c r="K3022">
        <f t="shared" si="189"/>
        <v>0</v>
      </c>
      <c r="M3022" t="str" cm="1">
        <f t="array" ref="M3022">IFERROR(INDEX($I$2:$K$2,0,MATCH(TRUE,I3022:K3022,0)),E3022)</f>
        <v>Gas_Steam_only</v>
      </c>
      <c r="O3022" t="str">
        <f t="shared" si="187"/>
        <v>Gas_Steam_only_2029</v>
      </c>
      <c r="P3022">
        <f t="shared" si="188"/>
        <v>75</v>
      </c>
    </row>
    <row r="3023" spans="4:16" x14ac:dyDescent="0.25">
      <c r="D3023">
        <v>2021</v>
      </c>
      <c r="E3023" t="s">
        <v>348</v>
      </c>
      <c r="F3023" t="s">
        <v>358</v>
      </c>
      <c r="G3023">
        <v>294</v>
      </c>
      <c r="I3023">
        <f t="shared" si="189"/>
        <v>0</v>
      </c>
      <c r="J3023">
        <f t="shared" si="189"/>
        <v>0</v>
      </c>
      <c r="K3023">
        <f t="shared" si="189"/>
        <v>0</v>
      </c>
      <c r="M3023" t="str" cm="1">
        <f t="array" ref="M3023">IFERROR(INDEX($I$2:$K$2,0,MATCH(TRUE,I3023:K3023,0)),E3023)</f>
        <v>Gas_Steam_only</v>
      </c>
      <c r="O3023" t="str">
        <f t="shared" si="187"/>
        <v>Gas_Steam_only_2021</v>
      </c>
      <c r="P3023">
        <f t="shared" si="188"/>
        <v>294</v>
      </c>
    </row>
    <row r="3024" spans="4:16" x14ac:dyDescent="0.25">
      <c r="D3024">
        <v>2022</v>
      </c>
      <c r="E3024" t="s">
        <v>348</v>
      </c>
      <c r="F3024" t="s">
        <v>358</v>
      </c>
      <c r="G3024">
        <v>294</v>
      </c>
      <c r="I3024">
        <f t="shared" si="189"/>
        <v>0</v>
      </c>
      <c r="J3024">
        <f t="shared" si="189"/>
        <v>0</v>
      </c>
      <c r="K3024">
        <f t="shared" si="189"/>
        <v>0</v>
      </c>
      <c r="M3024" t="str" cm="1">
        <f t="array" ref="M3024">IFERROR(INDEX($I$2:$K$2,0,MATCH(TRUE,I3024:K3024,0)),E3024)</f>
        <v>Gas_Steam_only</v>
      </c>
      <c r="O3024" t="str">
        <f t="shared" si="187"/>
        <v>Gas_Steam_only_2022</v>
      </c>
      <c r="P3024">
        <f t="shared" si="188"/>
        <v>294</v>
      </c>
    </row>
    <row r="3025" spans="4:16" x14ac:dyDescent="0.25">
      <c r="D3025">
        <v>2023</v>
      </c>
      <c r="E3025" t="s">
        <v>348</v>
      </c>
      <c r="F3025" t="s">
        <v>358</v>
      </c>
      <c r="G3025">
        <v>294</v>
      </c>
      <c r="I3025">
        <f t="shared" si="189"/>
        <v>0</v>
      </c>
      <c r="J3025">
        <f t="shared" si="189"/>
        <v>0</v>
      </c>
      <c r="K3025">
        <f t="shared" si="189"/>
        <v>0</v>
      </c>
      <c r="M3025" t="str" cm="1">
        <f t="array" ref="M3025">IFERROR(INDEX($I$2:$K$2,0,MATCH(TRUE,I3025:K3025,0)),E3025)</f>
        <v>Gas_Steam_only</v>
      </c>
      <c r="O3025" t="str">
        <f t="shared" si="187"/>
        <v>Gas_Steam_only_2023</v>
      </c>
      <c r="P3025">
        <f t="shared" si="188"/>
        <v>294</v>
      </c>
    </row>
    <row r="3026" spans="4:16" x14ac:dyDescent="0.25">
      <c r="D3026">
        <v>2024</v>
      </c>
      <c r="E3026" t="s">
        <v>348</v>
      </c>
      <c r="F3026" t="s">
        <v>358</v>
      </c>
      <c r="G3026">
        <v>294</v>
      </c>
      <c r="I3026">
        <f t="shared" si="189"/>
        <v>0</v>
      </c>
      <c r="J3026">
        <f t="shared" si="189"/>
        <v>0</v>
      </c>
      <c r="K3026">
        <f t="shared" si="189"/>
        <v>0</v>
      </c>
      <c r="M3026" t="str" cm="1">
        <f t="array" ref="M3026">IFERROR(INDEX($I$2:$K$2,0,MATCH(TRUE,I3026:K3026,0)),E3026)</f>
        <v>Gas_Steam_only</v>
      </c>
      <c r="O3026" t="str">
        <f t="shared" si="187"/>
        <v>Gas_Steam_only_2024</v>
      </c>
      <c r="P3026">
        <f t="shared" si="188"/>
        <v>294</v>
      </c>
    </row>
    <row r="3027" spans="4:16" x14ac:dyDescent="0.25">
      <c r="D3027">
        <v>2021</v>
      </c>
      <c r="E3027" t="s">
        <v>348</v>
      </c>
      <c r="F3027" t="s">
        <v>359</v>
      </c>
      <c r="G3027">
        <v>294</v>
      </c>
      <c r="I3027">
        <f t="shared" si="189"/>
        <v>0</v>
      </c>
      <c r="J3027">
        <f t="shared" si="189"/>
        <v>0</v>
      </c>
      <c r="K3027">
        <f t="shared" si="189"/>
        <v>0</v>
      </c>
      <c r="M3027" t="str" cm="1">
        <f t="array" ref="M3027">IFERROR(INDEX($I$2:$K$2,0,MATCH(TRUE,I3027:K3027,0)),E3027)</f>
        <v>Gas_Steam_only</v>
      </c>
      <c r="O3027" t="str">
        <f t="shared" ref="O3027:O3090" si="190">M3027&amp;"_"&amp;D3027</f>
        <v>Gas_Steam_only_2021</v>
      </c>
      <c r="P3027">
        <f t="shared" ref="P3027:P3090" si="191">G3027</f>
        <v>294</v>
      </c>
    </row>
    <row r="3028" spans="4:16" x14ac:dyDescent="0.25">
      <c r="D3028">
        <v>2022</v>
      </c>
      <c r="E3028" t="s">
        <v>348</v>
      </c>
      <c r="F3028" t="s">
        <v>359</v>
      </c>
      <c r="G3028">
        <v>294</v>
      </c>
      <c r="I3028">
        <f t="shared" si="189"/>
        <v>0</v>
      </c>
      <c r="J3028">
        <f t="shared" si="189"/>
        <v>0</v>
      </c>
      <c r="K3028">
        <f t="shared" si="189"/>
        <v>0</v>
      </c>
      <c r="M3028" t="str" cm="1">
        <f t="array" ref="M3028">IFERROR(INDEX($I$2:$K$2,0,MATCH(TRUE,I3028:K3028,0)),E3028)</f>
        <v>Gas_Steam_only</v>
      </c>
      <c r="O3028" t="str">
        <f t="shared" si="190"/>
        <v>Gas_Steam_only_2022</v>
      </c>
      <c r="P3028">
        <f t="shared" si="191"/>
        <v>294</v>
      </c>
    </row>
    <row r="3029" spans="4:16" x14ac:dyDescent="0.25">
      <c r="D3029">
        <v>2023</v>
      </c>
      <c r="E3029" t="s">
        <v>348</v>
      </c>
      <c r="F3029" t="s">
        <v>359</v>
      </c>
      <c r="G3029">
        <v>294</v>
      </c>
      <c r="I3029">
        <f t="shared" ref="I3029:K3092" si="192">IFERROR(FIND(I$2,$E3029,1)&gt;0,0)</f>
        <v>0</v>
      </c>
      <c r="J3029">
        <f t="shared" si="192"/>
        <v>0</v>
      </c>
      <c r="K3029">
        <f t="shared" si="192"/>
        <v>0</v>
      </c>
      <c r="M3029" t="str" cm="1">
        <f t="array" ref="M3029">IFERROR(INDEX($I$2:$K$2,0,MATCH(TRUE,I3029:K3029,0)),E3029)</f>
        <v>Gas_Steam_only</v>
      </c>
      <c r="O3029" t="str">
        <f t="shared" si="190"/>
        <v>Gas_Steam_only_2023</v>
      </c>
      <c r="P3029">
        <f t="shared" si="191"/>
        <v>294</v>
      </c>
    </row>
    <row r="3030" spans="4:16" x14ac:dyDescent="0.25">
      <c r="D3030">
        <v>2024</v>
      </c>
      <c r="E3030" t="s">
        <v>348</v>
      </c>
      <c r="F3030" t="s">
        <v>359</v>
      </c>
      <c r="G3030">
        <v>294</v>
      </c>
      <c r="I3030">
        <f t="shared" si="192"/>
        <v>0</v>
      </c>
      <c r="J3030">
        <f t="shared" si="192"/>
        <v>0</v>
      </c>
      <c r="K3030">
        <f t="shared" si="192"/>
        <v>0</v>
      </c>
      <c r="M3030" t="str" cm="1">
        <f t="array" ref="M3030">IFERROR(INDEX($I$2:$K$2,0,MATCH(TRUE,I3030:K3030,0)),E3030)</f>
        <v>Gas_Steam_only</v>
      </c>
      <c r="O3030" t="str">
        <f t="shared" si="190"/>
        <v>Gas_Steam_only_2024</v>
      </c>
      <c r="P3030">
        <f t="shared" si="191"/>
        <v>294</v>
      </c>
    </row>
    <row r="3031" spans="4:16" x14ac:dyDescent="0.25">
      <c r="D3031">
        <v>2025</v>
      </c>
      <c r="E3031" t="s">
        <v>348</v>
      </c>
      <c r="F3031" t="s">
        <v>359</v>
      </c>
      <c r="G3031">
        <v>294</v>
      </c>
      <c r="I3031">
        <f t="shared" si="192"/>
        <v>0</v>
      </c>
      <c r="J3031">
        <f t="shared" si="192"/>
        <v>0</v>
      </c>
      <c r="K3031">
        <f t="shared" si="192"/>
        <v>0</v>
      </c>
      <c r="M3031" t="str" cm="1">
        <f t="array" ref="M3031">IFERROR(INDEX($I$2:$K$2,0,MATCH(TRUE,I3031:K3031,0)),E3031)</f>
        <v>Gas_Steam_only</v>
      </c>
      <c r="O3031" t="str">
        <f t="shared" si="190"/>
        <v>Gas_Steam_only_2025</v>
      </c>
      <c r="P3031">
        <f t="shared" si="191"/>
        <v>294</v>
      </c>
    </row>
    <row r="3032" spans="4:16" x14ac:dyDescent="0.25">
      <c r="D3032">
        <v>2021</v>
      </c>
      <c r="E3032" t="s">
        <v>348</v>
      </c>
      <c r="F3032" t="s">
        <v>360</v>
      </c>
      <c r="G3032">
        <v>79</v>
      </c>
      <c r="I3032">
        <f t="shared" si="192"/>
        <v>0</v>
      </c>
      <c r="J3032">
        <f t="shared" si="192"/>
        <v>0</v>
      </c>
      <c r="K3032">
        <f t="shared" si="192"/>
        <v>0</v>
      </c>
      <c r="M3032" t="str" cm="1">
        <f t="array" ref="M3032">IFERROR(INDEX($I$2:$K$2,0,MATCH(TRUE,I3032:K3032,0)),E3032)</f>
        <v>Gas_Steam_only</v>
      </c>
      <c r="O3032" t="str">
        <f t="shared" si="190"/>
        <v>Gas_Steam_only_2021</v>
      </c>
      <c r="P3032">
        <f t="shared" si="191"/>
        <v>79</v>
      </c>
    </row>
    <row r="3033" spans="4:16" x14ac:dyDescent="0.25">
      <c r="D3033">
        <v>2022</v>
      </c>
      <c r="E3033" t="s">
        <v>348</v>
      </c>
      <c r="F3033" t="s">
        <v>360</v>
      </c>
      <c r="G3033">
        <v>79</v>
      </c>
      <c r="I3033">
        <f t="shared" si="192"/>
        <v>0</v>
      </c>
      <c r="J3033">
        <f t="shared" si="192"/>
        <v>0</v>
      </c>
      <c r="K3033">
        <f t="shared" si="192"/>
        <v>0</v>
      </c>
      <c r="M3033" t="str" cm="1">
        <f t="array" ref="M3033">IFERROR(INDEX($I$2:$K$2,0,MATCH(TRUE,I3033:K3033,0)),E3033)</f>
        <v>Gas_Steam_only</v>
      </c>
      <c r="O3033" t="str">
        <f t="shared" si="190"/>
        <v>Gas_Steam_only_2022</v>
      </c>
      <c r="P3033">
        <f t="shared" si="191"/>
        <v>79</v>
      </c>
    </row>
    <row r="3034" spans="4:16" x14ac:dyDescent="0.25">
      <c r="D3034">
        <v>2023</v>
      </c>
      <c r="E3034" t="s">
        <v>348</v>
      </c>
      <c r="F3034" t="s">
        <v>360</v>
      </c>
      <c r="G3034">
        <v>79</v>
      </c>
      <c r="I3034">
        <f t="shared" si="192"/>
        <v>0</v>
      </c>
      <c r="J3034">
        <f t="shared" si="192"/>
        <v>0</v>
      </c>
      <c r="K3034">
        <f t="shared" si="192"/>
        <v>0</v>
      </c>
      <c r="M3034" t="str" cm="1">
        <f t="array" ref="M3034">IFERROR(INDEX($I$2:$K$2,0,MATCH(TRUE,I3034:K3034,0)),E3034)</f>
        <v>Gas_Steam_only</v>
      </c>
      <c r="O3034" t="str">
        <f t="shared" si="190"/>
        <v>Gas_Steam_only_2023</v>
      </c>
      <c r="P3034">
        <f t="shared" si="191"/>
        <v>79</v>
      </c>
    </row>
    <row r="3035" spans="4:16" x14ac:dyDescent="0.25">
      <c r="D3035">
        <v>2024</v>
      </c>
      <c r="E3035" t="s">
        <v>348</v>
      </c>
      <c r="F3035" t="s">
        <v>360</v>
      </c>
      <c r="G3035">
        <v>79</v>
      </c>
      <c r="I3035">
        <f t="shared" si="192"/>
        <v>0</v>
      </c>
      <c r="J3035">
        <f t="shared" si="192"/>
        <v>0</v>
      </c>
      <c r="K3035">
        <f t="shared" si="192"/>
        <v>0</v>
      </c>
      <c r="M3035" t="str" cm="1">
        <f t="array" ref="M3035">IFERROR(INDEX($I$2:$K$2,0,MATCH(TRUE,I3035:K3035,0)),E3035)</f>
        <v>Gas_Steam_only</v>
      </c>
      <c r="O3035" t="str">
        <f t="shared" si="190"/>
        <v>Gas_Steam_only_2024</v>
      </c>
      <c r="P3035">
        <f t="shared" si="191"/>
        <v>79</v>
      </c>
    </row>
    <row r="3036" spans="4:16" x14ac:dyDescent="0.25">
      <c r="D3036">
        <v>2021</v>
      </c>
      <c r="E3036" t="s">
        <v>348</v>
      </c>
      <c r="F3036" t="s">
        <v>361</v>
      </c>
      <c r="G3036">
        <v>0</v>
      </c>
      <c r="I3036">
        <f t="shared" si="192"/>
        <v>0</v>
      </c>
      <c r="J3036">
        <f t="shared" si="192"/>
        <v>0</v>
      </c>
      <c r="K3036">
        <f t="shared" si="192"/>
        <v>0</v>
      </c>
      <c r="M3036" t="str" cm="1">
        <f t="array" ref="M3036">IFERROR(INDEX($I$2:$K$2,0,MATCH(TRUE,I3036:K3036,0)),E3036)</f>
        <v>Gas_Steam_only</v>
      </c>
      <c r="O3036" t="str">
        <f t="shared" si="190"/>
        <v>Gas_Steam_only_2021</v>
      </c>
      <c r="P3036">
        <f t="shared" si="191"/>
        <v>0</v>
      </c>
    </row>
    <row r="3037" spans="4:16" x14ac:dyDescent="0.25">
      <c r="D3037">
        <v>2022</v>
      </c>
      <c r="E3037" t="s">
        <v>348</v>
      </c>
      <c r="F3037" t="s">
        <v>361</v>
      </c>
      <c r="G3037">
        <v>201.5</v>
      </c>
      <c r="I3037">
        <f t="shared" si="192"/>
        <v>0</v>
      </c>
      <c r="J3037">
        <f t="shared" si="192"/>
        <v>0</v>
      </c>
      <c r="K3037">
        <f t="shared" si="192"/>
        <v>0</v>
      </c>
      <c r="M3037" t="str" cm="1">
        <f t="array" ref="M3037">IFERROR(INDEX($I$2:$K$2,0,MATCH(TRUE,I3037:K3037,0)),E3037)</f>
        <v>Gas_Steam_only</v>
      </c>
      <c r="O3037" t="str">
        <f t="shared" si="190"/>
        <v>Gas_Steam_only_2022</v>
      </c>
      <c r="P3037">
        <f t="shared" si="191"/>
        <v>201.5</v>
      </c>
    </row>
    <row r="3038" spans="4:16" x14ac:dyDescent="0.25">
      <c r="D3038">
        <v>2023</v>
      </c>
      <c r="E3038" t="s">
        <v>348</v>
      </c>
      <c r="F3038" t="s">
        <v>361</v>
      </c>
      <c r="G3038">
        <v>201.5</v>
      </c>
      <c r="I3038">
        <f t="shared" si="192"/>
        <v>0</v>
      </c>
      <c r="J3038">
        <f t="shared" si="192"/>
        <v>0</v>
      </c>
      <c r="K3038">
        <f t="shared" si="192"/>
        <v>0</v>
      </c>
      <c r="M3038" t="str" cm="1">
        <f t="array" ref="M3038">IFERROR(INDEX($I$2:$K$2,0,MATCH(TRUE,I3038:K3038,0)),E3038)</f>
        <v>Gas_Steam_only</v>
      </c>
      <c r="O3038" t="str">
        <f t="shared" si="190"/>
        <v>Gas_Steam_only_2023</v>
      </c>
      <c r="P3038">
        <f t="shared" si="191"/>
        <v>201.5</v>
      </c>
    </row>
    <row r="3039" spans="4:16" x14ac:dyDescent="0.25">
      <c r="D3039">
        <v>2024</v>
      </c>
      <c r="E3039" t="s">
        <v>348</v>
      </c>
      <c r="F3039" t="s">
        <v>361</v>
      </c>
      <c r="G3039">
        <v>201.5</v>
      </c>
      <c r="I3039">
        <f t="shared" si="192"/>
        <v>0</v>
      </c>
      <c r="J3039">
        <f t="shared" si="192"/>
        <v>0</v>
      </c>
      <c r="K3039">
        <f t="shared" si="192"/>
        <v>0</v>
      </c>
      <c r="M3039" t="str" cm="1">
        <f t="array" ref="M3039">IFERROR(INDEX($I$2:$K$2,0,MATCH(TRUE,I3039:K3039,0)),E3039)</f>
        <v>Gas_Steam_only</v>
      </c>
      <c r="O3039" t="str">
        <f t="shared" si="190"/>
        <v>Gas_Steam_only_2024</v>
      </c>
      <c r="P3039">
        <f t="shared" si="191"/>
        <v>201.5</v>
      </c>
    </row>
    <row r="3040" spans="4:16" x14ac:dyDescent="0.25">
      <c r="D3040">
        <v>2025</v>
      </c>
      <c r="E3040" t="s">
        <v>348</v>
      </c>
      <c r="F3040" t="s">
        <v>361</v>
      </c>
      <c r="G3040">
        <v>201.5</v>
      </c>
      <c r="I3040">
        <f t="shared" si="192"/>
        <v>0</v>
      </c>
      <c r="J3040">
        <f t="shared" si="192"/>
        <v>0</v>
      </c>
      <c r="K3040">
        <f t="shared" si="192"/>
        <v>0</v>
      </c>
      <c r="M3040" t="str" cm="1">
        <f t="array" ref="M3040">IFERROR(INDEX($I$2:$K$2,0,MATCH(TRUE,I3040:K3040,0)),E3040)</f>
        <v>Gas_Steam_only</v>
      </c>
      <c r="O3040" t="str">
        <f t="shared" si="190"/>
        <v>Gas_Steam_only_2025</v>
      </c>
      <c r="P3040">
        <f t="shared" si="191"/>
        <v>201.5</v>
      </c>
    </row>
    <row r="3041" spans="4:16" x14ac:dyDescent="0.25">
      <c r="D3041">
        <v>2026</v>
      </c>
      <c r="E3041" t="s">
        <v>348</v>
      </c>
      <c r="F3041" t="s">
        <v>361</v>
      </c>
      <c r="G3041">
        <v>201.5</v>
      </c>
      <c r="I3041">
        <f t="shared" si="192"/>
        <v>0</v>
      </c>
      <c r="J3041">
        <f t="shared" si="192"/>
        <v>0</v>
      </c>
      <c r="K3041">
        <f t="shared" si="192"/>
        <v>0</v>
      </c>
      <c r="M3041" t="str" cm="1">
        <f t="array" ref="M3041">IFERROR(INDEX($I$2:$K$2,0,MATCH(TRUE,I3041:K3041,0)),E3041)</f>
        <v>Gas_Steam_only</v>
      </c>
      <c r="O3041" t="str">
        <f t="shared" si="190"/>
        <v>Gas_Steam_only_2026</v>
      </c>
      <c r="P3041">
        <f t="shared" si="191"/>
        <v>201.5</v>
      </c>
    </row>
    <row r="3042" spans="4:16" x14ac:dyDescent="0.25">
      <c r="D3042">
        <v>2027</v>
      </c>
      <c r="E3042" t="s">
        <v>348</v>
      </c>
      <c r="F3042" t="s">
        <v>361</v>
      </c>
      <c r="G3042">
        <v>201.5</v>
      </c>
      <c r="I3042">
        <f t="shared" si="192"/>
        <v>0</v>
      </c>
      <c r="J3042">
        <f t="shared" si="192"/>
        <v>0</v>
      </c>
      <c r="K3042">
        <f t="shared" si="192"/>
        <v>0</v>
      </c>
      <c r="M3042" t="str" cm="1">
        <f t="array" ref="M3042">IFERROR(INDEX($I$2:$K$2,0,MATCH(TRUE,I3042:K3042,0)),E3042)</f>
        <v>Gas_Steam_only</v>
      </c>
      <c r="O3042" t="str">
        <f t="shared" si="190"/>
        <v>Gas_Steam_only_2027</v>
      </c>
      <c r="P3042">
        <f t="shared" si="191"/>
        <v>201.5</v>
      </c>
    </row>
    <row r="3043" spans="4:16" x14ac:dyDescent="0.25">
      <c r="D3043">
        <v>2028</v>
      </c>
      <c r="E3043" t="s">
        <v>348</v>
      </c>
      <c r="F3043" t="s">
        <v>361</v>
      </c>
      <c r="G3043">
        <v>201.5</v>
      </c>
      <c r="I3043">
        <f t="shared" si="192"/>
        <v>0</v>
      </c>
      <c r="J3043">
        <f t="shared" si="192"/>
        <v>0</v>
      </c>
      <c r="K3043">
        <f t="shared" si="192"/>
        <v>0</v>
      </c>
      <c r="M3043" t="str" cm="1">
        <f t="array" ref="M3043">IFERROR(INDEX($I$2:$K$2,0,MATCH(TRUE,I3043:K3043,0)),E3043)</f>
        <v>Gas_Steam_only</v>
      </c>
      <c r="O3043" t="str">
        <f t="shared" si="190"/>
        <v>Gas_Steam_only_2028</v>
      </c>
      <c r="P3043">
        <f t="shared" si="191"/>
        <v>201.5</v>
      </c>
    </row>
    <row r="3044" spans="4:16" x14ac:dyDescent="0.25">
      <c r="D3044">
        <v>2029</v>
      </c>
      <c r="E3044" t="s">
        <v>348</v>
      </c>
      <c r="F3044" t="s">
        <v>361</v>
      </c>
      <c r="G3044">
        <v>201.5</v>
      </c>
      <c r="I3044">
        <f t="shared" si="192"/>
        <v>0</v>
      </c>
      <c r="J3044">
        <f t="shared" si="192"/>
        <v>0</v>
      </c>
      <c r="K3044">
        <f t="shared" si="192"/>
        <v>0</v>
      </c>
      <c r="M3044" t="str" cm="1">
        <f t="array" ref="M3044">IFERROR(INDEX($I$2:$K$2,0,MATCH(TRUE,I3044:K3044,0)),E3044)</f>
        <v>Gas_Steam_only</v>
      </c>
      <c r="O3044" t="str">
        <f t="shared" si="190"/>
        <v>Gas_Steam_only_2029</v>
      </c>
      <c r="P3044">
        <f t="shared" si="191"/>
        <v>201.5</v>
      </c>
    </row>
    <row r="3045" spans="4:16" x14ac:dyDescent="0.25">
      <c r="D3045">
        <v>2030</v>
      </c>
      <c r="E3045" t="s">
        <v>348</v>
      </c>
      <c r="F3045" t="s">
        <v>361</v>
      </c>
      <c r="G3045">
        <v>201.5</v>
      </c>
      <c r="I3045">
        <f t="shared" si="192"/>
        <v>0</v>
      </c>
      <c r="J3045">
        <f t="shared" si="192"/>
        <v>0</v>
      </c>
      <c r="K3045">
        <f t="shared" si="192"/>
        <v>0</v>
      </c>
      <c r="M3045" t="str" cm="1">
        <f t="array" ref="M3045">IFERROR(INDEX($I$2:$K$2,0,MATCH(TRUE,I3045:K3045,0)),E3045)</f>
        <v>Gas_Steam_only</v>
      </c>
      <c r="O3045" t="str">
        <f t="shared" si="190"/>
        <v>Gas_Steam_only_2030</v>
      </c>
      <c r="P3045">
        <f t="shared" si="191"/>
        <v>201.5</v>
      </c>
    </row>
    <row r="3046" spans="4:16" x14ac:dyDescent="0.25">
      <c r="D3046">
        <v>2031</v>
      </c>
      <c r="E3046" t="s">
        <v>348</v>
      </c>
      <c r="F3046" t="s">
        <v>361</v>
      </c>
      <c r="G3046">
        <v>201.5</v>
      </c>
      <c r="I3046">
        <f t="shared" si="192"/>
        <v>0</v>
      </c>
      <c r="J3046">
        <f t="shared" si="192"/>
        <v>0</v>
      </c>
      <c r="K3046">
        <f t="shared" si="192"/>
        <v>0</v>
      </c>
      <c r="M3046" t="str" cm="1">
        <f t="array" ref="M3046">IFERROR(INDEX($I$2:$K$2,0,MATCH(TRUE,I3046:K3046,0)),E3046)</f>
        <v>Gas_Steam_only</v>
      </c>
      <c r="O3046" t="str">
        <f t="shared" si="190"/>
        <v>Gas_Steam_only_2031</v>
      </c>
      <c r="P3046">
        <f t="shared" si="191"/>
        <v>201.5</v>
      </c>
    </row>
    <row r="3047" spans="4:16" x14ac:dyDescent="0.25">
      <c r="D3047">
        <v>2032</v>
      </c>
      <c r="E3047" t="s">
        <v>348</v>
      </c>
      <c r="F3047" t="s">
        <v>361</v>
      </c>
      <c r="G3047">
        <v>201.5</v>
      </c>
      <c r="I3047">
        <f t="shared" si="192"/>
        <v>0</v>
      </c>
      <c r="J3047">
        <f t="shared" si="192"/>
        <v>0</v>
      </c>
      <c r="K3047">
        <f t="shared" si="192"/>
        <v>0</v>
      </c>
      <c r="M3047" t="str" cm="1">
        <f t="array" ref="M3047">IFERROR(INDEX($I$2:$K$2,0,MATCH(TRUE,I3047:K3047,0)),E3047)</f>
        <v>Gas_Steam_only</v>
      </c>
      <c r="O3047" t="str">
        <f t="shared" si="190"/>
        <v>Gas_Steam_only_2032</v>
      </c>
      <c r="P3047">
        <f t="shared" si="191"/>
        <v>201.5</v>
      </c>
    </row>
    <row r="3048" spans="4:16" x14ac:dyDescent="0.25">
      <c r="D3048">
        <v>2033</v>
      </c>
      <c r="E3048" t="s">
        <v>348</v>
      </c>
      <c r="F3048" t="s">
        <v>361</v>
      </c>
      <c r="G3048">
        <v>201.5</v>
      </c>
      <c r="I3048">
        <f t="shared" si="192"/>
        <v>0</v>
      </c>
      <c r="J3048">
        <f t="shared" si="192"/>
        <v>0</v>
      </c>
      <c r="K3048">
        <f t="shared" si="192"/>
        <v>0</v>
      </c>
      <c r="M3048" t="str" cm="1">
        <f t="array" ref="M3048">IFERROR(INDEX($I$2:$K$2,0,MATCH(TRUE,I3048:K3048,0)),E3048)</f>
        <v>Gas_Steam_only</v>
      </c>
      <c r="O3048" t="str">
        <f t="shared" si="190"/>
        <v>Gas_Steam_only_2033</v>
      </c>
      <c r="P3048">
        <f t="shared" si="191"/>
        <v>201.5</v>
      </c>
    </row>
    <row r="3049" spans="4:16" x14ac:dyDescent="0.25">
      <c r="D3049">
        <v>2034</v>
      </c>
      <c r="E3049" t="s">
        <v>348</v>
      </c>
      <c r="F3049" t="s">
        <v>361</v>
      </c>
      <c r="G3049">
        <v>201.5</v>
      </c>
      <c r="I3049">
        <f t="shared" si="192"/>
        <v>0</v>
      </c>
      <c r="J3049">
        <f t="shared" si="192"/>
        <v>0</v>
      </c>
      <c r="K3049">
        <f t="shared" si="192"/>
        <v>0</v>
      </c>
      <c r="M3049" t="str" cm="1">
        <f t="array" ref="M3049">IFERROR(INDEX($I$2:$K$2,0,MATCH(TRUE,I3049:K3049,0)),E3049)</f>
        <v>Gas_Steam_only</v>
      </c>
      <c r="O3049" t="str">
        <f t="shared" si="190"/>
        <v>Gas_Steam_only_2034</v>
      </c>
      <c r="P3049">
        <f t="shared" si="191"/>
        <v>201.5</v>
      </c>
    </row>
    <row r="3050" spans="4:16" x14ac:dyDescent="0.25">
      <c r="D3050">
        <v>2035</v>
      </c>
      <c r="E3050" t="s">
        <v>348</v>
      </c>
      <c r="F3050" t="s">
        <v>361</v>
      </c>
      <c r="G3050">
        <v>201.5</v>
      </c>
      <c r="I3050">
        <f t="shared" si="192"/>
        <v>0</v>
      </c>
      <c r="J3050">
        <f t="shared" si="192"/>
        <v>0</v>
      </c>
      <c r="K3050">
        <f t="shared" si="192"/>
        <v>0</v>
      </c>
      <c r="M3050" t="str" cm="1">
        <f t="array" ref="M3050">IFERROR(INDEX($I$2:$K$2,0,MATCH(TRUE,I3050:K3050,0)),E3050)</f>
        <v>Gas_Steam_only</v>
      </c>
      <c r="O3050" t="str">
        <f t="shared" si="190"/>
        <v>Gas_Steam_only_2035</v>
      </c>
      <c r="P3050">
        <f t="shared" si="191"/>
        <v>201.5</v>
      </c>
    </row>
    <row r="3051" spans="4:16" x14ac:dyDescent="0.25">
      <c r="D3051">
        <v>2036</v>
      </c>
      <c r="E3051" t="s">
        <v>348</v>
      </c>
      <c r="F3051" t="s">
        <v>361</v>
      </c>
      <c r="G3051">
        <v>201.5</v>
      </c>
      <c r="I3051">
        <f t="shared" si="192"/>
        <v>0</v>
      </c>
      <c r="J3051">
        <f t="shared" si="192"/>
        <v>0</v>
      </c>
      <c r="K3051">
        <f t="shared" si="192"/>
        <v>0</v>
      </c>
      <c r="M3051" t="str" cm="1">
        <f t="array" ref="M3051">IFERROR(INDEX($I$2:$K$2,0,MATCH(TRUE,I3051:K3051,0)),E3051)</f>
        <v>Gas_Steam_only</v>
      </c>
      <c r="O3051" t="str">
        <f t="shared" si="190"/>
        <v>Gas_Steam_only_2036</v>
      </c>
      <c r="P3051">
        <f t="shared" si="191"/>
        <v>201.5</v>
      </c>
    </row>
    <row r="3052" spans="4:16" x14ac:dyDescent="0.25">
      <c r="D3052">
        <v>2037</v>
      </c>
      <c r="E3052" t="s">
        <v>348</v>
      </c>
      <c r="F3052" t="s">
        <v>361</v>
      </c>
      <c r="G3052">
        <v>201.5</v>
      </c>
      <c r="I3052">
        <f t="shared" si="192"/>
        <v>0</v>
      </c>
      <c r="J3052">
        <f t="shared" si="192"/>
        <v>0</v>
      </c>
      <c r="K3052">
        <f t="shared" si="192"/>
        <v>0</v>
      </c>
      <c r="M3052" t="str" cm="1">
        <f t="array" ref="M3052">IFERROR(INDEX($I$2:$K$2,0,MATCH(TRUE,I3052:K3052,0)),E3052)</f>
        <v>Gas_Steam_only</v>
      </c>
      <c r="O3052" t="str">
        <f t="shared" si="190"/>
        <v>Gas_Steam_only_2037</v>
      </c>
      <c r="P3052">
        <f t="shared" si="191"/>
        <v>201.5</v>
      </c>
    </row>
    <row r="3053" spans="4:16" x14ac:dyDescent="0.25">
      <c r="D3053">
        <v>2038</v>
      </c>
      <c r="E3053" t="s">
        <v>348</v>
      </c>
      <c r="F3053" t="s">
        <v>361</v>
      </c>
      <c r="G3053">
        <v>201.5</v>
      </c>
      <c r="I3053">
        <f t="shared" si="192"/>
        <v>0</v>
      </c>
      <c r="J3053">
        <f t="shared" si="192"/>
        <v>0</v>
      </c>
      <c r="K3053">
        <f t="shared" si="192"/>
        <v>0</v>
      </c>
      <c r="M3053" t="str" cm="1">
        <f t="array" ref="M3053">IFERROR(INDEX($I$2:$K$2,0,MATCH(TRUE,I3053:K3053,0)),E3053)</f>
        <v>Gas_Steam_only</v>
      </c>
      <c r="O3053" t="str">
        <f t="shared" si="190"/>
        <v>Gas_Steam_only_2038</v>
      </c>
      <c r="P3053">
        <f t="shared" si="191"/>
        <v>201.5</v>
      </c>
    </row>
    <row r="3054" spans="4:16" x14ac:dyDescent="0.25">
      <c r="D3054">
        <v>2039</v>
      </c>
      <c r="E3054" t="s">
        <v>348</v>
      </c>
      <c r="F3054" t="s">
        <v>361</v>
      </c>
      <c r="G3054">
        <v>201.5</v>
      </c>
      <c r="I3054">
        <f t="shared" si="192"/>
        <v>0</v>
      </c>
      <c r="J3054">
        <f t="shared" si="192"/>
        <v>0</v>
      </c>
      <c r="K3054">
        <f t="shared" si="192"/>
        <v>0</v>
      </c>
      <c r="M3054" t="str" cm="1">
        <f t="array" ref="M3054">IFERROR(INDEX($I$2:$K$2,0,MATCH(TRUE,I3054:K3054,0)),E3054)</f>
        <v>Gas_Steam_only</v>
      </c>
      <c r="O3054" t="str">
        <f t="shared" si="190"/>
        <v>Gas_Steam_only_2039</v>
      </c>
      <c r="P3054">
        <f t="shared" si="191"/>
        <v>201.5</v>
      </c>
    </row>
    <row r="3055" spans="4:16" x14ac:dyDescent="0.25">
      <c r="D3055">
        <v>2040</v>
      </c>
      <c r="E3055" t="s">
        <v>348</v>
      </c>
      <c r="F3055" t="s">
        <v>361</v>
      </c>
      <c r="G3055">
        <v>201.5</v>
      </c>
      <c r="I3055">
        <f t="shared" si="192"/>
        <v>0</v>
      </c>
      <c r="J3055">
        <f t="shared" si="192"/>
        <v>0</v>
      </c>
      <c r="K3055">
        <f t="shared" si="192"/>
        <v>0</v>
      </c>
      <c r="M3055" t="str" cm="1">
        <f t="array" ref="M3055">IFERROR(INDEX($I$2:$K$2,0,MATCH(TRUE,I3055:K3055,0)),E3055)</f>
        <v>Gas_Steam_only</v>
      </c>
      <c r="O3055" t="str">
        <f t="shared" si="190"/>
        <v>Gas_Steam_only_2040</v>
      </c>
      <c r="P3055">
        <f t="shared" si="191"/>
        <v>201.5</v>
      </c>
    </row>
    <row r="3056" spans="4:16" x14ac:dyDescent="0.25">
      <c r="D3056">
        <v>2021</v>
      </c>
      <c r="E3056" t="s">
        <v>348</v>
      </c>
      <c r="F3056" t="s">
        <v>362</v>
      </c>
      <c r="G3056">
        <v>54.6</v>
      </c>
      <c r="I3056">
        <f t="shared" si="192"/>
        <v>0</v>
      </c>
      <c r="J3056">
        <f t="shared" si="192"/>
        <v>0</v>
      </c>
      <c r="K3056">
        <f t="shared" si="192"/>
        <v>0</v>
      </c>
      <c r="M3056" t="str" cm="1">
        <f t="array" ref="M3056">IFERROR(INDEX($I$2:$K$2,0,MATCH(TRUE,I3056:K3056,0)),E3056)</f>
        <v>Gas_Steam_only</v>
      </c>
      <c r="O3056" t="str">
        <f t="shared" si="190"/>
        <v>Gas_Steam_only_2021</v>
      </c>
      <c r="P3056">
        <f t="shared" si="191"/>
        <v>54.6</v>
      </c>
    </row>
    <row r="3057" spans="4:16" x14ac:dyDescent="0.25">
      <c r="D3057">
        <v>2022</v>
      </c>
      <c r="E3057" t="s">
        <v>348</v>
      </c>
      <c r="F3057" t="s">
        <v>362</v>
      </c>
      <c r="G3057">
        <v>54.6</v>
      </c>
      <c r="I3057">
        <f t="shared" si="192"/>
        <v>0</v>
      </c>
      <c r="J3057">
        <f t="shared" si="192"/>
        <v>0</v>
      </c>
      <c r="K3057">
        <f t="shared" si="192"/>
        <v>0</v>
      </c>
      <c r="M3057" t="str" cm="1">
        <f t="array" ref="M3057">IFERROR(INDEX($I$2:$K$2,0,MATCH(TRUE,I3057:K3057,0)),E3057)</f>
        <v>Gas_Steam_only</v>
      </c>
      <c r="O3057" t="str">
        <f t="shared" si="190"/>
        <v>Gas_Steam_only_2022</v>
      </c>
      <c r="P3057">
        <f t="shared" si="191"/>
        <v>54.6</v>
      </c>
    </row>
    <row r="3058" spans="4:16" x14ac:dyDescent="0.25">
      <c r="D3058">
        <v>2023</v>
      </c>
      <c r="E3058" t="s">
        <v>348</v>
      </c>
      <c r="F3058" t="s">
        <v>362</v>
      </c>
      <c r="G3058">
        <v>54.6</v>
      </c>
      <c r="I3058">
        <f t="shared" si="192"/>
        <v>0</v>
      </c>
      <c r="J3058">
        <f t="shared" si="192"/>
        <v>0</v>
      </c>
      <c r="K3058">
        <f t="shared" si="192"/>
        <v>0</v>
      </c>
      <c r="M3058" t="str" cm="1">
        <f t="array" ref="M3058">IFERROR(INDEX($I$2:$K$2,0,MATCH(TRUE,I3058:K3058,0)),E3058)</f>
        <v>Gas_Steam_only</v>
      </c>
      <c r="O3058" t="str">
        <f t="shared" si="190"/>
        <v>Gas_Steam_only_2023</v>
      </c>
      <c r="P3058">
        <f t="shared" si="191"/>
        <v>54.6</v>
      </c>
    </row>
    <row r="3059" spans="4:16" x14ac:dyDescent="0.25">
      <c r="D3059">
        <v>2024</v>
      </c>
      <c r="E3059" t="s">
        <v>348</v>
      </c>
      <c r="F3059" t="s">
        <v>362</v>
      </c>
      <c r="G3059">
        <v>54.6</v>
      </c>
      <c r="I3059">
        <f t="shared" si="192"/>
        <v>0</v>
      </c>
      <c r="J3059">
        <f t="shared" si="192"/>
        <v>0</v>
      </c>
      <c r="K3059">
        <f t="shared" si="192"/>
        <v>0</v>
      </c>
      <c r="M3059" t="str" cm="1">
        <f t="array" ref="M3059">IFERROR(INDEX($I$2:$K$2,0,MATCH(TRUE,I3059:K3059,0)),E3059)</f>
        <v>Gas_Steam_only</v>
      </c>
      <c r="O3059" t="str">
        <f t="shared" si="190"/>
        <v>Gas_Steam_only_2024</v>
      </c>
      <c r="P3059">
        <f t="shared" si="191"/>
        <v>54.6</v>
      </c>
    </row>
    <row r="3060" spans="4:16" x14ac:dyDescent="0.25">
      <c r="D3060">
        <v>2025</v>
      </c>
      <c r="E3060" t="s">
        <v>348</v>
      </c>
      <c r="F3060" t="s">
        <v>362</v>
      </c>
      <c r="G3060">
        <v>54.6</v>
      </c>
      <c r="I3060">
        <f t="shared" si="192"/>
        <v>0</v>
      </c>
      <c r="J3060">
        <f t="shared" si="192"/>
        <v>0</v>
      </c>
      <c r="K3060">
        <f t="shared" si="192"/>
        <v>0</v>
      </c>
      <c r="M3060" t="str" cm="1">
        <f t="array" ref="M3060">IFERROR(INDEX($I$2:$K$2,0,MATCH(TRUE,I3060:K3060,0)),E3060)</f>
        <v>Gas_Steam_only</v>
      </c>
      <c r="O3060" t="str">
        <f t="shared" si="190"/>
        <v>Gas_Steam_only_2025</v>
      </c>
      <c r="P3060">
        <f t="shared" si="191"/>
        <v>54.6</v>
      </c>
    </row>
    <row r="3061" spans="4:16" x14ac:dyDescent="0.25">
      <c r="D3061">
        <v>2026</v>
      </c>
      <c r="E3061" t="s">
        <v>348</v>
      </c>
      <c r="F3061" t="s">
        <v>362</v>
      </c>
      <c r="G3061">
        <v>54.6</v>
      </c>
      <c r="I3061">
        <f t="shared" si="192"/>
        <v>0</v>
      </c>
      <c r="J3061">
        <f t="shared" si="192"/>
        <v>0</v>
      </c>
      <c r="K3061">
        <f t="shared" si="192"/>
        <v>0</v>
      </c>
      <c r="M3061" t="str" cm="1">
        <f t="array" ref="M3061">IFERROR(INDEX($I$2:$K$2,0,MATCH(TRUE,I3061:K3061,0)),E3061)</f>
        <v>Gas_Steam_only</v>
      </c>
      <c r="O3061" t="str">
        <f t="shared" si="190"/>
        <v>Gas_Steam_only_2026</v>
      </c>
      <c r="P3061">
        <f t="shared" si="191"/>
        <v>54.6</v>
      </c>
    </row>
    <row r="3062" spans="4:16" x14ac:dyDescent="0.25">
      <c r="D3062">
        <v>2027</v>
      </c>
      <c r="E3062" t="s">
        <v>348</v>
      </c>
      <c r="F3062" t="s">
        <v>362</v>
      </c>
      <c r="G3062">
        <v>54.6</v>
      </c>
      <c r="I3062">
        <f t="shared" si="192"/>
        <v>0</v>
      </c>
      <c r="J3062">
        <f t="shared" si="192"/>
        <v>0</v>
      </c>
      <c r="K3062">
        <f t="shared" si="192"/>
        <v>0</v>
      </c>
      <c r="M3062" t="str" cm="1">
        <f t="array" ref="M3062">IFERROR(INDEX($I$2:$K$2,0,MATCH(TRUE,I3062:K3062,0)),E3062)</f>
        <v>Gas_Steam_only</v>
      </c>
      <c r="O3062" t="str">
        <f t="shared" si="190"/>
        <v>Gas_Steam_only_2027</v>
      </c>
      <c r="P3062">
        <f t="shared" si="191"/>
        <v>54.6</v>
      </c>
    </row>
    <row r="3063" spans="4:16" x14ac:dyDescent="0.25">
      <c r="D3063">
        <v>2028</v>
      </c>
      <c r="E3063" t="s">
        <v>348</v>
      </c>
      <c r="F3063" t="s">
        <v>362</v>
      </c>
      <c r="G3063">
        <v>54.6</v>
      </c>
      <c r="I3063">
        <f t="shared" si="192"/>
        <v>0</v>
      </c>
      <c r="J3063">
        <f t="shared" si="192"/>
        <v>0</v>
      </c>
      <c r="K3063">
        <f t="shared" si="192"/>
        <v>0</v>
      </c>
      <c r="M3063" t="str" cm="1">
        <f t="array" ref="M3063">IFERROR(INDEX($I$2:$K$2,0,MATCH(TRUE,I3063:K3063,0)),E3063)</f>
        <v>Gas_Steam_only</v>
      </c>
      <c r="O3063" t="str">
        <f t="shared" si="190"/>
        <v>Gas_Steam_only_2028</v>
      </c>
      <c r="P3063">
        <f t="shared" si="191"/>
        <v>54.6</v>
      </c>
    </row>
    <row r="3064" spans="4:16" x14ac:dyDescent="0.25">
      <c r="D3064">
        <v>2029</v>
      </c>
      <c r="E3064" t="s">
        <v>348</v>
      </c>
      <c r="F3064" t="s">
        <v>362</v>
      </c>
      <c r="G3064">
        <v>54.6</v>
      </c>
      <c r="I3064">
        <f t="shared" si="192"/>
        <v>0</v>
      </c>
      <c r="J3064">
        <f t="shared" si="192"/>
        <v>0</v>
      </c>
      <c r="K3064">
        <f t="shared" si="192"/>
        <v>0</v>
      </c>
      <c r="M3064" t="str" cm="1">
        <f t="array" ref="M3064">IFERROR(INDEX($I$2:$K$2,0,MATCH(TRUE,I3064:K3064,0)),E3064)</f>
        <v>Gas_Steam_only</v>
      </c>
      <c r="O3064" t="str">
        <f t="shared" si="190"/>
        <v>Gas_Steam_only_2029</v>
      </c>
      <c r="P3064">
        <f t="shared" si="191"/>
        <v>54.6</v>
      </c>
    </row>
    <row r="3065" spans="4:16" x14ac:dyDescent="0.25">
      <c r="D3065">
        <v>2030</v>
      </c>
      <c r="E3065" t="s">
        <v>348</v>
      </c>
      <c r="F3065" t="s">
        <v>362</v>
      </c>
      <c r="G3065">
        <v>54.6</v>
      </c>
      <c r="I3065">
        <f t="shared" si="192"/>
        <v>0</v>
      </c>
      <c r="J3065">
        <f t="shared" si="192"/>
        <v>0</v>
      </c>
      <c r="K3065">
        <f t="shared" si="192"/>
        <v>0</v>
      </c>
      <c r="M3065" t="str" cm="1">
        <f t="array" ref="M3065">IFERROR(INDEX($I$2:$K$2,0,MATCH(TRUE,I3065:K3065,0)),E3065)</f>
        <v>Gas_Steam_only</v>
      </c>
      <c r="O3065" t="str">
        <f t="shared" si="190"/>
        <v>Gas_Steam_only_2030</v>
      </c>
      <c r="P3065">
        <f t="shared" si="191"/>
        <v>54.6</v>
      </c>
    </row>
    <row r="3066" spans="4:16" x14ac:dyDescent="0.25">
      <c r="D3066">
        <v>2021</v>
      </c>
      <c r="E3066" t="s">
        <v>348</v>
      </c>
      <c r="F3066" t="s">
        <v>363</v>
      </c>
      <c r="G3066">
        <v>54.6</v>
      </c>
      <c r="I3066">
        <f t="shared" si="192"/>
        <v>0</v>
      </c>
      <c r="J3066">
        <f t="shared" si="192"/>
        <v>0</v>
      </c>
      <c r="K3066">
        <f t="shared" si="192"/>
        <v>0</v>
      </c>
      <c r="M3066" t="str" cm="1">
        <f t="array" ref="M3066">IFERROR(INDEX($I$2:$K$2,0,MATCH(TRUE,I3066:K3066,0)),E3066)</f>
        <v>Gas_Steam_only</v>
      </c>
      <c r="O3066" t="str">
        <f t="shared" si="190"/>
        <v>Gas_Steam_only_2021</v>
      </c>
      <c r="P3066">
        <f t="shared" si="191"/>
        <v>54.6</v>
      </c>
    </row>
    <row r="3067" spans="4:16" x14ac:dyDescent="0.25">
      <c r="D3067">
        <v>2022</v>
      </c>
      <c r="E3067" t="s">
        <v>348</v>
      </c>
      <c r="F3067" t="s">
        <v>363</v>
      </c>
      <c r="G3067">
        <v>54.6</v>
      </c>
      <c r="I3067">
        <f t="shared" si="192"/>
        <v>0</v>
      </c>
      <c r="J3067">
        <f t="shared" si="192"/>
        <v>0</v>
      </c>
      <c r="K3067">
        <f t="shared" si="192"/>
        <v>0</v>
      </c>
      <c r="M3067" t="str" cm="1">
        <f t="array" ref="M3067">IFERROR(INDEX($I$2:$K$2,0,MATCH(TRUE,I3067:K3067,0)),E3067)</f>
        <v>Gas_Steam_only</v>
      </c>
      <c r="O3067" t="str">
        <f t="shared" si="190"/>
        <v>Gas_Steam_only_2022</v>
      </c>
      <c r="P3067">
        <f t="shared" si="191"/>
        <v>54.6</v>
      </c>
    </row>
    <row r="3068" spans="4:16" x14ac:dyDescent="0.25">
      <c r="D3068">
        <v>2023</v>
      </c>
      <c r="E3068" t="s">
        <v>348</v>
      </c>
      <c r="F3068" t="s">
        <v>363</v>
      </c>
      <c r="G3068">
        <v>54.6</v>
      </c>
      <c r="I3068">
        <f t="shared" si="192"/>
        <v>0</v>
      </c>
      <c r="J3068">
        <f t="shared" si="192"/>
        <v>0</v>
      </c>
      <c r="K3068">
        <f t="shared" si="192"/>
        <v>0</v>
      </c>
      <c r="M3068" t="str" cm="1">
        <f t="array" ref="M3068">IFERROR(INDEX($I$2:$K$2,0,MATCH(TRUE,I3068:K3068,0)),E3068)</f>
        <v>Gas_Steam_only</v>
      </c>
      <c r="O3068" t="str">
        <f t="shared" si="190"/>
        <v>Gas_Steam_only_2023</v>
      </c>
      <c r="P3068">
        <f t="shared" si="191"/>
        <v>54.6</v>
      </c>
    </row>
    <row r="3069" spans="4:16" x14ac:dyDescent="0.25">
      <c r="D3069">
        <v>2024</v>
      </c>
      <c r="E3069" t="s">
        <v>348</v>
      </c>
      <c r="F3069" t="s">
        <v>363</v>
      </c>
      <c r="G3069">
        <v>54.6</v>
      </c>
      <c r="I3069">
        <f t="shared" si="192"/>
        <v>0</v>
      </c>
      <c r="J3069">
        <f t="shared" si="192"/>
        <v>0</v>
      </c>
      <c r="K3069">
        <f t="shared" si="192"/>
        <v>0</v>
      </c>
      <c r="M3069" t="str" cm="1">
        <f t="array" ref="M3069">IFERROR(INDEX($I$2:$K$2,0,MATCH(TRUE,I3069:K3069,0)),E3069)</f>
        <v>Gas_Steam_only</v>
      </c>
      <c r="O3069" t="str">
        <f t="shared" si="190"/>
        <v>Gas_Steam_only_2024</v>
      </c>
      <c r="P3069">
        <f t="shared" si="191"/>
        <v>54.6</v>
      </c>
    </row>
    <row r="3070" spans="4:16" x14ac:dyDescent="0.25">
      <c r="D3070">
        <v>2025</v>
      </c>
      <c r="E3070" t="s">
        <v>348</v>
      </c>
      <c r="F3070" t="s">
        <v>363</v>
      </c>
      <c r="G3070">
        <v>54.6</v>
      </c>
      <c r="I3070">
        <f t="shared" si="192"/>
        <v>0</v>
      </c>
      <c r="J3070">
        <f t="shared" si="192"/>
        <v>0</v>
      </c>
      <c r="K3070">
        <f t="shared" si="192"/>
        <v>0</v>
      </c>
      <c r="M3070" t="str" cm="1">
        <f t="array" ref="M3070">IFERROR(INDEX($I$2:$K$2,0,MATCH(TRUE,I3070:K3070,0)),E3070)</f>
        <v>Gas_Steam_only</v>
      </c>
      <c r="O3070" t="str">
        <f t="shared" si="190"/>
        <v>Gas_Steam_only_2025</v>
      </c>
      <c r="P3070">
        <f t="shared" si="191"/>
        <v>54.6</v>
      </c>
    </row>
    <row r="3071" spans="4:16" x14ac:dyDescent="0.25">
      <c r="D3071">
        <v>2026</v>
      </c>
      <c r="E3071" t="s">
        <v>348</v>
      </c>
      <c r="F3071" t="s">
        <v>363</v>
      </c>
      <c r="G3071">
        <v>54.6</v>
      </c>
      <c r="I3071">
        <f t="shared" si="192"/>
        <v>0</v>
      </c>
      <c r="J3071">
        <f t="shared" si="192"/>
        <v>0</v>
      </c>
      <c r="K3071">
        <f t="shared" si="192"/>
        <v>0</v>
      </c>
      <c r="M3071" t="str" cm="1">
        <f t="array" ref="M3071">IFERROR(INDEX($I$2:$K$2,0,MATCH(TRUE,I3071:K3071,0)),E3071)</f>
        <v>Gas_Steam_only</v>
      </c>
      <c r="O3071" t="str">
        <f t="shared" si="190"/>
        <v>Gas_Steam_only_2026</v>
      </c>
      <c r="P3071">
        <f t="shared" si="191"/>
        <v>54.6</v>
      </c>
    </row>
    <row r="3072" spans="4:16" x14ac:dyDescent="0.25">
      <c r="D3072">
        <v>2027</v>
      </c>
      <c r="E3072" t="s">
        <v>348</v>
      </c>
      <c r="F3072" t="s">
        <v>363</v>
      </c>
      <c r="G3072">
        <v>54.6</v>
      </c>
      <c r="I3072">
        <f t="shared" si="192"/>
        <v>0</v>
      </c>
      <c r="J3072">
        <f t="shared" si="192"/>
        <v>0</v>
      </c>
      <c r="K3072">
        <f t="shared" si="192"/>
        <v>0</v>
      </c>
      <c r="M3072" t="str" cm="1">
        <f t="array" ref="M3072">IFERROR(INDEX($I$2:$K$2,0,MATCH(TRUE,I3072:K3072,0)),E3072)</f>
        <v>Gas_Steam_only</v>
      </c>
      <c r="O3072" t="str">
        <f t="shared" si="190"/>
        <v>Gas_Steam_only_2027</v>
      </c>
      <c r="P3072">
        <f t="shared" si="191"/>
        <v>54.6</v>
      </c>
    </row>
    <row r="3073" spans="4:16" x14ac:dyDescent="0.25">
      <c r="D3073">
        <v>2028</v>
      </c>
      <c r="E3073" t="s">
        <v>348</v>
      </c>
      <c r="F3073" t="s">
        <v>363</v>
      </c>
      <c r="G3073">
        <v>54.6</v>
      </c>
      <c r="I3073">
        <f t="shared" si="192"/>
        <v>0</v>
      </c>
      <c r="J3073">
        <f t="shared" si="192"/>
        <v>0</v>
      </c>
      <c r="K3073">
        <f t="shared" si="192"/>
        <v>0</v>
      </c>
      <c r="M3073" t="str" cm="1">
        <f t="array" ref="M3073">IFERROR(INDEX($I$2:$K$2,0,MATCH(TRUE,I3073:K3073,0)),E3073)</f>
        <v>Gas_Steam_only</v>
      </c>
      <c r="O3073" t="str">
        <f t="shared" si="190"/>
        <v>Gas_Steam_only_2028</v>
      </c>
      <c r="P3073">
        <f t="shared" si="191"/>
        <v>54.6</v>
      </c>
    </row>
    <row r="3074" spans="4:16" x14ac:dyDescent="0.25">
      <c r="D3074">
        <v>2029</v>
      </c>
      <c r="E3074" t="s">
        <v>348</v>
      </c>
      <c r="F3074" t="s">
        <v>363</v>
      </c>
      <c r="G3074">
        <v>54.6</v>
      </c>
      <c r="I3074">
        <f t="shared" si="192"/>
        <v>0</v>
      </c>
      <c r="J3074">
        <f t="shared" si="192"/>
        <v>0</v>
      </c>
      <c r="K3074">
        <f t="shared" si="192"/>
        <v>0</v>
      </c>
      <c r="M3074" t="str" cm="1">
        <f t="array" ref="M3074">IFERROR(INDEX($I$2:$K$2,0,MATCH(TRUE,I3074:K3074,0)),E3074)</f>
        <v>Gas_Steam_only</v>
      </c>
      <c r="O3074" t="str">
        <f t="shared" si="190"/>
        <v>Gas_Steam_only_2029</v>
      </c>
      <c r="P3074">
        <f t="shared" si="191"/>
        <v>54.6</v>
      </c>
    </row>
    <row r="3075" spans="4:16" x14ac:dyDescent="0.25">
      <c r="D3075">
        <v>2030</v>
      </c>
      <c r="E3075" t="s">
        <v>348</v>
      </c>
      <c r="F3075" t="s">
        <v>363</v>
      </c>
      <c r="G3075">
        <v>54.6</v>
      </c>
      <c r="I3075">
        <f t="shared" si="192"/>
        <v>0</v>
      </c>
      <c r="J3075">
        <f t="shared" si="192"/>
        <v>0</v>
      </c>
      <c r="K3075">
        <f t="shared" si="192"/>
        <v>0</v>
      </c>
      <c r="M3075" t="str" cm="1">
        <f t="array" ref="M3075">IFERROR(INDEX($I$2:$K$2,0,MATCH(TRUE,I3075:K3075,0)),E3075)</f>
        <v>Gas_Steam_only</v>
      </c>
      <c r="O3075" t="str">
        <f t="shared" si="190"/>
        <v>Gas_Steam_only_2030</v>
      </c>
      <c r="P3075">
        <f t="shared" si="191"/>
        <v>54.6</v>
      </c>
    </row>
    <row r="3076" spans="4:16" x14ac:dyDescent="0.25">
      <c r="D3076">
        <v>2021</v>
      </c>
      <c r="E3076" t="s">
        <v>348</v>
      </c>
      <c r="F3076" t="s">
        <v>364</v>
      </c>
      <c r="G3076">
        <v>25.8</v>
      </c>
      <c r="I3076">
        <f t="shared" si="192"/>
        <v>0</v>
      </c>
      <c r="J3076">
        <f t="shared" si="192"/>
        <v>0</v>
      </c>
      <c r="K3076">
        <f t="shared" si="192"/>
        <v>0</v>
      </c>
      <c r="M3076" t="str" cm="1">
        <f t="array" ref="M3076">IFERROR(INDEX($I$2:$K$2,0,MATCH(TRUE,I3076:K3076,0)),E3076)</f>
        <v>Gas_Steam_only</v>
      </c>
      <c r="O3076" t="str">
        <f t="shared" si="190"/>
        <v>Gas_Steam_only_2021</v>
      </c>
      <c r="P3076">
        <f t="shared" si="191"/>
        <v>25.8</v>
      </c>
    </row>
    <row r="3077" spans="4:16" x14ac:dyDescent="0.25">
      <c r="D3077">
        <v>2022</v>
      </c>
      <c r="E3077" t="s">
        <v>348</v>
      </c>
      <c r="F3077" t="s">
        <v>364</v>
      </c>
      <c r="G3077">
        <v>25.8</v>
      </c>
      <c r="I3077">
        <f t="shared" si="192"/>
        <v>0</v>
      </c>
      <c r="J3077">
        <f t="shared" si="192"/>
        <v>0</v>
      </c>
      <c r="K3077">
        <f t="shared" si="192"/>
        <v>0</v>
      </c>
      <c r="M3077" t="str" cm="1">
        <f t="array" ref="M3077">IFERROR(INDEX($I$2:$K$2,0,MATCH(TRUE,I3077:K3077,0)),E3077)</f>
        <v>Gas_Steam_only</v>
      </c>
      <c r="O3077" t="str">
        <f t="shared" si="190"/>
        <v>Gas_Steam_only_2022</v>
      </c>
      <c r="P3077">
        <f t="shared" si="191"/>
        <v>25.8</v>
      </c>
    </row>
    <row r="3078" spans="4:16" x14ac:dyDescent="0.25">
      <c r="D3078">
        <v>2023</v>
      </c>
      <c r="E3078" t="s">
        <v>348</v>
      </c>
      <c r="F3078" t="s">
        <v>364</v>
      </c>
      <c r="G3078">
        <v>25.8</v>
      </c>
      <c r="I3078">
        <f t="shared" si="192"/>
        <v>0</v>
      </c>
      <c r="J3078">
        <f t="shared" si="192"/>
        <v>0</v>
      </c>
      <c r="K3078">
        <f t="shared" si="192"/>
        <v>0</v>
      </c>
      <c r="M3078" t="str" cm="1">
        <f t="array" ref="M3078">IFERROR(INDEX($I$2:$K$2,0,MATCH(TRUE,I3078:K3078,0)),E3078)</f>
        <v>Gas_Steam_only</v>
      </c>
      <c r="O3078" t="str">
        <f t="shared" si="190"/>
        <v>Gas_Steam_only_2023</v>
      </c>
      <c r="P3078">
        <f t="shared" si="191"/>
        <v>25.8</v>
      </c>
    </row>
    <row r="3079" spans="4:16" x14ac:dyDescent="0.25">
      <c r="D3079">
        <v>2024</v>
      </c>
      <c r="E3079" t="s">
        <v>348</v>
      </c>
      <c r="F3079" t="s">
        <v>364</v>
      </c>
      <c r="G3079">
        <v>25.8</v>
      </c>
      <c r="I3079">
        <f t="shared" si="192"/>
        <v>0</v>
      </c>
      <c r="J3079">
        <f t="shared" si="192"/>
        <v>0</v>
      </c>
      <c r="K3079">
        <f t="shared" si="192"/>
        <v>0</v>
      </c>
      <c r="M3079" t="str" cm="1">
        <f t="array" ref="M3079">IFERROR(INDEX($I$2:$K$2,0,MATCH(TRUE,I3079:K3079,0)),E3079)</f>
        <v>Gas_Steam_only</v>
      </c>
      <c r="O3079" t="str">
        <f t="shared" si="190"/>
        <v>Gas_Steam_only_2024</v>
      </c>
      <c r="P3079">
        <f t="shared" si="191"/>
        <v>25.8</v>
      </c>
    </row>
    <row r="3080" spans="4:16" x14ac:dyDescent="0.25">
      <c r="D3080">
        <v>2025</v>
      </c>
      <c r="E3080" t="s">
        <v>348</v>
      </c>
      <c r="F3080" t="s">
        <v>364</v>
      </c>
      <c r="G3080">
        <v>25.8</v>
      </c>
      <c r="I3080">
        <f t="shared" si="192"/>
        <v>0</v>
      </c>
      <c r="J3080">
        <f t="shared" si="192"/>
        <v>0</v>
      </c>
      <c r="K3080">
        <f t="shared" si="192"/>
        <v>0</v>
      </c>
      <c r="M3080" t="str" cm="1">
        <f t="array" ref="M3080">IFERROR(INDEX($I$2:$K$2,0,MATCH(TRUE,I3080:K3080,0)),E3080)</f>
        <v>Gas_Steam_only</v>
      </c>
      <c r="O3080" t="str">
        <f t="shared" si="190"/>
        <v>Gas_Steam_only_2025</v>
      </c>
      <c r="P3080">
        <f t="shared" si="191"/>
        <v>25.8</v>
      </c>
    </row>
    <row r="3081" spans="4:16" x14ac:dyDescent="0.25">
      <c r="D3081">
        <v>2026</v>
      </c>
      <c r="E3081" t="s">
        <v>348</v>
      </c>
      <c r="F3081" t="s">
        <v>364</v>
      </c>
      <c r="G3081">
        <v>25.8</v>
      </c>
      <c r="I3081">
        <f t="shared" si="192"/>
        <v>0</v>
      </c>
      <c r="J3081">
        <f t="shared" si="192"/>
        <v>0</v>
      </c>
      <c r="K3081">
        <f t="shared" si="192"/>
        <v>0</v>
      </c>
      <c r="M3081" t="str" cm="1">
        <f t="array" ref="M3081">IFERROR(INDEX($I$2:$K$2,0,MATCH(TRUE,I3081:K3081,0)),E3081)</f>
        <v>Gas_Steam_only</v>
      </c>
      <c r="O3081" t="str">
        <f t="shared" si="190"/>
        <v>Gas_Steam_only_2026</v>
      </c>
      <c r="P3081">
        <f t="shared" si="191"/>
        <v>25.8</v>
      </c>
    </row>
    <row r="3082" spans="4:16" x14ac:dyDescent="0.25">
      <c r="D3082">
        <v>2027</v>
      </c>
      <c r="E3082" t="s">
        <v>348</v>
      </c>
      <c r="F3082" t="s">
        <v>364</v>
      </c>
      <c r="G3082">
        <v>25.8</v>
      </c>
      <c r="I3082">
        <f t="shared" si="192"/>
        <v>0</v>
      </c>
      <c r="J3082">
        <f t="shared" si="192"/>
        <v>0</v>
      </c>
      <c r="K3082">
        <f t="shared" si="192"/>
        <v>0</v>
      </c>
      <c r="M3082" t="str" cm="1">
        <f t="array" ref="M3082">IFERROR(INDEX($I$2:$K$2,0,MATCH(TRUE,I3082:K3082,0)),E3082)</f>
        <v>Gas_Steam_only</v>
      </c>
      <c r="O3082" t="str">
        <f t="shared" si="190"/>
        <v>Gas_Steam_only_2027</v>
      </c>
      <c r="P3082">
        <f t="shared" si="191"/>
        <v>25.8</v>
      </c>
    </row>
    <row r="3083" spans="4:16" x14ac:dyDescent="0.25">
      <c r="D3083">
        <v>2028</v>
      </c>
      <c r="E3083" t="s">
        <v>348</v>
      </c>
      <c r="F3083" t="s">
        <v>364</v>
      </c>
      <c r="G3083">
        <v>25.8</v>
      </c>
      <c r="I3083">
        <f t="shared" si="192"/>
        <v>0</v>
      </c>
      <c r="J3083">
        <f t="shared" si="192"/>
        <v>0</v>
      </c>
      <c r="K3083">
        <f t="shared" si="192"/>
        <v>0</v>
      </c>
      <c r="M3083" t="str" cm="1">
        <f t="array" ref="M3083">IFERROR(INDEX($I$2:$K$2,0,MATCH(TRUE,I3083:K3083,0)),E3083)</f>
        <v>Gas_Steam_only</v>
      </c>
      <c r="O3083" t="str">
        <f t="shared" si="190"/>
        <v>Gas_Steam_only_2028</v>
      </c>
      <c r="P3083">
        <f t="shared" si="191"/>
        <v>25.8</v>
      </c>
    </row>
    <row r="3084" spans="4:16" x14ac:dyDescent="0.25">
      <c r="D3084">
        <v>2029</v>
      </c>
      <c r="E3084" t="s">
        <v>348</v>
      </c>
      <c r="F3084" t="s">
        <v>364</v>
      </c>
      <c r="G3084">
        <v>25.8</v>
      </c>
      <c r="I3084">
        <f t="shared" si="192"/>
        <v>0</v>
      </c>
      <c r="J3084">
        <f t="shared" si="192"/>
        <v>0</v>
      </c>
      <c r="K3084">
        <f t="shared" si="192"/>
        <v>0</v>
      </c>
      <c r="M3084" t="str" cm="1">
        <f t="array" ref="M3084">IFERROR(INDEX($I$2:$K$2,0,MATCH(TRUE,I3084:K3084,0)),E3084)</f>
        <v>Gas_Steam_only</v>
      </c>
      <c r="O3084" t="str">
        <f t="shared" si="190"/>
        <v>Gas_Steam_only_2029</v>
      </c>
      <c r="P3084">
        <f t="shared" si="191"/>
        <v>25.8</v>
      </c>
    </row>
    <row r="3085" spans="4:16" x14ac:dyDescent="0.25">
      <c r="D3085">
        <v>2030</v>
      </c>
      <c r="E3085" t="s">
        <v>348</v>
      </c>
      <c r="F3085" t="s">
        <v>364</v>
      </c>
      <c r="G3085">
        <v>25.8</v>
      </c>
      <c r="I3085">
        <f t="shared" si="192"/>
        <v>0</v>
      </c>
      <c r="J3085">
        <f t="shared" si="192"/>
        <v>0</v>
      </c>
      <c r="K3085">
        <f t="shared" si="192"/>
        <v>0</v>
      </c>
      <c r="M3085" t="str" cm="1">
        <f t="array" ref="M3085">IFERROR(INDEX($I$2:$K$2,0,MATCH(TRUE,I3085:K3085,0)),E3085)</f>
        <v>Gas_Steam_only</v>
      </c>
      <c r="O3085" t="str">
        <f t="shared" si="190"/>
        <v>Gas_Steam_only_2030</v>
      </c>
      <c r="P3085">
        <f t="shared" si="191"/>
        <v>25.8</v>
      </c>
    </row>
    <row r="3086" spans="4:16" x14ac:dyDescent="0.25">
      <c r="D3086">
        <v>2031</v>
      </c>
      <c r="E3086" t="s">
        <v>348</v>
      </c>
      <c r="F3086" t="s">
        <v>364</v>
      </c>
      <c r="G3086">
        <v>25.8</v>
      </c>
      <c r="I3086">
        <f t="shared" si="192"/>
        <v>0</v>
      </c>
      <c r="J3086">
        <f t="shared" si="192"/>
        <v>0</v>
      </c>
      <c r="K3086">
        <f t="shared" si="192"/>
        <v>0</v>
      </c>
      <c r="M3086" t="str" cm="1">
        <f t="array" ref="M3086">IFERROR(INDEX($I$2:$K$2,0,MATCH(TRUE,I3086:K3086,0)),E3086)</f>
        <v>Gas_Steam_only</v>
      </c>
      <c r="O3086" t="str">
        <f t="shared" si="190"/>
        <v>Gas_Steam_only_2031</v>
      </c>
      <c r="P3086">
        <f t="shared" si="191"/>
        <v>25.8</v>
      </c>
    </row>
    <row r="3087" spans="4:16" x14ac:dyDescent="0.25">
      <c r="D3087">
        <v>2032</v>
      </c>
      <c r="E3087" t="s">
        <v>348</v>
      </c>
      <c r="F3087" t="s">
        <v>364</v>
      </c>
      <c r="G3087">
        <v>25.8</v>
      </c>
      <c r="I3087">
        <f t="shared" si="192"/>
        <v>0</v>
      </c>
      <c r="J3087">
        <f t="shared" si="192"/>
        <v>0</v>
      </c>
      <c r="K3087">
        <f t="shared" si="192"/>
        <v>0</v>
      </c>
      <c r="M3087" t="str" cm="1">
        <f t="array" ref="M3087">IFERROR(INDEX($I$2:$K$2,0,MATCH(TRUE,I3087:K3087,0)),E3087)</f>
        <v>Gas_Steam_only</v>
      </c>
      <c r="O3087" t="str">
        <f t="shared" si="190"/>
        <v>Gas_Steam_only_2032</v>
      </c>
      <c r="P3087">
        <f t="shared" si="191"/>
        <v>25.8</v>
      </c>
    </row>
    <row r="3088" spans="4:16" x14ac:dyDescent="0.25">
      <c r="D3088">
        <v>2033</v>
      </c>
      <c r="E3088" t="s">
        <v>348</v>
      </c>
      <c r="F3088" t="s">
        <v>364</v>
      </c>
      <c r="G3088">
        <v>25.8</v>
      </c>
      <c r="I3088">
        <f t="shared" si="192"/>
        <v>0</v>
      </c>
      <c r="J3088">
        <f t="shared" si="192"/>
        <v>0</v>
      </c>
      <c r="K3088">
        <f t="shared" si="192"/>
        <v>0</v>
      </c>
      <c r="M3088" t="str" cm="1">
        <f t="array" ref="M3088">IFERROR(INDEX($I$2:$K$2,0,MATCH(TRUE,I3088:K3088,0)),E3088)</f>
        <v>Gas_Steam_only</v>
      </c>
      <c r="O3088" t="str">
        <f t="shared" si="190"/>
        <v>Gas_Steam_only_2033</v>
      </c>
      <c r="P3088">
        <f t="shared" si="191"/>
        <v>25.8</v>
      </c>
    </row>
    <row r="3089" spans="4:16" x14ac:dyDescent="0.25">
      <c r="D3089">
        <v>2034</v>
      </c>
      <c r="E3089" t="s">
        <v>348</v>
      </c>
      <c r="F3089" t="s">
        <v>364</v>
      </c>
      <c r="G3089">
        <v>25.8</v>
      </c>
      <c r="I3089">
        <f t="shared" si="192"/>
        <v>0</v>
      </c>
      <c r="J3089">
        <f t="shared" si="192"/>
        <v>0</v>
      </c>
      <c r="K3089">
        <f t="shared" si="192"/>
        <v>0</v>
      </c>
      <c r="M3089" t="str" cm="1">
        <f t="array" ref="M3089">IFERROR(INDEX($I$2:$K$2,0,MATCH(TRUE,I3089:K3089,0)),E3089)</f>
        <v>Gas_Steam_only</v>
      </c>
      <c r="O3089" t="str">
        <f t="shared" si="190"/>
        <v>Gas_Steam_only_2034</v>
      </c>
      <c r="P3089">
        <f t="shared" si="191"/>
        <v>25.8</v>
      </c>
    </row>
    <row r="3090" spans="4:16" x14ac:dyDescent="0.25">
      <c r="D3090">
        <v>2035</v>
      </c>
      <c r="E3090" t="s">
        <v>348</v>
      </c>
      <c r="F3090" t="s">
        <v>364</v>
      </c>
      <c r="G3090">
        <v>25.8</v>
      </c>
      <c r="I3090">
        <f t="shared" si="192"/>
        <v>0</v>
      </c>
      <c r="J3090">
        <f t="shared" si="192"/>
        <v>0</v>
      </c>
      <c r="K3090">
        <f t="shared" si="192"/>
        <v>0</v>
      </c>
      <c r="M3090" t="str" cm="1">
        <f t="array" ref="M3090">IFERROR(INDEX($I$2:$K$2,0,MATCH(TRUE,I3090:K3090,0)),E3090)</f>
        <v>Gas_Steam_only</v>
      </c>
      <c r="O3090" t="str">
        <f t="shared" si="190"/>
        <v>Gas_Steam_only_2035</v>
      </c>
      <c r="P3090">
        <f t="shared" si="191"/>
        <v>25.8</v>
      </c>
    </row>
    <row r="3091" spans="4:16" x14ac:dyDescent="0.25">
      <c r="D3091">
        <v>2036</v>
      </c>
      <c r="E3091" t="s">
        <v>348</v>
      </c>
      <c r="F3091" t="s">
        <v>364</v>
      </c>
      <c r="G3091">
        <v>25.8</v>
      </c>
      <c r="I3091">
        <f t="shared" si="192"/>
        <v>0</v>
      </c>
      <c r="J3091">
        <f t="shared" si="192"/>
        <v>0</v>
      </c>
      <c r="K3091">
        <f t="shared" si="192"/>
        <v>0</v>
      </c>
      <c r="M3091" t="str" cm="1">
        <f t="array" ref="M3091">IFERROR(INDEX($I$2:$K$2,0,MATCH(TRUE,I3091:K3091,0)),E3091)</f>
        <v>Gas_Steam_only</v>
      </c>
      <c r="O3091" t="str">
        <f t="shared" ref="O3091:O3154" si="193">M3091&amp;"_"&amp;D3091</f>
        <v>Gas_Steam_only_2036</v>
      </c>
      <c r="P3091">
        <f t="shared" ref="P3091:P3154" si="194">G3091</f>
        <v>25.8</v>
      </c>
    </row>
    <row r="3092" spans="4:16" x14ac:dyDescent="0.25">
      <c r="D3092">
        <v>2037</v>
      </c>
      <c r="E3092" t="s">
        <v>348</v>
      </c>
      <c r="F3092" t="s">
        <v>364</v>
      </c>
      <c r="G3092">
        <v>25.8</v>
      </c>
      <c r="I3092">
        <f t="shared" si="192"/>
        <v>0</v>
      </c>
      <c r="J3092">
        <f t="shared" si="192"/>
        <v>0</v>
      </c>
      <c r="K3092">
        <f t="shared" si="192"/>
        <v>0</v>
      </c>
      <c r="M3092" t="str" cm="1">
        <f t="array" ref="M3092">IFERROR(INDEX($I$2:$K$2,0,MATCH(TRUE,I3092:K3092,0)),E3092)</f>
        <v>Gas_Steam_only</v>
      </c>
      <c r="O3092" t="str">
        <f t="shared" si="193"/>
        <v>Gas_Steam_only_2037</v>
      </c>
      <c r="P3092">
        <f t="shared" si="194"/>
        <v>25.8</v>
      </c>
    </row>
    <row r="3093" spans="4:16" x14ac:dyDescent="0.25">
      <c r="D3093">
        <v>2038</v>
      </c>
      <c r="E3093" t="s">
        <v>348</v>
      </c>
      <c r="F3093" t="s">
        <v>364</v>
      </c>
      <c r="G3093">
        <v>25.8</v>
      </c>
      <c r="I3093">
        <f t="shared" ref="I3093:K3156" si="195">IFERROR(FIND(I$2,$E3093,1)&gt;0,0)</f>
        <v>0</v>
      </c>
      <c r="J3093">
        <f t="shared" si="195"/>
        <v>0</v>
      </c>
      <c r="K3093">
        <f t="shared" si="195"/>
        <v>0</v>
      </c>
      <c r="M3093" t="str" cm="1">
        <f t="array" ref="M3093">IFERROR(INDEX($I$2:$K$2,0,MATCH(TRUE,I3093:K3093,0)),E3093)</f>
        <v>Gas_Steam_only</v>
      </c>
      <c r="O3093" t="str">
        <f t="shared" si="193"/>
        <v>Gas_Steam_only_2038</v>
      </c>
      <c r="P3093">
        <f t="shared" si="194"/>
        <v>25.8</v>
      </c>
    </row>
    <row r="3094" spans="4:16" x14ac:dyDescent="0.25">
      <c r="D3094">
        <v>2039</v>
      </c>
      <c r="E3094" t="s">
        <v>348</v>
      </c>
      <c r="F3094" t="s">
        <v>364</v>
      </c>
      <c r="G3094">
        <v>25.8</v>
      </c>
      <c r="I3094">
        <f t="shared" si="195"/>
        <v>0</v>
      </c>
      <c r="J3094">
        <f t="shared" si="195"/>
        <v>0</v>
      </c>
      <c r="K3094">
        <f t="shared" si="195"/>
        <v>0</v>
      </c>
      <c r="M3094" t="str" cm="1">
        <f t="array" ref="M3094">IFERROR(INDEX($I$2:$K$2,0,MATCH(TRUE,I3094:K3094,0)),E3094)</f>
        <v>Gas_Steam_only</v>
      </c>
      <c r="O3094" t="str">
        <f t="shared" si="193"/>
        <v>Gas_Steam_only_2039</v>
      </c>
      <c r="P3094">
        <f t="shared" si="194"/>
        <v>25.8</v>
      </c>
    </row>
    <row r="3095" spans="4:16" x14ac:dyDescent="0.25">
      <c r="D3095">
        <v>2040</v>
      </c>
      <c r="E3095" t="s">
        <v>348</v>
      </c>
      <c r="F3095" t="s">
        <v>364</v>
      </c>
      <c r="G3095">
        <v>25.8</v>
      </c>
      <c r="I3095">
        <f t="shared" si="195"/>
        <v>0</v>
      </c>
      <c r="J3095">
        <f t="shared" si="195"/>
        <v>0</v>
      </c>
      <c r="K3095">
        <f t="shared" si="195"/>
        <v>0</v>
      </c>
      <c r="M3095" t="str" cm="1">
        <f t="array" ref="M3095">IFERROR(INDEX($I$2:$K$2,0,MATCH(TRUE,I3095:K3095,0)),E3095)</f>
        <v>Gas_Steam_only</v>
      </c>
      <c r="O3095" t="str">
        <f t="shared" si="193"/>
        <v>Gas_Steam_only_2040</v>
      </c>
      <c r="P3095">
        <f t="shared" si="194"/>
        <v>25.8</v>
      </c>
    </row>
    <row r="3096" spans="4:16" x14ac:dyDescent="0.25">
      <c r="D3096">
        <v>2022</v>
      </c>
      <c r="E3096" t="s">
        <v>348</v>
      </c>
      <c r="F3096" t="s">
        <v>365</v>
      </c>
      <c r="G3096">
        <v>0</v>
      </c>
      <c r="I3096">
        <f t="shared" si="195"/>
        <v>0</v>
      </c>
      <c r="J3096">
        <f t="shared" si="195"/>
        <v>0</v>
      </c>
      <c r="K3096">
        <f t="shared" si="195"/>
        <v>0</v>
      </c>
      <c r="M3096" t="str" cm="1">
        <f t="array" ref="M3096">IFERROR(INDEX($I$2:$K$2,0,MATCH(TRUE,I3096:K3096,0)),E3096)</f>
        <v>Gas_Steam_only</v>
      </c>
      <c r="O3096" t="str">
        <f t="shared" si="193"/>
        <v>Gas_Steam_only_2022</v>
      </c>
      <c r="P3096">
        <f t="shared" si="194"/>
        <v>0</v>
      </c>
    </row>
    <row r="3097" spans="4:16" x14ac:dyDescent="0.25">
      <c r="D3097">
        <v>2023</v>
      </c>
      <c r="E3097" t="s">
        <v>348</v>
      </c>
      <c r="F3097" t="s">
        <v>365</v>
      </c>
      <c r="G3097">
        <v>431</v>
      </c>
      <c r="I3097">
        <f t="shared" si="195"/>
        <v>0</v>
      </c>
      <c r="J3097">
        <f t="shared" si="195"/>
        <v>0</v>
      </c>
      <c r="K3097">
        <f t="shared" si="195"/>
        <v>0</v>
      </c>
      <c r="M3097" t="str" cm="1">
        <f t="array" ref="M3097">IFERROR(INDEX($I$2:$K$2,0,MATCH(TRUE,I3097:K3097,0)),E3097)</f>
        <v>Gas_Steam_only</v>
      </c>
      <c r="O3097" t="str">
        <f t="shared" si="193"/>
        <v>Gas_Steam_only_2023</v>
      </c>
      <c r="P3097">
        <f t="shared" si="194"/>
        <v>431</v>
      </c>
    </row>
    <row r="3098" spans="4:16" x14ac:dyDescent="0.25">
      <c r="D3098">
        <v>2024</v>
      </c>
      <c r="E3098" t="s">
        <v>348</v>
      </c>
      <c r="F3098" t="s">
        <v>365</v>
      </c>
      <c r="G3098">
        <v>431</v>
      </c>
      <c r="I3098">
        <f t="shared" si="195"/>
        <v>0</v>
      </c>
      <c r="J3098">
        <f t="shared" si="195"/>
        <v>0</v>
      </c>
      <c r="K3098">
        <f t="shared" si="195"/>
        <v>0</v>
      </c>
      <c r="M3098" t="str" cm="1">
        <f t="array" ref="M3098">IFERROR(INDEX($I$2:$K$2,0,MATCH(TRUE,I3098:K3098,0)),E3098)</f>
        <v>Gas_Steam_only</v>
      </c>
      <c r="O3098" t="str">
        <f t="shared" si="193"/>
        <v>Gas_Steam_only_2024</v>
      </c>
      <c r="P3098">
        <f t="shared" si="194"/>
        <v>431</v>
      </c>
    </row>
    <row r="3099" spans="4:16" x14ac:dyDescent="0.25">
      <c r="D3099">
        <v>2025</v>
      </c>
      <c r="E3099" t="s">
        <v>348</v>
      </c>
      <c r="F3099" t="s">
        <v>365</v>
      </c>
      <c r="G3099">
        <v>431</v>
      </c>
      <c r="I3099">
        <f t="shared" si="195"/>
        <v>0</v>
      </c>
      <c r="J3099">
        <f t="shared" si="195"/>
        <v>0</v>
      </c>
      <c r="K3099">
        <f t="shared" si="195"/>
        <v>0</v>
      </c>
      <c r="M3099" t="str" cm="1">
        <f t="array" ref="M3099">IFERROR(INDEX($I$2:$K$2,0,MATCH(TRUE,I3099:K3099,0)),E3099)</f>
        <v>Gas_Steam_only</v>
      </c>
      <c r="O3099" t="str">
        <f t="shared" si="193"/>
        <v>Gas_Steam_only_2025</v>
      </c>
      <c r="P3099">
        <f t="shared" si="194"/>
        <v>431</v>
      </c>
    </row>
    <row r="3100" spans="4:16" x14ac:dyDescent="0.25">
      <c r="D3100">
        <v>2026</v>
      </c>
      <c r="E3100" t="s">
        <v>348</v>
      </c>
      <c r="F3100" t="s">
        <v>365</v>
      </c>
      <c r="G3100">
        <v>431</v>
      </c>
      <c r="I3100">
        <f t="shared" si="195"/>
        <v>0</v>
      </c>
      <c r="J3100">
        <f t="shared" si="195"/>
        <v>0</v>
      </c>
      <c r="K3100">
        <f t="shared" si="195"/>
        <v>0</v>
      </c>
      <c r="M3100" t="str" cm="1">
        <f t="array" ref="M3100">IFERROR(INDEX($I$2:$K$2,0,MATCH(TRUE,I3100:K3100,0)),E3100)</f>
        <v>Gas_Steam_only</v>
      </c>
      <c r="O3100" t="str">
        <f t="shared" si="193"/>
        <v>Gas_Steam_only_2026</v>
      </c>
      <c r="P3100">
        <f t="shared" si="194"/>
        <v>431</v>
      </c>
    </row>
    <row r="3101" spans="4:16" x14ac:dyDescent="0.25">
      <c r="D3101">
        <v>2027</v>
      </c>
      <c r="E3101" t="s">
        <v>348</v>
      </c>
      <c r="F3101" t="s">
        <v>365</v>
      </c>
      <c r="G3101">
        <v>431</v>
      </c>
      <c r="I3101">
        <f t="shared" si="195"/>
        <v>0</v>
      </c>
      <c r="J3101">
        <f t="shared" si="195"/>
        <v>0</v>
      </c>
      <c r="K3101">
        <f t="shared" si="195"/>
        <v>0</v>
      </c>
      <c r="M3101" t="str" cm="1">
        <f t="array" ref="M3101">IFERROR(INDEX($I$2:$K$2,0,MATCH(TRUE,I3101:K3101,0)),E3101)</f>
        <v>Gas_Steam_only</v>
      </c>
      <c r="O3101" t="str">
        <f t="shared" si="193"/>
        <v>Gas_Steam_only_2027</v>
      </c>
      <c r="P3101">
        <f t="shared" si="194"/>
        <v>431</v>
      </c>
    </row>
    <row r="3102" spans="4:16" x14ac:dyDescent="0.25">
      <c r="D3102">
        <v>2028</v>
      </c>
      <c r="E3102" t="s">
        <v>348</v>
      </c>
      <c r="F3102" t="s">
        <v>365</v>
      </c>
      <c r="G3102">
        <v>431</v>
      </c>
      <c r="I3102">
        <f t="shared" si="195"/>
        <v>0</v>
      </c>
      <c r="J3102">
        <f t="shared" si="195"/>
        <v>0</v>
      </c>
      <c r="K3102">
        <f t="shared" si="195"/>
        <v>0</v>
      </c>
      <c r="M3102" t="str" cm="1">
        <f t="array" ref="M3102">IFERROR(INDEX($I$2:$K$2,0,MATCH(TRUE,I3102:K3102,0)),E3102)</f>
        <v>Gas_Steam_only</v>
      </c>
      <c r="O3102" t="str">
        <f t="shared" si="193"/>
        <v>Gas_Steam_only_2028</v>
      </c>
      <c r="P3102">
        <f t="shared" si="194"/>
        <v>431</v>
      </c>
    </row>
    <row r="3103" spans="4:16" x14ac:dyDescent="0.25">
      <c r="D3103">
        <v>2029</v>
      </c>
      <c r="E3103" t="s">
        <v>348</v>
      </c>
      <c r="F3103" t="s">
        <v>365</v>
      </c>
      <c r="G3103">
        <v>431</v>
      </c>
      <c r="I3103">
        <f t="shared" si="195"/>
        <v>0</v>
      </c>
      <c r="J3103">
        <f t="shared" si="195"/>
        <v>0</v>
      </c>
      <c r="K3103">
        <f t="shared" si="195"/>
        <v>0</v>
      </c>
      <c r="M3103" t="str" cm="1">
        <f t="array" ref="M3103">IFERROR(INDEX($I$2:$K$2,0,MATCH(TRUE,I3103:K3103,0)),E3103)</f>
        <v>Gas_Steam_only</v>
      </c>
      <c r="O3103" t="str">
        <f t="shared" si="193"/>
        <v>Gas_Steam_only_2029</v>
      </c>
      <c r="P3103">
        <f t="shared" si="194"/>
        <v>431</v>
      </c>
    </row>
    <row r="3104" spans="4:16" x14ac:dyDescent="0.25">
      <c r="D3104">
        <v>2030</v>
      </c>
      <c r="E3104" t="s">
        <v>348</v>
      </c>
      <c r="F3104" t="s">
        <v>365</v>
      </c>
      <c r="G3104">
        <v>431</v>
      </c>
      <c r="I3104">
        <f t="shared" si="195"/>
        <v>0</v>
      </c>
      <c r="J3104">
        <f t="shared" si="195"/>
        <v>0</v>
      </c>
      <c r="K3104">
        <f t="shared" si="195"/>
        <v>0</v>
      </c>
      <c r="M3104" t="str" cm="1">
        <f t="array" ref="M3104">IFERROR(INDEX($I$2:$K$2,0,MATCH(TRUE,I3104:K3104,0)),E3104)</f>
        <v>Gas_Steam_only</v>
      </c>
      <c r="O3104" t="str">
        <f t="shared" si="193"/>
        <v>Gas_Steam_only_2030</v>
      </c>
      <c r="P3104">
        <f t="shared" si="194"/>
        <v>431</v>
      </c>
    </row>
    <row r="3105" spans="4:16" x14ac:dyDescent="0.25">
      <c r="D3105">
        <v>2031</v>
      </c>
      <c r="E3105" t="s">
        <v>348</v>
      </c>
      <c r="F3105" t="s">
        <v>365</v>
      </c>
      <c r="G3105">
        <v>431</v>
      </c>
      <c r="I3105">
        <f t="shared" si="195"/>
        <v>0</v>
      </c>
      <c r="J3105">
        <f t="shared" si="195"/>
        <v>0</v>
      </c>
      <c r="K3105">
        <f t="shared" si="195"/>
        <v>0</v>
      </c>
      <c r="M3105" t="str" cm="1">
        <f t="array" ref="M3105">IFERROR(INDEX($I$2:$K$2,0,MATCH(TRUE,I3105:K3105,0)),E3105)</f>
        <v>Gas_Steam_only</v>
      </c>
      <c r="O3105" t="str">
        <f t="shared" si="193"/>
        <v>Gas_Steam_only_2031</v>
      </c>
      <c r="P3105">
        <f t="shared" si="194"/>
        <v>431</v>
      </c>
    </row>
    <row r="3106" spans="4:16" x14ac:dyDescent="0.25">
      <c r="D3106">
        <v>2032</v>
      </c>
      <c r="E3106" t="s">
        <v>348</v>
      </c>
      <c r="F3106" t="s">
        <v>365</v>
      </c>
      <c r="G3106">
        <v>431</v>
      </c>
      <c r="I3106">
        <f t="shared" si="195"/>
        <v>0</v>
      </c>
      <c r="J3106">
        <f t="shared" si="195"/>
        <v>0</v>
      </c>
      <c r="K3106">
        <f t="shared" si="195"/>
        <v>0</v>
      </c>
      <c r="M3106" t="str" cm="1">
        <f t="array" ref="M3106">IFERROR(INDEX($I$2:$K$2,0,MATCH(TRUE,I3106:K3106,0)),E3106)</f>
        <v>Gas_Steam_only</v>
      </c>
      <c r="O3106" t="str">
        <f t="shared" si="193"/>
        <v>Gas_Steam_only_2032</v>
      </c>
      <c r="P3106">
        <f t="shared" si="194"/>
        <v>431</v>
      </c>
    </row>
    <row r="3107" spans="4:16" x14ac:dyDescent="0.25">
      <c r="D3107">
        <v>2033</v>
      </c>
      <c r="E3107" t="s">
        <v>348</v>
      </c>
      <c r="F3107" t="s">
        <v>365</v>
      </c>
      <c r="G3107">
        <v>431</v>
      </c>
      <c r="I3107">
        <f t="shared" si="195"/>
        <v>0</v>
      </c>
      <c r="J3107">
        <f t="shared" si="195"/>
        <v>0</v>
      </c>
      <c r="K3107">
        <f t="shared" si="195"/>
        <v>0</v>
      </c>
      <c r="M3107" t="str" cm="1">
        <f t="array" ref="M3107">IFERROR(INDEX($I$2:$K$2,0,MATCH(TRUE,I3107:K3107,0)),E3107)</f>
        <v>Gas_Steam_only</v>
      </c>
      <c r="O3107" t="str">
        <f t="shared" si="193"/>
        <v>Gas_Steam_only_2033</v>
      </c>
      <c r="P3107">
        <f t="shared" si="194"/>
        <v>431</v>
      </c>
    </row>
    <row r="3108" spans="4:16" x14ac:dyDescent="0.25">
      <c r="D3108">
        <v>2034</v>
      </c>
      <c r="E3108" t="s">
        <v>348</v>
      </c>
      <c r="F3108" t="s">
        <v>365</v>
      </c>
      <c r="G3108">
        <v>431</v>
      </c>
      <c r="I3108">
        <f t="shared" si="195"/>
        <v>0</v>
      </c>
      <c r="J3108">
        <f t="shared" si="195"/>
        <v>0</v>
      </c>
      <c r="K3108">
        <f t="shared" si="195"/>
        <v>0</v>
      </c>
      <c r="M3108" t="str" cm="1">
        <f t="array" ref="M3108">IFERROR(INDEX($I$2:$K$2,0,MATCH(TRUE,I3108:K3108,0)),E3108)</f>
        <v>Gas_Steam_only</v>
      </c>
      <c r="O3108" t="str">
        <f t="shared" si="193"/>
        <v>Gas_Steam_only_2034</v>
      </c>
      <c r="P3108">
        <f t="shared" si="194"/>
        <v>431</v>
      </c>
    </row>
    <row r="3109" spans="4:16" x14ac:dyDescent="0.25">
      <c r="D3109">
        <v>2035</v>
      </c>
      <c r="E3109" t="s">
        <v>348</v>
      </c>
      <c r="F3109" t="s">
        <v>365</v>
      </c>
      <c r="G3109">
        <v>431</v>
      </c>
      <c r="I3109">
        <f t="shared" si="195"/>
        <v>0</v>
      </c>
      <c r="J3109">
        <f t="shared" si="195"/>
        <v>0</v>
      </c>
      <c r="K3109">
        <f t="shared" si="195"/>
        <v>0</v>
      </c>
      <c r="M3109" t="str" cm="1">
        <f t="array" ref="M3109">IFERROR(INDEX($I$2:$K$2,0,MATCH(TRUE,I3109:K3109,0)),E3109)</f>
        <v>Gas_Steam_only</v>
      </c>
      <c r="O3109" t="str">
        <f t="shared" si="193"/>
        <v>Gas_Steam_only_2035</v>
      </c>
      <c r="P3109">
        <f t="shared" si="194"/>
        <v>431</v>
      </c>
    </row>
    <row r="3110" spans="4:16" x14ac:dyDescent="0.25">
      <c r="D3110">
        <v>2036</v>
      </c>
      <c r="E3110" t="s">
        <v>348</v>
      </c>
      <c r="F3110" t="s">
        <v>365</v>
      </c>
      <c r="G3110">
        <v>431</v>
      </c>
      <c r="I3110">
        <f t="shared" si="195"/>
        <v>0</v>
      </c>
      <c r="J3110">
        <f t="shared" si="195"/>
        <v>0</v>
      </c>
      <c r="K3110">
        <f t="shared" si="195"/>
        <v>0</v>
      </c>
      <c r="M3110" t="str" cm="1">
        <f t="array" ref="M3110">IFERROR(INDEX($I$2:$K$2,0,MATCH(TRUE,I3110:K3110,0)),E3110)</f>
        <v>Gas_Steam_only</v>
      </c>
      <c r="O3110" t="str">
        <f t="shared" si="193"/>
        <v>Gas_Steam_only_2036</v>
      </c>
      <c r="P3110">
        <f t="shared" si="194"/>
        <v>431</v>
      </c>
    </row>
    <row r="3111" spans="4:16" x14ac:dyDescent="0.25">
      <c r="D3111">
        <v>2037</v>
      </c>
      <c r="E3111" t="s">
        <v>348</v>
      </c>
      <c r="F3111" t="s">
        <v>365</v>
      </c>
      <c r="G3111">
        <v>431</v>
      </c>
      <c r="I3111">
        <f t="shared" si="195"/>
        <v>0</v>
      </c>
      <c r="J3111">
        <f t="shared" si="195"/>
        <v>0</v>
      </c>
      <c r="K3111">
        <f t="shared" si="195"/>
        <v>0</v>
      </c>
      <c r="M3111" t="str" cm="1">
        <f t="array" ref="M3111">IFERROR(INDEX($I$2:$K$2,0,MATCH(TRUE,I3111:K3111,0)),E3111)</f>
        <v>Gas_Steam_only</v>
      </c>
      <c r="O3111" t="str">
        <f t="shared" si="193"/>
        <v>Gas_Steam_only_2037</v>
      </c>
      <c r="P3111">
        <f t="shared" si="194"/>
        <v>431</v>
      </c>
    </row>
    <row r="3112" spans="4:16" x14ac:dyDescent="0.25">
      <c r="D3112">
        <v>2038</v>
      </c>
      <c r="E3112" t="s">
        <v>348</v>
      </c>
      <c r="F3112" t="s">
        <v>365</v>
      </c>
      <c r="G3112">
        <v>431</v>
      </c>
      <c r="I3112">
        <f t="shared" si="195"/>
        <v>0</v>
      </c>
      <c r="J3112">
        <f t="shared" si="195"/>
        <v>0</v>
      </c>
      <c r="K3112">
        <f t="shared" si="195"/>
        <v>0</v>
      </c>
      <c r="M3112" t="str" cm="1">
        <f t="array" ref="M3112">IFERROR(INDEX($I$2:$K$2,0,MATCH(TRUE,I3112:K3112,0)),E3112)</f>
        <v>Gas_Steam_only</v>
      </c>
      <c r="O3112" t="str">
        <f t="shared" si="193"/>
        <v>Gas_Steam_only_2038</v>
      </c>
      <c r="P3112">
        <f t="shared" si="194"/>
        <v>431</v>
      </c>
    </row>
    <row r="3113" spans="4:16" x14ac:dyDescent="0.25">
      <c r="D3113">
        <v>2039</v>
      </c>
      <c r="E3113" t="s">
        <v>348</v>
      </c>
      <c r="F3113" t="s">
        <v>365</v>
      </c>
      <c r="G3113">
        <v>431</v>
      </c>
      <c r="I3113">
        <f t="shared" si="195"/>
        <v>0</v>
      </c>
      <c r="J3113">
        <f t="shared" si="195"/>
        <v>0</v>
      </c>
      <c r="K3113">
        <f t="shared" si="195"/>
        <v>0</v>
      </c>
      <c r="M3113" t="str" cm="1">
        <f t="array" ref="M3113">IFERROR(INDEX($I$2:$K$2,0,MATCH(TRUE,I3113:K3113,0)),E3113)</f>
        <v>Gas_Steam_only</v>
      </c>
      <c r="O3113" t="str">
        <f t="shared" si="193"/>
        <v>Gas_Steam_only_2039</v>
      </c>
      <c r="P3113">
        <f t="shared" si="194"/>
        <v>431</v>
      </c>
    </row>
    <row r="3114" spans="4:16" x14ac:dyDescent="0.25">
      <c r="D3114">
        <v>2040</v>
      </c>
      <c r="E3114" t="s">
        <v>348</v>
      </c>
      <c r="F3114" t="s">
        <v>365</v>
      </c>
      <c r="G3114">
        <v>431</v>
      </c>
      <c r="I3114">
        <f t="shared" si="195"/>
        <v>0</v>
      </c>
      <c r="J3114">
        <f t="shared" si="195"/>
        <v>0</v>
      </c>
      <c r="K3114">
        <f t="shared" si="195"/>
        <v>0</v>
      </c>
      <c r="M3114" t="str" cm="1">
        <f t="array" ref="M3114">IFERROR(INDEX($I$2:$K$2,0,MATCH(TRUE,I3114:K3114,0)),E3114)</f>
        <v>Gas_Steam_only</v>
      </c>
      <c r="O3114" t="str">
        <f t="shared" si="193"/>
        <v>Gas_Steam_only_2040</v>
      </c>
      <c r="P3114">
        <f t="shared" si="194"/>
        <v>431</v>
      </c>
    </row>
    <row r="3115" spans="4:16" x14ac:dyDescent="0.25">
      <c r="D3115">
        <v>2022</v>
      </c>
      <c r="E3115" t="s">
        <v>348</v>
      </c>
      <c r="F3115" t="s">
        <v>366</v>
      </c>
      <c r="G3115">
        <v>0</v>
      </c>
      <c r="I3115">
        <f t="shared" si="195"/>
        <v>0</v>
      </c>
      <c r="J3115">
        <f t="shared" si="195"/>
        <v>0</v>
      </c>
      <c r="K3115">
        <f t="shared" si="195"/>
        <v>0</v>
      </c>
      <c r="M3115" t="str" cm="1">
        <f t="array" ref="M3115">IFERROR(INDEX($I$2:$K$2,0,MATCH(TRUE,I3115:K3115,0)),E3115)</f>
        <v>Gas_Steam_only</v>
      </c>
      <c r="O3115" t="str">
        <f t="shared" si="193"/>
        <v>Gas_Steam_only_2022</v>
      </c>
      <c r="P3115">
        <f t="shared" si="194"/>
        <v>0</v>
      </c>
    </row>
    <row r="3116" spans="4:16" x14ac:dyDescent="0.25">
      <c r="D3116">
        <v>2023</v>
      </c>
      <c r="E3116" t="s">
        <v>348</v>
      </c>
      <c r="F3116" t="s">
        <v>366</v>
      </c>
      <c r="G3116">
        <v>423.5</v>
      </c>
      <c r="I3116">
        <f t="shared" si="195"/>
        <v>0</v>
      </c>
      <c r="J3116">
        <f t="shared" si="195"/>
        <v>0</v>
      </c>
      <c r="K3116">
        <f t="shared" si="195"/>
        <v>0</v>
      </c>
      <c r="M3116" t="str" cm="1">
        <f t="array" ref="M3116">IFERROR(INDEX($I$2:$K$2,0,MATCH(TRUE,I3116:K3116,0)),E3116)</f>
        <v>Gas_Steam_only</v>
      </c>
      <c r="O3116" t="str">
        <f t="shared" si="193"/>
        <v>Gas_Steam_only_2023</v>
      </c>
      <c r="P3116">
        <f t="shared" si="194"/>
        <v>423.5</v>
      </c>
    </row>
    <row r="3117" spans="4:16" x14ac:dyDescent="0.25">
      <c r="D3117">
        <v>2024</v>
      </c>
      <c r="E3117" t="s">
        <v>348</v>
      </c>
      <c r="F3117" t="s">
        <v>366</v>
      </c>
      <c r="G3117">
        <v>423.5</v>
      </c>
      <c r="I3117">
        <f t="shared" si="195"/>
        <v>0</v>
      </c>
      <c r="J3117">
        <f t="shared" si="195"/>
        <v>0</v>
      </c>
      <c r="K3117">
        <f t="shared" si="195"/>
        <v>0</v>
      </c>
      <c r="M3117" t="str" cm="1">
        <f t="array" ref="M3117">IFERROR(INDEX($I$2:$K$2,0,MATCH(TRUE,I3117:K3117,0)),E3117)</f>
        <v>Gas_Steam_only</v>
      </c>
      <c r="O3117" t="str">
        <f t="shared" si="193"/>
        <v>Gas_Steam_only_2024</v>
      </c>
      <c r="P3117">
        <f t="shared" si="194"/>
        <v>423.5</v>
      </c>
    </row>
    <row r="3118" spans="4:16" x14ac:dyDescent="0.25">
      <c r="D3118">
        <v>2025</v>
      </c>
      <c r="E3118" t="s">
        <v>348</v>
      </c>
      <c r="F3118" t="s">
        <v>366</v>
      </c>
      <c r="G3118">
        <v>423.5</v>
      </c>
      <c r="I3118">
        <f t="shared" si="195"/>
        <v>0</v>
      </c>
      <c r="J3118">
        <f t="shared" si="195"/>
        <v>0</v>
      </c>
      <c r="K3118">
        <f t="shared" si="195"/>
        <v>0</v>
      </c>
      <c r="M3118" t="str" cm="1">
        <f t="array" ref="M3118">IFERROR(INDEX($I$2:$K$2,0,MATCH(TRUE,I3118:K3118,0)),E3118)</f>
        <v>Gas_Steam_only</v>
      </c>
      <c r="O3118" t="str">
        <f t="shared" si="193"/>
        <v>Gas_Steam_only_2025</v>
      </c>
      <c r="P3118">
        <f t="shared" si="194"/>
        <v>423.5</v>
      </c>
    </row>
    <row r="3119" spans="4:16" x14ac:dyDescent="0.25">
      <c r="D3119">
        <v>2026</v>
      </c>
      <c r="E3119" t="s">
        <v>348</v>
      </c>
      <c r="F3119" t="s">
        <v>366</v>
      </c>
      <c r="G3119">
        <v>423.5</v>
      </c>
      <c r="I3119">
        <f t="shared" si="195"/>
        <v>0</v>
      </c>
      <c r="J3119">
        <f t="shared" si="195"/>
        <v>0</v>
      </c>
      <c r="K3119">
        <f t="shared" si="195"/>
        <v>0</v>
      </c>
      <c r="M3119" t="str" cm="1">
        <f t="array" ref="M3119">IFERROR(INDEX($I$2:$K$2,0,MATCH(TRUE,I3119:K3119,0)),E3119)</f>
        <v>Gas_Steam_only</v>
      </c>
      <c r="O3119" t="str">
        <f t="shared" si="193"/>
        <v>Gas_Steam_only_2026</v>
      </c>
      <c r="P3119">
        <f t="shared" si="194"/>
        <v>423.5</v>
      </c>
    </row>
    <row r="3120" spans="4:16" x14ac:dyDescent="0.25">
      <c r="D3120">
        <v>2027</v>
      </c>
      <c r="E3120" t="s">
        <v>348</v>
      </c>
      <c r="F3120" t="s">
        <v>366</v>
      </c>
      <c r="G3120">
        <v>423.5</v>
      </c>
      <c r="I3120">
        <f t="shared" si="195"/>
        <v>0</v>
      </c>
      <c r="J3120">
        <f t="shared" si="195"/>
        <v>0</v>
      </c>
      <c r="K3120">
        <f t="shared" si="195"/>
        <v>0</v>
      </c>
      <c r="M3120" t="str" cm="1">
        <f t="array" ref="M3120">IFERROR(INDEX($I$2:$K$2,0,MATCH(TRUE,I3120:K3120,0)),E3120)</f>
        <v>Gas_Steam_only</v>
      </c>
      <c r="O3120" t="str">
        <f t="shared" si="193"/>
        <v>Gas_Steam_only_2027</v>
      </c>
      <c r="P3120">
        <f t="shared" si="194"/>
        <v>423.5</v>
      </c>
    </row>
    <row r="3121" spans="4:16" x14ac:dyDescent="0.25">
      <c r="D3121">
        <v>2028</v>
      </c>
      <c r="E3121" t="s">
        <v>348</v>
      </c>
      <c r="F3121" t="s">
        <v>366</v>
      </c>
      <c r="G3121">
        <v>423.5</v>
      </c>
      <c r="I3121">
        <f t="shared" si="195"/>
        <v>0</v>
      </c>
      <c r="J3121">
        <f t="shared" si="195"/>
        <v>0</v>
      </c>
      <c r="K3121">
        <f t="shared" si="195"/>
        <v>0</v>
      </c>
      <c r="M3121" t="str" cm="1">
        <f t="array" ref="M3121">IFERROR(INDEX($I$2:$K$2,0,MATCH(TRUE,I3121:K3121,0)),E3121)</f>
        <v>Gas_Steam_only</v>
      </c>
      <c r="O3121" t="str">
        <f t="shared" si="193"/>
        <v>Gas_Steam_only_2028</v>
      </c>
      <c r="P3121">
        <f t="shared" si="194"/>
        <v>423.5</v>
      </c>
    </row>
    <row r="3122" spans="4:16" x14ac:dyDescent="0.25">
      <c r="D3122">
        <v>2029</v>
      </c>
      <c r="E3122" t="s">
        <v>348</v>
      </c>
      <c r="F3122" t="s">
        <v>366</v>
      </c>
      <c r="G3122">
        <v>423.5</v>
      </c>
      <c r="I3122">
        <f t="shared" si="195"/>
        <v>0</v>
      </c>
      <c r="J3122">
        <f t="shared" si="195"/>
        <v>0</v>
      </c>
      <c r="K3122">
        <f t="shared" si="195"/>
        <v>0</v>
      </c>
      <c r="M3122" t="str" cm="1">
        <f t="array" ref="M3122">IFERROR(INDEX($I$2:$K$2,0,MATCH(TRUE,I3122:K3122,0)),E3122)</f>
        <v>Gas_Steam_only</v>
      </c>
      <c r="O3122" t="str">
        <f t="shared" si="193"/>
        <v>Gas_Steam_only_2029</v>
      </c>
      <c r="P3122">
        <f t="shared" si="194"/>
        <v>423.5</v>
      </c>
    </row>
    <row r="3123" spans="4:16" x14ac:dyDescent="0.25">
      <c r="D3123">
        <v>2030</v>
      </c>
      <c r="E3123" t="s">
        <v>348</v>
      </c>
      <c r="F3123" t="s">
        <v>366</v>
      </c>
      <c r="G3123">
        <v>423.5</v>
      </c>
      <c r="I3123">
        <f t="shared" si="195"/>
        <v>0</v>
      </c>
      <c r="J3123">
        <f t="shared" si="195"/>
        <v>0</v>
      </c>
      <c r="K3123">
        <f t="shared" si="195"/>
        <v>0</v>
      </c>
      <c r="M3123" t="str" cm="1">
        <f t="array" ref="M3123">IFERROR(INDEX($I$2:$K$2,0,MATCH(TRUE,I3123:K3123,0)),E3123)</f>
        <v>Gas_Steam_only</v>
      </c>
      <c r="O3123" t="str">
        <f t="shared" si="193"/>
        <v>Gas_Steam_only_2030</v>
      </c>
      <c r="P3123">
        <f t="shared" si="194"/>
        <v>423.5</v>
      </c>
    </row>
    <row r="3124" spans="4:16" x14ac:dyDescent="0.25">
      <c r="D3124">
        <v>2031</v>
      </c>
      <c r="E3124" t="s">
        <v>348</v>
      </c>
      <c r="F3124" t="s">
        <v>366</v>
      </c>
      <c r="G3124">
        <v>423.5</v>
      </c>
      <c r="I3124">
        <f t="shared" si="195"/>
        <v>0</v>
      </c>
      <c r="J3124">
        <f t="shared" si="195"/>
        <v>0</v>
      </c>
      <c r="K3124">
        <f t="shared" si="195"/>
        <v>0</v>
      </c>
      <c r="M3124" t="str" cm="1">
        <f t="array" ref="M3124">IFERROR(INDEX($I$2:$K$2,0,MATCH(TRUE,I3124:K3124,0)),E3124)</f>
        <v>Gas_Steam_only</v>
      </c>
      <c r="O3124" t="str">
        <f t="shared" si="193"/>
        <v>Gas_Steam_only_2031</v>
      </c>
      <c r="P3124">
        <f t="shared" si="194"/>
        <v>423.5</v>
      </c>
    </row>
    <row r="3125" spans="4:16" x14ac:dyDescent="0.25">
      <c r="D3125">
        <v>2032</v>
      </c>
      <c r="E3125" t="s">
        <v>348</v>
      </c>
      <c r="F3125" t="s">
        <v>366</v>
      </c>
      <c r="G3125">
        <v>423.5</v>
      </c>
      <c r="I3125">
        <f t="shared" si="195"/>
        <v>0</v>
      </c>
      <c r="J3125">
        <f t="shared" si="195"/>
        <v>0</v>
      </c>
      <c r="K3125">
        <f t="shared" si="195"/>
        <v>0</v>
      </c>
      <c r="M3125" t="str" cm="1">
        <f t="array" ref="M3125">IFERROR(INDEX($I$2:$K$2,0,MATCH(TRUE,I3125:K3125,0)),E3125)</f>
        <v>Gas_Steam_only</v>
      </c>
      <c r="O3125" t="str">
        <f t="shared" si="193"/>
        <v>Gas_Steam_only_2032</v>
      </c>
      <c r="P3125">
        <f t="shared" si="194"/>
        <v>423.5</v>
      </c>
    </row>
    <row r="3126" spans="4:16" x14ac:dyDescent="0.25">
      <c r="D3126">
        <v>2033</v>
      </c>
      <c r="E3126" t="s">
        <v>348</v>
      </c>
      <c r="F3126" t="s">
        <v>366</v>
      </c>
      <c r="G3126">
        <v>423.5</v>
      </c>
      <c r="I3126">
        <f t="shared" si="195"/>
        <v>0</v>
      </c>
      <c r="J3126">
        <f t="shared" si="195"/>
        <v>0</v>
      </c>
      <c r="K3126">
        <f t="shared" si="195"/>
        <v>0</v>
      </c>
      <c r="M3126" t="str" cm="1">
        <f t="array" ref="M3126">IFERROR(INDEX($I$2:$K$2,0,MATCH(TRUE,I3126:K3126,0)),E3126)</f>
        <v>Gas_Steam_only</v>
      </c>
      <c r="O3126" t="str">
        <f t="shared" si="193"/>
        <v>Gas_Steam_only_2033</v>
      </c>
      <c r="P3126">
        <f t="shared" si="194"/>
        <v>423.5</v>
      </c>
    </row>
    <row r="3127" spans="4:16" x14ac:dyDescent="0.25">
      <c r="D3127">
        <v>2034</v>
      </c>
      <c r="E3127" t="s">
        <v>348</v>
      </c>
      <c r="F3127" t="s">
        <v>366</v>
      </c>
      <c r="G3127">
        <v>423.5</v>
      </c>
      <c r="I3127">
        <f t="shared" si="195"/>
        <v>0</v>
      </c>
      <c r="J3127">
        <f t="shared" si="195"/>
        <v>0</v>
      </c>
      <c r="K3127">
        <f t="shared" si="195"/>
        <v>0</v>
      </c>
      <c r="M3127" t="str" cm="1">
        <f t="array" ref="M3127">IFERROR(INDEX($I$2:$K$2,0,MATCH(TRUE,I3127:K3127,0)),E3127)</f>
        <v>Gas_Steam_only</v>
      </c>
      <c r="O3127" t="str">
        <f t="shared" si="193"/>
        <v>Gas_Steam_only_2034</v>
      </c>
      <c r="P3127">
        <f t="shared" si="194"/>
        <v>423.5</v>
      </c>
    </row>
    <row r="3128" spans="4:16" x14ac:dyDescent="0.25">
      <c r="D3128">
        <v>2035</v>
      </c>
      <c r="E3128" t="s">
        <v>348</v>
      </c>
      <c r="F3128" t="s">
        <v>366</v>
      </c>
      <c r="G3128">
        <v>423.5</v>
      </c>
      <c r="I3128">
        <f t="shared" si="195"/>
        <v>0</v>
      </c>
      <c r="J3128">
        <f t="shared" si="195"/>
        <v>0</v>
      </c>
      <c r="K3128">
        <f t="shared" si="195"/>
        <v>0</v>
      </c>
      <c r="M3128" t="str" cm="1">
        <f t="array" ref="M3128">IFERROR(INDEX($I$2:$K$2,0,MATCH(TRUE,I3128:K3128,0)),E3128)</f>
        <v>Gas_Steam_only</v>
      </c>
      <c r="O3128" t="str">
        <f t="shared" si="193"/>
        <v>Gas_Steam_only_2035</v>
      </c>
      <c r="P3128">
        <f t="shared" si="194"/>
        <v>423.5</v>
      </c>
    </row>
    <row r="3129" spans="4:16" x14ac:dyDescent="0.25">
      <c r="D3129">
        <v>2036</v>
      </c>
      <c r="E3129" t="s">
        <v>348</v>
      </c>
      <c r="F3129" t="s">
        <v>366</v>
      </c>
      <c r="G3129">
        <v>423.5</v>
      </c>
      <c r="I3129">
        <f t="shared" si="195"/>
        <v>0</v>
      </c>
      <c r="J3129">
        <f t="shared" si="195"/>
        <v>0</v>
      </c>
      <c r="K3129">
        <f t="shared" si="195"/>
        <v>0</v>
      </c>
      <c r="M3129" t="str" cm="1">
        <f t="array" ref="M3129">IFERROR(INDEX($I$2:$K$2,0,MATCH(TRUE,I3129:K3129,0)),E3129)</f>
        <v>Gas_Steam_only</v>
      </c>
      <c r="O3129" t="str">
        <f t="shared" si="193"/>
        <v>Gas_Steam_only_2036</v>
      </c>
      <c r="P3129">
        <f t="shared" si="194"/>
        <v>423.5</v>
      </c>
    </row>
    <row r="3130" spans="4:16" x14ac:dyDescent="0.25">
      <c r="D3130">
        <v>2037</v>
      </c>
      <c r="E3130" t="s">
        <v>348</v>
      </c>
      <c r="F3130" t="s">
        <v>366</v>
      </c>
      <c r="G3130">
        <v>423.5</v>
      </c>
      <c r="I3130">
        <f t="shared" si="195"/>
        <v>0</v>
      </c>
      <c r="J3130">
        <f t="shared" si="195"/>
        <v>0</v>
      </c>
      <c r="K3130">
        <f t="shared" si="195"/>
        <v>0</v>
      </c>
      <c r="M3130" t="str" cm="1">
        <f t="array" ref="M3130">IFERROR(INDEX($I$2:$K$2,0,MATCH(TRUE,I3130:K3130,0)),E3130)</f>
        <v>Gas_Steam_only</v>
      </c>
      <c r="O3130" t="str">
        <f t="shared" si="193"/>
        <v>Gas_Steam_only_2037</v>
      </c>
      <c r="P3130">
        <f t="shared" si="194"/>
        <v>423.5</v>
      </c>
    </row>
    <row r="3131" spans="4:16" x14ac:dyDescent="0.25">
      <c r="D3131">
        <v>2038</v>
      </c>
      <c r="E3131" t="s">
        <v>348</v>
      </c>
      <c r="F3131" t="s">
        <v>366</v>
      </c>
      <c r="G3131">
        <v>423.5</v>
      </c>
      <c r="I3131">
        <f t="shared" si="195"/>
        <v>0</v>
      </c>
      <c r="J3131">
        <f t="shared" si="195"/>
        <v>0</v>
      </c>
      <c r="K3131">
        <f t="shared" si="195"/>
        <v>0</v>
      </c>
      <c r="M3131" t="str" cm="1">
        <f t="array" ref="M3131">IFERROR(INDEX($I$2:$K$2,0,MATCH(TRUE,I3131:K3131,0)),E3131)</f>
        <v>Gas_Steam_only</v>
      </c>
      <c r="O3131" t="str">
        <f t="shared" si="193"/>
        <v>Gas_Steam_only_2038</v>
      </c>
      <c r="P3131">
        <f t="shared" si="194"/>
        <v>423.5</v>
      </c>
    </row>
    <row r="3132" spans="4:16" x14ac:dyDescent="0.25">
      <c r="D3132">
        <v>2039</v>
      </c>
      <c r="E3132" t="s">
        <v>348</v>
      </c>
      <c r="F3132" t="s">
        <v>366</v>
      </c>
      <c r="G3132">
        <v>423.5</v>
      </c>
      <c r="I3132">
        <f t="shared" si="195"/>
        <v>0</v>
      </c>
      <c r="J3132">
        <f t="shared" si="195"/>
        <v>0</v>
      </c>
      <c r="K3132">
        <f t="shared" si="195"/>
        <v>0</v>
      </c>
      <c r="M3132" t="str" cm="1">
        <f t="array" ref="M3132">IFERROR(INDEX($I$2:$K$2,0,MATCH(TRUE,I3132:K3132,0)),E3132)</f>
        <v>Gas_Steam_only</v>
      </c>
      <c r="O3132" t="str">
        <f t="shared" si="193"/>
        <v>Gas_Steam_only_2039</v>
      </c>
      <c r="P3132">
        <f t="shared" si="194"/>
        <v>423.5</v>
      </c>
    </row>
    <row r="3133" spans="4:16" x14ac:dyDescent="0.25">
      <c r="D3133">
        <v>2040</v>
      </c>
      <c r="E3133" t="s">
        <v>348</v>
      </c>
      <c r="F3133" t="s">
        <v>366</v>
      </c>
      <c r="G3133">
        <v>423.5</v>
      </c>
      <c r="I3133">
        <f t="shared" si="195"/>
        <v>0</v>
      </c>
      <c r="J3133">
        <f t="shared" si="195"/>
        <v>0</v>
      </c>
      <c r="K3133">
        <f t="shared" si="195"/>
        <v>0</v>
      </c>
      <c r="M3133" t="str" cm="1">
        <f t="array" ref="M3133">IFERROR(INDEX($I$2:$K$2,0,MATCH(TRUE,I3133:K3133,0)),E3133)</f>
        <v>Gas_Steam_only</v>
      </c>
      <c r="O3133" t="str">
        <f t="shared" si="193"/>
        <v>Gas_Steam_only_2040</v>
      </c>
      <c r="P3133">
        <f t="shared" si="194"/>
        <v>423.5</v>
      </c>
    </row>
    <row r="3134" spans="4:16" x14ac:dyDescent="0.25">
      <c r="D3134">
        <v>2021</v>
      </c>
      <c r="E3134" t="s">
        <v>348</v>
      </c>
      <c r="F3134" t="s">
        <v>367</v>
      </c>
      <c r="G3134">
        <v>70.3</v>
      </c>
      <c r="I3134">
        <f t="shared" si="195"/>
        <v>0</v>
      </c>
      <c r="J3134">
        <f t="shared" si="195"/>
        <v>0</v>
      </c>
      <c r="K3134">
        <f t="shared" si="195"/>
        <v>0</v>
      </c>
      <c r="M3134" t="str" cm="1">
        <f t="array" ref="M3134">IFERROR(INDEX($I$2:$K$2,0,MATCH(TRUE,I3134:K3134,0)),E3134)</f>
        <v>Gas_Steam_only</v>
      </c>
      <c r="O3134" t="str">
        <f t="shared" si="193"/>
        <v>Gas_Steam_only_2021</v>
      </c>
      <c r="P3134">
        <f t="shared" si="194"/>
        <v>70.3</v>
      </c>
    </row>
    <row r="3135" spans="4:16" x14ac:dyDescent="0.25">
      <c r="D3135">
        <v>2022</v>
      </c>
      <c r="E3135" t="s">
        <v>348</v>
      </c>
      <c r="F3135" t="s">
        <v>367</v>
      </c>
      <c r="G3135">
        <v>70.3</v>
      </c>
      <c r="I3135">
        <f t="shared" si="195"/>
        <v>0</v>
      </c>
      <c r="J3135">
        <f t="shared" si="195"/>
        <v>0</v>
      </c>
      <c r="K3135">
        <f t="shared" si="195"/>
        <v>0</v>
      </c>
      <c r="M3135" t="str" cm="1">
        <f t="array" ref="M3135">IFERROR(INDEX($I$2:$K$2,0,MATCH(TRUE,I3135:K3135,0)),E3135)</f>
        <v>Gas_Steam_only</v>
      </c>
      <c r="O3135" t="str">
        <f t="shared" si="193"/>
        <v>Gas_Steam_only_2022</v>
      </c>
      <c r="P3135">
        <f t="shared" si="194"/>
        <v>70.3</v>
      </c>
    </row>
    <row r="3136" spans="4:16" x14ac:dyDescent="0.25">
      <c r="D3136">
        <v>2021</v>
      </c>
      <c r="E3136" t="s">
        <v>348</v>
      </c>
      <c r="F3136" t="s">
        <v>368</v>
      </c>
      <c r="G3136">
        <v>78</v>
      </c>
      <c r="I3136">
        <f t="shared" si="195"/>
        <v>0</v>
      </c>
      <c r="J3136">
        <f t="shared" si="195"/>
        <v>0</v>
      </c>
      <c r="K3136">
        <f t="shared" si="195"/>
        <v>0</v>
      </c>
      <c r="M3136" t="str" cm="1">
        <f t="array" ref="M3136">IFERROR(INDEX($I$2:$K$2,0,MATCH(TRUE,I3136:K3136,0)),E3136)</f>
        <v>Gas_Steam_only</v>
      </c>
      <c r="O3136" t="str">
        <f t="shared" si="193"/>
        <v>Gas_Steam_only_2021</v>
      </c>
      <c r="P3136">
        <f t="shared" si="194"/>
        <v>78</v>
      </c>
    </row>
    <row r="3137" spans="4:16" x14ac:dyDescent="0.25">
      <c r="D3137">
        <v>2022</v>
      </c>
      <c r="E3137" t="s">
        <v>348</v>
      </c>
      <c r="F3137" t="s">
        <v>368</v>
      </c>
      <c r="G3137">
        <v>78</v>
      </c>
      <c r="I3137">
        <f t="shared" si="195"/>
        <v>0</v>
      </c>
      <c r="J3137">
        <f t="shared" si="195"/>
        <v>0</v>
      </c>
      <c r="K3137">
        <f t="shared" si="195"/>
        <v>0</v>
      </c>
      <c r="M3137" t="str" cm="1">
        <f t="array" ref="M3137">IFERROR(INDEX($I$2:$K$2,0,MATCH(TRUE,I3137:K3137,0)),E3137)</f>
        <v>Gas_Steam_only</v>
      </c>
      <c r="O3137" t="str">
        <f t="shared" si="193"/>
        <v>Gas_Steam_only_2022</v>
      </c>
      <c r="P3137">
        <f t="shared" si="194"/>
        <v>78</v>
      </c>
    </row>
    <row r="3138" spans="4:16" x14ac:dyDescent="0.25">
      <c r="D3138">
        <v>2023</v>
      </c>
      <c r="E3138" t="s">
        <v>348</v>
      </c>
      <c r="F3138" t="s">
        <v>368</v>
      </c>
      <c r="G3138">
        <v>78</v>
      </c>
      <c r="I3138">
        <f t="shared" si="195"/>
        <v>0</v>
      </c>
      <c r="J3138">
        <f t="shared" si="195"/>
        <v>0</v>
      </c>
      <c r="K3138">
        <f t="shared" si="195"/>
        <v>0</v>
      </c>
      <c r="M3138" t="str" cm="1">
        <f t="array" ref="M3138">IFERROR(INDEX($I$2:$K$2,0,MATCH(TRUE,I3138:K3138,0)),E3138)</f>
        <v>Gas_Steam_only</v>
      </c>
      <c r="O3138" t="str">
        <f t="shared" si="193"/>
        <v>Gas_Steam_only_2023</v>
      </c>
      <c r="P3138">
        <f t="shared" si="194"/>
        <v>78</v>
      </c>
    </row>
    <row r="3139" spans="4:16" x14ac:dyDescent="0.25">
      <c r="D3139">
        <v>2021</v>
      </c>
      <c r="E3139" t="s">
        <v>348</v>
      </c>
      <c r="F3139" t="s">
        <v>369</v>
      </c>
      <c r="G3139">
        <v>275.5</v>
      </c>
      <c r="I3139">
        <f t="shared" si="195"/>
        <v>0</v>
      </c>
      <c r="J3139">
        <f t="shared" si="195"/>
        <v>0</v>
      </c>
      <c r="K3139">
        <f t="shared" si="195"/>
        <v>0</v>
      </c>
      <c r="M3139" t="str" cm="1">
        <f t="array" ref="M3139">IFERROR(INDEX($I$2:$K$2,0,MATCH(TRUE,I3139:K3139,0)),E3139)</f>
        <v>Gas_Steam_only</v>
      </c>
      <c r="O3139" t="str">
        <f t="shared" si="193"/>
        <v>Gas_Steam_only_2021</v>
      </c>
      <c r="P3139">
        <f t="shared" si="194"/>
        <v>275.5</v>
      </c>
    </row>
    <row r="3140" spans="4:16" x14ac:dyDescent="0.25">
      <c r="D3140">
        <v>2022</v>
      </c>
      <c r="E3140" t="s">
        <v>348</v>
      </c>
      <c r="F3140" t="s">
        <v>369</v>
      </c>
      <c r="G3140">
        <v>275.5</v>
      </c>
      <c r="I3140">
        <f t="shared" si="195"/>
        <v>0</v>
      </c>
      <c r="J3140">
        <f t="shared" si="195"/>
        <v>0</v>
      </c>
      <c r="K3140">
        <f t="shared" si="195"/>
        <v>0</v>
      </c>
      <c r="M3140" t="str" cm="1">
        <f t="array" ref="M3140">IFERROR(INDEX($I$2:$K$2,0,MATCH(TRUE,I3140:K3140,0)),E3140)</f>
        <v>Gas_Steam_only</v>
      </c>
      <c r="O3140" t="str">
        <f t="shared" si="193"/>
        <v>Gas_Steam_only_2022</v>
      </c>
      <c r="P3140">
        <f t="shared" si="194"/>
        <v>275.5</v>
      </c>
    </row>
    <row r="3141" spans="4:16" x14ac:dyDescent="0.25">
      <c r="D3141">
        <v>2023</v>
      </c>
      <c r="E3141" t="s">
        <v>348</v>
      </c>
      <c r="F3141" t="s">
        <v>369</v>
      </c>
      <c r="G3141">
        <v>275.5</v>
      </c>
      <c r="I3141">
        <f t="shared" si="195"/>
        <v>0</v>
      </c>
      <c r="J3141">
        <f t="shared" si="195"/>
        <v>0</v>
      </c>
      <c r="K3141">
        <f t="shared" si="195"/>
        <v>0</v>
      </c>
      <c r="M3141" t="str" cm="1">
        <f t="array" ref="M3141">IFERROR(INDEX($I$2:$K$2,0,MATCH(TRUE,I3141:K3141,0)),E3141)</f>
        <v>Gas_Steam_only</v>
      </c>
      <c r="O3141" t="str">
        <f t="shared" si="193"/>
        <v>Gas_Steam_only_2023</v>
      </c>
      <c r="P3141">
        <f t="shared" si="194"/>
        <v>275.5</v>
      </c>
    </row>
    <row r="3142" spans="4:16" x14ac:dyDescent="0.25">
      <c r="D3142">
        <v>2024</v>
      </c>
      <c r="E3142" t="s">
        <v>348</v>
      </c>
      <c r="F3142" t="s">
        <v>369</v>
      </c>
      <c r="G3142">
        <v>275.5</v>
      </c>
      <c r="I3142">
        <f t="shared" si="195"/>
        <v>0</v>
      </c>
      <c r="J3142">
        <f t="shared" si="195"/>
        <v>0</v>
      </c>
      <c r="K3142">
        <f t="shared" si="195"/>
        <v>0</v>
      </c>
      <c r="M3142" t="str" cm="1">
        <f t="array" ref="M3142">IFERROR(INDEX($I$2:$K$2,0,MATCH(TRUE,I3142:K3142,0)),E3142)</f>
        <v>Gas_Steam_only</v>
      </c>
      <c r="O3142" t="str">
        <f t="shared" si="193"/>
        <v>Gas_Steam_only_2024</v>
      </c>
      <c r="P3142">
        <f t="shared" si="194"/>
        <v>275.5</v>
      </c>
    </row>
    <row r="3143" spans="4:16" x14ac:dyDescent="0.25">
      <c r="D3143">
        <v>2025</v>
      </c>
      <c r="E3143" t="s">
        <v>348</v>
      </c>
      <c r="F3143" t="s">
        <v>369</v>
      </c>
      <c r="G3143">
        <v>275.5</v>
      </c>
      <c r="I3143">
        <f t="shared" si="195"/>
        <v>0</v>
      </c>
      <c r="J3143">
        <f t="shared" si="195"/>
        <v>0</v>
      </c>
      <c r="K3143">
        <f t="shared" si="195"/>
        <v>0</v>
      </c>
      <c r="M3143" t="str" cm="1">
        <f t="array" ref="M3143">IFERROR(INDEX($I$2:$K$2,0,MATCH(TRUE,I3143:K3143,0)),E3143)</f>
        <v>Gas_Steam_only</v>
      </c>
      <c r="O3143" t="str">
        <f t="shared" si="193"/>
        <v>Gas_Steam_only_2025</v>
      </c>
      <c r="P3143">
        <f t="shared" si="194"/>
        <v>275.5</v>
      </c>
    </row>
    <row r="3144" spans="4:16" x14ac:dyDescent="0.25">
      <c r="D3144">
        <v>2026</v>
      </c>
      <c r="E3144" t="s">
        <v>348</v>
      </c>
      <c r="F3144" t="s">
        <v>369</v>
      </c>
      <c r="G3144">
        <v>275.5</v>
      </c>
      <c r="I3144">
        <f t="shared" si="195"/>
        <v>0</v>
      </c>
      <c r="J3144">
        <f t="shared" si="195"/>
        <v>0</v>
      </c>
      <c r="K3144">
        <f t="shared" si="195"/>
        <v>0</v>
      </c>
      <c r="M3144" t="str" cm="1">
        <f t="array" ref="M3144">IFERROR(INDEX($I$2:$K$2,0,MATCH(TRUE,I3144:K3144,0)),E3144)</f>
        <v>Gas_Steam_only</v>
      </c>
      <c r="O3144" t="str">
        <f t="shared" si="193"/>
        <v>Gas_Steam_only_2026</v>
      </c>
      <c r="P3144">
        <f t="shared" si="194"/>
        <v>275.5</v>
      </c>
    </row>
    <row r="3145" spans="4:16" x14ac:dyDescent="0.25">
      <c r="D3145">
        <v>2027</v>
      </c>
      <c r="E3145" t="s">
        <v>348</v>
      </c>
      <c r="F3145" t="s">
        <v>369</v>
      </c>
      <c r="G3145">
        <v>275.5</v>
      </c>
      <c r="I3145">
        <f t="shared" si="195"/>
        <v>0</v>
      </c>
      <c r="J3145">
        <f t="shared" si="195"/>
        <v>0</v>
      </c>
      <c r="K3145">
        <f t="shared" si="195"/>
        <v>0</v>
      </c>
      <c r="M3145" t="str" cm="1">
        <f t="array" ref="M3145">IFERROR(INDEX($I$2:$K$2,0,MATCH(TRUE,I3145:K3145,0)),E3145)</f>
        <v>Gas_Steam_only</v>
      </c>
      <c r="O3145" t="str">
        <f t="shared" si="193"/>
        <v>Gas_Steam_only_2027</v>
      </c>
      <c r="P3145">
        <f t="shared" si="194"/>
        <v>275.5</v>
      </c>
    </row>
    <row r="3146" spans="4:16" x14ac:dyDescent="0.25">
      <c r="D3146">
        <v>2028</v>
      </c>
      <c r="E3146" t="s">
        <v>348</v>
      </c>
      <c r="F3146" t="s">
        <v>369</v>
      </c>
      <c r="G3146">
        <v>275.5</v>
      </c>
      <c r="I3146">
        <f t="shared" si="195"/>
        <v>0</v>
      </c>
      <c r="J3146">
        <f t="shared" si="195"/>
        <v>0</v>
      </c>
      <c r="K3146">
        <f t="shared" si="195"/>
        <v>0</v>
      </c>
      <c r="M3146" t="str" cm="1">
        <f t="array" ref="M3146">IFERROR(INDEX($I$2:$K$2,0,MATCH(TRUE,I3146:K3146,0)),E3146)</f>
        <v>Gas_Steam_only</v>
      </c>
      <c r="O3146" t="str">
        <f t="shared" si="193"/>
        <v>Gas_Steam_only_2028</v>
      </c>
      <c r="P3146">
        <f t="shared" si="194"/>
        <v>275.5</v>
      </c>
    </row>
    <row r="3147" spans="4:16" x14ac:dyDescent="0.25">
      <c r="D3147">
        <v>2029</v>
      </c>
      <c r="E3147" t="s">
        <v>348</v>
      </c>
      <c r="F3147" t="s">
        <v>369</v>
      </c>
      <c r="G3147">
        <v>275.5</v>
      </c>
      <c r="I3147">
        <f t="shared" si="195"/>
        <v>0</v>
      </c>
      <c r="J3147">
        <f t="shared" si="195"/>
        <v>0</v>
      </c>
      <c r="K3147">
        <f t="shared" si="195"/>
        <v>0</v>
      </c>
      <c r="M3147" t="str" cm="1">
        <f t="array" ref="M3147">IFERROR(INDEX($I$2:$K$2,0,MATCH(TRUE,I3147:K3147,0)),E3147)</f>
        <v>Gas_Steam_only</v>
      </c>
      <c r="O3147" t="str">
        <f t="shared" si="193"/>
        <v>Gas_Steam_only_2029</v>
      </c>
      <c r="P3147">
        <f t="shared" si="194"/>
        <v>275.5</v>
      </c>
    </row>
    <row r="3148" spans="4:16" x14ac:dyDescent="0.25">
      <c r="D3148">
        <v>2021</v>
      </c>
      <c r="E3148" t="s">
        <v>348</v>
      </c>
      <c r="F3148" t="s">
        <v>370</v>
      </c>
      <c r="G3148">
        <v>69</v>
      </c>
      <c r="I3148">
        <f t="shared" si="195"/>
        <v>0</v>
      </c>
      <c r="J3148">
        <f t="shared" si="195"/>
        <v>0</v>
      </c>
      <c r="K3148">
        <f t="shared" si="195"/>
        <v>0</v>
      </c>
      <c r="M3148" t="str" cm="1">
        <f t="array" ref="M3148">IFERROR(INDEX($I$2:$K$2,0,MATCH(TRUE,I3148:K3148,0)),E3148)</f>
        <v>Gas_Steam_only</v>
      </c>
      <c r="O3148" t="str">
        <f t="shared" si="193"/>
        <v>Gas_Steam_only_2021</v>
      </c>
      <c r="P3148">
        <f t="shared" si="194"/>
        <v>69</v>
      </c>
    </row>
    <row r="3149" spans="4:16" x14ac:dyDescent="0.25">
      <c r="D3149">
        <v>2022</v>
      </c>
      <c r="E3149" t="s">
        <v>348</v>
      </c>
      <c r="F3149" t="s">
        <v>370</v>
      </c>
      <c r="G3149">
        <v>69</v>
      </c>
      <c r="I3149">
        <f t="shared" si="195"/>
        <v>0</v>
      </c>
      <c r="J3149">
        <f t="shared" si="195"/>
        <v>0</v>
      </c>
      <c r="K3149">
        <f t="shared" si="195"/>
        <v>0</v>
      </c>
      <c r="M3149" t="str" cm="1">
        <f t="array" ref="M3149">IFERROR(INDEX($I$2:$K$2,0,MATCH(TRUE,I3149:K3149,0)),E3149)</f>
        <v>Gas_Steam_only</v>
      </c>
      <c r="O3149" t="str">
        <f t="shared" si="193"/>
        <v>Gas_Steam_only_2022</v>
      </c>
      <c r="P3149">
        <f t="shared" si="194"/>
        <v>69</v>
      </c>
    </row>
    <row r="3150" spans="4:16" x14ac:dyDescent="0.25">
      <c r="D3150">
        <v>2023</v>
      </c>
      <c r="E3150" t="s">
        <v>348</v>
      </c>
      <c r="F3150" t="s">
        <v>370</v>
      </c>
      <c r="G3150">
        <v>69</v>
      </c>
      <c r="I3150">
        <f t="shared" si="195"/>
        <v>0</v>
      </c>
      <c r="J3150">
        <f t="shared" si="195"/>
        <v>0</v>
      </c>
      <c r="K3150">
        <f t="shared" si="195"/>
        <v>0</v>
      </c>
      <c r="M3150" t="str" cm="1">
        <f t="array" ref="M3150">IFERROR(INDEX($I$2:$K$2,0,MATCH(TRUE,I3150:K3150,0)),E3150)</f>
        <v>Gas_Steam_only</v>
      </c>
      <c r="O3150" t="str">
        <f t="shared" si="193"/>
        <v>Gas_Steam_only_2023</v>
      </c>
      <c r="P3150">
        <f t="shared" si="194"/>
        <v>69</v>
      </c>
    </row>
    <row r="3151" spans="4:16" x14ac:dyDescent="0.25">
      <c r="D3151">
        <v>2024</v>
      </c>
      <c r="E3151" t="s">
        <v>348</v>
      </c>
      <c r="F3151" t="s">
        <v>370</v>
      </c>
      <c r="G3151">
        <v>69</v>
      </c>
      <c r="I3151">
        <f t="shared" si="195"/>
        <v>0</v>
      </c>
      <c r="J3151">
        <f t="shared" si="195"/>
        <v>0</v>
      </c>
      <c r="K3151">
        <f t="shared" si="195"/>
        <v>0</v>
      </c>
      <c r="M3151" t="str" cm="1">
        <f t="array" ref="M3151">IFERROR(INDEX($I$2:$K$2,0,MATCH(TRUE,I3151:K3151,0)),E3151)</f>
        <v>Gas_Steam_only</v>
      </c>
      <c r="O3151" t="str">
        <f t="shared" si="193"/>
        <v>Gas_Steam_only_2024</v>
      </c>
      <c r="P3151">
        <f t="shared" si="194"/>
        <v>69</v>
      </c>
    </row>
    <row r="3152" spans="4:16" x14ac:dyDescent="0.25">
      <c r="D3152">
        <v>2025</v>
      </c>
      <c r="E3152" t="s">
        <v>348</v>
      </c>
      <c r="F3152" t="s">
        <v>370</v>
      </c>
      <c r="G3152">
        <v>69</v>
      </c>
      <c r="I3152">
        <f t="shared" si="195"/>
        <v>0</v>
      </c>
      <c r="J3152">
        <f t="shared" si="195"/>
        <v>0</v>
      </c>
      <c r="K3152">
        <f t="shared" si="195"/>
        <v>0</v>
      </c>
      <c r="M3152" t="str" cm="1">
        <f t="array" ref="M3152">IFERROR(INDEX($I$2:$K$2,0,MATCH(TRUE,I3152:K3152,0)),E3152)</f>
        <v>Gas_Steam_only</v>
      </c>
      <c r="O3152" t="str">
        <f t="shared" si="193"/>
        <v>Gas_Steam_only_2025</v>
      </c>
      <c r="P3152">
        <f t="shared" si="194"/>
        <v>69</v>
      </c>
    </row>
    <row r="3153" spans="4:16" x14ac:dyDescent="0.25">
      <c r="D3153">
        <v>2026</v>
      </c>
      <c r="E3153" t="s">
        <v>348</v>
      </c>
      <c r="F3153" t="s">
        <v>370</v>
      </c>
      <c r="G3153">
        <v>69</v>
      </c>
      <c r="I3153">
        <f t="shared" si="195"/>
        <v>0</v>
      </c>
      <c r="J3153">
        <f t="shared" si="195"/>
        <v>0</v>
      </c>
      <c r="K3153">
        <f t="shared" si="195"/>
        <v>0</v>
      </c>
      <c r="M3153" t="str" cm="1">
        <f t="array" ref="M3153">IFERROR(INDEX($I$2:$K$2,0,MATCH(TRUE,I3153:K3153,0)),E3153)</f>
        <v>Gas_Steam_only</v>
      </c>
      <c r="O3153" t="str">
        <f t="shared" si="193"/>
        <v>Gas_Steam_only_2026</v>
      </c>
      <c r="P3153">
        <f t="shared" si="194"/>
        <v>69</v>
      </c>
    </row>
    <row r="3154" spans="4:16" x14ac:dyDescent="0.25">
      <c r="D3154">
        <v>2027</v>
      </c>
      <c r="E3154" t="s">
        <v>348</v>
      </c>
      <c r="F3154" t="s">
        <v>370</v>
      </c>
      <c r="G3154">
        <v>69</v>
      </c>
      <c r="I3154">
        <f t="shared" si="195"/>
        <v>0</v>
      </c>
      <c r="J3154">
        <f t="shared" si="195"/>
        <v>0</v>
      </c>
      <c r="K3154">
        <f t="shared" si="195"/>
        <v>0</v>
      </c>
      <c r="M3154" t="str" cm="1">
        <f t="array" ref="M3154">IFERROR(INDEX($I$2:$K$2,0,MATCH(TRUE,I3154:K3154,0)),E3154)</f>
        <v>Gas_Steam_only</v>
      </c>
      <c r="O3154" t="str">
        <f t="shared" si="193"/>
        <v>Gas_Steam_only_2027</v>
      </c>
      <c r="P3154">
        <f t="shared" si="194"/>
        <v>69</v>
      </c>
    </row>
    <row r="3155" spans="4:16" x14ac:dyDescent="0.25">
      <c r="D3155">
        <v>2028</v>
      </c>
      <c r="E3155" t="s">
        <v>348</v>
      </c>
      <c r="F3155" t="s">
        <v>370</v>
      </c>
      <c r="G3155">
        <v>69</v>
      </c>
      <c r="I3155">
        <f t="shared" si="195"/>
        <v>0</v>
      </c>
      <c r="J3155">
        <f t="shared" si="195"/>
        <v>0</v>
      </c>
      <c r="K3155">
        <f t="shared" si="195"/>
        <v>0</v>
      </c>
      <c r="M3155" t="str" cm="1">
        <f t="array" ref="M3155">IFERROR(INDEX($I$2:$K$2,0,MATCH(TRUE,I3155:K3155,0)),E3155)</f>
        <v>Gas_Steam_only</v>
      </c>
      <c r="O3155" t="str">
        <f t="shared" ref="O3155:O3218" si="196">M3155&amp;"_"&amp;D3155</f>
        <v>Gas_Steam_only_2028</v>
      </c>
      <c r="P3155">
        <f t="shared" ref="P3155:P3218" si="197">G3155</f>
        <v>69</v>
      </c>
    </row>
    <row r="3156" spans="4:16" x14ac:dyDescent="0.25">
      <c r="D3156">
        <v>2029</v>
      </c>
      <c r="E3156" t="s">
        <v>348</v>
      </c>
      <c r="F3156" t="s">
        <v>370</v>
      </c>
      <c r="G3156">
        <v>69</v>
      </c>
      <c r="I3156">
        <f t="shared" si="195"/>
        <v>0</v>
      </c>
      <c r="J3156">
        <f t="shared" si="195"/>
        <v>0</v>
      </c>
      <c r="K3156">
        <f t="shared" si="195"/>
        <v>0</v>
      </c>
      <c r="M3156" t="str" cm="1">
        <f t="array" ref="M3156">IFERROR(INDEX($I$2:$K$2,0,MATCH(TRUE,I3156:K3156,0)),E3156)</f>
        <v>Gas_Steam_only</v>
      </c>
      <c r="O3156" t="str">
        <f t="shared" si="196"/>
        <v>Gas_Steam_only_2029</v>
      </c>
      <c r="P3156">
        <f t="shared" si="197"/>
        <v>69</v>
      </c>
    </row>
    <row r="3157" spans="4:16" x14ac:dyDescent="0.25">
      <c r="D3157">
        <v>2030</v>
      </c>
      <c r="E3157" t="s">
        <v>348</v>
      </c>
      <c r="F3157" t="s">
        <v>370</v>
      </c>
      <c r="G3157">
        <v>69</v>
      </c>
      <c r="I3157">
        <f t="shared" ref="I3157:K3220" si="198">IFERROR(FIND(I$2,$E3157,1)&gt;0,0)</f>
        <v>0</v>
      </c>
      <c r="J3157">
        <f t="shared" si="198"/>
        <v>0</v>
      </c>
      <c r="K3157">
        <f t="shared" si="198"/>
        <v>0</v>
      </c>
      <c r="M3157" t="str" cm="1">
        <f t="array" ref="M3157">IFERROR(INDEX($I$2:$K$2,0,MATCH(TRUE,I3157:K3157,0)),E3157)</f>
        <v>Gas_Steam_only</v>
      </c>
      <c r="O3157" t="str">
        <f t="shared" si="196"/>
        <v>Gas_Steam_only_2030</v>
      </c>
      <c r="P3157">
        <f t="shared" si="197"/>
        <v>69</v>
      </c>
    </row>
    <row r="3158" spans="4:16" x14ac:dyDescent="0.25">
      <c r="D3158">
        <v>2031</v>
      </c>
      <c r="E3158" t="s">
        <v>348</v>
      </c>
      <c r="F3158" t="s">
        <v>370</v>
      </c>
      <c r="G3158">
        <v>69</v>
      </c>
      <c r="I3158">
        <f t="shared" si="198"/>
        <v>0</v>
      </c>
      <c r="J3158">
        <f t="shared" si="198"/>
        <v>0</v>
      </c>
      <c r="K3158">
        <f t="shared" si="198"/>
        <v>0</v>
      </c>
      <c r="M3158" t="str" cm="1">
        <f t="array" ref="M3158">IFERROR(INDEX($I$2:$K$2,0,MATCH(TRUE,I3158:K3158,0)),E3158)</f>
        <v>Gas_Steam_only</v>
      </c>
      <c r="O3158" t="str">
        <f t="shared" si="196"/>
        <v>Gas_Steam_only_2031</v>
      </c>
      <c r="P3158">
        <f t="shared" si="197"/>
        <v>69</v>
      </c>
    </row>
    <row r="3159" spans="4:16" x14ac:dyDescent="0.25">
      <c r="D3159">
        <v>2032</v>
      </c>
      <c r="E3159" t="s">
        <v>348</v>
      </c>
      <c r="F3159" t="s">
        <v>370</v>
      </c>
      <c r="G3159">
        <v>69</v>
      </c>
      <c r="I3159">
        <f t="shared" si="198"/>
        <v>0</v>
      </c>
      <c r="J3159">
        <f t="shared" si="198"/>
        <v>0</v>
      </c>
      <c r="K3159">
        <f t="shared" si="198"/>
        <v>0</v>
      </c>
      <c r="M3159" t="str" cm="1">
        <f t="array" ref="M3159">IFERROR(INDEX($I$2:$K$2,0,MATCH(TRUE,I3159:K3159,0)),E3159)</f>
        <v>Gas_Steam_only</v>
      </c>
      <c r="O3159" t="str">
        <f t="shared" si="196"/>
        <v>Gas_Steam_only_2032</v>
      </c>
      <c r="P3159">
        <f t="shared" si="197"/>
        <v>69</v>
      </c>
    </row>
    <row r="3160" spans="4:16" x14ac:dyDescent="0.25">
      <c r="D3160">
        <v>2033</v>
      </c>
      <c r="E3160" t="s">
        <v>348</v>
      </c>
      <c r="F3160" t="s">
        <v>370</v>
      </c>
      <c r="G3160">
        <v>69</v>
      </c>
      <c r="I3160">
        <f t="shared" si="198"/>
        <v>0</v>
      </c>
      <c r="J3160">
        <f t="shared" si="198"/>
        <v>0</v>
      </c>
      <c r="K3160">
        <f t="shared" si="198"/>
        <v>0</v>
      </c>
      <c r="M3160" t="str" cm="1">
        <f t="array" ref="M3160">IFERROR(INDEX($I$2:$K$2,0,MATCH(TRUE,I3160:K3160,0)),E3160)</f>
        <v>Gas_Steam_only</v>
      </c>
      <c r="O3160" t="str">
        <f t="shared" si="196"/>
        <v>Gas_Steam_only_2033</v>
      </c>
      <c r="P3160">
        <f t="shared" si="197"/>
        <v>69</v>
      </c>
    </row>
    <row r="3161" spans="4:16" x14ac:dyDescent="0.25">
      <c r="D3161">
        <v>2034</v>
      </c>
      <c r="E3161" t="s">
        <v>348</v>
      </c>
      <c r="F3161" t="s">
        <v>370</v>
      </c>
      <c r="G3161">
        <v>69</v>
      </c>
      <c r="I3161">
        <f t="shared" si="198"/>
        <v>0</v>
      </c>
      <c r="J3161">
        <f t="shared" si="198"/>
        <v>0</v>
      </c>
      <c r="K3161">
        <f t="shared" si="198"/>
        <v>0</v>
      </c>
      <c r="M3161" t="str" cm="1">
        <f t="array" ref="M3161">IFERROR(INDEX($I$2:$K$2,0,MATCH(TRUE,I3161:K3161,0)),E3161)</f>
        <v>Gas_Steam_only</v>
      </c>
      <c r="O3161" t="str">
        <f t="shared" si="196"/>
        <v>Gas_Steam_only_2034</v>
      </c>
      <c r="P3161">
        <f t="shared" si="197"/>
        <v>69</v>
      </c>
    </row>
    <row r="3162" spans="4:16" x14ac:dyDescent="0.25">
      <c r="D3162">
        <v>2035</v>
      </c>
      <c r="E3162" t="s">
        <v>348</v>
      </c>
      <c r="F3162" t="s">
        <v>370</v>
      </c>
      <c r="G3162">
        <v>69</v>
      </c>
      <c r="I3162">
        <f t="shared" si="198"/>
        <v>0</v>
      </c>
      <c r="J3162">
        <f t="shared" si="198"/>
        <v>0</v>
      </c>
      <c r="K3162">
        <f t="shared" si="198"/>
        <v>0</v>
      </c>
      <c r="M3162" t="str" cm="1">
        <f t="array" ref="M3162">IFERROR(INDEX($I$2:$K$2,0,MATCH(TRUE,I3162:K3162,0)),E3162)</f>
        <v>Gas_Steam_only</v>
      </c>
      <c r="O3162" t="str">
        <f t="shared" si="196"/>
        <v>Gas_Steam_only_2035</v>
      </c>
      <c r="P3162">
        <f t="shared" si="197"/>
        <v>69</v>
      </c>
    </row>
    <row r="3163" spans="4:16" x14ac:dyDescent="0.25">
      <c r="D3163">
        <v>2021</v>
      </c>
      <c r="E3163" t="s">
        <v>125</v>
      </c>
      <c r="F3163" t="s">
        <v>371</v>
      </c>
      <c r="G3163">
        <v>148.01451019999999</v>
      </c>
      <c r="I3163">
        <f t="shared" si="198"/>
        <v>0</v>
      </c>
      <c r="J3163">
        <f t="shared" si="198"/>
        <v>0</v>
      </c>
      <c r="K3163">
        <f t="shared" si="198"/>
        <v>0</v>
      </c>
      <c r="M3163" t="str" cm="1">
        <f t="array" ref="M3163">IFERROR(INDEX($I$2:$K$2,0,MATCH(TRUE,I3163:K3163,0)),E3163)</f>
        <v>Hydro_ROR</v>
      </c>
      <c r="O3163" t="str">
        <f t="shared" si="196"/>
        <v>Hydro_ROR_2021</v>
      </c>
      <c r="P3163">
        <f t="shared" si="197"/>
        <v>148.01451019999999</v>
      </c>
    </row>
    <row r="3164" spans="4:16" x14ac:dyDescent="0.25">
      <c r="D3164">
        <v>2022</v>
      </c>
      <c r="E3164" t="s">
        <v>125</v>
      </c>
      <c r="F3164" t="s">
        <v>371</v>
      </c>
      <c r="G3164">
        <v>148.01451019999999</v>
      </c>
      <c r="I3164">
        <f t="shared" si="198"/>
        <v>0</v>
      </c>
      <c r="J3164">
        <f t="shared" si="198"/>
        <v>0</v>
      </c>
      <c r="K3164">
        <f t="shared" si="198"/>
        <v>0</v>
      </c>
      <c r="M3164" t="str" cm="1">
        <f t="array" ref="M3164">IFERROR(INDEX($I$2:$K$2,0,MATCH(TRUE,I3164:K3164,0)),E3164)</f>
        <v>Hydro_ROR</v>
      </c>
      <c r="O3164" t="str">
        <f t="shared" si="196"/>
        <v>Hydro_ROR_2022</v>
      </c>
      <c r="P3164">
        <f t="shared" si="197"/>
        <v>148.01451019999999</v>
      </c>
    </row>
    <row r="3165" spans="4:16" x14ac:dyDescent="0.25">
      <c r="D3165">
        <v>2023</v>
      </c>
      <c r="E3165" t="s">
        <v>125</v>
      </c>
      <c r="F3165" t="s">
        <v>371</v>
      </c>
      <c r="G3165">
        <v>148.01451019999999</v>
      </c>
      <c r="I3165">
        <f t="shared" si="198"/>
        <v>0</v>
      </c>
      <c r="J3165">
        <f t="shared" si="198"/>
        <v>0</v>
      </c>
      <c r="K3165">
        <f t="shared" si="198"/>
        <v>0</v>
      </c>
      <c r="M3165" t="str" cm="1">
        <f t="array" ref="M3165">IFERROR(INDEX($I$2:$K$2,0,MATCH(TRUE,I3165:K3165,0)),E3165)</f>
        <v>Hydro_ROR</v>
      </c>
      <c r="O3165" t="str">
        <f t="shared" si="196"/>
        <v>Hydro_ROR_2023</v>
      </c>
      <c r="P3165">
        <f t="shared" si="197"/>
        <v>148.01451019999999</v>
      </c>
    </row>
    <row r="3166" spans="4:16" x14ac:dyDescent="0.25">
      <c r="D3166">
        <v>2024</v>
      </c>
      <c r="E3166" t="s">
        <v>125</v>
      </c>
      <c r="F3166" t="s">
        <v>371</v>
      </c>
      <c r="G3166">
        <v>148.01451019999999</v>
      </c>
      <c r="I3166">
        <f t="shared" si="198"/>
        <v>0</v>
      </c>
      <c r="J3166">
        <f t="shared" si="198"/>
        <v>0</v>
      </c>
      <c r="K3166">
        <f t="shared" si="198"/>
        <v>0</v>
      </c>
      <c r="M3166" t="str" cm="1">
        <f t="array" ref="M3166">IFERROR(INDEX($I$2:$K$2,0,MATCH(TRUE,I3166:K3166,0)),E3166)</f>
        <v>Hydro_ROR</v>
      </c>
      <c r="O3166" t="str">
        <f t="shared" si="196"/>
        <v>Hydro_ROR_2024</v>
      </c>
      <c r="P3166">
        <f t="shared" si="197"/>
        <v>148.01451019999999</v>
      </c>
    </row>
    <row r="3167" spans="4:16" x14ac:dyDescent="0.25">
      <c r="D3167">
        <v>2025</v>
      </c>
      <c r="E3167" t="s">
        <v>125</v>
      </c>
      <c r="F3167" t="s">
        <v>371</v>
      </c>
      <c r="G3167">
        <v>148.01451019999999</v>
      </c>
      <c r="I3167">
        <f t="shared" si="198"/>
        <v>0</v>
      </c>
      <c r="J3167">
        <f t="shared" si="198"/>
        <v>0</v>
      </c>
      <c r="K3167">
        <f t="shared" si="198"/>
        <v>0</v>
      </c>
      <c r="M3167" t="str" cm="1">
        <f t="array" ref="M3167">IFERROR(INDEX($I$2:$K$2,0,MATCH(TRUE,I3167:K3167,0)),E3167)</f>
        <v>Hydro_ROR</v>
      </c>
      <c r="O3167" t="str">
        <f t="shared" si="196"/>
        <v>Hydro_ROR_2025</v>
      </c>
      <c r="P3167">
        <f t="shared" si="197"/>
        <v>148.01451019999999</v>
      </c>
    </row>
    <row r="3168" spans="4:16" x14ac:dyDescent="0.25">
      <c r="D3168">
        <v>2026</v>
      </c>
      <c r="E3168" t="s">
        <v>125</v>
      </c>
      <c r="F3168" t="s">
        <v>371</v>
      </c>
      <c r="G3168">
        <v>148.01451019999999</v>
      </c>
      <c r="I3168">
        <f t="shared" si="198"/>
        <v>0</v>
      </c>
      <c r="J3168">
        <f t="shared" si="198"/>
        <v>0</v>
      </c>
      <c r="K3168">
        <f t="shared" si="198"/>
        <v>0</v>
      </c>
      <c r="M3168" t="str" cm="1">
        <f t="array" ref="M3168">IFERROR(INDEX($I$2:$K$2,0,MATCH(TRUE,I3168:K3168,0)),E3168)</f>
        <v>Hydro_ROR</v>
      </c>
      <c r="O3168" t="str">
        <f t="shared" si="196"/>
        <v>Hydro_ROR_2026</v>
      </c>
      <c r="P3168">
        <f t="shared" si="197"/>
        <v>148.01451019999999</v>
      </c>
    </row>
    <row r="3169" spans="4:16" x14ac:dyDescent="0.25">
      <c r="D3169">
        <v>2027</v>
      </c>
      <c r="E3169" t="s">
        <v>125</v>
      </c>
      <c r="F3169" t="s">
        <v>371</v>
      </c>
      <c r="G3169">
        <v>148.01451019999999</v>
      </c>
      <c r="I3169">
        <f t="shared" si="198"/>
        <v>0</v>
      </c>
      <c r="J3169">
        <f t="shared" si="198"/>
        <v>0</v>
      </c>
      <c r="K3169">
        <f t="shared" si="198"/>
        <v>0</v>
      </c>
      <c r="M3169" t="str" cm="1">
        <f t="array" ref="M3169">IFERROR(INDEX($I$2:$K$2,0,MATCH(TRUE,I3169:K3169,0)),E3169)</f>
        <v>Hydro_ROR</v>
      </c>
      <c r="O3169" t="str">
        <f t="shared" si="196"/>
        <v>Hydro_ROR_2027</v>
      </c>
      <c r="P3169">
        <f t="shared" si="197"/>
        <v>148.01451019999999</v>
      </c>
    </row>
    <row r="3170" spans="4:16" x14ac:dyDescent="0.25">
      <c r="D3170">
        <v>2028</v>
      </c>
      <c r="E3170" t="s">
        <v>125</v>
      </c>
      <c r="F3170" t="s">
        <v>371</v>
      </c>
      <c r="G3170">
        <v>148.01451019999999</v>
      </c>
      <c r="I3170">
        <f t="shared" si="198"/>
        <v>0</v>
      </c>
      <c r="J3170">
        <f t="shared" si="198"/>
        <v>0</v>
      </c>
      <c r="K3170">
        <f t="shared" si="198"/>
        <v>0</v>
      </c>
      <c r="M3170" t="str" cm="1">
        <f t="array" ref="M3170">IFERROR(INDEX($I$2:$K$2,0,MATCH(TRUE,I3170:K3170,0)),E3170)</f>
        <v>Hydro_ROR</v>
      </c>
      <c r="O3170" t="str">
        <f t="shared" si="196"/>
        <v>Hydro_ROR_2028</v>
      </c>
      <c r="P3170">
        <f t="shared" si="197"/>
        <v>148.01451019999999</v>
      </c>
    </row>
    <row r="3171" spans="4:16" x14ac:dyDescent="0.25">
      <c r="D3171">
        <v>2029</v>
      </c>
      <c r="E3171" t="s">
        <v>125</v>
      </c>
      <c r="F3171" t="s">
        <v>371</v>
      </c>
      <c r="G3171">
        <v>148.01451019999999</v>
      </c>
      <c r="I3171">
        <f t="shared" si="198"/>
        <v>0</v>
      </c>
      <c r="J3171">
        <f t="shared" si="198"/>
        <v>0</v>
      </c>
      <c r="K3171">
        <f t="shared" si="198"/>
        <v>0</v>
      </c>
      <c r="M3171" t="str" cm="1">
        <f t="array" ref="M3171">IFERROR(INDEX($I$2:$K$2,0,MATCH(TRUE,I3171:K3171,0)),E3171)</f>
        <v>Hydro_ROR</v>
      </c>
      <c r="O3171" t="str">
        <f t="shared" si="196"/>
        <v>Hydro_ROR_2029</v>
      </c>
      <c r="P3171">
        <f t="shared" si="197"/>
        <v>148.01451019999999</v>
      </c>
    </row>
    <row r="3172" spans="4:16" x14ac:dyDescent="0.25">
      <c r="D3172">
        <v>2030</v>
      </c>
      <c r="E3172" t="s">
        <v>125</v>
      </c>
      <c r="F3172" t="s">
        <v>371</v>
      </c>
      <c r="G3172">
        <v>148.01451019999999</v>
      </c>
      <c r="I3172">
        <f t="shared" si="198"/>
        <v>0</v>
      </c>
      <c r="J3172">
        <f t="shared" si="198"/>
        <v>0</v>
      </c>
      <c r="K3172">
        <f t="shared" si="198"/>
        <v>0</v>
      </c>
      <c r="M3172" t="str" cm="1">
        <f t="array" ref="M3172">IFERROR(INDEX($I$2:$K$2,0,MATCH(TRUE,I3172:K3172,0)),E3172)</f>
        <v>Hydro_ROR</v>
      </c>
      <c r="O3172" t="str">
        <f t="shared" si="196"/>
        <v>Hydro_ROR_2030</v>
      </c>
      <c r="P3172">
        <f t="shared" si="197"/>
        <v>148.01451019999999</v>
      </c>
    </row>
    <row r="3173" spans="4:16" x14ac:dyDescent="0.25">
      <c r="D3173">
        <v>2031</v>
      </c>
      <c r="E3173" t="s">
        <v>125</v>
      </c>
      <c r="F3173" t="s">
        <v>371</v>
      </c>
      <c r="G3173">
        <v>148.01451019999999</v>
      </c>
      <c r="I3173">
        <f t="shared" si="198"/>
        <v>0</v>
      </c>
      <c r="J3173">
        <f t="shared" si="198"/>
        <v>0</v>
      </c>
      <c r="K3173">
        <f t="shared" si="198"/>
        <v>0</v>
      </c>
      <c r="M3173" t="str" cm="1">
        <f t="array" ref="M3173">IFERROR(INDEX($I$2:$K$2,0,MATCH(TRUE,I3173:K3173,0)),E3173)</f>
        <v>Hydro_ROR</v>
      </c>
      <c r="O3173" t="str">
        <f t="shared" si="196"/>
        <v>Hydro_ROR_2031</v>
      </c>
      <c r="P3173">
        <f t="shared" si="197"/>
        <v>148.01451019999999</v>
      </c>
    </row>
    <row r="3174" spans="4:16" x14ac:dyDescent="0.25">
      <c r="D3174">
        <v>2032</v>
      </c>
      <c r="E3174" t="s">
        <v>125</v>
      </c>
      <c r="F3174" t="s">
        <v>371</v>
      </c>
      <c r="G3174">
        <v>148.01451019999999</v>
      </c>
      <c r="I3174">
        <f t="shared" si="198"/>
        <v>0</v>
      </c>
      <c r="J3174">
        <f t="shared" si="198"/>
        <v>0</v>
      </c>
      <c r="K3174">
        <f t="shared" si="198"/>
        <v>0</v>
      </c>
      <c r="M3174" t="str" cm="1">
        <f t="array" ref="M3174">IFERROR(INDEX($I$2:$K$2,0,MATCH(TRUE,I3174:K3174,0)),E3174)</f>
        <v>Hydro_ROR</v>
      </c>
      <c r="O3174" t="str">
        <f t="shared" si="196"/>
        <v>Hydro_ROR_2032</v>
      </c>
      <c r="P3174">
        <f t="shared" si="197"/>
        <v>148.01451019999999</v>
      </c>
    </row>
    <row r="3175" spans="4:16" x14ac:dyDescent="0.25">
      <c r="D3175">
        <v>2033</v>
      </c>
      <c r="E3175" t="s">
        <v>125</v>
      </c>
      <c r="F3175" t="s">
        <v>371</v>
      </c>
      <c r="G3175">
        <v>148.01451019999999</v>
      </c>
      <c r="I3175">
        <f t="shared" si="198"/>
        <v>0</v>
      </c>
      <c r="J3175">
        <f t="shared" si="198"/>
        <v>0</v>
      </c>
      <c r="K3175">
        <f t="shared" si="198"/>
        <v>0</v>
      </c>
      <c r="M3175" t="str" cm="1">
        <f t="array" ref="M3175">IFERROR(INDEX($I$2:$K$2,0,MATCH(TRUE,I3175:K3175,0)),E3175)</f>
        <v>Hydro_ROR</v>
      </c>
      <c r="O3175" t="str">
        <f t="shared" si="196"/>
        <v>Hydro_ROR_2033</v>
      </c>
      <c r="P3175">
        <f t="shared" si="197"/>
        <v>148.01451019999999</v>
      </c>
    </row>
    <row r="3176" spans="4:16" x14ac:dyDescent="0.25">
      <c r="D3176">
        <v>2034</v>
      </c>
      <c r="E3176" t="s">
        <v>125</v>
      </c>
      <c r="F3176" t="s">
        <v>371</v>
      </c>
      <c r="G3176">
        <v>148.01451019999999</v>
      </c>
      <c r="I3176">
        <f t="shared" si="198"/>
        <v>0</v>
      </c>
      <c r="J3176">
        <f t="shared" si="198"/>
        <v>0</v>
      </c>
      <c r="K3176">
        <f t="shared" si="198"/>
        <v>0</v>
      </c>
      <c r="M3176" t="str" cm="1">
        <f t="array" ref="M3176">IFERROR(INDEX($I$2:$K$2,0,MATCH(TRUE,I3176:K3176,0)),E3176)</f>
        <v>Hydro_ROR</v>
      </c>
      <c r="O3176" t="str">
        <f t="shared" si="196"/>
        <v>Hydro_ROR_2034</v>
      </c>
      <c r="P3176">
        <f t="shared" si="197"/>
        <v>148.01451019999999</v>
      </c>
    </row>
    <row r="3177" spans="4:16" x14ac:dyDescent="0.25">
      <c r="D3177">
        <v>2035</v>
      </c>
      <c r="E3177" t="s">
        <v>125</v>
      </c>
      <c r="F3177" t="s">
        <v>371</v>
      </c>
      <c r="G3177">
        <v>148.01451019999999</v>
      </c>
      <c r="I3177">
        <f t="shared" si="198"/>
        <v>0</v>
      </c>
      <c r="J3177">
        <f t="shared" si="198"/>
        <v>0</v>
      </c>
      <c r="K3177">
        <f t="shared" si="198"/>
        <v>0</v>
      </c>
      <c r="M3177" t="str" cm="1">
        <f t="array" ref="M3177">IFERROR(INDEX($I$2:$K$2,0,MATCH(TRUE,I3177:K3177,0)),E3177)</f>
        <v>Hydro_ROR</v>
      </c>
      <c r="O3177" t="str">
        <f t="shared" si="196"/>
        <v>Hydro_ROR_2035</v>
      </c>
      <c r="P3177">
        <f t="shared" si="197"/>
        <v>148.01451019999999</v>
      </c>
    </row>
    <row r="3178" spans="4:16" x14ac:dyDescent="0.25">
      <c r="D3178">
        <v>2036</v>
      </c>
      <c r="E3178" t="s">
        <v>125</v>
      </c>
      <c r="F3178" t="s">
        <v>371</v>
      </c>
      <c r="G3178">
        <v>148.01451019999999</v>
      </c>
      <c r="I3178">
        <f t="shared" si="198"/>
        <v>0</v>
      </c>
      <c r="J3178">
        <f t="shared" si="198"/>
        <v>0</v>
      </c>
      <c r="K3178">
        <f t="shared" si="198"/>
        <v>0</v>
      </c>
      <c r="M3178" t="str" cm="1">
        <f t="array" ref="M3178">IFERROR(INDEX($I$2:$K$2,0,MATCH(TRUE,I3178:K3178,0)),E3178)</f>
        <v>Hydro_ROR</v>
      </c>
      <c r="O3178" t="str">
        <f t="shared" si="196"/>
        <v>Hydro_ROR_2036</v>
      </c>
      <c r="P3178">
        <f t="shared" si="197"/>
        <v>148.01451019999999</v>
      </c>
    </row>
    <row r="3179" spans="4:16" x14ac:dyDescent="0.25">
      <c r="D3179">
        <v>2037</v>
      </c>
      <c r="E3179" t="s">
        <v>125</v>
      </c>
      <c r="F3179" t="s">
        <v>371</v>
      </c>
      <c r="G3179">
        <v>148.01451019999999</v>
      </c>
      <c r="I3179">
        <f t="shared" si="198"/>
        <v>0</v>
      </c>
      <c r="J3179">
        <f t="shared" si="198"/>
        <v>0</v>
      </c>
      <c r="K3179">
        <f t="shared" si="198"/>
        <v>0</v>
      </c>
      <c r="M3179" t="str" cm="1">
        <f t="array" ref="M3179">IFERROR(INDEX($I$2:$K$2,0,MATCH(TRUE,I3179:K3179,0)),E3179)</f>
        <v>Hydro_ROR</v>
      </c>
      <c r="O3179" t="str">
        <f t="shared" si="196"/>
        <v>Hydro_ROR_2037</v>
      </c>
      <c r="P3179">
        <f t="shared" si="197"/>
        <v>148.01451019999999</v>
      </c>
    </row>
    <row r="3180" spans="4:16" x14ac:dyDescent="0.25">
      <c r="D3180">
        <v>2038</v>
      </c>
      <c r="E3180" t="s">
        <v>125</v>
      </c>
      <c r="F3180" t="s">
        <v>371</v>
      </c>
      <c r="G3180">
        <v>148.01451019999999</v>
      </c>
      <c r="I3180">
        <f t="shared" si="198"/>
        <v>0</v>
      </c>
      <c r="J3180">
        <f t="shared" si="198"/>
        <v>0</v>
      </c>
      <c r="K3180">
        <f t="shared" si="198"/>
        <v>0</v>
      </c>
      <c r="M3180" t="str" cm="1">
        <f t="array" ref="M3180">IFERROR(INDEX($I$2:$K$2,0,MATCH(TRUE,I3180:K3180,0)),E3180)</f>
        <v>Hydro_ROR</v>
      </c>
      <c r="O3180" t="str">
        <f t="shared" si="196"/>
        <v>Hydro_ROR_2038</v>
      </c>
      <c r="P3180">
        <f t="shared" si="197"/>
        <v>148.01451019999999</v>
      </c>
    </row>
    <row r="3181" spans="4:16" x14ac:dyDescent="0.25">
      <c r="D3181">
        <v>2039</v>
      </c>
      <c r="E3181" t="s">
        <v>125</v>
      </c>
      <c r="F3181" t="s">
        <v>371</v>
      </c>
      <c r="G3181">
        <v>148.01451019999999</v>
      </c>
      <c r="I3181">
        <f t="shared" si="198"/>
        <v>0</v>
      </c>
      <c r="J3181">
        <f t="shared" si="198"/>
        <v>0</v>
      </c>
      <c r="K3181">
        <f t="shared" si="198"/>
        <v>0</v>
      </c>
      <c r="M3181" t="str" cm="1">
        <f t="array" ref="M3181">IFERROR(INDEX($I$2:$K$2,0,MATCH(TRUE,I3181:K3181,0)),E3181)</f>
        <v>Hydro_ROR</v>
      </c>
      <c r="O3181" t="str">
        <f t="shared" si="196"/>
        <v>Hydro_ROR_2039</v>
      </c>
      <c r="P3181">
        <f t="shared" si="197"/>
        <v>148.01451019999999</v>
      </c>
    </row>
    <row r="3182" spans="4:16" x14ac:dyDescent="0.25">
      <c r="D3182">
        <v>2040</v>
      </c>
      <c r="E3182" t="s">
        <v>125</v>
      </c>
      <c r="F3182" t="s">
        <v>371</v>
      </c>
      <c r="G3182">
        <v>148.01451019999999</v>
      </c>
      <c r="I3182">
        <f t="shared" si="198"/>
        <v>0</v>
      </c>
      <c r="J3182">
        <f t="shared" si="198"/>
        <v>0</v>
      </c>
      <c r="K3182">
        <f t="shared" si="198"/>
        <v>0</v>
      </c>
      <c r="M3182" t="str" cm="1">
        <f t="array" ref="M3182">IFERROR(INDEX($I$2:$K$2,0,MATCH(TRUE,I3182:K3182,0)),E3182)</f>
        <v>Hydro_ROR</v>
      </c>
      <c r="O3182" t="str">
        <f t="shared" si="196"/>
        <v>Hydro_ROR_2040</v>
      </c>
      <c r="P3182">
        <f t="shared" si="197"/>
        <v>148.01451019999999</v>
      </c>
    </row>
    <row r="3183" spans="4:16" x14ac:dyDescent="0.25">
      <c r="D3183">
        <v>2021</v>
      </c>
      <c r="E3183" t="s">
        <v>125</v>
      </c>
      <c r="F3183" t="s">
        <v>372</v>
      </c>
      <c r="G3183">
        <v>179.95679060000001</v>
      </c>
      <c r="I3183">
        <f t="shared" si="198"/>
        <v>0</v>
      </c>
      <c r="J3183">
        <f t="shared" si="198"/>
        <v>0</v>
      </c>
      <c r="K3183">
        <f t="shared" si="198"/>
        <v>0</v>
      </c>
      <c r="M3183" t="str" cm="1">
        <f t="array" ref="M3183">IFERROR(INDEX($I$2:$K$2,0,MATCH(TRUE,I3183:K3183,0)),E3183)</f>
        <v>Hydro_ROR</v>
      </c>
      <c r="O3183" t="str">
        <f t="shared" si="196"/>
        <v>Hydro_ROR_2021</v>
      </c>
      <c r="P3183">
        <f t="shared" si="197"/>
        <v>179.95679060000001</v>
      </c>
    </row>
    <row r="3184" spans="4:16" x14ac:dyDescent="0.25">
      <c r="D3184">
        <v>2022</v>
      </c>
      <c r="E3184" t="s">
        <v>125</v>
      </c>
      <c r="F3184" t="s">
        <v>372</v>
      </c>
      <c r="G3184">
        <v>179.95679060000001</v>
      </c>
      <c r="I3184">
        <f t="shared" si="198"/>
        <v>0</v>
      </c>
      <c r="J3184">
        <f t="shared" si="198"/>
        <v>0</v>
      </c>
      <c r="K3184">
        <f t="shared" si="198"/>
        <v>0</v>
      </c>
      <c r="M3184" t="str" cm="1">
        <f t="array" ref="M3184">IFERROR(INDEX($I$2:$K$2,0,MATCH(TRUE,I3184:K3184,0)),E3184)</f>
        <v>Hydro_ROR</v>
      </c>
      <c r="O3184" t="str">
        <f t="shared" si="196"/>
        <v>Hydro_ROR_2022</v>
      </c>
      <c r="P3184">
        <f t="shared" si="197"/>
        <v>179.95679060000001</v>
      </c>
    </row>
    <row r="3185" spans="4:16" x14ac:dyDescent="0.25">
      <c r="D3185">
        <v>2023</v>
      </c>
      <c r="E3185" t="s">
        <v>125</v>
      </c>
      <c r="F3185" t="s">
        <v>372</v>
      </c>
      <c r="G3185">
        <v>179.95679060000001</v>
      </c>
      <c r="I3185">
        <f t="shared" si="198"/>
        <v>0</v>
      </c>
      <c r="J3185">
        <f t="shared" si="198"/>
        <v>0</v>
      </c>
      <c r="K3185">
        <f t="shared" si="198"/>
        <v>0</v>
      </c>
      <c r="M3185" t="str" cm="1">
        <f t="array" ref="M3185">IFERROR(INDEX($I$2:$K$2,0,MATCH(TRUE,I3185:K3185,0)),E3185)</f>
        <v>Hydro_ROR</v>
      </c>
      <c r="O3185" t="str">
        <f t="shared" si="196"/>
        <v>Hydro_ROR_2023</v>
      </c>
      <c r="P3185">
        <f t="shared" si="197"/>
        <v>179.95679060000001</v>
      </c>
    </row>
    <row r="3186" spans="4:16" x14ac:dyDescent="0.25">
      <c r="D3186">
        <v>2024</v>
      </c>
      <c r="E3186" t="s">
        <v>125</v>
      </c>
      <c r="F3186" t="s">
        <v>372</v>
      </c>
      <c r="G3186">
        <v>179.95679060000001</v>
      </c>
      <c r="I3186">
        <f t="shared" si="198"/>
        <v>0</v>
      </c>
      <c r="J3186">
        <f t="shared" si="198"/>
        <v>0</v>
      </c>
      <c r="K3186">
        <f t="shared" si="198"/>
        <v>0</v>
      </c>
      <c r="M3186" t="str" cm="1">
        <f t="array" ref="M3186">IFERROR(INDEX($I$2:$K$2,0,MATCH(TRUE,I3186:K3186,0)),E3186)</f>
        <v>Hydro_ROR</v>
      </c>
      <c r="O3186" t="str">
        <f t="shared" si="196"/>
        <v>Hydro_ROR_2024</v>
      </c>
      <c r="P3186">
        <f t="shared" si="197"/>
        <v>179.95679060000001</v>
      </c>
    </row>
    <row r="3187" spans="4:16" x14ac:dyDescent="0.25">
      <c r="D3187">
        <v>2025</v>
      </c>
      <c r="E3187" t="s">
        <v>125</v>
      </c>
      <c r="F3187" t="s">
        <v>372</v>
      </c>
      <c r="G3187">
        <v>179.95679060000001</v>
      </c>
      <c r="I3187">
        <f t="shared" si="198"/>
        <v>0</v>
      </c>
      <c r="J3187">
        <f t="shared" si="198"/>
        <v>0</v>
      </c>
      <c r="K3187">
        <f t="shared" si="198"/>
        <v>0</v>
      </c>
      <c r="M3187" t="str" cm="1">
        <f t="array" ref="M3187">IFERROR(INDEX($I$2:$K$2,0,MATCH(TRUE,I3187:K3187,0)),E3187)</f>
        <v>Hydro_ROR</v>
      </c>
      <c r="O3187" t="str">
        <f t="shared" si="196"/>
        <v>Hydro_ROR_2025</v>
      </c>
      <c r="P3187">
        <f t="shared" si="197"/>
        <v>179.95679060000001</v>
      </c>
    </row>
    <row r="3188" spans="4:16" x14ac:dyDescent="0.25">
      <c r="D3188">
        <v>2026</v>
      </c>
      <c r="E3188" t="s">
        <v>125</v>
      </c>
      <c r="F3188" t="s">
        <v>372</v>
      </c>
      <c r="G3188">
        <v>179.95679060000001</v>
      </c>
      <c r="I3188">
        <f t="shared" si="198"/>
        <v>0</v>
      </c>
      <c r="J3188">
        <f t="shared" si="198"/>
        <v>0</v>
      </c>
      <c r="K3188">
        <f t="shared" si="198"/>
        <v>0</v>
      </c>
      <c r="M3188" t="str" cm="1">
        <f t="array" ref="M3188">IFERROR(INDEX($I$2:$K$2,0,MATCH(TRUE,I3188:K3188,0)),E3188)</f>
        <v>Hydro_ROR</v>
      </c>
      <c r="O3188" t="str">
        <f t="shared" si="196"/>
        <v>Hydro_ROR_2026</v>
      </c>
      <c r="P3188">
        <f t="shared" si="197"/>
        <v>179.95679060000001</v>
      </c>
    </row>
    <row r="3189" spans="4:16" x14ac:dyDescent="0.25">
      <c r="D3189">
        <v>2027</v>
      </c>
      <c r="E3189" t="s">
        <v>125</v>
      </c>
      <c r="F3189" t="s">
        <v>372</v>
      </c>
      <c r="G3189">
        <v>179.95679060000001</v>
      </c>
      <c r="I3189">
        <f t="shared" si="198"/>
        <v>0</v>
      </c>
      <c r="J3189">
        <f t="shared" si="198"/>
        <v>0</v>
      </c>
      <c r="K3189">
        <f t="shared" si="198"/>
        <v>0</v>
      </c>
      <c r="M3189" t="str" cm="1">
        <f t="array" ref="M3189">IFERROR(INDEX($I$2:$K$2,0,MATCH(TRUE,I3189:K3189,0)),E3189)</f>
        <v>Hydro_ROR</v>
      </c>
      <c r="O3189" t="str">
        <f t="shared" si="196"/>
        <v>Hydro_ROR_2027</v>
      </c>
      <c r="P3189">
        <f t="shared" si="197"/>
        <v>179.95679060000001</v>
      </c>
    </row>
    <row r="3190" spans="4:16" x14ac:dyDescent="0.25">
      <c r="D3190">
        <v>2028</v>
      </c>
      <c r="E3190" t="s">
        <v>125</v>
      </c>
      <c r="F3190" t="s">
        <v>372</v>
      </c>
      <c r="G3190">
        <v>179.95679060000001</v>
      </c>
      <c r="I3190">
        <f t="shared" si="198"/>
        <v>0</v>
      </c>
      <c r="J3190">
        <f t="shared" si="198"/>
        <v>0</v>
      </c>
      <c r="K3190">
        <f t="shared" si="198"/>
        <v>0</v>
      </c>
      <c r="M3190" t="str" cm="1">
        <f t="array" ref="M3190">IFERROR(INDEX($I$2:$K$2,0,MATCH(TRUE,I3190:K3190,0)),E3190)</f>
        <v>Hydro_ROR</v>
      </c>
      <c r="O3190" t="str">
        <f t="shared" si="196"/>
        <v>Hydro_ROR_2028</v>
      </c>
      <c r="P3190">
        <f t="shared" si="197"/>
        <v>179.95679060000001</v>
      </c>
    </row>
    <row r="3191" spans="4:16" x14ac:dyDescent="0.25">
      <c r="D3191">
        <v>2029</v>
      </c>
      <c r="E3191" t="s">
        <v>125</v>
      </c>
      <c r="F3191" t="s">
        <v>372</v>
      </c>
      <c r="G3191">
        <v>179.95679060000001</v>
      </c>
      <c r="I3191">
        <f t="shared" si="198"/>
        <v>0</v>
      </c>
      <c r="J3191">
        <f t="shared" si="198"/>
        <v>0</v>
      </c>
      <c r="K3191">
        <f t="shared" si="198"/>
        <v>0</v>
      </c>
      <c r="M3191" t="str" cm="1">
        <f t="array" ref="M3191">IFERROR(INDEX($I$2:$K$2,0,MATCH(TRUE,I3191:K3191,0)),E3191)</f>
        <v>Hydro_ROR</v>
      </c>
      <c r="O3191" t="str">
        <f t="shared" si="196"/>
        <v>Hydro_ROR_2029</v>
      </c>
      <c r="P3191">
        <f t="shared" si="197"/>
        <v>179.95679060000001</v>
      </c>
    </row>
    <row r="3192" spans="4:16" x14ac:dyDescent="0.25">
      <c r="D3192">
        <v>2030</v>
      </c>
      <c r="E3192" t="s">
        <v>125</v>
      </c>
      <c r="F3192" t="s">
        <v>372</v>
      </c>
      <c r="G3192">
        <v>179.95679060000001</v>
      </c>
      <c r="I3192">
        <f t="shared" si="198"/>
        <v>0</v>
      </c>
      <c r="J3192">
        <f t="shared" si="198"/>
        <v>0</v>
      </c>
      <c r="K3192">
        <f t="shared" si="198"/>
        <v>0</v>
      </c>
      <c r="M3192" t="str" cm="1">
        <f t="array" ref="M3192">IFERROR(INDEX($I$2:$K$2,0,MATCH(TRUE,I3192:K3192,0)),E3192)</f>
        <v>Hydro_ROR</v>
      </c>
      <c r="O3192" t="str">
        <f t="shared" si="196"/>
        <v>Hydro_ROR_2030</v>
      </c>
      <c r="P3192">
        <f t="shared" si="197"/>
        <v>179.95679060000001</v>
      </c>
    </row>
    <row r="3193" spans="4:16" x14ac:dyDescent="0.25">
      <c r="D3193">
        <v>2031</v>
      </c>
      <c r="E3193" t="s">
        <v>125</v>
      </c>
      <c r="F3193" t="s">
        <v>372</v>
      </c>
      <c r="G3193">
        <v>179.95679060000001</v>
      </c>
      <c r="I3193">
        <f t="shared" si="198"/>
        <v>0</v>
      </c>
      <c r="J3193">
        <f t="shared" si="198"/>
        <v>0</v>
      </c>
      <c r="K3193">
        <f t="shared" si="198"/>
        <v>0</v>
      </c>
      <c r="M3193" t="str" cm="1">
        <f t="array" ref="M3193">IFERROR(INDEX($I$2:$K$2,0,MATCH(TRUE,I3193:K3193,0)),E3193)</f>
        <v>Hydro_ROR</v>
      </c>
      <c r="O3193" t="str">
        <f t="shared" si="196"/>
        <v>Hydro_ROR_2031</v>
      </c>
      <c r="P3193">
        <f t="shared" si="197"/>
        <v>179.95679060000001</v>
      </c>
    </row>
    <row r="3194" spans="4:16" x14ac:dyDescent="0.25">
      <c r="D3194">
        <v>2032</v>
      </c>
      <c r="E3194" t="s">
        <v>125</v>
      </c>
      <c r="F3194" t="s">
        <v>372</v>
      </c>
      <c r="G3194">
        <v>179.95679060000001</v>
      </c>
      <c r="I3194">
        <f t="shared" si="198"/>
        <v>0</v>
      </c>
      <c r="J3194">
        <f t="shared" si="198"/>
        <v>0</v>
      </c>
      <c r="K3194">
        <f t="shared" si="198"/>
        <v>0</v>
      </c>
      <c r="M3194" t="str" cm="1">
        <f t="array" ref="M3194">IFERROR(INDEX($I$2:$K$2,0,MATCH(TRUE,I3194:K3194,0)),E3194)</f>
        <v>Hydro_ROR</v>
      </c>
      <c r="O3194" t="str">
        <f t="shared" si="196"/>
        <v>Hydro_ROR_2032</v>
      </c>
      <c r="P3194">
        <f t="shared" si="197"/>
        <v>179.95679060000001</v>
      </c>
    </row>
    <row r="3195" spans="4:16" x14ac:dyDescent="0.25">
      <c r="D3195">
        <v>2033</v>
      </c>
      <c r="E3195" t="s">
        <v>125</v>
      </c>
      <c r="F3195" t="s">
        <v>372</v>
      </c>
      <c r="G3195">
        <v>179.95679060000001</v>
      </c>
      <c r="I3195">
        <f t="shared" si="198"/>
        <v>0</v>
      </c>
      <c r="J3195">
        <f t="shared" si="198"/>
        <v>0</v>
      </c>
      <c r="K3195">
        <f t="shared" si="198"/>
        <v>0</v>
      </c>
      <c r="M3195" t="str" cm="1">
        <f t="array" ref="M3195">IFERROR(INDEX($I$2:$K$2,0,MATCH(TRUE,I3195:K3195,0)),E3195)</f>
        <v>Hydro_ROR</v>
      </c>
      <c r="O3195" t="str">
        <f t="shared" si="196"/>
        <v>Hydro_ROR_2033</v>
      </c>
      <c r="P3195">
        <f t="shared" si="197"/>
        <v>179.95679060000001</v>
      </c>
    </row>
    <row r="3196" spans="4:16" x14ac:dyDescent="0.25">
      <c r="D3196">
        <v>2034</v>
      </c>
      <c r="E3196" t="s">
        <v>125</v>
      </c>
      <c r="F3196" t="s">
        <v>372</v>
      </c>
      <c r="G3196">
        <v>179.95679060000001</v>
      </c>
      <c r="I3196">
        <f t="shared" si="198"/>
        <v>0</v>
      </c>
      <c r="J3196">
        <f t="shared" si="198"/>
        <v>0</v>
      </c>
      <c r="K3196">
        <f t="shared" si="198"/>
        <v>0</v>
      </c>
      <c r="M3196" t="str" cm="1">
        <f t="array" ref="M3196">IFERROR(INDEX($I$2:$K$2,0,MATCH(TRUE,I3196:K3196,0)),E3196)</f>
        <v>Hydro_ROR</v>
      </c>
      <c r="O3196" t="str">
        <f t="shared" si="196"/>
        <v>Hydro_ROR_2034</v>
      </c>
      <c r="P3196">
        <f t="shared" si="197"/>
        <v>179.95679060000001</v>
      </c>
    </row>
    <row r="3197" spans="4:16" x14ac:dyDescent="0.25">
      <c r="D3197">
        <v>2035</v>
      </c>
      <c r="E3197" t="s">
        <v>125</v>
      </c>
      <c r="F3197" t="s">
        <v>372</v>
      </c>
      <c r="G3197">
        <v>179.95679060000001</v>
      </c>
      <c r="I3197">
        <f t="shared" si="198"/>
        <v>0</v>
      </c>
      <c r="J3197">
        <f t="shared" si="198"/>
        <v>0</v>
      </c>
      <c r="K3197">
        <f t="shared" si="198"/>
        <v>0</v>
      </c>
      <c r="M3197" t="str" cm="1">
        <f t="array" ref="M3197">IFERROR(INDEX($I$2:$K$2,0,MATCH(TRUE,I3197:K3197,0)),E3197)</f>
        <v>Hydro_ROR</v>
      </c>
      <c r="O3197" t="str">
        <f t="shared" si="196"/>
        <v>Hydro_ROR_2035</v>
      </c>
      <c r="P3197">
        <f t="shared" si="197"/>
        <v>179.95679060000001</v>
      </c>
    </row>
    <row r="3198" spans="4:16" x14ac:dyDescent="0.25">
      <c r="D3198">
        <v>2036</v>
      </c>
      <c r="E3198" t="s">
        <v>125</v>
      </c>
      <c r="F3198" t="s">
        <v>372</v>
      </c>
      <c r="G3198">
        <v>179.95679060000001</v>
      </c>
      <c r="I3198">
        <f t="shared" si="198"/>
        <v>0</v>
      </c>
      <c r="J3198">
        <f t="shared" si="198"/>
        <v>0</v>
      </c>
      <c r="K3198">
        <f t="shared" si="198"/>
        <v>0</v>
      </c>
      <c r="M3198" t="str" cm="1">
        <f t="array" ref="M3198">IFERROR(INDEX($I$2:$K$2,0,MATCH(TRUE,I3198:K3198,0)),E3198)</f>
        <v>Hydro_ROR</v>
      </c>
      <c r="O3198" t="str">
        <f t="shared" si="196"/>
        <v>Hydro_ROR_2036</v>
      </c>
      <c r="P3198">
        <f t="shared" si="197"/>
        <v>179.95679060000001</v>
      </c>
    </row>
    <row r="3199" spans="4:16" x14ac:dyDescent="0.25">
      <c r="D3199">
        <v>2037</v>
      </c>
      <c r="E3199" t="s">
        <v>125</v>
      </c>
      <c r="F3199" t="s">
        <v>372</v>
      </c>
      <c r="G3199">
        <v>179.95679060000001</v>
      </c>
      <c r="I3199">
        <f t="shared" si="198"/>
        <v>0</v>
      </c>
      <c r="J3199">
        <f t="shared" si="198"/>
        <v>0</v>
      </c>
      <c r="K3199">
        <f t="shared" si="198"/>
        <v>0</v>
      </c>
      <c r="M3199" t="str" cm="1">
        <f t="array" ref="M3199">IFERROR(INDEX($I$2:$K$2,0,MATCH(TRUE,I3199:K3199,0)),E3199)</f>
        <v>Hydro_ROR</v>
      </c>
      <c r="O3199" t="str">
        <f t="shared" si="196"/>
        <v>Hydro_ROR_2037</v>
      </c>
      <c r="P3199">
        <f t="shared" si="197"/>
        <v>179.95679060000001</v>
      </c>
    </row>
    <row r="3200" spans="4:16" x14ac:dyDescent="0.25">
      <c r="D3200">
        <v>2038</v>
      </c>
      <c r="E3200" t="s">
        <v>125</v>
      </c>
      <c r="F3200" t="s">
        <v>372</v>
      </c>
      <c r="G3200">
        <v>179.95679060000001</v>
      </c>
      <c r="I3200">
        <f t="shared" si="198"/>
        <v>0</v>
      </c>
      <c r="J3200">
        <f t="shared" si="198"/>
        <v>0</v>
      </c>
      <c r="K3200">
        <f t="shared" si="198"/>
        <v>0</v>
      </c>
      <c r="M3200" t="str" cm="1">
        <f t="array" ref="M3200">IFERROR(INDEX($I$2:$K$2,0,MATCH(TRUE,I3200:K3200,0)),E3200)</f>
        <v>Hydro_ROR</v>
      </c>
      <c r="O3200" t="str">
        <f t="shared" si="196"/>
        <v>Hydro_ROR_2038</v>
      </c>
      <c r="P3200">
        <f t="shared" si="197"/>
        <v>179.95679060000001</v>
      </c>
    </row>
    <row r="3201" spans="4:16" x14ac:dyDescent="0.25">
      <c r="D3201">
        <v>2039</v>
      </c>
      <c r="E3201" t="s">
        <v>125</v>
      </c>
      <c r="F3201" t="s">
        <v>372</v>
      </c>
      <c r="G3201">
        <v>179.95679060000001</v>
      </c>
      <c r="I3201">
        <f t="shared" si="198"/>
        <v>0</v>
      </c>
      <c r="J3201">
        <f t="shared" si="198"/>
        <v>0</v>
      </c>
      <c r="K3201">
        <f t="shared" si="198"/>
        <v>0</v>
      </c>
      <c r="M3201" t="str" cm="1">
        <f t="array" ref="M3201">IFERROR(INDEX($I$2:$K$2,0,MATCH(TRUE,I3201:K3201,0)),E3201)</f>
        <v>Hydro_ROR</v>
      </c>
      <c r="O3201" t="str">
        <f t="shared" si="196"/>
        <v>Hydro_ROR_2039</v>
      </c>
      <c r="P3201">
        <f t="shared" si="197"/>
        <v>179.95679060000001</v>
      </c>
    </row>
    <row r="3202" spans="4:16" x14ac:dyDescent="0.25">
      <c r="D3202">
        <v>2040</v>
      </c>
      <c r="E3202" t="s">
        <v>125</v>
      </c>
      <c r="F3202" t="s">
        <v>372</v>
      </c>
      <c r="G3202">
        <v>179.95679060000001</v>
      </c>
      <c r="I3202">
        <f t="shared" si="198"/>
        <v>0</v>
      </c>
      <c r="J3202">
        <f t="shared" si="198"/>
        <v>0</v>
      </c>
      <c r="K3202">
        <f t="shared" si="198"/>
        <v>0</v>
      </c>
      <c r="M3202" t="str" cm="1">
        <f t="array" ref="M3202">IFERROR(INDEX($I$2:$K$2,0,MATCH(TRUE,I3202:K3202,0)),E3202)</f>
        <v>Hydro_ROR</v>
      </c>
      <c r="O3202" t="str">
        <f t="shared" si="196"/>
        <v>Hydro_ROR_2040</v>
      </c>
      <c r="P3202">
        <f t="shared" si="197"/>
        <v>179.95679060000001</v>
      </c>
    </row>
    <row r="3203" spans="4:16" x14ac:dyDescent="0.25">
      <c r="D3203">
        <v>2021</v>
      </c>
      <c r="E3203" t="s">
        <v>125</v>
      </c>
      <c r="F3203" t="s">
        <v>373</v>
      </c>
      <c r="G3203">
        <v>2008.7360040000001</v>
      </c>
      <c r="I3203">
        <f t="shared" si="198"/>
        <v>0</v>
      </c>
      <c r="J3203">
        <f t="shared" si="198"/>
        <v>0</v>
      </c>
      <c r="K3203">
        <f t="shared" si="198"/>
        <v>0</v>
      </c>
      <c r="M3203" t="str" cm="1">
        <f t="array" ref="M3203">IFERROR(INDEX($I$2:$K$2,0,MATCH(TRUE,I3203:K3203,0)),E3203)</f>
        <v>Hydro_ROR</v>
      </c>
      <c r="O3203" t="str">
        <f t="shared" si="196"/>
        <v>Hydro_ROR_2021</v>
      </c>
      <c r="P3203">
        <f t="shared" si="197"/>
        <v>2008.7360040000001</v>
      </c>
    </row>
    <row r="3204" spans="4:16" x14ac:dyDescent="0.25">
      <c r="D3204">
        <v>2022</v>
      </c>
      <c r="E3204" t="s">
        <v>125</v>
      </c>
      <c r="F3204" t="s">
        <v>373</v>
      </c>
      <c r="G3204">
        <v>2008.7360040000001</v>
      </c>
      <c r="I3204">
        <f t="shared" si="198"/>
        <v>0</v>
      </c>
      <c r="J3204">
        <f t="shared" si="198"/>
        <v>0</v>
      </c>
      <c r="K3204">
        <f t="shared" si="198"/>
        <v>0</v>
      </c>
      <c r="M3204" t="str" cm="1">
        <f t="array" ref="M3204">IFERROR(INDEX($I$2:$K$2,0,MATCH(TRUE,I3204:K3204,0)),E3204)</f>
        <v>Hydro_ROR</v>
      </c>
      <c r="O3204" t="str">
        <f t="shared" si="196"/>
        <v>Hydro_ROR_2022</v>
      </c>
      <c r="P3204">
        <f t="shared" si="197"/>
        <v>2008.7360040000001</v>
      </c>
    </row>
    <row r="3205" spans="4:16" x14ac:dyDescent="0.25">
      <c r="D3205">
        <v>2023</v>
      </c>
      <c r="E3205" t="s">
        <v>125</v>
      </c>
      <c r="F3205" t="s">
        <v>373</v>
      </c>
      <c r="G3205">
        <v>2008.7360040000001</v>
      </c>
      <c r="I3205">
        <f t="shared" si="198"/>
        <v>0</v>
      </c>
      <c r="J3205">
        <f t="shared" si="198"/>
        <v>0</v>
      </c>
      <c r="K3205">
        <f t="shared" si="198"/>
        <v>0</v>
      </c>
      <c r="M3205" t="str" cm="1">
        <f t="array" ref="M3205">IFERROR(INDEX($I$2:$K$2,0,MATCH(TRUE,I3205:K3205,0)),E3205)</f>
        <v>Hydro_ROR</v>
      </c>
      <c r="O3205" t="str">
        <f t="shared" si="196"/>
        <v>Hydro_ROR_2023</v>
      </c>
      <c r="P3205">
        <f t="shared" si="197"/>
        <v>2008.7360040000001</v>
      </c>
    </row>
    <row r="3206" spans="4:16" x14ac:dyDescent="0.25">
      <c r="D3206">
        <v>2024</v>
      </c>
      <c r="E3206" t="s">
        <v>125</v>
      </c>
      <c r="F3206" t="s">
        <v>373</v>
      </c>
      <c r="G3206">
        <v>2008.7360040000001</v>
      </c>
      <c r="I3206">
        <f t="shared" si="198"/>
        <v>0</v>
      </c>
      <c r="J3206">
        <f t="shared" si="198"/>
        <v>0</v>
      </c>
      <c r="K3206">
        <f t="shared" si="198"/>
        <v>0</v>
      </c>
      <c r="M3206" t="str" cm="1">
        <f t="array" ref="M3206">IFERROR(INDEX($I$2:$K$2,0,MATCH(TRUE,I3206:K3206,0)),E3206)</f>
        <v>Hydro_ROR</v>
      </c>
      <c r="O3206" t="str">
        <f t="shared" si="196"/>
        <v>Hydro_ROR_2024</v>
      </c>
      <c r="P3206">
        <f t="shared" si="197"/>
        <v>2008.7360040000001</v>
      </c>
    </row>
    <row r="3207" spans="4:16" x14ac:dyDescent="0.25">
      <c r="D3207">
        <v>2025</v>
      </c>
      <c r="E3207" t="s">
        <v>125</v>
      </c>
      <c r="F3207" t="s">
        <v>373</v>
      </c>
      <c r="G3207">
        <v>2008.7360040000001</v>
      </c>
      <c r="I3207">
        <f t="shared" si="198"/>
        <v>0</v>
      </c>
      <c r="J3207">
        <f t="shared" si="198"/>
        <v>0</v>
      </c>
      <c r="K3207">
        <f t="shared" si="198"/>
        <v>0</v>
      </c>
      <c r="M3207" t="str" cm="1">
        <f t="array" ref="M3207">IFERROR(INDEX($I$2:$K$2,0,MATCH(TRUE,I3207:K3207,0)),E3207)</f>
        <v>Hydro_ROR</v>
      </c>
      <c r="O3207" t="str">
        <f t="shared" si="196"/>
        <v>Hydro_ROR_2025</v>
      </c>
      <c r="P3207">
        <f t="shared" si="197"/>
        <v>2008.7360040000001</v>
      </c>
    </row>
    <row r="3208" spans="4:16" x14ac:dyDescent="0.25">
      <c r="D3208">
        <v>2026</v>
      </c>
      <c r="E3208" t="s">
        <v>125</v>
      </c>
      <c r="F3208" t="s">
        <v>373</v>
      </c>
      <c r="G3208">
        <v>2008.7360040000001</v>
      </c>
      <c r="I3208">
        <f t="shared" si="198"/>
        <v>0</v>
      </c>
      <c r="J3208">
        <f t="shared" si="198"/>
        <v>0</v>
      </c>
      <c r="K3208">
        <f t="shared" si="198"/>
        <v>0</v>
      </c>
      <c r="M3208" t="str" cm="1">
        <f t="array" ref="M3208">IFERROR(INDEX($I$2:$K$2,0,MATCH(TRUE,I3208:K3208,0)),E3208)</f>
        <v>Hydro_ROR</v>
      </c>
      <c r="O3208" t="str">
        <f t="shared" si="196"/>
        <v>Hydro_ROR_2026</v>
      </c>
      <c r="P3208">
        <f t="shared" si="197"/>
        <v>2008.7360040000001</v>
      </c>
    </row>
    <row r="3209" spans="4:16" x14ac:dyDescent="0.25">
      <c r="D3209">
        <v>2027</v>
      </c>
      <c r="E3209" t="s">
        <v>125</v>
      </c>
      <c r="F3209" t="s">
        <v>373</v>
      </c>
      <c r="G3209">
        <v>2008.7360040000001</v>
      </c>
      <c r="I3209">
        <f t="shared" si="198"/>
        <v>0</v>
      </c>
      <c r="J3209">
        <f t="shared" si="198"/>
        <v>0</v>
      </c>
      <c r="K3209">
        <f t="shared" si="198"/>
        <v>0</v>
      </c>
      <c r="M3209" t="str" cm="1">
        <f t="array" ref="M3209">IFERROR(INDEX($I$2:$K$2,0,MATCH(TRUE,I3209:K3209,0)),E3209)</f>
        <v>Hydro_ROR</v>
      </c>
      <c r="O3209" t="str">
        <f t="shared" si="196"/>
        <v>Hydro_ROR_2027</v>
      </c>
      <c r="P3209">
        <f t="shared" si="197"/>
        <v>2008.7360040000001</v>
      </c>
    </row>
    <row r="3210" spans="4:16" x14ac:dyDescent="0.25">
      <c r="D3210">
        <v>2028</v>
      </c>
      <c r="E3210" t="s">
        <v>125</v>
      </c>
      <c r="F3210" t="s">
        <v>373</v>
      </c>
      <c r="G3210">
        <v>2008.7360040000001</v>
      </c>
      <c r="I3210">
        <f t="shared" si="198"/>
        <v>0</v>
      </c>
      <c r="J3210">
        <f t="shared" si="198"/>
        <v>0</v>
      </c>
      <c r="K3210">
        <f t="shared" si="198"/>
        <v>0</v>
      </c>
      <c r="M3210" t="str" cm="1">
        <f t="array" ref="M3210">IFERROR(INDEX($I$2:$K$2,0,MATCH(TRUE,I3210:K3210,0)),E3210)</f>
        <v>Hydro_ROR</v>
      </c>
      <c r="O3210" t="str">
        <f t="shared" si="196"/>
        <v>Hydro_ROR_2028</v>
      </c>
      <c r="P3210">
        <f t="shared" si="197"/>
        <v>2008.7360040000001</v>
      </c>
    </row>
    <row r="3211" spans="4:16" x14ac:dyDescent="0.25">
      <c r="D3211">
        <v>2029</v>
      </c>
      <c r="E3211" t="s">
        <v>125</v>
      </c>
      <c r="F3211" t="s">
        <v>373</v>
      </c>
      <c r="G3211">
        <v>2008.7360040000001</v>
      </c>
      <c r="I3211">
        <f t="shared" si="198"/>
        <v>0</v>
      </c>
      <c r="J3211">
        <f t="shared" si="198"/>
        <v>0</v>
      </c>
      <c r="K3211">
        <f t="shared" si="198"/>
        <v>0</v>
      </c>
      <c r="M3211" t="str" cm="1">
        <f t="array" ref="M3211">IFERROR(INDEX($I$2:$K$2,0,MATCH(TRUE,I3211:K3211,0)),E3211)</f>
        <v>Hydro_ROR</v>
      </c>
      <c r="O3211" t="str">
        <f t="shared" si="196"/>
        <v>Hydro_ROR_2029</v>
      </c>
      <c r="P3211">
        <f t="shared" si="197"/>
        <v>2008.7360040000001</v>
      </c>
    </row>
    <row r="3212" spans="4:16" x14ac:dyDescent="0.25">
      <c r="D3212">
        <v>2030</v>
      </c>
      <c r="E3212" t="s">
        <v>125</v>
      </c>
      <c r="F3212" t="s">
        <v>373</v>
      </c>
      <c r="G3212">
        <v>2008.7360040000001</v>
      </c>
      <c r="I3212">
        <f t="shared" si="198"/>
        <v>0</v>
      </c>
      <c r="J3212">
        <f t="shared" si="198"/>
        <v>0</v>
      </c>
      <c r="K3212">
        <f t="shared" si="198"/>
        <v>0</v>
      </c>
      <c r="M3212" t="str" cm="1">
        <f t="array" ref="M3212">IFERROR(INDEX($I$2:$K$2,0,MATCH(TRUE,I3212:K3212,0)),E3212)</f>
        <v>Hydro_ROR</v>
      </c>
      <c r="O3212" t="str">
        <f t="shared" si="196"/>
        <v>Hydro_ROR_2030</v>
      </c>
      <c r="P3212">
        <f t="shared" si="197"/>
        <v>2008.7360040000001</v>
      </c>
    </row>
    <row r="3213" spans="4:16" x14ac:dyDescent="0.25">
      <c r="D3213">
        <v>2031</v>
      </c>
      <c r="E3213" t="s">
        <v>125</v>
      </c>
      <c r="F3213" t="s">
        <v>373</v>
      </c>
      <c r="G3213">
        <v>2008.7360040000001</v>
      </c>
      <c r="I3213">
        <f t="shared" si="198"/>
        <v>0</v>
      </c>
      <c r="J3213">
        <f t="shared" si="198"/>
        <v>0</v>
      </c>
      <c r="K3213">
        <f t="shared" si="198"/>
        <v>0</v>
      </c>
      <c r="M3213" t="str" cm="1">
        <f t="array" ref="M3213">IFERROR(INDEX($I$2:$K$2,0,MATCH(TRUE,I3213:K3213,0)),E3213)</f>
        <v>Hydro_ROR</v>
      </c>
      <c r="O3213" t="str">
        <f t="shared" si="196"/>
        <v>Hydro_ROR_2031</v>
      </c>
      <c r="P3213">
        <f t="shared" si="197"/>
        <v>2008.7360040000001</v>
      </c>
    </row>
    <row r="3214" spans="4:16" x14ac:dyDescent="0.25">
      <c r="D3214">
        <v>2032</v>
      </c>
      <c r="E3214" t="s">
        <v>125</v>
      </c>
      <c r="F3214" t="s">
        <v>373</v>
      </c>
      <c r="G3214">
        <v>2008.7360040000001</v>
      </c>
      <c r="I3214">
        <f t="shared" si="198"/>
        <v>0</v>
      </c>
      <c r="J3214">
        <f t="shared" si="198"/>
        <v>0</v>
      </c>
      <c r="K3214">
        <f t="shared" si="198"/>
        <v>0</v>
      </c>
      <c r="M3214" t="str" cm="1">
        <f t="array" ref="M3214">IFERROR(INDEX($I$2:$K$2,0,MATCH(TRUE,I3214:K3214,0)),E3214)</f>
        <v>Hydro_ROR</v>
      </c>
      <c r="O3214" t="str">
        <f t="shared" si="196"/>
        <v>Hydro_ROR_2032</v>
      </c>
      <c r="P3214">
        <f t="shared" si="197"/>
        <v>2008.7360040000001</v>
      </c>
    </row>
    <row r="3215" spans="4:16" x14ac:dyDescent="0.25">
      <c r="D3215">
        <v>2033</v>
      </c>
      <c r="E3215" t="s">
        <v>125</v>
      </c>
      <c r="F3215" t="s">
        <v>373</v>
      </c>
      <c r="G3215">
        <v>2008.7360040000001</v>
      </c>
      <c r="I3215">
        <f t="shared" si="198"/>
        <v>0</v>
      </c>
      <c r="J3215">
        <f t="shared" si="198"/>
        <v>0</v>
      </c>
      <c r="K3215">
        <f t="shared" si="198"/>
        <v>0</v>
      </c>
      <c r="M3215" t="str" cm="1">
        <f t="array" ref="M3215">IFERROR(INDEX($I$2:$K$2,0,MATCH(TRUE,I3215:K3215,0)),E3215)</f>
        <v>Hydro_ROR</v>
      </c>
      <c r="O3215" t="str">
        <f t="shared" si="196"/>
        <v>Hydro_ROR_2033</v>
      </c>
      <c r="P3215">
        <f t="shared" si="197"/>
        <v>2008.7360040000001</v>
      </c>
    </row>
    <row r="3216" spans="4:16" x14ac:dyDescent="0.25">
      <c r="D3216">
        <v>2034</v>
      </c>
      <c r="E3216" t="s">
        <v>125</v>
      </c>
      <c r="F3216" t="s">
        <v>373</v>
      </c>
      <c r="G3216">
        <v>2008.7360040000001</v>
      </c>
      <c r="I3216">
        <f t="shared" si="198"/>
        <v>0</v>
      </c>
      <c r="J3216">
        <f t="shared" si="198"/>
        <v>0</v>
      </c>
      <c r="K3216">
        <f t="shared" si="198"/>
        <v>0</v>
      </c>
      <c r="M3216" t="str" cm="1">
        <f t="array" ref="M3216">IFERROR(INDEX($I$2:$K$2,0,MATCH(TRUE,I3216:K3216,0)),E3216)</f>
        <v>Hydro_ROR</v>
      </c>
      <c r="O3216" t="str">
        <f t="shared" si="196"/>
        <v>Hydro_ROR_2034</v>
      </c>
      <c r="P3216">
        <f t="shared" si="197"/>
        <v>2008.7360040000001</v>
      </c>
    </row>
    <row r="3217" spans="4:16" x14ac:dyDescent="0.25">
      <c r="D3217">
        <v>2035</v>
      </c>
      <c r="E3217" t="s">
        <v>125</v>
      </c>
      <c r="F3217" t="s">
        <v>373</v>
      </c>
      <c r="G3217">
        <v>2008.7360040000001</v>
      </c>
      <c r="I3217">
        <f t="shared" si="198"/>
        <v>0</v>
      </c>
      <c r="J3217">
        <f t="shared" si="198"/>
        <v>0</v>
      </c>
      <c r="K3217">
        <f t="shared" si="198"/>
        <v>0</v>
      </c>
      <c r="M3217" t="str" cm="1">
        <f t="array" ref="M3217">IFERROR(INDEX($I$2:$K$2,0,MATCH(TRUE,I3217:K3217,0)),E3217)</f>
        <v>Hydro_ROR</v>
      </c>
      <c r="O3217" t="str">
        <f t="shared" si="196"/>
        <v>Hydro_ROR_2035</v>
      </c>
      <c r="P3217">
        <f t="shared" si="197"/>
        <v>2008.7360040000001</v>
      </c>
    </row>
    <row r="3218" spans="4:16" x14ac:dyDescent="0.25">
      <c r="D3218">
        <v>2036</v>
      </c>
      <c r="E3218" t="s">
        <v>125</v>
      </c>
      <c r="F3218" t="s">
        <v>373</v>
      </c>
      <c r="G3218">
        <v>2008.7360040000001</v>
      </c>
      <c r="I3218">
        <f t="shared" si="198"/>
        <v>0</v>
      </c>
      <c r="J3218">
        <f t="shared" si="198"/>
        <v>0</v>
      </c>
      <c r="K3218">
        <f t="shared" si="198"/>
        <v>0</v>
      </c>
      <c r="M3218" t="str" cm="1">
        <f t="array" ref="M3218">IFERROR(INDEX($I$2:$K$2,0,MATCH(TRUE,I3218:K3218,0)),E3218)</f>
        <v>Hydro_ROR</v>
      </c>
      <c r="O3218" t="str">
        <f t="shared" si="196"/>
        <v>Hydro_ROR_2036</v>
      </c>
      <c r="P3218">
        <f t="shared" si="197"/>
        <v>2008.7360040000001</v>
      </c>
    </row>
    <row r="3219" spans="4:16" x14ac:dyDescent="0.25">
      <c r="D3219">
        <v>2037</v>
      </c>
      <c r="E3219" t="s">
        <v>125</v>
      </c>
      <c r="F3219" t="s">
        <v>373</v>
      </c>
      <c r="G3219">
        <v>2008.7360040000001</v>
      </c>
      <c r="I3219">
        <f t="shared" si="198"/>
        <v>0</v>
      </c>
      <c r="J3219">
        <f t="shared" si="198"/>
        <v>0</v>
      </c>
      <c r="K3219">
        <f t="shared" si="198"/>
        <v>0</v>
      </c>
      <c r="M3219" t="str" cm="1">
        <f t="array" ref="M3219">IFERROR(INDEX($I$2:$K$2,0,MATCH(TRUE,I3219:K3219,0)),E3219)</f>
        <v>Hydro_ROR</v>
      </c>
      <c r="O3219" t="str">
        <f t="shared" ref="O3219:O3282" si="199">M3219&amp;"_"&amp;D3219</f>
        <v>Hydro_ROR_2037</v>
      </c>
      <c r="P3219">
        <f t="shared" ref="P3219:P3282" si="200">G3219</f>
        <v>2008.7360040000001</v>
      </c>
    </row>
    <row r="3220" spans="4:16" x14ac:dyDescent="0.25">
      <c r="D3220">
        <v>2038</v>
      </c>
      <c r="E3220" t="s">
        <v>125</v>
      </c>
      <c r="F3220" t="s">
        <v>373</v>
      </c>
      <c r="G3220">
        <v>2008.7360040000001</v>
      </c>
      <c r="I3220">
        <f t="shared" si="198"/>
        <v>0</v>
      </c>
      <c r="J3220">
        <f t="shared" si="198"/>
        <v>0</v>
      </c>
      <c r="K3220">
        <f t="shared" si="198"/>
        <v>0</v>
      </c>
      <c r="M3220" t="str" cm="1">
        <f t="array" ref="M3220">IFERROR(INDEX($I$2:$K$2,0,MATCH(TRUE,I3220:K3220,0)),E3220)</f>
        <v>Hydro_ROR</v>
      </c>
      <c r="O3220" t="str">
        <f t="shared" si="199"/>
        <v>Hydro_ROR_2038</v>
      </c>
      <c r="P3220">
        <f t="shared" si="200"/>
        <v>2008.7360040000001</v>
      </c>
    </row>
    <row r="3221" spans="4:16" x14ac:dyDescent="0.25">
      <c r="D3221">
        <v>2039</v>
      </c>
      <c r="E3221" t="s">
        <v>125</v>
      </c>
      <c r="F3221" t="s">
        <v>373</v>
      </c>
      <c r="G3221">
        <v>2008.7360040000001</v>
      </c>
      <c r="I3221">
        <f t="shared" ref="I3221:K3284" si="201">IFERROR(FIND(I$2,$E3221,1)&gt;0,0)</f>
        <v>0</v>
      </c>
      <c r="J3221">
        <f t="shared" si="201"/>
        <v>0</v>
      </c>
      <c r="K3221">
        <f t="shared" si="201"/>
        <v>0</v>
      </c>
      <c r="M3221" t="str" cm="1">
        <f t="array" ref="M3221">IFERROR(INDEX($I$2:$K$2,0,MATCH(TRUE,I3221:K3221,0)),E3221)</f>
        <v>Hydro_ROR</v>
      </c>
      <c r="O3221" t="str">
        <f t="shared" si="199"/>
        <v>Hydro_ROR_2039</v>
      </c>
      <c r="P3221">
        <f t="shared" si="200"/>
        <v>2008.7360040000001</v>
      </c>
    </row>
    <row r="3222" spans="4:16" x14ac:dyDescent="0.25">
      <c r="D3222">
        <v>2040</v>
      </c>
      <c r="E3222" t="s">
        <v>125</v>
      </c>
      <c r="F3222" t="s">
        <v>373</v>
      </c>
      <c r="G3222">
        <v>2008.7360040000001</v>
      </c>
      <c r="I3222">
        <f t="shared" si="201"/>
        <v>0</v>
      </c>
      <c r="J3222">
        <f t="shared" si="201"/>
        <v>0</v>
      </c>
      <c r="K3222">
        <f t="shared" si="201"/>
        <v>0</v>
      </c>
      <c r="M3222" t="str" cm="1">
        <f t="array" ref="M3222">IFERROR(INDEX($I$2:$K$2,0,MATCH(TRUE,I3222:K3222,0)),E3222)</f>
        <v>Hydro_ROR</v>
      </c>
      <c r="O3222" t="str">
        <f t="shared" si="199"/>
        <v>Hydro_ROR_2040</v>
      </c>
      <c r="P3222">
        <f t="shared" si="200"/>
        <v>2008.7360040000001</v>
      </c>
    </row>
    <row r="3223" spans="4:16" x14ac:dyDescent="0.25">
      <c r="D3223">
        <v>2021</v>
      </c>
      <c r="E3223" t="s">
        <v>126</v>
      </c>
      <c r="F3223" t="s">
        <v>374</v>
      </c>
      <c r="G3223">
        <v>80</v>
      </c>
      <c r="I3223">
        <f t="shared" si="201"/>
        <v>0</v>
      </c>
      <c r="J3223">
        <f t="shared" si="201"/>
        <v>0</v>
      </c>
      <c r="K3223">
        <f t="shared" si="201"/>
        <v>0</v>
      </c>
      <c r="M3223" t="str" cm="1">
        <f t="array" ref="M3223">IFERROR(INDEX($I$2:$K$2,0,MATCH(TRUE,I3223:K3223,0)),E3223)</f>
        <v>Hydro_seasonal_storage</v>
      </c>
      <c r="O3223" t="str">
        <f t="shared" si="199"/>
        <v>Hydro_seasonal_storage_2021</v>
      </c>
      <c r="P3223">
        <f t="shared" si="200"/>
        <v>80</v>
      </c>
    </row>
    <row r="3224" spans="4:16" x14ac:dyDescent="0.25">
      <c r="D3224">
        <v>2022</v>
      </c>
      <c r="E3224" t="s">
        <v>126</v>
      </c>
      <c r="F3224" t="s">
        <v>374</v>
      </c>
      <c r="G3224">
        <v>80</v>
      </c>
      <c r="I3224">
        <f t="shared" si="201"/>
        <v>0</v>
      </c>
      <c r="J3224">
        <f t="shared" si="201"/>
        <v>0</v>
      </c>
      <c r="K3224">
        <f t="shared" si="201"/>
        <v>0</v>
      </c>
      <c r="M3224" t="str" cm="1">
        <f t="array" ref="M3224">IFERROR(INDEX($I$2:$K$2,0,MATCH(TRUE,I3224:K3224,0)),E3224)</f>
        <v>Hydro_seasonal_storage</v>
      </c>
      <c r="O3224" t="str">
        <f t="shared" si="199"/>
        <v>Hydro_seasonal_storage_2022</v>
      </c>
      <c r="P3224">
        <f t="shared" si="200"/>
        <v>80</v>
      </c>
    </row>
    <row r="3225" spans="4:16" x14ac:dyDescent="0.25">
      <c r="D3225">
        <v>2023</v>
      </c>
      <c r="E3225" t="s">
        <v>126</v>
      </c>
      <c r="F3225" t="s">
        <v>374</v>
      </c>
      <c r="G3225">
        <v>80</v>
      </c>
      <c r="I3225">
        <f t="shared" si="201"/>
        <v>0</v>
      </c>
      <c r="J3225">
        <f t="shared" si="201"/>
        <v>0</v>
      </c>
      <c r="K3225">
        <f t="shared" si="201"/>
        <v>0</v>
      </c>
      <c r="M3225" t="str" cm="1">
        <f t="array" ref="M3225">IFERROR(INDEX($I$2:$K$2,0,MATCH(TRUE,I3225:K3225,0)),E3225)</f>
        <v>Hydro_seasonal_storage</v>
      </c>
      <c r="O3225" t="str">
        <f t="shared" si="199"/>
        <v>Hydro_seasonal_storage_2023</v>
      </c>
      <c r="P3225">
        <f t="shared" si="200"/>
        <v>80</v>
      </c>
    </row>
    <row r="3226" spans="4:16" x14ac:dyDescent="0.25">
      <c r="D3226">
        <v>2024</v>
      </c>
      <c r="E3226" t="s">
        <v>126</v>
      </c>
      <c r="F3226" t="s">
        <v>374</v>
      </c>
      <c r="G3226">
        <v>80</v>
      </c>
      <c r="I3226">
        <f t="shared" si="201"/>
        <v>0</v>
      </c>
      <c r="J3226">
        <f t="shared" si="201"/>
        <v>0</v>
      </c>
      <c r="K3226">
        <f t="shared" si="201"/>
        <v>0</v>
      </c>
      <c r="M3226" t="str" cm="1">
        <f t="array" ref="M3226">IFERROR(INDEX($I$2:$K$2,0,MATCH(TRUE,I3226:K3226,0)),E3226)</f>
        <v>Hydro_seasonal_storage</v>
      </c>
      <c r="O3226" t="str">
        <f t="shared" si="199"/>
        <v>Hydro_seasonal_storage_2024</v>
      </c>
      <c r="P3226">
        <f t="shared" si="200"/>
        <v>80</v>
      </c>
    </row>
    <row r="3227" spans="4:16" x14ac:dyDescent="0.25">
      <c r="D3227">
        <v>2025</v>
      </c>
      <c r="E3227" t="s">
        <v>126</v>
      </c>
      <c r="F3227" t="s">
        <v>374</v>
      </c>
      <c r="G3227">
        <v>80</v>
      </c>
      <c r="I3227">
        <f t="shared" si="201"/>
        <v>0</v>
      </c>
      <c r="J3227">
        <f t="shared" si="201"/>
        <v>0</v>
      </c>
      <c r="K3227">
        <f t="shared" si="201"/>
        <v>0</v>
      </c>
      <c r="M3227" t="str" cm="1">
        <f t="array" ref="M3227">IFERROR(INDEX($I$2:$K$2,0,MATCH(TRUE,I3227:K3227,0)),E3227)</f>
        <v>Hydro_seasonal_storage</v>
      </c>
      <c r="O3227" t="str">
        <f t="shared" si="199"/>
        <v>Hydro_seasonal_storage_2025</v>
      </c>
      <c r="P3227">
        <f t="shared" si="200"/>
        <v>80</v>
      </c>
    </row>
    <row r="3228" spans="4:16" x14ac:dyDescent="0.25">
      <c r="D3228">
        <v>2026</v>
      </c>
      <c r="E3228" t="s">
        <v>126</v>
      </c>
      <c r="F3228" t="s">
        <v>374</v>
      </c>
      <c r="G3228">
        <v>80</v>
      </c>
      <c r="I3228">
        <f t="shared" si="201"/>
        <v>0</v>
      </c>
      <c r="J3228">
        <f t="shared" si="201"/>
        <v>0</v>
      </c>
      <c r="K3228">
        <f t="shared" si="201"/>
        <v>0</v>
      </c>
      <c r="M3228" t="str" cm="1">
        <f t="array" ref="M3228">IFERROR(INDEX($I$2:$K$2,0,MATCH(TRUE,I3228:K3228,0)),E3228)</f>
        <v>Hydro_seasonal_storage</v>
      </c>
      <c r="O3228" t="str">
        <f t="shared" si="199"/>
        <v>Hydro_seasonal_storage_2026</v>
      </c>
      <c r="P3228">
        <f t="shared" si="200"/>
        <v>80</v>
      </c>
    </row>
    <row r="3229" spans="4:16" x14ac:dyDescent="0.25">
      <c r="D3229">
        <v>2027</v>
      </c>
      <c r="E3229" t="s">
        <v>126</v>
      </c>
      <c r="F3229" t="s">
        <v>374</v>
      </c>
      <c r="G3229">
        <v>80</v>
      </c>
      <c r="I3229">
        <f t="shared" si="201"/>
        <v>0</v>
      </c>
      <c r="J3229">
        <f t="shared" si="201"/>
        <v>0</v>
      </c>
      <c r="K3229">
        <f t="shared" si="201"/>
        <v>0</v>
      </c>
      <c r="M3229" t="str" cm="1">
        <f t="array" ref="M3229">IFERROR(INDEX($I$2:$K$2,0,MATCH(TRUE,I3229:K3229,0)),E3229)</f>
        <v>Hydro_seasonal_storage</v>
      </c>
      <c r="O3229" t="str">
        <f t="shared" si="199"/>
        <v>Hydro_seasonal_storage_2027</v>
      </c>
      <c r="P3229">
        <f t="shared" si="200"/>
        <v>80</v>
      </c>
    </row>
    <row r="3230" spans="4:16" x14ac:dyDescent="0.25">
      <c r="D3230">
        <v>2028</v>
      </c>
      <c r="E3230" t="s">
        <v>126</v>
      </c>
      <c r="F3230" t="s">
        <v>374</v>
      </c>
      <c r="G3230">
        <v>80</v>
      </c>
      <c r="I3230">
        <f t="shared" si="201"/>
        <v>0</v>
      </c>
      <c r="J3230">
        <f t="shared" si="201"/>
        <v>0</v>
      </c>
      <c r="K3230">
        <f t="shared" si="201"/>
        <v>0</v>
      </c>
      <c r="M3230" t="str" cm="1">
        <f t="array" ref="M3230">IFERROR(INDEX($I$2:$K$2,0,MATCH(TRUE,I3230:K3230,0)),E3230)</f>
        <v>Hydro_seasonal_storage</v>
      </c>
      <c r="O3230" t="str">
        <f t="shared" si="199"/>
        <v>Hydro_seasonal_storage_2028</v>
      </c>
      <c r="P3230">
        <f t="shared" si="200"/>
        <v>80</v>
      </c>
    </row>
    <row r="3231" spans="4:16" x14ac:dyDescent="0.25">
      <c r="D3231">
        <v>2029</v>
      </c>
      <c r="E3231" t="s">
        <v>126</v>
      </c>
      <c r="F3231" t="s">
        <v>374</v>
      </c>
      <c r="G3231">
        <v>80</v>
      </c>
      <c r="I3231">
        <f t="shared" si="201"/>
        <v>0</v>
      </c>
      <c r="J3231">
        <f t="shared" si="201"/>
        <v>0</v>
      </c>
      <c r="K3231">
        <f t="shared" si="201"/>
        <v>0</v>
      </c>
      <c r="M3231" t="str" cm="1">
        <f t="array" ref="M3231">IFERROR(INDEX($I$2:$K$2,0,MATCH(TRUE,I3231:K3231,0)),E3231)</f>
        <v>Hydro_seasonal_storage</v>
      </c>
      <c r="O3231" t="str">
        <f t="shared" si="199"/>
        <v>Hydro_seasonal_storage_2029</v>
      </c>
      <c r="P3231">
        <f t="shared" si="200"/>
        <v>80</v>
      </c>
    </row>
    <row r="3232" spans="4:16" x14ac:dyDescent="0.25">
      <c r="D3232">
        <v>2030</v>
      </c>
      <c r="E3232" t="s">
        <v>126</v>
      </c>
      <c r="F3232" t="s">
        <v>374</v>
      </c>
      <c r="G3232">
        <v>80</v>
      </c>
      <c r="I3232">
        <f t="shared" si="201"/>
        <v>0</v>
      </c>
      <c r="J3232">
        <f t="shared" si="201"/>
        <v>0</v>
      </c>
      <c r="K3232">
        <f t="shared" si="201"/>
        <v>0</v>
      </c>
      <c r="M3232" t="str" cm="1">
        <f t="array" ref="M3232">IFERROR(INDEX($I$2:$K$2,0,MATCH(TRUE,I3232:K3232,0)),E3232)</f>
        <v>Hydro_seasonal_storage</v>
      </c>
      <c r="O3232" t="str">
        <f t="shared" si="199"/>
        <v>Hydro_seasonal_storage_2030</v>
      </c>
      <c r="P3232">
        <f t="shared" si="200"/>
        <v>80</v>
      </c>
    </row>
    <row r="3233" spans="4:16" x14ac:dyDescent="0.25">
      <c r="D3233">
        <v>2031</v>
      </c>
      <c r="E3233" t="s">
        <v>126</v>
      </c>
      <c r="F3233" t="s">
        <v>374</v>
      </c>
      <c r="G3233">
        <v>80</v>
      </c>
      <c r="I3233">
        <f t="shared" si="201"/>
        <v>0</v>
      </c>
      <c r="J3233">
        <f t="shared" si="201"/>
        <v>0</v>
      </c>
      <c r="K3233">
        <f t="shared" si="201"/>
        <v>0</v>
      </c>
      <c r="M3233" t="str" cm="1">
        <f t="array" ref="M3233">IFERROR(INDEX($I$2:$K$2,0,MATCH(TRUE,I3233:K3233,0)),E3233)</f>
        <v>Hydro_seasonal_storage</v>
      </c>
      <c r="O3233" t="str">
        <f t="shared" si="199"/>
        <v>Hydro_seasonal_storage_2031</v>
      </c>
      <c r="P3233">
        <f t="shared" si="200"/>
        <v>80</v>
      </c>
    </row>
    <row r="3234" spans="4:16" x14ac:dyDescent="0.25">
      <c r="D3234">
        <v>2032</v>
      </c>
      <c r="E3234" t="s">
        <v>126</v>
      </c>
      <c r="F3234" t="s">
        <v>374</v>
      </c>
      <c r="G3234">
        <v>80</v>
      </c>
      <c r="I3234">
        <f t="shared" si="201"/>
        <v>0</v>
      </c>
      <c r="J3234">
        <f t="shared" si="201"/>
        <v>0</v>
      </c>
      <c r="K3234">
        <f t="shared" si="201"/>
        <v>0</v>
      </c>
      <c r="M3234" t="str" cm="1">
        <f t="array" ref="M3234">IFERROR(INDEX($I$2:$K$2,0,MATCH(TRUE,I3234:K3234,0)),E3234)</f>
        <v>Hydro_seasonal_storage</v>
      </c>
      <c r="O3234" t="str">
        <f t="shared" si="199"/>
        <v>Hydro_seasonal_storage_2032</v>
      </c>
      <c r="P3234">
        <f t="shared" si="200"/>
        <v>80</v>
      </c>
    </row>
    <row r="3235" spans="4:16" x14ac:dyDescent="0.25">
      <c r="D3235">
        <v>2033</v>
      </c>
      <c r="E3235" t="s">
        <v>126</v>
      </c>
      <c r="F3235" t="s">
        <v>374</v>
      </c>
      <c r="G3235">
        <v>80</v>
      </c>
      <c r="I3235">
        <f t="shared" si="201"/>
        <v>0</v>
      </c>
      <c r="J3235">
        <f t="shared" si="201"/>
        <v>0</v>
      </c>
      <c r="K3235">
        <f t="shared" si="201"/>
        <v>0</v>
      </c>
      <c r="M3235" t="str" cm="1">
        <f t="array" ref="M3235">IFERROR(INDEX($I$2:$K$2,0,MATCH(TRUE,I3235:K3235,0)),E3235)</f>
        <v>Hydro_seasonal_storage</v>
      </c>
      <c r="O3235" t="str">
        <f t="shared" si="199"/>
        <v>Hydro_seasonal_storage_2033</v>
      </c>
      <c r="P3235">
        <f t="shared" si="200"/>
        <v>80</v>
      </c>
    </row>
    <row r="3236" spans="4:16" x14ac:dyDescent="0.25">
      <c r="D3236">
        <v>2034</v>
      </c>
      <c r="E3236" t="s">
        <v>126</v>
      </c>
      <c r="F3236" t="s">
        <v>374</v>
      </c>
      <c r="G3236">
        <v>80</v>
      </c>
      <c r="I3236">
        <f t="shared" si="201"/>
        <v>0</v>
      </c>
      <c r="J3236">
        <f t="shared" si="201"/>
        <v>0</v>
      </c>
      <c r="K3236">
        <f t="shared" si="201"/>
        <v>0</v>
      </c>
      <c r="M3236" t="str" cm="1">
        <f t="array" ref="M3236">IFERROR(INDEX($I$2:$K$2,0,MATCH(TRUE,I3236:K3236,0)),E3236)</f>
        <v>Hydro_seasonal_storage</v>
      </c>
      <c r="O3236" t="str">
        <f t="shared" si="199"/>
        <v>Hydro_seasonal_storage_2034</v>
      </c>
      <c r="P3236">
        <f t="shared" si="200"/>
        <v>80</v>
      </c>
    </row>
    <row r="3237" spans="4:16" x14ac:dyDescent="0.25">
      <c r="D3237">
        <v>2035</v>
      </c>
      <c r="E3237" t="s">
        <v>126</v>
      </c>
      <c r="F3237" t="s">
        <v>374</v>
      </c>
      <c r="G3237">
        <v>80</v>
      </c>
      <c r="I3237">
        <f t="shared" si="201"/>
        <v>0</v>
      </c>
      <c r="J3237">
        <f t="shared" si="201"/>
        <v>0</v>
      </c>
      <c r="K3237">
        <f t="shared" si="201"/>
        <v>0</v>
      </c>
      <c r="M3237" t="str" cm="1">
        <f t="array" ref="M3237">IFERROR(INDEX($I$2:$K$2,0,MATCH(TRUE,I3237:K3237,0)),E3237)</f>
        <v>Hydro_seasonal_storage</v>
      </c>
      <c r="O3237" t="str">
        <f t="shared" si="199"/>
        <v>Hydro_seasonal_storage_2035</v>
      </c>
      <c r="P3237">
        <f t="shared" si="200"/>
        <v>80</v>
      </c>
    </row>
    <row r="3238" spans="4:16" x14ac:dyDescent="0.25">
      <c r="D3238">
        <v>2036</v>
      </c>
      <c r="E3238" t="s">
        <v>126</v>
      </c>
      <c r="F3238" t="s">
        <v>374</v>
      </c>
      <c r="G3238">
        <v>80</v>
      </c>
      <c r="I3238">
        <f t="shared" si="201"/>
        <v>0</v>
      </c>
      <c r="J3238">
        <f t="shared" si="201"/>
        <v>0</v>
      </c>
      <c r="K3238">
        <f t="shared" si="201"/>
        <v>0</v>
      </c>
      <c r="M3238" t="str" cm="1">
        <f t="array" ref="M3238">IFERROR(INDEX($I$2:$K$2,0,MATCH(TRUE,I3238:K3238,0)),E3238)</f>
        <v>Hydro_seasonal_storage</v>
      </c>
      <c r="O3238" t="str">
        <f t="shared" si="199"/>
        <v>Hydro_seasonal_storage_2036</v>
      </c>
      <c r="P3238">
        <f t="shared" si="200"/>
        <v>80</v>
      </c>
    </row>
    <row r="3239" spans="4:16" x14ac:dyDescent="0.25">
      <c r="D3239">
        <v>2037</v>
      </c>
      <c r="E3239" t="s">
        <v>126</v>
      </c>
      <c r="F3239" t="s">
        <v>374</v>
      </c>
      <c r="G3239">
        <v>80</v>
      </c>
      <c r="I3239">
        <f t="shared" si="201"/>
        <v>0</v>
      </c>
      <c r="J3239">
        <f t="shared" si="201"/>
        <v>0</v>
      </c>
      <c r="K3239">
        <f t="shared" si="201"/>
        <v>0</v>
      </c>
      <c r="M3239" t="str" cm="1">
        <f t="array" ref="M3239">IFERROR(INDEX($I$2:$K$2,0,MATCH(TRUE,I3239:K3239,0)),E3239)</f>
        <v>Hydro_seasonal_storage</v>
      </c>
      <c r="O3239" t="str">
        <f t="shared" si="199"/>
        <v>Hydro_seasonal_storage_2037</v>
      </c>
      <c r="P3239">
        <f t="shared" si="200"/>
        <v>80</v>
      </c>
    </row>
    <row r="3240" spans="4:16" x14ac:dyDescent="0.25">
      <c r="D3240">
        <v>2038</v>
      </c>
      <c r="E3240" t="s">
        <v>126</v>
      </c>
      <c r="F3240" t="s">
        <v>374</v>
      </c>
      <c r="G3240">
        <v>80</v>
      </c>
      <c r="I3240">
        <f t="shared" si="201"/>
        <v>0</v>
      </c>
      <c r="J3240">
        <f t="shared" si="201"/>
        <v>0</v>
      </c>
      <c r="K3240">
        <f t="shared" si="201"/>
        <v>0</v>
      </c>
      <c r="M3240" t="str" cm="1">
        <f t="array" ref="M3240">IFERROR(INDEX($I$2:$K$2,0,MATCH(TRUE,I3240:K3240,0)),E3240)</f>
        <v>Hydro_seasonal_storage</v>
      </c>
      <c r="O3240" t="str">
        <f t="shared" si="199"/>
        <v>Hydro_seasonal_storage_2038</v>
      </c>
      <c r="P3240">
        <f t="shared" si="200"/>
        <v>80</v>
      </c>
    </row>
    <row r="3241" spans="4:16" x14ac:dyDescent="0.25">
      <c r="D3241">
        <v>2039</v>
      </c>
      <c r="E3241" t="s">
        <v>126</v>
      </c>
      <c r="F3241" t="s">
        <v>374</v>
      </c>
      <c r="G3241">
        <v>80</v>
      </c>
      <c r="I3241">
        <f t="shared" si="201"/>
        <v>0</v>
      </c>
      <c r="J3241">
        <f t="shared" si="201"/>
        <v>0</v>
      </c>
      <c r="K3241">
        <f t="shared" si="201"/>
        <v>0</v>
      </c>
      <c r="M3241" t="str" cm="1">
        <f t="array" ref="M3241">IFERROR(INDEX($I$2:$K$2,0,MATCH(TRUE,I3241:K3241,0)),E3241)</f>
        <v>Hydro_seasonal_storage</v>
      </c>
      <c r="O3241" t="str">
        <f t="shared" si="199"/>
        <v>Hydro_seasonal_storage_2039</v>
      </c>
      <c r="P3241">
        <f t="shared" si="200"/>
        <v>80</v>
      </c>
    </row>
    <row r="3242" spans="4:16" x14ac:dyDescent="0.25">
      <c r="D3242">
        <v>2040</v>
      </c>
      <c r="E3242" t="s">
        <v>126</v>
      </c>
      <c r="F3242" t="s">
        <v>374</v>
      </c>
      <c r="G3242">
        <v>80</v>
      </c>
      <c r="I3242">
        <f t="shared" si="201"/>
        <v>0</v>
      </c>
      <c r="J3242">
        <f t="shared" si="201"/>
        <v>0</v>
      </c>
      <c r="K3242">
        <f t="shared" si="201"/>
        <v>0</v>
      </c>
      <c r="M3242" t="str" cm="1">
        <f t="array" ref="M3242">IFERROR(INDEX($I$2:$K$2,0,MATCH(TRUE,I3242:K3242,0)),E3242)</f>
        <v>Hydro_seasonal_storage</v>
      </c>
      <c r="O3242" t="str">
        <f t="shared" si="199"/>
        <v>Hydro_seasonal_storage_2040</v>
      </c>
      <c r="P3242">
        <f t="shared" si="200"/>
        <v>80</v>
      </c>
    </row>
    <row r="3243" spans="4:16" x14ac:dyDescent="0.25">
      <c r="D3243">
        <v>2021</v>
      </c>
      <c r="E3243" t="s">
        <v>126</v>
      </c>
      <c r="F3243" t="s">
        <v>375</v>
      </c>
      <c r="G3243">
        <v>220</v>
      </c>
      <c r="I3243">
        <f t="shared" si="201"/>
        <v>0</v>
      </c>
      <c r="J3243">
        <f t="shared" si="201"/>
        <v>0</v>
      </c>
      <c r="K3243">
        <f t="shared" si="201"/>
        <v>0</v>
      </c>
      <c r="M3243" t="str" cm="1">
        <f t="array" ref="M3243">IFERROR(INDEX($I$2:$K$2,0,MATCH(TRUE,I3243:K3243,0)),E3243)</f>
        <v>Hydro_seasonal_storage</v>
      </c>
      <c r="O3243" t="str">
        <f t="shared" si="199"/>
        <v>Hydro_seasonal_storage_2021</v>
      </c>
      <c r="P3243">
        <f t="shared" si="200"/>
        <v>220</v>
      </c>
    </row>
    <row r="3244" spans="4:16" x14ac:dyDescent="0.25">
      <c r="D3244">
        <v>2022</v>
      </c>
      <c r="E3244" t="s">
        <v>126</v>
      </c>
      <c r="F3244" t="s">
        <v>375</v>
      </c>
      <c r="G3244">
        <v>220</v>
      </c>
      <c r="I3244">
        <f t="shared" si="201"/>
        <v>0</v>
      </c>
      <c r="J3244">
        <f t="shared" si="201"/>
        <v>0</v>
      </c>
      <c r="K3244">
        <f t="shared" si="201"/>
        <v>0</v>
      </c>
      <c r="M3244" t="str" cm="1">
        <f t="array" ref="M3244">IFERROR(INDEX($I$2:$K$2,0,MATCH(TRUE,I3244:K3244,0)),E3244)</f>
        <v>Hydro_seasonal_storage</v>
      </c>
      <c r="O3244" t="str">
        <f t="shared" si="199"/>
        <v>Hydro_seasonal_storage_2022</v>
      </c>
      <c r="P3244">
        <f t="shared" si="200"/>
        <v>220</v>
      </c>
    </row>
    <row r="3245" spans="4:16" x14ac:dyDescent="0.25">
      <c r="D3245">
        <v>2023</v>
      </c>
      <c r="E3245" t="s">
        <v>126</v>
      </c>
      <c r="F3245" t="s">
        <v>375</v>
      </c>
      <c r="G3245">
        <v>220</v>
      </c>
      <c r="I3245">
        <f t="shared" si="201"/>
        <v>0</v>
      </c>
      <c r="J3245">
        <f t="shared" si="201"/>
        <v>0</v>
      </c>
      <c r="K3245">
        <f t="shared" si="201"/>
        <v>0</v>
      </c>
      <c r="M3245" t="str" cm="1">
        <f t="array" ref="M3245">IFERROR(INDEX($I$2:$K$2,0,MATCH(TRUE,I3245:K3245,0)),E3245)</f>
        <v>Hydro_seasonal_storage</v>
      </c>
      <c r="O3245" t="str">
        <f t="shared" si="199"/>
        <v>Hydro_seasonal_storage_2023</v>
      </c>
      <c r="P3245">
        <f t="shared" si="200"/>
        <v>220</v>
      </c>
    </row>
    <row r="3246" spans="4:16" x14ac:dyDescent="0.25">
      <c r="D3246">
        <v>2024</v>
      </c>
      <c r="E3246" t="s">
        <v>126</v>
      </c>
      <c r="F3246" t="s">
        <v>375</v>
      </c>
      <c r="G3246">
        <v>220</v>
      </c>
      <c r="I3246">
        <f t="shared" si="201"/>
        <v>0</v>
      </c>
      <c r="J3246">
        <f t="shared" si="201"/>
        <v>0</v>
      </c>
      <c r="K3246">
        <f t="shared" si="201"/>
        <v>0</v>
      </c>
      <c r="M3246" t="str" cm="1">
        <f t="array" ref="M3246">IFERROR(INDEX($I$2:$K$2,0,MATCH(TRUE,I3246:K3246,0)),E3246)</f>
        <v>Hydro_seasonal_storage</v>
      </c>
      <c r="O3246" t="str">
        <f t="shared" si="199"/>
        <v>Hydro_seasonal_storage_2024</v>
      </c>
      <c r="P3246">
        <f t="shared" si="200"/>
        <v>220</v>
      </c>
    </row>
    <row r="3247" spans="4:16" x14ac:dyDescent="0.25">
      <c r="D3247">
        <v>2025</v>
      </c>
      <c r="E3247" t="s">
        <v>126</v>
      </c>
      <c r="F3247" t="s">
        <v>375</v>
      </c>
      <c r="G3247">
        <v>220</v>
      </c>
      <c r="I3247">
        <f t="shared" si="201"/>
        <v>0</v>
      </c>
      <c r="J3247">
        <f t="shared" si="201"/>
        <v>0</v>
      </c>
      <c r="K3247">
        <f t="shared" si="201"/>
        <v>0</v>
      </c>
      <c r="M3247" t="str" cm="1">
        <f t="array" ref="M3247">IFERROR(INDEX($I$2:$K$2,0,MATCH(TRUE,I3247:K3247,0)),E3247)</f>
        <v>Hydro_seasonal_storage</v>
      </c>
      <c r="O3247" t="str">
        <f t="shared" si="199"/>
        <v>Hydro_seasonal_storage_2025</v>
      </c>
      <c r="P3247">
        <f t="shared" si="200"/>
        <v>220</v>
      </c>
    </row>
    <row r="3248" spans="4:16" x14ac:dyDescent="0.25">
      <c r="D3248">
        <v>2026</v>
      </c>
      <c r="E3248" t="s">
        <v>126</v>
      </c>
      <c r="F3248" t="s">
        <v>375</v>
      </c>
      <c r="G3248">
        <v>220</v>
      </c>
      <c r="I3248">
        <f t="shared" si="201"/>
        <v>0</v>
      </c>
      <c r="J3248">
        <f t="shared" si="201"/>
        <v>0</v>
      </c>
      <c r="K3248">
        <f t="shared" si="201"/>
        <v>0</v>
      </c>
      <c r="M3248" t="str" cm="1">
        <f t="array" ref="M3248">IFERROR(INDEX($I$2:$K$2,0,MATCH(TRUE,I3248:K3248,0)),E3248)</f>
        <v>Hydro_seasonal_storage</v>
      </c>
      <c r="O3248" t="str">
        <f t="shared" si="199"/>
        <v>Hydro_seasonal_storage_2026</v>
      </c>
      <c r="P3248">
        <f t="shared" si="200"/>
        <v>220</v>
      </c>
    </row>
    <row r="3249" spans="4:16" x14ac:dyDescent="0.25">
      <c r="D3249">
        <v>2027</v>
      </c>
      <c r="E3249" t="s">
        <v>126</v>
      </c>
      <c r="F3249" t="s">
        <v>375</v>
      </c>
      <c r="G3249">
        <v>220</v>
      </c>
      <c r="I3249">
        <f t="shared" si="201"/>
        <v>0</v>
      </c>
      <c r="J3249">
        <f t="shared" si="201"/>
        <v>0</v>
      </c>
      <c r="K3249">
        <f t="shared" si="201"/>
        <v>0</v>
      </c>
      <c r="M3249" t="str" cm="1">
        <f t="array" ref="M3249">IFERROR(INDEX($I$2:$K$2,0,MATCH(TRUE,I3249:K3249,0)),E3249)</f>
        <v>Hydro_seasonal_storage</v>
      </c>
      <c r="O3249" t="str">
        <f t="shared" si="199"/>
        <v>Hydro_seasonal_storage_2027</v>
      </c>
      <c r="P3249">
        <f t="shared" si="200"/>
        <v>220</v>
      </c>
    </row>
    <row r="3250" spans="4:16" x14ac:dyDescent="0.25">
      <c r="D3250">
        <v>2028</v>
      </c>
      <c r="E3250" t="s">
        <v>126</v>
      </c>
      <c r="F3250" t="s">
        <v>375</v>
      </c>
      <c r="G3250">
        <v>220</v>
      </c>
      <c r="I3250">
        <f t="shared" si="201"/>
        <v>0</v>
      </c>
      <c r="J3250">
        <f t="shared" si="201"/>
        <v>0</v>
      </c>
      <c r="K3250">
        <f t="shared" si="201"/>
        <v>0</v>
      </c>
      <c r="M3250" t="str" cm="1">
        <f t="array" ref="M3250">IFERROR(INDEX($I$2:$K$2,0,MATCH(TRUE,I3250:K3250,0)),E3250)</f>
        <v>Hydro_seasonal_storage</v>
      </c>
      <c r="O3250" t="str">
        <f t="shared" si="199"/>
        <v>Hydro_seasonal_storage_2028</v>
      </c>
      <c r="P3250">
        <f t="shared" si="200"/>
        <v>220</v>
      </c>
    </row>
    <row r="3251" spans="4:16" x14ac:dyDescent="0.25">
      <c r="D3251">
        <v>2029</v>
      </c>
      <c r="E3251" t="s">
        <v>126</v>
      </c>
      <c r="F3251" t="s">
        <v>375</v>
      </c>
      <c r="G3251">
        <v>220</v>
      </c>
      <c r="I3251">
        <f t="shared" si="201"/>
        <v>0</v>
      </c>
      <c r="J3251">
        <f t="shared" si="201"/>
        <v>0</v>
      </c>
      <c r="K3251">
        <f t="shared" si="201"/>
        <v>0</v>
      </c>
      <c r="M3251" t="str" cm="1">
        <f t="array" ref="M3251">IFERROR(INDEX($I$2:$K$2,0,MATCH(TRUE,I3251:K3251,0)),E3251)</f>
        <v>Hydro_seasonal_storage</v>
      </c>
      <c r="O3251" t="str">
        <f t="shared" si="199"/>
        <v>Hydro_seasonal_storage_2029</v>
      </c>
      <c r="P3251">
        <f t="shared" si="200"/>
        <v>220</v>
      </c>
    </row>
    <row r="3252" spans="4:16" x14ac:dyDescent="0.25">
      <c r="D3252">
        <v>2030</v>
      </c>
      <c r="E3252" t="s">
        <v>126</v>
      </c>
      <c r="F3252" t="s">
        <v>375</v>
      </c>
      <c r="G3252">
        <v>220</v>
      </c>
      <c r="I3252">
        <f t="shared" si="201"/>
        <v>0</v>
      </c>
      <c r="J3252">
        <f t="shared" si="201"/>
        <v>0</v>
      </c>
      <c r="K3252">
        <f t="shared" si="201"/>
        <v>0</v>
      </c>
      <c r="M3252" t="str" cm="1">
        <f t="array" ref="M3252">IFERROR(INDEX($I$2:$K$2,0,MATCH(TRUE,I3252:K3252,0)),E3252)</f>
        <v>Hydro_seasonal_storage</v>
      </c>
      <c r="O3252" t="str">
        <f t="shared" si="199"/>
        <v>Hydro_seasonal_storage_2030</v>
      </c>
      <c r="P3252">
        <f t="shared" si="200"/>
        <v>220</v>
      </c>
    </row>
    <row r="3253" spans="4:16" x14ac:dyDescent="0.25">
      <c r="D3253">
        <v>2031</v>
      </c>
      <c r="E3253" t="s">
        <v>126</v>
      </c>
      <c r="F3253" t="s">
        <v>375</v>
      </c>
      <c r="G3253">
        <v>220</v>
      </c>
      <c r="I3253">
        <f t="shared" si="201"/>
        <v>0</v>
      </c>
      <c r="J3253">
        <f t="shared" si="201"/>
        <v>0</v>
      </c>
      <c r="K3253">
        <f t="shared" si="201"/>
        <v>0</v>
      </c>
      <c r="M3253" t="str" cm="1">
        <f t="array" ref="M3253">IFERROR(INDEX($I$2:$K$2,0,MATCH(TRUE,I3253:K3253,0)),E3253)</f>
        <v>Hydro_seasonal_storage</v>
      </c>
      <c r="O3253" t="str">
        <f t="shared" si="199"/>
        <v>Hydro_seasonal_storage_2031</v>
      </c>
      <c r="P3253">
        <f t="shared" si="200"/>
        <v>220</v>
      </c>
    </row>
    <row r="3254" spans="4:16" x14ac:dyDescent="0.25">
      <c r="D3254">
        <v>2032</v>
      </c>
      <c r="E3254" t="s">
        <v>126</v>
      </c>
      <c r="F3254" t="s">
        <v>375</v>
      </c>
      <c r="G3254">
        <v>220</v>
      </c>
      <c r="I3254">
        <f t="shared" si="201"/>
        <v>0</v>
      </c>
      <c r="J3254">
        <f t="shared" si="201"/>
        <v>0</v>
      </c>
      <c r="K3254">
        <f t="shared" si="201"/>
        <v>0</v>
      </c>
      <c r="M3254" t="str" cm="1">
        <f t="array" ref="M3254">IFERROR(INDEX($I$2:$K$2,0,MATCH(TRUE,I3254:K3254,0)),E3254)</f>
        <v>Hydro_seasonal_storage</v>
      </c>
      <c r="O3254" t="str">
        <f t="shared" si="199"/>
        <v>Hydro_seasonal_storage_2032</v>
      </c>
      <c r="P3254">
        <f t="shared" si="200"/>
        <v>220</v>
      </c>
    </row>
    <row r="3255" spans="4:16" x14ac:dyDescent="0.25">
      <c r="D3255">
        <v>2033</v>
      </c>
      <c r="E3255" t="s">
        <v>126</v>
      </c>
      <c r="F3255" t="s">
        <v>375</v>
      </c>
      <c r="G3255">
        <v>220</v>
      </c>
      <c r="I3255">
        <f t="shared" si="201"/>
        <v>0</v>
      </c>
      <c r="J3255">
        <f t="shared" si="201"/>
        <v>0</v>
      </c>
      <c r="K3255">
        <f t="shared" si="201"/>
        <v>0</v>
      </c>
      <c r="M3255" t="str" cm="1">
        <f t="array" ref="M3255">IFERROR(INDEX($I$2:$K$2,0,MATCH(TRUE,I3255:K3255,0)),E3255)</f>
        <v>Hydro_seasonal_storage</v>
      </c>
      <c r="O3255" t="str">
        <f t="shared" si="199"/>
        <v>Hydro_seasonal_storage_2033</v>
      </c>
      <c r="P3255">
        <f t="shared" si="200"/>
        <v>220</v>
      </c>
    </row>
    <row r="3256" spans="4:16" x14ac:dyDescent="0.25">
      <c r="D3256">
        <v>2034</v>
      </c>
      <c r="E3256" t="s">
        <v>126</v>
      </c>
      <c r="F3256" t="s">
        <v>375</v>
      </c>
      <c r="G3256">
        <v>220</v>
      </c>
      <c r="I3256">
        <f t="shared" si="201"/>
        <v>0</v>
      </c>
      <c r="J3256">
        <f t="shared" si="201"/>
        <v>0</v>
      </c>
      <c r="K3256">
        <f t="shared" si="201"/>
        <v>0</v>
      </c>
      <c r="M3256" t="str" cm="1">
        <f t="array" ref="M3256">IFERROR(INDEX($I$2:$K$2,0,MATCH(TRUE,I3256:K3256,0)),E3256)</f>
        <v>Hydro_seasonal_storage</v>
      </c>
      <c r="O3256" t="str">
        <f t="shared" si="199"/>
        <v>Hydro_seasonal_storage_2034</v>
      </c>
      <c r="P3256">
        <f t="shared" si="200"/>
        <v>220</v>
      </c>
    </row>
    <row r="3257" spans="4:16" x14ac:dyDescent="0.25">
      <c r="D3257">
        <v>2035</v>
      </c>
      <c r="E3257" t="s">
        <v>126</v>
      </c>
      <c r="F3257" t="s">
        <v>375</v>
      </c>
      <c r="G3257">
        <v>220</v>
      </c>
      <c r="I3257">
        <f t="shared" si="201"/>
        <v>0</v>
      </c>
      <c r="J3257">
        <f t="shared" si="201"/>
        <v>0</v>
      </c>
      <c r="K3257">
        <f t="shared" si="201"/>
        <v>0</v>
      </c>
      <c r="M3257" t="str" cm="1">
        <f t="array" ref="M3257">IFERROR(INDEX($I$2:$K$2,0,MATCH(TRUE,I3257:K3257,0)),E3257)</f>
        <v>Hydro_seasonal_storage</v>
      </c>
      <c r="O3257" t="str">
        <f t="shared" si="199"/>
        <v>Hydro_seasonal_storage_2035</v>
      </c>
      <c r="P3257">
        <f t="shared" si="200"/>
        <v>220</v>
      </c>
    </row>
    <row r="3258" spans="4:16" x14ac:dyDescent="0.25">
      <c r="D3258">
        <v>2036</v>
      </c>
      <c r="E3258" t="s">
        <v>126</v>
      </c>
      <c r="F3258" t="s">
        <v>375</v>
      </c>
      <c r="G3258">
        <v>220</v>
      </c>
      <c r="I3258">
        <f t="shared" si="201"/>
        <v>0</v>
      </c>
      <c r="J3258">
        <f t="shared" si="201"/>
        <v>0</v>
      </c>
      <c r="K3258">
        <f t="shared" si="201"/>
        <v>0</v>
      </c>
      <c r="M3258" t="str" cm="1">
        <f t="array" ref="M3258">IFERROR(INDEX($I$2:$K$2,0,MATCH(TRUE,I3258:K3258,0)),E3258)</f>
        <v>Hydro_seasonal_storage</v>
      </c>
      <c r="O3258" t="str">
        <f t="shared" si="199"/>
        <v>Hydro_seasonal_storage_2036</v>
      </c>
      <c r="P3258">
        <f t="shared" si="200"/>
        <v>220</v>
      </c>
    </row>
    <row r="3259" spans="4:16" x14ac:dyDescent="0.25">
      <c r="D3259">
        <v>2037</v>
      </c>
      <c r="E3259" t="s">
        <v>126</v>
      </c>
      <c r="F3259" t="s">
        <v>375</v>
      </c>
      <c r="G3259">
        <v>220</v>
      </c>
      <c r="I3259">
        <f t="shared" si="201"/>
        <v>0</v>
      </c>
      <c r="J3259">
        <f t="shared" si="201"/>
        <v>0</v>
      </c>
      <c r="K3259">
        <f t="shared" si="201"/>
        <v>0</v>
      </c>
      <c r="M3259" t="str" cm="1">
        <f t="array" ref="M3259">IFERROR(INDEX($I$2:$K$2,0,MATCH(TRUE,I3259:K3259,0)),E3259)</f>
        <v>Hydro_seasonal_storage</v>
      </c>
      <c r="O3259" t="str">
        <f t="shared" si="199"/>
        <v>Hydro_seasonal_storage_2037</v>
      </c>
      <c r="P3259">
        <f t="shared" si="200"/>
        <v>220</v>
      </c>
    </row>
    <row r="3260" spans="4:16" x14ac:dyDescent="0.25">
      <c r="D3260">
        <v>2038</v>
      </c>
      <c r="E3260" t="s">
        <v>126</v>
      </c>
      <c r="F3260" t="s">
        <v>375</v>
      </c>
      <c r="G3260">
        <v>220</v>
      </c>
      <c r="I3260">
        <f t="shared" si="201"/>
        <v>0</v>
      </c>
      <c r="J3260">
        <f t="shared" si="201"/>
        <v>0</v>
      </c>
      <c r="K3260">
        <f t="shared" si="201"/>
        <v>0</v>
      </c>
      <c r="M3260" t="str" cm="1">
        <f t="array" ref="M3260">IFERROR(INDEX($I$2:$K$2,0,MATCH(TRUE,I3260:K3260,0)),E3260)</f>
        <v>Hydro_seasonal_storage</v>
      </c>
      <c r="O3260" t="str">
        <f t="shared" si="199"/>
        <v>Hydro_seasonal_storage_2038</v>
      </c>
      <c r="P3260">
        <f t="shared" si="200"/>
        <v>220</v>
      </c>
    </row>
    <row r="3261" spans="4:16" x14ac:dyDescent="0.25">
      <c r="D3261">
        <v>2039</v>
      </c>
      <c r="E3261" t="s">
        <v>126</v>
      </c>
      <c r="F3261" t="s">
        <v>375</v>
      </c>
      <c r="G3261">
        <v>220</v>
      </c>
      <c r="I3261">
        <f t="shared" si="201"/>
        <v>0</v>
      </c>
      <c r="J3261">
        <f t="shared" si="201"/>
        <v>0</v>
      </c>
      <c r="K3261">
        <f t="shared" si="201"/>
        <v>0</v>
      </c>
      <c r="M3261" t="str" cm="1">
        <f t="array" ref="M3261">IFERROR(INDEX($I$2:$K$2,0,MATCH(TRUE,I3261:K3261,0)),E3261)</f>
        <v>Hydro_seasonal_storage</v>
      </c>
      <c r="O3261" t="str">
        <f t="shared" si="199"/>
        <v>Hydro_seasonal_storage_2039</v>
      </c>
      <c r="P3261">
        <f t="shared" si="200"/>
        <v>220</v>
      </c>
    </row>
    <row r="3262" spans="4:16" x14ac:dyDescent="0.25">
      <c r="D3262">
        <v>2040</v>
      </c>
      <c r="E3262" t="s">
        <v>126</v>
      </c>
      <c r="F3262" t="s">
        <v>375</v>
      </c>
      <c r="G3262">
        <v>220</v>
      </c>
      <c r="I3262">
        <f t="shared" si="201"/>
        <v>0</v>
      </c>
      <c r="J3262">
        <f t="shared" si="201"/>
        <v>0</v>
      </c>
      <c r="K3262">
        <f t="shared" si="201"/>
        <v>0</v>
      </c>
      <c r="M3262" t="str" cm="1">
        <f t="array" ref="M3262">IFERROR(INDEX($I$2:$K$2,0,MATCH(TRUE,I3262:K3262,0)),E3262)</f>
        <v>Hydro_seasonal_storage</v>
      </c>
      <c r="O3262" t="str">
        <f t="shared" si="199"/>
        <v>Hydro_seasonal_storage_2040</v>
      </c>
      <c r="P3262">
        <f t="shared" si="200"/>
        <v>220</v>
      </c>
    </row>
    <row r="3263" spans="4:16" x14ac:dyDescent="0.25">
      <c r="D3263">
        <v>2021</v>
      </c>
      <c r="E3263" t="s">
        <v>126</v>
      </c>
      <c r="F3263" t="s">
        <v>376</v>
      </c>
      <c r="G3263">
        <v>120</v>
      </c>
      <c r="I3263">
        <f t="shared" si="201"/>
        <v>0</v>
      </c>
      <c r="J3263">
        <f t="shared" si="201"/>
        <v>0</v>
      </c>
      <c r="K3263">
        <f t="shared" si="201"/>
        <v>0</v>
      </c>
      <c r="M3263" t="str" cm="1">
        <f t="array" ref="M3263">IFERROR(INDEX($I$2:$K$2,0,MATCH(TRUE,I3263:K3263,0)),E3263)</f>
        <v>Hydro_seasonal_storage</v>
      </c>
      <c r="O3263" t="str">
        <f t="shared" si="199"/>
        <v>Hydro_seasonal_storage_2021</v>
      </c>
      <c r="P3263">
        <f t="shared" si="200"/>
        <v>120</v>
      </c>
    </row>
    <row r="3264" spans="4:16" x14ac:dyDescent="0.25">
      <c r="D3264">
        <v>2022</v>
      </c>
      <c r="E3264" t="s">
        <v>126</v>
      </c>
      <c r="F3264" t="s">
        <v>376</v>
      </c>
      <c r="G3264">
        <v>120</v>
      </c>
      <c r="I3264">
        <f t="shared" si="201"/>
        <v>0</v>
      </c>
      <c r="J3264">
        <f t="shared" si="201"/>
        <v>0</v>
      </c>
      <c r="K3264">
        <f t="shared" si="201"/>
        <v>0</v>
      </c>
      <c r="M3264" t="str" cm="1">
        <f t="array" ref="M3264">IFERROR(INDEX($I$2:$K$2,0,MATCH(TRUE,I3264:K3264,0)),E3264)</f>
        <v>Hydro_seasonal_storage</v>
      </c>
      <c r="O3264" t="str">
        <f t="shared" si="199"/>
        <v>Hydro_seasonal_storage_2022</v>
      </c>
      <c r="P3264">
        <f t="shared" si="200"/>
        <v>120</v>
      </c>
    </row>
    <row r="3265" spans="4:16" x14ac:dyDescent="0.25">
      <c r="D3265">
        <v>2023</v>
      </c>
      <c r="E3265" t="s">
        <v>126</v>
      </c>
      <c r="F3265" t="s">
        <v>376</v>
      </c>
      <c r="G3265">
        <v>120</v>
      </c>
      <c r="I3265">
        <f t="shared" si="201"/>
        <v>0</v>
      </c>
      <c r="J3265">
        <f t="shared" si="201"/>
        <v>0</v>
      </c>
      <c r="K3265">
        <f t="shared" si="201"/>
        <v>0</v>
      </c>
      <c r="M3265" t="str" cm="1">
        <f t="array" ref="M3265">IFERROR(INDEX($I$2:$K$2,0,MATCH(TRUE,I3265:K3265,0)),E3265)</f>
        <v>Hydro_seasonal_storage</v>
      </c>
      <c r="O3265" t="str">
        <f t="shared" si="199"/>
        <v>Hydro_seasonal_storage_2023</v>
      </c>
      <c r="P3265">
        <f t="shared" si="200"/>
        <v>120</v>
      </c>
    </row>
    <row r="3266" spans="4:16" x14ac:dyDescent="0.25">
      <c r="D3266">
        <v>2024</v>
      </c>
      <c r="E3266" t="s">
        <v>126</v>
      </c>
      <c r="F3266" t="s">
        <v>376</v>
      </c>
      <c r="G3266">
        <v>120</v>
      </c>
      <c r="I3266">
        <f t="shared" si="201"/>
        <v>0</v>
      </c>
      <c r="J3266">
        <f t="shared" si="201"/>
        <v>0</v>
      </c>
      <c r="K3266">
        <f t="shared" si="201"/>
        <v>0</v>
      </c>
      <c r="M3266" t="str" cm="1">
        <f t="array" ref="M3266">IFERROR(INDEX($I$2:$K$2,0,MATCH(TRUE,I3266:K3266,0)),E3266)</f>
        <v>Hydro_seasonal_storage</v>
      </c>
      <c r="O3266" t="str">
        <f t="shared" si="199"/>
        <v>Hydro_seasonal_storage_2024</v>
      </c>
      <c r="P3266">
        <f t="shared" si="200"/>
        <v>120</v>
      </c>
    </row>
    <row r="3267" spans="4:16" x14ac:dyDescent="0.25">
      <c r="D3267">
        <v>2025</v>
      </c>
      <c r="E3267" t="s">
        <v>126</v>
      </c>
      <c r="F3267" t="s">
        <v>376</v>
      </c>
      <c r="G3267">
        <v>120</v>
      </c>
      <c r="I3267">
        <f t="shared" si="201"/>
        <v>0</v>
      </c>
      <c r="J3267">
        <f t="shared" si="201"/>
        <v>0</v>
      </c>
      <c r="K3267">
        <f t="shared" si="201"/>
        <v>0</v>
      </c>
      <c r="M3267" t="str" cm="1">
        <f t="array" ref="M3267">IFERROR(INDEX($I$2:$K$2,0,MATCH(TRUE,I3267:K3267,0)),E3267)</f>
        <v>Hydro_seasonal_storage</v>
      </c>
      <c r="O3267" t="str">
        <f t="shared" si="199"/>
        <v>Hydro_seasonal_storage_2025</v>
      </c>
      <c r="P3267">
        <f t="shared" si="200"/>
        <v>120</v>
      </c>
    </row>
    <row r="3268" spans="4:16" x14ac:dyDescent="0.25">
      <c r="D3268">
        <v>2026</v>
      </c>
      <c r="E3268" t="s">
        <v>126</v>
      </c>
      <c r="F3268" t="s">
        <v>376</v>
      </c>
      <c r="G3268">
        <v>120</v>
      </c>
      <c r="I3268">
        <f t="shared" si="201"/>
        <v>0</v>
      </c>
      <c r="J3268">
        <f t="shared" si="201"/>
        <v>0</v>
      </c>
      <c r="K3268">
        <f t="shared" si="201"/>
        <v>0</v>
      </c>
      <c r="M3268" t="str" cm="1">
        <f t="array" ref="M3268">IFERROR(INDEX($I$2:$K$2,0,MATCH(TRUE,I3268:K3268,0)),E3268)</f>
        <v>Hydro_seasonal_storage</v>
      </c>
      <c r="O3268" t="str">
        <f t="shared" si="199"/>
        <v>Hydro_seasonal_storage_2026</v>
      </c>
      <c r="P3268">
        <f t="shared" si="200"/>
        <v>120</v>
      </c>
    </row>
    <row r="3269" spans="4:16" x14ac:dyDescent="0.25">
      <c r="D3269">
        <v>2027</v>
      </c>
      <c r="E3269" t="s">
        <v>126</v>
      </c>
      <c r="F3269" t="s">
        <v>376</v>
      </c>
      <c r="G3269">
        <v>120</v>
      </c>
      <c r="I3269">
        <f t="shared" si="201"/>
        <v>0</v>
      </c>
      <c r="J3269">
        <f t="shared" si="201"/>
        <v>0</v>
      </c>
      <c r="K3269">
        <f t="shared" si="201"/>
        <v>0</v>
      </c>
      <c r="M3269" t="str" cm="1">
        <f t="array" ref="M3269">IFERROR(INDEX($I$2:$K$2,0,MATCH(TRUE,I3269:K3269,0)),E3269)</f>
        <v>Hydro_seasonal_storage</v>
      </c>
      <c r="O3269" t="str">
        <f t="shared" si="199"/>
        <v>Hydro_seasonal_storage_2027</v>
      </c>
      <c r="P3269">
        <f t="shared" si="200"/>
        <v>120</v>
      </c>
    </row>
    <row r="3270" spans="4:16" x14ac:dyDescent="0.25">
      <c r="D3270">
        <v>2028</v>
      </c>
      <c r="E3270" t="s">
        <v>126</v>
      </c>
      <c r="F3270" t="s">
        <v>376</v>
      </c>
      <c r="G3270">
        <v>120</v>
      </c>
      <c r="I3270">
        <f t="shared" si="201"/>
        <v>0</v>
      </c>
      <c r="J3270">
        <f t="shared" si="201"/>
        <v>0</v>
      </c>
      <c r="K3270">
        <f t="shared" si="201"/>
        <v>0</v>
      </c>
      <c r="M3270" t="str" cm="1">
        <f t="array" ref="M3270">IFERROR(INDEX($I$2:$K$2,0,MATCH(TRUE,I3270:K3270,0)),E3270)</f>
        <v>Hydro_seasonal_storage</v>
      </c>
      <c r="O3270" t="str">
        <f t="shared" si="199"/>
        <v>Hydro_seasonal_storage_2028</v>
      </c>
      <c r="P3270">
        <f t="shared" si="200"/>
        <v>120</v>
      </c>
    </row>
    <row r="3271" spans="4:16" x14ac:dyDescent="0.25">
      <c r="D3271">
        <v>2029</v>
      </c>
      <c r="E3271" t="s">
        <v>126</v>
      </c>
      <c r="F3271" t="s">
        <v>376</v>
      </c>
      <c r="G3271">
        <v>120</v>
      </c>
      <c r="I3271">
        <f t="shared" si="201"/>
        <v>0</v>
      </c>
      <c r="J3271">
        <f t="shared" si="201"/>
        <v>0</v>
      </c>
      <c r="K3271">
        <f t="shared" si="201"/>
        <v>0</v>
      </c>
      <c r="M3271" t="str" cm="1">
        <f t="array" ref="M3271">IFERROR(INDEX($I$2:$K$2,0,MATCH(TRUE,I3271:K3271,0)),E3271)</f>
        <v>Hydro_seasonal_storage</v>
      </c>
      <c r="O3271" t="str">
        <f t="shared" si="199"/>
        <v>Hydro_seasonal_storage_2029</v>
      </c>
      <c r="P3271">
        <f t="shared" si="200"/>
        <v>120</v>
      </c>
    </row>
    <row r="3272" spans="4:16" x14ac:dyDescent="0.25">
      <c r="D3272">
        <v>2030</v>
      </c>
      <c r="E3272" t="s">
        <v>126</v>
      </c>
      <c r="F3272" t="s">
        <v>376</v>
      </c>
      <c r="G3272">
        <v>120</v>
      </c>
      <c r="I3272">
        <f t="shared" si="201"/>
        <v>0</v>
      </c>
      <c r="J3272">
        <f t="shared" si="201"/>
        <v>0</v>
      </c>
      <c r="K3272">
        <f t="shared" si="201"/>
        <v>0</v>
      </c>
      <c r="M3272" t="str" cm="1">
        <f t="array" ref="M3272">IFERROR(INDEX($I$2:$K$2,0,MATCH(TRUE,I3272:K3272,0)),E3272)</f>
        <v>Hydro_seasonal_storage</v>
      </c>
      <c r="O3272" t="str">
        <f t="shared" si="199"/>
        <v>Hydro_seasonal_storage_2030</v>
      </c>
      <c r="P3272">
        <f t="shared" si="200"/>
        <v>120</v>
      </c>
    </row>
    <row r="3273" spans="4:16" x14ac:dyDescent="0.25">
      <c r="D3273">
        <v>2031</v>
      </c>
      <c r="E3273" t="s">
        <v>126</v>
      </c>
      <c r="F3273" t="s">
        <v>376</v>
      </c>
      <c r="G3273">
        <v>120</v>
      </c>
      <c r="I3273">
        <f t="shared" si="201"/>
        <v>0</v>
      </c>
      <c r="J3273">
        <f t="shared" si="201"/>
        <v>0</v>
      </c>
      <c r="K3273">
        <f t="shared" si="201"/>
        <v>0</v>
      </c>
      <c r="M3273" t="str" cm="1">
        <f t="array" ref="M3273">IFERROR(INDEX($I$2:$K$2,0,MATCH(TRUE,I3273:K3273,0)),E3273)</f>
        <v>Hydro_seasonal_storage</v>
      </c>
      <c r="O3273" t="str">
        <f t="shared" si="199"/>
        <v>Hydro_seasonal_storage_2031</v>
      </c>
      <c r="P3273">
        <f t="shared" si="200"/>
        <v>120</v>
      </c>
    </row>
    <row r="3274" spans="4:16" x14ac:dyDescent="0.25">
      <c r="D3274">
        <v>2032</v>
      </c>
      <c r="E3274" t="s">
        <v>126</v>
      </c>
      <c r="F3274" t="s">
        <v>376</v>
      </c>
      <c r="G3274">
        <v>120</v>
      </c>
      <c r="I3274">
        <f t="shared" si="201"/>
        <v>0</v>
      </c>
      <c r="J3274">
        <f t="shared" si="201"/>
        <v>0</v>
      </c>
      <c r="K3274">
        <f t="shared" si="201"/>
        <v>0</v>
      </c>
      <c r="M3274" t="str" cm="1">
        <f t="array" ref="M3274">IFERROR(INDEX($I$2:$K$2,0,MATCH(TRUE,I3274:K3274,0)),E3274)</f>
        <v>Hydro_seasonal_storage</v>
      </c>
      <c r="O3274" t="str">
        <f t="shared" si="199"/>
        <v>Hydro_seasonal_storage_2032</v>
      </c>
      <c r="P3274">
        <f t="shared" si="200"/>
        <v>120</v>
      </c>
    </row>
    <row r="3275" spans="4:16" x14ac:dyDescent="0.25">
      <c r="D3275">
        <v>2033</v>
      </c>
      <c r="E3275" t="s">
        <v>126</v>
      </c>
      <c r="F3275" t="s">
        <v>376</v>
      </c>
      <c r="G3275">
        <v>120</v>
      </c>
      <c r="I3275">
        <f t="shared" si="201"/>
        <v>0</v>
      </c>
      <c r="J3275">
        <f t="shared" si="201"/>
        <v>0</v>
      </c>
      <c r="K3275">
        <f t="shared" si="201"/>
        <v>0</v>
      </c>
      <c r="M3275" t="str" cm="1">
        <f t="array" ref="M3275">IFERROR(INDEX($I$2:$K$2,0,MATCH(TRUE,I3275:K3275,0)),E3275)</f>
        <v>Hydro_seasonal_storage</v>
      </c>
      <c r="O3275" t="str">
        <f t="shared" si="199"/>
        <v>Hydro_seasonal_storage_2033</v>
      </c>
      <c r="P3275">
        <f t="shared" si="200"/>
        <v>120</v>
      </c>
    </row>
    <row r="3276" spans="4:16" x14ac:dyDescent="0.25">
      <c r="D3276">
        <v>2034</v>
      </c>
      <c r="E3276" t="s">
        <v>126</v>
      </c>
      <c r="F3276" t="s">
        <v>376</v>
      </c>
      <c r="G3276">
        <v>120</v>
      </c>
      <c r="I3276">
        <f t="shared" si="201"/>
        <v>0</v>
      </c>
      <c r="J3276">
        <f t="shared" si="201"/>
        <v>0</v>
      </c>
      <c r="K3276">
        <f t="shared" si="201"/>
        <v>0</v>
      </c>
      <c r="M3276" t="str" cm="1">
        <f t="array" ref="M3276">IFERROR(INDEX($I$2:$K$2,0,MATCH(TRUE,I3276:K3276,0)),E3276)</f>
        <v>Hydro_seasonal_storage</v>
      </c>
      <c r="O3276" t="str">
        <f t="shared" si="199"/>
        <v>Hydro_seasonal_storage_2034</v>
      </c>
      <c r="P3276">
        <f t="shared" si="200"/>
        <v>120</v>
      </c>
    </row>
    <row r="3277" spans="4:16" x14ac:dyDescent="0.25">
      <c r="D3277">
        <v>2035</v>
      </c>
      <c r="E3277" t="s">
        <v>126</v>
      </c>
      <c r="F3277" t="s">
        <v>376</v>
      </c>
      <c r="G3277">
        <v>120</v>
      </c>
      <c r="I3277">
        <f t="shared" si="201"/>
        <v>0</v>
      </c>
      <c r="J3277">
        <f t="shared" si="201"/>
        <v>0</v>
      </c>
      <c r="K3277">
        <f t="shared" si="201"/>
        <v>0</v>
      </c>
      <c r="M3277" t="str" cm="1">
        <f t="array" ref="M3277">IFERROR(INDEX($I$2:$K$2,0,MATCH(TRUE,I3277:K3277,0)),E3277)</f>
        <v>Hydro_seasonal_storage</v>
      </c>
      <c r="O3277" t="str">
        <f t="shared" si="199"/>
        <v>Hydro_seasonal_storage_2035</v>
      </c>
      <c r="P3277">
        <f t="shared" si="200"/>
        <v>120</v>
      </c>
    </row>
    <row r="3278" spans="4:16" x14ac:dyDescent="0.25">
      <c r="D3278">
        <v>2036</v>
      </c>
      <c r="E3278" t="s">
        <v>126</v>
      </c>
      <c r="F3278" t="s">
        <v>376</v>
      </c>
      <c r="G3278">
        <v>120</v>
      </c>
      <c r="I3278">
        <f t="shared" si="201"/>
        <v>0</v>
      </c>
      <c r="J3278">
        <f t="shared" si="201"/>
        <v>0</v>
      </c>
      <c r="K3278">
        <f t="shared" si="201"/>
        <v>0</v>
      </c>
      <c r="M3278" t="str" cm="1">
        <f t="array" ref="M3278">IFERROR(INDEX($I$2:$K$2,0,MATCH(TRUE,I3278:K3278,0)),E3278)</f>
        <v>Hydro_seasonal_storage</v>
      </c>
      <c r="O3278" t="str">
        <f t="shared" si="199"/>
        <v>Hydro_seasonal_storage_2036</v>
      </c>
      <c r="P3278">
        <f t="shared" si="200"/>
        <v>120</v>
      </c>
    </row>
    <row r="3279" spans="4:16" x14ac:dyDescent="0.25">
      <c r="D3279">
        <v>2037</v>
      </c>
      <c r="E3279" t="s">
        <v>126</v>
      </c>
      <c r="F3279" t="s">
        <v>376</v>
      </c>
      <c r="G3279">
        <v>120</v>
      </c>
      <c r="I3279">
        <f t="shared" si="201"/>
        <v>0</v>
      </c>
      <c r="J3279">
        <f t="shared" si="201"/>
        <v>0</v>
      </c>
      <c r="K3279">
        <f t="shared" si="201"/>
        <v>0</v>
      </c>
      <c r="M3279" t="str" cm="1">
        <f t="array" ref="M3279">IFERROR(INDEX($I$2:$K$2,0,MATCH(TRUE,I3279:K3279,0)),E3279)</f>
        <v>Hydro_seasonal_storage</v>
      </c>
      <c r="O3279" t="str">
        <f t="shared" si="199"/>
        <v>Hydro_seasonal_storage_2037</v>
      </c>
      <c r="P3279">
        <f t="shared" si="200"/>
        <v>120</v>
      </c>
    </row>
    <row r="3280" spans="4:16" x14ac:dyDescent="0.25">
      <c r="D3280">
        <v>2038</v>
      </c>
      <c r="E3280" t="s">
        <v>126</v>
      </c>
      <c r="F3280" t="s">
        <v>376</v>
      </c>
      <c r="G3280">
        <v>120</v>
      </c>
      <c r="I3280">
        <f t="shared" si="201"/>
        <v>0</v>
      </c>
      <c r="J3280">
        <f t="shared" si="201"/>
        <v>0</v>
      </c>
      <c r="K3280">
        <f t="shared" si="201"/>
        <v>0</v>
      </c>
      <c r="M3280" t="str" cm="1">
        <f t="array" ref="M3280">IFERROR(INDEX($I$2:$K$2,0,MATCH(TRUE,I3280:K3280,0)),E3280)</f>
        <v>Hydro_seasonal_storage</v>
      </c>
      <c r="O3280" t="str">
        <f t="shared" si="199"/>
        <v>Hydro_seasonal_storage_2038</v>
      </c>
      <c r="P3280">
        <f t="shared" si="200"/>
        <v>120</v>
      </c>
    </row>
    <row r="3281" spans="4:16" x14ac:dyDescent="0.25">
      <c r="D3281">
        <v>2039</v>
      </c>
      <c r="E3281" t="s">
        <v>126</v>
      </c>
      <c r="F3281" t="s">
        <v>376</v>
      </c>
      <c r="G3281">
        <v>120</v>
      </c>
      <c r="I3281">
        <f t="shared" si="201"/>
        <v>0</v>
      </c>
      <c r="J3281">
        <f t="shared" si="201"/>
        <v>0</v>
      </c>
      <c r="K3281">
        <f t="shared" si="201"/>
        <v>0</v>
      </c>
      <c r="M3281" t="str" cm="1">
        <f t="array" ref="M3281">IFERROR(INDEX($I$2:$K$2,0,MATCH(TRUE,I3281:K3281,0)),E3281)</f>
        <v>Hydro_seasonal_storage</v>
      </c>
      <c r="O3281" t="str">
        <f t="shared" si="199"/>
        <v>Hydro_seasonal_storage_2039</v>
      </c>
      <c r="P3281">
        <f t="shared" si="200"/>
        <v>120</v>
      </c>
    </row>
    <row r="3282" spans="4:16" x14ac:dyDescent="0.25">
      <c r="D3282">
        <v>2040</v>
      </c>
      <c r="E3282" t="s">
        <v>126</v>
      </c>
      <c r="F3282" t="s">
        <v>376</v>
      </c>
      <c r="G3282">
        <v>120</v>
      </c>
      <c r="I3282">
        <f t="shared" si="201"/>
        <v>0</v>
      </c>
      <c r="J3282">
        <f t="shared" si="201"/>
        <v>0</v>
      </c>
      <c r="K3282">
        <f t="shared" si="201"/>
        <v>0</v>
      </c>
      <c r="M3282" t="str" cm="1">
        <f t="array" ref="M3282">IFERROR(INDEX($I$2:$K$2,0,MATCH(TRUE,I3282:K3282,0)),E3282)</f>
        <v>Hydro_seasonal_storage</v>
      </c>
      <c r="O3282" t="str">
        <f t="shared" si="199"/>
        <v>Hydro_seasonal_storage_2040</v>
      </c>
      <c r="P3282">
        <f t="shared" si="200"/>
        <v>120</v>
      </c>
    </row>
    <row r="3283" spans="4:16" x14ac:dyDescent="0.25">
      <c r="D3283">
        <v>2021</v>
      </c>
      <c r="E3283" t="s">
        <v>126</v>
      </c>
      <c r="F3283" t="s">
        <v>377</v>
      </c>
      <c r="G3283">
        <v>90</v>
      </c>
      <c r="I3283">
        <f t="shared" si="201"/>
        <v>0</v>
      </c>
      <c r="J3283">
        <f t="shared" si="201"/>
        <v>0</v>
      </c>
      <c r="K3283">
        <f t="shared" si="201"/>
        <v>0</v>
      </c>
      <c r="M3283" t="str" cm="1">
        <f t="array" ref="M3283">IFERROR(INDEX($I$2:$K$2,0,MATCH(TRUE,I3283:K3283,0)),E3283)</f>
        <v>Hydro_seasonal_storage</v>
      </c>
      <c r="O3283" t="str">
        <f t="shared" ref="O3283:O3346" si="202">M3283&amp;"_"&amp;D3283</f>
        <v>Hydro_seasonal_storage_2021</v>
      </c>
      <c r="P3283">
        <f t="shared" ref="P3283:P3346" si="203">G3283</f>
        <v>90</v>
      </c>
    </row>
    <row r="3284" spans="4:16" x14ac:dyDescent="0.25">
      <c r="D3284">
        <v>2022</v>
      </c>
      <c r="E3284" t="s">
        <v>126</v>
      </c>
      <c r="F3284" t="s">
        <v>377</v>
      </c>
      <c r="G3284">
        <v>90</v>
      </c>
      <c r="I3284">
        <f t="shared" si="201"/>
        <v>0</v>
      </c>
      <c r="J3284">
        <f t="shared" si="201"/>
        <v>0</v>
      </c>
      <c r="K3284">
        <f t="shared" si="201"/>
        <v>0</v>
      </c>
      <c r="M3284" t="str" cm="1">
        <f t="array" ref="M3284">IFERROR(INDEX($I$2:$K$2,0,MATCH(TRUE,I3284:K3284,0)),E3284)</f>
        <v>Hydro_seasonal_storage</v>
      </c>
      <c r="O3284" t="str">
        <f t="shared" si="202"/>
        <v>Hydro_seasonal_storage_2022</v>
      </c>
      <c r="P3284">
        <f t="shared" si="203"/>
        <v>90</v>
      </c>
    </row>
    <row r="3285" spans="4:16" x14ac:dyDescent="0.25">
      <c r="D3285">
        <v>2023</v>
      </c>
      <c r="E3285" t="s">
        <v>126</v>
      </c>
      <c r="F3285" t="s">
        <v>377</v>
      </c>
      <c r="G3285">
        <v>90</v>
      </c>
      <c r="I3285">
        <f t="shared" ref="I3285:K3348" si="204">IFERROR(FIND(I$2,$E3285,1)&gt;0,0)</f>
        <v>0</v>
      </c>
      <c r="J3285">
        <f t="shared" si="204"/>
        <v>0</v>
      </c>
      <c r="K3285">
        <f t="shared" si="204"/>
        <v>0</v>
      </c>
      <c r="M3285" t="str" cm="1">
        <f t="array" ref="M3285">IFERROR(INDEX($I$2:$K$2,0,MATCH(TRUE,I3285:K3285,0)),E3285)</f>
        <v>Hydro_seasonal_storage</v>
      </c>
      <c r="O3285" t="str">
        <f t="shared" si="202"/>
        <v>Hydro_seasonal_storage_2023</v>
      </c>
      <c r="P3285">
        <f t="shared" si="203"/>
        <v>90</v>
      </c>
    </row>
    <row r="3286" spans="4:16" x14ac:dyDescent="0.25">
      <c r="D3286">
        <v>2024</v>
      </c>
      <c r="E3286" t="s">
        <v>126</v>
      </c>
      <c r="F3286" t="s">
        <v>377</v>
      </c>
      <c r="G3286">
        <v>90</v>
      </c>
      <c r="I3286">
        <f t="shared" si="204"/>
        <v>0</v>
      </c>
      <c r="J3286">
        <f t="shared" si="204"/>
        <v>0</v>
      </c>
      <c r="K3286">
        <f t="shared" si="204"/>
        <v>0</v>
      </c>
      <c r="M3286" t="str" cm="1">
        <f t="array" ref="M3286">IFERROR(INDEX($I$2:$K$2,0,MATCH(TRUE,I3286:K3286,0)),E3286)</f>
        <v>Hydro_seasonal_storage</v>
      </c>
      <c r="O3286" t="str">
        <f t="shared" si="202"/>
        <v>Hydro_seasonal_storage_2024</v>
      </c>
      <c r="P3286">
        <f t="shared" si="203"/>
        <v>90</v>
      </c>
    </row>
    <row r="3287" spans="4:16" x14ac:dyDescent="0.25">
      <c r="D3287">
        <v>2025</v>
      </c>
      <c r="E3287" t="s">
        <v>126</v>
      </c>
      <c r="F3287" t="s">
        <v>377</v>
      </c>
      <c r="G3287">
        <v>90</v>
      </c>
      <c r="I3287">
        <f t="shared" si="204"/>
        <v>0</v>
      </c>
      <c r="J3287">
        <f t="shared" si="204"/>
        <v>0</v>
      </c>
      <c r="K3287">
        <f t="shared" si="204"/>
        <v>0</v>
      </c>
      <c r="M3287" t="str" cm="1">
        <f t="array" ref="M3287">IFERROR(INDEX($I$2:$K$2,0,MATCH(TRUE,I3287:K3287,0)),E3287)</f>
        <v>Hydro_seasonal_storage</v>
      </c>
      <c r="O3287" t="str">
        <f t="shared" si="202"/>
        <v>Hydro_seasonal_storage_2025</v>
      </c>
      <c r="P3287">
        <f t="shared" si="203"/>
        <v>90</v>
      </c>
    </row>
    <row r="3288" spans="4:16" x14ac:dyDescent="0.25">
      <c r="D3288">
        <v>2026</v>
      </c>
      <c r="E3288" t="s">
        <v>126</v>
      </c>
      <c r="F3288" t="s">
        <v>377</v>
      </c>
      <c r="G3288">
        <v>90</v>
      </c>
      <c r="I3288">
        <f t="shared" si="204"/>
        <v>0</v>
      </c>
      <c r="J3288">
        <f t="shared" si="204"/>
        <v>0</v>
      </c>
      <c r="K3288">
        <f t="shared" si="204"/>
        <v>0</v>
      </c>
      <c r="M3288" t="str" cm="1">
        <f t="array" ref="M3288">IFERROR(INDEX($I$2:$K$2,0,MATCH(TRUE,I3288:K3288,0)),E3288)</f>
        <v>Hydro_seasonal_storage</v>
      </c>
      <c r="O3288" t="str">
        <f t="shared" si="202"/>
        <v>Hydro_seasonal_storage_2026</v>
      </c>
      <c r="P3288">
        <f t="shared" si="203"/>
        <v>90</v>
      </c>
    </row>
    <row r="3289" spans="4:16" x14ac:dyDescent="0.25">
      <c r="D3289">
        <v>2027</v>
      </c>
      <c r="E3289" t="s">
        <v>126</v>
      </c>
      <c r="F3289" t="s">
        <v>377</v>
      </c>
      <c r="G3289">
        <v>90</v>
      </c>
      <c r="I3289">
        <f t="shared" si="204"/>
        <v>0</v>
      </c>
      <c r="J3289">
        <f t="shared" si="204"/>
        <v>0</v>
      </c>
      <c r="K3289">
        <f t="shared" si="204"/>
        <v>0</v>
      </c>
      <c r="M3289" t="str" cm="1">
        <f t="array" ref="M3289">IFERROR(INDEX($I$2:$K$2,0,MATCH(TRUE,I3289:K3289,0)),E3289)</f>
        <v>Hydro_seasonal_storage</v>
      </c>
      <c r="O3289" t="str">
        <f t="shared" si="202"/>
        <v>Hydro_seasonal_storage_2027</v>
      </c>
      <c r="P3289">
        <f t="shared" si="203"/>
        <v>90</v>
      </c>
    </row>
    <row r="3290" spans="4:16" x14ac:dyDescent="0.25">
      <c r="D3290">
        <v>2028</v>
      </c>
      <c r="E3290" t="s">
        <v>126</v>
      </c>
      <c r="F3290" t="s">
        <v>377</v>
      </c>
      <c r="G3290">
        <v>90</v>
      </c>
      <c r="I3290">
        <f t="shared" si="204"/>
        <v>0</v>
      </c>
      <c r="J3290">
        <f t="shared" si="204"/>
        <v>0</v>
      </c>
      <c r="K3290">
        <f t="shared" si="204"/>
        <v>0</v>
      </c>
      <c r="M3290" t="str" cm="1">
        <f t="array" ref="M3290">IFERROR(INDEX($I$2:$K$2,0,MATCH(TRUE,I3290:K3290,0)),E3290)</f>
        <v>Hydro_seasonal_storage</v>
      </c>
      <c r="O3290" t="str">
        <f t="shared" si="202"/>
        <v>Hydro_seasonal_storage_2028</v>
      </c>
      <c r="P3290">
        <f t="shared" si="203"/>
        <v>90</v>
      </c>
    </row>
    <row r="3291" spans="4:16" x14ac:dyDescent="0.25">
      <c r="D3291">
        <v>2029</v>
      </c>
      <c r="E3291" t="s">
        <v>126</v>
      </c>
      <c r="F3291" t="s">
        <v>377</v>
      </c>
      <c r="G3291">
        <v>90</v>
      </c>
      <c r="I3291">
        <f t="shared" si="204"/>
        <v>0</v>
      </c>
      <c r="J3291">
        <f t="shared" si="204"/>
        <v>0</v>
      </c>
      <c r="K3291">
        <f t="shared" si="204"/>
        <v>0</v>
      </c>
      <c r="M3291" t="str" cm="1">
        <f t="array" ref="M3291">IFERROR(INDEX($I$2:$K$2,0,MATCH(TRUE,I3291:K3291,0)),E3291)</f>
        <v>Hydro_seasonal_storage</v>
      </c>
      <c r="O3291" t="str">
        <f t="shared" si="202"/>
        <v>Hydro_seasonal_storage_2029</v>
      </c>
      <c r="P3291">
        <f t="shared" si="203"/>
        <v>90</v>
      </c>
    </row>
    <row r="3292" spans="4:16" x14ac:dyDescent="0.25">
      <c r="D3292">
        <v>2030</v>
      </c>
      <c r="E3292" t="s">
        <v>126</v>
      </c>
      <c r="F3292" t="s">
        <v>377</v>
      </c>
      <c r="G3292">
        <v>90</v>
      </c>
      <c r="I3292">
        <f t="shared" si="204"/>
        <v>0</v>
      </c>
      <c r="J3292">
        <f t="shared" si="204"/>
        <v>0</v>
      </c>
      <c r="K3292">
        <f t="shared" si="204"/>
        <v>0</v>
      </c>
      <c r="M3292" t="str" cm="1">
        <f t="array" ref="M3292">IFERROR(INDEX($I$2:$K$2,0,MATCH(TRUE,I3292:K3292,0)),E3292)</f>
        <v>Hydro_seasonal_storage</v>
      </c>
      <c r="O3292" t="str">
        <f t="shared" si="202"/>
        <v>Hydro_seasonal_storage_2030</v>
      </c>
      <c r="P3292">
        <f t="shared" si="203"/>
        <v>90</v>
      </c>
    </row>
    <row r="3293" spans="4:16" x14ac:dyDescent="0.25">
      <c r="D3293">
        <v>2031</v>
      </c>
      <c r="E3293" t="s">
        <v>126</v>
      </c>
      <c r="F3293" t="s">
        <v>377</v>
      </c>
      <c r="G3293">
        <v>90</v>
      </c>
      <c r="I3293">
        <f t="shared" si="204"/>
        <v>0</v>
      </c>
      <c r="J3293">
        <f t="shared" si="204"/>
        <v>0</v>
      </c>
      <c r="K3293">
        <f t="shared" si="204"/>
        <v>0</v>
      </c>
      <c r="M3293" t="str" cm="1">
        <f t="array" ref="M3293">IFERROR(INDEX($I$2:$K$2,0,MATCH(TRUE,I3293:K3293,0)),E3293)</f>
        <v>Hydro_seasonal_storage</v>
      </c>
      <c r="O3293" t="str">
        <f t="shared" si="202"/>
        <v>Hydro_seasonal_storage_2031</v>
      </c>
      <c r="P3293">
        <f t="shared" si="203"/>
        <v>90</v>
      </c>
    </row>
    <row r="3294" spans="4:16" x14ac:dyDescent="0.25">
      <c r="D3294">
        <v>2032</v>
      </c>
      <c r="E3294" t="s">
        <v>126</v>
      </c>
      <c r="F3294" t="s">
        <v>377</v>
      </c>
      <c r="G3294">
        <v>90</v>
      </c>
      <c r="I3294">
        <f t="shared" si="204"/>
        <v>0</v>
      </c>
      <c r="J3294">
        <f t="shared" si="204"/>
        <v>0</v>
      </c>
      <c r="K3294">
        <f t="shared" si="204"/>
        <v>0</v>
      </c>
      <c r="M3294" t="str" cm="1">
        <f t="array" ref="M3294">IFERROR(INDEX($I$2:$K$2,0,MATCH(TRUE,I3294:K3294,0)),E3294)</f>
        <v>Hydro_seasonal_storage</v>
      </c>
      <c r="O3294" t="str">
        <f t="shared" si="202"/>
        <v>Hydro_seasonal_storage_2032</v>
      </c>
      <c r="P3294">
        <f t="shared" si="203"/>
        <v>90</v>
      </c>
    </row>
    <row r="3295" spans="4:16" x14ac:dyDescent="0.25">
      <c r="D3295">
        <v>2033</v>
      </c>
      <c r="E3295" t="s">
        <v>126</v>
      </c>
      <c r="F3295" t="s">
        <v>377</v>
      </c>
      <c r="G3295">
        <v>90</v>
      </c>
      <c r="I3295">
        <f t="shared" si="204"/>
        <v>0</v>
      </c>
      <c r="J3295">
        <f t="shared" si="204"/>
        <v>0</v>
      </c>
      <c r="K3295">
        <f t="shared" si="204"/>
        <v>0</v>
      </c>
      <c r="M3295" t="str" cm="1">
        <f t="array" ref="M3295">IFERROR(INDEX($I$2:$K$2,0,MATCH(TRUE,I3295:K3295,0)),E3295)</f>
        <v>Hydro_seasonal_storage</v>
      </c>
      <c r="O3295" t="str">
        <f t="shared" si="202"/>
        <v>Hydro_seasonal_storage_2033</v>
      </c>
      <c r="P3295">
        <f t="shared" si="203"/>
        <v>90</v>
      </c>
    </row>
    <row r="3296" spans="4:16" x14ac:dyDescent="0.25">
      <c r="D3296">
        <v>2034</v>
      </c>
      <c r="E3296" t="s">
        <v>126</v>
      </c>
      <c r="F3296" t="s">
        <v>377</v>
      </c>
      <c r="G3296">
        <v>90</v>
      </c>
      <c r="I3296">
        <f t="shared" si="204"/>
        <v>0</v>
      </c>
      <c r="J3296">
        <f t="shared" si="204"/>
        <v>0</v>
      </c>
      <c r="K3296">
        <f t="shared" si="204"/>
        <v>0</v>
      </c>
      <c r="M3296" t="str" cm="1">
        <f t="array" ref="M3296">IFERROR(INDEX($I$2:$K$2,0,MATCH(TRUE,I3296:K3296,0)),E3296)</f>
        <v>Hydro_seasonal_storage</v>
      </c>
      <c r="O3296" t="str">
        <f t="shared" si="202"/>
        <v>Hydro_seasonal_storage_2034</v>
      </c>
      <c r="P3296">
        <f t="shared" si="203"/>
        <v>90</v>
      </c>
    </row>
    <row r="3297" spans="4:16" x14ac:dyDescent="0.25">
      <c r="D3297">
        <v>2035</v>
      </c>
      <c r="E3297" t="s">
        <v>126</v>
      </c>
      <c r="F3297" t="s">
        <v>377</v>
      </c>
      <c r="G3297">
        <v>90</v>
      </c>
      <c r="I3297">
        <f t="shared" si="204"/>
        <v>0</v>
      </c>
      <c r="J3297">
        <f t="shared" si="204"/>
        <v>0</v>
      </c>
      <c r="K3297">
        <f t="shared" si="204"/>
        <v>0</v>
      </c>
      <c r="M3297" t="str" cm="1">
        <f t="array" ref="M3297">IFERROR(INDEX($I$2:$K$2,0,MATCH(TRUE,I3297:K3297,0)),E3297)</f>
        <v>Hydro_seasonal_storage</v>
      </c>
      <c r="O3297" t="str">
        <f t="shared" si="202"/>
        <v>Hydro_seasonal_storage_2035</v>
      </c>
      <c r="P3297">
        <f t="shared" si="203"/>
        <v>90</v>
      </c>
    </row>
    <row r="3298" spans="4:16" x14ac:dyDescent="0.25">
      <c r="D3298">
        <v>2036</v>
      </c>
      <c r="E3298" t="s">
        <v>126</v>
      </c>
      <c r="F3298" t="s">
        <v>377</v>
      </c>
      <c r="G3298">
        <v>90</v>
      </c>
      <c r="I3298">
        <f t="shared" si="204"/>
        <v>0</v>
      </c>
      <c r="J3298">
        <f t="shared" si="204"/>
        <v>0</v>
      </c>
      <c r="K3298">
        <f t="shared" si="204"/>
        <v>0</v>
      </c>
      <c r="M3298" t="str" cm="1">
        <f t="array" ref="M3298">IFERROR(INDEX($I$2:$K$2,0,MATCH(TRUE,I3298:K3298,0)),E3298)</f>
        <v>Hydro_seasonal_storage</v>
      </c>
      <c r="O3298" t="str">
        <f t="shared" si="202"/>
        <v>Hydro_seasonal_storage_2036</v>
      </c>
      <c r="P3298">
        <f t="shared" si="203"/>
        <v>90</v>
      </c>
    </row>
    <row r="3299" spans="4:16" x14ac:dyDescent="0.25">
      <c r="D3299">
        <v>2037</v>
      </c>
      <c r="E3299" t="s">
        <v>126</v>
      </c>
      <c r="F3299" t="s">
        <v>377</v>
      </c>
      <c r="G3299">
        <v>90</v>
      </c>
      <c r="I3299">
        <f t="shared" si="204"/>
        <v>0</v>
      </c>
      <c r="J3299">
        <f t="shared" si="204"/>
        <v>0</v>
      </c>
      <c r="K3299">
        <f t="shared" si="204"/>
        <v>0</v>
      </c>
      <c r="M3299" t="str" cm="1">
        <f t="array" ref="M3299">IFERROR(INDEX($I$2:$K$2,0,MATCH(TRUE,I3299:K3299,0)),E3299)</f>
        <v>Hydro_seasonal_storage</v>
      </c>
      <c r="O3299" t="str">
        <f t="shared" si="202"/>
        <v>Hydro_seasonal_storage_2037</v>
      </c>
      <c r="P3299">
        <f t="shared" si="203"/>
        <v>90</v>
      </c>
    </row>
    <row r="3300" spans="4:16" x14ac:dyDescent="0.25">
      <c r="D3300">
        <v>2038</v>
      </c>
      <c r="E3300" t="s">
        <v>126</v>
      </c>
      <c r="F3300" t="s">
        <v>377</v>
      </c>
      <c r="G3300">
        <v>90</v>
      </c>
      <c r="I3300">
        <f t="shared" si="204"/>
        <v>0</v>
      </c>
      <c r="J3300">
        <f t="shared" si="204"/>
        <v>0</v>
      </c>
      <c r="K3300">
        <f t="shared" si="204"/>
        <v>0</v>
      </c>
      <c r="M3300" t="str" cm="1">
        <f t="array" ref="M3300">IFERROR(INDEX($I$2:$K$2,0,MATCH(TRUE,I3300:K3300,0)),E3300)</f>
        <v>Hydro_seasonal_storage</v>
      </c>
      <c r="O3300" t="str">
        <f t="shared" si="202"/>
        <v>Hydro_seasonal_storage_2038</v>
      </c>
      <c r="P3300">
        <f t="shared" si="203"/>
        <v>90</v>
      </c>
    </row>
    <row r="3301" spans="4:16" x14ac:dyDescent="0.25">
      <c r="D3301">
        <v>2039</v>
      </c>
      <c r="E3301" t="s">
        <v>126</v>
      </c>
      <c r="F3301" t="s">
        <v>377</v>
      </c>
      <c r="G3301">
        <v>90</v>
      </c>
      <c r="I3301">
        <f t="shared" si="204"/>
        <v>0</v>
      </c>
      <c r="J3301">
        <f t="shared" si="204"/>
        <v>0</v>
      </c>
      <c r="K3301">
        <f t="shared" si="204"/>
        <v>0</v>
      </c>
      <c r="M3301" t="str" cm="1">
        <f t="array" ref="M3301">IFERROR(INDEX($I$2:$K$2,0,MATCH(TRUE,I3301:K3301,0)),E3301)</f>
        <v>Hydro_seasonal_storage</v>
      </c>
      <c r="O3301" t="str">
        <f t="shared" si="202"/>
        <v>Hydro_seasonal_storage_2039</v>
      </c>
      <c r="P3301">
        <f t="shared" si="203"/>
        <v>90</v>
      </c>
    </row>
    <row r="3302" spans="4:16" x14ac:dyDescent="0.25">
      <c r="D3302">
        <v>2040</v>
      </c>
      <c r="E3302" t="s">
        <v>126</v>
      </c>
      <c r="F3302" t="s">
        <v>377</v>
      </c>
      <c r="G3302">
        <v>90</v>
      </c>
      <c r="I3302">
        <f t="shared" si="204"/>
        <v>0</v>
      </c>
      <c r="J3302">
        <f t="shared" si="204"/>
        <v>0</v>
      </c>
      <c r="K3302">
        <f t="shared" si="204"/>
        <v>0</v>
      </c>
      <c r="M3302" t="str" cm="1">
        <f t="array" ref="M3302">IFERROR(INDEX($I$2:$K$2,0,MATCH(TRUE,I3302:K3302,0)),E3302)</f>
        <v>Hydro_seasonal_storage</v>
      </c>
      <c r="O3302" t="str">
        <f t="shared" si="202"/>
        <v>Hydro_seasonal_storage_2040</v>
      </c>
      <c r="P3302">
        <f t="shared" si="203"/>
        <v>90</v>
      </c>
    </row>
    <row r="3303" spans="4:16" x14ac:dyDescent="0.25">
      <c r="D3303">
        <v>2021</v>
      </c>
      <c r="E3303" t="s">
        <v>126</v>
      </c>
      <c r="F3303" t="s">
        <v>378</v>
      </c>
      <c r="G3303">
        <v>1060</v>
      </c>
      <c r="I3303">
        <f t="shared" si="204"/>
        <v>0</v>
      </c>
      <c r="J3303">
        <f t="shared" si="204"/>
        <v>0</v>
      </c>
      <c r="K3303">
        <f t="shared" si="204"/>
        <v>0</v>
      </c>
      <c r="M3303" t="str" cm="1">
        <f t="array" ref="M3303">IFERROR(INDEX($I$2:$K$2,0,MATCH(TRUE,I3303:K3303,0)),E3303)</f>
        <v>Hydro_seasonal_storage</v>
      </c>
      <c r="O3303" t="str">
        <f t="shared" si="202"/>
        <v>Hydro_seasonal_storage_2021</v>
      </c>
      <c r="P3303">
        <f t="shared" si="203"/>
        <v>1060</v>
      </c>
    </row>
    <row r="3304" spans="4:16" x14ac:dyDescent="0.25">
      <c r="D3304">
        <v>2022</v>
      </c>
      <c r="E3304" t="s">
        <v>126</v>
      </c>
      <c r="F3304" t="s">
        <v>378</v>
      </c>
      <c r="G3304">
        <v>1060</v>
      </c>
      <c r="I3304">
        <f t="shared" si="204"/>
        <v>0</v>
      </c>
      <c r="J3304">
        <f t="shared" si="204"/>
        <v>0</v>
      </c>
      <c r="K3304">
        <f t="shared" si="204"/>
        <v>0</v>
      </c>
      <c r="M3304" t="str" cm="1">
        <f t="array" ref="M3304">IFERROR(INDEX($I$2:$K$2,0,MATCH(TRUE,I3304:K3304,0)),E3304)</f>
        <v>Hydro_seasonal_storage</v>
      </c>
      <c r="O3304" t="str">
        <f t="shared" si="202"/>
        <v>Hydro_seasonal_storage_2022</v>
      </c>
      <c r="P3304">
        <f t="shared" si="203"/>
        <v>1060</v>
      </c>
    </row>
    <row r="3305" spans="4:16" x14ac:dyDescent="0.25">
      <c r="D3305">
        <v>2023</v>
      </c>
      <c r="E3305" t="s">
        <v>126</v>
      </c>
      <c r="F3305" t="s">
        <v>378</v>
      </c>
      <c r="G3305">
        <v>1060</v>
      </c>
      <c r="I3305">
        <f t="shared" si="204"/>
        <v>0</v>
      </c>
      <c r="J3305">
        <f t="shared" si="204"/>
        <v>0</v>
      </c>
      <c r="K3305">
        <f t="shared" si="204"/>
        <v>0</v>
      </c>
      <c r="M3305" t="str" cm="1">
        <f t="array" ref="M3305">IFERROR(INDEX($I$2:$K$2,0,MATCH(TRUE,I3305:K3305,0)),E3305)</f>
        <v>Hydro_seasonal_storage</v>
      </c>
      <c r="O3305" t="str">
        <f t="shared" si="202"/>
        <v>Hydro_seasonal_storage_2023</v>
      </c>
      <c r="P3305">
        <f t="shared" si="203"/>
        <v>1060</v>
      </c>
    </row>
    <row r="3306" spans="4:16" x14ac:dyDescent="0.25">
      <c r="D3306">
        <v>2024</v>
      </c>
      <c r="E3306" t="s">
        <v>126</v>
      </c>
      <c r="F3306" t="s">
        <v>378</v>
      </c>
      <c r="G3306">
        <v>1060</v>
      </c>
      <c r="I3306">
        <f t="shared" si="204"/>
        <v>0</v>
      </c>
      <c r="J3306">
        <f t="shared" si="204"/>
        <v>0</v>
      </c>
      <c r="K3306">
        <f t="shared" si="204"/>
        <v>0</v>
      </c>
      <c r="M3306" t="str" cm="1">
        <f t="array" ref="M3306">IFERROR(INDEX($I$2:$K$2,0,MATCH(TRUE,I3306:K3306,0)),E3306)</f>
        <v>Hydro_seasonal_storage</v>
      </c>
      <c r="O3306" t="str">
        <f t="shared" si="202"/>
        <v>Hydro_seasonal_storage_2024</v>
      </c>
      <c r="P3306">
        <f t="shared" si="203"/>
        <v>1060</v>
      </c>
    </row>
    <row r="3307" spans="4:16" x14ac:dyDescent="0.25">
      <c r="D3307">
        <v>2025</v>
      </c>
      <c r="E3307" t="s">
        <v>126</v>
      </c>
      <c r="F3307" t="s">
        <v>378</v>
      </c>
      <c r="G3307">
        <v>1060</v>
      </c>
      <c r="I3307">
        <f t="shared" si="204"/>
        <v>0</v>
      </c>
      <c r="J3307">
        <f t="shared" si="204"/>
        <v>0</v>
      </c>
      <c r="K3307">
        <f t="shared" si="204"/>
        <v>0</v>
      </c>
      <c r="M3307" t="str" cm="1">
        <f t="array" ref="M3307">IFERROR(INDEX($I$2:$K$2,0,MATCH(TRUE,I3307:K3307,0)),E3307)</f>
        <v>Hydro_seasonal_storage</v>
      </c>
      <c r="O3307" t="str">
        <f t="shared" si="202"/>
        <v>Hydro_seasonal_storage_2025</v>
      </c>
      <c r="P3307">
        <f t="shared" si="203"/>
        <v>1060</v>
      </c>
    </row>
    <row r="3308" spans="4:16" x14ac:dyDescent="0.25">
      <c r="D3308">
        <v>2026</v>
      </c>
      <c r="E3308" t="s">
        <v>126</v>
      </c>
      <c r="F3308" t="s">
        <v>378</v>
      </c>
      <c r="G3308">
        <v>1060</v>
      </c>
      <c r="I3308">
        <f t="shared" si="204"/>
        <v>0</v>
      </c>
      <c r="J3308">
        <f t="shared" si="204"/>
        <v>0</v>
      </c>
      <c r="K3308">
        <f t="shared" si="204"/>
        <v>0</v>
      </c>
      <c r="M3308" t="str" cm="1">
        <f t="array" ref="M3308">IFERROR(INDEX($I$2:$K$2,0,MATCH(TRUE,I3308:K3308,0)),E3308)</f>
        <v>Hydro_seasonal_storage</v>
      </c>
      <c r="O3308" t="str">
        <f t="shared" si="202"/>
        <v>Hydro_seasonal_storage_2026</v>
      </c>
      <c r="P3308">
        <f t="shared" si="203"/>
        <v>1060</v>
      </c>
    </row>
    <row r="3309" spans="4:16" x14ac:dyDescent="0.25">
      <c r="D3309">
        <v>2027</v>
      </c>
      <c r="E3309" t="s">
        <v>126</v>
      </c>
      <c r="F3309" t="s">
        <v>378</v>
      </c>
      <c r="G3309">
        <v>1060</v>
      </c>
      <c r="I3309">
        <f t="shared" si="204"/>
        <v>0</v>
      </c>
      <c r="J3309">
        <f t="shared" si="204"/>
        <v>0</v>
      </c>
      <c r="K3309">
        <f t="shared" si="204"/>
        <v>0</v>
      </c>
      <c r="M3309" t="str" cm="1">
        <f t="array" ref="M3309">IFERROR(INDEX($I$2:$K$2,0,MATCH(TRUE,I3309:K3309,0)),E3309)</f>
        <v>Hydro_seasonal_storage</v>
      </c>
      <c r="O3309" t="str">
        <f t="shared" si="202"/>
        <v>Hydro_seasonal_storage_2027</v>
      </c>
      <c r="P3309">
        <f t="shared" si="203"/>
        <v>1060</v>
      </c>
    </row>
    <row r="3310" spans="4:16" x14ac:dyDescent="0.25">
      <c r="D3310">
        <v>2028</v>
      </c>
      <c r="E3310" t="s">
        <v>126</v>
      </c>
      <c r="F3310" t="s">
        <v>378</v>
      </c>
      <c r="G3310">
        <v>1060</v>
      </c>
      <c r="I3310">
        <f t="shared" si="204"/>
        <v>0</v>
      </c>
      <c r="J3310">
        <f t="shared" si="204"/>
        <v>0</v>
      </c>
      <c r="K3310">
        <f t="shared" si="204"/>
        <v>0</v>
      </c>
      <c r="M3310" t="str" cm="1">
        <f t="array" ref="M3310">IFERROR(INDEX($I$2:$K$2,0,MATCH(TRUE,I3310:K3310,0)),E3310)</f>
        <v>Hydro_seasonal_storage</v>
      </c>
      <c r="O3310" t="str">
        <f t="shared" si="202"/>
        <v>Hydro_seasonal_storage_2028</v>
      </c>
      <c r="P3310">
        <f t="shared" si="203"/>
        <v>1060</v>
      </c>
    </row>
    <row r="3311" spans="4:16" x14ac:dyDescent="0.25">
      <c r="D3311">
        <v>2029</v>
      </c>
      <c r="E3311" t="s">
        <v>126</v>
      </c>
      <c r="F3311" t="s">
        <v>378</v>
      </c>
      <c r="G3311">
        <v>1060</v>
      </c>
      <c r="I3311">
        <f t="shared" si="204"/>
        <v>0</v>
      </c>
      <c r="J3311">
        <f t="shared" si="204"/>
        <v>0</v>
      </c>
      <c r="K3311">
        <f t="shared" si="204"/>
        <v>0</v>
      </c>
      <c r="M3311" t="str" cm="1">
        <f t="array" ref="M3311">IFERROR(INDEX($I$2:$K$2,0,MATCH(TRUE,I3311:K3311,0)),E3311)</f>
        <v>Hydro_seasonal_storage</v>
      </c>
      <c r="O3311" t="str">
        <f t="shared" si="202"/>
        <v>Hydro_seasonal_storage_2029</v>
      </c>
      <c r="P3311">
        <f t="shared" si="203"/>
        <v>1060</v>
      </c>
    </row>
    <row r="3312" spans="4:16" x14ac:dyDescent="0.25">
      <c r="D3312">
        <v>2030</v>
      </c>
      <c r="E3312" t="s">
        <v>126</v>
      </c>
      <c r="F3312" t="s">
        <v>378</v>
      </c>
      <c r="G3312">
        <v>1060</v>
      </c>
      <c r="I3312">
        <f t="shared" si="204"/>
        <v>0</v>
      </c>
      <c r="J3312">
        <f t="shared" si="204"/>
        <v>0</v>
      </c>
      <c r="K3312">
        <f t="shared" si="204"/>
        <v>0</v>
      </c>
      <c r="M3312" t="str" cm="1">
        <f t="array" ref="M3312">IFERROR(INDEX($I$2:$K$2,0,MATCH(TRUE,I3312:K3312,0)),E3312)</f>
        <v>Hydro_seasonal_storage</v>
      </c>
      <c r="O3312" t="str">
        <f t="shared" si="202"/>
        <v>Hydro_seasonal_storage_2030</v>
      </c>
      <c r="P3312">
        <f t="shared" si="203"/>
        <v>1060</v>
      </c>
    </row>
    <row r="3313" spans="4:16" x14ac:dyDescent="0.25">
      <c r="D3313">
        <v>2031</v>
      </c>
      <c r="E3313" t="s">
        <v>126</v>
      </c>
      <c r="F3313" t="s">
        <v>378</v>
      </c>
      <c r="G3313">
        <v>1060</v>
      </c>
      <c r="I3313">
        <f t="shared" si="204"/>
        <v>0</v>
      </c>
      <c r="J3313">
        <f t="shared" si="204"/>
        <v>0</v>
      </c>
      <c r="K3313">
        <f t="shared" si="204"/>
        <v>0</v>
      </c>
      <c r="M3313" t="str" cm="1">
        <f t="array" ref="M3313">IFERROR(INDEX($I$2:$K$2,0,MATCH(TRUE,I3313:K3313,0)),E3313)</f>
        <v>Hydro_seasonal_storage</v>
      </c>
      <c r="O3313" t="str">
        <f t="shared" si="202"/>
        <v>Hydro_seasonal_storage_2031</v>
      </c>
      <c r="P3313">
        <f t="shared" si="203"/>
        <v>1060</v>
      </c>
    </row>
    <row r="3314" spans="4:16" x14ac:dyDescent="0.25">
      <c r="D3314">
        <v>2032</v>
      </c>
      <c r="E3314" t="s">
        <v>126</v>
      </c>
      <c r="F3314" t="s">
        <v>378</v>
      </c>
      <c r="G3314">
        <v>1060</v>
      </c>
      <c r="I3314">
        <f t="shared" si="204"/>
        <v>0</v>
      </c>
      <c r="J3314">
        <f t="shared" si="204"/>
        <v>0</v>
      </c>
      <c r="K3314">
        <f t="shared" si="204"/>
        <v>0</v>
      </c>
      <c r="M3314" t="str" cm="1">
        <f t="array" ref="M3314">IFERROR(INDEX($I$2:$K$2,0,MATCH(TRUE,I3314:K3314,0)),E3314)</f>
        <v>Hydro_seasonal_storage</v>
      </c>
      <c r="O3314" t="str">
        <f t="shared" si="202"/>
        <v>Hydro_seasonal_storage_2032</v>
      </c>
      <c r="P3314">
        <f t="shared" si="203"/>
        <v>1060</v>
      </c>
    </row>
    <row r="3315" spans="4:16" x14ac:dyDescent="0.25">
      <c r="D3315">
        <v>2033</v>
      </c>
      <c r="E3315" t="s">
        <v>126</v>
      </c>
      <c r="F3315" t="s">
        <v>378</v>
      </c>
      <c r="G3315">
        <v>1060</v>
      </c>
      <c r="I3315">
        <f t="shared" si="204"/>
        <v>0</v>
      </c>
      <c r="J3315">
        <f t="shared" si="204"/>
        <v>0</v>
      </c>
      <c r="K3315">
        <f t="shared" si="204"/>
        <v>0</v>
      </c>
      <c r="M3315" t="str" cm="1">
        <f t="array" ref="M3315">IFERROR(INDEX($I$2:$K$2,0,MATCH(TRUE,I3315:K3315,0)),E3315)</f>
        <v>Hydro_seasonal_storage</v>
      </c>
      <c r="O3315" t="str">
        <f t="shared" si="202"/>
        <v>Hydro_seasonal_storage_2033</v>
      </c>
      <c r="P3315">
        <f t="shared" si="203"/>
        <v>1060</v>
      </c>
    </row>
    <row r="3316" spans="4:16" x14ac:dyDescent="0.25">
      <c r="D3316">
        <v>2034</v>
      </c>
      <c r="E3316" t="s">
        <v>126</v>
      </c>
      <c r="F3316" t="s">
        <v>378</v>
      </c>
      <c r="G3316">
        <v>1060</v>
      </c>
      <c r="I3316">
        <f t="shared" si="204"/>
        <v>0</v>
      </c>
      <c r="J3316">
        <f t="shared" si="204"/>
        <v>0</v>
      </c>
      <c r="K3316">
        <f t="shared" si="204"/>
        <v>0</v>
      </c>
      <c r="M3316" t="str" cm="1">
        <f t="array" ref="M3316">IFERROR(INDEX($I$2:$K$2,0,MATCH(TRUE,I3316:K3316,0)),E3316)</f>
        <v>Hydro_seasonal_storage</v>
      </c>
      <c r="O3316" t="str">
        <f t="shared" si="202"/>
        <v>Hydro_seasonal_storage_2034</v>
      </c>
      <c r="P3316">
        <f t="shared" si="203"/>
        <v>1060</v>
      </c>
    </row>
    <row r="3317" spans="4:16" x14ac:dyDescent="0.25">
      <c r="D3317">
        <v>2035</v>
      </c>
      <c r="E3317" t="s">
        <v>126</v>
      </c>
      <c r="F3317" t="s">
        <v>378</v>
      </c>
      <c r="G3317">
        <v>1060</v>
      </c>
      <c r="I3317">
        <f t="shared" si="204"/>
        <v>0</v>
      </c>
      <c r="J3317">
        <f t="shared" si="204"/>
        <v>0</v>
      </c>
      <c r="K3317">
        <f t="shared" si="204"/>
        <v>0</v>
      </c>
      <c r="M3317" t="str" cm="1">
        <f t="array" ref="M3317">IFERROR(INDEX($I$2:$K$2,0,MATCH(TRUE,I3317:K3317,0)),E3317)</f>
        <v>Hydro_seasonal_storage</v>
      </c>
      <c r="O3317" t="str">
        <f t="shared" si="202"/>
        <v>Hydro_seasonal_storage_2035</v>
      </c>
      <c r="P3317">
        <f t="shared" si="203"/>
        <v>1060</v>
      </c>
    </row>
    <row r="3318" spans="4:16" x14ac:dyDescent="0.25">
      <c r="D3318">
        <v>2036</v>
      </c>
      <c r="E3318" t="s">
        <v>126</v>
      </c>
      <c r="F3318" t="s">
        <v>378</v>
      </c>
      <c r="G3318">
        <v>1060</v>
      </c>
      <c r="I3318">
        <f t="shared" si="204"/>
        <v>0</v>
      </c>
      <c r="J3318">
        <f t="shared" si="204"/>
        <v>0</v>
      </c>
      <c r="K3318">
        <f t="shared" si="204"/>
        <v>0</v>
      </c>
      <c r="M3318" t="str" cm="1">
        <f t="array" ref="M3318">IFERROR(INDEX($I$2:$K$2,0,MATCH(TRUE,I3318:K3318,0)),E3318)</f>
        <v>Hydro_seasonal_storage</v>
      </c>
      <c r="O3318" t="str">
        <f t="shared" si="202"/>
        <v>Hydro_seasonal_storage_2036</v>
      </c>
      <c r="P3318">
        <f t="shared" si="203"/>
        <v>1060</v>
      </c>
    </row>
    <row r="3319" spans="4:16" x14ac:dyDescent="0.25">
      <c r="D3319">
        <v>2037</v>
      </c>
      <c r="E3319" t="s">
        <v>126</v>
      </c>
      <c r="F3319" t="s">
        <v>378</v>
      </c>
      <c r="G3319">
        <v>1060</v>
      </c>
      <c r="I3319">
        <f t="shared" si="204"/>
        <v>0</v>
      </c>
      <c r="J3319">
        <f t="shared" si="204"/>
        <v>0</v>
      </c>
      <c r="K3319">
        <f t="shared" si="204"/>
        <v>0</v>
      </c>
      <c r="M3319" t="str" cm="1">
        <f t="array" ref="M3319">IFERROR(INDEX($I$2:$K$2,0,MATCH(TRUE,I3319:K3319,0)),E3319)</f>
        <v>Hydro_seasonal_storage</v>
      </c>
      <c r="O3319" t="str">
        <f t="shared" si="202"/>
        <v>Hydro_seasonal_storage_2037</v>
      </c>
      <c r="P3319">
        <f t="shared" si="203"/>
        <v>1060</v>
      </c>
    </row>
    <row r="3320" spans="4:16" x14ac:dyDescent="0.25">
      <c r="D3320">
        <v>2038</v>
      </c>
      <c r="E3320" t="s">
        <v>126</v>
      </c>
      <c r="F3320" t="s">
        <v>378</v>
      </c>
      <c r="G3320">
        <v>1060</v>
      </c>
      <c r="I3320">
        <f t="shared" si="204"/>
        <v>0</v>
      </c>
      <c r="J3320">
        <f t="shared" si="204"/>
        <v>0</v>
      </c>
      <c r="K3320">
        <f t="shared" si="204"/>
        <v>0</v>
      </c>
      <c r="M3320" t="str" cm="1">
        <f t="array" ref="M3320">IFERROR(INDEX($I$2:$K$2,0,MATCH(TRUE,I3320:K3320,0)),E3320)</f>
        <v>Hydro_seasonal_storage</v>
      </c>
      <c r="O3320" t="str">
        <f t="shared" si="202"/>
        <v>Hydro_seasonal_storage_2038</v>
      </c>
      <c r="P3320">
        <f t="shared" si="203"/>
        <v>1060</v>
      </c>
    </row>
    <row r="3321" spans="4:16" x14ac:dyDescent="0.25">
      <c r="D3321">
        <v>2039</v>
      </c>
      <c r="E3321" t="s">
        <v>126</v>
      </c>
      <c r="F3321" t="s">
        <v>378</v>
      </c>
      <c r="G3321">
        <v>1060</v>
      </c>
      <c r="I3321">
        <f t="shared" si="204"/>
        <v>0</v>
      </c>
      <c r="J3321">
        <f t="shared" si="204"/>
        <v>0</v>
      </c>
      <c r="K3321">
        <f t="shared" si="204"/>
        <v>0</v>
      </c>
      <c r="M3321" t="str" cm="1">
        <f t="array" ref="M3321">IFERROR(INDEX($I$2:$K$2,0,MATCH(TRUE,I3321:K3321,0)),E3321)</f>
        <v>Hydro_seasonal_storage</v>
      </c>
      <c r="O3321" t="str">
        <f t="shared" si="202"/>
        <v>Hydro_seasonal_storage_2039</v>
      </c>
      <c r="P3321">
        <f t="shared" si="203"/>
        <v>1060</v>
      </c>
    </row>
    <row r="3322" spans="4:16" x14ac:dyDescent="0.25">
      <c r="D3322">
        <v>2040</v>
      </c>
      <c r="E3322" t="s">
        <v>126</v>
      </c>
      <c r="F3322" t="s">
        <v>378</v>
      </c>
      <c r="G3322">
        <v>1060</v>
      </c>
      <c r="I3322">
        <f t="shared" si="204"/>
        <v>0</v>
      </c>
      <c r="J3322">
        <f t="shared" si="204"/>
        <v>0</v>
      </c>
      <c r="K3322">
        <f t="shared" si="204"/>
        <v>0</v>
      </c>
      <c r="M3322" t="str" cm="1">
        <f t="array" ref="M3322">IFERROR(INDEX($I$2:$K$2,0,MATCH(TRUE,I3322:K3322,0)),E3322)</f>
        <v>Hydro_seasonal_storage</v>
      </c>
      <c r="O3322" t="str">
        <f t="shared" si="202"/>
        <v>Hydro_seasonal_storage_2040</v>
      </c>
      <c r="P3322">
        <f t="shared" si="203"/>
        <v>1060</v>
      </c>
    </row>
    <row r="3323" spans="4:16" x14ac:dyDescent="0.25">
      <c r="D3323">
        <v>2021</v>
      </c>
      <c r="E3323" t="s">
        <v>126</v>
      </c>
      <c r="F3323" t="s">
        <v>379</v>
      </c>
      <c r="G3323">
        <v>160</v>
      </c>
      <c r="I3323">
        <f t="shared" si="204"/>
        <v>0</v>
      </c>
      <c r="J3323">
        <f t="shared" si="204"/>
        <v>0</v>
      </c>
      <c r="K3323">
        <f t="shared" si="204"/>
        <v>0</v>
      </c>
      <c r="M3323" t="str" cm="1">
        <f t="array" ref="M3323">IFERROR(INDEX($I$2:$K$2,0,MATCH(TRUE,I3323:K3323,0)),E3323)</f>
        <v>Hydro_seasonal_storage</v>
      </c>
      <c r="O3323" t="str">
        <f t="shared" si="202"/>
        <v>Hydro_seasonal_storage_2021</v>
      </c>
      <c r="P3323">
        <f t="shared" si="203"/>
        <v>160</v>
      </c>
    </row>
    <row r="3324" spans="4:16" x14ac:dyDescent="0.25">
      <c r="D3324">
        <v>2022</v>
      </c>
      <c r="E3324" t="s">
        <v>126</v>
      </c>
      <c r="F3324" t="s">
        <v>379</v>
      </c>
      <c r="G3324">
        <v>160</v>
      </c>
      <c r="I3324">
        <f t="shared" si="204"/>
        <v>0</v>
      </c>
      <c r="J3324">
        <f t="shared" si="204"/>
        <v>0</v>
      </c>
      <c r="K3324">
        <f t="shared" si="204"/>
        <v>0</v>
      </c>
      <c r="M3324" t="str" cm="1">
        <f t="array" ref="M3324">IFERROR(INDEX($I$2:$K$2,0,MATCH(TRUE,I3324:K3324,0)),E3324)</f>
        <v>Hydro_seasonal_storage</v>
      </c>
      <c r="O3324" t="str">
        <f t="shared" si="202"/>
        <v>Hydro_seasonal_storage_2022</v>
      </c>
      <c r="P3324">
        <f t="shared" si="203"/>
        <v>160</v>
      </c>
    </row>
    <row r="3325" spans="4:16" x14ac:dyDescent="0.25">
      <c r="D3325">
        <v>2023</v>
      </c>
      <c r="E3325" t="s">
        <v>126</v>
      </c>
      <c r="F3325" t="s">
        <v>379</v>
      </c>
      <c r="G3325">
        <v>160</v>
      </c>
      <c r="I3325">
        <f t="shared" si="204"/>
        <v>0</v>
      </c>
      <c r="J3325">
        <f t="shared" si="204"/>
        <v>0</v>
      </c>
      <c r="K3325">
        <f t="shared" si="204"/>
        <v>0</v>
      </c>
      <c r="M3325" t="str" cm="1">
        <f t="array" ref="M3325">IFERROR(INDEX($I$2:$K$2,0,MATCH(TRUE,I3325:K3325,0)),E3325)</f>
        <v>Hydro_seasonal_storage</v>
      </c>
      <c r="O3325" t="str">
        <f t="shared" si="202"/>
        <v>Hydro_seasonal_storage_2023</v>
      </c>
      <c r="P3325">
        <f t="shared" si="203"/>
        <v>160</v>
      </c>
    </row>
    <row r="3326" spans="4:16" x14ac:dyDescent="0.25">
      <c r="D3326">
        <v>2024</v>
      </c>
      <c r="E3326" t="s">
        <v>126</v>
      </c>
      <c r="F3326" t="s">
        <v>379</v>
      </c>
      <c r="G3326">
        <v>160</v>
      </c>
      <c r="I3326">
        <f t="shared" si="204"/>
        <v>0</v>
      </c>
      <c r="J3326">
        <f t="shared" si="204"/>
        <v>0</v>
      </c>
      <c r="K3326">
        <f t="shared" si="204"/>
        <v>0</v>
      </c>
      <c r="M3326" t="str" cm="1">
        <f t="array" ref="M3326">IFERROR(INDEX($I$2:$K$2,0,MATCH(TRUE,I3326:K3326,0)),E3326)</f>
        <v>Hydro_seasonal_storage</v>
      </c>
      <c r="O3326" t="str">
        <f t="shared" si="202"/>
        <v>Hydro_seasonal_storage_2024</v>
      </c>
      <c r="P3326">
        <f t="shared" si="203"/>
        <v>160</v>
      </c>
    </row>
    <row r="3327" spans="4:16" x14ac:dyDescent="0.25">
      <c r="D3327">
        <v>2025</v>
      </c>
      <c r="E3327" t="s">
        <v>126</v>
      </c>
      <c r="F3327" t="s">
        <v>379</v>
      </c>
      <c r="G3327">
        <v>160</v>
      </c>
      <c r="I3327">
        <f t="shared" si="204"/>
        <v>0</v>
      </c>
      <c r="J3327">
        <f t="shared" si="204"/>
        <v>0</v>
      </c>
      <c r="K3327">
        <f t="shared" si="204"/>
        <v>0</v>
      </c>
      <c r="M3327" t="str" cm="1">
        <f t="array" ref="M3327">IFERROR(INDEX($I$2:$K$2,0,MATCH(TRUE,I3327:K3327,0)),E3327)</f>
        <v>Hydro_seasonal_storage</v>
      </c>
      <c r="O3327" t="str">
        <f t="shared" si="202"/>
        <v>Hydro_seasonal_storage_2025</v>
      </c>
      <c r="P3327">
        <f t="shared" si="203"/>
        <v>160</v>
      </c>
    </row>
    <row r="3328" spans="4:16" x14ac:dyDescent="0.25">
      <c r="D3328">
        <v>2026</v>
      </c>
      <c r="E3328" t="s">
        <v>126</v>
      </c>
      <c r="F3328" t="s">
        <v>379</v>
      </c>
      <c r="G3328">
        <v>160</v>
      </c>
      <c r="I3328">
        <f t="shared" si="204"/>
        <v>0</v>
      </c>
      <c r="J3328">
        <f t="shared" si="204"/>
        <v>0</v>
      </c>
      <c r="K3328">
        <f t="shared" si="204"/>
        <v>0</v>
      </c>
      <c r="M3328" t="str" cm="1">
        <f t="array" ref="M3328">IFERROR(INDEX($I$2:$K$2,0,MATCH(TRUE,I3328:K3328,0)),E3328)</f>
        <v>Hydro_seasonal_storage</v>
      </c>
      <c r="O3328" t="str">
        <f t="shared" si="202"/>
        <v>Hydro_seasonal_storage_2026</v>
      </c>
      <c r="P3328">
        <f t="shared" si="203"/>
        <v>160</v>
      </c>
    </row>
    <row r="3329" spans="4:16" x14ac:dyDescent="0.25">
      <c r="D3329">
        <v>2027</v>
      </c>
      <c r="E3329" t="s">
        <v>126</v>
      </c>
      <c r="F3329" t="s">
        <v>379</v>
      </c>
      <c r="G3329">
        <v>160</v>
      </c>
      <c r="I3329">
        <f t="shared" si="204"/>
        <v>0</v>
      </c>
      <c r="J3329">
        <f t="shared" si="204"/>
        <v>0</v>
      </c>
      <c r="K3329">
        <f t="shared" si="204"/>
        <v>0</v>
      </c>
      <c r="M3329" t="str" cm="1">
        <f t="array" ref="M3329">IFERROR(INDEX($I$2:$K$2,0,MATCH(TRUE,I3329:K3329,0)),E3329)</f>
        <v>Hydro_seasonal_storage</v>
      </c>
      <c r="O3329" t="str">
        <f t="shared" si="202"/>
        <v>Hydro_seasonal_storage_2027</v>
      </c>
      <c r="P3329">
        <f t="shared" si="203"/>
        <v>160</v>
      </c>
    </row>
    <row r="3330" spans="4:16" x14ac:dyDescent="0.25">
      <c r="D3330">
        <v>2028</v>
      </c>
      <c r="E3330" t="s">
        <v>126</v>
      </c>
      <c r="F3330" t="s">
        <v>379</v>
      </c>
      <c r="G3330">
        <v>160</v>
      </c>
      <c r="I3330">
        <f t="shared" si="204"/>
        <v>0</v>
      </c>
      <c r="J3330">
        <f t="shared" si="204"/>
        <v>0</v>
      </c>
      <c r="K3330">
        <f t="shared" si="204"/>
        <v>0</v>
      </c>
      <c r="M3330" t="str" cm="1">
        <f t="array" ref="M3330">IFERROR(INDEX($I$2:$K$2,0,MATCH(TRUE,I3330:K3330,0)),E3330)</f>
        <v>Hydro_seasonal_storage</v>
      </c>
      <c r="O3330" t="str">
        <f t="shared" si="202"/>
        <v>Hydro_seasonal_storage_2028</v>
      </c>
      <c r="P3330">
        <f t="shared" si="203"/>
        <v>160</v>
      </c>
    </row>
    <row r="3331" spans="4:16" x14ac:dyDescent="0.25">
      <c r="D3331">
        <v>2029</v>
      </c>
      <c r="E3331" t="s">
        <v>126</v>
      </c>
      <c r="F3331" t="s">
        <v>379</v>
      </c>
      <c r="G3331">
        <v>160</v>
      </c>
      <c r="I3331">
        <f t="shared" si="204"/>
        <v>0</v>
      </c>
      <c r="J3331">
        <f t="shared" si="204"/>
        <v>0</v>
      </c>
      <c r="K3331">
        <f t="shared" si="204"/>
        <v>0</v>
      </c>
      <c r="M3331" t="str" cm="1">
        <f t="array" ref="M3331">IFERROR(INDEX($I$2:$K$2,0,MATCH(TRUE,I3331:K3331,0)),E3331)</f>
        <v>Hydro_seasonal_storage</v>
      </c>
      <c r="O3331" t="str">
        <f t="shared" si="202"/>
        <v>Hydro_seasonal_storage_2029</v>
      </c>
      <c r="P3331">
        <f t="shared" si="203"/>
        <v>160</v>
      </c>
    </row>
    <row r="3332" spans="4:16" x14ac:dyDescent="0.25">
      <c r="D3332">
        <v>2030</v>
      </c>
      <c r="E3332" t="s">
        <v>126</v>
      </c>
      <c r="F3332" t="s">
        <v>379</v>
      </c>
      <c r="G3332">
        <v>160</v>
      </c>
      <c r="I3332">
        <f t="shared" si="204"/>
        <v>0</v>
      </c>
      <c r="J3332">
        <f t="shared" si="204"/>
        <v>0</v>
      </c>
      <c r="K3332">
        <f t="shared" si="204"/>
        <v>0</v>
      </c>
      <c r="M3332" t="str" cm="1">
        <f t="array" ref="M3332">IFERROR(INDEX($I$2:$K$2,0,MATCH(TRUE,I3332:K3332,0)),E3332)</f>
        <v>Hydro_seasonal_storage</v>
      </c>
      <c r="O3332" t="str">
        <f t="shared" si="202"/>
        <v>Hydro_seasonal_storage_2030</v>
      </c>
      <c r="P3332">
        <f t="shared" si="203"/>
        <v>160</v>
      </c>
    </row>
    <row r="3333" spans="4:16" x14ac:dyDescent="0.25">
      <c r="D3333">
        <v>2031</v>
      </c>
      <c r="E3333" t="s">
        <v>126</v>
      </c>
      <c r="F3333" t="s">
        <v>379</v>
      </c>
      <c r="G3333">
        <v>160</v>
      </c>
      <c r="I3333">
        <f t="shared" si="204"/>
        <v>0</v>
      </c>
      <c r="J3333">
        <f t="shared" si="204"/>
        <v>0</v>
      </c>
      <c r="K3333">
        <f t="shared" si="204"/>
        <v>0</v>
      </c>
      <c r="M3333" t="str" cm="1">
        <f t="array" ref="M3333">IFERROR(INDEX($I$2:$K$2,0,MATCH(TRUE,I3333:K3333,0)),E3333)</f>
        <v>Hydro_seasonal_storage</v>
      </c>
      <c r="O3333" t="str">
        <f t="shared" si="202"/>
        <v>Hydro_seasonal_storage_2031</v>
      </c>
      <c r="P3333">
        <f t="shared" si="203"/>
        <v>160</v>
      </c>
    </row>
    <row r="3334" spans="4:16" x14ac:dyDescent="0.25">
      <c r="D3334">
        <v>2032</v>
      </c>
      <c r="E3334" t="s">
        <v>126</v>
      </c>
      <c r="F3334" t="s">
        <v>379</v>
      </c>
      <c r="G3334">
        <v>160</v>
      </c>
      <c r="I3334">
        <f t="shared" si="204"/>
        <v>0</v>
      </c>
      <c r="J3334">
        <f t="shared" si="204"/>
        <v>0</v>
      </c>
      <c r="K3334">
        <f t="shared" si="204"/>
        <v>0</v>
      </c>
      <c r="M3334" t="str" cm="1">
        <f t="array" ref="M3334">IFERROR(INDEX($I$2:$K$2,0,MATCH(TRUE,I3334:K3334,0)),E3334)</f>
        <v>Hydro_seasonal_storage</v>
      </c>
      <c r="O3334" t="str">
        <f t="shared" si="202"/>
        <v>Hydro_seasonal_storage_2032</v>
      </c>
      <c r="P3334">
        <f t="shared" si="203"/>
        <v>160</v>
      </c>
    </row>
    <row r="3335" spans="4:16" x14ac:dyDescent="0.25">
      <c r="D3335">
        <v>2033</v>
      </c>
      <c r="E3335" t="s">
        <v>126</v>
      </c>
      <c r="F3335" t="s">
        <v>379</v>
      </c>
      <c r="G3335">
        <v>160</v>
      </c>
      <c r="I3335">
        <f t="shared" si="204"/>
        <v>0</v>
      </c>
      <c r="J3335">
        <f t="shared" si="204"/>
        <v>0</v>
      </c>
      <c r="K3335">
        <f t="shared" si="204"/>
        <v>0</v>
      </c>
      <c r="M3335" t="str" cm="1">
        <f t="array" ref="M3335">IFERROR(INDEX($I$2:$K$2,0,MATCH(TRUE,I3335:K3335,0)),E3335)</f>
        <v>Hydro_seasonal_storage</v>
      </c>
      <c r="O3335" t="str">
        <f t="shared" si="202"/>
        <v>Hydro_seasonal_storage_2033</v>
      </c>
      <c r="P3335">
        <f t="shared" si="203"/>
        <v>160</v>
      </c>
    </row>
    <row r="3336" spans="4:16" x14ac:dyDescent="0.25">
      <c r="D3336">
        <v>2034</v>
      </c>
      <c r="E3336" t="s">
        <v>126</v>
      </c>
      <c r="F3336" t="s">
        <v>379</v>
      </c>
      <c r="G3336">
        <v>160</v>
      </c>
      <c r="I3336">
        <f t="shared" si="204"/>
        <v>0</v>
      </c>
      <c r="J3336">
        <f t="shared" si="204"/>
        <v>0</v>
      </c>
      <c r="K3336">
        <f t="shared" si="204"/>
        <v>0</v>
      </c>
      <c r="M3336" t="str" cm="1">
        <f t="array" ref="M3336">IFERROR(INDEX($I$2:$K$2,0,MATCH(TRUE,I3336:K3336,0)),E3336)</f>
        <v>Hydro_seasonal_storage</v>
      </c>
      <c r="O3336" t="str">
        <f t="shared" si="202"/>
        <v>Hydro_seasonal_storage_2034</v>
      </c>
      <c r="P3336">
        <f t="shared" si="203"/>
        <v>160</v>
      </c>
    </row>
    <row r="3337" spans="4:16" x14ac:dyDescent="0.25">
      <c r="D3337">
        <v>2035</v>
      </c>
      <c r="E3337" t="s">
        <v>126</v>
      </c>
      <c r="F3337" t="s">
        <v>379</v>
      </c>
      <c r="G3337">
        <v>160</v>
      </c>
      <c r="I3337">
        <f t="shared" si="204"/>
        <v>0</v>
      </c>
      <c r="J3337">
        <f t="shared" si="204"/>
        <v>0</v>
      </c>
      <c r="K3337">
        <f t="shared" si="204"/>
        <v>0</v>
      </c>
      <c r="M3337" t="str" cm="1">
        <f t="array" ref="M3337">IFERROR(INDEX($I$2:$K$2,0,MATCH(TRUE,I3337:K3337,0)),E3337)</f>
        <v>Hydro_seasonal_storage</v>
      </c>
      <c r="O3337" t="str">
        <f t="shared" si="202"/>
        <v>Hydro_seasonal_storage_2035</v>
      </c>
      <c r="P3337">
        <f t="shared" si="203"/>
        <v>160</v>
      </c>
    </row>
    <row r="3338" spans="4:16" x14ac:dyDescent="0.25">
      <c r="D3338">
        <v>2036</v>
      </c>
      <c r="E3338" t="s">
        <v>126</v>
      </c>
      <c r="F3338" t="s">
        <v>379</v>
      </c>
      <c r="G3338">
        <v>160</v>
      </c>
      <c r="I3338">
        <f t="shared" si="204"/>
        <v>0</v>
      </c>
      <c r="J3338">
        <f t="shared" si="204"/>
        <v>0</v>
      </c>
      <c r="K3338">
        <f t="shared" si="204"/>
        <v>0</v>
      </c>
      <c r="M3338" t="str" cm="1">
        <f t="array" ref="M3338">IFERROR(INDEX($I$2:$K$2,0,MATCH(TRUE,I3338:K3338,0)),E3338)</f>
        <v>Hydro_seasonal_storage</v>
      </c>
      <c r="O3338" t="str">
        <f t="shared" si="202"/>
        <v>Hydro_seasonal_storage_2036</v>
      </c>
      <c r="P3338">
        <f t="shared" si="203"/>
        <v>160</v>
      </c>
    </row>
    <row r="3339" spans="4:16" x14ac:dyDescent="0.25">
      <c r="D3339">
        <v>2037</v>
      </c>
      <c r="E3339" t="s">
        <v>126</v>
      </c>
      <c r="F3339" t="s">
        <v>379</v>
      </c>
      <c r="G3339">
        <v>160</v>
      </c>
      <c r="I3339">
        <f t="shared" si="204"/>
        <v>0</v>
      </c>
      <c r="J3339">
        <f t="shared" si="204"/>
        <v>0</v>
      </c>
      <c r="K3339">
        <f t="shared" si="204"/>
        <v>0</v>
      </c>
      <c r="M3339" t="str" cm="1">
        <f t="array" ref="M3339">IFERROR(INDEX($I$2:$K$2,0,MATCH(TRUE,I3339:K3339,0)),E3339)</f>
        <v>Hydro_seasonal_storage</v>
      </c>
      <c r="O3339" t="str">
        <f t="shared" si="202"/>
        <v>Hydro_seasonal_storage_2037</v>
      </c>
      <c r="P3339">
        <f t="shared" si="203"/>
        <v>160</v>
      </c>
    </row>
    <row r="3340" spans="4:16" x14ac:dyDescent="0.25">
      <c r="D3340">
        <v>2038</v>
      </c>
      <c r="E3340" t="s">
        <v>126</v>
      </c>
      <c r="F3340" t="s">
        <v>379</v>
      </c>
      <c r="G3340">
        <v>160</v>
      </c>
      <c r="I3340">
        <f t="shared" si="204"/>
        <v>0</v>
      </c>
      <c r="J3340">
        <f t="shared" si="204"/>
        <v>0</v>
      </c>
      <c r="K3340">
        <f t="shared" si="204"/>
        <v>0</v>
      </c>
      <c r="M3340" t="str" cm="1">
        <f t="array" ref="M3340">IFERROR(INDEX($I$2:$K$2,0,MATCH(TRUE,I3340:K3340,0)),E3340)</f>
        <v>Hydro_seasonal_storage</v>
      </c>
      <c r="O3340" t="str">
        <f t="shared" si="202"/>
        <v>Hydro_seasonal_storage_2038</v>
      </c>
      <c r="P3340">
        <f t="shared" si="203"/>
        <v>160</v>
      </c>
    </row>
    <row r="3341" spans="4:16" x14ac:dyDescent="0.25">
      <c r="D3341">
        <v>2039</v>
      </c>
      <c r="E3341" t="s">
        <v>126</v>
      </c>
      <c r="F3341" t="s">
        <v>379</v>
      </c>
      <c r="G3341">
        <v>160</v>
      </c>
      <c r="I3341">
        <f t="shared" si="204"/>
        <v>0</v>
      </c>
      <c r="J3341">
        <f t="shared" si="204"/>
        <v>0</v>
      </c>
      <c r="K3341">
        <f t="shared" si="204"/>
        <v>0</v>
      </c>
      <c r="M3341" t="str" cm="1">
        <f t="array" ref="M3341">IFERROR(INDEX($I$2:$K$2,0,MATCH(TRUE,I3341:K3341,0)),E3341)</f>
        <v>Hydro_seasonal_storage</v>
      </c>
      <c r="O3341" t="str">
        <f t="shared" si="202"/>
        <v>Hydro_seasonal_storage_2039</v>
      </c>
      <c r="P3341">
        <f t="shared" si="203"/>
        <v>160</v>
      </c>
    </row>
    <row r="3342" spans="4:16" x14ac:dyDescent="0.25">
      <c r="D3342">
        <v>2040</v>
      </c>
      <c r="E3342" t="s">
        <v>126</v>
      </c>
      <c r="F3342" t="s">
        <v>379</v>
      </c>
      <c r="G3342">
        <v>160</v>
      </c>
      <c r="I3342">
        <f t="shared" si="204"/>
        <v>0</v>
      </c>
      <c r="J3342">
        <f t="shared" si="204"/>
        <v>0</v>
      </c>
      <c r="K3342">
        <f t="shared" si="204"/>
        <v>0</v>
      </c>
      <c r="M3342" t="str" cm="1">
        <f t="array" ref="M3342">IFERROR(INDEX($I$2:$K$2,0,MATCH(TRUE,I3342:K3342,0)),E3342)</f>
        <v>Hydro_seasonal_storage</v>
      </c>
      <c r="O3342" t="str">
        <f t="shared" si="202"/>
        <v>Hydro_seasonal_storage_2040</v>
      </c>
      <c r="P3342">
        <f t="shared" si="203"/>
        <v>160</v>
      </c>
    </row>
    <row r="3343" spans="4:16" x14ac:dyDescent="0.25">
      <c r="D3343">
        <v>2021</v>
      </c>
      <c r="E3343" t="s">
        <v>126</v>
      </c>
      <c r="F3343" t="s">
        <v>380</v>
      </c>
      <c r="G3343">
        <v>60</v>
      </c>
      <c r="I3343">
        <f t="shared" si="204"/>
        <v>0</v>
      </c>
      <c r="J3343">
        <f t="shared" si="204"/>
        <v>0</v>
      </c>
      <c r="K3343">
        <f t="shared" si="204"/>
        <v>0</v>
      </c>
      <c r="M3343" t="str" cm="1">
        <f t="array" ref="M3343">IFERROR(INDEX($I$2:$K$2,0,MATCH(TRUE,I3343:K3343,0)),E3343)</f>
        <v>Hydro_seasonal_storage</v>
      </c>
      <c r="O3343" t="str">
        <f t="shared" si="202"/>
        <v>Hydro_seasonal_storage_2021</v>
      </c>
      <c r="P3343">
        <f t="shared" si="203"/>
        <v>60</v>
      </c>
    </row>
    <row r="3344" spans="4:16" x14ac:dyDescent="0.25">
      <c r="D3344">
        <v>2022</v>
      </c>
      <c r="E3344" t="s">
        <v>126</v>
      </c>
      <c r="F3344" t="s">
        <v>380</v>
      </c>
      <c r="G3344">
        <v>60</v>
      </c>
      <c r="I3344">
        <f t="shared" si="204"/>
        <v>0</v>
      </c>
      <c r="J3344">
        <f t="shared" si="204"/>
        <v>0</v>
      </c>
      <c r="K3344">
        <f t="shared" si="204"/>
        <v>0</v>
      </c>
      <c r="M3344" t="str" cm="1">
        <f t="array" ref="M3344">IFERROR(INDEX($I$2:$K$2,0,MATCH(TRUE,I3344:K3344,0)),E3344)</f>
        <v>Hydro_seasonal_storage</v>
      </c>
      <c r="O3344" t="str">
        <f t="shared" si="202"/>
        <v>Hydro_seasonal_storage_2022</v>
      </c>
      <c r="P3344">
        <f t="shared" si="203"/>
        <v>60</v>
      </c>
    </row>
    <row r="3345" spans="4:16" x14ac:dyDescent="0.25">
      <c r="D3345">
        <v>2023</v>
      </c>
      <c r="E3345" t="s">
        <v>126</v>
      </c>
      <c r="F3345" t="s">
        <v>380</v>
      </c>
      <c r="G3345">
        <v>60</v>
      </c>
      <c r="I3345">
        <f t="shared" si="204"/>
        <v>0</v>
      </c>
      <c r="J3345">
        <f t="shared" si="204"/>
        <v>0</v>
      </c>
      <c r="K3345">
        <f t="shared" si="204"/>
        <v>0</v>
      </c>
      <c r="M3345" t="str" cm="1">
        <f t="array" ref="M3345">IFERROR(INDEX($I$2:$K$2,0,MATCH(TRUE,I3345:K3345,0)),E3345)</f>
        <v>Hydro_seasonal_storage</v>
      </c>
      <c r="O3345" t="str">
        <f t="shared" si="202"/>
        <v>Hydro_seasonal_storage_2023</v>
      </c>
      <c r="P3345">
        <f t="shared" si="203"/>
        <v>60</v>
      </c>
    </row>
    <row r="3346" spans="4:16" x14ac:dyDescent="0.25">
      <c r="D3346">
        <v>2024</v>
      </c>
      <c r="E3346" t="s">
        <v>126</v>
      </c>
      <c r="F3346" t="s">
        <v>380</v>
      </c>
      <c r="G3346">
        <v>60</v>
      </c>
      <c r="I3346">
        <f t="shared" si="204"/>
        <v>0</v>
      </c>
      <c r="J3346">
        <f t="shared" si="204"/>
        <v>0</v>
      </c>
      <c r="K3346">
        <f t="shared" si="204"/>
        <v>0</v>
      </c>
      <c r="M3346" t="str" cm="1">
        <f t="array" ref="M3346">IFERROR(INDEX($I$2:$K$2,0,MATCH(TRUE,I3346:K3346,0)),E3346)</f>
        <v>Hydro_seasonal_storage</v>
      </c>
      <c r="O3346" t="str">
        <f t="shared" si="202"/>
        <v>Hydro_seasonal_storage_2024</v>
      </c>
      <c r="P3346">
        <f t="shared" si="203"/>
        <v>60</v>
      </c>
    </row>
    <row r="3347" spans="4:16" x14ac:dyDescent="0.25">
      <c r="D3347">
        <v>2025</v>
      </c>
      <c r="E3347" t="s">
        <v>126</v>
      </c>
      <c r="F3347" t="s">
        <v>380</v>
      </c>
      <c r="G3347">
        <v>60</v>
      </c>
      <c r="I3347">
        <f t="shared" si="204"/>
        <v>0</v>
      </c>
      <c r="J3347">
        <f t="shared" si="204"/>
        <v>0</v>
      </c>
      <c r="K3347">
        <f t="shared" si="204"/>
        <v>0</v>
      </c>
      <c r="M3347" t="str" cm="1">
        <f t="array" ref="M3347">IFERROR(INDEX($I$2:$K$2,0,MATCH(TRUE,I3347:K3347,0)),E3347)</f>
        <v>Hydro_seasonal_storage</v>
      </c>
      <c r="O3347" t="str">
        <f t="shared" ref="O3347:O3410" si="205">M3347&amp;"_"&amp;D3347</f>
        <v>Hydro_seasonal_storage_2025</v>
      </c>
      <c r="P3347">
        <f t="shared" ref="P3347:P3410" si="206">G3347</f>
        <v>60</v>
      </c>
    </row>
    <row r="3348" spans="4:16" x14ac:dyDescent="0.25">
      <c r="D3348">
        <v>2026</v>
      </c>
      <c r="E3348" t="s">
        <v>126</v>
      </c>
      <c r="F3348" t="s">
        <v>380</v>
      </c>
      <c r="G3348">
        <v>60</v>
      </c>
      <c r="I3348">
        <f t="shared" si="204"/>
        <v>0</v>
      </c>
      <c r="J3348">
        <f t="shared" si="204"/>
        <v>0</v>
      </c>
      <c r="K3348">
        <f t="shared" si="204"/>
        <v>0</v>
      </c>
      <c r="M3348" t="str" cm="1">
        <f t="array" ref="M3348">IFERROR(INDEX($I$2:$K$2,0,MATCH(TRUE,I3348:K3348,0)),E3348)</f>
        <v>Hydro_seasonal_storage</v>
      </c>
      <c r="O3348" t="str">
        <f t="shared" si="205"/>
        <v>Hydro_seasonal_storage_2026</v>
      </c>
      <c r="P3348">
        <f t="shared" si="206"/>
        <v>60</v>
      </c>
    </row>
    <row r="3349" spans="4:16" x14ac:dyDescent="0.25">
      <c r="D3349">
        <v>2027</v>
      </c>
      <c r="E3349" t="s">
        <v>126</v>
      </c>
      <c r="F3349" t="s">
        <v>380</v>
      </c>
      <c r="G3349">
        <v>60</v>
      </c>
      <c r="I3349">
        <f t="shared" ref="I3349:K3412" si="207">IFERROR(FIND(I$2,$E3349,1)&gt;0,0)</f>
        <v>0</v>
      </c>
      <c r="J3349">
        <f t="shared" si="207"/>
        <v>0</v>
      </c>
      <c r="K3349">
        <f t="shared" si="207"/>
        <v>0</v>
      </c>
      <c r="M3349" t="str" cm="1">
        <f t="array" ref="M3349">IFERROR(INDEX($I$2:$K$2,0,MATCH(TRUE,I3349:K3349,0)),E3349)</f>
        <v>Hydro_seasonal_storage</v>
      </c>
      <c r="O3349" t="str">
        <f t="shared" si="205"/>
        <v>Hydro_seasonal_storage_2027</v>
      </c>
      <c r="P3349">
        <f t="shared" si="206"/>
        <v>60</v>
      </c>
    </row>
    <row r="3350" spans="4:16" x14ac:dyDescent="0.25">
      <c r="D3350">
        <v>2028</v>
      </c>
      <c r="E3350" t="s">
        <v>126</v>
      </c>
      <c r="F3350" t="s">
        <v>380</v>
      </c>
      <c r="G3350">
        <v>60</v>
      </c>
      <c r="I3350">
        <f t="shared" si="207"/>
        <v>0</v>
      </c>
      <c r="J3350">
        <f t="shared" si="207"/>
        <v>0</v>
      </c>
      <c r="K3350">
        <f t="shared" si="207"/>
        <v>0</v>
      </c>
      <c r="M3350" t="str" cm="1">
        <f t="array" ref="M3350">IFERROR(INDEX($I$2:$K$2,0,MATCH(TRUE,I3350:K3350,0)),E3350)</f>
        <v>Hydro_seasonal_storage</v>
      </c>
      <c r="O3350" t="str">
        <f t="shared" si="205"/>
        <v>Hydro_seasonal_storage_2028</v>
      </c>
      <c r="P3350">
        <f t="shared" si="206"/>
        <v>60</v>
      </c>
    </row>
    <row r="3351" spans="4:16" x14ac:dyDescent="0.25">
      <c r="D3351">
        <v>2029</v>
      </c>
      <c r="E3351" t="s">
        <v>126</v>
      </c>
      <c r="F3351" t="s">
        <v>380</v>
      </c>
      <c r="G3351">
        <v>60</v>
      </c>
      <c r="I3351">
        <f t="shared" si="207"/>
        <v>0</v>
      </c>
      <c r="J3351">
        <f t="shared" si="207"/>
        <v>0</v>
      </c>
      <c r="K3351">
        <f t="shared" si="207"/>
        <v>0</v>
      </c>
      <c r="M3351" t="str" cm="1">
        <f t="array" ref="M3351">IFERROR(INDEX($I$2:$K$2,0,MATCH(TRUE,I3351:K3351,0)),E3351)</f>
        <v>Hydro_seasonal_storage</v>
      </c>
      <c r="O3351" t="str">
        <f t="shared" si="205"/>
        <v>Hydro_seasonal_storage_2029</v>
      </c>
      <c r="P3351">
        <f t="shared" si="206"/>
        <v>60</v>
      </c>
    </row>
    <row r="3352" spans="4:16" x14ac:dyDescent="0.25">
      <c r="D3352">
        <v>2030</v>
      </c>
      <c r="E3352" t="s">
        <v>126</v>
      </c>
      <c r="F3352" t="s">
        <v>380</v>
      </c>
      <c r="G3352">
        <v>60</v>
      </c>
      <c r="I3352">
        <f t="shared" si="207"/>
        <v>0</v>
      </c>
      <c r="J3352">
        <f t="shared" si="207"/>
        <v>0</v>
      </c>
      <c r="K3352">
        <f t="shared" si="207"/>
        <v>0</v>
      </c>
      <c r="M3352" t="str" cm="1">
        <f t="array" ref="M3352">IFERROR(INDEX($I$2:$K$2,0,MATCH(TRUE,I3352:K3352,0)),E3352)</f>
        <v>Hydro_seasonal_storage</v>
      </c>
      <c r="O3352" t="str">
        <f t="shared" si="205"/>
        <v>Hydro_seasonal_storage_2030</v>
      </c>
      <c r="P3352">
        <f t="shared" si="206"/>
        <v>60</v>
      </c>
    </row>
    <row r="3353" spans="4:16" x14ac:dyDescent="0.25">
      <c r="D3353">
        <v>2031</v>
      </c>
      <c r="E3353" t="s">
        <v>126</v>
      </c>
      <c r="F3353" t="s">
        <v>380</v>
      </c>
      <c r="G3353">
        <v>60</v>
      </c>
      <c r="I3353">
        <f t="shared" si="207"/>
        <v>0</v>
      </c>
      <c r="J3353">
        <f t="shared" si="207"/>
        <v>0</v>
      </c>
      <c r="K3353">
        <f t="shared" si="207"/>
        <v>0</v>
      </c>
      <c r="M3353" t="str" cm="1">
        <f t="array" ref="M3353">IFERROR(INDEX($I$2:$K$2,0,MATCH(TRUE,I3353:K3353,0)),E3353)</f>
        <v>Hydro_seasonal_storage</v>
      </c>
      <c r="O3353" t="str">
        <f t="shared" si="205"/>
        <v>Hydro_seasonal_storage_2031</v>
      </c>
      <c r="P3353">
        <f t="shared" si="206"/>
        <v>60</v>
      </c>
    </row>
    <row r="3354" spans="4:16" x14ac:dyDescent="0.25">
      <c r="D3354">
        <v>2032</v>
      </c>
      <c r="E3354" t="s">
        <v>126</v>
      </c>
      <c r="F3354" t="s">
        <v>380</v>
      </c>
      <c r="G3354">
        <v>60</v>
      </c>
      <c r="I3354">
        <f t="shared" si="207"/>
        <v>0</v>
      </c>
      <c r="J3354">
        <f t="shared" si="207"/>
        <v>0</v>
      </c>
      <c r="K3354">
        <f t="shared" si="207"/>
        <v>0</v>
      </c>
      <c r="M3354" t="str" cm="1">
        <f t="array" ref="M3354">IFERROR(INDEX($I$2:$K$2,0,MATCH(TRUE,I3354:K3354,0)),E3354)</f>
        <v>Hydro_seasonal_storage</v>
      </c>
      <c r="O3354" t="str">
        <f t="shared" si="205"/>
        <v>Hydro_seasonal_storage_2032</v>
      </c>
      <c r="P3354">
        <f t="shared" si="206"/>
        <v>60</v>
      </c>
    </row>
    <row r="3355" spans="4:16" x14ac:dyDescent="0.25">
      <c r="D3355">
        <v>2033</v>
      </c>
      <c r="E3355" t="s">
        <v>126</v>
      </c>
      <c r="F3355" t="s">
        <v>380</v>
      </c>
      <c r="G3355">
        <v>60</v>
      </c>
      <c r="I3355">
        <f t="shared" si="207"/>
        <v>0</v>
      </c>
      <c r="J3355">
        <f t="shared" si="207"/>
        <v>0</v>
      </c>
      <c r="K3355">
        <f t="shared" si="207"/>
        <v>0</v>
      </c>
      <c r="M3355" t="str" cm="1">
        <f t="array" ref="M3355">IFERROR(INDEX($I$2:$K$2,0,MATCH(TRUE,I3355:K3355,0)),E3355)</f>
        <v>Hydro_seasonal_storage</v>
      </c>
      <c r="O3355" t="str">
        <f t="shared" si="205"/>
        <v>Hydro_seasonal_storage_2033</v>
      </c>
      <c r="P3355">
        <f t="shared" si="206"/>
        <v>60</v>
      </c>
    </row>
    <row r="3356" spans="4:16" x14ac:dyDescent="0.25">
      <c r="D3356">
        <v>2034</v>
      </c>
      <c r="E3356" t="s">
        <v>126</v>
      </c>
      <c r="F3356" t="s">
        <v>380</v>
      </c>
      <c r="G3356">
        <v>60</v>
      </c>
      <c r="I3356">
        <f t="shared" si="207"/>
        <v>0</v>
      </c>
      <c r="J3356">
        <f t="shared" si="207"/>
        <v>0</v>
      </c>
      <c r="K3356">
        <f t="shared" si="207"/>
        <v>0</v>
      </c>
      <c r="M3356" t="str" cm="1">
        <f t="array" ref="M3356">IFERROR(INDEX($I$2:$K$2,0,MATCH(TRUE,I3356:K3356,0)),E3356)</f>
        <v>Hydro_seasonal_storage</v>
      </c>
      <c r="O3356" t="str">
        <f t="shared" si="205"/>
        <v>Hydro_seasonal_storage_2034</v>
      </c>
      <c r="P3356">
        <f t="shared" si="206"/>
        <v>60</v>
      </c>
    </row>
    <row r="3357" spans="4:16" x14ac:dyDescent="0.25">
      <c r="D3357">
        <v>2035</v>
      </c>
      <c r="E3357" t="s">
        <v>126</v>
      </c>
      <c r="F3357" t="s">
        <v>380</v>
      </c>
      <c r="G3357">
        <v>60</v>
      </c>
      <c r="I3357">
        <f t="shared" si="207"/>
        <v>0</v>
      </c>
      <c r="J3357">
        <f t="shared" si="207"/>
        <v>0</v>
      </c>
      <c r="K3357">
        <f t="shared" si="207"/>
        <v>0</v>
      </c>
      <c r="M3357" t="str" cm="1">
        <f t="array" ref="M3357">IFERROR(INDEX($I$2:$K$2,0,MATCH(TRUE,I3357:K3357,0)),E3357)</f>
        <v>Hydro_seasonal_storage</v>
      </c>
      <c r="O3357" t="str">
        <f t="shared" si="205"/>
        <v>Hydro_seasonal_storage_2035</v>
      </c>
      <c r="P3357">
        <f t="shared" si="206"/>
        <v>60</v>
      </c>
    </row>
    <row r="3358" spans="4:16" x14ac:dyDescent="0.25">
      <c r="D3358">
        <v>2036</v>
      </c>
      <c r="E3358" t="s">
        <v>126</v>
      </c>
      <c r="F3358" t="s">
        <v>380</v>
      </c>
      <c r="G3358">
        <v>60</v>
      </c>
      <c r="I3358">
        <f t="shared" si="207"/>
        <v>0</v>
      </c>
      <c r="J3358">
        <f t="shared" si="207"/>
        <v>0</v>
      </c>
      <c r="K3358">
        <f t="shared" si="207"/>
        <v>0</v>
      </c>
      <c r="M3358" t="str" cm="1">
        <f t="array" ref="M3358">IFERROR(INDEX($I$2:$K$2,0,MATCH(TRUE,I3358:K3358,0)),E3358)</f>
        <v>Hydro_seasonal_storage</v>
      </c>
      <c r="O3358" t="str">
        <f t="shared" si="205"/>
        <v>Hydro_seasonal_storage_2036</v>
      </c>
      <c r="P3358">
        <f t="shared" si="206"/>
        <v>60</v>
      </c>
    </row>
    <row r="3359" spans="4:16" x14ac:dyDescent="0.25">
      <c r="D3359">
        <v>2037</v>
      </c>
      <c r="E3359" t="s">
        <v>126</v>
      </c>
      <c r="F3359" t="s">
        <v>380</v>
      </c>
      <c r="G3359">
        <v>60</v>
      </c>
      <c r="I3359">
        <f t="shared" si="207"/>
        <v>0</v>
      </c>
      <c r="J3359">
        <f t="shared" si="207"/>
        <v>0</v>
      </c>
      <c r="K3359">
        <f t="shared" si="207"/>
        <v>0</v>
      </c>
      <c r="M3359" t="str" cm="1">
        <f t="array" ref="M3359">IFERROR(INDEX($I$2:$K$2,0,MATCH(TRUE,I3359:K3359,0)),E3359)</f>
        <v>Hydro_seasonal_storage</v>
      </c>
      <c r="O3359" t="str">
        <f t="shared" si="205"/>
        <v>Hydro_seasonal_storage_2037</v>
      </c>
      <c r="P3359">
        <f t="shared" si="206"/>
        <v>60</v>
      </c>
    </row>
    <row r="3360" spans="4:16" x14ac:dyDescent="0.25">
      <c r="D3360">
        <v>2038</v>
      </c>
      <c r="E3360" t="s">
        <v>126</v>
      </c>
      <c r="F3360" t="s">
        <v>380</v>
      </c>
      <c r="G3360">
        <v>60</v>
      </c>
      <c r="I3360">
        <f t="shared" si="207"/>
        <v>0</v>
      </c>
      <c r="J3360">
        <f t="shared" si="207"/>
        <v>0</v>
      </c>
      <c r="K3360">
        <f t="shared" si="207"/>
        <v>0</v>
      </c>
      <c r="M3360" t="str" cm="1">
        <f t="array" ref="M3360">IFERROR(INDEX($I$2:$K$2,0,MATCH(TRUE,I3360:K3360,0)),E3360)</f>
        <v>Hydro_seasonal_storage</v>
      </c>
      <c r="O3360" t="str">
        <f t="shared" si="205"/>
        <v>Hydro_seasonal_storage_2038</v>
      </c>
      <c r="P3360">
        <f t="shared" si="206"/>
        <v>60</v>
      </c>
    </row>
    <row r="3361" spans="4:16" x14ac:dyDescent="0.25">
      <c r="D3361">
        <v>2039</v>
      </c>
      <c r="E3361" t="s">
        <v>126</v>
      </c>
      <c r="F3361" t="s">
        <v>380</v>
      </c>
      <c r="G3361">
        <v>60</v>
      </c>
      <c r="I3361">
        <f t="shared" si="207"/>
        <v>0</v>
      </c>
      <c r="J3361">
        <f t="shared" si="207"/>
        <v>0</v>
      </c>
      <c r="K3361">
        <f t="shared" si="207"/>
        <v>0</v>
      </c>
      <c r="M3361" t="str" cm="1">
        <f t="array" ref="M3361">IFERROR(INDEX($I$2:$K$2,0,MATCH(TRUE,I3361:K3361,0)),E3361)</f>
        <v>Hydro_seasonal_storage</v>
      </c>
      <c r="O3361" t="str">
        <f t="shared" si="205"/>
        <v>Hydro_seasonal_storage_2039</v>
      </c>
      <c r="P3361">
        <f t="shared" si="206"/>
        <v>60</v>
      </c>
    </row>
    <row r="3362" spans="4:16" x14ac:dyDescent="0.25">
      <c r="D3362">
        <v>2040</v>
      </c>
      <c r="E3362" t="s">
        <v>126</v>
      </c>
      <c r="F3362" t="s">
        <v>380</v>
      </c>
      <c r="G3362">
        <v>60</v>
      </c>
      <c r="I3362">
        <f t="shared" si="207"/>
        <v>0</v>
      </c>
      <c r="J3362">
        <f t="shared" si="207"/>
        <v>0</v>
      </c>
      <c r="K3362">
        <f t="shared" si="207"/>
        <v>0</v>
      </c>
      <c r="M3362" t="str" cm="1">
        <f t="array" ref="M3362">IFERROR(INDEX($I$2:$K$2,0,MATCH(TRUE,I3362:K3362,0)),E3362)</f>
        <v>Hydro_seasonal_storage</v>
      </c>
      <c r="O3362" t="str">
        <f t="shared" si="205"/>
        <v>Hydro_seasonal_storage_2040</v>
      </c>
      <c r="P3362">
        <f t="shared" si="206"/>
        <v>60</v>
      </c>
    </row>
    <row r="3363" spans="4:16" x14ac:dyDescent="0.25">
      <c r="D3363">
        <v>2021</v>
      </c>
      <c r="E3363" t="s">
        <v>126</v>
      </c>
      <c r="F3363" t="s">
        <v>381</v>
      </c>
      <c r="G3363">
        <v>320</v>
      </c>
      <c r="I3363">
        <f t="shared" si="207"/>
        <v>0</v>
      </c>
      <c r="J3363">
        <f t="shared" si="207"/>
        <v>0</v>
      </c>
      <c r="K3363">
        <f t="shared" si="207"/>
        <v>0</v>
      </c>
      <c r="M3363" t="str" cm="1">
        <f t="array" ref="M3363">IFERROR(INDEX($I$2:$K$2,0,MATCH(TRUE,I3363:K3363,0)),E3363)</f>
        <v>Hydro_seasonal_storage</v>
      </c>
      <c r="O3363" t="str">
        <f t="shared" si="205"/>
        <v>Hydro_seasonal_storage_2021</v>
      </c>
      <c r="P3363">
        <f t="shared" si="206"/>
        <v>320</v>
      </c>
    </row>
    <row r="3364" spans="4:16" x14ac:dyDescent="0.25">
      <c r="D3364">
        <v>2022</v>
      </c>
      <c r="E3364" t="s">
        <v>126</v>
      </c>
      <c r="F3364" t="s">
        <v>381</v>
      </c>
      <c r="G3364">
        <v>320</v>
      </c>
      <c r="I3364">
        <f t="shared" si="207"/>
        <v>0</v>
      </c>
      <c r="J3364">
        <f t="shared" si="207"/>
        <v>0</v>
      </c>
      <c r="K3364">
        <f t="shared" si="207"/>
        <v>0</v>
      </c>
      <c r="M3364" t="str" cm="1">
        <f t="array" ref="M3364">IFERROR(INDEX($I$2:$K$2,0,MATCH(TRUE,I3364:K3364,0)),E3364)</f>
        <v>Hydro_seasonal_storage</v>
      </c>
      <c r="O3364" t="str">
        <f t="shared" si="205"/>
        <v>Hydro_seasonal_storage_2022</v>
      </c>
      <c r="P3364">
        <f t="shared" si="206"/>
        <v>320</v>
      </c>
    </row>
    <row r="3365" spans="4:16" x14ac:dyDescent="0.25">
      <c r="D3365">
        <v>2023</v>
      </c>
      <c r="E3365" t="s">
        <v>126</v>
      </c>
      <c r="F3365" t="s">
        <v>381</v>
      </c>
      <c r="G3365">
        <v>320</v>
      </c>
      <c r="I3365">
        <f t="shared" si="207"/>
        <v>0</v>
      </c>
      <c r="J3365">
        <f t="shared" si="207"/>
        <v>0</v>
      </c>
      <c r="K3365">
        <f t="shared" si="207"/>
        <v>0</v>
      </c>
      <c r="M3365" t="str" cm="1">
        <f t="array" ref="M3365">IFERROR(INDEX($I$2:$K$2,0,MATCH(TRUE,I3365:K3365,0)),E3365)</f>
        <v>Hydro_seasonal_storage</v>
      </c>
      <c r="O3365" t="str">
        <f t="shared" si="205"/>
        <v>Hydro_seasonal_storage_2023</v>
      </c>
      <c r="P3365">
        <f t="shared" si="206"/>
        <v>320</v>
      </c>
    </row>
    <row r="3366" spans="4:16" x14ac:dyDescent="0.25">
      <c r="D3366">
        <v>2024</v>
      </c>
      <c r="E3366" t="s">
        <v>126</v>
      </c>
      <c r="F3366" t="s">
        <v>381</v>
      </c>
      <c r="G3366">
        <v>320</v>
      </c>
      <c r="I3366">
        <f t="shared" si="207"/>
        <v>0</v>
      </c>
      <c r="J3366">
        <f t="shared" si="207"/>
        <v>0</v>
      </c>
      <c r="K3366">
        <f t="shared" si="207"/>
        <v>0</v>
      </c>
      <c r="M3366" t="str" cm="1">
        <f t="array" ref="M3366">IFERROR(INDEX($I$2:$K$2,0,MATCH(TRUE,I3366:K3366,0)),E3366)</f>
        <v>Hydro_seasonal_storage</v>
      </c>
      <c r="O3366" t="str">
        <f t="shared" si="205"/>
        <v>Hydro_seasonal_storage_2024</v>
      </c>
      <c r="P3366">
        <f t="shared" si="206"/>
        <v>320</v>
      </c>
    </row>
    <row r="3367" spans="4:16" x14ac:dyDescent="0.25">
      <c r="D3367">
        <v>2025</v>
      </c>
      <c r="E3367" t="s">
        <v>126</v>
      </c>
      <c r="F3367" t="s">
        <v>381</v>
      </c>
      <c r="G3367">
        <v>320</v>
      </c>
      <c r="I3367">
        <f t="shared" si="207"/>
        <v>0</v>
      </c>
      <c r="J3367">
        <f t="shared" si="207"/>
        <v>0</v>
      </c>
      <c r="K3367">
        <f t="shared" si="207"/>
        <v>0</v>
      </c>
      <c r="M3367" t="str" cm="1">
        <f t="array" ref="M3367">IFERROR(INDEX($I$2:$K$2,0,MATCH(TRUE,I3367:K3367,0)),E3367)</f>
        <v>Hydro_seasonal_storage</v>
      </c>
      <c r="O3367" t="str">
        <f t="shared" si="205"/>
        <v>Hydro_seasonal_storage_2025</v>
      </c>
      <c r="P3367">
        <f t="shared" si="206"/>
        <v>320</v>
      </c>
    </row>
    <row r="3368" spans="4:16" x14ac:dyDescent="0.25">
      <c r="D3368">
        <v>2026</v>
      </c>
      <c r="E3368" t="s">
        <v>126</v>
      </c>
      <c r="F3368" t="s">
        <v>381</v>
      </c>
      <c r="G3368">
        <v>320</v>
      </c>
      <c r="I3368">
        <f t="shared" si="207"/>
        <v>0</v>
      </c>
      <c r="J3368">
        <f t="shared" si="207"/>
        <v>0</v>
      </c>
      <c r="K3368">
        <f t="shared" si="207"/>
        <v>0</v>
      </c>
      <c r="M3368" t="str" cm="1">
        <f t="array" ref="M3368">IFERROR(INDEX($I$2:$K$2,0,MATCH(TRUE,I3368:K3368,0)),E3368)</f>
        <v>Hydro_seasonal_storage</v>
      </c>
      <c r="O3368" t="str">
        <f t="shared" si="205"/>
        <v>Hydro_seasonal_storage_2026</v>
      </c>
      <c r="P3368">
        <f t="shared" si="206"/>
        <v>320</v>
      </c>
    </row>
    <row r="3369" spans="4:16" x14ac:dyDescent="0.25">
      <c r="D3369">
        <v>2027</v>
      </c>
      <c r="E3369" t="s">
        <v>126</v>
      </c>
      <c r="F3369" t="s">
        <v>381</v>
      </c>
      <c r="G3369">
        <v>320</v>
      </c>
      <c r="I3369">
        <f t="shared" si="207"/>
        <v>0</v>
      </c>
      <c r="J3369">
        <f t="shared" si="207"/>
        <v>0</v>
      </c>
      <c r="K3369">
        <f t="shared" si="207"/>
        <v>0</v>
      </c>
      <c r="M3369" t="str" cm="1">
        <f t="array" ref="M3369">IFERROR(INDEX($I$2:$K$2,0,MATCH(TRUE,I3369:K3369,0)),E3369)</f>
        <v>Hydro_seasonal_storage</v>
      </c>
      <c r="O3369" t="str">
        <f t="shared" si="205"/>
        <v>Hydro_seasonal_storage_2027</v>
      </c>
      <c r="P3369">
        <f t="shared" si="206"/>
        <v>320</v>
      </c>
    </row>
    <row r="3370" spans="4:16" x14ac:dyDescent="0.25">
      <c r="D3370">
        <v>2028</v>
      </c>
      <c r="E3370" t="s">
        <v>126</v>
      </c>
      <c r="F3370" t="s">
        <v>381</v>
      </c>
      <c r="G3370">
        <v>320</v>
      </c>
      <c r="I3370">
        <f t="shared" si="207"/>
        <v>0</v>
      </c>
      <c r="J3370">
        <f t="shared" si="207"/>
        <v>0</v>
      </c>
      <c r="K3370">
        <f t="shared" si="207"/>
        <v>0</v>
      </c>
      <c r="M3370" t="str" cm="1">
        <f t="array" ref="M3370">IFERROR(INDEX($I$2:$K$2,0,MATCH(TRUE,I3370:K3370,0)),E3370)</f>
        <v>Hydro_seasonal_storage</v>
      </c>
      <c r="O3370" t="str">
        <f t="shared" si="205"/>
        <v>Hydro_seasonal_storage_2028</v>
      </c>
      <c r="P3370">
        <f t="shared" si="206"/>
        <v>320</v>
      </c>
    </row>
    <row r="3371" spans="4:16" x14ac:dyDescent="0.25">
      <c r="D3371">
        <v>2029</v>
      </c>
      <c r="E3371" t="s">
        <v>126</v>
      </c>
      <c r="F3371" t="s">
        <v>381</v>
      </c>
      <c r="G3371">
        <v>320</v>
      </c>
      <c r="I3371">
        <f t="shared" si="207"/>
        <v>0</v>
      </c>
      <c r="J3371">
        <f t="shared" si="207"/>
        <v>0</v>
      </c>
      <c r="K3371">
        <f t="shared" si="207"/>
        <v>0</v>
      </c>
      <c r="M3371" t="str" cm="1">
        <f t="array" ref="M3371">IFERROR(INDEX($I$2:$K$2,0,MATCH(TRUE,I3371:K3371,0)),E3371)</f>
        <v>Hydro_seasonal_storage</v>
      </c>
      <c r="O3371" t="str">
        <f t="shared" si="205"/>
        <v>Hydro_seasonal_storage_2029</v>
      </c>
      <c r="P3371">
        <f t="shared" si="206"/>
        <v>320</v>
      </c>
    </row>
    <row r="3372" spans="4:16" x14ac:dyDescent="0.25">
      <c r="D3372">
        <v>2030</v>
      </c>
      <c r="E3372" t="s">
        <v>126</v>
      </c>
      <c r="F3372" t="s">
        <v>381</v>
      </c>
      <c r="G3372">
        <v>320</v>
      </c>
      <c r="I3372">
        <f t="shared" si="207"/>
        <v>0</v>
      </c>
      <c r="J3372">
        <f t="shared" si="207"/>
        <v>0</v>
      </c>
      <c r="K3372">
        <f t="shared" si="207"/>
        <v>0</v>
      </c>
      <c r="M3372" t="str" cm="1">
        <f t="array" ref="M3372">IFERROR(INDEX($I$2:$K$2,0,MATCH(TRUE,I3372:K3372,0)),E3372)</f>
        <v>Hydro_seasonal_storage</v>
      </c>
      <c r="O3372" t="str">
        <f t="shared" si="205"/>
        <v>Hydro_seasonal_storage_2030</v>
      </c>
      <c r="P3372">
        <f t="shared" si="206"/>
        <v>320</v>
      </c>
    </row>
    <row r="3373" spans="4:16" x14ac:dyDescent="0.25">
      <c r="D3373">
        <v>2031</v>
      </c>
      <c r="E3373" t="s">
        <v>126</v>
      </c>
      <c r="F3373" t="s">
        <v>381</v>
      </c>
      <c r="G3373">
        <v>320</v>
      </c>
      <c r="I3373">
        <f t="shared" si="207"/>
        <v>0</v>
      </c>
      <c r="J3373">
        <f t="shared" si="207"/>
        <v>0</v>
      </c>
      <c r="K3373">
        <f t="shared" si="207"/>
        <v>0</v>
      </c>
      <c r="M3373" t="str" cm="1">
        <f t="array" ref="M3373">IFERROR(INDEX($I$2:$K$2,0,MATCH(TRUE,I3373:K3373,0)),E3373)</f>
        <v>Hydro_seasonal_storage</v>
      </c>
      <c r="O3373" t="str">
        <f t="shared" si="205"/>
        <v>Hydro_seasonal_storage_2031</v>
      </c>
      <c r="P3373">
        <f t="shared" si="206"/>
        <v>320</v>
      </c>
    </row>
    <row r="3374" spans="4:16" x14ac:dyDescent="0.25">
      <c r="D3374">
        <v>2032</v>
      </c>
      <c r="E3374" t="s">
        <v>126</v>
      </c>
      <c r="F3374" t="s">
        <v>381</v>
      </c>
      <c r="G3374">
        <v>320</v>
      </c>
      <c r="I3374">
        <f t="shared" si="207"/>
        <v>0</v>
      </c>
      <c r="J3374">
        <f t="shared" si="207"/>
        <v>0</v>
      </c>
      <c r="K3374">
        <f t="shared" si="207"/>
        <v>0</v>
      </c>
      <c r="M3374" t="str" cm="1">
        <f t="array" ref="M3374">IFERROR(INDEX($I$2:$K$2,0,MATCH(TRUE,I3374:K3374,0)),E3374)</f>
        <v>Hydro_seasonal_storage</v>
      </c>
      <c r="O3374" t="str">
        <f t="shared" si="205"/>
        <v>Hydro_seasonal_storage_2032</v>
      </c>
      <c r="P3374">
        <f t="shared" si="206"/>
        <v>320</v>
      </c>
    </row>
    <row r="3375" spans="4:16" x14ac:dyDescent="0.25">
      <c r="D3375">
        <v>2033</v>
      </c>
      <c r="E3375" t="s">
        <v>126</v>
      </c>
      <c r="F3375" t="s">
        <v>381</v>
      </c>
      <c r="G3375">
        <v>320</v>
      </c>
      <c r="I3375">
        <f t="shared" si="207"/>
        <v>0</v>
      </c>
      <c r="J3375">
        <f t="shared" si="207"/>
        <v>0</v>
      </c>
      <c r="K3375">
        <f t="shared" si="207"/>
        <v>0</v>
      </c>
      <c r="M3375" t="str" cm="1">
        <f t="array" ref="M3375">IFERROR(INDEX($I$2:$K$2,0,MATCH(TRUE,I3375:K3375,0)),E3375)</f>
        <v>Hydro_seasonal_storage</v>
      </c>
      <c r="O3375" t="str">
        <f t="shared" si="205"/>
        <v>Hydro_seasonal_storage_2033</v>
      </c>
      <c r="P3375">
        <f t="shared" si="206"/>
        <v>320</v>
      </c>
    </row>
    <row r="3376" spans="4:16" x14ac:dyDescent="0.25">
      <c r="D3376">
        <v>2034</v>
      </c>
      <c r="E3376" t="s">
        <v>126</v>
      </c>
      <c r="F3376" t="s">
        <v>381</v>
      </c>
      <c r="G3376">
        <v>320</v>
      </c>
      <c r="I3376">
        <f t="shared" si="207"/>
        <v>0</v>
      </c>
      <c r="J3376">
        <f t="shared" si="207"/>
        <v>0</v>
      </c>
      <c r="K3376">
        <f t="shared" si="207"/>
        <v>0</v>
      </c>
      <c r="M3376" t="str" cm="1">
        <f t="array" ref="M3376">IFERROR(INDEX($I$2:$K$2,0,MATCH(TRUE,I3376:K3376,0)),E3376)</f>
        <v>Hydro_seasonal_storage</v>
      </c>
      <c r="O3376" t="str">
        <f t="shared" si="205"/>
        <v>Hydro_seasonal_storage_2034</v>
      </c>
      <c r="P3376">
        <f t="shared" si="206"/>
        <v>320</v>
      </c>
    </row>
    <row r="3377" spans="4:16" x14ac:dyDescent="0.25">
      <c r="D3377">
        <v>2035</v>
      </c>
      <c r="E3377" t="s">
        <v>126</v>
      </c>
      <c r="F3377" t="s">
        <v>381</v>
      </c>
      <c r="G3377">
        <v>320</v>
      </c>
      <c r="I3377">
        <f t="shared" si="207"/>
        <v>0</v>
      </c>
      <c r="J3377">
        <f t="shared" si="207"/>
        <v>0</v>
      </c>
      <c r="K3377">
        <f t="shared" si="207"/>
        <v>0</v>
      </c>
      <c r="M3377" t="str" cm="1">
        <f t="array" ref="M3377">IFERROR(INDEX($I$2:$K$2,0,MATCH(TRUE,I3377:K3377,0)),E3377)</f>
        <v>Hydro_seasonal_storage</v>
      </c>
      <c r="O3377" t="str">
        <f t="shared" si="205"/>
        <v>Hydro_seasonal_storage_2035</v>
      </c>
      <c r="P3377">
        <f t="shared" si="206"/>
        <v>320</v>
      </c>
    </row>
    <row r="3378" spans="4:16" x14ac:dyDescent="0.25">
      <c r="D3378">
        <v>2036</v>
      </c>
      <c r="E3378" t="s">
        <v>126</v>
      </c>
      <c r="F3378" t="s">
        <v>381</v>
      </c>
      <c r="G3378">
        <v>320</v>
      </c>
      <c r="I3378">
        <f t="shared" si="207"/>
        <v>0</v>
      </c>
      <c r="J3378">
        <f t="shared" si="207"/>
        <v>0</v>
      </c>
      <c r="K3378">
        <f t="shared" si="207"/>
        <v>0</v>
      </c>
      <c r="M3378" t="str" cm="1">
        <f t="array" ref="M3378">IFERROR(INDEX($I$2:$K$2,0,MATCH(TRUE,I3378:K3378,0)),E3378)</f>
        <v>Hydro_seasonal_storage</v>
      </c>
      <c r="O3378" t="str">
        <f t="shared" si="205"/>
        <v>Hydro_seasonal_storage_2036</v>
      </c>
      <c r="P3378">
        <f t="shared" si="206"/>
        <v>320</v>
      </c>
    </row>
    <row r="3379" spans="4:16" x14ac:dyDescent="0.25">
      <c r="D3379">
        <v>2037</v>
      </c>
      <c r="E3379" t="s">
        <v>126</v>
      </c>
      <c r="F3379" t="s">
        <v>381</v>
      </c>
      <c r="G3379">
        <v>320</v>
      </c>
      <c r="I3379">
        <f t="shared" si="207"/>
        <v>0</v>
      </c>
      <c r="J3379">
        <f t="shared" si="207"/>
        <v>0</v>
      </c>
      <c r="K3379">
        <f t="shared" si="207"/>
        <v>0</v>
      </c>
      <c r="M3379" t="str" cm="1">
        <f t="array" ref="M3379">IFERROR(INDEX($I$2:$K$2,0,MATCH(TRUE,I3379:K3379,0)),E3379)</f>
        <v>Hydro_seasonal_storage</v>
      </c>
      <c r="O3379" t="str">
        <f t="shared" si="205"/>
        <v>Hydro_seasonal_storage_2037</v>
      </c>
      <c r="P3379">
        <f t="shared" si="206"/>
        <v>320</v>
      </c>
    </row>
    <row r="3380" spans="4:16" x14ac:dyDescent="0.25">
      <c r="D3380">
        <v>2038</v>
      </c>
      <c r="E3380" t="s">
        <v>126</v>
      </c>
      <c r="F3380" t="s">
        <v>381</v>
      </c>
      <c r="G3380">
        <v>320</v>
      </c>
      <c r="I3380">
        <f t="shared" si="207"/>
        <v>0</v>
      </c>
      <c r="J3380">
        <f t="shared" si="207"/>
        <v>0</v>
      </c>
      <c r="K3380">
        <f t="shared" si="207"/>
        <v>0</v>
      </c>
      <c r="M3380" t="str" cm="1">
        <f t="array" ref="M3380">IFERROR(INDEX($I$2:$K$2,0,MATCH(TRUE,I3380:K3380,0)),E3380)</f>
        <v>Hydro_seasonal_storage</v>
      </c>
      <c r="O3380" t="str">
        <f t="shared" si="205"/>
        <v>Hydro_seasonal_storage_2038</v>
      </c>
      <c r="P3380">
        <f t="shared" si="206"/>
        <v>320</v>
      </c>
    </row>
    <row r="3381" spans="4:16" x14ac:dyDescent="0.25">
      <c r="D3381">
        <v>2039</v>
      </c>
      <c r="E3381" t="s">
        <v>126</v>
      </c>
      <c r="F3381" t="s">
        <v>381</v>
      </c>
      <c r="G3381">
        <v>320</v>
      </c>
      <c r="I3381">
        <f t="shared" si="207"/>
        <v>0</v>
      </c>
      <c r="J3381">
        <f t="shared" si="207"/>
        <v>0</v>
      </c>
      <c r="K3381">
        <f t="shared" si="207"/>
        <v>0</v>
      </c>
      <c r="M3381" t="str" cm="1">
        <f t="array" ref="M3381">IFERROR(INDEX($I$2:$K$2,0,MATCH(TRUE,I3381:K3381,0)),E3381)</f>
        <v>Hydro_seasonal_storage</v>
      </c>
      <c r="O3381" t="str">
        <f t="shared" si="205"/>
        <v>Hydro_seasonal_storage_2039</v>
      </c>
      <c r="P3381">
        <f t="shared" si="206"/>
        <v>320</v>
      </c>
    </row>
    <row r="3382" spans="4:16" x14ac:dyDescent="0.25">
      <c r="D3382">
        <v>2040</v>
      </c>
      <c r="E3382" t="s">
        <v>126</v>
      </c>
      <c r="F3382" t="s">
        <v>381</v>
      </c>
      <c r="G3382">
        <v>320</v>
      </c>
      <c r="I3382">
        <f t="shared" si="207"/>
        <v>0</v>
      </c>
      <c r="J3382">
        <f t="shared" si="207"/>
        <v>0</v>
      </c>
      <c r="K3382">
        <f t="shared" si="207"/>
        <v>0</v>
      </c>
      <c r="M3382" t="str" cm="1">
        <f t="array" ref="M3382">IFERROR(INDEX($I$2:$K$2,0,MATCH(TRUE,I3382:K3382,0)),E3382)</f>
        <v>Hydro_seasonal_storage</v>
      </c>
      <c r="O3382" t="str">
        <f t="shared" si="205"/>
        <v>Hydro_seasonal_storage_2040</v>
      </c>
      <c r="P3382">
        <f t="shared" si="206"/>
        <v>320</v>
      </c>
    </row>
    <row r="3383" spans="4:16" x14ac:dyDescent="0.25">
      <c r="D3383">
        <v>2021</v>
      </c>
      <c r="E3383" t="s">
        <v>126</v>
      </c>
      <c r="F3383" t="s">
        <v>382</v>
      </c>
      <c r="G3383">
        <v>153</v>
      </c>
      <c r="I3383">
        <f t="shared" si="207"/>
        <v>0</v>
      </c>
      <c r="J3383">
        <f t="shared" si="207"/>
        <v>0</v>
      </c>
      <c r="K3383">
        <f t="shared" si="207"/>
        <v>0</v>
      </c>
      <c r="M3383" t="str" cm="1">
        <f t="array" ref="M3383">IFERROR(INDEX($I$2:$K$2,0,MATCH(TRUE,I3383:K3383,0)),E3383)</f>
        <v>Hydro_seasonal_storage</v>
      </c>
      <c r="O3383" t="str">
        <f t="shared" si="205"/>
        <v>Hydro_seasonal_storage_2021</v>
      </c>
      <c r="P3383">
        <f t="shared" si="206"/>
        <v>153</v>
      </c>
    </row>
    <row r="3384" spans="4:16" x14ac:dyDescent="0.25">
      <c r="D3384">
        <v>2022</v>
      </c>
      <c r="E3384" t="s">
        <v>126</v>
      </c>
      <c r="F3384" t="s">
        <v>382</v>
      </c>
      <c r="G3384">
        <v>153</v>
      </c>
      <c r="I3384">
        <f t="shared" si="207"/>
        <v>0</v>
      </c>
      <c r="J3384">
        <f t="shared" si="207"/>
        <v>0</v>
      </c>
      <c r="K3384">
        <f t="shared" si="207"/>
        <v>0</v>
      </c>
      <c r="M3384" t="str" cm="1">
        <f t="array" ref="M3384">IFERROR(INDEX($I$2:$K$2,0,MATCH(TRUE,I3384:K3384,0)),E3384)</f>
        <v>Hydro_seasonal_storage</v>
      </c>
      <c r="O3384" t="str">
        <f t="shared" si="205"/>
        <v>Hydro_seasonal_storage_2022</v>
      </c>
      <c r="P3384">
        <f t="shared" si="206"/>
        <v>153</v>
      </c>
    </row>
    <row r="3385" spans="4:16" x14ac:dyDescent="0.25">
      <c r="D3385">
        <v>2023</v>
      </c>
      <c r="E3385" t="s">
        <v>126</v>
      </c>
      <c r="F3385" t="s">
        <v>382</v>
      </c>
      <c r="G3385">
        <v>153</v>
      </c>
      <c r="I3385">
        <f t="shared" si="207"/>
        <v>0</v>
      </c>
      <c r="J3385">
        <f t="shared" si="207"/>
        <v>0</v>
      </c>
      <c r="K3385">
        <f t="shared" si="207"/>
        <v>0</v>
      </c>
      <c r="M3385" t="str" cm="1">
        <f t="array" ref="M3385">IFERROR(INDEX($I$2:$K$2,0,MATCH(TRUE,I3385:K3385,0)),E3385)</f>
        <v>Hydro_seasonal_storage</v>
      </c>
      <c r="O3385" t="str">
        <f t="shared" si="205"/>
        <v>Hydro_seasonal_storage_2023</v>
      </c>
      <c r="P3385">
        <f t="shared" si="206"/>
        <v>153</v>
      </c>
    </row>
    <row r="3386" spans="4:16" x14ac:dyDescent="0.25">
      <c r="D3386">
        <v>2024</v>
      </c>
      <c r="E3386" t="s">
        <v>126</v>
      </c>
      <c r="F3386" t="s">
        <v>382</v>
      </c>
      <c r="G3386">
        <v>153</v>
      </c>
      <c r="I3386">
        <f t="shared" si="207"/>
        <v>0</v>
      </c>
      <c r="J3386">
        <f t="shared" si="207"/>
        <v>0</v>
      </c>
      <c r="K3386">
        <f t="shared" si="207"/>
        <v>0</v>
      </c>
      <c r="M3386" t="str" cm="1">
        <f t="array" ref="M3386">IFERROR(INDEX($I$2:$K$2,0,MATCH(TRUE,I3386:K3386,0)),E3386)</f>
        <v>Hydro_seasonal_storage</v>
      </c>
      <c r="O3386" t="str">
        <f t="shared" si="205"/>
        <v>Hydro_seasonal_storage_2024</v>
      </c>
      <c r="P3386">
        <f t="shared" si="206"/>
        <v>153</v>
      </c>
    </row>
    <row r="3387" spans="4:16" x14ac:dyDescent="0.25">
      <c r="D3387">
        <v>2025</v>
      </c>
      <c r="E3387" t="s">
        <v>126</v>
      </c>
      <c r="F3387" t="s">
        <v>382</v>
      </c>
      <c r="G3387">
        <v>153</v>
      </c>
      <c r="I3387">
        <f t="shared" si="207"/>
        <v>0</v>
      </c>
      <c r="J3387">
        <f t="shared" si="207"/>
        <v>0</v>
      </c>
      <c r="K3387">
        <f t="shared" si="207"/>
        <v>0</v>
      </c>
      <c r="M3387" t="str" cm="1">
        <f t="array" ref="M3387">IFERROR(INDEX($I$2:$K$2,0,MATCH(TRUE,I3387:K3387,0)),E3387)</f>
        <v>Hydro_seasonal_storage</v>
      </c>
      <c r="O3387" t="str">
        <f t="shared" si="205"/>
        <v>Hydro_seasonal_storage_2025</v>
      </c>
      <c r="P3387">
        <f t="shared" si="206"/>
        <v>153</v>
      </c>
    </row>
    <row r="3388" spans="4:16" x14ac:dyDescent="0.25">
      <c r="D3388">
        <v>2026</v>
      </c>
      <c r="E3388" t="s">
        <v>126</v>
      </c>
      <c r="F3388" t="s">
        <v>382</v>
      </c>
      <c r="G3388">
        <v>153</v>
      </c>
      <c r="I3388">
        <f t="shared" si="207"/>
        <v>0</v>
      </c>
      <c r="J3388">
        <f t="shared" si="207"/>
        <v>0</v>
      </c>
      <c r="K3388">
        <f t="shared" si="207"/>
        <v>0</v>
      </c>
      <c r="M3388" t="str" cm="1">
        <f t="array" ref="M3388">IFERROR(INDEX($I$2:$K$2,0,MATCH(TRUE,I3388:K3388,0)),E3388)</f>
        <v>Hydro_seasonal_storage</v>
      </c>
      <c r="O3388" t="str">
        <f t="shared" si="205"/>
        <v>Hydro_seasonal_storage_2026</v>
      </c>
      <c r="P3388">
        <f t="shared" si="206"/>
        <v>153</v>
      </c>
    </row>
    <row r="3389" spans="4:16" x14ac:dyDescent="0.25">
      <c r="D3389">
        <v>2027</v>
      </c>
      <c r="E3389" t="s">
        <v>126</v>
      </c>
      <c r="F3389" t="s">
        <v>382</v>
      </c>
      <c r="G3389">
        <v>153</v>
      </c>
      <c r="I3389">
        <f t="shared" si="207"/>
        <v>0</v>
      </c>
      <c r="J3389">
        <f t="shared" si="207"/>
        <v>0</v>
      </c>
      <c r="K3389">
        <f t="shared" si="207"/>
        <v>0</v>
      </c>
      <c r="M3389" t="str" cm="1">
        <f t="array" ref="M3389">IFERROR(INDEX($I$2:$K$2,0,MATCH(TRUE,I3389:K3389,0)),E3389)</f>
        <v>Hydro_seasonal_storage</v>
      </c>
      <c r="O3389" t="str">
        <f t="shared" si="205"/>
        <v>Hydro_seasonal_storage_2027</v>
      </c>
      <c r="P3389">
        <f t="shared" si="206"/>
        <v>153</v>
      </c>
    </row>
    <row r="3390" spans="4:16" x14ac:dyDescent="0.25">
      <c r="D3390">
        <v>2028</v>
      </c>
      <c r="E3390" t="s">
        <v>126</v>
      </c>
      <c r="F3390" t="s">
        <v>382</v>
      </c>
      <c r="G3390">
        <v>153</v>
      </c>
      <c r="I3390">
        <f t="shared" si="207"/>
        <v>0</v>
      </c>
      <c r="J3390">
        <f t="shared" si="207"/>
        <v>0</v>
      </c>
      <c r="K3390">
        <f t="shared" si="207"/>
        <v>0</v>
      </c>
      <c r="M3390" t="str" cm="1">
        <f t="array" ref="M3390">IFERROR(INDEX($I$2:$K$2,0,MATCH(TRUE,I3390:K3390,0)),E3390)</f>
        <v>Hydro_seasonal_storage</v>
      </c>
      <c r="O3390" t="str">
        <f t="shared" si="205"/>
        <v>Hydro_seasonal_storage_2028</v>
      </c>
      <c r="P3390">
        <f t="shared" si="206"/>
        <v>153</v>
      </c>
    </row>
    <row r="3391" spans="4:16" x14ac:dyDescent="0.25">
      <c r="D3391">
        <v>2029</v>
      </c>
      <c r="E3391" t="s">
        <v>126</v>
      </c>
      <c r="F3391" t="s">
        <v>382</v>
      </c>
      <c r="G3391">
        <v>153</v>
      </c>
      <c r="I3391">
        <f t="shared" si="207"/>
        <v>0</v>
      </c>
      <c r="J3391">
        <f t="shared" si="207"/>
        <v>0</v>
      </c>
      <c r="K3391">
        <f t="shared" si="207"/>
        <v>0</v>
      </c>
      <c r="M3391" t="str" cm="1">
        <f t="array" ref="M3391">IFERROR(INDEX($I$2:$K$2,0,MATCH(TRUE,I3391:K3391,0)),E3391)</f>
        <v>Hydro_seasonal_storage</v>
      </c>
      <c r="O3391" t="str">
        <f t="shared" si="205"/>
        <v>Hydro_seasonal_storage_2029</v>
      </c>
      <c r="P3391">
        <f t="shared" si="206"/>
        <v>153</v>
      </c>
    </row>
    <row r="3392" spans="4:16" x14ac:dyDescent="0.25">
      <c r="D3392">
        <v>2030</v>
      </c>
      <c r="E3392" t="s">
        <v>126</v>
      </c>
      <c r="F3392" t="s">
        <v>382</v>
      </c>
      <c r="G3392">
        <v>153</v>
      </c>
      <c r="I3392">
        <f t="shared" si="207"/>
        <v>0</v>
      </c>
      <c r="J3392">
        <f t="shared" si="207"/>
        <v>0</v>
      </c>
      <c r="K3392">
        <f t="shared" si="207"/>
        <v>0</v>
      </c>
      <c r="M3392" t="str" cm="1">
        <f t="array" ref="M3392">IFERROR(INDEX($I$2:$K$2,0,MATCH(TRUE,I3392:K3392,0)),E3392)</f>
        <v>Hydro_seasonal_storage</v>
      </c>
      <c r="O3392" t="str">
        <f t="shared" si="205"/>
        <v>Hydro_seasonal_storage_2030</v>
      </c>
      <c r="P3392">
        <f t="shared" si="206"/>
        <v>153</v>
      </c>
    </row>
    <row r="3393" spans="4:16" x14ac:dyDescent="0.25">
      <c r="D3393">
        <v>2031</v>
      </c>
      <c r="E3393" t="s">
        <v>126</v>
      </c>
      <c r="F3393" t="s">
        <v>382</v>
      </c>
      <c r="G3393">
        <v>153</v>
      </c>
      <c r="I3393">
        <f t="shared" si="207"/>
        <v>0</v>
      </c>
      <c r="J3393">
        <f t="shared" si="207"/>
        <v>0</v>
      </c>
      <c r="K3393">
        <f t="shared" si="207"/>
        <v>0</v>
      </c>
      <c r="M3393" t="str" cm="1">
        <f t="array" ref="M3393">IFERROR(INDEX($I$2:$K$2,0,MATCH(TRUE,I3393:K3393,0)),E3393)</f>
        <v>Hydro_seasonal_storage</v>
      </c>
      <c r="O3393" t="str">
        <f t="shared" si="205"/>
        <v>Hydro_seasonal_storage_2031</v>
      </c>
      <c r="P3393">
        <f t="shared" si="206"/>
        <v>153</v>
      </c>
    </row>
    <row r="3394" spans="4:16" x14ac:dyDescent="0.25">
      <c r="D3394">
        <v>2032</v>
      </c>
      <c r="E3394" t="s">
        <v>126</v>
      </c>
      <c r="F3394" t="s">
        <v>382</v>
      </c>
      <c r="G3394">
        <v>153</v>
      </c>
      <c r="I3394">
        <f t="shared" si="207"/>
        <v>0</v>
      </c>
      <c r="J3394">
        <f t="shared" si="207"/>
        <v>0</v>
      </c>
      <c r="K3394">
        <f t="shared" si="207"/>
        <v>0</v>
      </c>
      <c r="M3394" t="str" cm="1">
        <f t="array" ref="M3394">IFERROR(INDEX($I$2:$K$2,0,MATCH(TRUE,I3394:K3394,0)),E3394)</f>
        <v>Hydro_seasonal_storage</v>
      </c>
      <c r="O3394" t="str">
        <f t="shared" si="205"/>
        <v>Hydro_seasonal_storage_2032</v>
      </c>
      <c r="P3394">
        <f t="shared" si="206"/>
        <v>153</v>
      </c>
    </row>
    <row r="3395" spans="4:16" x14ac:dyDescent="0.25">
      <c r="D3395">
        <v>2033</v>
      </c>
      <c r="E3395" t="s">
        <v>126</v>
      </c>
      <c r="F3395" t="s">
        <v>382</v>
      </c>
      <c r="G3395">
        <v>153</v>
      </c>
      <c r="I3395">
        <f t="shared" si="207"/>
        <v>0</v>
      </c>
      <c r="J3395">
        <f t="shared" si="207"/>
        <v>0</v>
      </c>
      <c r="K3395">
        <f t="shared" si="207"/>
        <v>0</v>
      </c>
      <c r="M3395" t="str" cm="1">
        <f t="array" ref="M3395">IFERROR(INDEX($I$2:$K$2,0,MATCH(TRUE,I3395:K3395,0)),E3395)</f>
        <v>Hydro_seasonal_storage</v>
      </c>
      <c r="O3395" t="str">
        <f t="shared" si="205"/>
        <v>Hydro_seasonal_storage_2033</v>
      </c>
      <c r="P3395">
        <f t="shared" si="206"/>
        <v>153</v>
      </c>
    </row>
    <row r="3396" spans="4:16" x14ac:dyDescent="0.25">
      <c r="D3396">
        <v>2034</v>
      </c>
      <c r="E3396" t="s">
        <v>126</v>
      </c>
      <c r="F3396" t="s">
        <v>382</v>
      </c>
      <c r="G3396">
        <v>153</v>
      </c>
      <c r="I3396">
        <f t="shared" si="207"/>
        <v>0</v>
      </c>
      <c r="J3396">
        <f t="shared" si="207"/>
        <v>0</v>
      </c>
      <c r="K3396">
        <f t="shared" si="207"/>
        <v>0</v>
      </c>
      <c r="M3396" t="str" cm="1">
        <f t="array" ref="M3396">IFERROR(INDEX($I$2:$K$2,0,MATCH(TRUE,I3396:K3396,0)),E3396)</f>
        <v>Hydro_seasonal_storage</v>
      </c>
      <c r="O3396" t="str">
        <f t="shared" si="205"/>
        <v>Hydro_seasonal_storage_2034</v>
      </c>
      <c r="P3396">
        <f t="shared" si="206"/>
        <v>153</v>
      </c>
    </row>
    <row r="3397" spans="4:16" x14ac:dyDescent="0.25">
      <c r="D3397">
        <v>2035</v>
      </c>
      <c r="E3397" t="s">
        <v>126</v>
      </c>
      <c r="F3397" t="s">
        <v>382</v>
      </c>
      <c r="G3397">
        <v>153</v>
      </c>
      <c r="I3397">
        <f t="shared" si="207"/>
        <v>0</v>
      </c>
      <c r="J3397">
        <f t="shared" si="207"/>
        <v>0</v>
      </c>
      <c r="K3397">
        <f t="shared" si="207"/>
        <v>0</v>
      </c>
      <c r="M3397" t="str" cm="1">
        <f t="array" ref="M3397">IFERROR(INDEX($I$2:$K$2,0,MATCH(TRUE,I3397:K3397,0)),E3397)</f>
        <v>Hydro_seasonal_storage</v>
      </c>
      <c r="O3397" t="str">
        <f t="shared" si="205"/>
        <v>Hydro_seasonal_storage_2035</v>
      </c>
      <c r="P3397">
        <f t="shared" si="206"/>
        <v>153</v>
      </c>
    </row>
    <row r="3398" spans="4:16" x14ac:dyDescent="0.25">
      <c r="D3398">
        <v>2036</v>
      </c>
      <c r="E3398" t="s">
        <v>126</v>
      </c>
      <c r="F3398" t="s">
        <v>382</v>
      </c>
      <c r="G3398">
        <v>153</v>
      </c>
      <c r="I3398">
        <f t="shared" si="207"/>
        <v>0</v>
      </c>
      <c r="J3398">
        <f t="shared" si="207"/>
        <v>0</v>
      </c>
      <c r="K3398">
        <f t="shared" si="207"/>
        <v>0</v>
      </c>
      <c r="M3398" t="str" cm="1">
        <f t="array" ref="M3398">IFERROR(INDEX($I$2:$K$2,0,MATCH(TRUE,I3398:K3398,0)),E3398)</f>
        <v>Hydro_seasonal_storage</v>
      </c>
      <c r="O3398" t="str">
        <f t="shared" si="205"/>
        <v>Hydro_seasonal_storage_2036</v>
      </c>
      <c r="P3398">
        <f t="shared" si="206"/>
        <v>153</v>
      </c>
    </row>
    <row r="3399" spans="4:16" x14ac:dyDescent="0.25">
      <c r="D3399">
        <v>2037</v>
      </c>
      <c r="E3399" t="s">
        <v>126</v>
      </c>
      <c r="F3399" t="s">
        <v>382</v>
      </c>
      <c r="G3399">
        <v>153</v>
      </c>
      <c r="I3399">
        <f t="shared" si="207"/>
        <v>0</v>
      </c>
      <c r="J3399">
        <f t="shared" si="207"/>
        <v>0</v>
      </c>
      <c r="K3399">
        <f t="shared" si="207"/>
        <v>0</v>
      </c>
      <c r="M3399" t="str" cm="1">
        <f t="array" ref="M3399">IFERROR(INDEX($I$2:$K$2,0,MATCH(TRUE,I3399:K3399,0)),E3399)</f>
        <v>Hydro_seasonal_storage</v>
      </c>
      <c r="O3399" t="str">
        <f t="shared" si="205"/>
        <v>Hydro_seasonal_storage_2037</v>
      </c>
      <c r="P3399">
        <f t="shared" si="206"/>
        <v>153</v>
      </c>
    </row>
    <row r="3400" spans="4:16" x14ac:dyDescent="0.25">
      <c r="D3400">
        <v>2038</v>
      </c>
      <c r="E3400" t="s">
        <v>126</v>
      </c>
      <c r="F3400" t="s">
        <v>382</v>
      </c>
      <c r="G3400">
        <v>153</v>
      </c>
      <c r="I3400">
        <f t="shared" si="207"/>
        <v>0</v>
      </c>
      <c r="J3400">
        <f t="shared" si="207"/>
        <v>0</v>
      </c>
      <c r="K3400">
        <f t="shared" si="207"/>
        <v>0</v>
      </c>
      <c r="M3400" t="str" cm="1">
        <f t="array" ref="M3400">IFERROR(INDEX($I$2:$K$2,0,MATCH(TRUE,I3400:K3400,0)),E3400)</f>
        <v>Hydro_seasonal_storage</v>
      </c>
      <c r="O3400" t="str">
        <f t="shared" si="205"/>
        <v>Hydro_seasonal_storage_2038</v>
      </c>
      <c r="P3400">
        <f t="shared" si="206"/>
        <v>153</v>
      </c>
    </row>
    <row r="3401" spans="4:16" x14ac:dyDescent="0.25">
      <c r="D3401">
        <v>2039</v>
      </c>
      <c r="E3401" t="s">
        <v>126</v>
      </c>
      <c r="F3401" t="s">
        <v>382</v>
      </c>
      <c r="G3401">
        <v>153</v>
      </c>
      <c r="I3401">
        <f t="shared" si="207"/>
        <v>0</v>
      </c>
      <c r="J3401">
        <f t="shared" si="207"/>
        <v>0</v>
      </c>
      <c r="K3401">
        <f t="shared" si="207"/>
        <v>0</v>
      </c>
      <c r="M3401" t="str" cm="1">
        <f t="array" ref="M3401">IFERROR(INDEX($I$2:$K$2,0,MATCH(TRUE,I3401:K3401,0)),E3401)</f>
        <v>Hydro_seasonal_storage</v>
      </c>
      <c r="O3401" t="str">
        <f t="shared" si="205"/>
        <v>Hydro_seasonal_storage_2039</v>
      </c>
      <c r="P3401">
        <f t="shared" si="206"/>
        <v>153</v>
      </c>
    </row>
    <row r="3402" spans="4:16" x14ac:dyDescent="0.25">
      <c r="D3402">
        <v>2040</v>
      </c>
      <c r="E3402" t="s">
        <v>126</v>
      </c>
      <c r="F3402" t="s">
        <v>382</v>
      </c>
      <c r="G3402">
        <v>153</v>
      </c>
      <c r="I3402">
        <f t="shared" si="207"/>
        <v>0</v>
      </c>
      <c r="J3402">
        <f t="shared" si="207"/>
        <v>0</v>
      </c>
      <c r="K3402">
        <f t="shared" si="207"/>
        <v>0</v>
      </c>
      <c r="M3402" t="str" cm="1">
        <f t="array" ref="M3402">IFERROR(INDEX($I$2:$K$2,0,MATCH(TRUE,I3402:K3402,0)),E3402)</f>
        <v>Hydro_seasonal_storage</v>
      </c>
      <c r="O3402" t="str">
        <f t="shared" si="205"/>
        <v>Hydro_seasonal_storage_2040</v>
      </c>
      <c r="P3402">
        <f t="shared" si="206"/>
        <v>153</v>
      </c>
    </row>
    <row r="3403" spans="4:16" x14ac:dyDescent="0.25">
      <c r="D3403">
        <v>2021</v>
      </c>
      <c r="E3403" t="s">
        <v>126</v>
      </c>
      <c r="F3403" t="s">
        <v>383</v>
      </c>
      <c r="G3403">
        <v>160</v>
      </c>
      <c r="I3403">
        <f t="shared" si="207"/>
        <v>0</v>
      </c>
      <c r="J3403">
        <f t="shared" si="207"/>
        <v>0</v>
      </c>
      <c r="K3403">
        <f t="shared" si="207"/>
        <v>0</v>
      </c>
      <c r="M3403" t="str" cm="1">
        <f t="array" ref="M3403">IFERROR(INDEX($I$2:$K$2,0,MATCH(TRUE,I3403:K3403,0)),E3403)</f>
        <v>Hydro_seasonal_storage</v>
      </c>
      <c r="O3403" t="str">
        <f t="shared" si="205"/>
        <v>Hydro_seasonal_storage_2021</v>
      </c>
      <c r="P3403">
        <f t="shared" si="206"/>
        <v>160</v>
      </c>
    </row>
    <row r="3404" spans="4:16" x14ac:dyDescent="0.25">
      <c r="D3404">
        <v>2022</v>
      </c>
      <c r="E3404" t="s">
        <v>126</v>
      </c>
      <c r="F3404" t="s">
        <v>383</v>
      </c>
      <c r="G3404">
        <v>160</v>
      </c>
      <c r="I3404">
        <f t="shared" si="207"/>
        <v>0</v>
      </c>
      <c r="J3404">
        <f t="shared" si="207"/>
        <v>0</v>
      </c>
      <c r="K3404">
        <f t="shared" si="207"/>
        <v>0</v>
      </c>
      <c r="M3404" t="str" cm="1">
        <f t="array" ref="M3404">IFERROR(INDEX($I$2:$K$2,0,MATCH(TRUE,I3404:K3404,0)),E3404)</f>
        <v>Hydro_seasonal_storage</v>
      </c>
      <c r="O3404" t="str">
        <f t="shared" si="205"/>
        <v>Hydro_seasonal_storage_2022</v>
      </c>
      <c r="P3404">
        <f t="shared" si="206"/>
        <v>160</v>
      </c>
    </row>
    <row r="3405" spans="4:16" x14ac:dyDescent="0.25">
      <c r="D3405">
        <v>2023</v>
      </c>
      <c r="E3405" t="s">
        <v>126</v>
      </c>
      <c r="F3405" t="s">
        <v>383</v>
      </c>
      <c r="G3405">
        <v>160</v>
      </c>
      <c r="I3405">
        <f t="shared" si="207"/>
        <v>0</v>
      </c>
      <c r="J3405">
        <f t="shared" si="207"/>
        <v>0</v>
      </c>
      <c r="K3405">
        <f t="shared" si="207"/>
        <v>0</v>
      </c>
      <c r="M3405" t="str" cm="1">
        <f t="array" ref="M3405">IFERROR(INDEX($I$2:$K$2,0,MATCH(TRUE,I3405:K3405,0)),E3405)</f>
        <v>Hydro_seasonal_storage</v>
      </c>
      <c r="O3405" t="str">
        <f t="shared" si="205"/>
        <v>Hydro_seasonal_storage_2023</v>
      </c>
      <c r="P3405">
        <f t="shared" si="206"/>
        <v>160</v>
      </c>
    </row>
    <row r="3406" spans="4:16" x14ac:dyDescent="0.25">
      <c r="D3406">
        <v>2024</v>
      </c>
      <c r="E3406" t="s">
        <v>126</v>
      </c>
      <c r="F3406" t="s">
        <v>383</v>
      </c>
      <c r="G3406">
        <v>160</v>
      </c>
      <c r="I3406">
        <f t="shared" si="207"/>
        <v>0</v>
      </c>
      <c r="J3406">
        <f t="shared" si="207"/>
        <v>0</v>
      </c>
      <c r="K3406">
        <f t="shared" si="207"/>
        <v>0</v>
      </c>
      <c r="M3406" t="str" cm="1">
        <f t="array" ref="M3406">IFERROR(INDEX($I$2:$K$2,0,MATCH(TRUE,I3406:K3406,0)),E3406)</f>
        <v>Hydro_seasonal_storage</v>
      </c>
      <c r="O3406" t="str">
        <f t="shared" si="205"/>
        <v>Hydro_seasonal_storage_2024</v>
      </c>
      <c r="P3406">
        <f t="shared" si="206"/>
        <v>160</v>
      </c>
    </row>
    <row r="3407" spans="4:16" x14ac:dyDescent="0.25">
      <c r="D3407">
        <v>2025</v>
      </c>
      <c r="E3407" t="s">
        <v>126</v>
      </c>
      <c r="F3407" t="s">
        <v>383</v>
      </c>
      <c r="G3407">
        <v>160</v>
      </c>
      <c r="I3407">
        <f t="shared" si="207"/>
        <v>0</v>
      </c>
      <c r="J3407">
        <f t="shared" si="207"/>
        <v>0</v>
      </c>
      <c r="K3407">
        <f t="shared" si="207"/>
        <v>0</v>
      </c>
      <c r="M3407" t="str" cm="1">
        <f t="array" ref="M3407">IFERROR(INDEX($I$2:$K$2,0,MATCH(TRUE,I3407:K3407,0)),E3407)</f>
        <v>Hydro_seasonal_storage</v>
      </c>
      <c r="O3407" t="str">
        <f t="shared" si="205"/>
        <v>Hydro_seasonal_storage_2025</v>
      </c>
      <c r="P3407">
        <f t="shared" si="206"/>
        <v>160</v>
      </c>
    </row>
    <row r="3408" spans="4:16" x14ac:dyDescent="0.25">
      <c r="D3408">
        <v>2026</v>
      </c>
      <c r="E3408" t="s">
        <v>126</v>
      </c>
      <c r="F3408" t="s">
        <v>383</v>
      </c>
      <c r="G3408">
        <v>160</v>
      </c>
      <c r="I3408">
        <f t="shared" si="207"/>
        <v>0</v>
      </c>
      <c r="J3408">
        <f t="shared" si="207"/>
        <v>0</v>
      </c>
      <c r="K3408">
        <f t="shared" si="207"/>
        <v>0</v>
      </c>
      <c r="M3408" t="str" cm="1">
        <f t="array" ref="M3408">IFERROR(INDEX($I$2:$K$2,0,MATCH(TRUE,I3408:K3408,0)),E3408)</f>
        <v>Hydro_seasonal_storage</v>
      </c>
      <c r="O3408" t="str">
        <f t="shared" si="205"/>
        <v>Hydro_seasonal_storage_2026</v>
      </c>
      <c r="P3408">
        <f t="shared" si="206"/>
        <v>160</v>
      </c>
    </row>
    <row r="3409" spans="4:16" x14ac:dyDescent="0.25">
      <c r="D3409">
        <v>2027</v>
      </c>
      <c r="E3409" t="s">
        <v>126</v>
      </c>
      <c r="F3409" t="s">
        <v>383</v>
      </c>
      <c r="G3409">
        <v>160</v>
      </c>
      <c r="I3409">
        <f t="shared" si="207"/>
        <v>0</v>
      </c>
      <c r="J3409">
        <f t="shared" si="207"/>
        <v>0</v>
      </c>
      <c r="K3409">
        <f t="shared" si="207"/>
        <v>0</v>
      </c>
      <c r="M3409" t="str" cm="1">
        <f t="array" ref="M3409">IFERROR(INDEX($I$2:$K$2,0,MATCH(TRUE,I3409:K3409,0)),E3409)</f>
        <v>Hydro_seasonal_storage</v>
      </c>
      <c r="O3409" t="str">
        <f t="shared" si="205"/>
        <v>Hydro_seasonal_storage_2027</v>
      </c>
      <c r="P3409">
        <f t="shared" si="206"/>
        <v>160</v>
      </c>
    </row>
    <row r="3410" spans="4:16" x14ac:dyDescent="0.25">
      <c r="D3410">
        <v>2028</v>
      </c>
      <c r="E3410" t="s">
        <v>126</v>
      </c>
      <c r="F3410" t="s">
        <v>383</v>
      </c>
      <c r="G3410">
        <v>160</v>
      </c>
      <c r="I3410">
        <f t="shared" si="207"/>
        <v>0</v>
      </c>
      <c r="J3410">
        <f t="shared" si="207"/>
        <v>0</v>
      </c>
      <c r="K3410">
        <f t="shared" si="207"/>
        <v>0</v>
      </c>
      <c r="M3410" t="str" cm="1">
        <f t="array" ref="M3410">IFERROR(INDEX($I$2:$K$2,0,MATCH(TRUE,I3410:K3410,0)),E3410)</f>
        <v>Hydro_seasonal_storage</v>
      </c>
      <c r="O3410" t="str">
        <f t="shared" si="205"/>
        <v>Hydro_seasonal_storage_2028</v>
      </c>
      <c r="P3410">
        <f t="shared" si="206"/>
        <v>160</v>
      </c>
    </row>
    <row r="3411" spans="4:16" x14ac:dyDescent="0.25">
      <c r="D3411">
        <v>2029</v>
      </c>
      <c r="E3411" t="s">
        <v>126</v>
      </c>
      <c r="F3411" t="s">
        <v>383</v>
      </c>
      <c r="G3411">
        <v>160</v>
      </c>
      <c r="I3411">
        <f t="shared" si="207"/>
        <v>0</v>
      </c>
      <c r="J3411">
        <f t="shared" si="207"/>
        <v>0</v>
      </c>
      <c r="K3411">
        <f t="shared" si="207"/>
        <v>0</v>
      </c>
      <c r="M3411" t="str" cm="1">
        <f t="array" ref="M3411">IFERROR(INDEX($I$2:$K$2,0,MATCH(TRUE,I3411:K3411,0)),E3411)</f>
        <v>Hydro_seasonal_storage</v>
      </c>
      <c r="O3411" t="str">
        <f t="shared" ref="O3411:O3474" si="208">M3411&amp;"_"&amp;D3411</f>
        <v>Hydro_seasonal_storage_2029</v>
      </c>
      <c r="P3411">
        <f t="shared" ref="P3411:P3474" si="209">G3411</f>
        <v>160</v>
      </c>
    </row>
    <row r="3412" spans="4:16" x14ac:dyDescent="0.25">
      <c r="D3412">
        <v>2030</v>
      </c>
      <c r="E3412" t="s">
        <v>126</v>
      </c>
      <c r="F3412" t="s">
        <v>383</v>
      </c>
      <c r="G3412">
        <v>160</v>
      </c>
      <c r="I3412">
        <f t="shared" si="207"/>
        <v>0</v>
      </c>
      <c r="J3412">
        <f t="shared" si="207"/>
        <v>0</v>
      </c>
      <c r="K3412">
        <f t="shared" si="207"/>
        <v>0</v>
      </c>
      <c r="M3412" t="str" cm="1">
        <f t="array" ref="M3412">IFERROR(INDEX($I$2:$K$2,0,MATCH(TRUE,I3412:K3412,0)),E3412)</f>
        <v>Hydro_seasonal_storage</v>
      </c>
      <c r="O3412" t="str">
        <f t="shared" si="208"/>
        <v>Hydro_seasonal_storage_2030</v>
      </c>
      <c r="P3412">
        <f t="shared" si="209"/>
        <v>160</v>
      </c>
    </row>
    <row r="3413" spans="4:16" x14ac:dyDescent="0.25">
      <c r="D3413">
        <v>2031</v>
      </c>
      <c r="E3413" t="s">
        <v>126</v>
      </c>
      <c r="F3413" t="s">
        <v>383</v>
      </c>
      <c r="G3413">
        <v>160</v>
      </c>
      <c r="I3413">
        <f t="shared" ref="I3413:K3476" si="210">IFERROR(FIND(I$2,$E3413,1)&gt;0,0)</f>
        <v>0</v>
      </c>
      <c r="J3413">
        <f t="shared" si="210"/>
        <v>0</v>
      </c>
      <c r="K3413">
        <f t="shared" si="210"/>
        <v>0</v>
      </c>
      <c r="M3413" t="str" cm="1">
        <f t="array" ref="M3413">IFERROR(INDEX($I$2:$K$2,0,MATCH(TRUE,I3413:K3413,0)),E3413)</f>
        <v>Hydro_seasonal_storage</v>
      </c>
      <c r="O3413" t="str">
        <f t="shared" si="208"/>
        <v>Hydro_seasonal_storage_2031</v>
      </c>
      <c r="P3413">
        <f t="shared" si="209"/>
        <v>160</v>
      </c>
    </row>
    <row r="3414" spans="4:16" x14ac:dyDescent="0.25">
      <c r="D3414">
        <v>2032</v>
      </c>
      <c r="E3414" t="s">
        <v>126</v>
      </c>
      <c r="F3414" t="s">
        <v>383</v>
      </c>
      <c r="G3414">
        <v>160</v>
      </c>
      <c r="I3414">
        <f t="shared" si="210"/>
        <v>0</v>
      </c>
      <c r="J3414">
        <f t="shared" si="210"/>
        <v>0</v>
      </c>
      <c r="K3414">
        <f t="shared" si="210"/>
        <v>0</v>
      </c>
      <c r="M3414" t="str" cm="1">
        <f t="array" ref="M3414">IFERROR(INDEX($I$2:$K$2,0,MATCH(TRUE,I3414:K3414,0)),E3414)</f>
        <v>Hydro_seasonal_storage</v>
      </c>
      <c r="O3414" t="str">
        <f t="shared" si="208"/>
        <v>Hydro_seasonal_storage_2032</v>
      </c>
      <c r="P3414">
        <f t="shared" si="209"/>
        <v>160</v>
      </c>
    </row>
    <row r="3415" spans="4:16" x14ac:dyDescent="0.25">
      <c r="D3415">
        <v>2033</v>
      </c>
      <c r="E3415" t="s">
        <v>126</v>
      </c>
      <c r="F3415" t="s">
        <v>383</v>
      </c>
      <c r="G3415">
        <v>160</v>
      </c>
      <c r="I3415">
        <f t="shared" si="210"/>
        <v>0</v>
      </c>
      <c r="J3415">
        <f t="shared" si="210"/>
        <v>0</v>
      </c>
      <c r="K3415">
        <f t="shared" si="210"/>
        <v>0</v>
      </c>
      <c r="M3415" t="str" cm="1">
        <f t="array" ref="M3415">IFERROR(INDEX($I$2:$K$2,0,MATCH(TRUE,I3415:K3415,0)),E3415)</f>
        <v>Hydro_seasonal_storage</v>
      </c>
      <c r="O3415" t="str">
        <f t="shared" si="208"/>
        <v>Hydro_seasonal_storage_2033</v>
      </c>
      <c r="P3415">
        <f t="shared" si="209"/>
        <v>160</v>
      </c>
    </row>
    <row r="3416" spans="4:16" x14ac:dyDescent="0.25">
      <c r="D3416">
        <v>2034</v>
      </c>
      <c r="E3416" t="s">
        <v>126</v>
      </c>
      <c r="F3416" t="s">
        <v>383</v>
      </c>
      <c r="G3416">
        <v>160</v>
      </c>
      <c r="I3416">
        <f t="shared" si="210"/>
        <v>0</v>
      </c>
      <c r="J3416">
        <f t="shared" si="210"/>
        <v>0</v>
      </c>
      <c r="K3416">
        <f t="shared" si="210"/>
        <v>0</v>
      </c>
      <c r="M3416" t="str" cm="1">
        <f t="array" ref="M3416">IFERROR(INDEX($I$2:$K$2,0,MATCH(TRUE,I3416:K3416,0)),E3416)</f>
        <v>Hydro_seasonal_storage</v>
      </c>
      <c r="O3416" t="str">
        <f t="shared" si="208"/>
        <v>Hydro_seasonal_storage_2034</v>
      </c>
      <c r="P3416">
        <f t="shared" si="209"/>
        <v>160</v>
      </c>
    </row>
    <row r="3417" spans="4:16" x14ac:dyDescent="0.25">
      <c r="D3417">
        <v>2035</v>
      </c>
      <c r="E3417" t="s">
        <v>126</v>
      </c>
      <c r="F3417" t="s">
        <v>383</v>
      </c>
      <c r="G3417">
        <v>160</v>
      </c>
      <c r="I3417">
        <f t="shared" si="210"/>
        <v>0</v>
      </c>
      <c r="J3417">
        <f t="shared" si="210"/>
        <v>0</v>
      </c>
      <c r="K3417">
        <f t="shared" si="210"/>
        <v>0</v>
      </c>
      <c r="M3417" t="str" cm="1">
        <f t="array" ref="M3417">IFERROR(INDEX($I$2:$K$2,0,MATCH(TRUE,I3417:K3417,0)),E3417)</f>
        <v>Hydro_seasonal_storage</v>
      </c>
      <c r="O3417" t="str">
        <f t="shared" si="208"/>
        <v>Hydro_seasonal_storage_2035</v>
      </c>
      <c r="P3417">
        <f t="shared" si="209"/>
        <v>160</v>
      </c>
    </row>
    <row r="3418" spans="4:16" x14ac:dyDescent="0.25">
      <c r="D3418">
        <v>2036</v>
      </c>
      <c r="E3418" t="s">
        <v>126</v>
      </c>
      <c r="F3418" t="s">
        <v>383</v>
      </c>
      <c r="G3418">
        <v>160</v>
      </c>
      <c r="I3418">
        <f t="shared" si="210"/>
        <v>0</v>
      </c>
      <c r="J3418">
        <f t="shared" si="210"/>
        <v>0</v>
      </c>
      <c r="K3418">
        <f t="shared" si="210"/>
        <v>0</v>
      </c>
      <c r="M3418" t="str" cm="1">
        <f t="array" ref="M3418">IFERROR(INDEX($I$2:$K$2,0,MATCH(TRUE,I3418:K3418,0)),E3418)</f>
        <v>Hydro_seasonal_storage</v>
      </c>
      <c r="O3418" t="str">
        <f t="shared" si="208"/>
        <v>Hydro_seasonal_storage_2036</v>
      </c>
      <c r="P3418">
        <f t="shared" si="209"/>
        <v>160</v>
      </c>
    </row>
    <row r="3419" spans="4:16" x14ac:dyDescent="0.25">
      <c r="D3419">
        <v>2037</v>
      </c>
      <c r="E3419" t="s">
        <v>126</v>
      </c>
      <c r="F3419" t="s">
        <v>383</v>
      </c>
      <c r="G3419">
        <v>160</v>
      </c>
      <c r="I3419">
        <f t="shared" si="210"/>
        <v>0</v>
      </c>
      <c r="J3419">
        <f t="shared" si="210"/>
        <v>0</v>
      </c>
      <c r="K3419">
        <f t="shared" si="210"/>
        <v>0</v>
      </c>
      <c r="M3419" t="str" cm="1">
        <f t="array" ref="M3419">IFERROR(INDEX($I$2:$K$2,0,MATCH(TRUE,I3419:K3419,0)),E3419)</f>
        <v>Hydro_seasonal_storage</v>
      </c>
      <c r="O3419" t="str">
        <f t="shared" si="208"/>
        <v>Hydro_seasonal_storage_2037</v>
      </c>
      <c r="P3419">
        <f t="shared" si="209"/>
        <v>160</v>
      </c>
    </row>
    <row r="3420" spans="4:16" x14ac:dyDescent="0.25">
      <c r="D3420">
        <v>2038</v>
      </c>
      <c r="E3420" t="s">
        <v>126</v>
      </c>
      <c r="F3420" t="s">
        <v>383</v>
      </c>
      <c r="G3420">
        <v>160</v>
      </c>
      <c r="I3420">
        <f t="shared" si="210"/>
        <v>0</v>
      </c>
      <c r="J3420">
        <f t="shared" si="210"/>
        <v>0</v>
      </c>
      <c r="K3420">
        <f t="shared" si="210"/>
        <v>0</v>
      </c>
      <c r="M3420" t="str" cm="1">
        <f t="array" ref="M3420">IFERROR(INDEX($I$2:$K$2,0,MATCH(TRUE,I3420:K3420,0)),E3420)</f>
        <v>Hydro_seasonal_storage</v>
      </c>
      <c r="O3420" t="str">
        <f t="shared" si="208"/>
        <v>Hydro_seasonal_storage_2038</v>
      </c>
      <c r="P3420">
        <f t="shared" si="209"/>
        <v>160</v>
      </c>
    </row>
    <row r="3421" spans="4:16" x14ac:dyDescent="0.25">
      <c r="D3421">
        <v>2039</v>
      </c>
      <c r="E3421" t="s">
        <v>126</v>
      </c>
      <c r="F3421" t="s">
        <v>383</v>
      </c>
      <c r="G3421">
        <v>160</v>
      </c>
      <c r="I3421">
        <f t="shared" si="210"/>
        <v>0</v>
      </c>
      <c r="J3421">
        <f t="shared" si="210"/>
        <v>0</v>
      </c>
      <c r="K3421">
        <f t="shared" si="210"/>
        <v>0</v>
      </c>
      <c r="M3421" t="str" cm="1">
        <f t="array" ref="M3421">IFERROR(INDEX($I$2:$K$2,0,MATCH(TRUE,I3421:K3421,0)),E3421)</f>
        <v>Hydro_seasonal_storage</v>
      </c>
      <c r="O3421" t="str">
        <f t="shared" si="208"/>
        <v>Hydro_seasonal_storage_2039</v>
      </c>
      <c r="P3421">
        <f t="shared" si="209"/>
        <v>160</v>
      </c>
    </row>
    <row r="3422" spans="4:16" x14ac:dyDescent="0.25">
      <c r="D3422">
        <v>2040</v>
      </c>
      <c r="E3422" t="s">
        <v>126</v>
      </c>
      <c r="F3422" t="s">
        <v>383</v>
      </c>
      <c r="G3422">
        <v>160</v>
      </c>
      <c r="I3422">
        <f t="shared" si="210"/>
        <v>0</v>
      </c>
      <c r="J3422">
        <f t="shared" si="210"/>
        <v>0</v>
      </c>
      <c r="K3422">
        <f t="shared" si="210"/>
        <v>0</v>
      </c>
      <c r="M3422" t="str" cm="1">
        <f t="array" ref="M3422">IFERROR(INDEX($I$2:$K$2,0,MATCH(TRUE,I3422:K3422,0)),E3422)</f>
        <v>Hydro_seasonal_storage</v>
      </c>
      <c r="O3422" t="str">
        <f t="shared" si="208"/>
        <v>Hydro_seasonal_storage_2040</v>
      </c>
      <c r="P3422">
        <f t="shared" si="209"/>
        <v>160</v>
      </c>
    </row>
    <row r="3423" spans="4:16" x14ac:dyDescent="0.25">
      <c r="D3423">
        <v>2021</v>
      </c>
      <c r="E3423" t="s">
        <v>126</v>
      </c>
      <c r="F3423" t="s">
        <v>384</v>
      </c>
      <c r="G3423">
        <v>100</v>
      </c>
      <c r="I3423">
        <f t="shared" si="210"/>
        <v>0</v>
      </c>
      <c r="J3423">
        <f t="shared" si="210"/>
        <v>0</v>
      </c>
      <c r="K3423">
        <f t="shared" si="210"/>
        <v>0</v>
      </c>
      <c r="M3423" t="str" cm="1">
        <f t="array" ref="M3423">IFERROR(INDEX($I$2:$K$2,0,MATCH(TRUE,I3423:K3423,0)),E3423)</f>
        <v>Hydro_seasonal_storage</v>
      </c>
      <c r="O3423" t="str">
        <f t="shared" si="208"/>
        <v>Hydro_seasonal_storage_2021</v>
      </c>
      <c r="P3423">
        <f t="shared" si="209"/>
        <v>100</v>
      </c>
    </row>
    <row r="3424" spans="4:16" x14ac:dyDescent="0.25">
      <c r="D3424">
        <v>2022</v>
      </c>
      <c r="E3424" t="s">
        <v>126</v>
      </c>
      <c r="F3424" t="s">
        <v>384</v>
      </c>
      <c r="G3424">
        <v>100</v>
      </c>
      <c r="I3424">
        <f t="shared" si="210"/>
        <v>0</v>
      </c>
      <c r="J3424">
        <f t="shared" si="210"/>
        <v>0</v>
      </c>
      <c r="K3424">
        <f t="shared" si="210"/>
        <v>0</v>
      </c>
      <c r="M3424" t="str" cm="1">
        <f t="array" ref="M3424">IFERROR(INDEX($I$2:$K$2,0,MATCH(TRUE,I3424:K3424,0)),E3424)</f>
        <v>Hydro_seasonal_storage</v>
      </c>
      <c r="O3424" t="str">
        <f t="shared" si="208"/>
        <v>Hydro_seasonal_storage_2022</v>
      </c>
      <c r="P3424">
        <f t="shared" si="209"/>
        <v>100</v>
      </c>
    </row>
    <row r="3425" spans="4:16" x14ac:dyDescent="0.25">
      <c r="D3425">
        <v>2023</v>
      </c>
      <c r="E3425" t="s">
        <v>126</v>
      </c>
      <c r="F3425" t="s">
        <v>384</v>
      </c>
      <c r="G3425">
        <v>100</v>
      </c>
      <c r="I3425">
        <f t="shared" si="210"/>
        <v>0</v>
      </c>
      <c r="J3425">
        <f t="shared" si="210"/>
        <v>0</v>
      </c>
      <c r="K3425">
        <f t="shared" si="210"/>
        <v>0</v>
      </c>
      <c r="M3425" t="str" cm="1">
        <f t="array" ref="M3425">IFERROR(INDEX($I$2:$K$2,0,MATCH(TRUE,I3425:K3425,0)),E3425)</f>
        <v>Hydro_seasonal_storage</v>
      </c>
      <c r="O3425" t="str">
        <f t="shared" si="208"/>
        <v>Hydro_seasonal_storage_2023</v>
      </c>
      <c r="P3425">
        <f t="shared" si="209"/>
        <v>100</v>
      </c>
    </row>
    <row r="3426" spans="4:16" x14ac:dyDescent="0.25">
      <c r="D3426">
        <v>2024</v>
      </c>
      <c r="E3426" t="s">
        <v>126</v>
      </c>
      <c r="F3426" t="s">
        <v>384</v>
      </c>
      <c r="G3426">
        <v>100</v>
      </c>
      <c r="I3426">
        <f t="shared" si="210"/>
        <v>0</v>
      </c>
      <c r="J3426">
        <f t="shared" si="210"/>
        <v>0</v>
      </c>
      <c r="K3426">
        <f t="shared" si="210"/>
        <v>0</v>
      </c>
      <c r="M3426" t="str" cm="1">
        <f t="array" ref="M3426">IFERROR(INDEX($I$2:$K$2,0,MATCH(TRUE,I3426:K3426,0)),E3426)</f>
        <v>Hydro_seasonal_storage</v>
      </c>
      <c r="O3426" t="str">
        <f t="shared" si="208"/>
        <v>Hydro_seasonal_storage_2024</v>
      </c>
      <c r="P3426">
        <f t="shared" si="209"/>
        <v>100</v>
      </c>
    </row>
    <row r="3427" spans="4:16" x14ac:dyDescent="0.25">
      <c r="D3427">
        <v>2025</v>
      </c>
      <c r="E3427" t="s">
        <v>126</v>
      </c>
      <c r="F3427" t="s">
        <v>384</v>
      </c>
      <c r="G3427">
        <v>100</v>
      </c>
      <c r="I3427">
        <f t="shared" si="210"/>
        <v>0</v>
      </c>
      <c r="J3427">
        <f t="shared" si="210"/>
        <v>0</v>
      </c>
      <c r="K3427">
        <f t="shared" si="210"/>
        <v>0</v>
      </c>
      <c r="M3427" t="str" cm="1">
        <f t="array" ref="M3427">IFERROR(INDEX($I$2:$K$2,0,MATCH(TRUE,I3427:K3427,0)),E3427)</f>
        <v>Hydro_seasonal_storage</v>
      </c>
      <c r="O3427" t="str">
        <f t="shared" si="208"/>
        <v>Hydro_seasonal_storage_2025</v>
      </c>
      <c r="P3427">
        <f t="shared" si="209"/>
        <v>100</v>
      </c>
    </row>
    <row r="3428" spans="4:16" x14ac:dyDescent="0.25">
      <c r="D3428">
        <v>2026</v>
      </c>
      <c r="E3428" t="s">
        <v>126</v>
      </c>
      <c r="F3428" t="s">
        <v>384</v>
      </c>
      <c r="G3428">
        <v>100</v>
      </c>
      <c r="I3428">
        <f t="shared" si="210"/>
        <v>0</v>
      </c>
      <c r="J3428">
        <f t="shared" si="210"/>
        <v>0</v>
      </c>
      <c r="K3428">
        <f t="shared" si="210"/>
        <v>0</v>
      </c>
      <c r="M3428" t="str" cm="1">
        <f t="array" ref="M3428">IFERROR(INDEX($I$2:$K$2,0,MATCH(TRUE,I3428:K3428,0)),E3428)</f>
        <v>Hydro_seasonal_storage</v>
      </c>
      <c r="O3428" t="str">
        <f t="shared" si="208"/>
        <v>Hydro_seasonal_storage_2026</v>
      </c>
      <c r="P3428">
        <f t="shared" si="209"/>
        <v>100</v>
      </c>
    </row>
    <row r="3429" spans="4:16" x14ac:dyDescent="0.25">
      <c r="D3429">
        <v>2027</v>
      </c>
      <c r="E3429" t="s">
        <v>126</v>
      </c>
      <c r="F3429" t="s">
        <v>384</v>
      </c>
      <c r="G3429">
        <v>100</v>
      </c>
      <c r="I3429">
        <f t="shared" si="210"/>
        <v>0</v>
      </c>
      <c r="J3429">
        <f t="shared" si="210"/>
        <v>0</v>
      </c>
      <c r="K3429">
        <f t="shared" si="210"/>
        <v>0</v>
      </c>
      <c r="M3429" t="str" cm="1">
        <f t="array" ref="M3429">IFERROR(INDEX($I$2:$K$2,0,MATCH(TRUE,I3429:K3429,0)),E3429)</f>
        <v>Hydro_seasonal_storage</v>
      </c>
      <c r="O3429" t="str">
        <f t="shared" si="208"/>
        <v>Hydro_seasonal_storage_2027</v>
      </c>
      <c r="P3429">
        <f t="shared" si="209"/>
        <v>100</v>
      </c>
    </row>
    <row r="3430" spans="4:16" x14ac:dyDescent="0.25">
      <c r="D3430">
        <v>2028</v>
      </c>
      <c r="E3430" t="s">
        <v>126</v>
      </c>
      <c r="F3430" t="s">
        <v>384</v>
      </c>
      <c r="G3430">
        <v>100</v>
      </c>
      <c r="I3430">
        <f t="shared" si="210"/>
        <v>0</v>
      </c>
      <c r="J3430">
        <f t="shared" si="210"/>
        <v>0</v>
      </c>
      <c r="K3430">
        <f t="shared" si="210"/>
        <v>0</v>
      </c>
      <c r="M3430" t="str" cm="1">
        <f t="array" ref="M3430">IFERROR(INDEX($I$2:$K$2,0,MATCH(TRUE,I3430:K3430,0)),E3430)</f>
        <v>Hydro_seasonal_storage</v>
      </c>
      <c r="O3430" t="str">
        <f t="shared" si="208"/>
        <v>Hydro_seasonal_storage_2028</v>
      </c>
      <c r="P3430">
        <f t="shared" si="209"/>
        <v>100</v>
      </c>
    </row>
    <row r="3431" spans="4:16" x14ac:dyDescent="0.25">
      <c r="D3431">
        <v>2029</v>
      </c>
      <c r="E3431" t="s">
        <v>126</v>
      </c>
      <c r="F3431" t="s">
        <v>384</v>
      </c>
      <c r="G3431">
        <v>100</v>
      </c>
      <c r="I3431">
        <f t="shared" si="210"/>
        <v>0</v>
      </c>
      <c r="J3431">
        <f t="shared" si="210"/>
        <v>0</v>
      </c>
      <c r="K3431">
        <f t="shared" si="210"/>
        <v>0</v>
      </c>
      <c r="M3431" t="str" cm="1">
        <f t="array" ref="M3431">IFERROR(INDEX($I$2:$K$2,0,MATCH(TRUE,I3431:K3431,0)),E3431)</f>
        <v>Hydro_seasonal_storage</v>
      </c>
      <c r="O3431" t="str">
        <f t="shared" si="208"/>
        <v>Hydro_seasonal_storage_2029</v>
      </c>
      <c r="P3431">
        <f t="shared" si="209"/>
        <v>100</v>
      </c>
    </row>
    <row r="3432" spans="4:16" x14ac:dyDescent="0.25">
      <c r="D3432">
        <v>2030</v>
      </c>
      <c r="E3432" t="s">
        <v>126</v>
      </c>
      <c r="F3432" t="s">
        <v>384</v>
      </c>
      <c r="G3432">
        <v>100</v>
      </c>
      <c r="I3432">
        <f t="shared" si="210"/>
        <v>0</v>
      </c>
      <c r="J3432">
        <f t="shared" si="210"/>
        <v>0</v>
      </c>
      <c r="K3432">
        <f t="shared" si="210"/>
        <v>0</v>
      </c>
      <c r="M3432" t="str" cm="1">
        <f t="array" ref="M3432">IFERROR(INDEX($I$2:$K$2,0,MATCH(TRUE,I3432:K3432,0)),E3432)</f>
        <v>Hydro_seasonal_storage</v>
      </c>
      <c r="O3432" t="str">
        <f t="shared" si="208"/>
        <v>Hydro_seasonal_storage_2030</v>
      </c>
      <c r="P3432">
        <f t="shared" si="209"/>
        <v>100</v>
      </c>
    </row>
    <row r="3433" spans="4:16" x14ac:dyDescent="0.25">
      <c r="D3433">
        <v>2031</v>
      </c>
      <c r="E3433" t="s">
        <v>126</v>
      </c>
      <c r="F3433" t="s">
        <v>384</v>
      </c>
      <c r="G3433">
        <v>100</v>
      </c>
      <c r="I3433">
        <f t="shared" si="210"/>
        <v>0</v>
      </c>
      <c r="J3433">
        <f t="shared" si="210"/>
        <v>0</v>
      </c>
      <c r="K3433">
        <f t="shared" si="210"/>
        <v>0</v>
      </c>
      <c r="M3433" t="str" cm="1">
        <f t="array" ref="M3433">IFERROR(INDEX($I$2:$K$2,0,MATCH(TRUE,I3433:K3433,0)),E3433)</f>
        <v>Hydro_seasonal_storage</v>
      </c>
      <c r="O3433" t="str">
        <f t="shared" si="208"/>
        <v>Hydro_seasonal_storage_2031</v>
      </c>
      <c r="P3433">
        <f t="shared" si="209"/>
        <v>100</v>
      </c>
    </row>
    <row r="3434" spans="4:16" x14ac:dyDescent="0.25">
      <c r="D3434">
        <v>2032</v>
      </c>
      <c r="E3434" t="s">
        <v>126</v>
      </c>
      <c r="F3434" t="s">
        <v>384</v>
      </c>
      <c r="G3434">
        <v>100</v>
      </c>
      <c r="I3434">
        <f t="shared" si="210"/>
        <v>0</v>
      </c>
      <c r="J3434">
        <f t="shared" si="210"/>
        <v>0</v>
      </c>
      <c r="K3434">
        <f t="shared" si="210"/>
        <v>0</v>
      </c>
      <c r="M3434" t="str" cm="1">
        <f t="array" ref="M3434">IFERROR(INDEX($I$2:$K$2,0,MATCH(TRUE,I3434:K3434,0)),E3434)</f>
        <v>Hydro_seasonal_storage</v>
      </c>
      <c r="O3434" t="str">
        <f t="shared" si="208"/>
        <v>Hydro_seasonal_storage_2032</v>
      </c>
      <c r="P3434">
        <f t="shared" si="209"/>
        <v>100</v>
      </c>
    </row>
    <row r="3435" spans="4:16" x14ac:dyDescent="0.25">
      <c r="D3435">
        <v>2033</v>
      </c>
      <c r="E3435" t="s">
        <v>126</v>
      </c>
      <c r="F3435" t="s">
        <v>384</v>
      </c>
      <c r="G3435">
        <v>100</v>
      </c>
      <c r="I3435">
        <f t="shared" si="210"/>
        <v>0</v>
      </c>
      <c r="J3435">
        <f t="shared" si="210"/>
        <v>0</v>
      </c>
      <c r="K3435">
        <f t="shared" si="210"/>
        <v>0</v>
      </c>
      <c r="M3435" t="str" cm="1">
        <f t="array" ref="M3435">IFERROR(INDEX($I$2:$K$2,0,MATCH(TRUE,I3435:K3435,0)),E3435)</f>
        <v>Hydro_seasonal_storage</v>
      </c>
      <c r="O3435" t="str">
        <f t="shared" si="208"/>
        <v>Hydro_seasonal_storage_2033</v>
      </c>
      <c r="P3435">
        <f t="shared" si="209"/>
        <v>100</v>
      </c>
    </row>
    <row r="3436" spans="4:16" x14ac:dyDescent="0.25">
      <c r="D3436">
        <v>2034</v>
      </c>
      <c r="E3436" t="s">
        <v>126</v>
      </c>
      <c r="F3436" t="s">
        <v>384</v>
      </c>
      <c r="G3436">
        <v>100</v>
      </c>
      <c r="I3436">
        <f t="shared" si="210"/>
        <v>0</v>
      </c>
      <c r="J3436">
        <f t="shared" si="210"/>
        <v>0</v>
      </c>
      <c r="K3436">
        <f t="shared" si="210"/>
        <v>0</v>
      </c>
      <c r="M3436" t="str" cm="1">
        <f t="array" ref="M3436">IFERROR(INDEX($I$2:$K$2,0,MATCH(TRUE,I3436:K3436,0)),E3436)</f>
        <v>Hydro_seasonal_storage</v>
      </c>
      <c r="O3436" t="str">
        <f t="shared" si="208"/>
        <v>Hydro_seasonal_storage_2034</v>
      </c>
      <c r="P3436">
        <f t="shared" si="209"/>
        <v>100</v>
      </c>
    </row>
    <row r="3437" spans="4:16" x14ac:dyDescent="0.25">
      <c r="D3437">
        <v>2035</v>
      </c>
      <c r="E3437" t="s">
        <v>126</v>
      </c>
      <c r="F3437" t="s">
        <v>384</v>
      </c>
      <c r="G3437">
        <v>100</v>
      </c>
      <c r="I3437">
        <f t="shared" si="210"/>
        <v>0</v>
      </c>
      <c r="J3437">
        <f t="shared" si="210"/>
        <v>0</v>
      </c>
      <c r="K3437">
        <f t="shared" si="210"/>
        <v>0</v>
      </c>
      <c r="M3437" t="str" cm="1">
        <f t="array" ref="M3437">IFERROR(INDEX($I$2:$K$2,0,MATCH(TRUE,I3437:K3437,0)),E3437)</f>
        <v>Hydro_seasonal_storage</v>
      </c>
      <c r="O3437" t="str">
        <f t="shared" si="208"/>
        <v>Hydro_seasonal_storage_2035</v>
      </c>
      <c r="P3437">
        <f t="shared" si="209"/>
        <v>100</v>
      </c>
    </row>
    <row r="3438" spans="4:16" x14ac:dyDescent="0.25">
      <c r="D3438">
        <v>2036</v>
      </c>
      <c r="E3438" t="s">
        <v>126</v>
      </c>
      <c r="F3438" t="s">
        <v>384</v>
      </c>
      <c r="G3438">
        <v>100</v>
      </c>
      <c r="I3438">
        <f t="shared" si="210"/>
        <v>0</v>
      </c>
      <c r="J3438">
        <f t="shared" si="210"/>
        <v>0</v>
      </c>
      <c r="K3438">
        <f t="shared" si="210"/>
        <v>0</v>
      </c>
      <c r="M3438" t="str" cm="1">
        <f t="array" ref="M3438">IFERROR(INDEX($I$2:$K$2,0,MATCH(TRUE,I3438:K3438,0)),E3438)</f>
        <v>Hydro_seasonal_storage</v>
      </c>
      <c r="O3438" t="str">
        <f t="shared" si="208"/>
        <v>Hydro_seasonal_storage_2036</v>
      </c>
      <c r="P3438">
        <f t="shared" si="209"/>
        <v>100</v>
      </c>
    </row>
    <row r="3439" spans="4:16" x14ac:dyDescent="0.25">
      <c r="D3439">
        <v>2037</v>
      </c>
      <c r="E3439" t="s">
        <v>126</v>
      </c>
      <c r="F3439" t="s">
        <v>384</v>
      </c>
      <c r="G3439">
        <v>100</v>
      </c>
      <c r="I3439">
        <f t="shared" si="210"/>
        <v>0</v>
      </c>
      <c r="J3439">
        <f t="shared" si="210"/>
        <v>0</v>
      </c>
      <c r="K3439">
        <f t="shared" si="210"/>
        <v>0</v>
      </c>
      <c r="M3439" t="str" cm="1">
        <f t="array" ref="M3439">IFERROR(INDEX($I$2:$K$2,0,MATCH(TRUE,I3439:K3439,0)),E3439)</f>
        <v>Hydro_seasonal_storage</v>
      </c>
      <c r="O3439" t="str">
        <f t="shared" si="208"/>
        <v>Hydro_seasonal_storage_2037</v>
      </c>
      <c r="P3439">
        <f t="shared" si="209"/>
        <v>100</v>
      </c>
    </row>
    <row r="3440" spans="4:16" x14ac:dyDescent="0.25">
      <c r="D3440">
        <v>2038</v>
      </c>
      <c r="E3440" t="s">
        <v>126</v>
      </c>
      <c r="F3440" t="s">
        <v>384</v>
      </c>
      <c r="G3440">
        <v>100</v>
      </c>
      <c r="I3440">
        <f t="shared" si="210"/>
        <v>0</v>
      </c>
      <c r="J3440">
        <f t="shared" si="210"/>
        <v>0</v>
      </c>
      <c r="K3440">
        <f t="shared" si="210"/>
        <v>0</v>
      </c>
      <c r="M3440" t="str" cm="1">
        <f t="array" ref="M3440">IFERROR(INDEX($I$2:$K$2,0,MATCH(TRUE,I3440:K3440,0)),E3440)</f>
        <v>Hydro_seasonal_storage</v>
      </c>
      <c r="O3440" t="str">
        <f t="shared" si="208"/>
        <v>Hydro_seasonal_storage_2038</v>
      </c>
      <c r="P3440">
        <f t="shared" si="209"/>
        <v>100</v>
      </c>
    </row>
    <row r="3441" spans="4:16" x14ac:dyDescent="0.25">
      <c r="D3441">
        <v>2039</v>
      </c>
      <c r="E3441" t="s">
        <v>126</v>
      </c>
      <c r="F3441" t="s">
        <v>384</v>
      </c>
      <c r="G3441">
        <v>100</v>
      </c>
      <c r="I3441">
        <f t="shared" si="210"/>
        <v>0</v>
      </c>
      <c r="J3441">
        <f t="shared" si="210"/>
        <v>0</v>
      </c>
      <c r="K3441">
        <f t="shared" si="210"/>
        <v>0</v>
      </c>
      <c r="M3441" t="str" cm="1">
        <f t="array" ref="M3441">IFERROR(INDEX($I$2:$K$2,0,MATCH(TRUE,I3441:K3441,0)),E3441)</f>
        <v>Hydro_seasonal_storage</v>
      </c>
      <c r="O3441" t="str">
        <f t="shared" si="208"/>
        <v>Hydro_seasonal_storage_2039</v>
      </c>
      <c r="P3441">
        <f t="shared" si="209"/>
        <v>100</v>
      </c>
    </row>
    <row r="3442" spans="4:16" x14ac:dyDescent="0.25">
      <c r="D3442">
        <v>2040</v>
      </c>
      <c r="E3442" t="s">
        <v>126</v>
      </c>
      <c r="F3442" t="s">
        <v>384</v>
      </c>
      <c r="G3442">
        <v>100</v>
      </c>
      <c r="I3442">
        <f t="shared" si="210"/>
        <v>0</v>
      </c>
      <c r="J3442">
        <f t="shared" si="210"/>
        <v>0</v>
      </c>
      <c r="K3442">
        <f t="shared" si="210"/>
        <v>0</v>
      </c>
      <c r="M3442" t="str" cm="1">
        <f t="array" ref="M3442">IFERROR(INDEX($I$2:$K$2,0,MATCH(TRUE,I3442:K3442,0)),E3442)</f>
        <v>Hydro_seasonal_storage</v>
      </c>
      <c r="O3442" t="str">
        <f t="shared" si="208"/>
        <v>Hydro_seasonal_storage_2040</v>
      </c>
      <c r="P3442">
        <f t="shared" si="209"/>
        <v>100</v>
      </c>
    </row>
    <row r="3443" spans="4:16" x14ac:dyDescent="0.25">
      <c r="D3443">
        <v>2021</v>
      </c>
      <c r="E3443" t="s">
        <v>126</v>
      </c>
      <c r="F3443" t="s">
        <v>385</v>
      </c>
      <c r="G3443">
        <v>1050</v>
      </c>
      <c r="I3443">
        <f t="shared" si="210"/>
        <v>0</v>
      </c>
      <c r="J3443">
        <f t="shared" si="210"/>
        <v>0</v>
      </c>
      <c r="K3443">
        <f t="shared" si="210"/>
        <v>0</v>
      </c>
      <c r="M3443" t="str" cm="1">
        <f t="array" ref="M3443">IFERROR(INDEX($I$2:$K$2,0,MATCH(TRUE,I3443:K3443,0)),E3443)</f>
        <v>Hydro_seasonal_storage</v>
      </c>
      <c r="O3443" t="str">
        <f t="shared" si="208"/>
        <v>Hydro_seasonal_storage_2021</v>
      </c>
      <c r="P3443">
        <f t="shared" si="209"/>
        <v>1050</v>
      </c>
    </row>
    <row r="3444" spans="4:16" x14ac:dyDescent="0.25">
      <c r="D3444">
        <v>2022</v>
      </c>
      <c r="E3444" t="s">
        <v>126</v>
      </c>
      <c r="F3444" t="s">
        <v>385</v>
      </c>
      <c r="G3444">
        <v>1050</v>
      </c>
      <c r="I3444">
        <f t="shared" si="210"/>
        <v>0</v>
      </c>
      <c r="J3444">
        <f t="shared" si="210"/>
        <v>0</v>
      </c>
      <c r="K3444">
        <f t="shared" si="210"/>
        <v>0</v>
      </c>
      <c r="M3444" t="str" cm="1">
        <f t="array" ref="M3444">IFERROR(INDEX($I$2:$K$2,0,MATCH(TRUE,I3444:K3444,0)),E3444)</f>
        <v>Hydro_seasonal_storage</v>
      </c>
      <c r="O3444" t="str">
        <f t="shared" si="208"/>
        <v>Hydro_seasonal_storage_2022</v>
      </c>
      <c r="P3444">
        <f t="shared" si="209"/>
        <v>1050</v>
      </c>
    </row>
    <row r="3445" spans="4:16" x14ac:dyDescent="0.25">
      <c r="D3445">
        <v>2023</v>
      </c>
      <c r="E3445" t="s">
        <v>126</v>
      </c>
      <c r="F3445" t="s">
        <v>385</v>
      </c>
      <c r="G3445">
        <v>1050</v>
      </c>
      <c r="I3445">
        <f t="shared" si="210"/>
        <v>0</v>
      </c>
      <c r="J3445">
        <f t="shared" si="210"/>
        <v>0</v>
      </c>
      <c r="K3445">
        <f t="shared" si="210"/>
        <v>0</v>
      </c>
      <c r="M3445" t="str" cm="1">
        <f t="array" ref="M3445">IFERROR(INDEX($I$2:$K$2,0,MATCH(TRUE,I3445:K3445,0)),E3445)</f>
        <v>Hydro_seasonal_storage</v>
      </c>
      <c r="O3445" t="str">
        <f t="shared" si="208"/>
        <v>Hydro_seasonal_storage_2023</v>
      </c>
      <c r="P3445">
        <f t="shared" si="209"/>
        <v>1050</v>
      </c>
    </row>
    <row r="3446" spans="4:16" x14ac:dyDescent="0.25">
      <c r="D3446">
        <v>2024</v>
      </c>
      <c r="E3446" t="s">
        <v>126</v>
      </c>
      <c r="F3446" t="s">
        <v>385</v>
      </c>
      <c r="G3446">
        <v>1050</v>
      </c>
      <c r="I3446">
        <f t="shared" si="210"/>
        <v>0</v>
      </c>
      <c r="J3446">
        <f t="shared" si="210"/>
        <v>0</v>
      </c>
      <c r="K3446">
        <f t="shared" si="210"/>
        <v>0</v>
      </c>
      <c r="M3446" t="str" cm="1">
        <f t="array" ref="M3446">IFERROR(INDEX($I$2:$K$2,0,MATCH(TRUE,I3446:K3446,0)),E3446)</f>
        <v>Hydro_seasonal_storage</v>
      </c>
      <c r="O3446" t="str">
        <f t="shared" si="208"/>
        <v>Hydro_seasonal_storage_2024</v>
      </c>
      <c r="P3446">
        <f t="shared" si="209"/>
        <v>1050</v>
      </c>
    </row>
    <row r="3447" spans="4:16" x14ac:dyDescent="0.25">
      <c r="D3447">
        <v>2025</v>
      </c>
      <c r="E3447" t="s">
        <v>126</v>
      </c>
      <c r="F3447" t="s">
        <v>385</v>
      </c>
      <c r="G3447">
        <v>1050</v>
      </c>
      <c r="I3447">
        <f t="shared" si="210"/>
        <v>0</v>
      </c>
      <c r="J3447">
        <f t="shared" si="210"/>
        <v>0</v>
      </c>
      <c r="K3447">
        <f t="shared" si="210"/>
        <v>0</v>
      </c>
      <c r="M3447" t="str" cm="1">
        <f t="array" ref="M3447">IFERROR(INDEX($I$2:$K$2,0,MATCH(TRUE,I3447:K3447,0)),E3447)</f>
        <v>Hydro_seasonal_storage</v>
      </c>
      <c r="O3447" t="str">
        <f t="shared" si="208"/>
        <v>Hydro_seasonal_storage_2025</v>
      </c>
      <c r="P3447">
        <f t="shared" si="209"/>
        <v>1050</v>
      </c>
    </row>
    <row r="3448" spans="4:16" x14ac:dyDescent="0.25">
      <c r="D3448">
        <v>2026</v>
      </c>
      <c r="E3448" t="s">
        <v>126</v>
      </c>
      <c r="F3448" t="s">
        <v>385</v>
      </c>
      <c r="G3448">
        <v>1050</v>
      </c>
      <c r="I3448">
        <f t="shared" si="210"/>
        <v>0</v>
      </c>
      <c r="J3448">
        <f t="shared" si="210"/>
        <v>0</v>
      </c>
      <c r="K3448">
        <f t="shared" si="210"/>
        <v>0</v>
      </c>
      <c r="M3448" t="str" cm="1">
        <f t="array" ref="M3448">IFERROR(INDEX($I$2:$K$2,0,MATCH(TRUE,I3448:K3448,0)),E3448)</f>
        <v>Hydro_seasonal_storage</v>
      </c>
      <c r="O3448" t="str">
        <f t="shared" si="208"/>
        <v>Hydro_seasonal_storage_2026</v>
      </c>
      <c r="P3448">
        <f t="shared" si="209"/>
        <v>1050</v>
      </c>
    </row>
    <row r="3449" spans="4:16" x14ac:dyDescent="0.25">
      <c r="D3449">
        <v>2027</v>
      </c>
      <c r="E3449" t="s">
        <v>126</v>
      </c>
      <c r="F3449" t="s">
        <v>385</v>
      </c>
      <c r="G3449">
        <v>1050</v>
      </c>
      <c r="I3449">
        <f t="shared" si="210"/>
        <v>0</v>
      </c>
      <c r="J3449">
        <f t="shared" si="210"/>
        <v>0</v>
      </c>
      <c r="K3449">
        <f t="shared" si="210"/>
        <v>0</v>
      </c>
      <c r="M3449" t="str" cm="1">
        <f t="array" ref="M3449">IFERROR(INDEX($I$2:$K$2,0,MATCH(TRUE,I3449:K3449,0)),E3449)</f>
        <v>Hydro_seasonal_storage</v>
      </c>
      <c r="O3449" t="str">
        <f t="shared" si="208"/>
        <v>Hydro_seasonal_storage_2027</v>
      </c>
      <c r="P3449">
        <f t="shared" si="209"/>
        <v>1050</v>
      </c>
    </row>
    <row r="3450" spans="4:16" x14ac:dyDescent="0.25">
      <c r="D3450">
        <v>2028</v>
      </c>
      <c r="E3450" t="s">
        <v>126</v>
      </c>
      <c r="F3450" t="s">
        <v>385</v>
      </c>
      <c r="G3450">
        <v>1050</v>
      </c>
      <c r="I3450">
        <f t="shared" si="210"/>
        <v>0</v>
      </c>
      <c r="J3450">
        <f t="shared" si="210"/>
        <v>0</v>
      </c>
      <c r="K3450">
        <f t="shared" si="210"/>
        <v>0</v>
      </c>
      <c r="M3450" t="str" cm="1">
        <f t="array" ref="M3450">IFERROR(INDEX($I$2:$K$2,0,MATCH(TRUE,I3450:K3450,0)),E3450)</f>
        <v>Hydro_seasonal_storage</v>
      </c>
      <c r="O3450" t="str">
        <f t="shared" si="208"/>
        <v>Hydro_seasonal_storage_2028</v>
      </c>
      <c r="P3450">
        <f t="shared" si="209"/>
        <v>1050</v>
      </c>
    </row>
    <row r="3451" spans="4:16" x14ac:dyDescent="0.25">
      <c r="D3451">
        <v>2029</v>
      </c>
      <c r="E3451" t="s">
        <v>126</v>
      </c>
      <c r="F3451" t="s">
        <v>385</v>
      </c>
      <c r="G3451">
        <v>1050</v>
      </c>
      <c r="I3451">
        <f t="shared" si="210"/>
        <v>0</v>
      </c>
      <c r="J3451">
        <f t="shared" si="210"/>
        <v>0</v>
      </c>
      <c r="K3451">
        <f t="shared" si="210"/>
        <v>0</v>
      </c>
      <c r="M3451" t="str" cm="1">
        <f t="array" ref="M3451">IFERROR(INDEX($I$2:$K$2,0,MATCH(TRUE,I3451:K3451,0)),E3451)</f>
        <v>Hydro_seasonal_storage</v>
      </c>
      <c r="O3451" t="str">
        <f t="shared" si="208"/>
        <v>Hydro_seasonal_storage_2029</v>
      </c>
      <c r="P3451">
        <f t="shared" si="209"/>
        <v>1050</v>
      </c>
    </row>
    <row r="3452" spans="4:16" x14ac:dyDescent="0.25">
      <c r="D3452">
        <v>2030</v>
      </c>
      <c r="E3452" t="s">
        <v>126</v>
      </c>
      <c r="F3452" t="s">
        <v>385</v>
      </c>
      <c r="G3452">
        <v>1050</v>
      </c>
      <c r="I3452">
        <f t="shared" si="210"/>
        <v>0</v>
      </c>
      <c r="J3452">
        <f t="shared" si="210"/>
        <v>0</v>
      </c>
      <c r="K3452">
        <f t="shared" si="210"/>
        <v>0</v>
      </c>
      <c r="M3452" t="str" cm="1">
        <f t="array" ref="M3452">IFERROR(INDEX($I$2:$K$2,0,MATCH(TRUE,I3452:K3452,0)),E3452)</f>
        <v>Hydro_seasonal_storage</v>
      </c>
      <c r="O3452" t="str">
        <f t="shared" si="208"/>
        <v>Hydro_seasonal_storage_2030</v>
      </c>
      <c r="P3452">
        <f t="shared" si="209"/>
        <v>1050</v>
      </c>
    </row>
    <row r="3453" spans="4:16" x14ac:dyDescent="0.25">
      <c r="D3453">
        <v>2031</v>
      </c>
      <c r="E3453" t="s">
        <v>126</v>
      </c>
      <c r="F3453" t="s">
        <v>385</v>
      </c>
      <c r="G3453">
        <v>1050</v>
      </c>
      <c r="I3453">
        <f t="shared" si="210"/>
        <v>0</v>
      </c>
      <c r="J3453">
        <f t="shared" si="210"/>
        <v>0</v>
      </c>
      <c r="K3453">
        <f t="shared" si="210"/>
        <v>0</v>
      </c>
      <c r="M3453" t="str" cm="1">
        <f t="array" ref="M3453">IFERROR(INDEX($I$2:$K$2,0,MATCH(TRUE,I3453:K3453,0)),E3453)</f>
        <v>Hydro_seasonal_storage</v>
      </c>
      <c r="O3453" t="str">
        <f t="shared" si="208"/>
        <v>Hydro_seasonal_storage_2031</v>
      </c>
      <c r="P3453">
        <f t="shared" si="209"/>
        <v>1050</v>
      </c>
    </row>
    <row r="3454" spans="4:16" x14ac:dyDescent="0.25">
      <c r="D3454">
        <v>2032</v>
      </c>
      <c r="E3454" t="s">
        <v>126</v>
      </c>
      <c r="F3454" t="s">
        <v>385</v>
      </c>
      <c r="G3454">
        <v>1050</v>
      </c>
      <c r="I3454">
        <f t="shared" si="210"/>
        <v>0</v>
      </c>
      <c r="J3454">
        <f t="shared" si="210"/>
        <v>0</v>
      </c>
      <c r="K3454">
        <f t="shared" si="210"/>
        <v>0</v>
      </c>
      <c r="M3454" t="str" cm="1">
        <f t="array" ref="M3454">IFERROR(INDEX($I$2:$K$2,0,MATCH(TRUE,I3454:K3454,0)),E3454)</f>
        <v>Hydro_seasonal_storage</v>
      </c>
      <c r="O3454" t="str">
        <f t="shared" si="208"/>
        <v>Hydro_seasonal_storage_2032</v>
      </c>
      <c r="P3454">
        <f t="shared" si="209"/>
        <v>1050</v>
      </c>
    </row>
    <row r="3455" spans="4:16" x14ac:dyDescent="0.25">
      <c r="D3455">
        <v>2033</v>
      </c>
      <c r="E3455" t="s">
        <v>126</v>
      </c>
      <c r="F3455" t="s">
        <v>385</v>
      </c>
      <c r="G3455">
        <v>1050</v>
      </c>
      <c r="I3455">
        <f t="shared" si="210"/>
        <v>0</v>
      </c>
      <c r="J3455">
        <f t="shared" si="210"/>
        <v>0</v>
      </c>
      <c r="K3455">
        <f t="shared" si="210"/>
        <v>0</v>
      </c>
      <c r="M3455" t="str" cm="1">
        <f t="array" ref="M3455">IFERROR(INDEX($I$2:$K$2,0,MATCH(TRUE,I3455:K3455,0)),E3455)</f>
        <v>Hydro_seasonal_storage</v>
      </c>
      <c r="O3455" t="str">
        <f t="shared" si="208"/>
        <v>Hydro_seasonal_storage_2033</v>
      </c>
      <c r="P3455">
        <f t="shared" si="209"/>
        <v>1050</v>
      </c>
    </row>
    <row r="3456" spans="4:16" x14ac:dyDescent="0.25">
      <c r="D3456">
        <v>2034</v>
      </c>
      <c r="E3456" t="s">
        <v>126</v>
      </c>
      <c r="F3456" t="s">
        <v>385</v>
      </c>
      <c r="G3456">
        <v>1050</v>
      </c>
      <c r="I3456">
        <f t="shared" si="210"/>
        <v>0</v>
      </c>
      <c r="J3456">
        <f t="shared" si="210"/>
        <v>0</v>
      </c>
      <c r="K3456">
        <f t="shared" si="210"/>
        <v>0</v>
      </c>
      <c r="M3456" t="str" cm="1">
        <f t="array" ref="M3456">IFERROR(INDEX($I$2:$K$2,0,MATCH(TRUE,I3456:K3456,0)),E3456)</f>
        <v>Hydro_seasonal_storage</v>
      </c>
      <c r="O3456" t="str">
        <f t="shared" si="208"/>
        <v>Hydro_seasonal_storage_2034</v>
      </c>
      <c r="P3456">
        <f t="shared" si="209"/>
        <v>1050</v>
      </c>
    </row>
    <row r="3457" spans="4:16" x14ac:dyDescent="0.25">
      <c r="D3457">
        <v>2035</v>
      </c>
      <c r="E3457" t="s">
        <v>126</v>
      </c>
      <c r="F3457" t="s">
        <v>385</v>
      </c>
      <c r="G3457">
        <v>1050</v>
      </c>
      <c r="I3457">
        <f t="shared" si="210"/>
        <v>0</v>
      </c>
      <c r="J3457">
        <f t="shared" si="210"/>
        <v>0</v>
      </c>
      <c r="K3457">
        <f t="shared" si="210"/>
        <v>0</v>
      </c>
      <c r="M3457" t="str" cm="1">
        <f t="array" ref="M3457">IFERROR(INDEX($I$2:$K$2,0,MATCH(TRUE,I3457:K3457,0)),E3457)</f>
        <v>Hydro_seasonal_storage</v>
      </c>
      <c r="O3457" t="str">
        <f t="shared" si="208"/>
        <v>Hydro_seasonal_storage_2035</v>
      </c>
      <c r="P3457">
        <f t="shared" si="209"/>
        <v>1050</v>
      </c>
    </row>
    <row r="3458" spans="4:16" x14ac:dyDescent="0.25">
      <c r="D3458">
        <v>2036</v>
      </c>
      <c r="E3458" t="s">
        <v>126</v>
      </c>
      <c r="F3458" t="s">
        <v>385</v>
      </c>
      <c r="G3458">
        <v>1050</v>
      </c>
      <c r="I3458">
        <f t="shared" si="210"/>
        <v>0</v>
      </c>
      <c r="J3458">
        <f t="shared" si="210"/>
        <v>0</v>
      </c>
      <c r="K3458">
        <f t="shared" si="210"/>
        <v>0</v>
      </c>
      <c r="M3458" t="str" cm="1">
        <f t="array" ref="M3458">IFERROR(INDEX($I$2:$K$2,0,MATCH(TRUE,I3458:K3458,0)),E3458)</f>
        <v>Hydro_seasonal_storage</v>
      </c>
      <c r="O3458" t="str">
        <f t="shared" si="208"/>
        <v>Hydro_seasonal_storage_2036</v>
      </c>
      <c r="P3458">
        <f t="shared" si="209"/>
        <v>1050</v>
      </c>
    </row>
    <row r="3459" spans="4:16" x14ac:dyDescent="0.25">
      <c r="D3459">
        <v>2037</v>
      </c>
      <c r="E3459" t="s">
        <v>126</v>
      </c>
      <c r="F3459" t="s">
        <v>385</v>
      </c>
      <c r="G3459">
        <v>1050</v>
      </c>
      <c r="I3459">
        <f t="shared" si="210"/>
        <v>0</v>
      </c>
      <c r="J3459">
        <f t="shared" si="210"/>
        <v>0</v>
      </c>
      <c r="K3459">
        <f t="shared" si="210"/>
        <v>0</v>
      </c>
      <c r="M3459" t="str" cm="1">
        <f t="array" ref="M3459">IFERROR(INDEX($I$2:$K$2,0,MATCH(TRUE,I3459:K3459,0)),E3459)</f>
        <v>Hydro_seasonal_storage</v>
      </c>
      <c r="O3459" t="str">
        <f t="shared" si="208"/>
        <v>Hydro_seasonal_storage_2037</v>
      </c>
      <c r="P3459">
        <f t="shared" si="209"/>
        <v>1050</v>
      </c>
    </row>
    <row r="3460" spans="4:16" x14ac:dyDescent="0.25">
      <c r="D3460">
        <v>2038</v>
      </c>
      <c r="E3460" t="s">
        <v>126</v>
      </c>
      <c r="F3460" t="s">
        <v>385</v>
      </c>
      <c r="G3460">
        <v>1050</v>
      </c>
      <c r="I3460">
        <f t="shared" si="210"/>
        <v>0</v>
      </c>
      <c r="J3460">
        <f t="shared" si="210"/>
        <v>0</v>
      </c>
      <c r="K3460">
        <f t="shared" si="210"/>
        <v>0</v>
      </c>
      <c r="M3460" t="str" cm="1">
        <f t="array" ref="M3460">IFERROR(INDEX($I$2:$K$2,0,MATCH(TRUE,I3460:K3460,0)),E3460)</f>
        <v>Hydro_seasonal_storage</v>
      </c>
      <c r="O3460" t="str">
        <f t="shared" si="208"/>
        <v>Hydro_seasonal_storage_2038</v>
      </c>
      <c r="P3460">
        <f t="shared" si="209"/>
        <v>1050</v>
      </c>
    </row>
    <row r="3461" spans="4:16" x14ac:dyDescent="0.25">
      <c r="D3461">
        <v>2039</v>
      </c>
      <c r="E3461" t="s">
        <v>126</v>
      </c>
      <c r="F3461" t="s">
        <v>385</v>
      </c>
      <c r="G3461">
        <v>1050</v>
      </c>
      <c r="I3461">
        <f t="shared" si="210"/>
        <v>0</v>
      </c>
      <c r="J3461">
        <f t="shared" si="210"/>
        <v>0</v>
      </c>
      <c r="K3461">
        <f t="shared" si="210"/>
        <v>0</v>
      </c>
      <c r="M3461" t="str" cm="1">
        <f t="array" ref="M3461">IFERROR(INDEX($I$2:$K$2,0,MATCH(TRUE,I3461:K3461,0)),E3461)</f>
        <v>Hydro_seasonal_storage</v>
      </c>
      <c r="O3461" t="str">
        <f t="shared" si="208"/>
        <v>Hydro_seasonal_storage_2039</v>
      </c>
      <c r="P3461">
        <f t="shared" si="209"/>
        <v>1050</v>
      </c>
    </row>
    <row r="3462" spans="4:16" x14ac:dyDescent="0.25">
      <c r="D3462">
        <v>2040</v>
      </c>
      <c r="E3462" t="s">
        <v>126</v>
      </c>
      <c r="F3462" t="s">
        <v>385</v>
      </c>
      <c r="G3462">
        <v>1050</v>
      </c>
      <c r="I3462">
        <f t="shared" si="210"/>
        <v>0</v>
      </c>
      <c r="J3462">
        <f t="shared" si="210"/>
        <v>0</v>
      </c>
      <c r="K3462">
        <f t="shared" si="210"/>
        <v>0</v>
      </c>
      <c r="M3462" t="str" cm="1">
        <f t="array" ref="M3462">IFERROR(INDEX($I$2:$K$2,0,MATCH(TRUE,I3462:K3462,0)),E3462)</f>
        <v>Hydro_seasonal_storage</v>
      </c>
      <c r="O3462" t="str">
        <f t="shared" si="208"/>
        <v>Hydro_seasonal_storage_2040</v>
      </c>
      <c r="P3462">
        <f t="shared" si="209"/>
        <v>1050</v>
      </c>
    </row>
    <row r="3463" spans="4:16" x14ac:dyDescent="0.25">
      <c r="D3463">
        <v>2021</v>
      </c>
      <c r="E3463" t="s">
        <v>126</v>
      </c>
      <c r="F3463" t="s">
        <v>386</v>
      </c>
      <c r="G3463">
        <v>130</v>
      </c>
      <c r="I3463">
        <f t="shared" si="210"/>
        <v>0</v>
      </c>
      <c r="J3463">
        <f t="shared" si="210"/>
        <v>0</v>
      </c>
      <c r="K3463">
        <f t="shared" si="210"/>
        <v>0</v>
      </c>
      <c r="M3463" t="str" cm="1">
        <f t="array" ref="M3463">IFERROR(INDEX($I$2:$K$2,0,MATCH(TRUE,I3463:K3463,0)),E3463)</f>
        <v>Hydro_seasonal_storage</v>
      </c>
      <c r="O3463" t="str">
        <f t="shared" si="208"/>
        <v>Hydro_seasonal_storage_2021</v>
      </c>
      <c r="P3463">
        <f t="shared" si="209"/>
        <v>130</v>
      </c>
    </row>
    <row r="3464" spans="4:16" x14ac:dyDescent="0.25">
      <c r="D3464">
        <v>2022</v>
      </c>
      <c r="E3464" t="s">
        <v>126</v>
      </c>
      <c r="F3464" t="s">
        <v>386</v>
      </c>
      <c r="G3464">
        <v>130</v>
      </c>
      <c r="I3464">
        <f t="shared" si="210"/>
        <v>0</v>
      </c>
      <c r="J3464">
        <f t="shared" si="210"/>
        <v>0</v>
      </c>
      <c r="K3464">
        <f t="shared" si="210"/>
        <v>0</v>
      </c>
      <c r="M3464" t="str" cm="1">
        <f t="array" ref="M3464">IFERROR(INDEX($I$2:$K$2,0,MATCH(TRUE,I3464:K3464,0)),E3464)</f>
        <v>Hydro_seasonal_storage</v>
      </c>
      <c r="O3464" t="str">
        <f t="shared" si="208"/>
        <v>Hydro_seasonal_storage_2022</v>
      </c>
      <c r="P3464">
        <f t="shared" si="209"/>
        <v>130</v>
      </c>
    </row>
    <row r="3465" spans="4:16" x14ac:dyDescent="0.25">
      <c r="D3465">
        <v>2023</v>
      </c>
      <c r="E3465" t="s">
        <v>126</v>
      </c>
      <c r="F3465" t="s">
        <v>386</v>
      </c>
      <c r="G3465">
        <v>130</v>
      </c>
      <c r="I3465">
        <f t="shared" si="210"/>
        <v>0</v>
      </c>
      <c r="J3465">
        <f t="shared" si="210"/>
        <v>0</v>
      </c>
      <c r="K3465">
        <f t="shared" si="210"/>
        <v>0</v>
      </c>
      <c r="M3465" t="str" cm="1">
        <f t="array" ref="M3465">IFERROR(INDEX($I$2:$K$2,0,MATCH(TRUE,I3465:K3465,0)),E3465)</f>
        <v>Hydro_seasonal_storage</v>
      </c>
      <c r="O3465" t="str">
        <f t="shared" si="208"/>
        <v>Hydro_seasonal_storage_2023</v>
      </c>
      <c r="P3465">
        <f t="shared" si="209"/>
        <v>130</v>
      </c>
    </row>
    <row r="3466" spans="4:16" x14ac:dyDescent="0.25">
      <c r="D3466">
        <v>2024</v>
      </c>
      <c r="E3466" t="s">
        <v>126</v>
      </c>
      <c r="F3466" t="s">
        <v>386</v>
      </c>
      <c r="G3466">
        <v>130</v>
      </c>
      <c r="I3466">
        <f t="shared" si="210"/>
        <v>0</v>
      </c>
      <c r="J3466">
        <f t="shared" si="210"/>
        <v>0</v>
      </c>
      <c r="K3466">
        <f t="shared" si="210"/>
        <v>0</v>
      </c>
      <c r="M3466" t="str" cm="1">
        <f t="array" ref="M3466">IFERROR(INDEX($I$2:$K$2,0,MATCH(TRUE,I3466:K3466,0)),E3466)</f>
        <v>Hydro_seasonal_storage</v>
      </c>
      <c r="O3466" t="str">
        <f t="shared" si="208"/>
        <v>Hydro_seasonal_storage_2024</v>
      </c>
      <c r="P3466">
        <f t="shared" si="209"/>
        <v>130</v>
      </c>
    </row>
    <row r="3467" spans="4:16" x14ac:dyDescent="0.25">
      <c r="D3467">
        <v>2025</v>
      </c>
      <c r="E3467" t="s">
        <v>126</v>
      </c>
      <c r="F3467" t="s">
        <v>386</v>
      </c>
      <c r="G3467">
        <v>130</v>
      </c>
      <c r="I3467">
        <f t="shared" si="210"/>
        <v>0</v>
      </c>
      <c r="J3467">
        <f t="shared" si="210"/>
        <v>0</v>
      </c>
      <c r="K3467">
        <f t="shared" si="210"/>
        <v>0</v>
      </c>
      <c r="M3467" t="str" cm="1">
        <f t="array" ref="M3467">IFERROR(INDEX($I$2:$K$2,0,MATCH(TRUE,I3467:K3467,0)),E3467)</f>
        <v>Hydro_seasonal_storage</v>
      </c>
      <c r="O3467" t="str">
        <f t="shared" si="208"/>
        <v>Hydro_seasonal_storage_2025</v>
      </c>
      <c r="P3467">
        <f t="shared" si="209"/>
        <v>130</v>
      </c>
    </row>
    <row r="3468" spans="4:16" x14ac:dyDescent="0.25">
      <c r="D3468">
        <v>2026</v>
      </c>
      <c r="E3468" t="s">
        <v>126</v>
      </c>
      <c r="F3468" t="s">
        <v>386</v>
      </c>
      <c r="G3468">
        <v>130</v>
      </c>
      <c r="I3468">
        <f t="shared" si="210"/>
        <v>0</v>
      </c>
      <c r="J3468">
        <f t="shared" si="210"/>
        <v>0</v>
      </c>
      <c r="K3468">
        <f t="shared" si="210"/>
        <v>0</v>
      </c>
      <c r="M3468" t="str" cm="1">
        <f t="array" ref="M3468">IFERROR(INDEX($I$2:$K$2,0,MATCH(TRUE,I3468:K3468,0)),E3468)</f>
        <v>Hydro_seasonal_storage</v>
      </c>
      <c r="O3468" t="str">
        <f t="shared" si="208"/>
        <v>Hydro_seasonal_storage_2026</v>
      </c>
      <c r="P3468">
        <f t="shared" si="209"/>
        <v>130</v>
      </c>
    </row>
    <row r="3469" spans="4:16" x14ac:dyDescent="0.25">
      <c r="D3469">
        <v>2027</v>
      </c>
      <c r="E3469" t="s">
        <v>126</v>
      </c>
      <c r="F3469" t="s">
        <v>386</v>
      </c>
      <c r="G3469">
        <v>130</v>
      </c>
      <c r="I3469">
        <f t="shared" si="210"/>
        <v>0</v>
      </c>
      <c r="J3469">
        <f t="shared" si="210"/>
        <v>0</v>
      </c>
      <c r="K3469">
        <f t="shared" si="210"/>
        <v>0</v>
      </c>
      <c r="M3469" t="str" cm="1">
        <f t="array" ref="M3469">IFERROR(INDEX($I$2:$K$2,0,MATCH(TRUE,I3469:K3469,0)),E3469)</f>
        <v>Hydro_seasonal_storage</v>
      </c>
      <c r="O3469" t="str">
        <f t="shared" si="208"/>
        <v>Hydro_seasonal_storage_2027</v>
      </c>
      <c r="P3469">
        <f t="shared" si="209"/>
        <v>130</v>
      </c>
    </row>
    <row r="3470" spans="4:16" x14ac:dyDescent="0.25">
      <c r="D3470">
        <v>2028</v>
      </c>
      <c r="E3470" t="s">
        <v>126</v>
      </c>
      <c r="F3470" t="s">
        <v>386</v>
      </c>
      <c r="G3470">
        <v>130</v>
      </c>
      <c r="I3470">
        <f t="shared" si="210"/>
        <v>0</v>
      </c>
      <c r="J3470">
        <f t="shared" si="210"/>
        <v>0</v>
      </c>
      <c r="K3470">
        <f t="shared" si="210"/>
        <v>0</v>
      </c>
      <c r="M3470" t="str" cm="1">
        <f t="array" ref="M3470">IFERROR(INDEX($I$2:$K$2,0,MATCH(TRUE,I3470:K3470,0)),E3470)</f>
        <v>Hydro_seasonal_storage</v>
      </c>
      <c r="O3470" t="str">
        <f t="shared" si="208"/>
        <v>Hydro_seasonal_storage_2028</v>
      </c>
      <c r="P3470">
        <f t="shared" si="209"/>
        <v>130</v>
      </c>
    </row>
    <row r="3471" spans="4:16" x14ac:dyDescent="0.25">
      <c r="D3471">
        <v>2029</v>
      </c>
      <c r="E3471" t="s">
        <v>126</v>
      </c>
      <c r="F3471" t="s">
        <v>386</v>
      </c>
      <c r="G3471">
        <v>130</v>
      </c>
      <c r="I3471">
        <f t="shared" si="210"/>
        <v>0</v>
      </c>
      <c r="J3471">
        <f t="shared" si="210"/>
        <v>0</v>
      </c>
      <c r="K3471">
        <f t="shared" si="210"/>
        <v>0</v>
      </c>
      <c r="M3471" t="str" cm="1">
        <f t="array" ref="M3471">IFERROR(INDEX($I$2:$K$2,0,MATCH(TRUE,I3471:K3471,0)),E3471)</f>
        <v>Hydro_seasonal_storage</v>
      </c>
      <c r="O3471" t="str">
        <f t="shared" si="208"/>
        <v>Hydro_seasonal_storage_2029</v>
      </c>
      <c r="P3471">
        <f t="shared" si="209"/>
        <v>130</v>
      </c>
    </row>
    <row r="3472" spans="4:16" x14ac:dyDescent="0.25">
      <c r="D3472">
        <v>2030</v>
      </c>
      <c r="E3472" t="s">
        <v>126</v>
      </c>
      <c r="F3472" t="s">
        <v>386</v>
      </c>
      <c r="G3472">
        <v>130</v>
      </c>
      <c r="I3472">
        <f t="shared" si="210"/>
        <v>0</v>
      </c>
      <c r="J3472">
        <f t="shared" si="210"/>
        <v>0</v>
      </c>
      <c r="K3472">
        <f t="shared" si="210"/>
        <v>0</v>
      </c>
      <c r="M3472" t="str" cm="1">
        <f t="array" ref="M3472">IFERROR(INDEX($I$2:$K$2,0,MATCH(TRUE,I3472:K3472,0)),E3472)</f>
        <v>Hydro_seasonal_storage</v>
      </c>
      <c r="O3472" t="str">
        <f t="shared" si="208"/>
        <v>Hydro_seasonal_storage_2030</v>
      </c>
      <c r="P3472">
        <f t="shared" si="209"/>
        <v>130</v>
      </c>
    </row>
    <row r="3473" spans="4:16" x14ac:dyDescent="0.25">
      <c r="D3473">
        <v>2031</v>
      </c>
      <c r="E3473" t="s">
        <v>126</v>
      </c>
      <c r="F3473" t="s">
        <v>386</v>
      </c>
      <c r="G3473">
        <v>130</v>
      </c>
      <c r="I3473">
        <f t="shared" si="210"/>
        <v>0</v>
      </c>
      <c r="J3473">
        <f t="shared" si="210"/>
        <v>0</v>
      </c>
      <c r="K3473">
        <f t="shared" si="210"/>
        <v>0</v>
      </c>
      <c r="M3473" t="str" cm="1">
        <f t="array" ref="M3473">IFERROR(INDEX($I$2:$K$2,0,MATCH(TRUE,I3473:K3473,0)),E3473)</f>
        <v>Hydro_seasonal_storage</v>
      </c>
      <c r="O3473" t="str">
        <f t="shared" si="208"/>
        <v>Hydro_seasonal_storage_2031</v>
      </c>
      <c r="P3473">
        <f t="shared" si="209"/>
        <v>130</v>
      </c>
    </row>
    <row r="3474" spans="4:16" x14ac:dyDescent="0.25">
      <c r="D3474">
        <v>2032</v>
      </c>
      <c r="E3474" t="s">
        <v>126</v>
      </c>
      <c r="F3474" t="s">
        <v>386</v>
      </c>
      <c r="G3474">
        <v>130</v>
      </c>
      <c r="I3474">
        <f t="shared" si="210"/>
        <v>0</v>
      </c>
      <c r="J3474">
        <f t="shared" si="210"/>
        <v>0</v>
      </c>
      <c r="K3474">
        <f t="shared" si="210"/>
        <v>0</v>
      </c>
      <c r="M3474" t="str" cm="1">
        <f t="array" ref="M3474">IFERROR(INDEX($I$2:$K$2,0,MATCH(TRUE,I3474:K3474,0)),E3474)</f>
        <v>Hydro_seasonal_storage</v>
      </c>
      <c r="O3474" t="str">
        <f t="shared" si="208"/>
        <v>Hydro_seasonal_storage_2032</v>
      </c>
      <c r="P3474">
        <f t="shared" si="209"/>
        <v>130</v>
      </c>
    </row>
    <row r="3475" spans="4:16" x14ac:dyDescent="0.25">
      <c r="D3475">
        <v>2033</v>
      </c>
      <c r="E3475" t="s">
        <v>126</v>
      </c>
      <c r="F3475" t="s">
        <v>386</v>
      </c>
      <c r="G3475">
        <v>130</v>
      </c>
      <c r="I3475">
        <f t="shared" si="210"/>
        <v>0</v>
      </c>
      <c r="J3475">
        <f t="shared" si="210"/>
        <v>0</v>
      </c>
      <c r="K3475">
        <f t="shared" si="210"/>
        <v>0</v>
      </c>
      <c r="M3475" t="str" cm="1">
        <f t="array" ref="M3475">IFERROR(INDEX($I$2:$K$2,0,MATCH(TRUE,I3475:K3475,0)),E3475)</f>
        <v>Hydro_seasonal_storage</v>
      </c>
      <c r="O3475" t="str">
        <f t="shared" ref="O3475:O3538" si="211">M3475&amp;"_"&amp;D3475</f>
        <v>Hydro_seasonal_storage_2033</v>
      </c>
      <c r="P3475">
        <f t="shared" ref="P3475:P3538" si="212">G3475</f>
        <v>130</v>
      </c>
    </row>
    <row r="3476" spans="4:16" x14ac:dyDescent="0.25">
      <c r="D3476">
        <v>2034</v>
      </c>
      <c r="E3476" t="s">
        <v>126</v>
      </c>
      <c r="F3476" t="s">
        <v>386</v>
      </c>
      <c r="G3476">
        <v>130</v>
      </c>
      <c r="I3476">
        <f t="shared" si="210"/>
        <v>0</v>
      </c>
      <c r="J3476">
        <f t="shared" si="210"/>
        <v>0</v>
      </c>
      <c r="K3476">
        <f t="shared" si="210"/>
        <v>0</v>
      </c>
      <c r="M3476" t="str" cm="1">
        <f t="array" ref="M3476">IFERROR(INDEX($I$2:$K$2,0,MATCH(TRUE,I3476:K3476,0)),E3476)</f>
        <v>Hydro_seasonal_storage</v>
      </c>
      <c r="O3476" t="str">
        <f t="shared" si="211"/>
        <v>Hydro_seasonal_storage_2034</v>
      </c>
      <c r="P3476">
        <f t="shared" si="212"/>
        <v>130</v>
      </c>
    </row>
    <row r="3477" spans="4:16" x14ac:dyDescent="0.25">
      <c r="D3477">
        <v>2035</v>
      </c>
      <c r="E3477" t="s">
        <v>126</v>
      </c>
      <c r="F3477" t="s">
        <v>386</v>
      </c>
      <c r="G3477">
        <v>130</v>
      </c>
      <c r="I3477">
        <f t="shared" ref="I3477:K3540" si="213">IFERROR(FIND(I$2,$E3477,1)&gt;0,0)</f>
        <v>0</v>
      </c>
      <c r="J3477">
        <f t="shared" si="213"/>
        <v>0</v>
      </c>
      <c r="K3477">
        <f t="shared" si="213"/>
        <v>0</v>
      </c>
      <c r="M3477" t="str" cm="1">
        <f t="array" ref="M3477">IFERROR(INDEX($I$2:$K$2,0,MATCH(TRUE,I3477:K3477,0)),E3477)</f>
        <v>Hydro_seasonal_storage</v>
      </c>
      <c r="O3477" t="str">
        <f t="shared" si="211"/>
        <v>Hydro_seasonal_storage_2035</v>
      </c>
      <c r="P3477">
        <f t="shared" si="212"/>
        <v>130</v>
      </c>
    </row>
    <row r="3478" spans="4:16" x14ac:dyDescent="0.25">
      <c r="D3478">
        <v>2036</v>
      </c>
      <c r="E3478" t="s">
        <v>126</v>
      </c>
      <c r="F3478" t="s">
        <v>386</v>
      </c>
      <c r="G3478">
        <v>130</v>
      </c>
      <c r="I3478">
        <f t="shared" si="213"/>
        <v>0</v>
      </c>
      <c r="J3478">
        <f t="shared" si="213"/>
        <v>0</v>
      </c>
      <c r="K3478">
        <f t="shared" si="213"/>
        <v>0</v>
      </c>
      <c r="M3478" t="str" cm="1">
        <f t="array" ref="M3478">IFERROR(INDEX($I$2:$K$2,0,MATCH(TRUE,I3478:K3478,0)),E3478)</f>
        <v>Hydro_seasonal_storage</v>
      </c>
      <c r="O3478" t="str">
        <f t="shared" si="211"/>
        <v>Hydro_seasonal_storage_2036</v>
      </c>
      <c r="P3478">
        <f t="shared" si="212"/>
        <v>130</v>
      </c>
    </row>
    <row r="3479" spans="4:16" x14ac:dyDescent="0.25">
      <c r="D3479">
        <v>2037</v>
      </c>
      <c r="E3479" t="s">
        <v>126</v>
      </c>
      <c r="F3479" t="s">
        <v>386</v>
      </c>
      <c r="G3479">
        <v>130</v>
      </c>
      <c r="I3479">
        <f t="shared" si="213"/>
        <v>0</v>
      </c>
      <c r="J3479">
        <f t="shared" si="213"/>
        <v>0</v>
      </c>
      <c r="K3479">
        <f t="shared" si="213"/>
        <v>0</v>
      </c>
      <c r="M3479" t="str" cm="1">
        <f t="array" ref="M3479">IFERROR(INDEX($I$2:$K$2,0,MATCH(TRUE,I3479:K3479,0)),E3479)</f>
        <v>Hydro_seasonal_storage</v>
      </c>
      <c r="O3479" t="str">
        <f t="shared" si="211"/>
        <v>Hydro_seasonal_storage_2037</v>
      </c>
      <c r="P3479">
        <f t="shared" si="212"/>
        <v>130</v>
      </c>
    </row>
    <row r="3480" spans="4:16" x14ac:dyDescent="0.25">
      <c r="D3480">
        <v>2038</v>
      </c>
      <c r="E3480" t="s">
        <v>126</v>
      </c>
      <c r="F3480" t="s">
        <v>386</v>
      </c>
      <c r="G3480">
        <v>130</v>
      </c>
      <c r="I3480">
        <f t="shared" si="213"/>
        <v>0</v>
      </c>
      <c r="J3480">
        <f t="shared" si="213"/>
        <v>0</v>
      </c>
      <c r="K3480">
        <f t="shared" si="213"/>
        <v>0</v>
      </c>
      <c r="M3480" t="str" cm="1">
        <f t="array" ref="M3480">IFERROR(INDEX($I$2:$K$2,0,MATCH(TRUE,I3480:K3480,0)),E3480)</f>
        <v>Hydro_seasonal_storage</v>
      </c>
      <c r="O3480" t="str">
        <f t="shared" si="211"/>
        <v>Hydro_seasonal_storage_2038</v>
      </c>
      <c r="P3480">
        <f t="shared" si="212"/>
        <v>130</v>
      </c>
    </row>
    <row r="3481" spans="4:16" x14ac:dyDescent="0.25">
      <c r="D3481">
        <v>2039</v>
      </c>
      <c r="E3481" t="s">
        <v>126</v>
      </c>
      <c r="F3481" t="s">
        <v>386</v>
      </c>
      <c r="G3481">
        <v>130</v>
      </c>
      <c r="I3481">
        <f t="shared" si="213"/>
        <v>0</v>
      </c>
      <c r="J3481">
        <f t="shared" si="213"/>
        <v>0</v>
      </c>
      <c r="K3481">
        <f t="shared" si="213"/>
        <v>0</v>
      </c>
      <c r="M3481" t="str" cm="1">
        <f t="array" ref="M3481">IFERROR(INDEX($I$2:$K$2,0,MATCH(TRUE,I3481:K3481,0)),E3481)</f>
        <v>Hydro_seasonal_storage</v>
      </c>
      <c r="O3481" t="str">
        <f t="shared" si="211"/>
        <v>Hydro_seasonal_storage_2039</v>
      </c>
      <c r="P3481">
        <f t="shared" si="212"/>
        <v>130</v>
      </c>
    </row>
    <row r="3482" spans="4:16" x14ac:dyDescent="0.25">
      <c r="D3482">
        <v>2040</v>
      </c>
      <c r="E3482" t="s">
        <v>126</v>
      </c>
      <c r="F3482" t="s">
        <v>386</v>
      </c>
      <c r="G3482">
        <v>130</v>
      </c>
      <c r="I3482">
        <f t="shared" si="213"/>
        <v>0</v>
      </c>
      <c r="J3482">
        <f t="shared" si="213"/>
        <v>0</v>
      </c>
      <c r="K3482">
        <f t="shared" si="213"/>
        <v>0</v>
      </c>
      <c r="M3482" t="str" cm="1">
        <f t="array" ref="M3482">IFERROR(INDEX($I$2:$K$2,0,MATCH(TRUE,I3482:K3482,0)),E3482)</f>
        <v>Hydro_seasonal_storage</v>
      </c>
      <c r="O3482" t="str">
        <f t="shared" si="211"/>
        <v>Hydro_seasonal_storage_2040</v>
      </c>
      <c r="P3482">
        <f t="shared" si="212"/>
        <v>130</v>
      </c>
    </row>
    <row r="3483" spans="4:16" x14ac:dyDescent="0.25">
      <c r="D3483">
        <v>2021</v>
      </c>
      <c r="E3483" t="s">
        <v>126</v>
      </c>
      <c r="F3483" t="s">
        <v>387</v>
      </c>
      <c r="G3483">
        <v>140</v>
      </c>
      <c r="I3483">
        <f t="shared" si="213"/>
        <v>0</v>
      </c>
      <c r="J3483">
        <f t="shared" si="213"/>
        <v>0</v>
      </c>
      <c r="K3483">
        <f t="shared" si="213"/>
        <v>0</v>
      </c>
      <c r="M3483" t="str" cm="1">
        <f t="array" ref="M3483">IFERROR(INDEX($I$2:$K$2,0,MATCH(TRUE,I3483:K3483,0)),E3483)</f>
        <v>Hydro_seasonal_storage</v>
      </c>
      <c r="O3483" t="str">
        <f t="shared" si="211"/>
        <v>Hydro_seasonal_storage_2021</v>
      </c>
      <c r="P3483">
        <f t="shared" si="212"/>
        <v>140</v>
      </c>
    </row>
    <row r="3484" spans="4:16" x14ac:dyDescent="0.25">
      <c r="D3484">
        <v>2022</v>
      </c>
      <c r="E3484" t="s">
        <v>126</v>
      </c>
      <c r="F3484" t="s">
        <v>387</v>
      </c>
      <c r="G3484">
        <v>140</v>
      </c>
      <c r="I3484">
        <f t="shared" si="213"/>
        <v>0</v>
      </c>
      <c r="J3484">
        <f t="shared" si="213"/>
        <v>0</v>
      </c>
      <c r="K3484">
        <f t="shared" si="213"/>
        <v>0</v>
      </c>
      <c r="M3484" t="str" cm="1">
        <f t="array" ref="M3484">IFERROR(INDEX($I$2:$K$2,0,MATCH(TRUE,I3484:K3484,0)),E3484)</f>
        <v>Hydro_seasonal_storage</v>
      </c>
      <c r="O3484" t="str">
        <f t="shared" si="211"/>
        <v>Hydro_seasonal_storage_2022</v>
      </c>
      <c r="P3484">
        <f t="shared" si="212"/>
        <v>140</v>
      </c>
    </row>
    <row r="3485" spans="4:16" x14ac:dyDescent="0.25">
      <c r="D3485">
        <v>2023</v>
      </c>
      <c r="E3485" t="s">
        <v>126</v>
      </c>
      <c r="F3485" t="s">
        <v>387</v>
      </c>
      <c r="G3485">
        <v>140</v>
      </c>
      <c r="I3485">
        <f t="shared" si="213"/>
        <v>0</v>
      </c>
      <c r="J3485">
        <f t="shared" si="213"/>
        <v>0</v>
      </c>
      <c r="K3485">
        <f t="shared" si="213"/>
        <v>0</v>
      </c>
      <c r="M3485" t="str" cm="1">
        <f t="array" ref="M3485">IFERROR(INDEX($I$2:$K$2,0,MATCH(TRUE,I3485:K3485,0)),E3485)</f>
        <v>Hydro_seasonal_storage</v>
      </c>
      <c r="O3485" t="str">
        <f t="shared" si="211"/>
        <v>Hydro_seasonal_storage_2023</v>
      </c>
      <c r="P3485">
        <f t="shared" si="212"/>
        <v>140</v>
      </c>
    </row>
    <row r="3486" spans="4:16" x14ac:dyDescent="0.25">
      <c r="D3486">
        <v>2024</v>
      </c>
      <c r="E3486" t="s">
        <v>126</v>
      </c>
      <c r="F3486" t="s">
        <v>387</v>
      </c>
      <c r="G3486">
        <v>140</v>
      </c>
      <c r="I3486">
        <f t="shared" si="213"/>
        <v>0</v>
      </c>
      <c r="J3486">
        <f t="shared" si="213"/>
        <v>0</v>
      </c>
      <c r="K3486">
        <f t="shared" si="213"/>
        <v>0</v>
      </c>
      <c r="M3486" t="str" cm="1">
        <f t="array" ref="M3486">IFERROR(INDEX($I$2:$K$2,0,MATCH(TRUE,I3486:K3486,0)),E3486)</f>
        <v>Hydro_seasonal_storage</v>
      </c>
      <c r="O3486" t="str">
        <f t="shared" si="211"/>
        <v>Hydro_seasonal_storage_2024</v>
      </c>
      <c r="P3486">
        <f t="shared" si="212"/>
        <v>140</v>
      </c>
    </row>
    <row r="3487" spans="4:16" x14ac:dyDescent="0.25">
      <c r="D3487">
        <v>2025</v>
      </c>
      <c r="E3487" t="s">
        <v>126</v>
      </c>
      <c r="F3487" t="s">
        <v>387</v>
      </c>
      <c r="G3487">
        <v>140</v>
      </c>
      <c r="I3487">
        <f t="shared" si="213"/>
        <v>0</v>
      </c>
      <c r="J3487">
        <f t="shared" si="213"/>
        <v>0</v>
      </c>
      <c r="K3487">
        <f t="shared" si="213"/>
        <v>0</v>
      </c>
      <c r="M3487" t="str" cm="1">
        <f t="array" ref="M3487">IFERROR(INDEX($I$2:$K$2,0,MATCH(TRUE,I3487:K3487,0)),E3487)</f>
        <v>Hydro_seasonal_storage</v>
      </c>
      <c r="O3487" t="str">
        <f t="shared" si="211"/>
        <v>Hydro_seasonal_storage_2025</v>
      </c>
      <c r="P3487">
        <f t="shared" si="212"/>
        <v>140</v>
      </c>
    </row>
    <row r="3488" spans="4:16" x14ac:dyDescent="0.25">
      <c r="D3488">
        <v>2026</v>
      </c>
      <c r="E3488" t="s">
        <v>126</v>
      </c>
      <c r="F3488" t="s">
        <v>387</v>
      </c>
      <c r="G3488">
        <v>140</v>
      </c>
      <c r="I3488">
        <f t="shared" si="213"/>
        <v>0</v>
      </c>
      <c r="J3488">
        <f t="shared" si="213"/>
        <v>0</v>
      </c>
      <c r="K3488">
        <f t="shared" si="213"/>
        <v>0</v>
      </c>
      <c r="M3488" t="str" cm="1">
        <f t="array" ref="M3488">IFERROR(INDEX($I$2:$K$2,0,MATCH(TRUE,I3488:K3488,0)),E3488)</f>
        <v>Hydro_seasonal_storage</v>
      </c>
      <c r="O3488" t="str">
        <f t="shared" si="211"/>
        <v>Hydro_seasonal_storage_2026</v>
      </c>
      <c r="P3488">
        <f t="shared" si="212"/>
        <v>140</v>
      </c>
    </row>
    <row r="3489" spans="4:16" x14ac:dyDescent="0.25">
      <c r="D3489">
        <v>2027</v>
      </c>
      <c r="E3489" t="s">
        <v>126</v>
      </c>
      <c r="F3489" t="s">
        <v>387</v>
      </c>
      <c r="G3489">
        <v>140</v>
      </c>
      <c r="I3489">
        <f t="shared" si="213"/>
        <v>0</v>
      </c>
      <c r="J3489">
        <f t="shared" si="213"/>
        <v>0</v>
      </c>
      <c r="K3489">
        <f t="shared" si="213"/>
        <v>0</v>
      </c>
      <c r="M3489" t="str" cm="1">
        <f t="array" ref="M3489">IFERROR(INDEX($I$2:$K$2,0,MATCH(TRUE,I3489:K3489,0)),E3489)</f>
        <v>Hydro_seasonal_storage</v>
      </c>
      <c r="O3489" t="str">
        <f t="shared" si="211"/>
        <v>Hydro_seasonal_storage_2027</v>
      </c>
      <c r="P3489">
        <f t="shared" si="212"/>
        <v>140</v>
      </c>
    </row>
    <row r="3490" spans="4:16" x14ac:dyDescent="0.25">
      <c r="D3490">
        <v>2028</v>
      </c>
      <c r="E3490" t="s">
        <v>126</v>
      </c>
      <c r="F3490" t="s">
        <v>387</v>
      </c>
      <c r="G3490">
        <v>140</v>
      </c>
      <c r="I3490">
        <f t="shared" si="213"/>
        <v>0</v>
      </c>
      <c r="J3490">
        <f t="shared" si="213"/>
        <v>0</v>
      </c>
      <c r="K3490">
        <f t="shared" si="213"/>
        <v>0</v>
      </c>
      <c r="M3490" t="str" cm="1">
        <f t="array" ref="M3490">IFERROR(INDEX($I$2:$K$2,0,MATCH(TRUE,I3490:K3490,0)),E3490)</f>
        <v>Hydro_seasonal_storage</v>
      </c>
      <c r="O3490" t="str">
        <f t="shared" si="211"/>
        <v>Hydro_seasonal_storage_2028</v>
      </c>
      <c r="P3490">
        <f t="shared" si="212"/>
        <v>140</v>
      </c>
    </row>
    <row r="3491" spans="4:16" x14ac:dyDescent="0.25">
      <c r="D3491">
        <v>2029</v>
      </c>
      <c r="E3491" t="s">
        <v>126</v>
      </c>
      <c r="F3491" t="s">
        <v>387</v>
      </c>
      <c r="G3491">
        <v>140</v>
      </c>
      <c r="I3491">
        <f t="shared" si="213"/>
        <v>0</v>
      </c>
      <c r="J3491">
        <f t="shared" si="213"/>
        <v>0</v>
      </c>
      <c r="K3491">
        <f t="shared" si="213"/>
        <v>0</v>
      </c>
      <c r="M3491" t="str" cm="1">
        <f t="array" ref="M3491">IFERROR(INDEX($I$2:$K$2,0,MATCH(TRUE,I3491:K3491,0)),E3491)</f>
        <v>Hydro_seasonal_storage</v>
      </c>
      <c r="O3491" t="str">
        <f t="shared" si="211"/>
        <v>Hydro_seasonal_storage_2029</v>
      </c>
      <c r="P3491">
        <f t="shared" si="212"/>
        <v>140</v>
      </c>
    </row>
    <row r="3492" spans="4:16" x14ac:dyDescent="0.25">
      <c r="D3492">
        <v>2030</v>
      </c>
      <c r="E3492" t="s">
        <v>126</v>
      </c>
      <c r="F3492" t="s">
        <v>387</v>
      </c>
      <c r="G3492">
        <v>140</v>
      </c>
      <c r="I3492">
        <f t="shared" si="213"/>
        <v>0</v>
      </c>
      <c r="J3492">
        <f t="shared" si="213"/>
        <v>0</v>
      </c>
      <c r="K3492">
        <f t="shared" si="213"/>
        <v>0</v>
      </c>
      <c r="M3492" t="str" cm="1">
        <f t="array" ref="M3492">IFERROR(INDEX($I$2:$K$2,0,MATCH(TRUE,I3492:K3492,0)),E3492)</f>
        <v>Hydro_seasonal_storage</v>
      </c>
      <c r="O3492" t="str">
        <f t="shared" si="211"/>
        <v>Hydro_seasonal_storage_2030</v>
      </c>
      <c r="P3492">
        <f t="shared" si="212"/>
        <v>140</v>
      </c>
    </row>
    <row r="3493" spans="4:16" x14ac:dyDescent="0.25">
      <c r="D3493">
        <v>2031</v>
      </c>
      <c r="E3493" t="s">
        <v>126</v>
      </c>
      <c r="F3493" t="s">
        <v>387</v>
      </c>
      <c r="G3493">
        <v>140</v>
      </c>
      <c r="I3493">
        <f t="shared" si="213"/>
        <v>0</v>
      </c>
      <c r="J3493">
        <f t="shared" si="213"/>
        <v>0</v>
      </c>
      <c r="K3493">
        <f t="shared" si="213"/>
        <v>0</v>
      </c>
      <c r="M3493" t="str" cm="1">
        <f t="array" ref="M3493">IFERROR(INDEX($I$2:$K$2,0,MATCH(TRUE,I3493:K3493,0)),E3493)</f>
        <v>Hydro_seasonal_storage</v>
      </c>
      <c r="O3493" t="str">
        <f t="shared" si="211"/>
        <v>Hydro_seasonal_storage_2031</v>
      </c>
      <c r="P3493">
        <f t="shared" si="212"/>
        <v>140</v>
      </c>
    </row>
    <row r="3494" spans="4:16" x14ac:dyDescent="0.25">
      <c r="D3494">
        <v>2032</v>
      </c>
      <c r="E3494" t="s">
        <v>126</v>
      </c>
      <c r="F3494" t="s">
        <v>387</v>
      </c>
      <c r="G3494">
        <v>140</v>
      </c>
      <c r="I3494">
        <f t="shared" si="213"/>
        <v>0</v>
      </c>
      <c r="J3494">
        <f t="shared" si="213"/>
        <v>0</v>
      </c>
      <c r="K3494">
        <f t="shared" si="213"/>
        <v>0</v>
      </c>
      <c r="M3494" t="str" cm="1">
        <f t="array" ref="M3494">IFERROR(INDEX($I$2:$K$2,0,MATCH(TRUE,I3494:K3494,0)),E3494)</f>
        <v>Hydro_seasonal_storage</v>
      </c>
      <c r="O3494" t="str">
        <f t="shared" si="211"/>
        <v>Hydro_seasonal_storage_2032</v>
      </c>
      <c r="P3494">
        <f t="shared" si="212"/>
        <v>140</v>
      </c>
    </row>
    <row r="3495" spans="4:16" x14ac:dyDescent="0.25">
      <c r="D3495">
        <v>2033</v>
      </c>
      <c r="E3495" t="s">
        <v>126</v>
      </c>
      <c r="F3495" t="s">
        <v>387</v>
      </c>
      <c r="G3495">
        <v>140</v>
      </c>
      <c r="I3495">
        <f t="shared" si="213"/>
        <v>0</v>
      </c>
      <c r="J3495">
        <f t="shared" si="213"/>
        <v>0</v>
      </c>
      <c r="K3495">
        <f t="shared" si="213"/>
        <v>0</v>
      </c>
      <c r="M3495" t="str" cm="1">
        <f t="array" ref="M3495">IFERROR(INDEX($I$2:$K$2,0,MATCH(TRUE,I3495:K3495,0)),E3495)</f>
        <v>Hydro_seasonal_storage</v>
      </c>
      <c r="O3495" t="str">
        <f t="shared" si="211"/>
        <v>Hydro_seasonal_storage_2033</v>
      </c>
      <c r="P3495">
        <f t="shared" si="212"/>
        <v>140</v>
      </c>
    </row>
    <row r="3496" spans="4:16" x14ac:dyDescent="0.25">
      <c r="D3496">
        <v>2034</v>
      </c>
      <c r="E3496" t="s">
        <v>126</v>
      </c>
      <c r="F3496" t="s">
        <v>387</v>
      </c>
      <c r="G3496">
        <v>140</v>
      </c>
      <c r="I3496">
        <f t="shared" si="213"/>
        <v>0</v>
      </c>
      <c r="J3496">
        <f t="shared" si="213"/>
        <v>0</v>
      </c>
      <c r="K3496">
        <f t="shared" si="213"/>
        <v>0</v>
      </c>
      <c r="M3496" t="str" cm="1">
        <f t="array" ref="M3496">IFERROR(INDEX($I$2:$K$2,0,MATCH(TRUE,I3496:K3496,0)),E3496)</f>
        <v>Hydro_seasonal_storage</v>
      </c>
      <c r="O3496" t="str">
        <f t="shared" si="211"/>
        <v>Hydro_seasonal_storage_2034</v>
      </c>
      <c r="P3496">
        <f t="shared" si="212"/>
        <v>140</v>
      </c>
    </row>
    <row r="3497" spans="4:16" x14ac:dyDescent="0.25">
      <c r="D3497">
        <v>2035</v>
      </c>
      <c r="E3497" t="s">
        <v>126</v>
      </c>
      <c r="F3497" t="s">
        <v>387</v>
      </c>
      <c r="G3497">
        <v>140</v>
      </c>
      <c r="I3497">
        <f t="shared" si="213"/>
        <v>0</v>
      </c>
      <c r="J3497">
        <f t="shared" si="213"/>
        <v>0</v>
      </c>
      <c r="K3497">
        <f t="shared" si="213"/>
        <v>0</v>
      </c>
      <c r="M3497" t="str" cm="1">
        <f t="array" ref="M3497">IFERROR(INDEX($I$2:$K$2,0,MATCH(TRUE,I3497:K3497,0)),E3497)</f>
        <v>Hydro_seasonal_storage</v>
      </c>
      <c r="O3497" t="str">
        <f t="shared" si="211"/>
        <v>Hydro_seasonal_storage_2035</v>
      </c>
      <c r="P3497">
        <f t="shared" si="212"/>
        <v>140</v>
      </c>
    </row>
    <row r="3498" spans="4:16" x14ac:dyDescent="0.25">
      <c r="D3498">
        <v>2036</v>
      </c>
      <c r="E3498" t="s">
        <v>126</v>
      </c>
      <c r="F3498" t="s">
        <v>387</v>
      </c>
      <c r="G3498">
        <v>140</v>
      </c>
      <c r="I3498">
        <f t="shared" si="213"/>
        <v>0</v>
      </c>
      <c r="J3498">
        <f t="shared" si="213"/>
        <v>0</v>
      </c>
      <c r="K3498">
        <f t="shared" si="213"/>
        <v>0</v>
      </c>
      <c r="M3498" t="str" cm="1">
        <f t="array" ref="M3498">IFERROR(INDEX($I$2:$K$2,0,MATCH(TRUE,I3498:K3498,0)),E3498)</f>
        <v>Hydro_seasonal_storage</v>
      </c>
      <c r="O3498" t="str">
        <f t="shared" si="211"/>
        <v>Hydro_seasonal_storage_2036</v>
      </c>
      <c r="P3498">
        <f t="shared" si="212"/>
        <v>140</v>
      </c>
    </row>
    <row r="3499" spans="4:16" x14ac:dyDescent="0.25">
      <c r="D3499">
        <v>2037</v>
      </c>
      <c r="E3499" t="s">
        <v>126</v>
      </c>
      <c r="F3499" t="s">
        <v>387</v>
      </c>
      <c r="G3499">
        <v>140</v>
      </c>
      <c r="I3499">
        <f t="shared" si="213"/>
        <v>0</v>
      </c>
      <c r="J3499">
        <f t="shared" si="213"/>
        <v>0</v>
      </c>
      <c r="K3499">
        <f t="shared" si="213"/>
        <v>0</v>
      </c>
      <c r="M3499" t="str" cm="1">
        <f t="array" ref="M3499">IFERROR(INDEX($I$2:$K$2,0,MATCH(TRUE,I3499:K3499,0)),E3499)</f>
        <v>Hydro_seasonal_storage</v>
      </c>
      <c r="O3499" t="str">
        <f t="shared" si="211"/>
        <v>Hydro_seasonal_storage_2037</v>
      </c>
      <c r="P3499">
        <f t="shared" si="212"/>
        <v>140</v>
      </c>
    </row>
    <row r="3500" spans="4:16" x14ac:dyDescent="0.25">
      <c r="D3500">
        <v>2038</v>
      </c>
      <c r="E3500" t="s">
        <v>126</v>
      </c>
      <c r="F3500" t="s">
        <v>387</v>
      </c>
      <c r="G3500">
        <v>140</v>
      </c>
      <c r="I3500">
        <f t="shared" si="213"/>
        <v>0</v>
      </c>
      <c r="J3500">
        <f t="shared" si="213"/>
        <v>0</v>
      </c>
      <c r="K3500">
        <f t="shared" si="213"/>
        <v>0</v>
      </c>
      <c r="M3500" t="str" cm="1">
        <f t="array" ref="M3500">IFERROR(INDEX($I$2:$K$2,0,MATCH(TRUE,I3500:K3500,0)),E3500)</f>
        <v>Hydro_seasonal_storage</v>
      </c>
      <c r="O3500" t="str">
        <f t="shared" si="211"/>
        <v>Hydro_seasonal_storage_2038</v>
      </c>
      <c r="P3500">
        <f t="shared" si="212"/>
        <v>140</v>
      </c>
    </row>
    <row r="3501" spans="4:16" x14ac:dyDescent="0.25">
      <c r="D3501">
        <v>2039</v>
      </c>
      <c r="E3501" t="s">
        <v>126</v>
      </c>
      <c r="F3501" t="s">
        <v>387</v>
      </c>
      <c r="G3501">
        <v>140</v>
      </c>
      <c r="I3501">
        <f t="shared" si="213"/>
        <v>0</v>
      </c>
      <c r="J3501">
        <f t="shared" si="213"/>
        <v>0</v>
      </c>
      <c r="K3501">
        <f t="shared" si="213"/>
        <v>0</v>
      </c>
      <c r="M3501" t="str" cm="1">
        <f t="array" ref="M3501">IFERROR(INDEX($I$2:$K$2,0,MATCH(TRUE,I3501:K3501,0)),E3501)</f>
        <v>Hydro_seasonal_storage</v>
      </c>
      <c r="O3501" t="str">
        <f t="shared" si="211"/>
        <v>Hydro_seasonal_storage_2039</v>
      </c>
      <c r="P3501">
        <f t="shared" si="212"/>
        <v>140</v>
      </c>
    </row>
    <row r="3502" spans="4:16" x14ac:dyDescent="0.25">
      <c r="D3502">
        <v>2040</v>
      </c>
      <c r="E3502" t="s">
        <v>126</v>
      </c>
      <c r="F3502" t="s">
        <v>387</v>
      </c>
      <c r="G3502">
        <v>140</v>
      </c>
      <c r="I3502">
        <f t="shared" si="213"/>
        <v>0</v>
      </c>
      <c r="J3502">
        <f t="shared" si="213"/>
        <v>0</v>
      </c>
      <c r="K3502">
        <f t="shared" si="213"/>
        <v>0</v>
      </c>
      <c r="M3502" t="str" cm="1">
        <f t="array" ref="M3502">IFERROR(INDEX($I$2:$K$2,0,MATCH(TRUE,I3502:K3502,0)),E3502)</f>
        <v>Hydro_seasonal_storage</v>
      </c>
      <c r="O3502" t="str">
        <f t="shared" si="211"/>
        <v>Hydro_seasonal_storage_2040</v>
      </c>
      <c r="P3502">
        <f t="shared" si="212"/>
        <v>140</v>
      </c>
    </row>
    <row r="3503" spans="4:16" x14ac:dyDescent="0.25">
      <c r="D3503">
        <v>2021</v>
      </c>
      <c r="E3503" t="s">
        <v>126</v>
      </c>
      <c r="F3503" t="s">
        <v>388</v>
      </c>
      <c r="G3503">
        <v>360</v>
      </c>
      <c r="I3503">
        <f t="shared" si="213"/>
        <v>0</v>
      </c>
      <c r="J3503">
        <f t="shared" si="213"/>
        <v>0</v>
      </c>
      <c r="K3503">
        <f t="shared" si="213"/>
        <v>0</v>
      </c>
      <c r="M3503" t="str" cm="1">
        <f t="array" ref="M3503">IFERROR(INDEX($I$2:$K$2,0,MATCH(TRUE,I3503:K3503,0)),E3503)</f>
        <v>Hydro_seasonal_storage</v>
      </c>
      <c r="O3503" t="str">
        <f t="shared" si="211"/>
        <v>Hydro_seasonal_storage_2021</v>
      </c>
      <c r="P3503">
        <f t="shared" si="212"/>
        <v>360</v>
      </c>
    </row>
    <row r="3504" spans="4:16" x14ac:dyDescent="0.25">
      <c r="D3504">
        <v>2022</v>
      </c>
      <c r="E3504" t="s">
        <v>126</v>
      </c>
      <c r="F3504" t="s">
        <v>388</v>
      </c>
      <c r="G3504">
        <v>360</v>
      </c>
      <c r="I3504">
        <f t="shared" si="213"/>
        <v>0</v>
      </c>
      <c r="J3504">
        <f t="shared" si="213"/>
        <v>0</v>
      </c>
      <c r="K3504">
        <f t="shared" si="213"/>
        <v>0</v>
      </c>
      <c r="M3504" t="str" cm="1">
        <f t="array" ref="M3504">IFERROR(INDEX($I$2:$K$2,0,MATCH(TRUE,I3504:K3504,0)),E3504)</f>
        <v>Hydro_seasonal_storage</v>
      </c>
      <c r="O3504" t="str">
        <f t="shared" si="211"/>
        <v>Hydro_seasonal_storage_2022</v>
      </c>
      <c r="P3504">
        <f t="shared" si="212"/>
        <v>360</v>
      </c>
    </row>
    <row r="3505" spans="4:16" x14ac:dyDescent="0.25">
      <c r="D3505">
        <v>2023</v>
      </c>
      <c r="E3505" t="s">
        <v>126</v>
      </c>
      <c r="F3505" t="s">
        <v>388</v>
      </c>
      <c r="G3505">
        <v>360</v>
      </c>
      <c r="I3505">
        <f t="shared" si="213"/>
        <v>0</v>
      </c>
      <c r="J3505">
        <f t="shared" si="213"/>
        <v>0</v>
      </c>
      <c r="K3505">
        <f t="shared" si="213"/>
        <v>0</v>
      </c>
      <c r="M3505" t="str" cm="1">
        <f t="array" ref="M3505">IFERROR(INDEX($I$2:$K$2,0,MATCH(TRUE,I3505:K3505,0)),E3505)</f>
        <v>Hydro_seasonal_storage</v>
      </c>
      <c r="O3505" t="str">
        <f t="shared" si="211"/>
        <v>Hydro_seasonal_storage_2023</v>
      </c>
      <c r="P3505">
        <f t="shared" si="212"/>
        <v>360</v>
      </c>
    </row>
    <row r="3506" spans="4:16" x14ac:dyDescent="0.25">
      <c r="D3506">
        <v>2024</v>
      </c>
      <c r="E3506" t="s">
        <v>126</v>
      </c>
      <c r="F3506" t="s">
        <v>388</v>
      </c>
      <c r="G3506">
        <v>360</v>
      </c>
      <c r="I3506">
        <f t="shared" si="213"/>
        <v>0</v>
      </c>
      <c r="J3506">
        <f t="shared" si="213"/>
        <v>0</v>
      </c>
      <c r="K3506">
        <f t="shared" si="213"/>
        <v>0</v>
      </c>
      <c r="M3506" t="str" cm="1">
        <f t="array" ref="M3506">IFERROR(INDEX($I$2:$K$2,0,MATCH(TRUE,I3506:K3506,0)),E3506)</f>
        <v>Hydro_seasonal_storage</v>
      </c>
      <c r="O3506" t="str">
        <f t="shared" si="211"/>
        <v>Hydro_seasonal_storage_2024</v>
      </c>
      <c r="P3506">
        <f t="shared" si="212"/>
        <v>360</v>
      </c>
    </row>
    <row r="3507" spans="4:16" x14ac:dyDescent="0.25">
      <c r="D3507">
        <v>2025</v>
      </c>
      <c r="E3507" t="s">
        <v>126</v>
      </c>
      <c r="F3507" t="s">
        <v>388</v>
      </c>
      <c r="G3507">
        <v>360</v>
      </c>
      <c r="I3507">
        <f t="shared" si="213"/>
        <v>0</v>
      </c>
      <c r="J3507">
        <f t="shared" si="213"/>
        <v>0</v>
      </c>
      <c r="K3507">
        <f t="shared" si="213"/>
        <v>0</v>
      </c>
      <c r="M3507" t="str" cm="1">
        <f t="array" ref="M3507">IFERROR(INDEX($I$2:$K$2,0,MATCH(TRUE,I3507:K3507,0)),E3507)</f>
        <v>Hydro_seasonal_storage</v>
      </c>
      <c r="O3507" t="str">
        <f t="shared" si="211"/>
        <v>Hydro_seasonal_storage_2025</v>
      </c>
      <c r="P3507">
        <f t="shared" si="212"/>
        <v>360</v>
      </c>
    </row>
    <row r="3508" spans="4:16" x14ac:dyDescent="0.25">
      <c r="D3508">
        <v>2026</v>
      </c>
      <c r="E3508" t="s">
        <v>126</v>
      </c>
      <c r="F3508" t="s">
        <v>388</v>
      </c>
      <c r="G3508">
        <v>360</v>
      </c>
      <c r="I3508">
        <f t="shared" si="213"/>
        <v>0</v>
      </c>
      <c r="J3508">
        <f t="shared" si="213"/>
        <v>0</v>
      </c>
      <c r="K3508">
        <f t="shared" si="213"/>
        <v>0</v>
      </c>
      <c r="M3508" t="str" cm="1">
        <f t="array" ref="M3508">IFERROR(INDEX($I$2:$K$2,0,MATCH(TRUE,I3508:K3508,0)),E3508)</f>
        <v>Hydro_seasonal_storage</v>
      </c>
      <c r="O3508" t="str">
        <f t="shared" si="211"/>
        <v>Hydro_seasonal_storage_2026</v>
      </c>
      <c r="P3508">
        <f t="shared" si="212"/>
        <v>360</v>
      </c>
    </row>
    <row r="3509" spans="4:16" x14ac:dyDescent="0.25">
      <c r="D3509">
        <v>2027</v>
      </c>
      <c r="E3509" t="s">
        <v>126</v>
      </c>
      <c r="F3509" t="s">
        <v>388</v>
      </c>
      <c r="G3509">
        <v>360</v>
      </c>
      <c r="I3509">
        <f t="shared" si="213"/>
        <v>0</v>
      </c>
      <c r="J3509">
        <f t="shared" si="213"/>
        <v>0</v>
      </c>
      <c r="K3509">
        <f t="shared" si="213"/>
        <v>0</v>
      </c>
      <c r="M3509" t="str" cm="1">
        <f t="array" ref="M3509">IFERROR(INDEX($I$2:$K$2,0,MATCH(TRUE,I3509:K3509,0)),E3509)</f>
        <v>Hydro_seasonal_storage</v>
      </c>
      <c r="O3509" t="str">
        <f t="shared" si="211"/>
        <v>Hydro_seasonal_storage_2027</v>
      </c>
      <c r="P3509">
        <f t="shared" si="212"/>
        <v>360</v>
      </c>
    </row>
    <row r="3510" spans="4:16" x14ac:dyDescent="0.25">
      <c r="D3510">
        <v>2028</v>
      </c>
      <c r="E3510" t="s">
        <v>126</v>
      </c>
      <c r="F3510" t="s">
        <v>388</v>
      </c>
      <c r="G3510">
        <v>360</v>
      </c>
      <c r="I3510">
        <f t="shared" si="213"/>
        <v>0</v>
      </c>
      <c r="J3510">
        <f t="shared" si="213"/>
        <v>0</v>
      </c>
      <c r="K3510">
        <f t="shared" si="213"/>
        <v>0</v>
      </c>
      <c r="M3510" t="str" cm="1">
        <f t="array" ref="M3510">IFERROR(INDEX($I$2:$K$2,0,MATCH(TRUE,I3510:K3510,0)),E3510)</f>
        <v>Hydro_seasonal_storage</v>
      </c>
      <c r="O3510" t="str">
        <f t="shared" si="211"/>
        <v>Hydro_seasonal_storage_2028</v>
      </c>
      <c r="P3510">
        <f t="shared" si="212"/>
        <v>360</v>
      </c>
    </row>
    <row r="3511" spans="4:16" x14ac:dyDescent="0.25">
      <c r="D3511">
        <v>2029</v>
      </c>
      <c r="E3511" t="s">
        <v>126</v>
      </c>
      <c r="F3511" t="s">
        <v>388</v>
      </c>
      <c r="G3511">
        <v>360</v>
      </c>
      <c r="I3511">
        <f t="shared" si="213"/>
        <v>0</v>
      </c>
      <c r="J3511">
        <f t="shared" si="213"/>
        <v>0</v>
      </c>
      <c r="K3511">
        <f t="shared" si="213"/>
        <v>0</v>
      </c>
      <c r="M3511" t="str" cm="1">
        <f t="array" ref="M3511">IFERROR(INDEX($I$2:$K$2,0,MATCH(TRUE,I3511:K3511,0)),E3511)</f>
        <v>Hydro_seasonal_storage</v>
      </c>
      <c r="O3511" t="str">
        <f t="shared" si="211"/>
        <v>Hydro_seasonal_storage_2029</v>
      </c>
      <c r="P3511">
        <f t="shared" si="212"/>
        <v>360</v>
      </c>
    </row>
    <row r="3512" spans="4:16" x14ac:dyDescent="0.25">
      <c r="D3512">
        <v>2030</v>
      </c>
      <c r="E3512" t="s">
        <v>126</v>
      </c>
      <c r="F3512" t="s">
        <v>388</v>
      </c>
      <c r="G3512">
        <v>360</v>
      </c>
      <c r="I3512">
        <f t="shared" si="213"/>
        <v>0</v>
      </c>
      <c r="J3512">
        <f t="shared" si="213"/>
        <v>0</v>
      </c>
      <c r="K3512">
        <f t="shared" si="213"/>
        <v>0</v>
      </c>
      <c r="M3512" t="str" cm="1">
        <f t="array" ref="M3512">IFERROR(INDEX($I$2:$K$2,0,MATCH(TRUE,I3512:K3512,0)),E3512)</f>
        <v>Hydro_seasonal_storage</v>
      </c>
      <c r="O3512" t="str">
        <f t="shared" si="211"/>
        <v>Hydro_seasonal_storage_2030</v>
      </c>
      <c r="P3512">
        <f t="shared" si="212"/>
        <v>360</v>
      </c>
    </row>
    <row r="3513" spans="4:16" x14ac:dyDescent="0.25">
      <c r="D3513">
        <v>2031</v>
      </c>
      <c r="E3513" t="s">
        <v>126</v>
      </c>
      <c r="F3513" t="s">
        <v>388</v>
      </c>
      <c r="G3513">
        <v>360</v>
      </c>
      <c r="I3513">
        <f t="shared" si="213"/>
        <v>0</v>
      </c>
      <c r="J3513">
        <f t="shared" si="213"/>
        <v>0</v>
      </c>
      <c r="K3513">
        <f t="shared" si="213"/>
        <v>0</v>
      </c>
      <c r="M3513" t="str" cm="1">
        <f t="array" ref="M3513">IFERROR(INDEX($I$2:$K$2,0,MATCH(TRUE,I3513:K3513,0)),E3513)</f>
        <v>Hydro_seasonal_storage</v>
      </c>
      <c r="O3513" t="str">
        <f t="shared" si="211"/>
        <v>Hydro_seasonal_storage_2031</v>
      </c>
      <c r="P3513">
        <f t="shared" si="212"/>
        <v>360</v>
      </c>
    </row>
    <row r="3514" spans="4:16" x14ac:dyDescent="0.25">
      <c r="D3514">
        <v>2032</v>
      </c>
      <c r="E3514" t="s">
        <v>126</v>
      </c>
      <c r="F3514" t="s">
        <v>388</v>
      </c>
      <c r="G3514">
        <v>360</v>
      </c>
      <c r="I3514">
        <f t="shared" si="213"/>
        <v>0</v>
      </c>
      <c r="J3514">
        <f t="shared" si="213"/>
        <v>0</v>
      </c>
      <c r="K3514">
        <f t="shared" si="213"/>
        <v>0</v>
      </c>
      <c r="M3514" t="str" cm="1">
        <f t="array" ref="M3514">IFERROR(INDEX($I$2:$K$2,0,MATCH(TRUE,I3514:K3514,0)),E3514)</f>
        <v>Hydro_seasonal_storage</v>
      </c>
      <c r="O3514" t="str">
        <f t="shared" si="211"/>
        <v>Hydro_seasonal_storage_2032</v>
      </c>
      <c r="P3514">
        <f t="shared" si="212"/>
        <v>360</v>
      </c>
    </row>
    <row r="3515" spans="4:16" x14ac:dyDescent="0.25">
      <c r="D3515">
        <v>2033</v>
      </c>
      <c r="E3515" t="s">
        <v>126</v>
      </c>
      <c r="F3515" t="s">
        <v>388</v>
      </c>
      <c r="G3515">
        <v>360</v>
      </c>
      <c r="I3515">
        <f t="shared" si="213"/>
        <v>0</v>
      </c>
      <c r="J3515">
        <f t="shared" si="213"/>
        <v>0</v>
      </c>
      <c r="K3515">
        <f t="shared" si="213"/>
        <v>0</v>
      </c>
      <c r="M3515" t="str" cm="1">
        <f t="array" ref="M3515">IFERROR(INDEX($I$2:$K$2,0,MATCH(TRUE,I3515:K3515,0)),E3515)</f>
        <v>Hydro_seasonal_storage</v>
      </c>
      <c r="O3515" t="str">
        <f t="shared" si="211"/>
        <v>Hydro_seasonal_storage_2033</v>
      </c>
      <c r="P3515">
        <f t="shared" si="212"/>
        <v>360</v>
      </c>
    </row>
    <row r="3516" spans="4:16" x14ac:dyDescent="0.25">
      <c r="D3516">
        <v>2034</v>
      </c>
      <c r="E3516" t="s">
        <v>126</v>
      </c>
      <c r="F3516" t="s">
        <v>388</v>
      </c>
      <c r="G3516">
        <v>360</v>
      </c>
      <c r="I3516">
        <f t="shared" si="213"/>
        <v>0</v>
      </c>
      <c r="J3516">
        <f t="shared" si="213"/>
        <v>0</v>
      </c>
      <c r="K3516">
        <f t="shared" si="213"/>
        <v>0</v>
      </c>
      <c r="M3516" t="str" cm="1">
        <f t="array" ref="M3516">IFERROR(INDEX($I$2:$K$2,0,MATCH(TRUE,I3516:K3516,0)),E3516)</f>
        <v>Hydro_seasonal_storage</v>
      </c>
      <c r="O3516" t="str">
        <f t="shared" si="211"/>
        <v>Hydro_seasonal_storage_2034</v>
      </c>
      <c r="P3516">
        <f t="shared" si="212"/>
        <v>360</v>
      </c>
    </row>
    <row r="3517" spans="4:16" x14ac:dyDescent="0.25">
      <c r="D3517">
        <v>2035</v>
      </c>
      <c r="E3517" t="s">
        <v>126</v>
      </c>
      <c r="F3517" t="s">
        <v>388</v>
      </c>
      <c r="G3517">
        <v>360</v>
      </c>
      <c r="I3517">
        <f t="shared" si="213"/>
        <v>0</v>
      </c>
      <c r="J3517">
        <f t="shared" si="213"/>
        <v>0</v>
      </c>
      <c r="K3517">
        <f t="shared" si="213"/>
        <v>0</v>
      </c>
      <c r="M3517" t="str" cm="1">
        <f t="array" ref="M3517">IFERROR(INDEX($I$2:$K$2,0,MATCH(TRUE,I3517:K3517,0)),E3517)</f>
        <v>Hydro_seasonal_storage</v>
      </c>
      <c r="O3517" t="str">
        <f t="shared" si="211"/>
        <v>Hydro_seasonal_storage_2035</v>
      </c>
      <c r="P3517">
        <f t="shared" si="212"/>
        <v>360</v>
      </c>
    </row>
    <row r="3518" spans="4:16" x14ac:dyDescent="0.25">
      <c r="D3518">
        <v>2036</v>
      </c>
      <c r="E3518" t="s">
        <v>126</v>
      </c>
      <c r="F3518" t="s">
        <v>388</v>
      </c>
      <c r="G3518">
        <v>360</v>
      </c>
      <c r="I3518">
        <f t="shared" si="213"/>
        <v>0</v>
      </c>
      <c r="J3518">
        <f t="shared" si="213"/>
        <v>0</v>
      </c>
      <c r="K3518">
        <f t="shared" si="213"/>
        <v>0</v>
      </c>
      <c r="M3518" t="str" cm="1">
        <f t="array" ref="M3518">IFERROR(INDEX($I$2:$K$2,0,MATCH(TRUE,I3518:K3518,0)),E3518)</f>
        <v>Hydro_seasonal_storage</v>
      </c>
      <c r="O3518" t="str">
        <f t="shared" si="211"/>
        <v>Hydro_seasonal_storage_2036</v>
      </c>
      <c r="P3518">
        <f t="shared" si="212"/>
        <v>360</v>
      </c>
    </row>
    <row r="3519" spans="4:16" x14ac:dyDescent="0.25">
      <c r="D3519">
        <v>2037</v>
      </c>
      <c r="E3519" t="s">
        <v>126</v>
      </c>
      <c r="F3519" t="s">
        <v>388</v>
      </c>
      <c r="G3519">
        <v>360</v>
      </c>
      <c r="I3519">
        <f t="shared" si="213"/>
        <v>0</v>
      </c>
      <c r="J3519">
        <f t="shared" si="213"/>
        <v>0</v>
      </c>
      <c r="K3519">
        <f t="shared" si="213"/>
        <v>0</v>
      </c>
      <c r="M3519" t="str" cm="1">
        <f t="array" ref="M3519">IFERROR(INDEX($I$2:$K$2,0,MATCH(TRUE,I3519:K3519,0)),E3519)</f>
        <v>Hydro_seasonal_storage</v>
      </c>
      <c r="O3519" t="str">
        <f t="shared" si="211"/>
        <v>Hydro_seasonal_storage_2037</v>
      </c>
      <c r="P3519">
        <f t="shared" si="212"/>
        <v>360</v>
      </c>
    </row>
    <row r="3520" spans="4:16" x14ac:dyDescent="0.25">
      <c r="D3520">
        <v>2038</v>
      </c>
      <c r="E3520" t="s">
        <v>126</v>
      </c>
      <c r="F3520" t="s">
        <v>388</v>
      </c>
      <c r="G3520">
        <v>360</v>
      </c>
      <c r="I3520">
        <f t="shared" si="213"/>
        <v>0</v>
      </c>
      <c r="J3520">
        <f t="shared" si="213"/>
        <v>0</v>
      </c>
      <c r="K3520">
        <f t="shared" si="213"/>
        <v>0</v>
      </c>
      <c r="M3520" t="str" cm="1">
        <f t="array" ref="M3520">IFERROR(INDEX($I$2:$K$2,0,MATCH(TRUE,I3520:K3520,0)),E3520)</f>
        <v>Hydro_seasonal_storage</v>
      </c>
      <c r="O3520" t="str">
        <f t="shared" si="211"/>
        <v>Hydro_seasonal_storage_2038</v>
      </c>
      <c r="P3520">
        <f t="shared" si="212"/>
        <v>360</v>
      </c>
    </row>
    <row r="3521" spans="4:16" x14ac:dyDescent="0.25">
      <c r="D3521">
        <v>2039</v>
      </c>
      <c r="E3521" t="s">
        <v>126</v>
      </c>
      <c r="F3521" t="s">
        <v>388</v>
      </c>
      <c r="G3521">
        <v>360</v>
      </c>
      <c r="I3521">
        <f t="shared" si="213"/>
        <v>0</v>
      </c>
      <c r="J3521">
        <f t="shared" si="213"/>
        <v>0</v>
      </c>
      <c r="K3521">
        <f t="shared" si="213"/>
        <v>0</v>
      </c>
      <c r="M3521" t="str" cm="1">
        <f t="array" ref="M3521">IFERROR(INDEX($I$2:$K$2,0,MATCH(TRUE,I3521:K3521,0)),E3521)</f>
        <v>Hydro_seasonal_storage</v>
      </c>
      <c r="O3521" t="str">
        <f t="shared" si="211"/>
        <v>Hydro_seasonal_storage_2039</v>
      </c>
      <c r="P3521">
        <f t="shared" si="212"/>
        <v>360</v>
      </c>
    </row>
    <row r="3522" spans="4:16" x14ac:dyDescent="0.25">
      <c r="D3522">
        <v>2040</v>
      </c>
      <c r="E3522" t="s">
        <v>126</v>
      </c>
      <c r="F3522" t="s">
        <v>388</v>
      </c>
      <c r="G3522">
        <v>360</v>
      </c>
      <c r="I3522">
        <f t="shared" si="213"/>
        <v>0</v>
      </c>
      <c r="J3522">
        <f t="shared" si="213"/>
        <v>0</v>
      </c>
      <c r="K3522">
        <f t="shared" si="213"/>
        <v>0</v>
      </c>
      <c r="M3522" t="str" cm="1">
        <f t="array" ref="M3522">IFERROR(INDEX($I$2:$K$2,0,MATCH(TRUE,I3522:K3522,0)),E3522)</f>
        <v>Hydro_seasonal_storage</v>
      </c>
      <c r="O3522" t="str">
        <f t="shared" si="211"/>
        <v>Hydro_seasonal_storage_2040</v>
      </c>
      <c r="P3522">
        <f t="shared" si="212"/>
        <v>360</v>
      </c>
    </row>
    <row r="3523" spans="4:16" x14ac:dyDescent="0.25">
      <c r="D3523">
        <v>2021</v>
      </c>
      <c r="E3523" t="s">
        <v>126</v>
      </c>
      <c r="F3523" t="s">
        <v>389</v>
      </c>
      <c r="G3523">
        <v>470</v>
      </c>
      <c r="I3523">
        <f t="shared" si="213"/>
        <v>0</v>
      </c>
      <c r="J3523">
        <f t="shared" si="213"/>
        <v>0</v>
      </c>
      <c r="K3523">
        <f t="shared" si="213"/>
        <v>0</v>
      </c>
      <c r="M3523" t="str" cm="1">
        <f t="array" ref="M3523">IFERROR(INDEX($I$2:$K$2,0,MATCH(TRUE,I3523:K3523,0)),E3523)</f>
        <v>Hydro_seasonal_storage</v>
      </c>
      <c r="O3523" t="str">
        <f t="shared" si="211"/>
        <v>Hydro_seasonal_storage_2021</v>
      </c>
      <c r="P3523">
        <f t="shared" si="212"/>
        <v>470</v>
      </c>
    </row>
    <row r="3524" spans="4:16" x14ac:dyDescent="0.25">
      <c r="D3524">
        <v>2022</v>
      </c>
      <c r="E3524" t="s">
        <v>126</v>
      </c>
      <c r="F3524" t="s">
        <v>389</v>
      </c>
      <c r="G3524">
        <v>470</v>
      </c>
      <c r="I3524">
        <f t="shared" si="213"/>
        <v>0</v>
      </c>
      <c r="J3524">
        <f t="shared" si="213"/>
        <v>0</v>
      </c>
      <c r="K3524">
        <f t="shared" si="213"/>
        <v>0</v>
      </c>
      <c r="M3524" t="str" cm="1">
        <f t="array" ref="M3524">IFERROR(INDEX($I$2:$K$2,0,MATCH(TRUE,I3524:K3524,0)),E3524)</f>
        <v>Hydro_seasonal_storage</v>
      </c>
      <c r="O3524" t="str">
        <f t="shared" si="211"/>
        <v>Hydro_seasonal_storage_2022</v>
      </c>
      <c r="P3524">
        <f t="shared" si="212"/>
        <v>470</v>
      </c>
    </row>
    <row r="3525" spans="4:16" x14ac:dyDescent="0.25">
      <c r="D3525">
        <v>2023</v>
      </c>
      <c r="E3525" t="s">
        <v>126</v>
      </c>
      <c r="F3525" t="s">
        <v>389</v>
      </c>
      <c r="G3525">
        <v>470</v>
      </c>
      <c r="I3525">
        <f t="shared" si="213"/>
        <v>0</v>
      </c>
      <c r="J3525">
        <f t="shared" si="213"/>
        <v>0</v>
      </c>
      <c r="K3525">
        <f t="shared" si="213"/>
        <v>0</v>
      </c>
      <c r="M3525" t="str" cm="1">
        <f t="array" ref="M3525">IFERROR(INDEX($I$2:$K$2,0,MATCH(TRUE,I3525:K3525,0)),E3525)</f>
        <v>Hydro_seasonal_storage</v>
      </c>
      <c r="O3525" t="str">
        <f t="shared" si="211"/>
        <v>Hydro_seasonal_storage_2023</v>
      </c>
      <c r="P3525">
        <f t="shared" si="212"/>
        <v>470</v>
      </c>
    </row>
    <row r="3526" spans="4:16" x14ac:dyDescent="0.25">
      <c r="D3526">
        <v>2024</v>
      </c>
      <c r="E3526" t="s">
        <v>126</v>
      </c>
      <c r="F3526" t="s">
        <v>389</v>
      </c>
      <c r="G3526">
        <v>470</v>
      </c>
      <c r="I3526">
        <f t="shared" si="213"/>
        <v>0</v>
      </c>
      <c r="J3526">
        <f t="shared" si="213"/>
        <v>0</v>
      </c>
      <c r="K3526">
        <f t="shared" si="213"/>
        <v>0</v>
      </c>
      <c r="M3526" t="str" cm="1">
        <f t="array" ref="M3526">IFERROR(INDEX($I$2:$K$2,0,MATCH(TRUE,I3526:K3526,0)),E3526)</f>
        <v>Hydro_seasonal_storage</v>
      </c>
      <c r="O3526" t="str">
        <f t="shared" si="211"/>
        <v>Hydro_seasonal_storage_2024</v>
      </c>
      <c r="P3526">
        <f t="shared" si="212"/>
        <v>470</v>
      </c>
    </row>
    <row r="3527" spans="4:16" x14ac:dyDescent="0.25">
      <c r="D3527">
        <v>2025</v>
      </c>
      <c r="E3527" t="s">
        <v>126</v>
      </c>
      <c r="F3527" t="s">
        <v>389</v>
      </c>
      <c r="G3527">
        <v>470</v>
      </c>
      <c r="I3527">
        <f t="shared" si="213"/>
        <v>0</v>
      </c>
      <c r="J3527">
        <f t="shared" si="213"/>
        <v>0</v>
      </c>
      <c r="K3527">
        <f t="shared" si="213"/>
        <v>0</v>
      </c>
      <c r="M3527" t="str" cm="1">
        <f t="array" ref="M3527">IFERROR(INDEX($I$2:$K$2,0,MATCH(TRUE,I3527:K3527,0)),E3527)</f>
        <v>Hydro_seasonal_storage</v>
      </c>
      <c r="O3527" t="str">
        <f t="shared" si="211"/>
        <v>Hydro_seasonal_storage_2025</v>
      </c>
      <c r="P3527">
        <f t="shared" si="212"/>
        <v>470</v>
      </c>
    </row>
    <row r="3528" spans="4:16" x14ac:dyDescent="0.25">
      <c r="D3528">
        <v>2026</v>
      </c>
      <c r="E3528" t="s">
        <v>126</v>
      </c>
      <c r="F3528" t="s">
        <v>389</v>
      </c>
      <c r="G3528">
        <v>470</v>
      </c>
      <c r="I3528">
        <f t="shared" si="213"/>
        <v>0</v>
      </c>
      <c r="J3528">
        <f t="shared" si="213"/>
        <v>0</v>
      </c>
      <c r="K3528">
        <f t="shared" si="213"/>
        <v>0</v>
      </c>
      <c r="M3528" t="str" cm="1">
        <f t="array" ref="M3528">IFERROR(INDEX($I$2:$K$2,0,MATCH(TRUE,I3528:K3528,0)),E3528)</f>
        <v>Hydro_seasonal_storage</v>
      </c>
      <c r="O3528" t="str">
        <f t="shared" si="211"/>
        <v>Hydro_seasonal_storage_2026</v>
      </c>
      <c r="P3528">
        <f t="shared" si="212"/>
        <v>470</v>
      </c>
    </row>
    <row r="3529" spans="4:16" x14ac:dyDescent="0.25">
      <c r="D3529">
        <v>2027</v>
      </c>
      <c r="E3529" t="s">
        <v>126</v>
      </c>
      <c r="F3529" t="s">
        <v>389</v>
      </c>
      <c r="G3529">
        <v>470</v>
      </c>
      <c r="I3529">
        <f t="shared" si="213"/>
        <v>0</v>
      </c>
      <c r="J3529">
        <f t="shared" si="213"/>
        <v>0</v>
      </c>
      <c r="K3529">
        <f t="shared" si="213"/>
        <v>0</v>
      </c>
      <c r="M3529" t="str" cm="1">
        <f t="array" ref="M3529">IFERROR(INDEX($I$2:$K$2,0,MATCH(TRUE,I3529:K3529,0)),E3529)</f>
        <v>Hydro_seasonal_storage</v>
      </c>
      <c r="O3529" t="str">
        <f t="shared" si="211"/>
        <v>Hydro_seasonal_storage_2027</v>
      </c>
      <c r="P3529">
        <f t="shared" si="212"/>
        <v>470</v>
      </c>
    </row>
    <row r="3530" spans="4:16" x14ac:dyDescent="0.25">
      <c r="D3530">
        <v>2028</v>
      </c>
      <c r="E3530" t="s">
        <v>126</v>
      </c>
      <c r="F3530" t="s">
        <v>389</v>
      </c>
      <c r="G3530">
        <v>470</v>
      </c>
      <c r="I3530">
        <f t="shared" si="213"/>
        <v>0</v>
      </c>
      <c r="J3530">
        <f t="shared" si="213"/>
        <v>0</v>
      </c>
      <c r="K3530">
        <f t="shared" si="213"/>
        <v>0</v>
      </c>
      <c r="M3530" t="str" cm="1">
        <f t="array" ref="M3530">IFERROR(INDEX($I$2:$K$2,0,MATCH(TRUE,I3530:K3530,0)),E3530)</f>
        <v>Hydro_seasonal_storage</v>
      </c>
      <c r="O3530" t="str">
        <f t="shared" si="211"/>
        <v>Hydro_seasonal_storage_2028</v>
      </c>
      <c r="P3530">
        <f t="shared" si="212"/>
        <v>470</v>
      </c>
    </row>
    <row r="3531" spans="4:16" x14ac:dyDescent="0.25">
      <c r="D3531">
        <v>2029</v>
      </c>
      <c r="E3531" t="s">
        <v>126</v>
      </c>
      <c r="F3531" t="s">
        <v>389</v>
      </c>
      <c r="G3531">
        <v>470</v>
      </c>
      <c r="I3531">
        <f t="shared" si="213"/>
        <v>0</v>
      </c>
      <c r="J3531">
        <f t="shared" si="213"/>
        <v>0</v>
      </c>
      <c r="K3531">
        <f t="shared" si="213"/>
        <v>0</v>
      </c>
      <c r="M3531" t="str" cm="1">
        <f t="array" ref="M3531">IFERROR(INDEX($I$2:$K$2,0,MATCH(TRUE,I3531:K3531,0)),E3531)</f>
        <v>Hydro_seasonal_storage</v>
      </c>
      <c r="O3531" t="str">
        <f t="shared" si="211"/>
        <v>Hydro_seasonal_storage_2029</v>
      </c>
      <c r="P3531">
        <f t="shared" si="212"/>
        <v>470</v>
      </c>
    </row>
    <row r="3532" spans="4:16" x14ac:dyDescent="0.25">
      <c r="D3532">
        <v>2030</v>
      </c>
      <c r="E3532" t="s">
        <v>126</v>
      </c>
      <c r="F3532" t="s">
        <v>389</v>
      </c>
      <c r="G3532">
        <v>470</v>
      </c>
      <c r="I3532">
        <f t="shared" si="213"/>
        <v>0</v>
      </c>
      <c r="J3532">
        <f t="shared" si="213"/>
        <v>0</v>
      </c>
      <c r="K3532">
        <f t="shared" si="213"/>
        <v>0</v>
      </c>
      <c r="M3532" t="str" cm="1">
        <f t="array" ref="M3532">IFERROR(INDEX($I$2:$K$2,0,MATCH(TRUE,I3532:K3532,0)),E3532)</f>
        <v>Hydro_seasonal_storage</v>
      </c>
      <c r="O3532" t="str">
        <f t="shared" si="211"/>
        <v>Hydro_seasonal_storage_2030</v>
      </c>
      <c r="P3532">
        <f t="shared" si="212"/>
        <v>470</v>
      </c>
    </row>
    <row r="3533" spans="4:16" x14ac:dyDescent="0.25">
      <c r="D3533">
        <v>2031</v>
      </c>
      <c r="E3533" t="s">
        <v>126</v>
      </c>
      <c r="F3533" t="s">
        <v>389</v>
      </c>
      <c r="G3533">
        <v>470</v>
      </c>
      <c r="I3533">
        <f t="shared" si="213"/>
        <v>0</v>
      </c>
      <c r="J3533">
        <f t="shared" si="213"/>
        <v>0</v>
      </c>
      <c r="K3533">
        <f t="shared" si="213"/>
        <v>0</v>
      </c>
      <c r="M3533" t="str" cm="1">
        <f t="array" ref="M3533">IFERROR(INDEX($I$2:$K$2,0,MATCH(TRUE,I3533:K3533,0)),E3533)</f>
        <v>Hydro_seasonal_storage</v>
      </c>
      <c r="O3533" t="str">
        <f t="shared" si="211"/>
        <v>Hydro_seasonal_storage_2031</v>
      </c>
      <c r="P3533">
        <f t="shared" si="212"/>
        <v>470</v>
      </c>
    </row>
    <row r="3534" spans="4:16" x14ac:dyDescent="0.25">
      <c r="D3534">
        <v>2032</v>
      </c>
      <c r="E3534" t="s">
        <v>126</v>
      </c>
      <c r="F3534" t="s">
        <v>389</v>
      </c>
      <c r="G3534">
        <v>470</v>
      </c>
      <c r="I3534">
        <f t="shared" si="213"/>
        <v>0</v>
      </c>
      <c r="J3534">
        <f t="shared" si="213"/>
        <v>0</v>
      </c>
      <c r="K3534">
        <f t="shared" si="213"/>
        <v>0</v>
      </c>
      <c r="M3534" t="str" cm="1">
        <f t="array" ref="M3534">IFERROR(INDEX($I$2:$K$2,0,MATCH(TRUE,I3534:K3534,0)),E3534)</f>
        <v>Hydro_seasonal_storage</v>
      </c>
      <c r="O3534" t="str">
        <f t="shared" si="211"/>
        <v>Hydro_seasonal_storage_2032</v>
      </c>
      <c r="P3534">
        <f t="shared" si="212"/>
        <v>470</v>
      </c>
    </row>
    <row r="3535" spans="4:16" x14ac:dyDescent="0.25">
      <c r="D3535">
        <v>2033</v>
      </c>
      <c r="E3535" t="s">
        <v>126</v>
      </c>
      <c r="F3535" t="s">
        <v>389</v>
      </c>
      <c r="G3535">
        <v>470</v>
      </c>
      <c r="I3535">
        <f t="shared" si="213"/>
        <v>0</v>
      </c>
      <c r="J3535">
        <f t="shared" si="213"/>
        <v>0</v>
      </c>
      <c r="K3535">
        <f t="shared" si="213"/>
        <v>0</v>
      </c>
      <c r="M3535" t="str" cm="1">
        <f t="array" ref="M3535">IFERROR(INDEX($I$2:$K$2,0,MATCH(TRUE,I3535:K3535,0)),E3535)</f>
        <v>Hydro_seasonal_storage</v>
      </c>
      <c r="O3535" t="str">
        <f t="shared" si="211"/>
        <v>Hydro_seasonal_storage_2033</v>
      </c>
      <c r="P3535">
        <f t="shared" si="212"/>
        <v>470</v>
      </c>
    </row>
    <row r="3536" spans="4:16" x14ac:dyDescent="0.25">
      <c r="D3536">
        <v>2034</v>
      </c>
      <c r="E3536" t="s">
        <v>126</v>
      </c>
      <c r="F3536" t="s">
        <v>389</v>
      </c>
      <c r="G3536">
        <v>470</v>
      </c>
      <c r="I3536">
        <f t="shared" si="213"/>
        <v>0</v>
      </c>
      <c r="J3536">
        <f t="shared" si="213"/>
        <v>0</v>
      </c>
      <c r="K3536">
        <f t="shared" si="213"/>
        <v>0</v>
      </c>
      <c r="M3536" t="str" cm="1">
        <f t="array" ref="M3536">IFERROR(INDEX($I$2:$K$2,0,MATCH(TRUE,I3536:K3536,0)),E3536)</f>
        <v>Hydro_seasonal_storage</v>
      </c>
      <c r="O3536" t="str">
        <f t="shared" si="211"/>
        <v>Hydro_seasonal_storage_2034</v>
      </c>
      <c r="P3536">
        <f t="shared" si="212"/>
        <v>470</v>
      </c>
    </row>
    <row r="3537" spans="4:16" x14ac:dyDescent="0.25">
      <c r="D3537">
        <v>2035</v>
      </c>
      <c r="E3537" t="s">
        <v>126</v>
      </c>
      <c r="F3537" t="s">
        <v>389</v>
      </c>
      <c r="G3537">
        <v>470</v>
      </c>
      <c r="I3537">
        <f t="shared" si="213"/>
        <v>0</v>
      </c>
      <c r="J3537">
        <f t="shared" si="213"/>
        <v>0</v>
      </c>
      <c r="K3537">
        <f t="shared" si="213"/>
        <v>0</v>
      </c>
      <c r="M3537" t="str" cm="1">
        <f t="array" ref="M3537">IFERROR(INDEX($I$2:$K$2,0,MATCH(TRUE,I3537:K3537,0)),E3537)</f>
        <v>Hydro_seasonal_storage</v>
      </c>
      <c r="O3537" t="str">
        <f t="shared" si="211"/>
        <v>Hydro_seasonal_storage_2035</v>
      </c>
      <c r="P3537">
        <f t="shared" si="212"/>
        <v>470</v>
      </c>
    </row>
    <row r="3538" spans="4:16" x14ac:dyDescent="0.25">
      <c r="D3538">
        <v>2036</v>
      </c>
      <c r="E3538" t="s">
        <v>126</v>
      </c>
      <c r="F3538" t="s">
        <v>389</v>
      </c>
      <c r="G3538">
        <v>470</v>
      </c>
      <c r="I3538">
        <f t="shared" si="213"/>
        <v>0</v>
      </c>
      <c r="J3538">
        <f t="shared" si="213"/>
        <v>0</v>
      </c>
      <c r="K3538">
        <f t="shared" si="213"/>
        <v>0</v>
      </c>
      <c r="M3538" t="str" cm="1">
        <f t="array" ref="M3538">IFERROR(INDEX($I$2:$K$2,0,MATCH(TRUE,I3538:K3538,0)),E3538)</f>
        <v>Hydro_seasonal_storage</v>
      </c>
      <c r="O3538" t="str">
        <f t="shared" si="211"/>
        <v>Hydro_seasonal_storage_2036</v>
      </c>
      <c r="P3538">
        <f t="shared" si="212"/>
        <v>470</v>
      </c>
    </row>
    <row r="3539" spans="4:16" x14ac:dyDescent="0.25">
      <c r="D3539">
        <v>2037</v>
      </c>
      <c r="E3539" t="s">
        <v>126</v>
      </c>
      <c r="F3539" t="s">
        <v>389</v>
      </c>
      <c r="G3539">
        <v>470</v>
      </c>
      <c r="I3539">
        <f t="shared" si="213"/>
        <v>0</v>
      </c>
      <c r="J3539">
        <f t="shared" si="213"/>
        <v>0</v>
      </c>
      <c r="K3539">
        <f t="shared" si="213"/>
        <v>0</v>
      </c>
      <c r="M3539" t="str" cm="1">
        <f t="array" ref="M3539">IFERROR(INDEX($I$2:$K$2,0,MATCH(TRUE,I3539:K3539,0)),E3539)</f>
        <v>Hydro_seasonal_storage</v>
      </c>
      <c r="O3539" t="str">
        <f t="shared" ref="O3539:O3602" si="214">M3539&amp;"_"&amp;D3539</f>
        <v>Hydro_seasonal_storage_2037</v>
      </c>
      <c r="P3539">
        <f t="shared" ref="P3539:P3602" si="215">G3539</f>
        <v>470</v>
      </c>
    </row>
    <row r="3540" spans="4:16" x14ac:dyDescent="0.25">
      <c r="D3540">
        <v>2038</v>
      </c>
      <c r="E3540" t="s">
        <v>126</v>
      </c>
      <c r="F3540" t="s">
        <v>389</v>
      </c>
      <c r="G3540">
        <v>470</v>
      </c>
      <c r="I3540">
        <f t="shared" si="213"/>
        <v>0</v>
      </c>
      <c r="J3540">
        <f t="shared" si="213"/>
        <v>0</v>
      </c>
      <c r="K3540">
        <f t="shared" si="213"/>
        <v>0</v>
      </c>
      <c r="M3540" t="str" cm="1">
        <f t="array" ref="M3540">IFERROR(INDEX($I$2:$K$2,0,MATCH(TRUE,I3540:K3540,0)),E3540)</f>
        <v>Hydro_seasonal_storage</v>
      </c>
      <c r="O3540" t="str">
        <f t="shared" si="214"/>
        <v>Hydro_seasonal_storage_2038</v>
      </c>
      <c r="P3540">
        <f t="shared" si="215"/>
        <v>470</v>
      </c>
    </row>
    <row r="3541" spans="4:16" x14ac:dyDescent="0.25">
      <c r="D3541">
        <v>2039</v>
      </c>
      <c r="E3541" t="s">
        <v>126</v>
      </c>
      <c r="F3541" t="s">
        <v>389</v>
      </c>
      <c r="G3541">
        <v>470</v>
      </c>
      <c r="I3541">
        <f t="shared" ref="I3541:K3604" si="216">IFERROR(FIND(I$2,$E3541,1)&gt;0,0)</f>
        <v>0</v>
      </c>
      <c r="J3541">
        <f t="shared" si="216"/>
        <v>0</v>
      </c>
      <c r="K3541">
        <f t="shared" si="216"/>
        <v>0</v>
      </c>
      <c r="M3541" t="str" cm="1">
        <f t="array" ref="M3541">IFERROR(INDEX($I$2:$K$2,0,MATCH(TRUE,I3541:K3541,0)),E3541)</f>
        <v>Hydro_seasonal_storage</v>
      </c>
      <c r="O3541" t="str">
        <f t="shared" si="214"/>
        <v>Hydro_seasonal_storage_2039</v>
      </c>
      <c r="P3541">
        <f t="shared" si="215"/>
        <v>470</v>
      </c>
    </row>
    <row r="3542" spans="4:16" x14ac:dyDescent="0.25">
      <c r="D3542">
        <v>2040</v>
      </c>
      <c r="E3542" t="s">
        <v>126</v>
      </c>
      <c r="F3542" t="s">
        <v>389</v>
      </c>
      <c r="G3542">
        <v>470</v>
      </c>
      <c r="I3542">
        <f t="shared" si="216"/>
        <v>0</v>
      </c>
      <c r="J3542">
        <f t="shared" si="216"/>
        <v>0</v>
      </c>
      <c r="K3542">
        <f t="shared" si="216"/>
        <v>0</v>
      </c>
      <c r="M3542" t="str" cm="1">
        <f t="array" ref="M3542">IFERROR(INDEX($I$2:$K$2,0,MATCH(TRUE,I3542:K3542,0)),E3542)</f>
        <v>Hydro_seasonal_storage</v>
      </c>
      <c r="O3542" t="str">
        <f t="shared" si="214"/>
        <v>Hydro_seasonal_storage_2040</v>
      </c>
      <c r="P3542">
        <f t="shared" si="215"/>
        <v>470</v>
      </c>
    </row>
    <row r="3543" spans="4:16" x14ac:dyDescent="0.25">
      <c r="D3543">
        <v>2021</v>
      </c>
      <c r="E3543" t="s">
        <v>126</v>
      </c>
      <c r="F3543" t="s">
        <v>390</v>
      </c>
      <c r="G3543">
        <v>45</v>
      </c>
      <c r="I3543">
        <f t="shared" si="216"/>
        <v>0</v>
      </c>
      <c r="J3543">
        <f t="shared" si="216"/>
        <v>0</v>
      </c>
      <c r="K3543">
        <f t="shared" si="216"/>
        <v>0</v>
      </c>
      <c r="M3543" t="str" cm="1">
        <f t="array" ref="M3543">IFERROR(INDEX($I$2:$K$2,0,MATCH(TRUE,I3543:K3543,0)),E3543)</f>
        <v>Hydro_seasonal_storage</v>
      </c>
      <c r="O3543" t="str">
        <f t="shared" si="214"/>
        <v>Hydro_seasonal_storage_2021</v>
      </c>
      <c r="P3543">
        <f t="shared" si="215"/>
        <v>45</v>
      </c>
    </row>
    <row r="3544" spans="4:16" x14ac:dyDescent="0.25">
      <c r="D3544">
        <v>2022</v>
      </c>
      <c r="E3544" t="s">
        <v>126</v>
      </c>
      <c r="F3544" t="s">
        <v>390</v>
      </c>
      <c r="G3544">
        <v>45</v>
      </c>
      <c r="I3544">
        <f t="shared" si="216"/>
        <v>0</v>
      </c>
      <c r="J3544">
        <f t="shared" si="216"/>
        <v>0</v>
      </c>
      <c r="K3544">
        <f t="shared" si="216"/>
        <v>0</v>
      </c>
      <c r="M3544" t="str" cm="1">
        <f t="array" ref="M3544">IFERROR(INDEX($I$2:$K$2,0,MATCH(TRUE,I3544:K3544,0)),E3544)</f>
        <v>Hydro_seasonal_storage</v>
      </c>
      <c r="O3544" t="str">
        <f t="shared" si="214"/>
        <v>Hydro_seasonal_storage_2022</v>
      </c>
      <c r="P3544">
        <f t="shared" si="215"/>
        <v>45</v>
      </c>
    </row>
    <row r="3545" spans="4:16" x14ac:dyDescent="0.25">
      <c r="D3545">
        <v>2023</v>
      </c>
      <c r="E3545" t="s">
        <v>126</v>
      </c>
      <c r="F3545" t="s">
        <v>390</v>
      </c>
      <c r="G3545">
        <v>45</v>
      </c>
      <c r="I3545">
        <f t="shared" si="216"/>
        <v>0</v>
      </c>
      <c r="J3545">
        <f t="shared" si="216"/>
        <v>0</v>
      </c>
      <c r="K3545">
        <f t="shared" si="216"/>
        <v>0</v>
      </c>
      <c r="M3545" t="str" cm="1">
        <f t="array" ref="M3545">IFERROR(INDEX($I$2:$K$2,0,MATCH(TRUE,I3545:K3545,0)),E3545)</f>
        <v>Hydro_seasonal_storage</v>
      </c>
      <c r="O3545" t="str">
        <f t="shared" si="214"/>
        <v>Hydro_seasonal_storage_2023</v>
      </c>
      <c r="P3545">
        <f t="shared" si="215"/>
        <v>45</v>
      </c>
    </row>
    <row r="3546" spans="4:16" x14ac:dyDescent="0.25">
      <c r="D3546">
        <v>2024</v>
      </c>
      <c r="E3546" t="s">
        <v>126</v>
      </c>
      <c r="F3546" t="s">
        <v>390</v>
      </c>
      <c r="G3546">
        <v>45</v>
      </c>
      <c r="I3546">
        <f t="shared" si="216"/>
        <v>0</v>
      </c>
      <c r="J3546">
        <f t="shared" si="216"/>
        <v>0</v>
      </c>
      <c r="K3546">
        <f t="shared" si="216"/>
        <v>0</v>
      </c>
      <c r="M3546" t="str" cm="1">
        <f t="array" ref="M3546">IFERROR(INDEX($I$2:$K$2,0,MATCH(TRUE,I3546:K3546,0)),E3546)</f>
        <v>Hydro_seasonal_storage</v>
      </c>
      <c r="O3546" t="str">
        <f t="shared" si="214"/>
        <v>Hydro_seasonal_storage_2024</v>
      </c>
      <c r="P3546">
        <f t="shared" si="215"/>
        <v>45</v>
      </c>
    </row>
    <row r="3547" spans="4:16" x14ac:dyDescent="0.25">
      <c r="D3547">
        <v>2025</v>
      </c>
      <c r="E3547" t="s">
        <v>126</v>
      </c>
      <c r="F3547" t="s">
        <v>390</v>
      </c>
      <c r="G3547">
        <v>45</v>
      </c>
      <c r="I3547">
        <f t="shared" si="216"/>
        <v>0</v>
      </c>
      <c r="J3547">
        <f t="shared" si="216"/>
        <v>0</v>
      </c>
      <c r="K3547">
        <f t="shared" si="216"/>
        <v>0</v>
      </c>
      <c r="M3547" t="str" cm="1">
        <f t="array" ref="M3547">IFERROR(INDEX($I$2:$K$2,0,MATCH(TRUE,I3547:K3547,0)),E3547)</f>
        <v>Hydro_seasonal_storage</v>
      </c>
      <c r="O3547" t="str">
        <f t="shared" si="214"/>
        <v>Hydro_seasonal_storage_2025</v>
      </c>
      <c r="P3547">
        <f t="shared" si="215"/>
        <v>45</v>
      </c>
    </row>
    <row r="3548" spans="4:16" x14ac:dyDescent="0.25">
      <c r="D3548">
        <v>2026</v>
      </c>
      <c r="E3548" t="s">
        <v>126</v>
      </c>
      <c r="F3548" t="s">
        <v>390</v>
      </c>
      <c r="G3548">
        <v>45</v>
      </c>
      <c r="I3548">
        <f t="shared" si="216"/>
        <v>0</v>
      </c>
      <c r="J3548">
        <f t="shared" si="216"/>
        <v>0</v>
      </c>
      <c r="K3548">
        <f t="shared" si="216"/>
        <v>0</v>
      </c>
      <c r="M3548" t="str" cm="1">
        <f t="array" ref="M3548">IFERROR(INDEX($I$2:$K$2,0,MATCH(TRUE,I3548:K3548,0)),E3548)</f>
        <v>Hydro_seasonal_storage</v>
      </c>
      <c r="O3548" t="str">
        <f t="shared" si="214"/>
        <v>Hydro_seasonal_storage_2026</v>
      </c>
      <c r="P3548">
        <f t="shared" si="215"/>
        <v>45</v>
      </c>
    </row>
    <row r="3549" spans="4:16" x14ac:dyDescent="0.25">
      <c r="D3549">
        <v>2027</v>
      </c>
      <c r="E3549" t="s">
        <v>126</v>
      </c>
      <c r="F3549" t="s">
        <v>390</v>
      </c>
      <c r="G3549">
        <v>45</v>
      </c>
      <c r="I3549">
        <f t="shared" si="216"/>
        <v>0</v>
      </c>
      <c r="J3549">
        <f t="shared" si="216"/>
        <v>0</v>
      </c>
      <c r="K3549">
        <f t="shared" si="216"/>
        <v>0</v>
      </c>
      <c r="M3549" t="str" cm="1">
        <f t="array" ref="M3549">IFERROR(INDEX($I$2:$K$2,0,MATCH(TRUE,I3549:K3549,0)),E3549)</f>
        <v>Hydro_seasonal_storage</v>
      </c>
      <c r="O3549" t="str">
        <f t="shared" si="214"/>
        <v>Hydro_seasonal_storage_2027</v>
      </c>
      <c r="P3549">
        <f t="shared" si="215"/>
        <v>45</v>
      </c>
    </row>
    <row r="3550" spans="4:16" x14ac:dyDescent="0.25">
      <c r="D3550">
        <v>2028</v>
      </c>
      <c r="E3550" t="s">
        <v>126</v>
      </c>
      <c r="F3550" t="s">
        <v>390</v>
      </c>
      <c r="G3550">
        <v>45</v>
      </c>
      <c r="I3550">
        <f t="shared" si="216"/>
        <v>0</v>
      </c>
      <c r="J3550">
        <f t="shared" si="216"/>
        <v>0</v>
      </c>
      <c r="K3550">
        <f t="shared" si="216"/>
        <v>0</v>
      </c>
      <c r="M3550" t="str" cm="1">
        <f t="array" ref="M3550">IFERROR(INDEX($I$2:$K$2,0,MATCH(TRUE,I3550:K3550,0)),E3550)</f>
        <v>Hydro_seasonal_storage</v>
      </c>
      <c r="O3550" t="str">
        <f t="shared" si="214"/>
        <v>Hydro_seasonal_storage_2028</v>
      </c>
      <c r="P3550">
        <f t="shared" si="215"/>
        <v>45</v>
      </c>
    </row>
    <row r="3551" spans="4:16" x14ac:dyDescent="0.25">
      <c r="D3551">
        <v>2029</v>
      </c>
      <c r="E3551" t="s">
        <v>126</v>
      </c>
      <c r="F3551" t="s">
        <v>390</v>
      </c>
      <c r="G3551">
        <v>45</v>
      </c>
      <c r="I3551">
        <f t="shared" si="216"/>
        <v>0</v>
      </c>
      <c r="J3551">
        <f t="shared" si="216"/>
        <v>0</v>
      </c>
      <c r="K3551">
        <f t="shared" si="216"/>
        <v>0</v>
      </c>
      <c r="M3551" t="str" cm="1">
        <f t="array" ref="M3551">IFERROR(INDEX($I$2:$K$2,0,MATCH(TRUE,I3551:K3551,0)),E3551)</f>
        <v>Hydro_seasonal_storage</v>
      </c>
      <c r="O3551" t="str">
        <f t="shared" si="214"/>
        <v>Hydro_seasonal_storage_2029</v>
      </c>
      <c r="P3551">
        <f t="shared" si="215"/>
        <v>45</v>
      </c>
    </row>
    <row r="3552" spans="4:16" x14ac:dyDescent="0.25">
      <c r="D3552">
        <v>2030</v>
      </c>
      <c r="E3552" t="s">
        <v>126</v>
      </c>
      <c r="F3552" t="s">
        <v>390</v>
      </c>
      <c r="G3552">
        <v>45</v>
      </c>
      <c r="I3552">
        <f t="shared" si="216"/>
        <v>0</v>
      </c>
      <c r="J3552">
        <f t="shared" si="216"/>
        <v>0</v>
      </c>
      <c r="K3552">
        <f t="shared" si="216"/>
        <v>0</v>
      </c>
      <c r="M3552" t="str" cm="1">
        <f t="array" ref="M3552">IFERROR(INDEX($I$2:$K$2,0,MATCH(TRUE,I3552:K3552,0)),E3552)</f>
        <v>Hydro_seasonal_storage</v>
      </c>
      <c r="O3552" t="str">
        <f t="shared" si="214"/>
        <v>Hydro_seasonal_storage_2030</v>
      </c>
      <c r="P3552">
        <f t="shared" si="215"/>
        <v>45</v>
      </c>
    </row>
    <row r="3553" spans="4:16" x14ac:dyDescent="0.25">
      <c r="D3553">
        <v>2031</v>
      </c>
      <c r="E3553" t="s">
        <v>126</v>
      </c>
      <c r="F3553" t="s">
        <v>390</v>
      </c>
      <c r="G3553">
        <v>45</v>
      </c>
      <c r="I3553">
        <f t="shared" si="216"/>
        <v>0</v>
      </c>
      <c r="J3553">
        <f t="shared" si="216"/>
        <v>0</v>
      </c>
      <c r="K3553">
        <f t="shared" si="216"/>
        <v>0</v>
      </c>
      <c r="M3553" t="str" cm="1">
        <f t="array" ref="M3553">IFERROR(INDEX($I$2:$K$2,0,MATCH(TRUE,I3553:K3553,0)),E3553)</f>
        <v>Hydro_seasonal_storage</v>
      </c>
      <c r="O3553" t="str">
        <f t="shared" si="214"/>
        <v>Hydro_seasonal_storage_2031</v>
      </c>
      <c r="P3553">
        <f t="shared" si="215"/>
        <v>45</v>
      </c>
    </row>
    <row r="3554" spans="4:16" x14ac:dyDescent="0.25">
      <c r="D3554">
        <v>2032</v>
      </c>
      <c r="E3554" t="s">
        <v>126</v>
      </c>
      <c r="F3554" t="s">
        <v>390</v>
      </c>
      <c r="G3554">
        <v>45</v>
      </c>
      <c r="I3554">
        <f t="shared" si="216"/>
        <v>0</v>
      </c>
      <c r="J3554">
        <f t="shared" si="216"/>
        <v>0</v>
      </c>
      <c r="K3554">
        <f t="shared" si="216"/>
        <v>0</v>
      </c>
      <c r="M3554" t="str" cm="1">
        <f t="array" ref="M3554">IFERROR(INDEX($I$2:$K$2,0,MATCH(TRUE,I3554:K3554,0)),E3554)</f>
        <v>Hydro_seasonal_storage</v>
      </c>
      <c r="O3554" t="str">
        <f t="shared" si="214"/>
        <v>Hydro_seasonal_storage_2032</v>
      </c>
      <c r="P3554">
        <f t="shared" si="215"/>
        <v>45</v>
      </c>
    </row>
    <row r="3555" spans="4:16" x14ac:dyDescent="0.25">
      <c r="D3555">
        <v>2033</v>
      </c>
      <c r="E3555" t="s">
        <v>126</v>
      </c>
      <c r="F3555" t="s">
        <v>390</v>
      </c>
      <c r="G3555">
        <v>45</v>
      </c>
      <c r="I3555">
        <f t="shared" si="216"/>
        <v>0</v>
      </c>
      <c r="J3555">
        <f t="shared" si="216"/>
        <v>0</v>
      </c>
      <c r="K3555">
        <f t="shared" si="216"/>
        <v>0</v>
      </c>
      <c r="M3555" t="str" cm="1">
        <f t="array" ref="M3555">IFERROR(INDEX($I$2:$K$2,0,MATCH(TRUE,I3555:K3555,0)),E3555)</f>
        <v>Hydro_seasonal_storage</v>
      </c>
      <c r="O3555" t="str">
        <f t="shared" si="214"/>
        <v>Hydro_seasonal_storage_2033</v>
      </c>
      <c r="P3555">
        <f t="shared" si="215"/>
        <v>45</v>
      </c>
    </row>
    <row r="3556" spans="4:16" x14ac:dyDescent="0.25">
      <c r="D3556">
        <v>2034</v>
      </c>
      <c r="E3556" t="s">
        <v>126</v>
      </c>
      <c r="F3556" t="s">
        <v>390</v>
      </c>
      <c r="G3556">
        <v>45</v>
      </c>
      <c r="I3556">
        <f t="shared" si="216"/>
        <v>0</v>
      </c>
      <c r="J3556">
        <f t="shared" si="216"/>
        <v>0</v>
      </c>
      <c r="K3556">
        <f t="shared" si="216"/>
        <v>0</v>
      </c>
      <c r="M3556" t="str" cm="1">
        <f t="array" ref="M3556">IFERROR(INDEX($I$2:$K$2,0,MATCH(TRUE,I3556:K3556,0)),E3556)</f>
        <v>Hydro_seasonal_storage</v>
      </c>
      <c r="O3556" t="str">
        <f t="shared" si="214"/>
        <v>Hydro_seasonal_storage_2034</v>
      </c>
      <c r="P3556">
        <f t="shared" si="215"/>
        <v>45</v>
      </c>
    </row>
    <row r="3557" spans="4:16" x14ac:dyDescent="0.25">
      <c r="D3557">
        <v>2035</v>
      </c>
      <c r="E3557" t="s">
        <v>126</v>
      </c>
      <c r="F3557" t="s">
        <v>390</v>
      </c>
      <c r="G3557">
        <v>45</v>
      </c>
      <c r="I3557">
        <f t="shared" si="216"/>
        <v>0</v>
      </c>
      <c r="J3557">
        <f t="shared" si="216"/>
        <v>0</v>
      </c>
      <c r="K3557">
        <f t="shared" si="216"/>
        <v>0</v>
      </c>
      <c r="M3557" t="str" cm="1">
        <f t="array" ref="M3557">IFERROR(INDEX($I$2:$K$2,0,MATCH(TRUE,I3557:K3557,0)),E3557)</f>
        <v>Hydro_seasonal_storage</v>
      </c>
      <c r="O3557" t="str">
        <f t="shared" si="214"/>
        <v>Hydro_seasonal_storage_2035</v>
      </c>
      <c r="P3557">
        <f t="shared" si="215"/>
        <v>45</v>
      </c>
    </row>
    <row r="3558" spans="4:16" x14ac:dyDescent="0.25">
      <c r="D3558">
        <v>2036</v>
      </c>
      <c r="E3558" t="s">
        <v>126</v>
      </c>
      <c r="F3558" t="s">
        <v>390</v>
      </c>
      <c r="G3558">
        <v>45</v>
      </c>
      <c r="I3558">
        <f t="shared" si="216"/>
        <v>0</v>
      </c>
      <c r="J3558">
        <f t="shared" si="216"/>
        <v>0</v>
      </c>
      <c r="K3558">
        <f t="shared" si="216"/>
        <v>0</v>
      </c>
      <c r="M3558" t="str" cm="1">
        <f t="array" ref="M3558">IFERROR(INDEX($I$2:$K$2,0,MATCH(TRUE,I3558:K3558,0)),E3558)</f>
        <v>Hydro_seasonal_storage</v>
      </c>
      <c r="O3558" t="str">
        <f t="shared" si="214"/>
        <v>Hydro_seasonal_storage_2036</v>
      </c>
      <c r="P3558">
        <f t="shared" si="215"/>
        <v>45</v>
      </c>
    </row>
    <row r="3559" spans="4:16" x14ac:dyDescent="0.25">
      <c r="D3559">
        <v>2037</v>
      </c>
      <c r="E3559" t="s">
        <v>126</v>
      </c>
      <c r="F3559" t="s">
        <v>390</v>
      </c>
      <c r="G3559">
        <v>45</v>
      </c>
      <c r="I3559">
        <f t="shared" si="216"/>
        <v>0</v>
      </c>
      <c r="J3559">
        <f t="shared" si="216"/>
        <v>0</v>
      </c>
      <c r="K3559">
        <f t="shared" si="216"/>
        <v>0</v>
      </c>
      <c r="M3559" t="str" cm="1">
        <f t="array" ref="M3559">IFERROR(INDEX($I$2:$K$2,0,MATCH(TRUE,I3559:K3559,0)),E3559)</f>
        <v>Hydro_seasonal_storage</v>
      </c>
      <c r="O3559" t="str">
        <f t="shared" si="214"/>
        <v>Hydro_seasonal_storage_2037</v>
      </c>
      <c r="P3559">
        <f t="shared" si="215"/>
        <v>45</v>
      </c>
    </row>
    <row r="3560" spans="4:16" x14ac:dyDescent="0.25">
      <c r="D3560">
        <v>2038</v>
      </c>
      <c r="E3560" t="s">
        <v>126</v>
      </c>
      <c r="F3560" t="s">
        <v>390</v>
      </c>
      <c r="G3560">
        <v>45</v>
      </c>
      <c r="I3560">
        <f t="shared" si="216"/>
        <v>0</v>
      </c>
      <c r="J3560">
        <f t="shared" si="216"/>
        <v>0</v>
      </c>
      <c r="K3560">
        <f t="shared" si="216"/>
        <v>0</v>
      </c>
      <c r="M3560" t="str" cm="1">
        <f t="array" ref="M3560">IFERROR(INDEX($I$2:$K$2,0,MATCH(TRUE,I3560:K3560,0)),E3560)</f>
        <v>Hydro_seasonal_storage</v>
      </c>
      <c r="O3560" t="str">
        <f t="shared" si="214"/>
        <v>Hydro_seasonal_storage_2038</v>
      </c>
      <c r="P3560">
        <f t="shared" si="215"/>
        <v>45</v>
      </c>
    </row>
    <row r="3561" spans="4:16" x14ac:dyDescent="0.25">
      <c r="D3561">
        <v>2039</v>
      </c>
      <c r="E3561" t="s">
        <v>126</v>
      </c>
      <c r="F3561" t="s">
        <v>390</v>
      </c>
      <c r="G3561">
        <v>45</v>
      </c>
      <c r="I3561">
        <f t="shared" si="216"/>
        <v>0</v>
      </c>
      <c r="J3561">
        <f t="shared" si="216"/>
        <v>0</v>
      </c>
      <c r="K3561">
        <f t="shared" si="216"/>
        <v>0</v>
      </c>
      <c r="M3561" t="str" cm="1">
        <f t="array" ref="M3561">IFERROR(INDEX($I$2:$K$2,0,MATCH(TRUE,I3561:K3561,0)),E3561)</f>
        <v>Hydro_seasonal_storage</v>
      </c>
      <c r="O3561" t="str">
        <f t="shared" si="214"/>
        <v>Hydro_seasonal_storage_2039</v>
      </c>
      <c r="P3561">
        <f t="shared" si="215"/>
        <v>45</v>
      </c>
    </row>
    <row r="3562" spans="4:16" x14ac:dyDescent="0.25">
      <c r="D3562">
        <v>2040</v>
      </c>
      <c r="E3562" t="s">
        <v>126</v>
      </c>
      <c r="F3562" t="s">
        <v>390</v>
      </c>
      <c r="G3562">
        <v>45</v>
      </c>
      <c r="I3562">
        <f t="shared" si="216"/>
        <v>0</v>
      </c>
      <c r="J3562">
        <f t="shared" si="216"/>
        <v>0</v>
      </c>
      <c r="K3562">
        <f t="shared" si="216"/>
        <v>0</v>
      </c>
      <c r="M3562" t="str" cm="1">
        <f t="array" ref="M3562">IFERROR(INDEX($I$2:$K$2,0,MATCH(TRUE,I3562:K3562,0)),E3562)</f>
        <v>Hydro_seasonal_storage</v>
      </c>
      <c r="O3562" t="str">
        <f t="shared" si="214"/>
        <v>Hydro_seasonal_storage_2040</v>
      </c>
      <c r="P3562">
        <f t="shared" si="215"/>
        <v>45</v>
      </c>
    </row>
    <row r="3563" spans="4:16" x14ac:dyDescent="0.25">
      <c r="D3563">
        <v>2021</v>
      </c>
      <c r="E3563" t="s">
        <v>126</v>
      </c>
      <c r="F3563" t="s">
        <v>391</v>
      </c>
      <c r="G3563">
        <v>1296</v>
      </c>
      <c r="I3563">
        <f t="shared" si="216"/>
        <v>0</v>
      </c>
      <c r="J3563">
        <f t="shared" si="216"/>
        <v>0</v>
      </c>
      <c r="K3563">
        <f t="shared" si="216"/>
        <v>0</v>
      </c>
      <c r="M3563" t="str" cm="1">
        <f t="array" ref="M3563">IFERROR(INDEX($I$2:$K$2,0,MATCH(TRUE,I3563:K3563,0)),E3563)</f>
        <v>Hydro_seasonal_storage</v>
      </c>
      <c r="O3563" t="str">
        <f t="shared" si="214"/>
        <v>Hydro_seasonal_storage_2021</v>
      </c>
      <c r="P3563">
        <f t="shared" si="215"/>
        <v>1296</v>
      </c>
    </row>
    <row r="3564" spans="4:16" x14ac:dyDescent="0.25">
      <c r="D3564">
        <v>2022</v>
      </c>
      <c r="E3564" t="s">
        <v>126</v>
      </c>
      <c r="F3564" t="s">
        <v>391</v>
      </c>
      <c r="G3564">
        <v>1296</v>
      </c>
      <c r="I3564">
        <f t="shared" si="216"/>
        <v>0</v>
      </c>
      <c r="J3564">
        <f t="shared" si="216"/>
        <v>0</v>
      </c>
      <c r="K3564">
        <f t="shared" si="216"/>
        <v>0</v>
      </c>
      <c r="M3564" t="str" cm="1">
        <f t="array" ref="M3564">IFERROR(INDEX($I$2:$K$2,0,MATCH(TRUE,I3564:K3564,0)),E3564)</f>
        <v>Hydro_seasonal_storage</v>
      </c>
      <c r="O3564" t="str">
        <f t="shared" si="214"/>
        <v>Hydro_seasonal_storage_2022</v>
      </c>
      <c r="P3564">
        <f t="shared" si="215"/>
        <v>1296</v>
      </c>
    </row>
    <row r="3565" spans="4:16" x14ac:dyDescent="0.25">
      <c r="D3565">
        <v>2023</v>
      </c>
      <c r="E3565" t="s">
        <v>126</v>
      </c>
      <c r="F3565" t="s">
        <v>391</v>
      </c>
      <c r="G3565">
        <v>1296</v>
      </c>
      <c r="I3565">
        <f t="shared" si="216"/>
        <v>0</v>
      </c>
      <c r="J3565">
        <f t="shared" si="216"/>
        <v>0</v>
      </c>
      <c r="K3565">
        <f t="shared" si="216"/>
        <v>0</v>
      </c>
      <c r="M3565" t="str" cm="1">
        <f t="array" ref="M3565">IFERROR(INDEX($I$2:$K$2,0,MATCH(TRUE,I3565:K3565,0)),E3565)</f>
        <v>Hydro_seasonal_storage</v>
      </c>
      <c r="O3565" t="str">
        <f t="shared" si="214"/>
        <v>Hydro_seasonal_storage_2023</v>
      </c>
      <c r="P3565">
        <f t="shared" si="215"/>
        <v>1296</v>
      </c>
    </row>
    <row r="3566" spans="4:16" x14ac:dyDescent="0.25">
      <c r="D3566">
        <v>2024</v>
      </c>
      <c r="E3566" t="s">
        <v>126</v>
      </c>
      <c r="F3566" t="s">
        <v>391</v>
      </c>
      <c r="G3566">
        <v>1296</v>
      </c>
      <c r="I3566">
        <f t="shared" si="216"/>
        <v>0</v>
      </c>
      <c r="J3566">
        <f t="shared" si="216"/>
        <v>0</v>
      </c>
      <c r="K3566">
        <f t="shared" si="216"/>
        <v>0</v>
      </c>
      <c r="M3566" t="str" cm="1">
        <f t="array" ref="M3566">IFERROR(INDEX($I$2:$K$2,0,MATCH(TRUE,I3566:K3566,0)),E3566)</f>
        <v>Hydro_seasonal_storage</v>
      </c>
      <c r="O3566" t="str">
        <f t="shared" si="214"/>
        <v>Hydro_seasonal_storage_2024</v>
      </c>
      <c r="P3566">
        <f t="shared" si="215"/>
        <v>1296</v>
      </c>
    </row>
    <row r="3567" spans="4:16" x14ac:dyDescent="0.25">
      <c r="D3567">
        <v>2025</v>
      </c>
      <c r="E3567" t="s">
        <v>126</v>
      </c>
      <c r="F3567" t="s">
        <v>391</v>
      </c>
      <c r="G3567">
        <v>1296</v>
      </c>
      <c r="I3567">
        <f t="shared" si="216"/>
        <v>0</v>
      </c>
      <c r="J3567">
        <f t="shared" si="216"/>
        <v>0</v>
      </c>
      <c r="K3567">
        <f t="shared" si="216"/>
        <v>0</v>
      </c>
      <c r="M3567" t="str" cm="1">
        <f t="array" ref="M3567">IFERROR(INDEX($I$2:$K$2,0,MATCH(TRUE,I3567:K3567,0)),E3567)</f>
        <v>Hydro_seasonal_storage</v>
      </c>
      <c r="O3567" t="str">
        <f t="shared" si="214"/>
        <v>Hydro_seasonal_storage_2025</v>
      </c>
      <c r="P3567">
        <f t="shared" si="215"/>
        <v>1296</v>
      </c>
    </row>
    <row r="3568" spans="4:16" x14ac:dyDescent="0.25">
      <c r="D3568">
        <v>2026</v>
      </c>
      <c r="E3568" t="s">
        <v>126</v>
      </c>
      <c r="F3568" t="s">
        <v>391</v>
      </c>
      <c r="G3568">
        <v>1296</v>
      </c>
      <c r="I3568">
        <f t="shared" si="216"/>
        <v>0</v>
      </c>
      <c r="J3568">
        <f t="shared" si="216"/>
        <v>0</v>
      </c>
      <c r="K3568">
        <f t="shared" si="216"/>
        <v>0</v>
      </c>
      <c r="M3568" t="str" cm="1">
        <f t="array" ref="M3568">IFERROR(INDEX($I$2:$K$2,0,MATCH(TRUE,I3568:K3568,0)),E3568)</f>
        <v>Hydro_seasonal_storage</v>
      </c>
      <c r="O3568" t="str">
        <f t="shared" si="214"/>
        <v>Hydro_seasonal_storage_2026</v>
      </c>
      <c r="P3568">
        <f t="shared" si="215"/>
        <v>1296</v>
      </c>
    </row>
    <row r="3569" spans="4:16" x14ac:dyDescent="0.25">
      <c r="D3569">
        <v>2027</v>
      </c>
      <c r="E3569" t="s">
        <v>126</v>
      </c>
      <c r="F3569" t="s">
        <v>391</v>
      </c>
      <c r="G3569">
        <v>1296</v>
      </c>
      <c r="I3569">
        <f t="shared" si="216"/>
        <v>0</v>
      </c>
      <c r="J3569">
        <f t="shared" si="216"/>
        <v>0</v>
      </c>
      <c r="K3569">
        <f t="shared" si="216"/>
        <v>0</v>
      </c>
      <c r="M3569" t="str" cm="1">
        <f t="array" ref="M3569">IFERROR(INDEX($I$2:$K$2,0,MATCH(TRUE,I3569:K3569,0)),E3569)</f>
        <v>Hydro_seasonal_storage</v>
      </c>
      <c r="O3569" t="str">
        <f t="shared" si="214"/>
        <v>Hydro_seasonal_storage_2027</v>
      </c>
      <c r="P3569">
        <f t="shared" si="215"/>
        <v>1296</v>
      </c>
    </row>
    <row r="3570" spans="4:16" x14ac:dyDescent="0.25">
      <c r="D3570">
        <v>2028</v>
      </c>
      <c r="E3570" t="s">
        <v>126</v>
      </c>
      <c r="F3570" t="s">
        <v>391</v>
      </c>
      <c r="G3570">
        <v>1296</v>
      </c>
      <c r="I3570">
        <f t="shared" si="216"/>
        <v>0</v>
      </c>
      <c r="J3570">
        <f t="shared" si="216"/>
        <v>0</v>
      </c>
      <c r="K3570">
        <f t="shared" si="216"/>
        <v>0</v>
      </c>
      <c r="M3570" t="str" cm="1">
        <f t="array" ref="M3570">IFERROR(INDEX($I$2:$K$2,0,MATCH(TRUE,I3570:K3570,0)),E3570)</f>
        <v>Hydro_seasonal_storage</v>
      </c>
      <c r="O3570" t="str">
        <f t="shared" si="214"/>
        <v>Hydro_seasonal_storage_2028</v>
      </c>
      <c r="P3570">
        <f t="shared" si="215"/>
        <v>1296</v>
      </c>
    </row>
    <row r="3571" spans="4:16" x14ac:dyDescent="0.25">
      <c r="D3571">
        <v>2029</v>
      </c>
      <c r="E3571" t="s">
        <v>126</v>
      </c>
      <c r="F3571" t="s">
        <v>391</v>
      </c>
      <c r="G3571">
        <v>1296</v>
      </c>
      <c r="I3571">
        <f t="shared" si="216"/>
        <v>0</v>
      </c>
      <c r="J3571">
        <f t="shared" si="216"/>
        <v>0</v>
      </c>
      <c r="K3571">
        <f t="shared" si="216"/>
        <v>0</v>
      </c>
      <c r="M3571" t="str" cm="1">
        <f t="array" ref="M3571">IFERROR(INDEX($I$2:$K$2,0,MATCH(TRUE,I3571:K3571,0)),E3571)</f>
        <v>Hydro_seasonal_storage</v>
      </c>
      <c r="O3571" t="str">
        <f t="shared" si="214"/>
        <v>Hydro_seasonal_storage_2029</v>
      </c>
      <c r="P3571">
        <f t="shared" si="215"/>
        <v>1296</v>
      </c>
    </row>
    <row r="3572" spans="4:16" x14ac:dyDescent="0.25">
      <c r="D3572">
        <v>2030</v>
      </c>
      <c r="E3572" t="s">
        <v>126</v>
      </c>
      <c r="F3572" t="s">
        <v>391</v>
      </c>
      <c r="G3572">
        <v>1296</v>
      </c>
      <c r="I3572">
        <f t="shared" si="216"/>
        <v>0</v>
      </c>
      <c r="J3572">
        <f t="shared" si="216"/>
        <v>0</v>
      </c>
      <c r="K3572">
        <f t="shared" si="216"/>
        <v>0</v>
      </c>
      <c r="M3572" t="str" cm="1">
        <f t="array" ref="M3572">IFERROR(INDEX($I$2:$K$2,0,MATCH(TRUE,I3572:K3572,0)),E3572)</f>
        <v>Hydro_seasonal_storage</v>
      </c>
      <c r="O3572" t="str">
        <f t="shared" si="214"/>
        <v>Hydro_seasonal_storage_2030</v>
      </c>
      <c r="P3572">
        <f t="shared" si="215"/>
        <v>1296</v>
      </c>
    </row>
    <row r="3573" spans="4:16" x14ac:dyDescent="0.25">
      <c r="D3573">
        <v>2031</v>
      </c>
      <c r="E3573" t="s">
        <v>126</v>
      </c>
      <c r="F3573" t="s">
        <v>391</v>
      </c>
      <c r="G3573">
        <v>1296</v>
      </c>
      <c r="I3573">
        <f t="shared" si="216"/>
        <v>0</v>
      </c>
      <c r="J3573">
        <f t="shared" si="216"/>
        <v>0</v>
      </c>
      <c r="K3573">
        <f t="shared" si="216"/>
        <v>0</v>
      </c>
      <c r="M3573" t="str" cm="1">
        <f t="array" ref="M3573">IFERROR(INDEX($I$2:$K$2,0,MATCH(TRUE,I3573:K3573,0)),E3573)</f>
        <v>Hydro_seasonal_storage</v>
      </c>
      <c r="O3573" t="str">
        <f t="shared" si="214"/>
        <v>Hydro_seasonal_storage_2031</v>
      </c>
      <c r="P3573">
        <f t="shared" si="215"/>
        <v>1296</v>
      </c>
    </row>
    <row r="3574" spans="4:16" x14ac:dyDescent="0.25">
      <c r="D3574">
        <v>2032</v>
      </c>
      <c r="E3574" t="s">
        <v>126</v>
      </c>
      <c r="F3574" t="s">
        <v>391</v>
      </c>
      <c r="G3574">
        <v>1296</v>
      </c>
      <c r="I3574">
        <f t="shared" si="216"/>
        <v>0</v>
      </c>
      <c r="J3574">
        <f t="shared" si="216"/>
        <v>0</v>
      </c>
      <c r="K3574">
        <f t="shared" si="216"/>
        <v>0</v>
      </c>
      <c r="M3574" t="str" cm="1">
        <f t="array" ref="M3574">IFERROR(INDEX($I$2:$K$2,0,MATCH(TRUE,I3574:K3574,0)),E3574)</f>
        <v>Hydro_seasonal_storage</v>
      </c>
      <c r="O3574" t="str">
        <f t="shared" si="214"/>
        <v>Hydro_seasonal_storage_2032</v>
      </c>
      <c r="P3574">
        <f t="shared" si="215"/>
        <v>1296</v>
      </c>
    </row>
    <row r="3575" spans="4:16" x14ac:dyDescent="0.25">
      <c r="D3575">
        <v>2033</v>
      </c>
      <c r="E3575" t="s">
        <v>126</v>
      </c>
      <c r="F3575" t="s">
        <v>391</v>
      </c>
      <c r="G3575">
        <v>1296</v>
      </c>
      <c r="I3575">
        <f t="shared" si="216"/>
        <v>0</v>
      </c>
      <c r="J3575">
        <f t="shared" si="216"/>
        <v>0</v>
      </c>
      <c r="K3575">
        <f t="shared" si="216"/>
        <v>0</v>
      </c>
      <c r="M3575" t="str" cm="1">
        <f t="array" ref="M3575">IFERROR(INDEX($I$2:$K$2,0,MATCH(TRUE,I3575:K3575,0)),E3575)</f>
        <v>Hydro_seasonal_storage</v>
      </c>
      <c r="O3575" t="str">
        <f t="shared" si="214"/>
        <v>Hydro_seasonal_storage_2033</v>
      </c>
      <c r="P3575">
        <f t="shared" si="215"/>
        <v>1296</v>
      </c>
    </row>
    <row r="3576" spans="4:16" x14ac:dyDescent="0.25">
      <c r="D3576">
        <v>2034</v>
      </c>
      <c r="E3576" t="s">
        <v>126</v>
      </c>
      <c r="F3576" t="s">
        <v>391</v>
      </c>
      <c r="G3576">
        <v>1296</v>
      </c>
      <c r="I3576">
        <f t="shared" si="216"/>
        <v>0</v>
      </c>
      <c r="J3576">
        <f t="shared" si="216"/>
        <v>0</v>
      </c>
      <c r="K3576">
        <f t="shared" si="216"/>
        <v>0</v>
      </c>
      <c r="M3576" t="str" cm="1">
        <f t="array" ref="M3576">IFERROR(INDEX($I$2:$K$2,0,MATCH(TRUE,I3576:K3576,0)),E3576)</f>
        <v>Hydro_seasonal_storage</v>
      </c>
      <c r="O3576" t="str">
        <f t="shared" si="214"/>
        <v>Hydro_seasonal_storage_2034</v>
      </c>
      <c r="P3576">
        <f t="shared" si="215"/>
        <v>1296</v>
      </c>
    </row>
    <row r="3577" spans="4:16" x14ac:dyDescent="0.25">
      <c r="D3577">
        <v>2035</v>
      </c>
      <c r="E3577" t="s">
        <v>126</v>
      </c>
      <c r="F3577" t="s">
        <v>391</v>
      </c>
      <c r="G3577">
        <v>1296</v>
      </c>
      <c r="I3577">
        <f t="shared" si="216"/>
        <v>0</v>
      </c>
      <c r="J3577">
        <f t="shared" si="216"/>
        <v>0</v>
      </c>
      <c r="K3577">
        <f t="shared" si="216"/>
        <v>0</v>
      </c>
      <c r="M3577" t="str" cm="1">
        <f t="array" ref="M3577">IFERROR(INDEX($I$2:$K$2,0,MATCH(TRUE,I3577:K3577,0)),E3577)</f>
        <v>Hydro_seasonal_storage</v>
      </c>
      <c r="O3577" t="str">
        <f t="shared" si="214"/>
        <v>Hydro_seasonal_storage_2035</v>
      </c>
      <c r="P3577">
        <f t="shared" si="215"/>
        <v>1296</v>
      </c>
    </row>
    <row r="3578" spans="4:16" x14ac:dyDescent="0.25">
      <c r="D3578">
        <v>2036</v>
      </c>
      <c r="E3578" t="s">
        <v>126</v>
      </c>
      <c r="F3578" t="s">
        <v>391</v>
      </c>
      <c r="G3578">
        <v>1296</v>
      </c>
      <c r="I3578">
        <f t="shared" si="216"/>
        <v>0</v>
      </c>
      <c r="J3578">
        <f t="shared" si="216"/>
        <v>0</v>
      </c>
      <c r="K3578">
        <f t="shared" si="216"/>
        <v>0</v>
      </c>
      <c r="M3578" t="str" cm="1">
        <f t="array" ref="M3578">IFERROR(INDEX($I$2:$K$2,0,MATCH(TRUE,I3578:K3578,0)),E3578)</f>
        <v>Hydro_seasonal_storage</v>
      </c>
      <c r="O3578" t="str">
        <f t="shared" si="214"/>
        <v>Hydro_seasonal_storage_2036</v>
      </c>
      <c r="P3578">
        <f t="shared" si="215"/>
        <v>1296</v>
      </c>
    </row>
    <row r="3579" spans="4:16" x14ac:dyDescent="0.25">
      <c r="D3579">
        <v>2037</v>
      </c>
      <c r="E3579" t="s">
        <v>126</v>
      </c>
      <c r="F3579" t="s">
        <v>391</v>
      </c>
      <c r="G3579">
        <v>1296</v>
      </c>
      <c r="I3579">
        <f t="shared" si="216"/>
        <v>0</v>
      </c>
      <c r="J3579">
        <f t="shared" si="216"/>
        <v>0</v>
      </c>
      <c r="K3579">
        <f t="shared" si="216"/>
        <v>0</v>
      </c>
      <c r="M3579" t="str" cm="1">
        <f t="array" ref="M3579">IFERROR(INDEX($I$2:$K$2,0,MATCH(TRUE,I3579:K3579,0)),E3579)</f>
        <v>Hydro_seasonal_storage</v>
      </c>
      <c r="O3579" t="str">
        <f t="shared" si="214"/>
        <v>Hydro_seasonal_storage_2037</v>
      </c>
      <c r="P3579">
        <f t="shared" si="215"/>
        <v>1296</v>
      </c>
    </row>
    <row r="3580" spans="4:16" x14ac:dyDescent="0.25">
      <c r="D3580">
        <v>2038</v>
      </c>
      <c r="E3580" t="s">
        <v>126</v>
      </c>
      <c r="F3580" t="s">
        <v>391</v>
      </c>
      <c r="G3580">
        <v>1296</v>
      </c>
      <c r="I3580">
        <f t="shared" si="216"/>
        <v>0</v>
      </c>
      <c r="J3580">
        <f t="shared" si="216"/>
        <v>0</v>
      </c>
      <c r="K3580">
        <f t="shared" si="216"/>
        <v>0</v>
      </c>
      <c r="M3580" t="str" cm="1">
        <f t="array" ref="M3580">IFERROR(INDEX($I$2:$K$2,0,MATCH(TRUE,I3580:K3580,0)),E3580)</f>
        <v>Hydro_seasonal_storage</v>
      </c>
      <c r="O3580" t="str">
        <f t="shared" si="214"/>
        <v>Hydro_seasonal_storage_2038</v>
      </c>
      <c r="P3580">
        <f t="shared" si="215"/>
        <v>1296</v>
      </c>
    </row>
    <row r="3581" spans="4:16" x14ac:dyDescent="0.25">
      <c r="D3581">
        <v>2039</v>
      </c>
      <c r="E3581" t="s">
        <v>126</v>
      </c>
      <c r="F3581" t="s">
        <v>391</v>
      </c>
      <c r="G3581">
        <v>1296</v>
      </c>
      <c r="I3581">
        <f t="shared" si="216"/>
        <v>0</v>
      </c>
      <c r="J3581">
        <f t="shared" si="216"/>
        <v>0</v>
      </c>
      <c r="K3581">
        <f t="shared" si="216"/>
        <v>0</v>
      </c>
      <c r="M3581" t="str" cm="1">
        <f t="array" ref="M3581">IFERROR(INDEX($I$2:$K$2,0,MATCH(TRUE,I3581:K3581,0)),E3581)</f>
        <v>Hydro_seasonal_storage</v>
      </c>
      <c r="O3581" t="str">
        <f t="shared" si="214"/>
        <v>Hydro_seasonal_storage_2039</v>
      </c>
      <c r="P3581">
        <f t="shared" si="215"/>
        <v>1296</v>
      </c>
    </row>
    <row r="3582" spans="4:16" x14ac:dyDescent="0.25">
      <c r="D3582">
        <v>2040</v>
      </c>
      <c r="E3582" t="s">
        <v>126</v>
      </c>
      <c r="F3582" t="s">
        <v>391</v>
      </c>
      <c r="G3582">
        <v>1296</v>
      </c>
      <c r="I3582">
        <f t="shared" si="216"/>
        <v>0</v>
      </c>
      <c r="J3582">
        <f t="shared" si="216"/>
        <v>0</v>
      </c>
      <c r="K3582">
        <f t="shared" si="216"/>
        <v>0</v>
      </c>
      <c r="M3582" t="str" cm="1">
        <f t="array" ref="M3582">IFERROR(INDEX($I$2:$K$2,0,MATCH(TRUE,I3582:K3582,0)),E3582)</f>
        <v>Hydro_seasonal_storage</v>
      </c>
      <c r="O3582" t="str">
        <f t="shared" si="214"/>
        <v>Hydro_seasonal_storage_2040</v>
      </c>
      <c r="P3582">
        <f t="shared" si="215"/>
        <v>1296</v>
      </c>
    </row>
    <row r="3583" spans="4:16" x14ac:dyDescent="0.25">
      <c r="D3583">
        <v>2021</v>
      </c>
      <c r="E3583" t="s">
        <v>126</v>
      </c>
      <c r="F3583" t="s">
        <v>392</v>
      </c>
      <c r="G3583">
        <v>140</v>
      </c>
      <c r="I3583">
        <f t="shared" si="216"/>
        <v>0</v>
      </c>
      <c r="J3583">
        <f t="shared" si="216"/>
        <v>0</v>
      </c>
      <c r="K3583">
        <f t="shared" si="216"/>
        <v>0</v>
      </c>
      <c r="M3583" t="str" cm="1">
        <f t="array" ref="M3583">IFERROR(INDEX($I$2:$K$2,0,MATCH(TRUE,I3583:K3583,0)),E3583)</f>
        <v>Hydro_seasonal_storage</v>
      </c>
      <c r="O3583" t="str">
        <f t="shared" si="214"/>
        <v>Hydro_seasonal_storage_2021</v>
      </c>
      <c r="P3583">
        <f t="shared" si="215"/>
        <v>140</v>
      </c>
    </row>
    <row r="3584" spans="4:16" x14ac:dyDescent="0.25">
      <c r="D3584">
        <v>2022</v>
      </c>
      <c r="E3584" t="s">
        <v>126</v>
      </c>
      <c r="F3584" t="s">
        <v>392</v>
      </c>
      <c r="G3584">
        <v>140</v>
      </c>
      <c r="I3584">
        <f t="shared" si="216"/>
        <v>0</v>
      </c>
      <c r="J3584">
        <f t="shared" si="216"/>
        <v>0</v>
      </c>
      <c r="K3584">
        <f t="shared" si="216"/>
        <v>0</v>
      </c>
      <c r="M3584" t="str" cm="1">
        <f t="array" ref="M3584">IFERROR(INDEX($I$2:$K$2,0,MATCH(TRUE,I3584:K3584,0)),E3584)</f>
        <v>Hydro_seasonal_storage</v>
      </c>
      <c r="O3584" t="str">
        <f t="shared" si="214"/>
        <v>Hydro_seasonal_storage_2022</v>
      </c>
      <c r="P3584">
        <f t="shared" si="215"/>
        <v>140</v>
      </c>
    </row>
    <row r="3585" spans="4:16" x14ac:dyDescent="0.25">
      <c r="D3585">
        <v>2023</v>
      </c>
      <c r="E3585" t="s">
        <v>126</v>
      </c>
      <c r="F3585" t="s">
        <v>392</v>
      </c>
      <c r="G3585">
        <v>140</v>
      </c>
      <c r="I3585">
        <f t="shared" si="216"/>
        <v>0</v>
      </c>
      <c r="J3585">
        <f t="shared" si="216"/>
        <v>0</v>
      </c>
      <c r="K3585">
        <f t="shared" si="216"/>
        <v>0</v>
      </c>
      <c r="M3585" t="str" cm="1">
        <f t="array" ref="M3585">IFERROR(INDEX($I$2:$K$2,0,MATCH(TRUE,I3585:K3585,0)),E3585)</f>
        <v>Hydro_seasonal_storage</v>
      </c>
      <c r="O3585" t="str">
        <f t="shared" si="214"/>
        <v>Hydro_seasonal_storage_2023</v>
      </c>
      <c r="P3585">
        <f t="shared" si="215"/>
        <v>140</v>
      </c>
    </row>
    <row r="3586" spans="4:16" x14ac:dyDescent="0.25">
      <c r="D3586">
        <v>2024</v>
      </c>
      <c r="E3586" t="s">
        <v>126</v>
      </c>
      <c r="F3586" t="s">
        <v>392</v>
      </c>
      <c r="G3586">
        <v>140</v>
      </c>
      <c r="I3586">
        <f t="shared" si="216"/>
        <v>0</v>
      </c>
      <c r="J3586">
        <f t="shared" si="216"/>
        <v>0</v>
      </c>
      <c r="K3586">
        <f t="shared" si="216"/>
        <v>0</v>
      </c>
      <c r="M3586" t="str" cm="1">
        <f t="array" ref="M3586">IFERROR(INDEX($I$2:$K$2,0,MATCH(TRUE,I3586:K3586,0)),E3586)</f>
        <v>Hydro_seasonal_storage</v>
      </c>
      <c r="O3586" t="str">
        <f t="shared" si="214"/>
        <v>Hydro_seasonal_storage_2024</v>
      </c>
      <c r="P3586">
        <f t="shared" si="215"/>
        <v>140</v>
      </c>
    </row>
    <row r="3587" spans="4:16" x14ac:dyDescent="0.25">
      <c r="D3587">
        <v>2025</v>
      </c>
      <c r="E3587" t="s">
        <v>126</v>
      </c>
      <c r="F3587" t="s">
        <v>392</v>
      </c>
      <c r="G3587">
        <v>140</v>
      </c>
      <c r="I3587">
        <f t="shared" si="216"/>
        <v>0</v>
      </c>
      <c r="J3587">
        <f t="shared" si="216"/>
        <v>0</v>
      </c>
      <c r="K3587">
        <f t="shared" si="216"/>
        <v>0</v>
      </c>
      <c r="M3587" t="str" cm="1">
        <f t="array" ref="M3587">IFERROR(INDEX($I$2:$K$2,0,MATCH(TRUE,I3587:K3587,0)),E3587)</f>
        <v>Hydro_seasonal_storage</v>
      </c>
      <c r="O3587" t="str">
        <f t="shared" si="214"/>
        <v>Hydro_seasonal_storage_2025</v>
      </c>
      <c r="P3587">
        <f t="shared" si="215"/>
        <v>140</v>
      </c>
    </row>
    <row r="3588" spans="4:16" x14ac:dyDescent="0.25">
      <c r="D3588">
        <v>2026</v>
      </c>
      <c r="E3588" t="s">
        <v>126</v>
      </c>
      <c r="F3588" t="s">
        <v>392</v>
      </c>
      <c r="G3588">
        <v>140</v>
      </c>
      <c r="I3588">
        <f t="shared" si="216"/>
        <v>0</v>
      </c>
      <c r="J3588">
        <f t="shared" si="216"/>
        <v>0</v>
      </c>
      <c r="K3588">
        <f t="shared" si="216"/>
        <v>0</v>
      </c>
      <c r="M3588" t="str" cm="1">
        <f t="array" ref="M3588">IFERROR(INDEX($I$2:$K$2,0,MATCH(TRUE,I3588:K3588,0)),E3588)</f>
        <v>Hydro_seasonal_storage</v>
      </c>
      <c r="O3588" t="str">
        <f t="shared" si="214"/>
        <v>Hydro_seasonal_storage_2026</v>
      </c>
      <c r="P3588">
        <f t="shared" si="215"/>
        <v>140</v>
      </c>
    </row>
    <row r="3589" spans="4:16" x14ac:dyDescent="0.25">
      <c r="D3589">
        <v>2027</v>
      </c>
      <c r="E3589" t="s">
        <v>126</v>
      </c>
      <c r="F3589" t="s">
        <v>392</v>
      </c>
      <c r="G3589">
        <v>140</v>
      </c>
      <c r="I3589">
        <f t="shared" si="216"/>
        <v>0</v>
      </c>
      <c r="J3589">
        <f t="shared" si="216"/>
        <v>0</v>
      </c>
      <c r="K3589">
        <f t="shared" si="216"/>
        <v>0</v>
      </c>
      <c r="M3589" t="str" cm="1">
        <f t="array" ref="M3589">IFERROR(INDEX($I$2:$K$2,0,MATCH(TRUE,I3589:K3589,0)),E3589)</f>
        <v>Hydro_seasonal_storage</v>
      </c>
      <c r="O3589" t="str">
        <f t="shared" si="214"/>
        <v>Hydro_seasonal_storage_2027</v>
      </c>
      <c r="P3589">
        <f t="shared" si="215"/>
        <v>140</v>
      </c>
    </row>
    <row r="3590" spans="4:16" x14ac:dyDescent="0.25">
      <c r="D3590">
        <v>2028</v>
      </c>
      <c r="E3590" t="s">
        <v>126</v>
      </c>
      <c r="F3590" t="s">
        <v>392</v>
      </c>
      <c r="G3590">
        <v>140</v>
      </c>
      <c r="I3590">
        <f t="shared" si="216"/>
        <v>0</v>
      </c>
      <c r="J3590">
        <f t="shared" si="216"/>
        <v>0</v>
      </c>
      <c r="K3590">
        <f t="shared" si="216"/>
        <v>0</v>
      </c>
      <c r="M3590" t="str" cm="1">
        <f t="array" ref="M3590">IFERROR(INDEX($I$2:$K$2,0,MATCH(TRUE,I3590:K3590,0)),E3590)</f>
        <v>Hydro_seasonal_storage</v>
      </c>
      <c r="O3590" t="str">
        <f t="shared" si="214"/>
        <v>Hydro_seasonal_storage_2028</v>
      </c>
      <c r="P3590">
        <f t="shared" si="215"/>
        <v>140</v>
      </c>
    </row>
    <row r="3591" spans="4:16" x14ac:dyDescent="0.25">
      <c r="D3591">
        <v>2029</v>
      </c>
      <c r="E3591" t="s">
        <v>126</v>
      </c>
      <c r="F3591" t="s">
        <v>392</v>
      </c>
      <c r="G3591">
        <v>140</v>
      </c>
      <c r="I3591">
        <f t="shared" si="216"/>
        <v>0</v>
      </c>
      <c r="J3591">
        <f t="shared" si="216"/>
        <v>0</v>
      </c>
      <c r="K3591">
        <f t="shared" si="216"/>
        <v>0</v>
      </c>
      <c r="M3591" t="str" cm="1">
        <f t="array" ref="M3591">IFERROR(INDEX($I$2:$K$2,0,MATCH(TRUE,I3591:K3591,0)),E3591)</f>
        <v>Hydro_seasonal_storage</v>
      </c>
      <c r="O3591" t="str">
        <f t="shared" si="214"/>
        <v>Hydro_seasonal_storage_2029</v>
      </c>
      <c r="P3591">
        <f t="shared" si="215"/>
        <v>140</v>
      </c>
    </row>
    <row r="3592" spans="4:16" x14ac:dyDescent="0.25">
      <c r="D3592">
        <v>2030</v>
      </c>
      <c r="E3592" t="s">
        <v>126</v>
      </c>
      <c r="F3592" t="s">
        <v>392</v>
      </c>
      <c r="G3592">
        <v>140</v>
      </c>
      <c r="I3592">
        <f t="shared" si="216"/>
        <v>0</v>
      </c>
      <c r="J3592">
        <f t="shared" si="216"/>
        <v>0</v>
      </c>
      <c r="K3592">
        <f t="shared" si="216"/>
        <v>0</v>
      </c>
      <c r="M3592" t="str" cm="1">
        <f t="array" ref="M3592">IFERROR(INDEX($I$2:$K$2,0,MATCH(TRUE,I3592:K3592,0)),E3592)</f>
        <v>Hydro_seasonal_storage</v>
      </c>
      <c r="O3592" t="str">
        <f t="shared" si="214"/>
        <v>Hydro_seasonal_storage_2030</v>
      </c>
      <c r="P3592">
        <f t="shared" si="215"/>
        <v>140</v>
      </c>
    </row>
    <row r="3593" spans="4:16" x14ac:dyDescent="0.25">
      <c r="D3593">
        <v>2031</v>
      </c>
      <c r="E3593" t="s">
        <v>126</v>
      </c>
      <c r="F3593" t="s">
        <v>392</v>
      </c>
      <c r="G3593">
        <v>140</v>
      </c>
      <c r="I3593">
        <f t="shared" si="216"/>
        <v>0</v>
      </c>
      <c r="J3593">
        <f t="shared" si="216"/>
        <v>0</v>
      </c>
      <c r="K3593">
        <f t="shared" si="216"/>
        <v>0</v>
      </c>
      <c r="M3593" t="str" cm="1">
        <f t="array" ref="M3593">IFERROR(INDEX($I$2:$K$2,0,MATCH(TRUE,I3593:K3593,0)),E3593)</f>
        <v>Hydro_seasonal_storage</v>
      </c>
      <c r="O3593" t="str">
        <f t="shared" si="214"/>
        <v>Hydro_seasonal_storage_2031</v>
      </c>
      <c r="P3593">
        <f t="shared" si="215"/>
        <v>140</v>
      </c>
    </row>
    <row r="3594" spans="4:16" x14ac:dyDescent="0.25">
      <c r="D3594">
        <v>2032</v>
      </c>
      <c r="E3594" t="s">
        <v>126</v>
      </c>
      <c r="F3594" t="s">
        <v>392</v>
      </c>
      <c r="G3594">
        <v>140</v>
      </c>
      <c r="I3594">
        <f t="shared" si="216"/>
        <v>0</v>
      </c>
      <c r="J3594">
        <f t="shared" si="216"/>
        <v>0</v>
      </c>
      <c r="K3594">
        <f t="shared" si="216"/>
        <v>0</v>
      </c>
      <c r="M3594" t="str" cm="1">
        <f t="array" ref="M3594">IFERROR(INDEX($I$2:$K$2,0,MATCH(TRUE,I3594:K3594,0)),E3594)</f>
        <v>Hydro_seasonal_storage</v>
      </c>
      <c r="O3594" t="str">
        <f t="shared" si="214"/>
        <v>Hydro_seasonal_storage_2032</v>
      </c>
      <c r="P3594">
        <f t="shared" si="215"/>
        <v>140</v>
      </c>
    </row>
    <row r="3595" spans="4:16" x14ac:dyDescent="0.25">
      <c r="D3595">
        <v>2033</v>
      </c>
      <c r="E3595" t="s">
        <v>126</v>
      </c>
      <c r="F3595" t="s">
        <v>392</v>
      </c>
      <c r="G3595">
        <v>140</v>
      </c>
      <c r="I3595">
        <f t="shared" si="216"/>
        <v>0</v>
      </c>
      <c r="J3595">
        <f t="shared" si="216"/>
        <v>0</v>
      </c>
      <c r="K3595">
        <f t="shared" si="216"/>
        <v>0</v>
      </c>
      <c r="M3595" t="str" cm="1">
        <f t="array" ref="M3595">IFERROR(INDEX($I$2:$K$2,0,MATCH(TRUE,I3595:K3595,0)),E3595)</f>
        <v>Hydro_seasonal_storage</v>
      </c>
      <c r="O3595" t="str">
        <f t="shared" si="214"/>
        <v>Hydro_seasonal_storage_2033</v>
      </c>
      <c r="P3595">
        <f t="shared" si="215"/>
        <v>140</v>
      </c>
    </row>
    <row r="3596" spans="4:16" x14ac:dyDescent="0.25">
      <c r="D3596">
        <v>2034</v>
      </c>
      <c r="E3596" t="s">
        <v>126</v>
      </c>
      <c r="F3596" t="s">
        <v>392</v>
      </c>
      <c r="G3596">
        <v>140</v>
      </c>
      <c r="I3596">
        <f t="shared" si="216"/>
        <v>0</v>
      </c>
      <c r="J3596">
        <f t="shared" si="216"/>
        <v>0</v>
      </c>
      <c r="K3596">
        <f t="shared" si="216"/>
        <v>0</v>
      </c>
      <c r="M3596" t="str" cm="1">
        <f t="array" ref="M3596">IFERROR(INDEX($I$2:$K$2,0,MATCH(TRUE,I3596:K3596,0)),E3596)</f>
        <v>Hydro_seasonal_storage</v>
      </c>
      <c r="O3596" t="str">
        <f t="shared" si="214"/>
        <v>Hydro_seasonal_storage_2034</v>
      </c>
      <c r="P3596">
        <f t="shared" si="215"/>
        <v>140</v>
      </c>
    </row>
    <row r="3597" spans="4:16" x14ac:dyDescent="0.25">
      <c r="D3597">
        <v>2035</v>
      </c>
      <c r="E3597" t="s">
        <v>126</v>
      </c>
      <c r="F3597" t="s">
        <v>392</v>
      </c>
      <c r="G3597">
        <v>140</v>
      </c>
      <c r="I3597">
        <f t="shared" si="216"/>
        <v>0</v>
      </c>
      <c r="J3597">
        <f t="shared" si="216"/>
        <v>0</v>
      </c>
      <c r="K3597">
        <f t="shared" si="216"/>
        <v>0</v>
      </c>
      <c r="M3597" t="str" cm="1">
        <f t="array" ref="M3597">IFERROR(INDEX($I$2:$K$2,0,MATCH(TRUE,I3597:K3597,0)),E3597)</f>
        <v>Hydro_seasonal_storage</v>
      </c>
      <c r="O3597" t="str">
        <f t="shared" si="214"/>
        <v>Hydro_seasonal_storage_2035</v>
      </c>
      <c r="P3597">
        <f t="shared" si="215"/>
        <v>140</v>
      </c>
    </row>
    <row r="3598" spans="4:16" x14ac:dyDescent="0.25">
      <c r="D3598">
        <v>2036</v>
      </c>
      <c r="E3598" t="s">
        <v>126</v>
      </c>
      <c r="F3598" t="s">
        <v>392</v>
      </c>
      <c r="G3598">
        <v>140</v>
      </c>
      <c r="I3598">
        <f t="shared" si="216"/>
        <v>0</v>
      </c>
      <c r="J3598">
        <f t="shared" si="216"/>
        <v>0</v>
      </c>
      <c r="K3598">
        <f t="shared" si="216"/>
        <v>0</v>
      </c>
      <c r="M3598" t="str" cm="1">
        <f t="array" ref="M3598">IFERROR(INDEX($I$2:$K$2,0,MATCH(TRUE,I3598:K3598,0)),E3598)</f>
        <v>Hydro_seasonal_storage</v>
      </c>
      <c r="O3598" t="str">
        <f t="shared" si="214"/>
        <v>Hydro_seasonal_storage_2036</v>
      </c>
      <c r="P3598">
        <f t="shared" si="215"/>
        <v>140</v>
      </c>
    </row>
    <row r="3599" spans="4:16" x14ac:dyDescent="0.25">
      <c r="D3599">
        <v>2037</v>
      </c>
      <c r="E3599" t="s">
        <v>126</v>
      </c>
      <c r="F3599" t="s">
        <v>392</v>
      </c>
      <c r="G3599">
        <v>140</v>
      </c>
      <c r="I3599">
        <f t="shared" si="216"/>
        <v>0</v>
      </c>
      <c r="J3599">
        <f t="shared" si="216"/>
        <v>0</v>
      </c>
      <c r="K3599">
        <f t="shared" si="216"/>
        <v>0</v>
      </c>
      <c r="M3599" t="str" cm="1">
        <f t="array" ref="M3599">IFERROR(INDEX($I$2:$K$2,0,MATCH(TRUE,I3599:K3599,0)),E3599)</f>
        <v>Hydro_seasonal_storage</v>
      </c>
      <c r="O3599" t="str">
        <f t="shared" si="214"/>
        <v>Hydro_seasonal_storage_2037</v>
      </c>
      <c r="P3599">
        <f t="shared" si="215"/>
        <v>140</v>
      </c>
    </row>
    <row r="3600" spans="4:16" x14ac:dyDescent="0.25">
      <c r="D3600">
        <v>2038</v>
      </c>
      <c r="E3600" t="s">
        <v>126</v>
      </c>
      <c r="F3600" t="s">
        <v>392</v>
      </c>
      <c r="G3600">
        <v>140</v>
      </c>
      <c r="I3600">
        <f t="shared" si="216"/>
        <v>0</v>
      </c>
      <c r="J3600">
        <f t="shared" si="216"/>
        <v>0</v>
      </c>
      <c r="K3600">
        <f t="shared" si="216"/>
        <v>0</v>
      </c>
      <c r="M3600" t="str" cm="1">
        <f t="array" ref="M3600">IFERROR(INDEX($I$2:$K$2,0,MATCH(TRUE,I3600:K3600,0)),E3600)</f>
        <v>Hydro_seasonal_storage</v>
      </c>
      <c r="O3600" t="str">
        <f t="shared" si="214"/>
        <v>Hydro_seasonal_storage_2038</v>
      </c>
      <c r="P3600">
        <f t="shared" si="215"/>
        <v>140</v>
      </c>
    </row>
    <row r="3601" spans="4:16" x14ac:dyDescent="0.25">
      <c r="D3601">
        <v>2039</v>
      </c>
      <c r="E3601" t="s">
        <v>126</v>
      </c>
      <c r="F3601" t="s">
        <v>392</v>
      </c>
      <c r="G3601">
        <v>140</v>
      </c>
      <c r="I3601">
        <f t="shared" si="216"/>
        <v>0</v>
      </c>
      <c r="J3601">
        <f t="shared" si="216"/>
        <v>0</v>
      </c>
      <c r="K3601">
        <f t="shared" si="216"/>
        <v>0</v>
      </c>
      <c r="M3601" t="str" cm="1">
        <f t="array" ref="M3601">IFERROR(INDEX($I$2:$K$2,0,MATCH(TRUE,I3601:K3601,0)),E3601)</f>
        <v>Hydro_seasonal_storage</v>
      </c>
      <c r="O3601" t="str">
        <f t="shared" si="214"/>
        <v>Hydro_seasonal_storage_2039</v>
      </c>
      <c r="P3601">
        <f t="shared" si="215"/>
        <v>140</v>
      </c>
    </row>
    <row r="3602" spans="4:16" x14ac:dyDescent="0.25">
      <c r="D3602">
        <v>2040</v>
      </c>
      <c r="E3602" t="s">
        <v>126</v>
      </c>
      <c r="F3602" t="s">
        <v>392</v>
      </c>
      <c r="G3602">
        <v>140</v>
      </c>
      <c r="I3602">
        <f t="shared" si="216"/>
        <v>0</v>
      </c>
      <c r="J3602">
        <f t="shared" si="216"/>
        <v>0</v>
      </c>
      <c r="K3602">
        <f t="shared" si="216"/>
        <v>0</v>
      </c>
      <c r="M3602" t="str" cm="1">
        <f t="array" ref="M3602">IFERROR(INDEX($I$2:$K$2,0,MATCH(TRUE,I3602:K3602,0)),E3602)</f>
        <v>Hydro_seasonal_storage</v>
      </c>
      <c r="O3602" t="str">
        <f t="shared" si="214"/>
        <v>Hydro_seasonal_storage_2040</v>
      </c>
      <c r="P3602">
        <f t="shared" si="215"/>
        <v>140</v>
      </c>
    </row>
    <row r="3603" spans="4:16" x14ac:dyDescent="0.25">
      <c r="D3603">
        <v>2021</v>
      </c>
      <c r="E3603" t="s">
        <v>126</v>
      </c>
      <c r="F3603" t="s">
        <v>393</v>
      </c>
      <c r="G3603">
        <v>480</v>
      </c>
      <c r="I3603">
        <f t="shared" si="216"/>
        <v>0</v>
      </c>
      <c r="J3603">
        <f t="shared" si="216"/>
        <v>0</v>
      </c>
      <c r="K3603">
        <f t="shared" si="216"/>
        <v>0</v>
      </c>
      <c r="M3603" t="str" cm="1">
        <f t="array" ref="M3603">IFERROR(INDEX($I$2:$K$2,0,MATCH(TRUE,I3603:K3603,0)),E3603)</f>
        <v>Hydro_seasonal_storage</v>
      </c>
      <c r="O3603" t="str">
        <f t="shared" ref="O3603:O3666" si="217">M3603&amp;"_"&amp;D3603</f>
        <v>Hydro_seasonal_storage_2021</v>
      </c>
      <c r="P3603">
        <f t="shared" ref="P3603:P3666" si="218">G3603</f>
        <v>480</v>
      </c>
    </row>
    <row r="3604" spans="4:16" x14ac:dyDescent="0.25">
      <c r="D3604">
        <v>2022</v>
      </c>
      <c r="E3604" t="s">
        <v>126</v>
      </c>
      <c r="F3604" t="s">
        <v>393</v>
      </c>
      <c r="G3604">
        <v>480</v>
      </c>
      <c r="I3604">
        <f t="shared" si="216"/>
        <v>0</v>
      </c>
      <c r="J3604">
        <f t="shared" si="216"/>
        <v>0</v>
      </c>
      <c r="K3604">
        <f t="shared" si="216"/>
        <v>0</v>
      </c>
      <c r="M3604" t="str" cm="1">
        <f t="array" ref="M3604">IFERROR(INDEX($I$2:$K$2,0,MATCH(TRUE,I3604:K3604,0)),E3604)</f>
        <v>Hydro_seasonal_storage</v>
      </c>
      <c r="O3604" t="str">
        <f t="shared" si="217"/>
        <v>Hydro_seasonal_storage_2022</v>
      </c>
      <c r="P3604">
        <f t="shared" si="218"/>
        <v>480</v>
      </c>
    </row>
    <row r="3605" spans="4:16" x14ac:dyDescent="0.25">
      <c r="D3605">
        <v>2023</v>
      </c>
      <c r="E3605" t="s">
        <v>126</v>
      </c>
      <c r="F3605" t="s">
        <v>393</v>
      </c>
      <c r="G3605">
        <v>480</v>
      </c>
      <c r="I3605">
        <f t="shared" ref="I3605:K3668" si="219">IFERROR(FIND(I$2,$E3605,1)&gt;0,0)</f>
        <v>0</v>
      </c>
      <c r="J3605">
        <f t="shared" si="219"/>
        <v>0</v>
      </c>
      <c r="K3605">
        <f t="shared" si="219"/>
        <v>0</v>
      </c>
      <c r="M3605" t="str" cm="1">
        <f t="array" ref="M3605">IFERROR(INDEX($I$2:$K$2,0,MATCH(TRUE,I3605:K3605,0)),E3605)</f>
        <v>Hydro_seasonal_storage</v>
      </c>
      <c r="O3605" t="str">
        <f t="shared" si="217"/>
        <v>Hydro_seasonal_storage_2023</v>
      </c>
      <c r="P3605">
        <f t="shared" si="218"/>
        <v>480</v>
      </c>
    </row>
    <row r="3606" spans="4:16" x14ac:dyDescent="0.25">
      <c r="D3606">
        <v>2024</v>
      </c>
      <c r="E3606" t="s">
        <v>126</v>
      </c>
      <c r="F3606" t="s">
        <v>393</v>
      </c>
      <c r="G3606">
        <v>480</v>
      </c>
      <c r="I3606">
        <f t="shared" si="219"/>
        <v>0</v>
      </c>
      <c r="J3606">
        <f t="shared" si="219"/>
        <v>0</v>
      </c>
      <c r="K3606">
        <f t="shared" si="219"/>
        <v>0</v>
      </c>
      <c r="M3606" t="str" cm="1">
        <f t="array" ref="M3606">IFERROR(INDEX($I$2:$K$2,0,MATCH(TRUE,I3606:K3606,0)),E3606)</f>
        <v>Hydro_seasonal_storage</v>
      </c>
      <c r="O3606" t="str">
        <f t="shared" si="217"/>
        <v>Hydro_seasonal_storage_2024</v>
      </c>
      <c r="P3606">
        <f t="shared" si="218"/>
        <v>480</v>
      </c>
    </row>
    <row r="3607" spans="4:16" x14ac:dyDescent="0.25">
      <c r="D3607">
        <v>2025</v>
      </c>
      <c r="E3607" t="s">
        <v>126</v>
      </c>
      <c r="F3607" t="s">
        <v>393</v>
      </c>
      <c r="G3607">
        <v>480</v>
      </c>
      <c r="I3607">
        <f t="shared" si="219"/>
        <v>0</v>
      </c>
      <c r="J3607">
        <f t="shared" si="219"/>
        <v>0</v>
      </c>
      <c r="K3607">
        <f t="shared" si="219"/>
        <v>0</v>
      </c>
      <c r="M3607" t="str" cm="1">
        <f t="array" ref="M3607">IFERROR(INDEX($I$2:$K$2,0,MATCH(TRUE,I3607:K3607,0)),E3607)</f>
        <v>Hydro_seasonal_storage</v>
      </c>
      <c r="O3607" t="str">
        <f t="shared" si="217"/>
        <v>Hydro_seasonal_storage_2025</v>
      </c>
      <c r="P3607">
        <f t="shared" si="218"/>
        <v>480</v>
      </c>
    </row>
    <row r="3608" spans="4:16" x14ac:dyDescent="0.25">
      <c r="D3608">
        <v>2026</v>
      </c>
      <c r="E3608" t="s">
        <v>126</v>
      </c>
      <c r="F3608" t="s">
        <v>393</v>
      </c>
      <c r="G3608">
        <v>480</v>
      </c>
      <c r="I3608">
        <f t="shared" si="219"/>
        <v>0</v>
      </c>
      <c r="J3608">
        <f t="shared" si="219"/>
        <v>0</v>
      </c>
      <c r="K3608">
        <f t="shared" si="219"/>
        <v>0</v>
      </c>
      <c r="M3608" t="str" cm="1">
        <f t="array" ref="M3608">IFERROR(INDEX($I$2:$K$2,0,MATCH(TRUE,I3608:K3608,0)),E3608)</f>
        <v>Hydro_seasonal_storage</v>
      </c>
      <c r="O3608" t="str">
        <f t="shared" si="217"/>
        <v>Hydro_seasonal_storage_2026</v>
      </c>
      <c r="P3608">
        <f t="shared" si="218"/>
        <v>480</v>
      </c>
    </row>
    <row r="3609" spans="4:16" x14ac:dyDescent="0.25">
      <c r="D3609">
        <v>2027</v>
      </c>
      <c r="E3609" t="s">
        <v>126</v>
      </c>
      <c r="F3609" t="s">
        <v>393</v>
      </c>
      <c r="G3609">
        <v>480</v>
      </c>
      <c r="I3609">
        <f t="shared" si="219"/>
        <v>0</v>
      </c>
      <c r="J3609">
        <f t="shared" si="219"/>
        <v>0</v>
      </c>
      <c r="K3609">
        <f t="shared" si="219"/>
        <v>0</v>
      </c>
      <c r="M3609" t="str" cm="1">
        <f t="array" ref="M3609">IFERROR(INDEX($I$2:$K$2,0,MATCH(TRUE,I3609:K3609,0)),E3609)</f>
        <v>Hydro_seasonal_storage</v>
      </c>
      <c r="O3609" t="str">
        <f t="shared" si="217"/>
        <v>Hydro_seasonal_storage_2027</v>
      </c>
      <c r="P3609">
        <f t="shared" si="218"/>
        <v>480</v>
      </c>
    </row>
    <row r="3610" spans="4:16" x14ac:dyDescent="0.25">
      <c r="D3610">
        <v>2028</v>
      </c>
      <c r="E3610" t="s">
        <v>126</v>
      </c>
      <c r="F3610" t="s">
        <v>393</v>
      </c>
      <c r="G3610">
        <v>480</v>
      </c>
      <c r="I3610">
        <f t="shared" si="219"/>
        <v>0</v>
      </c>
      <c r="J3610">
        <f t="shared" si="219"/>
        <v>0</v>
      </c>
      <c r="K3610">
        <f t="shared" si="219"/>
        <v>0</v>
      </c>
      <c r="M3610" t="str" cm="1">
        <f t="array" ref="M3610">IFERROR(INDEX($I$2:$K$2,0,MATCH(TRUE,I3610:K3610,0)),E3610)</f>
        <v>Hydro_seasonal_storage</v>
      </c>
      <c r="O3610" t="str">
        <f t="shared" si="217"/>
        <v>Hydro_seasonal_storage_2028</v>
      </c>
      <c r="P3610">
        <f t="shared" si="218"/>
        <v>480</v>
      </c>
    </row>
    <row r="3611" spans="4:16" x14ac:dyDescent="0.25">
      <c r="D3611">
        <v>2029</v>
      </c>
      <c r="E3611" t="s">
        <v>126</v>
      </c>
      <c r="F3611" t="s">
        <v>393</v>
      </c>
      <c r="G3611">
        <v>480</v>
      </c>
      <c r="I3611">
        <f t="shared" si="219"/>
        <v>0</v>
      </c>
      <c r="J3611">
        <f t="shared" si="219"/>
        <v>0</v>
      </c>
      <c r="K3611">
        <f t="shared" si="219"/>
        <v>0</v>
      </c>
      <c r="M3611" t="str" cm="1">
        <f t="array" ref="M3611">IFERROR(INDEX($I$2:$K$2,0,MATCH(TRUE,I3611:K3611,0)),E3611)</f>
        <v>Hydro_seasonal_storage</v>
      </c>
      <c r="O3611" t="str">
        <f t="shared" si="217"/>
        <v>Hydro_seasonal_storage_2029</v>
      </c>
      <c r="P3611">
        <f t="shared" si="218"/>
        <v>480</v>
      </c>
    </row>
    <row r="3612" spans="4:16" x14ac:dyDescent="0.25">
      <c r="D3612">
        <v>2030</v>
      </c>
      <c r="E3612" t="s">
        <v>126</v>
      </c>
      <c r="F3612" t="s">
        <v>393</v>
      </c>
      <c r="G3612">
        <v>480</v>
      </c>
      <c r="I3612">
        <f t="shared" si="219"/>
        <v>0</v>
      </c>
      <c r="J3612">
        <f t="shared" si="219"/>
        <v>0</v>
      </c>
      <c r="K3612">
        <f t="shared" si="219"/>
        <v>0</v>
      </c>
      <c r="M3612" t="str" cm="1">
        <f t="array" ref="M3612">IFERROR(INDEX($I$2:$K$2,0,MATCH(TRUE,I3612:K3612,0)),E3612)</f>
        <v>Hydro_seasonal_storage</v>
      </c>
      <c r="O3612" t="str">
        <f t="shared" si="217"/>
        <v>Hydro_seasonal_storage_2030</v>
      </c>
      <c r="P3612">
        <f t="shared" si="218"/>
        <v>480</v>
      </c>
    </row>
    <row r="3613" spans="4:16" x14ac:dyDescent="0.25">
      <c r="D3613">
        <v>2031</v>
      </c>
      <c r="E3613" t="s">
        <v>126</v>
      </c>
      <c r="F3613" t="s">
        <v>393</v>
      </c>
      <c r="G3613">
        <v>480</v>
      </c>
      <c r="I3613">
        <f t="shared" si="219"/>
        <v>0</v>
      </c>
      <c r="J3613">
        <f t="shared" si="219"/>
        <v>0</v>
      </c>
      <c r="K3613">
        <f t="shared" si="219"/>
        <v>0</v>
      </c>
      <c r="M3613" t="str" cm="1">
        <f t="array" ref="M3613">IFERROR(INDEX($I$2:$K$2,0,MATCH(TRUE,I3613:K3613,0)),E3613)</f>
        <v>Hydro_seasonal_storage</v>
      </c>
      <c r="O3613" t="str">
        <f t="shared" si="217"/>
        <v>Hydro_seasonal_storage_2031</v>
      </c>
      <c r="P3613">
        <f t="shared" si="218"/>
        <v>480</v>
      </c>
    </row>
    <row r="3614" spans="4:16" x14ac:dyDescent="0.25">
      <c r="D3614">
        <v>2032</v>
      </c>
      <c r="E3614" t="s">
        <v>126</v>
      </c>
      <c r="F3614" t="s">
        <v>393</v>
      </c>
      <c r="G3614">
        <v>480</v>
      </c>
      <c r="I3614">
        <f t="shared" si="219"/>
        <v>0</v>
      </c>
      <c r="J3614">
        <f t="shared" si="219"/>
        <v>0</v>
      </c>
      <c r="K3614">
        <f t="shared" si="219"/>
        <v>0</v>
      </c>
      <c r="M3614" t="str" cm="1">
        <f t="array" ref="M3614">IFERROR(INDEX($I$2:$K$2,0,MATCH(TRUE,I3614:K3614,0)),E3614)</f>
        <v>Hydro_seasonal_storage</v>
      </c>
      <c r="O3614" t="str">
        <f t="shared" si="217"/>
        <v>Hydro_seasonal_storage_2032</v>
      </c>
      <c r="P3614">
        <f t="shared" si="218"/>
        <v>480</v>
      </c>
    </row>
    <row r="3615" spans="4:16" x14ac:dyDescent="0.25">
      <c r="D3615">
        <v>2033</v>
      </c>
      <c r="E3615" t="s">
        <v>126</v>
      </c>
      <c r="F3615" t="s">
        <v>393</v>
      </c>
      <c r="G3615">
        <v>480</v>
      </c>
      <c r="I3615">
        <f t="shared" si="219"/>
        <v>0</v>
      </c>
      <c r="J3615">
        <f t="shared" si="219"/>
        <v>0</v>
      </c>
      <c r="K3615">
        <f t="shared" si="219"/>
        <v>0</v>
      </c>
      <c r="M3615" t="str" cm="1">
        <f t="array" ref="M3615">IFERROR(INDEX($I$2:$K$2,0,MATCH(TRUE,I3615:K3615,0)),E3615)</f>
        <v>Hydro_seasonal_storage</v>
      </c>
      <c r="O3615" t="str">
        <f t="shared" si="217"/>
        <v>Hydro_seasonal_storage_2033</v>
      </c>
      <c r="P3615">
        <f t="shared" si="218"/>
        <v>480</v>
      </c>
    </row>
    <row r="3616" spans="4:16" x14ac:dyDescent="0.25">
      <c r="D3616">
        <v>2034</v>
      </c>
      <c r="E3616" t="s">
        <v>126</v>
      </c>
      <c r="F3616" t="s">
        <v>393</v>
      </c>
      <c r="G3616">
        <v>480</v>
      </c>
      <c r="I3616">
        <f t="shared" si="219"/>
        <v>0</v>
      </c>
      <c r="J3616">
        <f t="shared" si="219"/>
        <v>0</v>
      </c>
      <c r="K3616">
        <f t="shared" si="219"/>
        <v>0</v>
      </c>
      <c r="M3616" t="str" cm="1">
        <f t="array" ref="M3616">IFERROR(INDEX($I$2:$K$2,0,MATCH(TRUE,I3616:K3616,0)),E3616)</f>
        <v>Hydro_seasonal_storage</v>
      </c>
      <c r="O3616" t="str">
        <f t="shared" si="217"/>
        <v>Hydro_seasonal_storage_2034</v>
      </c>
      <c r="P3616">
        <f t="shared" si="218"/>
        <v>480</v>
      </c>
    </row>
    <row r="3617" spans="4:16" x14ac:dyDescent="0.25">
      <c r="D3617">
        <v>2035</v>
      </c>
      <c r="E3617" t="s">
        <v>126</v>
      </c>
      <c r="F3617" t="s">
        <v>393</v>
      </c>
      <c r="G3617">
        <v>480</v>
      </c>
      <c r="I3617">
        <f t="shared" si="219"/>
        <v>0</v>
      </c>
      <c r="J3617">
        <f t="shared" si="219"/>
        <v>0</v>
      </c>
      <c r="K3617">
        <f t="shared" si="219"/>
        <v>0</v>
      </c>
      <c r="M3617" t="str" cm="1">
        <f t="array" ref="M3617">IFERROR(INDEX($I$2:$K$2,0,MATCH(TRUE,I3617:K3617,0)),E3617)</f>
        <v>Hydro_seasonal_storage</v>
      </c>
      <c r="O3617" t="str">
        <f t="shared" si="217"/>
        <v>Hydro_seasonal_storage_2035</v>
      </c>
      <c r="P3617">
        <f t="shared" si="218"/>
        <v>480</v>
      </c>
    </row>
    <row r="3618" spans="4:16" x14ac:dyDescent="0.25">
      <c r="D3618">
        <v>2036</v>
      </c>
      <c r="E3618" t="s">
        <v>126</v>
      </c>
      <c r="F3618" t="s">
        <v>393</v>
      </c>
      <c r="G3618">
        <v>480</v>
      </c>
      <c r="I3618">
        <f t="shared" si="219"/>
        <v>0</v>
      </c>
      <c r="J3618">
        <f t="shared" si="219"/>
        <v>0</v>
      </c>
      <c r="K3618">
        <f t="shared" si="219"/>
        <v>0</v>
      </c>
      <c r="M3618" t="str" cm="1">
        <f t="array" ref="M3618">IFERROR(INDEX($I$2:$K$2,0,MATCH(TRUE,I3618:K3618,0)),E3618)</f>
        <v>Hydro_seasonal_storage</v>
      </c>
      <c r="O3618" t="str">
        <f t="shared" si="217"/>
        <v>Hydro_seasonal_storage_2036</v>
      </c>
      <c r="P3618">
        <f t="shared" si="218"/>
        <v>480</v>
      </c>
    </row>
    <row r="3619" spans="4:16" x14ac:dyDescent="0.25">
      <c r="D3619">
        <v>2037</v>
      </c>
      <c r="E3619" t="s">
        <v>126</v>
      </c>
      <c r="F3619" t="s">
        <v>393</v>
      </c>
      <c r="G3619">
        <v>480</v>
      </c>
      <c r="I3619">
        <f t="shared" si="219"/>
        <v>0</v>
      </c>
      <c r="J3619">
        <f t="shared" si="219"/>
        <v>0</v>
      </c>
      <c r="K3619">
        <f t="shared" si="219"/>
        <v>0</v>
      </c>
      <c r="M3619" t="str" cm="1">
        <f t="array" ref="M3619">IFERROR(INDEX($I$2:$K$2,0,MATCH(TRUE,I3619:K3619,0)),E3619)</f>
        <v>Hydro_seasonal_storage</v>
      </c>
      <c r="O3619" t="str">
        <f t="shared" si="217"/>
        <v>Hydro_seasonal_storage_2037</v>
      </c>
      <c r="P3619">
        <f t="shared" si="218"/>
        <v>480</v>
      </c>
    </row>
    <row r="3620" spans="4:16" x14ac:dyDescent="0.25">
      <c r="D3620">
        <v>2038</v>
      </c>
      <c r="E3620" t="s">
        <v>126</v>
      </c>
      <c r="F3620" t="s">
        <v>393</v>
      </c>
      <c r="G3620">
        <v>480</v>
      </c>
      <c r="I3620">
        <f t="shared" si="219"/>
        <v>0</v>
      </c>
      <c r="J3620">
        <f t="shared" si="219"/>
        <v>0</v>
      </c>
      <c r="K3620">
        <f t="shared" si="219"/>
        <v>0</v>
      </c>
      <c r="M3620" t="str" cm="1">
        <f t="array" ref="M3620">IFERROR(INDEX($I$2:$K$2,0,MATCH(TRUE,I3620:K3620,0)),E3620)</f>
        <v>Hydro_seasonal_storage</v>
      </c>
      <c r="O3620" t="str">
        <f t="shared" si="217"/>
        <v>Hydro_seasonal_storage_2038</v>
      </c>
      <c r="P3620">
        <f t="shared" si="218"/>
        <v>480</v>
      </c>
    </row>
    <row r="3621" spans="4:16" x14ac:dyDescent="0.25">
      <c r="D3621">
        <v>2039</v>
      </c>
      <c r="E3621" t="s">
        <v>126</v>
      </c>
      <c r="F3621" t="s">
        <v>393</v>
      </c>
      <c r="G3621">
        <v>480</v>
      </c>
      <c r="I3621">
        <f t="shared" si="219"/>
        <v>0</v>
      </c>
      <c r="J3621">
        <f t="shared" si="219"/>
        <v>0</v>
      </c>
      <c r="K3621">
        <f t="shared" si="219"/>
        <v>0</v>
      </c>
      <c r="M3621" t="str" cm="1">
        <f t="array" ref="M3621">IFERROR(INDEX($I$2:$K$2,0,MATCH(TRUE,I3621:K3621,0)),E3621)</f>
        <v>Hydro_seasonal_storage</v>
      </c>
      <c r="O3621" t="str">
        <f t="shared" si="217"/>
        <v>Hydro_seasonal_storage_2039</v>
      </c>
      <c r="P3621">
        <f t="shared" si="218"/>
        <v>480</v>
      </c>
    </row>
    <row r="3622" spans="4:16" x14ac:dyDescent="0.25">
      <c r="D3622">
        <v>2040</v>
      </c>
      <c r="E3622" t="s">
        <v>126</v>
      </c>
      <c r="F3622" t="s">
        <v>393</v>
      </c>
      <c r="G3622">
        <v>480</v>
      </c>
      <c r="I3622">
        <f t="shared" si="219"/>
        <v>0</v>
      </c>
      <c r="J3622">
        <f t="shared" si="219"/>
        <v>0</v>
      </c>
      <c r="K3622">
        <f t="shared" si="219"/>
        <v>0</v>
      </c>
      <c r="M3622" t="str" cm="1">
        <f t="array" ref="M3622">IFERROR(INDEX($I$2:$K$2,0,MATCH(TRUE,I3622:K3622,0)),E3622)</f>
        <v>Hydro_seasonal_storage</v>
      </c>
      <c r="O3622" t="str">
        <f t="shared" si="217"/>
        <v>Hydro_seasonal_storage_2040</v>
      </c>
      <c r="P3622">
        <f t="shared" si="218"/>
        <v>480</v>
      </c>
    </row>
    <row r="3623" spans="4:16" x14ac:dyDescent="0.25">
      <c r="D3623">
        <v>2021</v>
      </c>
      <c r="E3623" t="s">
        <v>126</v>
      </c>
      <c r="F3623" t="s">
        <v>394</v>
      </c>
      <c r="G3623">
        <v>920</v>
      </c>
      <c r="I3623">
        <f t="shared" si="219"/>
        <v>0</v>
      </c>
      <c r="J3623">
        <f t="shared" si="219"/>
        <v>0</v>
      </c>
      <c r="K3623">
        <f t="shared" si="219"/>
        <v>0</v>
      </c>
      <c r="M3623" t="str" cm="1">
        <f t="array" ref="M3623">IFERROR(INDEX($I$2:$K$2,0,MATCH(TRUE,I3623:K3623,0)),E3623)</f>
        <v>Hydro_seasonal_storage</v>
      </c>
      <c r="O3623" t="str">
        <f t="shared" si="217"/>
        <v>Hydro_seasonal_storage_2021</v>
      </c>
      <c r="P3623">
        <f t="shared" si="218"/>
        <v>920</v>
      </c>
    </row>
    <row r="3624" spans="4:16" x14ac:dyDescent="0.25">
      <c r="D3624">
        <v>2022</v>
      </c>
      <c r="E3624" t="s">
        <v>126</v>
      </c>
      <c r="F3624" t="s">
        <v>394</v>
      </c>
      <c r="G3624">
        <v>920</v>
      </c>
      <c r="I3624">
        <f t="shared" si="219"/>
        <v>0</v>
      </c>
      <c r="J3624">
        <f t="shared" si="219"/>
        <v>0</v>
      </c>
      <c r="K3624">
        <f t="shared" si="219"/>
        <v>0</v>
      </c>
      <c r="M3624" t="str" cm="1">
        <f t="array" ref="M3624">IFERROR(INDEX($I$2:$K$2,0,MATCH(TRUE,I3624:K3624,0)),E3624)</f>
        <v>Hydro_seasonal_storage</v>
      </c>
      <c r="O3624" t="str">
        <f t="shared" si="217"/>
        <v>Hydro_seasonal_storage_2022</v>
      </c>
      <c r="P3624">
        <f t="shared" si="218"/>
        <v>920</v>
      </c>
    </row>
    <row r="3625" spans="4:16" x14ac:dyDescent="0.25">
      <c r="D3625">
        <v>2023</v>
      </c>
      <c r="E3625" t="s">
        <v>126</v>
      </c>
      <c r="F3625" t="s">
        <v>394</v>
      </c>
      <c r="G3625">
        <v>920</v>
      </c>
      <c r="I3625">
        <f t="shared" si="219"/>
        <v>0</v>
      </c>
      <c r="J3625">
        <f t="shared" si="219"/>
        <v>0</v>
      </c>
      <c r="K3625">
        <f t="shared" si="219"/>
        <v>0</v>
      </c>
      <c r="M3625" t="str" cm="1">
        <f t="array" ref="M3625">IFERROR(INDEX($I$2:$K$2,0,MATCH(TRUE,I3625:K3625,0)),E3625)</f>
        <v>Hydro_seasonal_storage</v>
      </c>
      <c r="O3625" t="str">
        <f t="shared" si="217"/>
        <v>Hydro_seasonal_storage_2023</v>
      </c>
      <c r="P3625">
        <f t="shared" si="218"/>
        <v>920</v>
      </c>
    </row>
    <row r="3626" spans="4:16" x14ac:dyDescent="0.25">
      <c r="D3626">
        <v>2024</v>
      </c>
      <c r="E3626" t="s">
        <v>126</v>
      </c>
      <c r="F3626" t="s">
        <v>394</v>
      </c>
      <c r="G3626">
        <v>920</v>
      </c>
      <c r="I3626">
        <f t="shared" si="219"/>
        <v>0</v>
      </c>
      <c r="J3626">
        <f t="shared" si="219"/>
        <v>0</v>
      </c>
      <c r="K3626">
        <f t="shared" si="219"/>
        <v>0</v>
      </c>
      <c r="M3626" t="str" cm="1">
        <f t="array" ref="M3626">IFERROR(INDEX($I$2:$K$2,0,MATCH(TRUE,I3626:K3626,0)),E3626)</f>
        <v>Hydro_seasonal_storage</v>
      </c>
      <c r="O3626" t="str">
        <f t="shared" si="217"/>
        <v>Hydro_seasonal_storage_2024</v>
      </c>
      <c r="P3626">
        <f t="shared" si="218"/>
        <v>920</v>
      </c>
    </row>
    <row r="3627" spans="4:16" x14ac:dyDescent="0.25">
      <c r="D3627">
        <v>2025</v>
      </c>
      <c r="E3627" t="s">
        <v>126</v>
      </c>
      <c r="F3627" t="s">
        <v>394</v>
      </c>
      <c r="G3627">
        <v>920</v>
      </c>
      <c r="I3627">
        <f t="shared" si="219"/>
        <v>0</v>
      </c>
      <c r="J3627">
        <f t="shared" si="219"/>
        <v>0</v>
      </c>
      <c r="K3627">
        <f t="shared" si="219"/>
        <v>0</v>
      </c>
      <c r="M3627" t="str" cm="1">
        <f t="array" ref="M3627">IFERROR(INDEX($I$2:$K$2,0,MATCH(TRUE,I3627:K3627,0)),E3627)</f>
        <v>Hydro_seasonal_storage</v>
      </c>
      <c r="O3627" t="str">
        <f t="shared" si="217"/>
        <v>Hydro_seasonal_storage_2025</v>
      </c>
      <c r="P3627">
        <f t="shared" si="218"/>
        <v>920</v>
      </c>
    </row>
    <row r="3628" spans="4:16" x14ac:dyDescent="0.25">
      <c r="D3628">
        <v>2026</v>
      </c>
      <c r="E3628" t="s">
        <v>126</v>
      </c>
      <c r="F3628" t="s">
        <v>394</v>
      </c>
      <c r="G3628">
        <v>920</v>
      </c>
      <c r="I3628">
        <f t="shared" si="219"/>
        <v>0</v>
      </c>
      <c r="J3628">
        <f t="shared" si="219"/>
        <v>0</v>
      </c>
      <c r="K3628">
        <f t="shared" si="219"/>
        <v>0</v>
      </c>
      <c r="M3628" t="str" cm="1">
        <f t="array" ref="M3628">IFERROR(INDEX($I$2:$K$2,0,MATCH(TRUE,I3628:K3628,0)),E3628)</f>
        <v>Hydro_seasonal_storage</v>
      </c>
      <c r="O3628" t="str">
        <f t="shared" si="217"/>
        <v>Hydro_seasonal_storage_2026</v>
      </c>
      <c r="P3628">
        <f t="shared" si="218"/>
        <v>920</v>
      </c>
    </row>
    <row r="3629" spans="4:16" x14ac:dyDescent="0.25">
      <c r="D3629">
        <v>2027</v>
      </c>
      <c r="E3629" t="s">
        <v>126</v>
      </c>
      <c r="F3629" t="s">
        <v>394</v>
      </c>
      <c r="G3629">
        <v>920</v>
      </c>
      <c r="I3629">
        <f t="shared" si="219"/>
        <v>0</v>
      </c>
      <c r="J3629">
        <f t="shared" si="219"/>
        <v>0</v>
      </c>
      <c r="K3629">
        <f t="shared" si="219"/>
        <v>0</v>
      </c>
      <c r="M3629" t="str" cm="1">
        <f t="array" ref="M3629">IFERROR(INDEX($I$2:$K$2,0,MATCH(TRUE,I3629:K3629,0)),E3629)</f>
        <v>Hydro_seasonal_storage</v>
      </c>
      <c r="O3629" t="str">
        <f t="shared" si="217"/>
        <v>Hydro_seasonal_storage_2027</v>
      </c>
      <c r="P3629">
        <f t="shared" si="218"/>
        <v>920</v>
      </c>
    </row>
    <row r="3630" spans="4:16" x14ac:dyDescent="0.25">
      <c r="D3630">
        <v>2028</v>
      </c>
      <c r="E3630" t="s">
        <v>126</v>
      </c>
      <c r="F3630" t="s">
        <v>394</v>
      </c>
      <c r="G3630">
        <v>920</v>
      </c>
      <c r="I3630">
        <f t="shared" si="219"/>
        <v>0</v>
      </c>
      <c r="J3630">
        <f t="shared" si="219"/>
        <v>0</v>
      </c>
      <c r="K3630">
        <f t="shared" si="219"/>
        <v>0</v>
      </c>
      <c r="M3630" t="str" cm="1">
        <f t="array" ref="M3630">IFERROR(INDEX($I$2:$K$2,0,MATCH(TRUE,I3630:K3630,0)),E3630)</f>
        <v>Hydro_seasonal_storage</v>
      </c>
      <c r="O3630" t="str">
        <f t="shared" si="217"/>
        <v>Hydro_seasonal_storage_2028</v>
      </c>
      <c r="P3630">
        <f t="shared" si="218"/>
        <v>920</v>
      </c>
    </row>
    <row r="3631" spans="4:16" x14ac:dyDescent="0.25">
      <c r="D3631">
        <v>2029</v>
      </c>
      <c r="E3631" t="s">
        <v>126</v>
      </c>
      <c r="F3631" t="s">
        <v>394</v>
      </c>
      <c r="G3631">
        <v>920</v>
      </c>
      <c r="I3631">
        <f t="shared" si="219"/>
        <v>0</v>
      </c>
      <c r="J3631">
        <f t="shared" si="219"/>
        <v>0</v>
      </c>
      <c r="K3631">
        <f t="shared" si="219"/>
        <v>0</v>
      </c>
      <c r="M3631" t="str" cm="1">
        <f t="array" ref="M3631">IFERROR(INDEX($I$2:$K$2,0,MATCH(TRUE,I3631:K3631,0)),E3631)</f>
        <v>Hydro_seasonal_storage</v>
      </c>
      <c r="O3631" t="str">
        <f t="shared" si="217"/>
        <v>Hydro_seasonal_storage_2029</v>
      </c>
      <c r="P3631">
        <f t="shared" si="218"/>
        <v>920</v>
      </c>
    </row>
    <row r="3632" spans="4:16" x14ac:dyDescent="0.25">
      <c r="D3632">
        <v>2030</v>
      </c>
      <c r="E3632" t="s">
        <v>126</v>
      </c>
      <c r="F3632" t="s">
        <v>394</v>
      </c>
      <c r="G3632">
        <v>920</v>
      </c>
      <c r="I3632">
        <f t="shared" si="219"/>
        <v>0</v>
      </c>
      <c r="J3632">
        <f t="shared" si="219"/>
        <v>0</v>
      </c>
      <c r="K3632">
        <f t="shared" si="219"/>
        <v>0</v>
      </c>
      <c r="M3632" t="str" cm="1">
        <f t="array" ref="M3632">IFERROR(INDEX($I$2:$K$2,0,MATCH(TRUE,I3632:K3632,0)),E3632)</f>
        <v>Hydro_seasonal_storage</v>
      </c>
      <c r="O3632" t="str">
        <f t="shared" si="217"/>
        <v>Hydro_seasonal_storage_2030</v>
      </c>
      <c r="P3632">
        <f t="shared" si="218"/>
        <v>920</v>
      </c>
    </row>
    <row r="3633" spans="4:16" x14ac:dyDescent="0.25">
      <c r="D3633">
        <v>2031</v>
      </c>
      <c r="E3633" t="s">
        <v>126</v>
      </c>
      <c r="F3633" t="s">
        <v>394</v>
      </c>
      <c r="G3633">
        <v>920</v>
      </c>
      <c r="I3633">
        <f t="shared" si="219"/>
        <v>0</v>
      </c>
      <c r="J3633">
        <f t="shared" si="219"/>
        <v>0</v>
      </c>
      <c r="K3633">
        <f t="shared" si="219"/>
        <v>0</v>
      </c>
      <c r="M3633" t="str" cm="1">
        <f t="array" ref="M3633">IFERROR(INDEX($I$2:$K$2,0,MATCH(TRUE,I3633:K3633,0)),E3633)</f>
        <v>Hydro_seasonal_storage</v>
      </c>
      <c r="O3633" t="str">
        <f t="shared" si="217"/>
        <v>Hydro_seasonal_storage_2031</v>
      </c>
      <c r="P3633">
        <f t="shared" si="218"/>
        <v>920</v>
      </c>
    </row>
    <row r="3634" spans="4:16" x14ac:dyDescent="0.25">
      <c r="D3634">
        <v>2032</v>
      </c>
      <c r="E3634" t="s">
        <v>126</v>
      </c>
      <c r="F3634" t="s">
        <v>394</v>
      </c>
      <c r="G3634">
        <v>920</v>
      </c>
      <c r="I3634">
        <f t="shared" si="219"/>
        <v>0</v>
      </c>
      <c r="J3634">
        <f t="shared" si="219"/>
        <v>0</v>
      </c>
      <c r="K3634">
        <f t="shared" si="219"/>
        <v>0</v>
      </c>
      <c r="M3634" t="str" cm="1">
        <f t="array" ref="M3634">IFERROR(INDEX($I$2:$K$2,0,MATCH(TRUE,I3634:K3634,0)),E3634)</f>
        <v>Hydro_seasonal_storage</v>
      </c>
      <c r="O3634" t="str">
        <f t="shared" si="217"/>
        <v>Hydro_seasonal_storage_2032</v>
      </c>
      <c r="P3634">
        <f t="shared" si="218"/>
        <v>920</v>
      </c>
    </row>
    <row r="3635" spans="4:16" x14ac:dyDescent="0.25">
      <c r="D3635">
        <v>2033</v>
      </c>
      <c r="E3635" t="s">
        <v>126</v>
      </c>
      <c r="F3635" t="s">
        <v>394</v>
      </c>
      <c r="G3635">
        <v>920</v>
      </c>
      <c r="I3635">
        <f t="shared" si="219"/>
        <v>0</v>
      </c>
      <c r="J3635">
        <f t="shared" si="219"/>
        <v>0</v>
      </c>
      <c r="K3635">
        <f t="shared" si="219"/>
        <v>0</v>
      </c>
      <c r="M3635" t="str" cm="1">
        <f t="array" ref="M3635">IFERROR(INDEX($I$2:$K$2,0,MATCH(TRUE,I3635:K3635,0)),E3635)</f>
        <v>Hydro_seasonal_storage</v>
      </c>
      <c r="O3635" t="str">
        <f t="shared" si="217"/>
        <v>Hydro_seasonal_storage_2033</v>
      </c>
      <c r="P3635">
        <f t="shared" si="218"/>
        <v>920</v>
      </c>
    </row>
    <row r="3636" spans="4:16" x14ac:dyDescent="0.25">
      <c r="D3636">
        <v>2034</v>
      </c>
      <c r="E3636" t="s">
        <v>126</v>
      </c>
      <c r="F3636" t="s">
        <v>394</v>
      </c>
      <c r="G3636">
        <v>920</v>
      </c>
      <c r="I3636">
        <f t="shared" si="219"/>
        <v>0</v>
      </c>
      <c r="J3636">
        <f t="shared" si="219"/>
        <v>0</v>
      </c>
      <c r="K3636">
        <f t="shared" si="219"/>
        <v>0</v>
      </c>
      <c r="M3636" t="str" cm="1">
        <f t="array" ref="M3636">IFERROR(INDEX($I$2:$K$2,0,MATCH(TRUE,I3636:K3636,0)),E3636)</f>
        <v>Hydro_seasonal_storage</v>
      </c>
      <c r="O3636" t="str">
        <f t="shared" si="217"/>
        <v>Hydro_seasonal_storage_2034</v>
      </c>
      <c r="P3636">
        <f t="shared" si="218"/>
        <v>920</v>
      </c>
    </row>
    <row r="3637" spans="4:16" x14ac:dyDescent="0.25">
      <c r="D3637">
        <v>2035</v>
      </c>
      <c r="E3637" t="s">
        <v>126</v>
      </c>
      <c r="F3637" t="s">
        <v>394</v>
      </c>
      <c r="G3637">
        <v>920</v>
      </c>
      <c r="I3637">
        <f t="shared" si="219"/>
        <v>0</v>
      </c>
      <c r="J3637">
        <f t="shared" si="219"/>
        <v>0</v>
      </c>
      <c r="K3637">
        <f t="shared" si="219"/>
        <v>0</v>
      </c>
      <c r="M3637" t="str" cm="1">
        <f t="array" ref="M3637">IFERROR(INDEX($I$2:$K$2,0,MATCH(TRUE,I3637:K3637,0)),E3637)</f>
        <v>Hydro_seasonal_storage</v>
      </c>
      <c r="O3637" t="str">
        <f t="shared" si="217"/>
        <v>Hydro_seasonal_storage_2035</v>
      </c>
      <c r="P3637">
        <f t="shared" si="218"/>
        <v>920</v>
      </c>
    </row>
    <row r="3638" spans="4:16" x14ac:dyDescent="0.25">
      <c r="D3638">
        <v>2036</v>
      </c>
      <c r="E3638" t="s">
        <v>126</v>
      </c>
      <c r="F3638" t="s">
        <v>394</v>
      </c>
      <c r="G3638">
        <v>920</v>
      </c>
      <c r="I3638">
        <f t="shared" si="219"/>
        <v>0</v>
      </c>
      <c r="J3638">
        <f t="shared" si="219"/>
        <v>0</v>
      </c>
      <c r="K3638">
        <f t="shared" si="219"/>
        <v>0</v>
      </c>
      <c r="M3638" t="str" cm="1">
        <f t="array" ref="M3638">IFERROR(INDEX($I$2:$K$2,0,MATCH(TRUE,I3638:K3638,0)),E3638)</f>
        <v>Hydro_seasonal_storage</v>
      </c>
      <c r="O3638" t="str">
        <f t="shared" si="217"/>
        <v>Hydro_seasonal_storage_2036</v>
      </c>
      <c r="P3638">
        <f t="shared" si="218"/>
        <v>920</v>
      </c>
    </row>
    <row r="3639" spans="4:16" x14ac:dyDescent="0.25">
      <c r="D3639">
        <v>2037</v>
      </c>
      <c r="E3639" t="s">
        <v>126</v>
      </c>
      <c r="F3639" t="s">
        <v>394</v>
      </c>
      <c r="G3639">
        <v>920</v>
      </c>
      <c r="I3639">
        <f t="shared" si="219"/>
        <v>0</v>
      </c>
      <c r="J3639">
        <f t="shared" si="219"/>
        <v>0</v>
      </c>
      <c r="K3639">
        <f t="shared" si="219"/>
        <v>0</v>
      </c>
      <c r="M3639" t="str" cm="1">
        <f t="array" ref="M3639">IFERROR(INDEX($I$2:$K$2,0,MATCH(TRUE,I3639:K3639,0)),E3639)</f>
        <v>Hydro_seasonal_storage</v>
      </c>
      <c r="O3639" t="str">
        <f t="shared" si="217"/>
        <v>Hydro_seasonal_storage_2037</v>
      </c>
      <c r="P3639">
        <f t="shared" si="218"/>
        <v>920</v>
      </c>
    </row>
    <row r="3640" spans="4:16" x14ac:dyDescent="0.25">
      <c r="D3640">
        <v>2038</v>
      </c>
      <c r="E3640" t="s">
        <v>126</v>
      </c>
      <c r="F3640" t="s">
        <v>394</v>
      </c>
      <c r="G3640">
        <v>920</v>
      </c>
      <c r="I3640">
        <f t="shared" si="219"/>
        <v>0</v>
      </c>
      <c r="J3640">
        <f t="shared" si="219"/>
        <v>0</v>
      </c>
      <c r="K3640">
        <f t="shared" si="219"/>
        <v>0</v>
      </c>
      <c r="M3640" t="str" cm="1">
        <f t="array" ref="M3640">IFERROR(INDEX($I$2:$K$2,0,MATCH(TRUE,I3640:K3640,0)),E3640)</f>
        <v>Hydro_seasonal_storage</v>
      </c>
      <c r="O3640" t="str">
        <f t="shared" si="217"/>
        <v>Hydro_seasonal_storage_2038</v>
      </c>
      <c r="P3640">
        <f t="shared" si="218"/>
        <v>920</v>
      </c>
    </row>
    <row r="3641" spans="4:16" x14ac:dyDescent="0.25">
      <c r="D3641">
        <v>2039</v>
      </c>
      <c r="E3641" t="s">
        <v>126</v>
      </c>
      <c r="F3641" t="s">
        <v>394</v>
      </c>
      <c r="G3641">
        <v>920</v>
      </c>
      <c r="I3641">
        <f t="shared" si="219"/>
        <v>0</v>
      </c>
      <c r="J3641">
        <f t="shared" si="219"/>
        <v>0</v>
      </c>
      <c r="K3641">
        <f t="shared" si="219"/>
        <v>0</v>
      </c>
      <c r="M3641" t="str" cm="1">
        <f t="array" ref="M3641">IFERROR(INDEX($I$2:$K$2,0,MATCH(TRUE,I3641:K3641,0)),E3641)</f>
        <v>Hydro_seasonal_storage</v>
      </c>
      <c r="O3641" t="str">
        <f t="shared" si="217"/>
        <v>Hydro_seasonal_storage_2039</v>
      </c>
      <c r="P3641">
        <f t="shared" si="218"/>
        <v>920</v>
      </c>
    </row>
    <row r="3642" spans="4:16" x14ac:dyDescent="0.25">
      <c r="D3642">
        <v>2040</v>
      </c>
      <c r="E3642" t="s">
        <v>126</v>
      </c>
      <c r="F3642" t="s">
        <v>394</v>
      </c>
      <c r="G3642">
        <v>920</v>
      </c>
      <c r="I3642">
        <f t="shared" si="219"/>
        <v>0</v>
      </c>
      <c r="J3642">
        <f t="shared" si="219"/>
        <v>0</v>
      </c>
      <c r="K3642">
        <f t="shared" si="219"/>
        <v>0</v>
      </c>
      <c r="M3642" t="str" cm="1">
        <f t="array" ref="M3642">IFERROR(INDEX($I$2:$K$2,0,MATCH(TRUE,I3642:K3642,0)),E3642)</f>
        <v>Hydro_seasonal_storage</v>
      </c>
      <c r="O3642" t="str">
        <f t="shared" si="217"/>
        <v>Hydro_seasonal_storage_2040</v>
      </c>
      <c r="P3642">
        <f t="shared" si="218"/>
        <v>920</v>
      </c>
    </row>
    <row r="3643" spans="4:16" x14ac:dyDescent="0.25">
      <c r="D3643">
        <v>2021</v>
      </c>
      <c r="E3643" t="s">
        <v>126</v>
      </c>
      <c r="F3643" t="s">
        <v>395</v>
      </c>
      <c r="G3643">
        <v>80</v>
      </c>
      <c r="I3643">
        <f t="shared" si="219"/>
        <v>0</v>
      </c>
      <c r="J3643">
        <f t="shared" si="219"/>
        <v>0</v>
      </c>
      <c r="K3643">
        <f t="shared" si="219"/>
        <v>0</v>
      </c>
      <c r="M3643" t="str" cm="1">
        <f t="array" ref="M3643">IFERROR(INDEX($I$2:$K$2,0,MATCH(TRUE,I3643:K3643,0)),E3643)</f>
        <v>Hydro_seasonal_storage</v>
      </c>
      <c r="O3643" t="str">
        <f t="shared" si="217"/>
        <v>Hydro_seasonal_storage_2021</v>
      </c>
      <c r="P3643">
        <f t="shared" si="218"/>
        <v>80</v>
      </c>
    </row>
    <row r="3644" spans="4:16" x14ac:dyDescent="0.25">
      <c r="D3644">
        <v>2022</v>
      </c>
      <c r="E3644" t="s">
        <v>126</v>
      </c>
      <c r="F3644" t="s">
        <v>395</v>
      </c>
      <c r="G3644">
        <v>80</v>
      </c>
      <c r="I3644">
        <f t="shared" si="219"/>
        <v>0</v>
      </c>
      <c r="J3644">
        <f t="shared" si="219"/>
        <v>0</v>
      </c>
      <c r="K3644">
        <f t="shared" si="219"/>
        <v>0</v>
      </c>
      <c r="M3644" t="str" cm="1">
        <f t="array" ref="M3644">IFERROR(INDEX($I$2:$K$2,0,MATCH(TRUE,I3644:K3644,0)),E3644)</f>
        <v>Hydro_seasonal_storage</v>
      </c>
      <c r="O3644" t="str">
        <f t="shared" si="217"/>
        <v>Hydro_seasonal_storage_2022</v>
      </c>
      <c r="P3644">
        <f t="shared" si="218"/>
        <v>80</v>
      </c>
    </row>
    <row r="3645" spans="4:16" x14ac:dyDescent="0.25">
      <c r="D3645">
        <v>2023</v>
      </c>
      <c r="E3645" t="s">
        <v>126</v>
      </c>
      <c r="F3645" t="s">
        <v>395</v>
      </c>
      <c r="G3645">
        <v>80</v>
      </c>
      <c r="I3645">
        <f t="shared" si="219"/>
        <v>0</v>
      </c>
      <c r="J3645">
        <f t="shared" si="219"/>
        <v>0</v>
      </c>
      <c r="K3645">
        <f t="shared" si="219"/>
        <v>0</v>
      </c>
      <c r="M3645" t="str" cm="1">
        <f t="array" ref="M3645">IFERROR(INDEX($I$2:$K$2,0,MATCH(TRUE,I3645:K3645,0)),E3645)</f>
        <v>Hydro_seasonal_storage</v>
      </c>
      <c r="O3645" t="str">
        <f t="shared" si="217"/>
        <v>Hydro_seasonal_storage_2023</v>
      </c>
      <c r="P3645">
        <f t="shared" si="218"/>
        <v>80</v>
      </c>
    </row>
    <row r="3646" spans="4:16" x14ac:dyDescent="0.25">
      <c r="D3646">
        <v>2024</v>
      </c>
      <c r="E3646" t="s">
        <v>126</v>
      </c>
      <c r="F3646" t="s">
        <v>395</v>
      </c>
      <c r="G3646">
        <v>80</v>
      </c>
      <c r="I3646">
        <f t="shared" si="219"/>
        <v>0</v>
      </c>
      <c r="J3646">
        <f t="shared" si="219"/>
        <v>0</v>
      </c>
      <c r="K3646">
        <f t="shared" si="219"/>
        <v>0</v>
      </c>
      <c r="M3646" t="str" cm="1">
        <f t="array" ref="M3646">IFERROR(INDEX($I$2:$K$2,0,MATCH(TRUE,I3646:K3646,0)),E3646)</f>
        <v>Hydro_seasonal_storage</v>
      </c>
      <c r="O3646" t="str">
        <f t="shared" si="217"/>
        <v>Hydro_seasonal_storage_2024</v>
      </c>
      <c r="P3646">
        <f t="shared" si="218"/>
        <v>80</v>
      </c>
    </row>
    <row r="3647" spans="4:16" x14ac:dyDescent="0.25">
      <c r="D3647">
        <v>2025</v>
      </c>
      <c r="E3647" t="s">
        <v>126</v>
      </c>
      <c r="F3647" t="s">
        <v>395</v>
      </c>
      <c r="G3647">
        <v>80</v>
      </c>
      <c r="I3647">
        <f t="shared" si="219"/>
        <v>0</v>
      </c>
      <c r="J3647">
        <f t="shared" si="219"/>
        <v>0</v>
      </c>
      <c r="K3647">
        <f t="shared" si="219"/>
        <v>0</v>
      </c>
      <c r="M3647" t="str" cm="1">
        <f t="array" ref="M3647">IFERROR(INDEX($I$2:$K$2,0,MATCH(TRUE,I3647:K3647,0)),E3647)</f>
        <v>Hydro_seasonal_storage</v>
      </c>
      <c r="O3647" t="str">
        <f t="shared" si="217"/>
        <v>Hydro_seasonal_storage_2025</v>
      </c>
      <c r="P3647">
        <f t="shared" si="218"/>
        <v>80</v>
      </c>
    </row>
    <row r="3648" spans="4:16" x14ac:dyDescent="0.25">
      <c r="D3648">
        <v>2026</v>
      </c>
      <c r="E3648" t="s">
        <v>126</v>
      </c>
      <c r="F3648" t="s">
        <v>395</v>
      </c>
      <c r="G3648">
        <v>80</v>
      </c>
      <c r="I3648">
        <f t="shared" si="219"/>
        <v>0</v>
      </c>
      <c r="J3648">
        <f t="shared" si="219"/>
        <v>0</v>
      </c>
      <c r="K3648">
        <f t="shared" si="219"/>
        <v>0</v>
      </c>
      <c r="M3648" t="str" cm="1">
        <f t="array" ref="M3648">IFERROR(INDEX($I$2:$K$2,0,MATCH(TRUE,I3648:K3648,0)),E3648)</f>
        <v>Hydro_seasonal_storage</v>
      </c>
      <c r="O3648" t="str">
        <f t="shared" si="217"/>
        <v>Hydro_seasonal_storage_2026</v>
      </c>
      <c r="P3648">
        <f t="shared" si="218"/>
        <v>80</v>
      </c>
    </row>
    <row r="3649" spans="4:16" x14ac:dyDescent="0.25">
      <c r="D3649">
        <v>2027</v>
      </c>
      <c r="E3649" t="s">
        <v>126</v>
      </c>
      <c r="F3649" t="s">
        <v>395</v>
      </c>
      <c r="G3649">
        <v>80</v>
      </c>
      <c r="I3649">
        <f t="shared" si="219"/>
        <v>0</v>
      </c>
      <c r="J3649">
        <f t="shared" si="219"/>
        <v>0</v>
      </c>
      <c r="K3649">
        <f t="shared" si="219"/>
        <v>0</v>
      </c>
      <c r="M3649" t="str" cm="1">
        <f t="array" ref="M3649">IFERROR(INDEX($I$2:$K$2,0,MATCH(TRUE,I3649:K3649,0)),E3649)</f>
        <v>Hydro_seasonal_storage</v>
      </c>
      <c r="O3649" t="str">
        <f t="shared" si="217"/>
        <v>Hydro_seasonal_storage_2027</v>
      </c>
      <c r="P3649">
        <f t="shared" si="218"/>
        <v>80</v>
      </c>
    </row>
    <row r="3650" spans="4:16" x14ac:dyDescent="0.25">
      <c r="D3650">
        <v>2028</v>
      </c>
      <c r="E3650" t="s">
        <v>126</v>
      </c>
      <c r="F3650" t="s">
        <v>395</v>
      </c>
      <c r="G3650">
        <v>80</v>
      </c>
      <c r="I3650">
        <f t="shared" si="219"/>
        <v>0</v>
      </c>
      <c r="J3650">
        <f t="shared" si="219"/>
        <v>0</v>
      </c>
      <c r="K3650">
        <f t="shared" si="219"/>
        <v>0</v>
      </c>
      <c r="M3650" t="str" cm="1">
        <f t="array" ref="M3650">IFERROR(INDEX($I$2:$K$2,0,MATCH(TRUE,I3650:K3650,0)),E3650)</f>
        <v>Hydro_seasonal_storage</v>
      </c>
      <c r="O3650" t="str">
        <f t="shared" si="217"/>
        <v>Hydro_seasonal_storage_2028</v>
      </c>
      <c r="P3650">
        <f t="shared" si="218"/>
        <v>80</v>
      </c>
    </row>
    <row r="3651" spans="4:16" x14ac:dyDescent="0.25">
      <c r="D3651">
        <v>2029</v>
      </c>
      <c r="E3651" t="s">
        <v>126</v>
      </c>
      <c r="F3651" t="s">
        <v>395</v>
      </c>
      <c r="G3651">
        <v>80</v>
      </c>
      <c r="I3651">
        <f t="shared" si="219"/>
        <v>0</v>
      </c>
      <c r="J3651">
        <f t="shared" si="219"/>
        <v>0</v>
      </c>
      <c r="K3651">
        <f t="shared" si="219"/>
        <v>0</v>
      </c>
      <c r="M3651" t="str" cm="1">
        <f t="array" ref="M3651">IFERROR(INDEX($I$2:$K$2,0,MATCH(TRUE,I3651:K3651,0)),E3651)</f>
        <v>Hydro_seasonal_storage</v>
      </c>
      <c r="O3651" t="str">
        <f t="shared" si="217"/>
        <v>Hydro_seasonal_storage_2029</v>
      </c>
      <c r="P3651">
        <f t="shared" si="218"/>
        <v>80</v>
      </c>
    </row>
    <row r="3652" spans="4:16" x14ac:dyDescent="0.25">
      <c r="D3652">
        <v>2030</v>
      </c>
      <c r="E3652" t="s">
        <v>126</v>
      </c>
      <c r="F3652" t="s">
        <v>395</v>
      </c>
      <c r="G3652">
        <v>80</v>
      </c>
      <c r="I3652">
        <f t="shared" si="219"/>
        <v>0</v>
      </c>
      <c r="J3652">
        <f t="shared" si="219"/>
        <v>0</v>
      </c>
      <c r="K3652">
        <f t="shared" si="219"/>
        <v>0</v>
      </c>
      <c r="M3652" t="str" cm="1">
        <f t="array" ref="M3652">IFERROR(INDEX($I$2:$K$2,0,MATCH(TRUE,I3652:K3652,0)),E3652)</f>
        <v>Hydro_seasonal_storage</v>
      </c>
      <c r="O3652" t="str">
        <f t="shared" si="217"/>
        <v>Hydro_seasonal_storage_2030</v>
      </c>
      <c r="P3652">
        <f t="shared" si="218"/>
        <v>80</v>
      </c>
    </row>
    <row r="3653" spans="4:16" x14ac:dyDescent="0.25">
      <c r="D3653">
        <v>2031</v>
      </c>
      <c r="E3653" t="s">
        <v>126</v>
      </c>
      <c r="F3653" t="s">
        <v>395</v>
      </c>
      <c r="G3653">
        <v>80</v>
      </c>
      <c r="I3653">
        <f t="shared" si="219"/>
        <v>0</v>
      </c>
      <c r="J3653">
        <f t="shared" si="219"/>
        <v>0</v>
      </c>
      <c r="K3653">
        <f t="shared" si="219"/>
        <v>0</v>
      </c>
      <c r="M3653" t="str" cm="1">
        <f t="array" ref="M3653">IFERROR(INDEX($I$2:$K$2,0,MATCH(TRUE,I3653:K3653,0)),E3653)</f>
        <v>Hydro_seasonal_storage</v>
      </c>
      <c r="O3653" t="str">
        <f t="shared" si="217"/>
        <v>Hydro_seasonal_storage_2031</v>
      </c>
      <c r="P3653">
        <f t="shared" si="218"/>
        <v>80</v>
      </c>
    </row>
    <row r="3654" spans="4:16" x14ac:dyDescent="0.25">
      <c r="D3654">
        <v>2032</v>
      </c>
      <c r="E3654" t="s">
        <v>126</v>
      </c>
      <c r="F3654" t="s">
        <v>395</v>
      </c>
      <c r="G3654">
        <v>80</v>
      </c>
      <c r="I3654">
        <f t="shared" si="219"/>
        <v>0</v>
      </c>
      <c r="J3654">
        <f t="shared" si="219"/>
        <v>0</v>
      </c>
      <c r="K3654">
        <f t="shared" si="219"/>
        <v>0</v>
      </c>
      <c r="M3654" t="str" cm="1">
        <f t="array" ref="M3654">IFERROR(INDEX($I$2:$K$2,0,MATCH(TRUE,I3654:K3654,0)),E3654)</f>
        <v>Hydro_seasonal_storage</v>
      </c>
      <c r="O3654" t="str">
        <f t="shared" si="217"/>
        <v>Hydro_seasonal_storage_2032</v>
      </c>
      <c r="P3654">
        <f t="shared" si="218"/>
        <v>80</v>
      </c>
    </row>
    <row r="3655" spans="4:16" x14ac:dyDescent="0.25">
      <c r="D3655">
        <v>2033</v>
      </c>
      <c r="E3655" t="s">
        <v>126</v>
      </c>
      <c r="F3655" t="s">
        <v>395</v>
      </c>
      <c r="G3655">
        <v>80</v>
      </c>
      <c r="I3655">
        <f t="shared" si="219"/>
        <v>0</v>
      </c>
      <c r="J3655">
        <f t="shared" si="219"/>
        <v>0</v>
      </c>
      <c r="K3655">
        <f t="shared" si="219"/>
        <v>0</v>
      </c>
      <c r="M3655" t="str" cm="1">
        <f t="array" ref="M3655">IFERROR(INDEX($I$2:$K$2,0,MATCH(TRUE,I3655:K3655,0)),E3655)</f>
        <v>Hydro_seasonal_storage</v>
      </c>
      <c r="O3655" t="str">
        <f t="shared" si="217"/>
        <v>Hydro_seasonal_storage_2033</v>
      </c>
      <c r="P3655">
        <f t="shared" si="218"/>
        <v>80</v>
      </c>
    </row>
    <row r="3656" spans="4:16" x14ac:dyDescent="0.25">
      <c r="D3656">
        <v>2034</v>
      </c>
      <c r="E3656" t="s">
        <v>126</v>
      </c>
      <c r="F3656" t="s">
        <v>395</v>
      </c>
      <c r="G3656">
        <v>80</v>
      </c>
      <c r="I3656">
        <f t="shared" si="219"/>
        <v>0</v>
      </c>
      <c r="J3656">
        <f t="shared" si="219"/>
        <v>0</v>
      </c>
      <c r="K3656">
        <f t="shared" si="219"/>
        <v>0</v>
      </c>
      <c r="M3656" t="str" cm="1">
        <f t="array" ref="M3656">IFERROR(INDEX($I$2:$K$2,0,MATCH(TRUE,I3656:K3656,0)),E3656)</f>
        <v>Hydro_seasonal_storage</v>
      </c>
      <c r="O3656" t="str">
        <f t="shared" si="217"/>
        <v>Hydro_seasonal_storage_2034</v>
      </c>
      <c r="P3656">
        <f t="shared" si="218"/>
        <v>80</v>
      </c>
    </row>
    <row r="3657" spans="4:16" x14ac:dyDescent="0.25">
      <c r="D3657">
        <v>2035</v>
      </c>
      <c r="E3657" t="s">
        <v>126</v>
      </c>
      <c r="F3657" t="s">
        <v>395</v>
      </c>
      <c r="G3657">
        <v>80</v>
      </c>
      <c r="I3657">
        <f t="shared" si="219"/>
        <v>0</v>
      </c>
      <c r="J3657">
        <f t="shared" si="219"/>
        <v>0</v>
      </c>
      <c r="K3657">
        <f t="shared" si="219"/>
        <v>0</v>
      </c>
      <c r="M3657" t="str" cm="1">
        <f t="array" ref="M3657">IFERROR(INDEX($I$2:$K$2,0,MATCH(TRUE,I3657:K3657,0)),E3657)</f>
        <v>Hydro_seasonal_storage</v>
      </c>
      <c r="O3657" t="str">
        <f t="shared" si="217"/>
        <v>Hydro_seasonal_storage_2035</v>
      </c>
      <c r="P3657">
        <f t="shared" si="218"/>
        <v>80</v>
      </c>
    </row>
    <row r="3658" spans="4:16" x14ac:dyDescent="0.25">
      <c r="D3658">
        <v>2036</v>
      </c>
      <c r="E3658" t="s">
        <v>126</v>
      </c>
      <c r="F3658" t="s">
        <v>395</v>
      </c>
      <c r="G3658">
        <v>80</v>
      </c>
      <c r="I3658">
        <f t="shared" si="219"/>
        <v>0</v>
      </c>
      <c r="J3658">
        <f t="shared" si="219"/>
        <v>0</v>
      </c>
      <c r="K3658">
        <f t="shared" si="219"/>
        <v>0</v>
      </c>
      <c r="M3658" t="str" cm="1">
        <f t="array" ref="M3658">IFERROR(INDEX($I$2:$K$2,0,MATCH(TRUE,I3658:K3658,0)),E3658)</f>
        <v>Hydro_seasonal_storage</v>
      </c>
      <c r="O3658" t="str">
        <f t="shared" si="217"/>
        <v>Hydro_seasonal_storage_2036</v>
      </c>
      <c r="P3658">
        <f t="shared" si="218"/>
        <v>80</v>
      </c>
    </row>
    <row r="3659" spans="4:16" x14ac:dyDescent="0.25">
      <c r="D3659">
        <v>2037</v>
      </c>
      <c r="E3659" t="s">
        <v>126</v>
      </c>
      <c r="F3659" t="s">
        <v>395</v>
      </c>
      <c r="G3659">
        <v>80</v>
      </c>
      <c r="I3659">
        <f t="shared" si="219"/>
        <v>0</v>
      </c>
      <c r="J3659">
        <f t="shared" si="219"/>
        <v>0</v>
      </c>
      <c r="K3659">
        <f t="shared" si="219"/>
        <v>0</v>
      </c>
      <c r="M3659" t="str" cm="1">
        <f t="array" ref="M3659">IFERROR(INDEX($I$2:$K$2,0,MATCH(TRUE,I3659:K3659,0)),E3659)</f>
        <v>Hydro_seasonal_storage</v>
      </c>
      <c r="O3659" t="str">
        <f t="shared" si="217"/>
        <v>Hydro_seasonal_storage_2037</v>
      </c>
      <c r="P3659">
        <f t="shared" si="218"/>
        <v>80</v>
      </c>
    </row>
    <row r="3660" spans="4:16" x14ac:dyDescent="0.25">
      <c r="D3660">
        <v>2038</v>
      </c>
      <c r="E3660" t="s">
        <v>126</v>
      </c>
      <c r="F3660" t="s">
        <v>395</v>
      </c>
      <c r="G3660">
        <v>80</v>
      </c>
      <c r="I3660">
        <f t="shared" si="219"/>
        <v>0</v>
      </c>
      <c r="J3660">
        <f t="shared" si="219"/>
        <v>0</v>
      </c>
      <c r="K3660">
        <f t="shared" si="219"/>
        <v>0</v>
      </c>
      <c r="M3660" t="str" cm="1">
        <f t="array" ref="M3660">IFERROR(INDEX($I$2:$K$2,0,MATCH(TRUE,I3660:K3660,0)),E3660)</f>
        <v>Hydro_seasonal_storage</v>
      </c>
      <c r="O3660" t="str">
        <f t="shared" si="217"/>
        <v>Hydro_seasonal_storage_2038</v>
      </c>
      <c r="P3660">
        <f t="shared" si="218"/>
        <v>80</v>
      </c>
    </row>
    <row r="3661" spans="4:16" x14ac:dyDescent="0.25">
      <c r="D3661">
        <v>2039</v>
      </c>
      <c r="E3661" t="s">
        <v>126</v>
      </c>
      <c r="F3661" t="s">
        <v>395</v>
      </c>
      <c r="G3661">
        <v>80</v>
      </c>
      <c r="I3661">
        <f t="shared" si="219"/>
        <v>0</v>
      </c>
      <c r="J3661">
        <f t="shared" si="219"/>
        <v>0</v>
      </c>
      <c r="K3661">
        <f t="shared" si="219"/>
        <v>0</v>
      </c>
      <c r="M3661" t="str" cm="1">
        <f t="array" ref="M3661">IFERROR(INDEX($I$2:$K$2,0,MATCH(TRUE,I3661:K3661,0)),E3661)</f>
        <v>Hydro_seasonal_storage</v>
      </c>
      <c r="O3661" t="str">
        <f t="shared" si="217"/>
        <v>Hydro_seasonal_storage_2039</v>
      </c>
      <c r="P3661">
        <f t="shared" si="218"/>
        <v>80</v>
      </c>
    </row>
    <row r="3662" spans="4:16" x14ac:dyDescent="0.25">
      <c r="D3662">
        <v>2040</v>
      </c>
      <c r="E3662" t="s">
        <v>126</v>
      </c>
      <c r="F3662" t="s">
        <v>395</v>
      </c>
      <c r="G3662">
        <v>80</v>
      </c>
      <c r="I3662">
        <f t="shared" si="219"/>
        <v>0</v>
      </c>
      <c r="J3662">
        <f t="shared" si="219"/>
        <v>0</v>
      </c>
      <c r="K3662">
        <f t="shared" si="219"/>
        <v>0</v>
      </c>
      <c r="M3662" t="str" cm="1">
        <f t="array" ref="M3662">IFERROR(INDEX($I$2:$K$2,0,MATCH(TRUE,I3662:K3662,0)),E3662)</f>
        <v>Hydro_seasonal_storage</v>
      </c>
      <c r="O3662" t="str">
        <f t="shared" si="217"/>
        <v>Hydro_seasonal_storage_2040</v>
      </c>
      <c r="P3662">
        <f t="shared" si="218"/>
        <v>80</v>
      </c>
    </row>
    <row r="3663" spans="4:16" x14ac:dyDescent="0.25">
      <c r="D3663">
        <v>2021</v>
      </c>
      <c r="E3663" t="s">
        <v>396</v>
      </c>
      <c r="F3663" t="s">
        <v>397</v>
      </c>
      <c r="G3663">
        <v>43</v>
      </c>
      <c r="I3663">
        <f t="shared" si="219"/>
        <v>0</v>
      </c>
      <c r="J3663">
        <f t="shared" si="219"/>
        <v>0</v>
      </c>
      <c r="K3663">
        <f t="shared" si="219"/>
        <v>0</v>
      </c>
      <c r="M3663" t="str" cm="1">
        <f t="array" ref="M3663">IFERROR(INDEX($I$2:$K$2,0,MATCH(TRUE,I3663:K3663,0)),E3663)</f>
        <v>Lignite</v>
      </c>
      <c r="O3663" t="str">
        <f t="shared" si="217"/>
        <v>Lignite_2021</v>
      </c>
      <c r="P3663">
        <f t="shared" si="218"/>
        <v>43</v>
      </c>
    </row>
    <row r="3664" spans="4:16" x14ac:dyDescent="0.25">
      <c r="D3664">
        <v>2022</v>
      </c>
      <c r="E3664" t="s">
        <v>396</v>
      </c>
      <c r="F3664" t="s">
        <v>397</v>
      </c>
      <c r="G3664">
        <v>43</v>
      </c>
      <c r="I3664">
        <f t="shared" si="219"/>
        <v>0</v>
      </c>
      <c r="J3664">
        <f t="shared" si="219"/>
        <v>0</v>
      </c>
      <c r="K3664">
        <f t="shared" si="219"/>
        <v>0</v>
      </c>
      <c r="M3664" t="str" cm="1">
        <f t="array" ref="M3664">IFERROR(INDEX($I$2:$K$2,0,MATCH(TRUE,I3664:K3664,0)),E3664)</f>
        <v>Lignite</v>
      </c>
      <c r="O3664" t="str">
        <f t="shared" si="217"/>
        <v>Lignite_2022</v>
      </c>
      <c r="P3664">
        <f t="shared" si="218"/>
        <v>43</v>
      </c>
    </row>
    <row r="3665" spans="4:16" x14ac:dyDescent="0.25">
      <c r="D3665">
        <v>2023</v>
      </c>
      <c r="E3665" t="s">
        <v>396</v>
      </c>
      <c r="F3665" t="s">
        <v>397</v>
      </c>
      <c r="G3665">
        <v>43</v>
      </c>
      <c r="I3665">
        <f t="shared" si="219"/>
        <v>0</v>
      </c>
      <c r="J3665">
        <f t="shared" si="219"/>
        <v>0</v>
      </c>
      <c r="K3665">
        <f t="shared" si="219"/>
        <v>0</v>
      </c>
      <c r="M3665" t="str" cm="1">
        <f t="array" ref="M3665">IFERROR(INDEX($I$2:$K$2,0,MATCH(TRUE,I3665:K3665,0)),E3665)</f>
        <v>Lignite</v>
      </c>
      <c r="O3665" t="str">
        <f t="shared" si="217"/>
        <v>Lignite_2023</v>
      </c>
      <c r="P3665">
        <f t="shared" si="218"/>
        <v>43</v>
      </c>
    </row>
    <row r="3666" spans="4:16" x14ac:dyDescent="0.25">
      <c r="D3666">
        <v>2024</v>
      </c>
      <c r="E3666" t="s">
        <v>396</v>
      </c>
      <c r="F3666" t="s">
        <v>397</v>
      </c>
      <c r="G3666">
        <v>43</v>
      </c>
      <c r="I3666">
        <f t="shared" si="219"/>
        <v>0</v>
      </c>
      <c r="J3666">
        <f t="shared" si="219"/>
        <v>0</v>
      </c>
      <c r="K3666">
        <f t="shared" si="219"/>
        <v>0</v>
      </c>
      <c r="M3666" t="str" cm="1">
        <f t="array" ref="M3666">IFERROR(INDEX($I$2:$K$2,0,MATCH(TRUE,I3666:K3666,0)),E3666)</f>
        <v>Lignite</v>
      </c>
      <c r="O3666" t="str">
        <f t="shared" si="217"/>
        <v>Lignite_2024</v>
      </c>
      <c r="P3666">
        <f t="shared" si="218"/>
        <v>43</v>
      </c>
    </row>
    <row r="3667" spans="4:16" x14ac:dyDescent="0.25">
      <c r="D3667">
        <v>2025</v>
      </c>
      <c r="E3667" t="s">
        <v>396</v>
      </c>
      <c r="F3667" t="s">
        <v>397</v>
      </c>
      <c r="G3667">
        <v>43</v>
      </c>
      <c r="I3667">
        <f t="shared" si="219"/>
        <v>0</v>
      </c>
      <c r="J3667">
        <f t="shared" si="219"/>
        <v>0</v>
      </c>
      <c r="K3667">
        <f t="shared" si="219"/>
        <v>0</v>
      </c>
      <c r="M3667" t="str" cm="1">
        <f t="array" ref="M3667">IFERROR(INDEX($I$2:$K$2,0,MATCH(TRUE,I3667:K3667,0)),E3667)</f>
        <v>Lignite</v>
      </c>
      <c r="O3667" t="str">
        <f t="shared" ref="O3667:O3730" si="220">M3667&amp;"_"&amp;D3667</f>
        <v>Lignite_2025</v>
      </c>
      <c r="P3667">
        <f t="shared" ref="P3667:P3730" si="221">G3667</f>
        <v>43</v>
      </c>
    </row>
    <row r="3668" spans="4:16" x14ac:dyDescent="0.25">
      <c r="D3668">
        <v>2026</v>
      </c>
      <c r="E3668" t="s">
        <v>396</v>
      </c>
      <c r="F3668" t="s">
        <v>397</v>
      </c>
      <c r="G3668">
        <v>43</v>
      </c>
      <c r="I3668">
        <f t="shared" si="219"/>
        <v>0</v>
      </c>
      <c r="J3668">
        <f t="shared" si="219"/>
        <v>0</v>
      </c>
      <c r="K3668">
        <f t="shared" si="219"/>
        <v>0</v>
      </c>
      <c r="M3668" t="str" cm="1">
        <f t="array" ref="M3668">IFERROR(INDEX($I$2:$K$2,0,MATCH(TRUE,I3668:K3668,0)),E3668)</f>
        <v>Lignite</v>
      </c>
      <c r="O3668" t="str">
        <f t="shared" si="220"/>
        <v>Lignite_2026</v>
      </c>
      <c r="P3668">
        <f t="shared" si="221"/>
        <v>43</v>
      </c>
    </row>
    <row r="3669" spans="4:16" x14ac:dyDescent="0.25">
      <c r="D3669">
        <v>2027</v>
      </c>
      <c r="E3669" t="s">
        <v>396</v>
      </c>
      <c r="F3669" t="s">
        <v>397</v>
      </c>
      <c r="G3669">
        <v>43</v>
      </c>
      <c r="I3669">
        <f t="shared" ref="I3669:K3732" si="222">IFERROR(FIND(I$2,$E3669,1)&gt;0,0)</f>
        <v>0</v>
      </c>
      <c r="J3669">
        <f t="shared" si="222"/>
        <v>0</v>
      </c>
      <c r="K3669">
        <f t="shared" si="222"/>
        <v>0</v>
      </c>
      <c r="M3669" t="str" cm="1">
        <f t="array" ref="M3669">IFERROR(INDEX($I$2:$K$2,0,MATCH(TRUE,I3669:K3669,0)),E3669)</f>
        <v>Lignite</v>
      </c>
      <c r="O3669" t="str">
        <f t="shared" si="220"/>
        <v>Lignite_2027</v>
      </c>
      <c r="P3669">
        <f t="shared" si="221"/>
        <v>43</v>
      </c>
    </row>
    <row r="3670" spans="4:16" x14ac:dyDescent="0.25">
      <c r="D3670">
        <v>2028</v>
      </c>
      <c r="E3670" t="s">
        <v>396</v>
      </c>
      <c r="F3670" t="s">
        <v>397</v>
      </c>
      <c r="G3670">
        <v>43</v>
      </c>
      <c r="I3670">
        <f t="shared" si="222"/>
        <v>0</v>
      </c>
      <c r="J3670">
        <f t="shared" si="222"/>
        <v>0</v>
      </c>
      <c r="K3670">
        <f t="shared" si="222"/>
        <v>0</v>
      </c>
      <c r="M3670" t="str" cm="1">
        <f t="array" ref="M3670">IFERROR(INDEX($I$2:$K$2,0,MATCH(TRUE,I3670:K3670,0)),E3670)</f>
        <v>Lignite</v>
      </c>
      <c r="O3670" t="str">
        <f t="shared" si="220"/>
        <v>Lignite_2028</v>
      </c>
      <c r="P3670">
        <f t="shared" si="221"/>
        <v>43</v>
      </c>
    </row>
    <row r="3671" spans="4:16" x14ac:dyDescent="0.25">
      <c r="D3671">
        <v>2029</v>
      </c>
      <c r="E3671" t="s">
        <v>396</v>
      </c>
      <c r="F3671" t="s">
        <v>397</v>
      </c>
      <c r="G3671">
        <v>43</v>
      </c>
      <c r="I3671">
        <f t="shared" si="222"/>
        <v>0</v>
      </c>
      <c r="J3671">
        <f t="shared" si="222"/>
        <v>0</v>
      </c>
      <c r="K3671">
        <f t="shared" si="222"/>
        <v>0</v>
      </c>
      <c r="M3671" t="str" cm="1">
        <f t="array" ref="M3671">IFERROR(INDEX($I$2:$K$2,0,MATCH(TRUE,I3671:K3671,0)),E3671)</f>
        <v>Lignite</v>
      </c>
      <c r="O3671" t="str">
        <f t="shared" si="220"/>
        <v>Lignite_2029</v>
      </c>
      <c r="P3671">
        <f t="shared" si="221"/>
        <v>43</v>
      </c>
    </row>
    <row r="3672" spans="4:16" x14ac:dyDescent="0.25">
      <c r="D3672">
        <v>2030</v>
      </c>
      <c r="E3672" t="s">
        <v>396</v>
      </c>
      <c r="F3672" t="s">
        <v>397</v>
      </c>
      <c r="G3672">
        <v>43</v>
      </c>
      <c r="I3672">
        <f t="shared" si="222"/>
        <v>0</v>
      </c>
      <c r="J3672">
        <f t="shared" si="222"/>
        <v>0</v>
      </c>
      <c r="K3672">
        <f t="shared" si="222"/>
        <v>0</v>
      </c>
      <c r="M3672" t="str" cm="1">
        <f t="array" ref="M3672">IFERROR(INDEX($I$2:$K$2,0,MATCH(TRUE,I3672:K3672,0)),E3672)</f>
        <v>Lignite</v>
      </c>
      <c r="O3672" t="str">
        <f t="shared" si="220"/>
        <v>Lignite_2030</v>
      </c>
      <c r="P3672">
        <f t="shared" si="221"/>
        <v>43</v>
      </c>
    </row>
    <row r="3673" spans="4:16" x14ac:dyDescent="0.25">
      <c r="D3673">
        <v>2031</v>
      </c>
      <c r="E3673" t="s">
        <v>396</v>
      </c>
      <c r="F3673" t="s">
        <v>397</v>
      </c>
      <c r="G3673">
        <v>43</v>
      </c>
      <c r="I3673">
        <f t="shared" si="222"/>
        <v>0</v>
      </c>
      <c r="J3673">
        <f t="shared" si="222"/>
        <v>0</v>
      </c>
      <c r="K3673">
        <f t="shared" si="222"/>
        <v>0</v>
      </c>
      <c r="M3673" t="str" cm="1">
        <f t="array" ref="M3673">IFERROR(INDEX($I$2:$K$2,0,MATCH(TRUE,I3673:K3673,0)),E3673)</f>
        <v>Lignite</v>
      </c>
      <c r="O3673" t="str">
        <f t="shared" si="220"/>
        <v>Lignite_2031</v>
      </c>
      <c r="P3673">
        <f t="shared" si="221"/>
        <v>43</v>
      </c>
    </row>
    <row r="3674" spans="4:16" x14ac:dyDescent="0.25">
      <c r="D3674">
        <v>2032</v>
      </c>
      <c r="E3674" t="s">
        <v>396</v>
      </c>
      <c r="F3674" t="s">
        <v>397</v>
      </c>
      <c r="G3674">
        <v>43</v>
      </c>
      <c r="I3674">
        <f t="shared" si="222"/>
        <v>0</v>
      </c>
      <c r="J3674">
        <f t="shared" si="222"/>
        <v>0</v>
      </c>
      <c r="K3674">
        <f t="shared" si="222"/>
        <v>0</v>
      </c>
      <c r="M3674" t="str" cm="1">
        <f t="array" ref="M3674">IFERROR(INDEX($I$2:$K$2,0,MATCH(TRUE,I3674:K3674,0)),E3674)</f>
        <v>Lignite</v>
      </c>
      <c r="O3674" t="str">
        <f t="shared" si="220"/>
        <v>Lignite_2032</v>
      </c>
      <c r="P3674">
        <f t="shared" si="221"/>
        <v>43</v>
      </c>
    </row>
    <row r="3675" spans="4:16" x14ac:dyDescent="0.25">
      <c r="D3675">
        <v>2033</v>
      </c>
      <c r="E3675" t="s">
        <v>396</v>
      </c>
      <c r="F3675" t="s">
        <v>397</v>
      </c>
      <c r="G3675">
        <v>43</v>
      </c>
      <c r="I3675">
        <f t="shared" si="222"/>
        <v>0</v>
      </c>
      <c r="J3675">
        <f t="shared" si="222"/>
        <v>0</v>
      </c>
      <c r="K3675">
        <f t="shared" si="222"/>
        <v>0</v>
      </c>
      <c r="M3675" t="str" cm="1">
        <f t="array" ref="M3675">IFERROR(INDEX($I$2:$K$2,0,MATCH(TRUE,I3675:K3675,0)),E3675)</f>
        <v>Lignite</v>
      </c>
      <c r="O3675" t="str">
        <f t="shared" si="220"/>
        <v>Lignite_2033</v>
      </c>
      <c r="P3675">
        <f t="shared" si="221"/>
        <v>43</v>
      </c>
    </row>
    <row r="3676" spans="4:16" x14ac:dyDescent="0.25">
      <c r="D3676">
        <v>2034</v>
      </c>
      <c r="E3676" t="s">
        <v>396</v>
      </c>
      <c r="F3676" t="s">
        <v>397</v>
      </c>
      <c r="G3676">
        <v>43</v>
      </c>
      <c r="I3676">
        <f t="shared" si="222"/>
        <v>0</v>
      </c>
      <c r="J3676">
        <f t="shared" si="222"/>
        <v>0</v>
      </c>
      <c r="K3676">
        <f t="shared" si="222"/>
        <v>0</v>
      </c>
      <c r="M3676" t="str" cm="1">
        <f t="array" ref="M3676">IFERROR(INDEX($I$2:$K$2,0,MATCH(TRUE,I3676:K3676,0)),E3676)</f>
        <v>Lignite</v>
      </c>
      <c r="O3676" t="str">
        <f t="shared" si="220"/>
        <v>Lignite_2034</v>
      </c>
      <c r="P3676">
        <f t="shared" si="221"/>
        <v>43</v>
      </c>
    </row>
    <row r="3677" spans="4:16" x14ac:dyDescent="0.25">
      <c r="D3677">
        <v>2035</v>
      </c>
      <c r="E3677" t="s">
        <v>396</v>
      </c>
      <c r="F3677" t="s">
        <v>397</v>
      </c>
      <c r="G3677">
        <v>43</v>
      </c>
      <c r="I3677">
        <f t="shared" si="222"/>
        <v>0</v>
      </c>
      <c r="J3677">
        <f t="shared" si="222"/>
        <v>0</v>
      </c>
      <c r="K3677">
        <f t="shared" si="222"/>
        <v>0</v>
      </c>
      <c r="M3677" t="str" cm="1">
        <f t="array" ref="M3677">IFERROR(INDEX($I$2:$K$2,0,MATCH(TRUE,I3677:K3677,0)),E3677)</f>
        <v>Lignite</v>
      </c>
      <c r="O3677" t="str">
        <f t="shared" si="220"/>
        <v>Lignite_2035</v>
      </c>
      <c r="P3677">
        <f t="shared" si="221"/>
        <v>43</v>
      </c>
    </row>
    <row r="3678" spans="4:16" x14ac:dyDescent="0.25">
      <c r="D3678">
        <v>2036</v>
      </c>
      <c r="E3678" t="s">
        <v>396</v>
      </c>
      <c r="F3678" t="s">
        <v>397</v>
      </c>
      <c r="G3678">
        <v>43</v>
      </c>
      <c r="I3678">
        <f t="shared" si="222"/>
        <v>0</v>
      </c>
      <c r="J3678">
        <f t="shared" si="222"/>
        <v>0</v>
      </c>
      <c r="K3678">
        <f t="shared" si="222"/>
        <v>0</v>
      </c>
      <c r="M3678" t="str" cm="1">
        <f t="array" ref="M3678">IFERROR(INDEX($I$2:$K$2,0,MATCH(TRUE,I3678:K3678,0)),E3678)</f>
        <v>Lignite</v>
      </c>
      <c r="O3678" t="str">
        <f t="shared" si="220"/>
        <v>Lignite_2036</v>
      </c>
      <c r="P3678">
        <f t="shared" si="221"/>
        <v>43</v>
      </c>
    </row>
    <row r="3679" spans="4:16" x14ac:dyDescent="0.25">
      <c r="D3679">
        <v>2037</v>
      </c>
      <c r="E3679" t="s">
        <v>396</v>
      </c>
      <c r="F3679" t="s">
        <v>397</v>
      </c>
      <c r="G3679">
        <v>43</v>
      </c>
      <c r="I3679">
        <f t="shared" si="222"/>
        <v>0</v>
      </c>
      <c r="J3679">
        <f t="shared" si="222"/>
        <v>0</v>
      </c>
      <c r="K3679">
        <f t="shared" si="222"/>
        <v>0</v>
      </c>
      <c r="M3679" t="str" cm="1">
        <f t="array" ref="M3679">IFERROR(INDEX($I$2:$K$2,0,MATCH(TRUE,I3679:K3679,0)),E3679)</f>
        <v>Lignite</v>
      </c>
      <c r="O3679" t="str">
        <f t="shared" si="220"/>
        <v>Lignite_2037</v>
      </c>
      <c r="P3679">
        <f t="shared" si="221"/>
        <v>43</v>
      </c>
    </row>
    <row r="3680" spans="4:16" x14ac:dyDescent="0.25">
      <c r="D3680">
        <v>2038</v>
      </c>
      <c r="E3680" t="s">
        <v>396</v>
      </c>
      <c r="F3680" t="s">
        <v>397</v>
      </c>
      <c r="G3680">
        <v>43</v>
      </c>
      <c r="I3680">
        <f t="shared" si="222"/>
        <v>0</v>
      </c>
      <c r="J3680">
        <f t="shared" si="222"/>
        <v>0</v>
      </c>
      <c r="K3680">
        <f t="shared" si="222"/>
        <v>0</v>
      </c>
      <c r="M3680" t="str" cm="1">
        <f t="array" ref="M3680">IFERROR(INDEX($I$2:$K$2,0,MATCH(TRUE,I3680:K3680,0)),E3680)</f>
        <v>Lignite</v>
      </c>
      <c r="O3680" t="str">
        <f t="shared" si="220"/>
        <v>Lignite_2038</v>
      </c>
      <c r="P3680">
        <f t="shared" si="221"/>
        <v>43</v>
      </c>
    </row>
    <row r="3681" spans="4:16" x14ac:dyDescent="0.25">
      <c r="D3681">
        <v>2021</v>
      </c>
      <c r="E3681" t="s">
        <v>396</v>
      </c>
      <c r="F3681" t="s">
        <v>398</v>
      </c>
      <c r="G3681">
        <v>465</v>
      </c>
      <c r="I3681">
        <f t="shared" si="222"/>
        <v>0</v>
      </c>
      <c r="J3681">
        <f t="shared" si="222"/>
        <v>0</v>
      </c>
      <c r="K3681">
        <f t="shared" si="222"/>
        <v>0</v>
      </c>
      <c r="M3681" t="str" cm="1">
        <f t="array" ref="M3681">IFERROR(INDEX($I$2:$K$2,0,MATCH(TRUE,I3681:K3681,0)),E3681)</f>
        <v>Lignite</v>
      </c>
      <c r="O3681" t="str">
        <f t="shared" si="220"/>
        <v>Lignite_2021</v>
      </c>
      <c r="P3681">
        <f t="shared" si="221"/>
        <v>465</v>
      </c>
    </row>
    <row r="3682" spans="4:16" x14ac:dyDescent="0.25">
      <c r="D3682">
        <v>2022</v>
      </c>
      <c r="E3682" t="s">
        <v>396</v>
      </c>
      <c r="F3682" t="s">
        <v>398</v>
      </c>
      <c r="G3682">
        <v>465</v>
      </c>
      <c r="I3682">
        <f t="shared" si="222"/>
        <v>0</v>
      </c>
      <c r="J3682">
        <f t="shared" si="222"/>
        <v>0</v>
      </c>
      <c r="K3682">
        <f t="shared" si="222"/>
        <v>0</v>
      </c>
      <c r="M3682" t="str" cm="1">
        <f t="array" ref="M3682">IFERROR(INDEX($I$2:$K$2,0,MATCH(TRUE,I3682:K3682,0)),E3682)</f>
        <v>Lignite</v>
      </c>
      <c r="O3682" t="str">
        <f t="shared" si="220"/>
        <v>Lignite_2022</v>
      </c>
      <c r="P3682">
        <f t="shared" si="221"/>
        <v>465</v>
      </c>
    </row>
    <row r="3683" spans="4:16" x14ac:dyDescent="0.25">
      <c r="D3683">
        <v>2023</v>
      </c>
      <c r="E3683" t="s">
        <v>396</v>
      </c>
      <c r="F3683" t="s">
        <v>398</v>
      </c>
      <c r="G3683">
        <v>465</v>
      </c>
      <c r="I3683">
        <f t="shared" si="222"/>
        <v>0</v>
      </c>
      <c r="J3683">
        <f t="shared" si="222"/>
        <v>0</v>
      </c>
      <c r="K3683">
        <f t="shared" si="222"/>
        <v>0</v>
      </c>
      <c r="M3683" t="str" cm="1">
        <f t="array" ref="M3683">IFERROR(INDEX($I$2:$K$2,0,MATCH(TRUE,I3683:K3683,0)),E3683)</f>
        <v>Lignite</v>
      </c>
      <c r="O3683" t="str">
        <f t="shared" si="220"/>
        <v>Lignite_2023</v>
      </c>
      <c r="P3683">
        <f t="shared" si="221"/>
        <v>465</v>
      </c>
    </row>
    <row r="3684" spans="4:16" x14ac:dyDescent="0.25">
      <c r="D3684">
        <v>2024</v>
      </c>
      <c r="E3684" t="s">
        <v>396</v>
      </c>
      <c r="F3684" t="s">
        <v>398</v>
      </c>
      <c r="G3684">
        <v>465</v>
      </c>
      <c r="I3684">
        <f t="shared" si="222"/>
        <v>0</v>
      </c>
      <c r="J3684">
        <f t="shared" si="222"/>
        <v>0</v>
      </c>
      <c r="K3684">
        <f t="shared" si="222"/>
        <v>0</v>
      </c>
      <c r="M3684" t="str" cm="1">
        <f t="array" ref="M3684">IFERROR(INDEX($I$2:$K$2,0,MATCH(TRUE,I3684:K3684,0)),E3684)</f>
        <v>Lignite</v>
      </c>
      <c r="O3684" t="str">
        <f t="shared" si="220"/>
        <v>Lignite_2024</v>
      </c>
      <c r="P3684">
        <f t="shared" si="221"/>
        <v>465</v>
      </c>
    </row>
    <row r="3685" spans="4:16" x14ac:dyDescent="0.25">
      <c r="D3685">
        <v>2025</v>
      </c>
      <c r="E3685" t="s">
        <v>396</v>
      </c>
      <c r="F3685" t="s">
        <v>398</v>
      </c>
      <c r="G3685">
        <v>465</v>
      </c>
      <c r="I3685">
        <f t="shared" si="222"/>
        <v>0</v>
      </c>
      <c r="J3685">
        <f t="shared" si="222"/>
        <v>0</v>
      </c>
      <c r="K3685">
        <f t="shared" si="222"/>
        <v>0</v>
      </c>
      <c r="M3685" t="str" cm="1">
        <f t="array" ref="M3685">IFERROR(INDEX($I$2:$K$2,0,MATCH(TRUE,I3685:K3685,0)),E3685)</f>
        <v>Lignite</v>
      </c>
      <c r="O3685" t="str">
        <f t="shared" si="220"/>
        <v>Lignite_2025</v>
      </c>
      <c r="P3685">
        <f t="shared" si="221"/>
        <v>465</v>
      </c>
    </row>
    <row r="3686" spans="4:16" x14ac:dyDescent="0.25">
      <c r="D3686">
        <v>2026</v>
      </c>
      <c r="E3686" t="s">
        <v>396</v>
      </c>
      <c r="F3686" t="s">
        <v>398</v>
      </c>
      <c r="G3686">
        <v>465</v>
      </c>
      <c r="I3686">
        <f t="shared" si="222"/>
        <v>0</v>
      </c>
      <c r="J3686">
        <f t="shared" si="222"/>
        <v>0</v>
      </c>
      <c r="K3686">
        <f t="shared" si="222"/>
        <v>0</v>
      </c>
      <c r="M3686" t="str" cm="1">
        <f t="array" ref="M3686">IFERROR(INDEX($I$2:$K$2,0,MATCH(TRUE,I3686:K3686,0)),E3686)</f>
        <v>Lignite</v>
      </c>
      <c r="O3686" t="str">
        <f t="shared" si="220"/>
        <v>Lignite_2026</v>
      </c>
      <c r="P3686">
        <f t="shared" si="221"/>
        <v>465</v>
      </c>
    </row>
    <row r="3687" spans="4:16" x14ac:dyDescent="0.25">
      <c r="D3687">
        <v>2027</v>
      </c>
      <c r="E3687" t="s">
        <v>396</v>
      </c>
      <c r="F3687" t="s">
        <v>398</v>
      </c>
      <c r="G3687">
        <v>465</v>
      </c>
      <c r="I3687">
        <f t="shared" si="222"/>
        <v>0</v>
      </c>
      <c r="J3687">
        <f t="shared" si="222"/>
        <v>0</v>
      </c>
      <c r="K3687">
        <f t="shared" si="222"/>
        <v>0</v>
      </c>
      <c r="M3687" t="str" cm="1">
        <f t="array" ref="M3687">IFERROR(INDEX($I$2:$K$2,0,MATCH(TRUE,I3687:K3687,0)),E3687)</f>
        <v>Lignite</v>
      </c>
      <c r="O3687" t="str">
        <f t="shared" si="220"/>
        <v>Lignite_2027</v>
      </c>
      <c r="P3687">
        <f t="shared" si="221"/>
        <v>465</v>
      </c>
    </row>
    <row r="3688" spans="4:16" x14ac:dyDescent="0.25">
      <c r="D3688">
        <v>2028</v>
      </c>
      <c r="E3688" t="s">
        <v>396</v>
      </c>
      <c r="F3688" t="s">
        <v>398</v>
      </c>
      <c r="G3688">
        <v>465</v>
      </c>
      <c r="I3688">
        <f t="shared" si="222"/>
        <v>0</v>
      </c>
      <c r="J3688">
        <f t="shared" si="222"/>
        <v>0</v>
      </c>
      <c r="K3688">
        <f t="shared" si="222"/>
        <v>0</v>
      </c>
      <c r="M3688" t="str" cm="1">
        <f t="array" ref="M3688">IFERROR(INDEX($I$2:$K$2,0,MATCH(TRUE,I3688:K3688,0)),E3688)</f>
        <v>Lignite</v>
      </c>
      <c r="O3688" t="str">
        <f t="shared" si="220"/>
        <v>Lignite_2028</v>
      </c>
      <c r="P3688">
        <f t="shared" si="221"/>
        <v>465</v>
      </c>
    </row>
    <row r="3689" spans="4:16" x14ac:dyDescent="0.25">
      <c r="D3689">
        <v>2029</v>
      </c>
      <c r="E3689" t="s">
        <v>396</v>
      </c>
      <c r="F3689" t="s">
        <v>398</v>
      </c>
      <c r="G3689">
        <v>465</v>
      </c>
      <c r="I3689">
        <f t="shared" si="222"/>
        <v>0</v>
      </c>
      <c r="J3689">
        <f t="shared" si="222"/>
        <v>0</v>
      </c>
      <c r="K3689">
        <f t="shared" si="222"/>
        <v>0</v>
      </c>
      <c r="M3689" t="str" cm="1">
        <f t="array" ref="M3689">IFERROR(INDEX($I$2:$K$2,0,MATCH(TRUE,I3689:K3689,0)),E3689)</f>
        <v>Lignite</v>
      </c>
      <c r="O3689" t="str">
        <f t="shared" si="220"/>
        <v>Lignite_2029</v>
      </c>
      <c r="P3689">
        <f t="shared" si="221"/>
        <v>465</v>
      </c>
    </row>
    <row r="3690" spans="4:16" x14ac:dyDescent="0.25">
      <c r="D3690">
        <v>2021</v>
      </c>
      <c r="E3690" t="s">
        <v>396</v>
      </c>
      <c r="F3690" t="s">
        <v>399</v>
      </c>
      <c r="G3690">
        <v>465</v>
      </c>
      <c r="I3690">
        <f t="shared" si="222"/>
        <v>0</v>
      </c>
      <c r="J3690">
        <f t="shared" si="222"/>
        <v>0</v>
      </c>
      <c r="K3690">
        <f t="shared" si="222"/>
        <v>0</v>
      </c>
      <c r="M3690" t="str" cm="1">
        <f t="array" ref="M3690">IFERROR(INDEX($I$2:$K$2,0,MATCH(TRUE,I3690:K3690,0)),E3690)</f>
        <v>Lignite</v>
      </c>
      <c r="O3690" t="str">
        <f t="shared" si="220"/>
        <v>Lignite_2021</v>
      </c>
      <c r="P3690">
        <f t="shared" si="221"/>
        <v>465</v>
      </c>
    </row>
    <row r="3691" spans="4:16" x14ac:dyDescent="0.25">
      <c r="D3691">
        <v>2022</v>
      </c>
      <c r="E3691" t="s">
        <v>396</v>
      </c>
      <c r="F3691" t="s">
        <v>399</v>
      </c>
      <c r="G3691">
        <v>465</v>
      </c>
      <c r="I3691">
        <f t="shared" si="222"/>
        <v>0</v>
      </c>
      <c r="J3691">
        <f t="shared" si="222"/>
        <v>0</v>
      </c>
      <c r="K3691">
        <f t="shared" si="222"/>
        <v>0</v>
      </c>
      <c r="M3691" t="str" cm="1">
        <f t="array" ref="M3691">IFERROR(INDEX($I$2:$K$2,0,MATCH(TRUE,I3691:K3691,0)),E3691)</f>
        <v>Lignite</v>
      </c>
      <c r="O3691" t="str">
        <f t="shared" si="220"/>
        <v>Lignite_2022</v>
      </c>
      <c r="P3691">
        <f t="shared" si="221"/>
        <v>465</v>
      </c>
    </row>
    <row r="3692" spans="4:16" x14ac:dyDescent="0.25">
      <c r="D3692">
        <v>2023</v>
      </c>
      <c r="E3692" t="s">
        <v>396</v>
      </c>
      <c r="F3692" t="s">
        <v>399</v>
      </c>
      <c r="G3692">
        <v>465</v>
      </c>
      <c r="I3692">
        <f t="shared" si="222"/>
        <v>0</v>
      </c>
      <c r="J3692">
        <f t="shared" si="222"/>
        <v>0</v>
      </c>
      <c r="K3692">
        <f t="shared" si="222"/>
        <v>0</v>
      </c>
      <c r="M3692" t="str" cm="1">
        <f t="array" ref="M3692">IFERROR(INDEX($I$2:$K$2,0,MATCH(TRUE,I3692:K3692,0)),E3692)</f>
        <v>Lignite</v>
      </c>
      <c r="O3692" t="str">
        <f t="shared" si="220"/>
        <v>Lignite_2023</v>
      </c>
      <c r="P3692">
        <f t="shared" si="221"/>
        <v>465</v>
      </c>
    </row>
    <row r="3693" spans="4:16" x14ac:dyDescent="0.25">
      <c r="D3693">
        <v>2024</v>
      </c>
      <c r="E3693" t="s">
        <v>396</v>
      </c>
      <c r="F3693" t="s">
        <v>399</v>
      </c>
      <c r="G3693">
        <v>465</v>
      </c>
      <c r="I3693">
        <f t="shared" si="222"/>
        <v>0</v>
      </c>
      <c r="J3693">
        <f t="shared" si="222"/>
        <v>0</v>
      </c>
      <c r="K3693">
        <f t="shared" si="222"/>
        <v>0</v>
      </c>
      <c r="M3693" t="str" cm="1">
        <f t="array" ref="M3693">IFERROR(INDEX($I$2:$K$2,0,MATCH(TRUE,I3693:K3693,0)),E3693)</f>
        <v>Lignite</v>
      </c>
      <c r="O3693" t="str">
        <f t="shared" si="220"/>
        <v>Lignite_2024</v>
      </c>
      <c r="P3693">
        <f t="shared" si="221"/>
        <v>465</v>
      </c>
    </row>
    <row r="3694" spans="4:16" x14ac:dyDescent="0.25">
      <c r="D3694">
        <v>2025</v>
      </c>
      <c r="E3694" t="s">
        <v>396</v>
      </c>
      <c r="F3694" t="s">
        <v>399</v>
      </c>
      <c r="G3694">
        <v>465</v>
      </c>
      <c r="I3694">
        <f t="shared" si="222"/>
        <v>0</v>
      </c>
      <c r="J3694">
        <f t="shared" si="222"/>
        <v>0</v>
      </c>
      <c r="K3694">
        <f t="shared" si="222"/>
        <v>0</v>
      </c>
      <c r="M3694" t="str" cm="1">
        <f t="array" ref="M3694">IFERROR(INDEX($I$2:$K$2,0,MATCH(TRUE,I3694:K3694,0)),E3694)</f>
        <v>Lignite</v>
      </c>
      <c r="O3694" t="str">
        <f t="shared" si="220"/>
        <v>Lignite_2025</v>
      </c>
      <c r="P3694">
        <f t="shared" si="221"/>
        <v>465</v>
      </c>
    </row>
    <row r="3695" spans="4:16" x14ac:dyDescent="0.25">
      <c r="D3695">
        <v>2026</v>
      </c>
      <c r="E3695" t="s">
        <v>396</v>
      </c>
      <c r="F3695" t="s">
        <v>399</v>
      </c>
      <c r="G3695">
        <v>465</v>
      </c>
      <c r="I3695">
        <f t="shared" si="222"/>
        <v>0</v>
      </c>
      <c r="J3695">
        <f t="shared" si="222"/>
        <v>0</v>
      </c>
      <c r="K3695">
        <f t="shared" si="222"/>
        <v>0</v>
      </c>
      <c r="M3695" t="str" cm="1">
        <f t="array" ref="M3695">IFERROR(INDEX($I$2:$K$2,0,MATCH(TRUE,I3695:K3695,0)),E3695)</f>
        <v>Lignite</v>
      </c>
      <c r="O3695" t="str">
        <f t="shared" si="220"/>
        <v>Lignite_2026</v>
      </c>
      <c r="P3695">
        <f t="shared" si="221"/>
        <v>465</v>
      </c>
    </row>
    <row r="3696" spans="4:16" x14ac:dyDescent="0.25">
      <c r="D3696">
        <v>2027</v>
      </c>
      <c r="E3696" t="s">
        <v>396</v>
      </c>
      <c r="F3696" t="s">
        <v>399</v>
      </c>
      <c r="G3696">
        <v>465</v>
      </c>
      <c r="I3696">
        <f t="shared" si="222"/>
        <v>0</v>
      </c>
      <c r="J3696">
        <f t="shared" si="222"/>
        <v>0</v>
      </c>
      <c r="K3696">
        <f t="shared" si="222"/>
        <v>0</v>
      </c>
      <c r="M3696" t="str" cm="1">
        <f t="array" ref="M3696">IFERROR(INDEX($I$2:$K$2,0,MATCH(TRUE,I3696:K3696,0)),E3696)</f>
        <v>Lignite</v>
      </c>
      <c r="O3696" t="str">
        <f t="shared" si="220"/>
        <v>Lignite_2027</v>
      </c>
      <c r="P3696">
        <f t="shared" si="221"/>
        <v>465</v>
      </c>
    </row>
    <row r="3697" spans="4:16" x14ac:dyDescent="0.25">
      <c r="D3697">
        <v>2028</v>
      </c>
      <c r="E3697" t="s">
        <v>396</v>
      </c>
      <c r="F3697" t="s">
        <v>399</v>
      </c>
      <c r="G3697">
        <v>465</v>
      </c>
      <c r="I3697">
        <f t="shared" si="222"/>
        <v>0</v>
      </c>
      <c r="J3697">
        <f t="shared" si="222"/>
        <v>0</v>
      </c>
      <c r="K3697">
        <f t="shared" si="222"/>
        <v>0</v>
      </c>
      <c r="M3697" t="str" cm="1">
        <f t="array" ref="M3697">IFERROR(INDEX($I$2:$K$2,0,MATCH(TRUE,I3697:K3697,0)),E3697)</f>
        <v>Lignite</v>
      </c>
      <c r="O3697" t="str">
        <f t="shared" si="220"/>
        <v>Lignite_2028</v>
      </c>
      <c r="P3697">
        <f t="shared" si="221"/>
        <v>465</v>
      </c>
    </row>
    <row r="3698" spans="4:16" x14ac:dyDescent="0.25">
      <c r="D3698">
        <v>2029</v>
      </c>
      <c r="E3698" t="s">
        <v>396</v>
      </c>
      <c r="F3698" t="s">
        <v>399</v>
      </c>
      <c r="G3698">
        <v>465</v>
      </c>
      <c r="I3698">
        <f t="shared" si="222"/>
        <v>0</v>
      </c>
      <c r="J3698">
        <f t="shared" si="222"/>
        <v>0</v>
      </c>
      <c r="K3698">
        <f t="shared" si="222"/>
        <v>0</v>
      </c>
      <c r="M3698" t="str" cm="1">
        <f t="array" ref="M3698">IFERROR(INDEX($I$2:$K$2,0,MATCH(TRUE,I3698:K3698,0)),E3698)</f>
        <v>Lignite</v>
      </c>
      <c r="O3698" t="str">
        <f t="shared" si="220"/>
        <v>Lignite_2029</v>
      </c>
      <c r="P3698">
        <f t="shared" si="221"/>
        <v>465</v>
      </c>
    </row>
    <row r="3699" spans="4:16" x14ac:dyDescent="0.25">
      <c r="D3699">
        <v>2021</v>
      </c>
      <c r="E3699" t="s">
        <v>396</v>
      </c>
      <c r="F3699" t="s">
        <v>400</v>
      </c>
      <c r="G3699">
        <v>22.333333329999999</v>
      </c>
      <c r="I3699">
        <f t="shared" si="222"/>
        <v>0</v>
      </c>
      <c r="J3699">
        <f t="shared" si="222"/>
        <v>0</v>
      </c>
      <c r="K3699">
        <f t="shared" si="222"/>
        <v>0</v>
      </c>
      <c r="M3699" t="str" cm="1">
        <f t="array" ref="M3699">IFERROR(INDEX($I$2:$K$2,0,MATCH(TRUE,I3699:K3699,0)),E3699)</f>
        <v>Lignite</v>
      </c>
      <c r="O3699" t="str">
        <f t="shared" si="220"/>
        <v>Lignite_2021</v>
      </c>
      <c r="P3699">
        <f t="shared" si="221"/>
        <v>22.333333329999999</v>
      </c>
    </row>
    <row r="3700" spans="4:16" x14ac:dyDescent="0.25">
      <c r="D3700">
        <v>2022</v>
      </c>
      <c r="E3700" t="s">
        <v>396</v>
      </c>
      <c r="F3700" t="s">
        <v>400</v>
      </c>
      <c r="G3700">
        <v>22.333333329999999</v>
      </c>
      <c r="I3700">
        <f t="shared" si="222"/>
        <v>0</v>
      </c>
      <c r="J3700">
        <f t="shared" si="222"/>
        <v>0</v>
      </c>
      <c r="K3700">
        <f t="shared" si="222"/>
        <v>0</v>
      </c>
      <c r="M3700" t="str" cm="1">
        <f t="array" ref="M3700">IFERROR(INDEX($I$2:$K$2,0,MATCH(TRUE,I3700:K3700,0)),E3700)</f>
        <v>Lignite</v>
      </c>
      <c r="O3700" t="str">
        <f t="shared" si="220"/>
        <v>Lignite_2022</v>
      </c>
      <c r="P3700">
        <f t="shared" si="221"/>
        <v>22.333333329999999</v>
      </c>
    </row>
    <row r="3701" spans="4:16" x14ac:dyDescent="0.25">
      <c r="D3701">
        <v>2023</v>
      </c>
      <c r="E3701" t="s">
        <v>396</v>
      </c>
      <c r="F3701" t="s">
        <v>400</v>
      </c>
      <c r="G3701">
        <v>22.333333329999999</v>
      </c>
      <c r="I3701">
        <f t="shared" si="222"/>
        <v>0</v>
      </c>
      <c r="J3701">
        <f t="shared" si="222"/>
        <v>0</v>
      </c>
      <c r="K3701">
        <f t="shared" si="222"/>
        <v>0</v>
      </c>
      <c r="M3701" t="str" cm="1">
        <f t="array" ref="M3701">IFERROR(INDEX($I$2:$K$2,0,MATCH(TRUE,I3701:K3701,0)),E3701)</f>
        <v>Lignite</v>
      </c>
      <c r="O3701" t="str">
        <f t="shared" si="220"/>
        <v>Lignite_2023</v>
      </c>
      <c r="P3701">
        <f t="shared" si="221"/>
        <v>22.333333329999999</v>
      </c>
    </row>
    <row r="3702" spans="4:16" x14ac:dyDescent="0.25">
      <c r="D3702">
        <v>2024</v>
      </c>
      <c r="E3702" t="s">
        <v>396</v>
      </c>
      <c r="F3702" t="s">
        <v>400</v>
      </c>
      <c r="G3702">
        <v>22.333333329999999</v>
      </c>
      <c r="I3702">
        <f t="shared" si="222"/>
        <v>0</v>
      </c>
      <c r="J3702">
        <f t="shared" si="222"/>
        <v>0</v>
      </c>
      <c r="K3702">
        <f t="shared" si="222"/>
        <v>0</v>
      </c>
      <c r="M3702" t="str" cm="1">
        <f t="array" ref="M3702">IFERROR(INDEX($I$2:$K$2,0,MATCH(TRUE,I3702:K3702,0)),E3702)</f>
        <v>Lignite</v>
      </c>
      <c r="O3702" t="str">
        <f t="shared" si="220"/>
        <v>Lignite_2024</v>
      </c>
      <c r="P3702">
        <f t="shared" si="221"/>
        <v>22.333333329999999</v>
      </c>
    </row>
    <row r="3703" spans="4:16" x14ac:dyDescent="0.25">
      <c r="D3703">
        <v>2021</v>
      </c>
      <c r="E3703" t="s">
        <v>396</v>
      </c>
      <c r="F3703" t="s">
        <v>401</v>
      </c>
      <c r="G3703">
        <v>22.333333329999999</v>
      </c>
      <c r="I3703">
        <f t="shared" si="222"/>
        <v>0</v>
      </c>
      <c r="J3703">
        <f t="shared" si="222"/>
        <v>0</v>
      </c>
      <c r="K3703">
        <f t="shared" si="222"/>
        <v>0</v>
      </c>
      <c r="M3703" t="str" cm="1">
        <f t="array" ref="M3703">IFERROR(INDEX($I$2:$K$2,0,MATCH(TRUE,I3703:K3703,0)),E3703)</f>
        <v>Lignite</v>
      </c>
      <c r="O3703" t="str">
        <f t="shared" si="220"/>
        <v>Lignite_2021</v>
      </c>
      <c r="P3703">
        <f t="shared" si="221"/>
        <v>22.333333329999999</v>
      </c>
    </row>
    <row r="3704" spans="4:16" x14ac:dyDescent="0.25">
      <c r="D3704">
        <v>2022</v>
      </c>
      <c r="E3704" t="s">
        <v>396</v>
      </c>
      <c r="F3704" t="s">
        <v>401</v>
      </c>
      <c r="G3704">
        <v>22.333333329999999</v>
      </c>
      <c r="I3704">
        <f t="shared" si="222"/>
        <v>0</v>
      </c>
      <c r="J3704">
        <f t="shared" si="222"/>
        <v>0</v>
      </c>
      <c r="K3704">
        <f t="shared" si="222"/>
        <v>0</v>
      </c>
      <c r="M3704" t="str" cm="1">
        <f t="array" ref="M3704">IFERROR(INDEX($I$2:$K$2,0,MATCH(TRUE,I3704:K3704,0)),E3704)</f>
        <v>Lignite</v>
      </c>
      <c r="O3704" t="str">
        <f t="shared" si="220"/>
        <v>Lignite_2022</v>
      </c>
      <c r="P3704">
        <f t="shared" si="221"/>
        <v>22.333333329999999</v>
      </c>
    </row>
    <row r="3705" spans="4:16" x14ac:dyDescent="0.25">
      <c r="D3705">
        <v>2023</v>
      </c>
      <c r="E3705" t="s">
        <v>396</v>
      </c>
      <c r="F3705" t="s">
        <v>401</v>
      </c>
      <c r="G3705">
        <v>22.333333329999999</v>
      </c>
      <c r="I3705">
        <f t="shared" si="222"/>
        <v>0</v>
      </c>
      <c r="J3705">
        <f t="shared" si="222"/>
        <v>0</v>
      </c>
      <c r="K3705">
        <f t="shared" si="222"/>
        <v>0</v>
      </c>
      <c r="M3705" t="str" cm="1">
        <f t="array" ref="M3705">IFERROR(INDEX($I$2:$K$2,0,MATCH(TRUE,I3705:K3705,0)),E3705)</f>
        <v>Lignite</v>
      </c>
      <c r="O3705" t="str">
        <f t="shared" si="220"/>
        <v>Lignite_2023</v>
      </c>
      <c r="P3705">
        <f t="shared" si="221"/>
        <v>22.333333329999999</v>
      </c>
    </row>
    <row r="3706" spans="4:16" x14ac:dyDescent="0.25">
      <c r="D3706">
        <v>2024</v>
      </c>
      <c r="E3706" t="s">
        <v>396</v>
      </c>
      <c r="F3706" t="s">
        <v>401</v>
      </c>
      <c r="G3706">
        <v>22.333333329999999</v>
      </c>
      <c r="I3706">
        <f t="shared" si="222"/>
        <v>0</v>
      </c>
      <c r="J3706">
        <f t="shared" si="222"/>
        <v>0</v>
      </c>
      <c r="K3706">
        <f t="shared" si="222"/>
        <v>0</v>
      </c>
      <c r="M3706" t="str" cm="1">
        <f t="array" ref="M3706">IFERROR(INDEX($I$2:$K$2,0,MATCH(TRUE,I3706:K3706,0)),E3706)</f>
        <v>Lignite</v>
      </c>
      <c r="O3706" t="str">
        <f t="shared" si="220"/>
        <v>Lignite_2024</v>
      </c>
      <c r="P3706">
        <f t="shared" si="221"/>
        <v>22.333333329999999</v>
      </c>
    </row>
    <row r="3707" spans="4:16" x14ac:dyDescent="0.25">
      <c r="D3707">
        <v>2021</v>
      </c>
      <c r="E3707" t="s">
        <v>396</v>
      </c>
      <c r="F3707" t="s">
        <v>402</v>
      </c>
      <c r="G3707">
        <v>22.333333329999999</v>
      </c>
      <c r="I3707">
        <f t="shared" si="222"/>
        <v>0</v>
      </c>
      <c r="J3707">
        <f t="shared" si="222"/>
        <v>0</v>
      </c>
      <c r="K3707">
        <f t="shared" si="222"/>
        <v>0</v>
      </c>
      <c r="M3707" t="str" cm="1">
        <f t="array" ref="M3707">IFERROR(INDEX($I$2:$K$2,0,MATCH(TRUE,I3707:K3707,0)),E3707)</f>
        <v>Lignite</v>
      </c>
      <c r="O3707" t="str">
        <f t="shared" si="220"/>
        <v>Lignite_2021</v>
      </c>
      <c r="P3707">
        <f t="shared" si="221"/>
        <v>22.333333329999999</v>
      </c>
    </row>
    <row r="3708" spans="4:16" x14ac:dyDescent="0.25">
      <c r="D3708">
        <v>2022</v>
      </c>
      <c r="E3708" t="s">
        <v>396</v>
      </c>
      <c r="F3708" t="s">
        <v>402</v>
      </c>
      <c r="G3708">
        <v>22.333333329999999</v>
      </c>
      <c r="I3708">
        <f t="shared" si="222"/>
        <v>0</v>
      </c>
      <c r="J3708">
        <f t="shared" si="222"/>
        <v>0</v>
      </c>
      <c r="K3708">
        <f t="shared" si="222"/>
        <v>0</v>
      </c>
      <c r="M3708" t="str" cm="1">
        <f t="array" ref="M3708">IFERROR(INDEX($I$2:$K$2,0,MATCH(TRUE,I3708:K3708,0)),E3708)</f>
        <v>Lignite</v>
      </c>
      <c r="O3708" t="str">
        <f t="shared" si="220"/>
        <v>Lignite_2022</v>
      </c>
      <c r="P3708">
        <f t="shared" si="221"/>
        <v>22.333333329999999</v>
      </c>
    </row>
    <row r="3709" spans="4:16" x14ac:dyDescent="0.25">
      <c r="D3709">
        <v>2023</v>
      </c>
      <c r="E3709" t="s">
        <v>396</v>
      </c>
      <c r="F3709" t="s">
        <v>402</v>
      </c>
      <c r="G3709">
        <v>22.333333329999999</v>
      </c>
      <c r="I3709">
        <f t="shared" si="222"/>
        <v>0</v>
      </c>
      <c r="J3709">
        <f t="shared" si="222"/>
        <v>0</v>
      </c>
      <c r="K3709">
        <f t="shared" si="222"/>
        <v>0</v>
      </c>
      <c r="M3709" t="str" cm="1">
        <f t="array" ref="M3709">IFERROR(INDEX($I$2:$K$2,0,MATCH(TRUE,I3709:K3709,0)),E3709)</f>
        <v>Lignite</v>
      </c>
      <c r="O3709" t="str">
        <f t="shared" si="220"/>
        <v>Lignite_2023</v>
      </c>
      <c r="P3709">
        <f t="shared" si="221"/>
        <v>22.333333329999999</v>
      </c>
    </row>
    <row r="3710" spans="4:16" x14ac:dyDescent="0.25">
      <c r="D3710">
        <v>2024</v>
      </c>
      <c r="E3710" t="s">
        <v>396</v>
      </c>
      <c r="F3710" t="s">
        <v>402</v>
      </c>
      <c r="G3710">
        <v>22.333333329999999</v>
      </c>
      <c r="I3710">
        <f t="shared" si="222"/>
        <v>0</v>
      </c>
      <c r="J3710">
        <f t="shared" si="222"/>
        <v>0</v>
      </c>
      <c r="K3710">
        <f t="shared" si="222"/>
        <v>0</v>
      </c>
      <c r="M3710" t="str" cm="1">
        <f t="array" ref="M3710">IFERROR(INDEX($I$2:$K$2,0,MATCH(TRUE,I3710:K3710,0)),E3710)</f>
        <v>Lignite</v>
      </c>
      <c r="O3710" t="str">
        <f t="shared" si="220"/>
        <v>Lignite_2024</v>
      </c>
      <c r="P3710">
        <f t="shared" si="221"/>
        <v>22.333333329999999</v>
      </c>
    </row>
    <row r="3711" spans="4:16" x14ac:dyDescent="0.25">
      <c r="D3711">
        <v>2021</v>
      </c>
      <c r="E3711" t="s">
        <v>396</v>
      </c>
      <c r="F3711" t="s">
        <v>403</v>
      </c>
      <c r="G3711">
        <v>33.5</v>
      </c>
      <c r="I3711">
        <f t="shared" si="222"/>
        <v>0</v>
      </c>
      <c r="J3711">
        <f t="shared" si="222"/>
        <v>0</v>
      </c>
      <c r="K3711">
        <f t="shared" si="222"/>
        <v>0</v>
      </c>
      <c r="M3711" t="str" cm="1">
        <f t="array" ref="M3711">IFERROR(INDEX($I$2:$K$2,0,MATCH(TRUE,I3711:K3711,0)),E3711)</f>
        <v>Lignite</v>
      </c>
      <c r="O3711" t="str">
        <f t="shared" si="220"/>
        <v>Lignite_2021</v>
      </c>
      <c r="P3711">
        <f t="shared" si="221"/>
        <v>33.5</v>
      </c>
    </row>
    <row r="3712" spans="4:16" x14ac:dyDescent="0.25">
      <c r="D3712">
        <v>2022</v>
      </c>
      <c r="E3712" t="s">
        <v>396</v>
      </c>
      <c r="F3712" t="s">
        <v>403</v>
      </c>
      <c r="G3712">
        <v>33.5</v>
      </c>
      <c r="I3712">
        <f t="shared" si="222"/>
        <v>0</v>
      </c>
      <c r="J3712">
        <f t="shared" si="222"/>
        <v>0</v>
      </c>
      <c r="K3712">
        <f t="shared" si="222"/>
        <v>0</v>
      </c>
      <c r="M3712" t="str" cm="1">
        <f t="array" ref="M3712">IFERROR(INDEX($I$2:$K$2,0,MATCH(TRUE,I3712:K3712,0)),E3712)</f>
        <v>Lignite</v>
      </c>
      <c r="O3712" t="str">
        <f t="shared" si="220"/>
        <v>Lignite_2022</v>
      </c>
      <c r="P3712">
        <f t="shared" si="221"/>
        <v>33.5</v>
      </c>
    </row>
    <row r="3713" spans="4:16" x14ac:dyDescent="0.25">
      <c r="D3713">
        <v>2023</v>
      </c>
      <c r="E3713" t="s">
        <v>396</v>
      </c>
      <c r="F3713" t="s">
        <v>403</v>
      </c>
      <c r="G3713">
        <v>33.5</v>
      </c>
      <c r="I3713">
        <f t="shared" si="222"/>
        <v>0</v>
      </c>
      <c r="J3713">
        <f t="shared" si="222"/>
        <v>0</v>
      </c>
      <c r="K3713">
        <f t="shared" si="222"/>
        <v>0</v>
      </c>
      <c r="M3713" t="str" cm="1">
        <f t="array" ref="M3713">IFERROR(INDEX($I$2:$K$2,0,MATCH(TRUE,I3713:K3713,0)),E3713)</f>
        <v>Lignite</v>
      </c>
      <c r="O3713" t="str">
        <f t="shared" si="220"/>
        <v>Lignite_2023</v>
      </c>
      <c r="P3713">
        <f t="shared" si="221"/>
        <v>33.5</v>
      </c>
    </row>
    <row r="3714" spans="4:16" x14ac:dyDescent="0.25">
      <c r="D3714">
        <v>2024</v>
      </c>
      <c r="E3714" t="s">
        <v>396</v>
      </c>
      <c r="F3714" t="s">
        <v>403</v>
      </c>
      <c r="G3714">
        <v>33.5</v>
      </c>
      <c r="I3714">
        <f t="shared" si="222"/>
        <v>0</v>
      </c>
      <c r="J3714">
        <f t="shared" si="222"/>
        <v>0</v>
      </c>
      <c r="K3714">
        <f t="shared" si="222"/>
        <v>0</v>
      </c>
      <c r="M3714" t="str" cm="1">
        <f t="array" ref="M3714">IFERROR(INDEX($I$2:$K$2,0,MATCH(TRUE,I3714:K3714,0)),E3714)</f>
        <v>Lignite</v>
      </c>
      <c r="O3714" t="str">
        <f t="shared" si="220"/>
        <v>Lignite_2024</v>
      </c>
      <c r="P3714">
        <f t="shared" si="221"/>
        <v>33.5</v>
      </c>
    </row>
    <row r="3715" spans="4:16" x14ac:dyDescent="0.25">
      <c r="D3715">
        <v>2021</v>
      </c>
      <c r="E3715" t="s">
        <v>396</v>
      </c>
      <c r="F3715" t="s">
        <v>404</v>
      </c>
      <c r="G3715">
        <v>11</v>
      </c>
      <c r="I3715">
        <f t="shared" si="222"/>
        <v>0</v>
      </c>
      <c r="J3715">
        <f t="shared" si="222"/>
        <v>0</v>
      </c>
      <c r="K3715">
        <f t="shared" si="222"/>
        <v>0</v>
      </c>
      <c r="M3715" t="str" cm="1">
        <f t="array" ref="M3715">IFERROR(INDEX($I$2:$K$2,0,MATCH(TRUE,I3715:K3715,0)),E3715)</f>
        <v>Lignite</v>
      </c>
      <c r="O3715" t="str">
        <f t="shared" si="220"/>
        <v>Lignite_2021</v>
      </c>
      <c r="P3715">
        <f t="shared" si="221"/>
        <v>11</v>
      </c>
    </row>
    <row r="3716" spans="4:16" x14ac:dyDescent="0.25">
      <c r="D3716">
        <v>2022</v>
      </c>
      <c r="E3716" t="s">
        <v>396</v>
      </c>
      <c r="F3716" t="s">
        <v>404</v>
      </c>
      <c r="G3716">
        <v>11</v>
      </c>
      <c r="I3716">
        <f t="shared" si="222"/>
        <v>0</v>
      </c>
      <c r="J3716">
        <f t="shared" si="222"/>
        <v>0</v>
      </c>
      <c r="K3716">
        <f t="shared" si="222"/>
        <v>0</v>
      </c>
      <c r="M3716" t="str" cm="1">
        <f t="array" ref="M3716">IFERROR(INDEX($I$2:$K$2,0,MATCH(TRUE,I3716:K3716,0)),E3716)</f>
        <v>Lignite</v>
      </c>
      <c r="O3716" t="str">
        <f t="shared" si="220"/>
        <v>Lignite_2022</v>
      </c>
      <c r="P3716">
        <f t="shared" si="221"/>
        <v>11</v>
      </c>
    </row>
    <row r="3717" spans="4:16" x14ac:dyDescent="0.25">
      <c r="D3717">
        <v>2023</v>
      </c>
      <c r="E3717" t="s">
        <v>396</v>
      </c>
      <c r="F3717" t="s">
        <v>404</v>
      </c>
      <c r="G3717">
        <v>11</v>
      </c>
      <c r="I3717">
        <f t="shared" si="222"/>
        <v>0</v>
      </c>
      <c r="J3717">
        <f t="shared" si="222"/>
        <v>0</v>
      </c>
      <c r="K3717">
        <f t="shared" si="222"/>
        <v>0</v>
      </c>
      <c r="M3717" t="str" cm="1">
        <f t="array" ref="M3717">IFERROR(INDEX($I$2:$K$2,0,MATCH(TRUE,I3717:K3717,0)),E3717)</f>
        <v>Lignite</v>
      </c>
      <c r="O3717" t="str">
        <f t="shared" si="220"/>
        <v>Lignite_2023</v>
      </c>
      <c r="P3717">
        <f t="shared" si="221"/>
        <v>11</v>
      </c>
    </row>
    <row r="3718" spans="4:16" x14ac:dyDescent="0.25">
      <c r="D3718">
        <v>2024</v>
      </c>
      <c r="E3718" t="s">
        <v>396</v>
      </c>
      <c r="F3718" t="s">
        <v>404</v>
      </c>
      <c r="G3718">
        <v>11</v>
      </c>
      <c r="I3718">
        <f t="shared" si="222"/>
        <v>0</v>
      </c>
      <c r="J3718">
        <f t="shared" si="222"/>
        <v>0</v>
      </c>
      <c r="K3718">
        <f t="shared" si="222"/>
        <v>0</v>
      </c>
      <c r="M3718" t="str" cm="1">
        <f t="array" ref="M3718">IFERROR(INDEX($I$2:$K$2,0,MATCH(TRUE,I3718:K3718,0)),E3718)</f>
        <v>Lignite</v>
      </c>
      <c r="O3718" t="str">
        <f t="shared" si="220"/>
        <v>Lignite_2024</v>
      </c>
      <c r="P3718">
        <f t="shared" si="221"/>
        <v>11</v>
      </c>
    </row>
    <row r="3719" spans="4:16" x14ac:dyDescent="0.25">
      <c r="D3719">
        <v>2025</v>
      </c>
      <c r="E3719" t="s">
        <v>396</v>
      </c>
      <c r="F3719" t="s">
        <v>404</v>
      </c>
      <c r="G3719">
        <v>11</v>
      </c>
      <c r="I3719">
        <f t="shared" si="222"/>
        <v>0</v>
      </c>
      <c r="J3719">
        <f t="shared" si="222"/>
        <v>0</v>
      </c>
      <c r="K3719">
        <f t="shared" si="222"/>
        <v>0</v>
      </c>
      <c r="M3719" t="str" cm="1">
        <f t="array" ref="M3719">IFERROR(INDEX($I$2:$K$2,0,MATCH(TRUE,I3719:K3719,0)),E3719)</f>
        <v>Lignite</v>
      </c>
      <c r="O3719" t="str">
        <f t="shared" si="220"/>
        <v>Lignite_2025</v>
      </c>
      <c r="P3719">
        <f t="shared" si="221"/>
        <v>11</v>
      </c>
    </row>
    <row r="3720" spans="4:16" x14ac:dyDescent="0.25">
      <c r="D3720">
        <v>2026</v>
      </c>
      <c r="E3720" t="s">
        <v>396</v>
      </c>
      <c r="F3720" t="s">
        <v>404</v>
      </c>
      <c r="G3720">
        <v>11</v>
      </c>
      <c r="I3720">
        <f t="shared" si="222"/>
        <v>0</v>
      </c>
      <c r="J3720">
        <f t="shared" si="222"/>
        <v>0</v>
      </c>
      <c r="K3720">
        <f t="shared" si="222"/>
        <v>0</v>
      </c>
      <c r="M3720" t="str" cm="1">
        <f t="array" ref="M3720">IFERROR(INDEX($I$2:$K$2,0,MATCH(TRUE,I3720:K3720,0)),E3720)</f>
        <v>Lignite</v>
      </c>
      <c r="O3720" t="str">
        <f t="shared" si="220"/>
        <v>Lignite_2026</v>
      </c>
      <c r="P3720">
        <f t="shared" si="221"/>
        <v>11</v>
      </c>
    </row>
    <row r="3721" spans="4:16" x14ac:dyDescent="0.25">
      <c r="D3721">
        <v>2027</v>
      </c>
      <c r="E3721" t="s">
        <v>396</v>
      </c>
      <c r="F3721" t="s">
        <v>404</v>
      </c>
      <c r="G3721">
        <v>11</v>
      </c>
      <c r="I3721">
        <f t="shared" si="222"/>
        <v>0</v>
      </c>
      <c r="J3721">
        <f t="shared" si="222"/>
        <v>0</v>
      </c>
      <c r="K3721">
        <f t="shared" si="222"/>
        <v>0</v>
      </c>
      <c r="M3721" t="str" cm="1">
        <f t="array" ref="M3721">IFERROR(INDEX($I$2:$K$2,0,MATCH(TRUE,I3721:K3721,0)),E3721)</f>
        <v>Lignite</v>
      </c>
      <c r="O3721" t="str">
        <f t="shared" si="220"/>
        <v>Lignite_2027</v>
      </c>
      <c r="P3721">
        <f t="shared" si="221"/>
        <v>11</v>
      </c>
    </row>
    <row r="3722" spans="4:16" x14ac:dyDescent="0.25">
      <c r="D3722">
        <v>2028</v>
      </c>
      <c r="E3722" t="s">
        <v>396</v>
      </c>
      <c r="F3722" t="s">
        <v>404</v>
      </c>
      <c r="G3722">
        <v>11</v>
      </c>
      <c r="I3722">
        <f t="shared" si="222"/>
        <v>0</v>
      </c>
      <c r="J3722">
        <f t="shared" si="222"/>
        <v>0</v>
      </c>
      <c r="K3722">
        <f t="shared" si="222"/>
        <v>0</v>
      </c>
      <c r="M3722" t="str" cm="1">
        <f t="array" ref="M3722">IFERROR(INDEX($I$2:$K$2,0,MATCH(TRUE,I3722:K3722,0)),E3722)</f>
        <v>Lignite</v>
      </c>
      <c r="O3722" t="str">
        <f t="shared" si="220"/>
        <v>Lignite_2028</v>
      </c>
      <c r="P3722">
        <f t="shared" si="221"/>
        <v>11</v>
      </c>
    </row>
    <row r="3723" spans="4:16" x14ac:dyDescent="0.25">
      <c r="D3723">
        <v>2029</v>
      </c>
      <c r="E3723" t="s">
        <v>396</v>
      </c>
      <c r="F3723" t="s">
        <v>404</v>
      </c>
      <c r="G3723">
        <v>11</v>
      </c>
      <c r="I3723">
        <f t="shared" si="222"/>
        <v>0</v>
      </c>
      <c r="J3723">
        <f t="shared" si="222"/>
        <v>0</v>
      </c>
      <c r="K3723">
        <f t="shared" si="222"/>
        <v>0</v>
      </c>
      <c r="M3723" t="str" cm="1">
        <f t="array" ref="M3723">IFERROR(INDEX($I$2:$K$2,0,MATCH(TRUE,I3723:K3723,0)),E3723)</f>
        <v>Lignite</v>
      </c>
      <c r="O3723" t="str">
        <f t="shared" si="220"/>
        <v>Lignite_2029</v>
      </c>
      <c r="P3723">
        <f t="shared" si="221"/>
        <v>11</v>
      </c>
    </row>
    <row r="3724" spans="4:16" x14ac:dyDescent="0.25">
      <c r="D3724">
        <v>2030</v>
      </c>
      <c r="E3724" t="s">
        <v>396</v>
      </c>
      <c r="F3724" t="s">
        <v>404</v>
      </c>
      <c r="G3724">
        <v>11</v>
      </c>
      <c r="I3724">
        <f t="shared" si="222"/>
        <v>0</v>
      </c>
      <c r="J3724">
        <f t="shared" si="222"/>
        <v>0</v>
      </c>
      <c r="K3724">
        <f t="shared" si="222"/>
        <v>0</v>
      </c>
      <c r="M3724" t="str" cm="1">
        <f t="array" ref="M3724">IFERROR(INDEX($I$2:$K$2,0,MATCH(TRUE,I3724:K3724,0)),E3724)</f>
        <v>Lignite</v>
      </c>
      <c r="O3724" t="str">
        <f t="shared" si="220"/>
        <v>Lignite_2030</v>
      </c>
      <c r="P3724">
        <f t="shared" si="221"/>
        <v>11</v>
      </c>
    </row>
    <row r="3725" spans="4:16" x14ac:dyDescent="0.25">
      <c r="D3725">
        <v>2031</v>
      </c>
      <c r="E3725" t="s">
        <v>396</v>
      </c>
      <c r="F3725" t="s">
        <v>404</v>
      </c>
      <c r="G3725">
        <v>11</v>
      </c>
      <c r="I3725">
        <f t="shared" si="222"/>
        <v>0</v>
      </c>
      <c r="J3725">
        <f t="shared" si="222"/>
        <v>0</v>
      </c>
      <c r="K3725">
        <f t="shared" si="222"/>
        <v>0</v>
      </c>
      <c r="M3725" t="str" cm="1">
        <f t="array" ref="M3725">IFERROR(INDEX($I$2:$K$2,0,MATCH(TRUE,I3725:K3725,0)),E3725)</f>
        <v>Lignite</v>
      </c>
      <c r="O3725" t="str">
        <f t="shared" si="220"/>
        <v>Lignite_2031</v>
      </c>
      <c r="P3725">
        <f t="shared" si="221"/>
        <v>11</v>
      </c>
    </row>
    <row r="3726" spans="4:16" x14ac:dyDescent="0.25">
      <c r="D3726">
        <v>2032</v>
      </c>
      <c r="E3726" t="s">
        <v>396</v>
      </c>
      <c r="F3726" t="s">
        <v>404</v>
      </c>
      <c r="G3726">
        <v>11</v>
      </c>
      <c r="I3726">
        <f t="shared" si="222"/>
        <v>0</v>
      </c>
      <c r="J3726">
        <f t="shared" si="222"/>
        <v>0</v>
      </c>
      <c r="K3726">
        <f t="shared" si="222"/>
        <v>0</v>
      </c>
      <c r="M3726" t="str" cm="1">
        <f t="array" ref="M3726">IFERROR(INDEX($I$2:$K$2,0,MATCH(TRUE,I3726:K3726,0)),E3726)</f>
        <v>Lignite</v>
      </c>
      <c r="O3726" t="str">
        <f t="shared" si="220"/>
        <v>Lignite_2032</v>
      </c>
      <c r="P3726">
        <f t="shared" si="221"/>
        <v>11</v>
      </c>
    </row>
    <row r="3727" spans="4:16" x14ac:dyDescent="0.25">
      <c r="D3727">
        <v>2033</v>
      </c>
      <c r="E3727" t="s">
        <v>396</v>
      </c>
      <c r="F3727" t="s">
        <v>404</v>
      </c>
      <c r="G3727">
        <v>11</v>
      </c>
      <c r="I3727">
        <f t="shared" si="222"/>
        <v>0</v>
      </c>
      <c r="J3727">
        <f t="shared" si="222"/>
        <v>0</v>
      </c>
      <c r="K3727">
        <f t="shared" si="222"/>
        <v>0</v>
      </c>
      <c r="M3727" t="str" cm="1">
        <f t="array" ref="M3727">IFERROR(INDEX($I$2:$K$2,0,MATCH(TRUE,I3727:K3727,0)),E3727)</f>
        <v>Lignite</v>
      </c>
      <c r="O3727" t="str">
        <f t="shared" si="220"/>
        <v>Lignite_2033</v>
      </c>
      <c r="P3727">
        <f t="shared" si="221"/>
        <v>11</v>
      </c>
    </row>
    <row r="3728" spans="4:16" x14ac:dyDescent="0.25">
      <c r="D3728">
        <v>2034</v>
      </c>
      <c r="E3728" t="s">
        <v>396</v>
      </c>
      <c r="F3728" t="s">
        <v>404</v>
      </c>
      <c r="G3728">
        <v>11</v>
      </c>
      <c r="I3728">
        <f t="shared" si="222"/>
        <v>0</v>
      </c>
      <c r="J3728">
        <f t="shared" si="222"/>
        <v>0</v>
      </c>
      <c r="K3728">
        <f t="shared" si="222"/>
        <v>0</v>
      </c>
      <c r="M3728" t="str" cm="1">
        <f t="array" ref="M3728">IFERROR(INDEX($I$2:$K$2,0,MATCH(TRUE,I3728:K3728,0)),E3728)</f>
        <v>Lignite</v>
      </c>
      <c r="O3728" t="str">
        <f t="shared" si="220"/>
        <v>Lignite_2034</v>
      </c>
      <c r="P3728">
        <f t="shared" si="221"/>
        <v>11</v>
      </c>
    </row>
    <row r="3729" spans="4:16" x14ac:dyDescent="0.25">
      <c r="D3729">
        <v>2035</v>
      </c>
      <c r="E3729" t="s">
        <v>396</v>
      </c>
      <c r="F3729" t="s">
        <v>404</v>
      </c>
      <c r="G3729">
        <v>11</v>
      </c>
      <c r="I3729">
        <f t="shared" si="222"/>
        <v>0</v>
      </c>
      <c r="J3729">
        <f t="shared" si="222"/>
        <v>0</v>
      </c>
      <c r="K3729">
        <f t="shared" si="222"/>
        <v>0</v>
      </c>
      <c r="M3729" t="str" cm="1">
        <f t="array" ref="M3729">IFERROR(INDEX($I$2:$K$2,0,MATCH(TRUE,I3729:K3729,0)),E3729)</f>
        <v>Lignite</v>
      </c>
      <c r="O3729" t="str">
        <f t="shared" si="220"/>
        <v>Lignite_2035</v>
      </c>
      <c r="P3729">
        <f t="shared" si="221"/>
        <v>11</v>
      </c>
    </row>
    <row r="3730" spans="4:16" x14ac:dyDescent="0.25">
      <c r="D3730">
        <v>2036</v>
      </c>
      <c r="E3730" t="s">
        <v>396</v>
      </c>
      <c r="F3730" t="s">
        <v>404</v>
      </c>
      <c r="G3730">
        <v>11</v>
      </c>
      <c r="I3730">
        <f t="shared" si="222"/>
        <v>0</v>
      </c>
      <c r="J3730">
        <f t="shared" si="222"/>
        <v>0</v>
      </c>
      <c r="K3730">
        <f t="shared" si="222"/>
        <v>0</v>
      </c>
      <c r="M3730" t="str" cm="1">
        <f t="array" ref="M3730">IFERROR(INDEX($I$2:$K$2,0,MATCH(TRUE,I3730:K3730,0)),E3730)</f>
        <v>Lignite</v>
      </c>
      <c r="O3730" t="str">
        <f t="shared" si="220"/>
        <v>Lignite_2036</v>
      </c>
      <c r="P3730">
        <f t="shared" si="221"/>
        <v>11</v>
      </c>
    </row>
    <row r="3731" spans="4:16" x14ac:dyDescent="0.25">
      <c r="D3731">
        <v>2037</v>
      </c>
      <c r="E3731" t="s">
        <v>396</v>
      </c>
      <c r="F3731" t="s">
        <v>404</v>
      </c>
      <c r="G3731">
        <v>11</v>
      </c>
      <c r="I3731">
        <f t="shared" si="222"/>
        <v>0</v>
      </c>
      <c r="J3731">
        <f t="shared" si="222"/>
        <v>0</v>
      </c>
      <c r="K3731">
        <f t="shared" si="222"/>
        <v>0</v>
      </c>
      <c r="M3731" t="str" cm="1">
        <f t="array" ref="M3731">IFERROR(INDEX($I$2:$K$2,0,MATCH(TRUE,I3731:K3731,0)),E3731)</f>
        <v>Lignite</v>
      </c>
      <c r="O3731" t="str">
        <f t="shared" ref="O3731:O3794" si="223">M3731&amp;"_"&amp;D3731</f>
        <v>Lignite_2037</v>
      </c>
      <c r="P3731">
        <f t="shared" ref="P3731:P3794" si="224">G3731</f>
        <v>11</v>
      </c>
    </row>
    <row r="3732" spans="4:16" x14ac:dyDescent="0.25">
      <c r="D3732">
        <v>2038</v>
      </c>
      <c r="E3732" t="s">
        <v>396</v>
      </c>
      <c r="F3732" t="s">
        <v>404</v>
      </c>
      <c r="G3732">
        <v>11</v>
      </c>
      <c r="I3732">
        <f t="shared" si="222"/>
        <v>0</v>
      </c>
      <c r="J3732">
        <f t="shared" si="222"/>
        <v>0</v>
      </c>
      <c r="K3732">
        <f t="shared" si="222"/>
        <v>0</v>
      </c>
      <c r="M3732" t="str" cm="1">
        <f t="array" ref="M3732">IFERROR(INDEX($I$2:$K$2,0,MATCH(TRUE,I3732:K3732,0)),E3732)</f>
        <v>Lignite</v>
      </c>
      <c r="O3732" t="str">
        <f t="shared" si="223"/>
        <v>Lignite_2038</v>
      </c>
      <c r="P3732">
        <f t="shared" si="224"/>
        <v>11</v>
      </c>
    </row>
    <row r="3733" spans="4:16" x14ac:dyDescent="0.25">
      <c r="D3733">
        <v>2021</v>
      </c>
      <c r="E3733" t="s">
        <v>396</v>
      </c>
      <c r="F3733" t="s">
        <v>405</v>
      </c>
      <c r="G3733">
        <v>40</v>
      </c>
      <c r="I3733">
        <f t="shared" ref="I3733:K3796" si="225">IFERROR(FIND(I$2,$E3733,1)&gt;0,0)</f>
        <v>0</v>
      </c>
      <c r="J3733">
        <f t="shared" si="225"/>
        <v>0</v>
      </c>
      <c r="K3733">
        <f t="shared" si="225"/>
        <v>0</v>
      </c>
      <c r="M3733" t="str" cm="1">
        <f t="array" ref="M3733">IFERROR(INDEX($I$2:$K$2,0,MATCH(TRUE,I3733:K3733,0)),E3733)</f>
        <v>Lignite</v>
      </c>
      <c r="O3733" t="str">
        <f t="shared" si="223"/>
        <v>Lignite_2021</v>
      </c>
      <c r="P3733">
        <f t="shared" si="224"/>
        <v>40</v>
      </c>
    </row>
    <row r="3734" spans="4:16" x14ac:dyDescent="0.25">
      <c r="D3734">
        <v>2022</v>
      </c>
      <c r="E3734" t="s">
        <v>396</v>
      </c>
      <c r="F3734" t="s">
        <v>405</v>
      </c>
      <c r="G3734">
        <v>40</v>
      </c>
      <c r="I3734">
        <f t="shared" si="225"/>
        <v>0</v>
      </c>
      <c r="J3734">
        <f t="shared" si="225"/>
        <v>0</v>
      </c>
      <c r="K3734">
        <f t="shared" si="225"/>
        <v>0</v>
      </c>
      <c r="M3734" t="str" cm="1">
        <f t="array" ref="M3734">IFERROR(INDEX($I$2:$K$2,0,MATCH(TRUE,I3734:K3734,0)),E3734)</f>
        <v>Lignite</v>
      </c>
      <c r="O3734" t="str">
        <f t="shared" si="223"/>
        <v>Lignite_2022</v>
      </c>
      <c r="P3734">
        <f t="shared" si="224"/>
        <v>40</v>
      </c>
    </row>
    <row r="3735" spans="4:16" x14ac:dyDescent="0.25">
      <c r="D3735">
        <v>2023</v>
      </c>
      <c r="E3735" t="s">
        <v>396</v>
      </c>
      <c r="F3735" t="s">
        <v>405</v>
      </c>
      <c r="G3735">
        <v>40</v>
      </c>
      <c r="I3735">
        <f t="shared" si="225"/>
        <v>0</v>
      </c>
      <c r="J3735">
        <f t="shared" si="225"/>
        <v>0</v>
      </c>
      <c r="K3735">
        <f t="shared" si="225"/>
        <v>0</v>
      </c>
      <c r="M3735" t="str" cm="1">
        <f t="array" ref="M3735">IFERROR(INDEX($I$2:$K$2,0,MATCH(TRUE,I3735:K3735,0)),E3735)</f>
        <v>Lignite</v>
      </c>
      <c r="O3735" t="str">
        <f t="shared" si="223"/>
        <v>Lignite_2023</v>
      </c>
      <c r="P3735">
        <f t="shared" si="224"/>
        <v>40</v>
      </c>
    </row>
    <row r="3736" spans="4:16" x14ac:dyDescent="0.25">
      <c r="D3736">
        <v>2024</v>
      </c>
      <c r="E3736" t="s">
        <v>396</v>
      </c>
      <c r="F3736" t="s">
        <v>405</v>
      </c>
      <c r="G3736">
        <v>40</v>
      </c>
      <c r="I3736">
        <f t="shared" si="225"/>
        <v>0</v>
      </c>
      <c r="J3736">
        <f t="shared" si="225"/>
        <v>0</v>
      </c>
      <c r="K3736">
        <f t="shared" si="225"/>
        <v>0</v>
      </c>
      <c r="M3736" t="str" cm="1">
        <f t="array" ref="M3736">IFERROR(INDEX($I$2:$K$2,0,MATCH(TRUE,I3736:K3736,0)),E3736)</f>
        <v>Lignite</v>
      </c>
      <c r="O3736" t="str">
        <f t="shared" si="223"/>
        <v>Lignite_2024</v>
      </c>
      <c r="P3736">
        <f t="shared" si="224"/>
        <v>40</v>
      </c>
    </row>
    <row r="3737" spans="4:16" x14ac:dyDescent="0.25">
      <c r="D3737">
        <v>2025</v>
      </c>
      <c r="E3737" t="s">
        <v>396</v>
      </c>
      <c r="F3737" t="s">
        <v>405</v>
      </c>
      <c r="G3737">
        <v>40</v>
      </c>
      <c r="I3737">
        <f t="shared" si="225"/>
        <v>0</v>
      </c>
      <c r="J3737">
        <f t="shared" si="225"/>
        <v>0</v>
      </c>
      <c r="K3737">
        <f t="shared" si="225"/>
        <v>0</v>
      </c>
      <c r="M3737" t="str" cm="1">
        <f t="array" ref="M3737">IFERROR(INDEX($I$2:$K$2,0,MATCH(TRUE,I3737:K3737,0)),E3737)</f>
        <v>Lignite</v>
      </c>
      <c r="O3737" t="str">
        <f t="shared" si="223"/>
        <v>Lignite_2025</v>
      </c>
      <c r="P3737">
        <f t="shared" si="224"/>
        <v>40</v>
      </c>
    </row>
    <row r="3738" spans="4:16" x14ac:dyDescent="0.25">
      <c r="D3738">
        <v>2026</v>
      </c>
      <c r="E3738" t="s">
        <v>396</v>
      </c>
      <c r="F3738" t="s">
        <v>405</v>
      </c>
      <c r="G3738">
        <v>40</v>
      </c>
      <c r="I3738">
        <f t="shared" si="225"/>
        <v>0</v>
      </c>
      <c r="J3738">
        <f t="shared" si="225"/>
        <v>0</v>
      </c>
      <c r="K3738">
        <f t="shared" si="225"/>
        <v>0</v>
      </c>
      <c r="M3738" t="str" cm="1">
        <f t="array" ref="M3738">IFERROR(INDEX($I$2:$K$2,0,MATCH(TRUE,I3738:K3738,0)),E3738)</f>
        <v>Lignite</v>
      </c>
      <c r="O3738" t="str">
        <f t="shared" si="223"/>
        <v>Lignite_2026</v>
      </c>
      <c r="P3738">
        <f t="shared" si="224"/>
        <v>40</v>
      </c>
    </row>
    <row r="3739" spans="4:16" x14ac:dyDescent="0.25">
      <c r="D3739">
        <v>2027</v>
      </c>
      <c r="E3739" t="s">
        <v>396</v>
      </c>
      <c r="F3739" t="s">
        <v>405</v>
      </c>
      <c r="G3739">
        <v>40</v>
      </c>
      <c r="I3739">
        <f t="shared" si="225"/>
        <v>0</v>
      </c>
      <c r="J3739">
        <f t="shared" si="225"/>
        <v>0</v>
      </c>
      <c r="K3739">
        <f t="shared" si="225"/>
        <v>0</v>
      </c>
      <c r="M3739" t="str" cm="1">
        <f t="array" ref="M3739">IFERROR(INDEX($I$2:$K$2,0,MATCH(TRUE,I3739:K3739,0)),E3739)</f>
        <v>Lignite</v>
      </c>
      <c r="O3739" t="str">
        <f t="shared" si="223"/>
        <v>Lignite_2027</v>
      </c>
      <c r="P3739">
        <f t="shared" si="224"/>
        <v>40</v>
      </c>
    </row>
    <row r="3740" spans="4:16" x14ac:dyDescent="0.25">
      <c r="D3740">
        <v>2028</v>
      </c>
      <c r="E3740" t="s">
        <v>396</v>
      </c>
      <c r="F3740" t="s">
        <v>405</v>
      </c>
      <c r="G3740">
        <v>40</v>
      </c>
      <c r="I3740">
        <f t="shared" si="225"/>
        <v>0</v>
      </c>
      <c r="J3740">
        <f t="shared" si="225"/>
        <v>0</v>
      </c>
      <c r="K3740">
        <f t="shared" si="225"/>
        <v>0</v>
      </c>
      <c r="M3740" t="str" cm="1">
        <f t="array" ref="M3740">IFERROR(INDEX($I$2:$K$2,0,MATCH(TRUE,I3740:K3740,0)),E3740)</f>
        <v>Lignite</v>
      </c>
      <c r="O3740" t="str">
        <f t="shared" si="223"/>
        <v>Lignite_2028</v>
      </c>
      <c r="P3740">
        <f t="shared" si="224"/>
        <v>40</v>
      </c>
    </row>
    <row r="3741" spans="4:16" x14ac:dyDescent="0.25">
      <c r="D3741">
        <v>2029</v>
      </c>
      <c r="E3741" t="s">
        <v>396</v>
      </c>
      <c r="F3741" t="s">
        <v>405</v>
      </c>
      <c r="G3741">
        <v>40</v>
      </c>
      <c r="I3741">
        <f t="shared" si="225"/>
        <v>0</v>
      </c>
      <c r="J3741">
        <f t="shared" si="225"/>
        <v>0</v>
      </c>
      <c r="K3741">
        <f t="shared" si="225"/>
        <v>0</v>
      </c>
      <c r="M3741" t="str" cm="1">
        <f t="array" ref="M3741">IFERROR(INDEX($I$2:$K$2,0,MATCH(TRUE,I3741:K3741,0)),E3741)</f>
        <v>Lignite</v>
      </c>
      <c r="O3741" t="str">
        <f t="shared" si="223"/>
        <v>Lignite_2029</v>
      </c>
      <c r="P3741">
        <f t="shared" si="224"/>
        <v>40</v>
      </c>
    </row>
    <row r="3742" spans="4:16" x14ac:dyDescent="0.25">
      <c r="D3742">
        <v>2021</v>
      </c>
      <c r="E3742" t="s">
        <v>396</v>
      </c>
      <c r="F3742" t="s">
        <v>406</v>
      </c>
      <c r="G3742">
        <v>56.8</v>
      </c>
      <c r="I3742">
        <f t="shared" si="225"/>
        <v>0</v>
      </c>
      <c r="J3742">
        <f t="shared" si="225"/>
        <v>0</v>
      </c>
      <c r="K3742">
        <f t="shared" si="225"/>
        <v>0</v>
      </c>
      <c r="M3742" t="str" cm="1">
        <f t="array" ref="M3742">IFERROR(INDEX($I$2:$K$2,0,MATCH(TRUE,I3742:K3742,0)),E3742)</f>
        <v>Lignite</v>
      </c>
      <c r="O3742" t="str">
        <f t="shared" si="223"/>
        <v>Lignite_2021</v>
      </c>
      <c r="P3742">
        <f t="shared" si="224"/>
        <v>56.8</v>
      </c>
    </row>
    <row r="3743" spans="4:16" x14ac:dyDescent="0.25">
      <c r="D3743">
        <v>2021</v>
      </c>
      <c r="E3743" t="s">
        <v>396</v>
      </c>
      <c r="F3743" t="s">
        <v>407</v>
      </c>
      <c r="G3743">
        <v>90.8</v>
      </c>
      <c r="I3743">
        <f t="shared" si="225"/>
        <v>0</v>
      </c>
      <c r="J3743">
        <f t="shared" si="225"/>
        <v>0</v>
      </c>
      <c r="K3743">
        <f t="shared" si="225"/>
        <v>0</v>
      </c>
      <c r="M3743" t="str" cm="1">
        <f t="array" ref="M3743">IFERROR(INDEX($I$2:$K$2,0,MATCH(TRUE,I3743:K3743,0)),E3743)</f>
        <v>Lignite</v>
      </c>
      <c r="O3743" t="str">
        <f t="shared" si="223"/>
        <v>Lignite_2021</v>
      </c>
      <c r="P3743">
        <f t="shared" si="224"/>
        <v>90.8</v>
      </c>
    </row>
    <row r="3744" spans="4:16" x14ac:dyDescent="0.25">
      <c r="D3744">
        <v>2022</v>
      </c>
      <c r="E3744" t="s">
        <v>396</v>
      </c>
      <c r="F3744" t="s">
        <v>407</v>
      </c>
      <c r="G3744">
        <v>90.8</v>
      </c>
      <c r="I3744">
        <f t="shared" si="225"/>
        <v>0</v>
      </c>
      <c r="J3744">
        <f t="shared" si="225"/>
        <v>0</v>
      </c>
      <c r="K3744">
        <f t="shared" si="225"/>
        <v>0</v>
      </c>
      <c r="M3744" t="str" cm="1">
        <f t="array" ref="M3744">IFERROR(INDEX($I$2:$K$2,0,MATCH(TRUE,I3744:K3744,0)),E3744)</f>
        <v>Lignite</v>
      </c>
      <c r="O3744" t="str">
        <f t="shared" si="223"/>
        <v>Lignite_2022</v>
      </c>
      <c r="P3744">
        <f t="shared" si="224"/>
        <v>90.8</v>
      </c>
    </row>
    <row r="3745" spans="4:16" x14ac:dyDescent="0.25">
      <c r="D3745">
        <v>2023</v>
      </c>
      <c r="E3745" t="s">
        <v>396</v>
      </c>
      <c r="F3745" t="s">
        <v>407</v>
      </c>
      <c r="G3745">
        <v>90.8</v>
      </c>
      <c r="I3745">
        <f t="shared" si="225"/>
        <v>0</v>
      </c>
      <c r="J3745">
        <f t="shared" si="225"/>
        <v>0</v>
      </c>
      <c r="K3745">
        <f t="shared" si="225"/>
        <v>0</v>
      </c>
      <c r="M3745" t="str" cm="1">
        <f t="array" ref="M3745">IFERROR(INDEX($I$2:$K$2,0,MATCH(TRUE,I3745:K3745,0)),E3745)</f>
        <v>Lignite</v>
      </c>
      <c r="O3745" t="str">
        <f t="shared" si="223"/>
        <v>Lignite_2023</v>
      </c>
      <c r="P3745">
        <f t="shared" si="224"/>
        <v>90.8</v>
      </c>
    </row>
    <row r="3746" spans="4:16" x14ac:dyDescent="0.25">
      <c r="D3746">
        <v>2024</v>
      </c>
      <c r="E3746" t="s">
        <v>396</v>
      </c>
      <c r="F3746" t="s">
        <v>407</v>
      </c>
      <c r="G3746">
        <v>90.8</v>
      </c>
      <c r="I3746">
        <f t="shared" si="225"/>
        <v>0</v>
      </c>
      <c r="J3746">
        <f t="shared" si="225"/>
        <v>0</v>
      </c>
      <c r="K3746">
        <f t="shared" si="225"/>
        <v>0</v>
      </c>
      <c r="M3746" t="str" cm="1">
        <f t="array" ref="M3746">IFERROR(INDEX($I$2:$K$2,0,MATCH(TRUE,I3746:K3746,0)),E3746)</f>
        <v>Lignite</v>
      </c>
      <c r="O3746" t="str">
        <f t="shared" si="223"/>
        <v>Lignite_2024</v>
      </c>
      <c r="P3746">
        <f t="shared" si="224"/>
        <v>90.8</v>
      </c>
    </row>
    <row r="3747" spans="4:16" x14ac:dyDescent="0.25">
      <c r="D3747">
        <v>2025</v>
      </c>
      <c r="E3747" t="s">
        <v>396</v>
      </c>
      <c r="F3747" t="s">
        <v>407</v>
      </c>
      <c r="G3747">
        <v>90.8</v>
      </c>
      <c r="I3747">
        <f t="shared" si="225"/>
        <v>0</v>
      </c>
      <c r="J3747">
        <f t="shared" si="225"/>
        <v>0</v>
      </c>
      <c r="K3747">
        <f t="shared" si="225"/>
        <v>0</v>
      </c>
      <c r="M3747" t="str" cm="1">
        <f t="array" ref="M3747">IFERROR(INDEX($I$2:$K$2,0,MATCH(TRUE,I3747:K3747,0)),E3747)</f>
        <v>Lignite</v>
      </c>
      <c r="O3747" t="str">
        <f t="shared" si="223"/>
        <v>Lignite_2025</v>
      </c>
      <c r="P3747">
        <f t="shared" si="224"/>
        <v>90.8</v>
      </c>
    </row>
    <row r="3748" spans="4:16" x14ac:dyDescent="0.25">
      <c r="D3748">
        <v>2026</v>
      </c>
      <c r="E3748" t="s">
        <v>396</v>
      </c>
      <c r="F3748" t="s">
        <v>407</v>
      </c>
      <c r="G3748">
        <v>90.8</v>
      </c>
      <c r="I3748">
        <f t="shared" si="225"/>
        <v>0</v>
      </c>
      <c r="J3748">
        <f t="shared" si="225"/>
        <v>0</v>
      </c>
      <c r="K3748">
        <f t="shared" si="225"/>
        <v>0</v>
      </c>
      <c r="M3748" t="str" cm="1">
        <f t="array" ref="M3748">IFERROR(INDEX($I$2:$K$2,0,MATCH(TRUE,I3748:K3748,0)),E3748)</f>
        <v>Lignite</v>
      </c>
      <c r="O3748" t="str">
        <f t="shared" si="223"/>
        <v>Lignite_2026</v>
      </c>
      <c r="P3748">
        <f t="shared" si="224"/>
        <v>90.8</v>
      </c>
    </row>
    <row r="3749" spans="4:16" x14ac:dyDescent="0.25">
      <c r="D3749">
        <v>2027</v>
      </c>
      <c r="E3749" t="s">
        <v>396</v>
      </c>
      <c r="F3749" t="s">
        <v>407</v>
      </c>
      <c r="G3749">
        <v>90.8</v>
      </c>
      <c r="I3749">
        <f t="shared" si="225"/>
        <v>0</v>
      </c>
      <c r="J3749">
        <f t="shared" si="225"/>
        <v>0</v>
      </c>
      <c r="K3749">
        <f t="shared" si="225"/>
        <v>0</v>
      </c>
      <c r="M3749" t="str" cm="1">
        <f t="array" ref="M3749">IFERROR(INDEX($I$2:$K$2,0,MATCH(TRUE,I3749:K3749,0)),E3749)</f>
        <v>Lignite</v>
      </c>
      <c r="O3749" t="str">
        <f t="shared" si="223"/>
        <v>Lignite_2027</v>
      </c>
      <c r="P3749">
        <f t="shared" si="224"/>
        <v>90.8</v>
      </c>
    </row>
    <row r="3750" spans="4:16" x14ac:dyDescent="0.25">
      <c r="D3750">
        <v>2028</v>
      </c>
      <c r="E3750" t="s">
        <v>396</v>
      </c>
      <c r="F3750" t="s">
        <v>407</v>
      </c>
      <c r="G3750">
        <v>90.8</v>
      </c>
      <c r="I3750">
        <f t="shared" si="225"/>
        <v>0</v>
      </c>
      <c r="J3750">
        <f t="shared" si="225"/>
        <v>0</v>
      </c>
      <c r="K3750">
        <f t="shared" si="225"/>
        <v>0</v>
      </c>
      <c r="M3750" t="str" cm="1">
        <f t="array" ref="M3750">IFERROR(INDEX($I$2:$K$2,0,MATCH(TRUE,I3750:K3750,0)),E3750)</f>
        <v>Lignite</v>
      </c>
      <c r="O3750" t="str">
        <f t="shared" si="223"/>
        <v>Lignite_2028</v>
      </c>
      <c r="P3750">
        <f t="shared" si="224"/>
        <v>90.8</v>
      </c>
    </row>
    <row r="3751" spans="4:16" x14ac:dyDescent="0.25">
      <c r="D3751">
        <v>2029</v>
      </c>
      <c r="E3751" t="s">
        <v>396</v>
      </c>
      <c r="F3751" t="s">
        <v>407</v>
      </c>
      <c r="G3751">
        <v>90.8</v>
      </c>
      <c r="I3751">
        <f t="shared" si="225"/>
        <v>0</v>
      </c>
      <c r="J3751">
        <f t="shared" si="225"/>
        <v>0</v>
      </c>
      <c r="K3751">
        <f t="shared" si="225"/>
        <v>0</v>
      </c>
      <c r="M3751" t="str" cm="1">
        <f t="array" ref="M3751">IFERROR(INDEX($I$2:$K$2,0,MATCH(TRUE,I3751:K3751,0)),E3751)</f>
        <v>Lignite</v>
      </c>
      <c r="O3751" t="str">
        <f t="shared" si="223"/>
        <v>Lignite_2029</v>
      </c>
      <c r="P3751">
        <f t="shared" si="224"/>
        <v>90.8</v>
      </c>
    </row>
    <row r="3752" spans="4:16" x14ac:dyDescent="0.25">
      <c r="D3752">
        <v>2021</v>
      </c>
      <c r="E3752" t="s">
        <v>396</v>
      </c>
      <c r="F3752" t="s">
        <v>408</v>
      </c>
      <c r="G3752">
        <v>0</v>
      </c>
      <c r="I3752">
        <f t="shared" si="225"/>
        <v>0</v>
      </c>
      <c r="J3752">
        <f t="shared" si="225"/>
        <v>0</v>
      </c>
      <c r="K3752">
        <f t="shared" si="225"/>
        <v>0</v>
      </c>
      <c r="M3752" t="str" cm="1">
        <f t="array" ref="M3752">IFERROR(INDEX($I$2:$K$2,0,MATCH(TRUE,I3752:K3752,0)),E3752)</f>
        <v>Lignite</v>
      </c>
      <c r="O3752" t="str">
        <f t="shared" si="223"/>
        <v>Lignite_2021</v>
      </c>
      <c r="P3752">
        <f t="shared" si="224"/>
        <v>0</v>
      </c>
    </row>
    <row r="3753" spans="4:16" x14ac:dyDescent="0.25">
      <c r="D3753">
        <v>2021</v>
      </c>
      <c r="E3753" t="s">
        <v>396</v>
      </c>
      <c r="F3753" t="s">
        <v>409</v>
      </c>
      <c r="G3753">
        <v>75.3</v>
      </c>
      <c r="I3753">
        <f t="shared" si="225"/>
        <v>0</v>
      </c>
      <c r="J3753">
        <f t="shared" si="225"/>
        <v>0</v>
      </c>
      <c r="K3753">
        <f t="shared" si="225"/>
        <v>0</v>
      </c>
      <c r="M3753" t="str" cm="1">
        <f t="array" ref="M3753">IFERROR(INDEX($I$2:$K$2,0,MATCH(TRUE,I3753:K3753,0)),E3753)</f>
        <v>Lignite</v>
      </c>
      <c r="O3753" t="str">
        <f t="shared" si="223"/>
        <v>Lignite_2021</v>
      </c>
      <c r="P3753">
        <f t="shared" si="224"/>
        <v>75.3</v>
      </c>
    </row>
    <row r="3754" spans="4:16" x14ac:dyDescent="0.25">
      <c r="D3754">
        <v>2021</v>
      </c>
      <c r="E3754" t="s">
        <v>396</v>
      </c>
      <c r="F3754" t="s">
        <v>410</v>
      </c>
      <c r="G3754">
        <v>465</v>
      </c>
      <c r="I3754">
        <f t="shared" si="225"/>
        <v>0</v>
      </c>
      <c r="J3754">
        <f t="shared" si="225"/>
        <v>0</v>
      </c>
      <c r="K3754">
        <f t="shared" si="225"/>
        <v>0</v>
      </c>
      <c r="M3754" t="str" cm="1">
        <f t="array" ref="M3754">IFERROR(INDEX($I$2:$K$2,0,MATCH(TRUE,I3754:K3754,0)),E3754)</f>
        <v>Lignite</v>
      </c>
      <c r="O3754" t="str">
        <f t="shared" si="223"/>
        <v>Lignite_2021</v>
      </c>
      <c r="P3754">
        <f t="shared" si="224"/>
        <v>465</v>
      </c>
    </row>
    <row r="3755" spans="4:16" x14ac:dyDescent="0.25">
      <c r="D3755">
        <v>2022</v>
      </c>
      <c r="E3755" t="s">
        <v>396</v>
      </c>
      <c r="F3755" t="s">
        <v>410</v>
      </c>
      <c r="G3755">
        <v>465</v>
      </c>
      <c r="I3755">
        <f t="shared" si="225"/>
        <v>0</v>
      </c>
      <c r="J3755">
        <f t="shared" si="225"/>
        <v>0</v>
      </c>
      <c r="K3755">
        <f t="shared" si="225"/>
        <v>0</v>
      </c>
      <c r="M3755" t="str" cm="1">
        <f t="array" ref="M3755">IFERROR(INDEX($I$2:$K$2,0,MATCH(TRUE,I3755:K3755,0)),E3755)</f>
        <v>Lignite</v>
      </c>
      <c r="O3755" t="str">
        <f t="shared" si="223"/>
        <v>Lignite_2022</v>
      </c>
      <c r="P3755">
        <f t="shared" si="224"/>
        <v>465</v>
      </c>
    </row>
    <row r="3756" spans="4:16" x14ac:dyDescent="0.25">
      <c r="D3756">
        <v>2023</v>
      </c>
      <c r="E3756" t="s">
        <v>396</v>
      </c>
      <c r="F3756" t="s">
        <v>410</v>
      </c>
      <c r="G3756">
        <v>465</v>
      </c>
      <c r="I3756">
        <f t="shared" si="225"/>
        <v>0</v>
      </c>
      <c r="J3756">
        <f t="shared" si="225"/>
        <v>0</v>
      </c>
      <c r="K3756">
        <f t="shared" si="225"/>
        <v>0</v>
      </c>
      <c r="M3756" t="str" cm="1">
        <f t="array" ref="M3756">IFERROR(INDEX($I$2:$K$2,0,MATCH(TRUE,I3756:K3756,0)),E3756)</f>
        <v>Lignite</v>
      </c>
      <c r="O3756" t="str">
        <f t="shared" si="223"/>
        <v>Lignite_2023</v>
      </c>
      <c r="P3756">
        <f t="shared" si="224"/>
        <v>465</v>
      </c>
    </row>
    <row r="3757" spans="4:16" x14ac:dyDescent="0.25">
      <c r="D3757">
        <v>2024</v>
      </c>
      <c r="E3757" t="s">
        <v>396</v>
      </c>
      <c r="F3757" t="s">
        <v>410</v>
      </c>
      <c r="G3757">
        <v>465</v>
      </c>
      <c r="I3757">
        <f t="shared" si="225"/>
        <v>0</v>
      </c>
      <c r="J3757">
        <f t="shared" si="225"/>
        <v>0</v>
      </c>
      <c r="K3757">
        <f t="shared" si="225"/>
        <v>0</v>
      </c>
      <c r="M3757" t="str" cm="1">
        <f t="array" ref="M3757">IFERROR(INDEX($I$2:$K$2,0,MATCH(TRUE,I3757:K3757,0)),E3757)</f>
        <v>Lignite</v>
      </c>
      <c r="O3757" t="str">
        <f t="shared" si="223"/>
        <v>Lignite_2024</v>
      </c>
      <c r="P3757">
        <f t="shared" si="224"/>
        <v>465</v>
      </c>
    </row>
    <row r="3758" spans="4:16" x14ac:dyDescent="0.25">
      <c r="D3758">
        <v>2025</v>
      </c>
      <c r="E3758" t="s">
        <v>396</v>
      </c>
      <c r="F3758" t="s">
        <v>410</v>
      </c>
      <c r="G3758">
        <v>465</v>
      </c>
      <c r="I3758">
        <f t="shared" si="225"/>
        <v>0</v>
      </c>
      <c r="J3758">
        <f t="shared" si="225"/>
        <v>0</v>
      </c>
      <c r="K3758">
        <f t="shared" si="225"/>
        <v>0</v>
      </c>
      <c r="M3758" t="str" cm="1">
        <f t="array" ref="M3758">IFERROR(INDEX($I$2:$K$2,0,MATCH(TRUE,I3758:K3758,0)),E3758)</f>
        <v>Lignite</v>
      </c>
      <c r="O3758" t="str">
        <f t="shared" si="223"/>
        <v>Lignite_2025</v>
      </c>
      <c r="P3758">
        <f t="shared" si="224"/>
        <v>465</v>
      </c>
    </row>
    <row r="3759" spans="4:16" x14ac:dyDescent="0.25">
      <c r="D3759">
        <v>2021</v>
      </c>
      <c r="E3759" t="s">
        <v>396</v>
      </c>
      <c r="F3759" t="s">
        <v>411</v>
      </c>
      <c r="G3759">
        <v>465</v>
      </c>
      <c r="I3759">
        <f t="shared" si="225"/>
        <v>0</v>
      </c>
      <c r="J3759">
        <f t="shared" si="225"/>
        <v>0</v>
      </c>
      <c r="K3759">
        <f t="shared" si="225"/>
        <v>0</v>
      </c>
      <c r="M3759" t="str" cm="1">
        <f t="array" ref="M3759">IFERROR(INDEX($I$2:$K$2,0,MATCH(TRUE,I3759:K3759,0)),E3759)</f>
        <v>Lignite</v>
      </c>
      <c r="O3759" t="str">
        <f t="shared" si="223"/>
        <v>Lignite_2021</v>
      </c>
      <c r="P3759">
        <f t="shared" si="224"/>
        <v>465</v>
      </c>
    </row>
    <row r="3760" spans="4:16" x14ac:dyDescent="0.25">
      <c r="D3760">
        <v>2022</v>
      </c>
      <c r="E3760" t="s">
        <v>396</v>
      </c>
      <c r="F3760" t="s">
        <v>411</v>
      </c>
      <c r="G3760">
        <v>465</v>
      </c>
      <c r="I3760">
        <f t="shared" si="225"/>
        <v>0</v>
      </c>
      <c r="J3760">
        <f t="shared" si="225"/>
        <v>0</v>
      </c>
      <c r="K3760">
        <f t="shared" si="225"/>
        <v>0</v>
      </c>
      <c r="M3760" t="str" cm="1">
        <f t="array" ref="M3760">IFERROR(INDEX($I$2:$K$2,0,MATCH(TRUE,I3760:K3760,0)),E3760)</f>
        <v>Lignite</v>
      </c>
      <c r="O3760" t="str">
        <f t="shared" si="223"/>
        <v>Lignite_2022</v>
      </c>
      <c r="P3760">
        <f t="shared" si="224"/>
        <v>465</v>
      </c>
    </row>
    <row r="3761" spans="4:16" x14ac:dyDescent="0.25">
      <c r="D3761">
        <v>2023</v>
      </c>
      <c r="E3761" t="s">
        <v>396</v>
      </c>
      <c r="F3761" t="s">
        <v>411</v>
      </c>
      <c r="G3761">
        <v>465</v>
      </c>
      <c r="I3761">
        <f t="shared" si="225"/>
        <v>0</v>
      </c>
      <c r="J3761">
        <f t="shared" si="225"/>
        <v>0</v>
      </c>
      <c r="K3761">
        <f t="shared" si="225"/>
        <v>0</v>
      </c>
      <c r="M3761" t="str" cm="1">
        <f t="array" ref="M3761">IFERROR(INDEX($I$2:$K$2,0,MATCH(TRUE,I3761:K3761,0)),E3761)</f>
        <v>Lignite</v>
      </c>
      <c r="O3761" t="str">
        <f t="shared" si="223"/>
        <v>Lignite_2023</v>
      </c>
      <c r="P3761">
        <f t="shared" si="224"/>
        <v>465</v>
      </c>
    </row>
    <row r="3762" spans="4:16" x14ac:dyDescent="0.25">
      <c r="D3762">
        <v>2024</v>
      </c>
      <c r="E3762" t="s">
        <v>396</v>
      </c>
      <c r="F3762" t="s">
        <v>411</v>
      </c>
      <c r="G3762">
        <v>465</v>
      </c>
      <c r="I3762">
        <f t="shared" si="225"/>
        <v>0</v>
      </c>
      <c r="J3762">
        <f t="shared" si="225"/>
        <v>0</v>
      </c>
      <c r="K3762">
        <f t="shared" si="225"/>
        <v>0</v>
      </c>
      <c r="M3762" t="str" cm="1">
        <f t="array" ref="M3762">IFERROR(INDEX($I$2:$K$2,0,MATCH(TRUE,I3762:K3762,0)),E3762)</f>
        <v>Lignite</v>
      </c>
      <c r="O3762" t="str">
        <f t="shared" si="223"/>
        <v>Lignite_2024</v>
      </c>
      <c r="P3762">
        <f t="shared" si="224"/>
        <v>465</v>
      </c>
    </row>
    <row r="3763" spans="4:16" x14ac:dyDescent="0.25">
      <c r="D3763">
        <v>2025</v>
      </c>
      <c r="E3763" t="s">
        <v>396</v>
      </c>
      <c r="F3763" t="s">
        <v>411</v>
      </c>
      <c r="G3763">
        <v>465</v>
      </c>
      <c r="I3763">
        <f t="shared" si="225"/>
        <v>0</v>
      </c>
      <c r="J3763">
        <f t="shared" si="225"/>
        <v>0</v>
      </c>
      <c r="K3763">
        <f t="shared" si="225"/>
        <v>0</v>
      </c>
      <c r="M3763" t="str" cm="1">
        <f t="array" ref="M3763">IFERROR(INDEX($I$2:$K$2,0,MATCH(TRUE,I3763:K3763,0)),E3763)</f>
        <v>Lignite</v>
      </c>
      <c r="O3763" t="str">
        <f t="shared" si="223"/>
        <v>Lignite_2025</v>
      </c>
      <c r="P3763">
        <f t="shared" si="224"/>
        <v>465</v>
      </c>
    </row>
    <row r="3764" spans="4:16" x14ac:dyDescent="0.25">
      <c r="D3764">
        <v>2026</v>
      </c>
      <c r="E3764" t="s">
        <v>396</v>
      </c>
      <c r="F3764" t="s">
        <v>411</v>
      </c>
      <c r="G3764">
        <v>465</v>
      </c>
      <c r="I3764">
        <f t="shared" si="225"/>
        <v>0</v>
      </c>
      <c r="J3764">
        <f t="shared" si="225"/>
        <v>0</v>
      </c>
      <c r="K3764">
        <f t="shared" si="225"/>
        <v>0</v>
      </c>
      <c r="M3764" t="str" cm="1">
        <f t="array" ref="M3764">IFERROR(INDEX($I$2:$K$2,0,MATCH(TRUE,I3764:K3764,0)),E3764)</f>
        <v>Lignite</v>
      </c>
      <c r="O3764" t="str">
        <f t="shared" si="223"/>
        <v>Lignite_2026</v>
      </c>
      <c r="P3764">
        <f t="shared" si="224"/>
        <v>465</v>
      </c>
    </row>
    <row r="3765" spans="4:16" x14ac:dyDescent="0.25">
      <c r="D3765">
        <v>2027</v>
      </c>
      <c r="E3765" t="s">
        <v>396</v>
      </c>
      <c r="F3765" t="s">
        <v>411</v>
      </c>
      <c r="G3765">
        <v>465</v>
      </c>
      <c r="I3765">
        <f t="shared" si="225"/>
        <v>0</v>
      </c>
      <c r="J3765">
        <f t="shared" si="225"/>
        <v>0</v>
      </c>
      <c r="K3765">
        <f t="shared" si="225"/>
        <v>0</v>
      </c>
      <c r="M3765" t="str" cm="1">
        <f t="array" ref="M3765">IFERROR(INDEX($I$2:$K$2,0,MATCH(TRUE,I3765:K3765,0)),E3765)</f>
        <v>Lignite</v>
      </c>
      <c r="O3765" t="str">
        <f t="shared" si="223"/>
        <v>Lignite_2027</v>
      </c>
      <c r="P3765">
        <f t="shared" si="224"/>
        <v>465</v>
      </c>
    </row>
    <row r="3766" spans="4:16" x14ac:dyDescent="0.25">
      <c r="D3766">
        <v>2021</v>
      </c>
      <c r="E3766" t="s">
        <v>396</v>
      </c>
      <c r="F3766" t="s">
        <v>412</v>
      </c>
      <c r="G3766">
        <v>465</v>
      </c>
      <c r="I3766">
        <f t="shared" si="225"/>
        <v>0</v>
      </c>
      <c r="J3766">
        <f t="shared" si="225"/>
        <v>0</v>
      </c>
      <c r="K3766">
        <f t="shared" si="225"/>
        <v>0</v>
      </c>
      <c r="M3766" t="str" cm="1">
        <f t="array" ref="M3766">IFERROR(INDEX($I$2:$K$2,0,MATCH(TRUE,I3766:K3766,0)),E3766)</f>
        <v>Lignite</v>
      </c>
      <c r="O3766" t="str">
        <f t="shared" si="223"/>
        <v>Lignite_2021</v>
      </c>
      <c r="P3766">
        <f t="shared" si="224"/>
        <v>465</v>
      </c>
    </row>
    <row r="3767" spans="4:16" x14ac:dyDescent="0.25">
      <c r="D3767">
        <v>2022</v>
      </c>
      <c r="E3767" t="s">
        <v>396</v>
      </c>
      <c r="F3767" t="s">
        <v>412</v>
      </c>
      <c r="G3767">
        <v>465</v>
      </c>
      <c r="I3767">
        <f t="shared" si="225"/>
        <v>0</v>
      </c>
      <c r="J3767">
        <f t="shared" si="225"/>
        <v>0</v>
      </c>
      <c r="K3767">
        <f t="shared" si="225"/>
        <v>0</v>
      </c>
      <c r="M3767" t="str" cm="1">
        <f t="array" ref="M3767">IFERROR(INDEX($I$2:$K$2,0,MATCH(TRUE,I3767:K3767,0)),E3767)</f>
        <v>Lignite</v>
      </c>
      <c r="O3767" t="str">
        <f t="shared" si="223"/>
        <v>Lignite_2022</v>
      </c>
      <c r="P3767">
        <f t="shared" si="224"/>
        <v>465</v>
      </c>
    </row>
    <row r="3768" spans="4:16" x14ac:dyDescent="0.25">
      <c r="D3768">
        <v>2023</v>
      </c>
      <c r="E3768" t="s">
        <v>396</v>
      </c>
      <c r="F3768" t="s">
        <v>412</v>
      </c>
      <c r="G3768">
        <v>465</v>
      </c>
      <c r="I3768">
        <f t="shared" si="225"/>
        <v>0</v>
      </c>
      <c r="J3768">
        <f t="shared" si="225"/>
        <v>0</v>
      </c>
      <c r="K3768">
        <f t="shared" si="225"/>
        <v>0</v>
      </c>
      <c r="M3768" t="str" cm="1">
        <f t="array" ref="M3768">IFERROR(INDEX($I$2:$K$2,0,MATCH(TRUE,I3768:K3768,0)),E3768)</f>
        <v>Lignite</v>
      </c>
      <c r="O3768" t="str">
        <f t="shared" si="223"/>
        <v>Lignite_2023</v>
      </c>
      <c r="P3768">
        <f t="shared" si="224"/>
        <v>465</v>
      </c>
    </row>
    <row r="3769" spans="4:16" x14ac:dyDescent="0.25">
      <c r="D3769">
        <v>2024</v>
      </c>
      <c r="E3769" t="s">
        <v>396</v>
      </c>
      <c r="F3769" t="s">
        <v>412</v>
      </c>
      <c r="G3769">
        <v>465</v>
      </c>
      <c r="I3769">
        <f t="shared" si="225"/>
        <v>0</v>
      </c>
      <c r="J3769">
        <f t="shared" si="225"/>
        <v>0</v>
      </c>
      <c r="K3769">
        <f t="shared" si="225"/>
        <v>0</v>
      </c>
      <c r="M3769" t="str" cm="1">
        <f t="array" ref="M3769">IFERROR(INDEX($I$2:$K$2,0,MATCH(TRUE,I3769:K3769,0)),E3769)</f>
        <v>Lignite</v>
      </c>
      <c r="O3769" t="str">
        <f t="shared" si="223"/>
        <v>Lignite_2024</v>
      </c>
      <c r="P3769">
        <f t="shared" si="224"/>
        <v>465</v>
      </c>
    </row>
    <row r="3770" spans="4:16" x14ac:dyDescent="0.25">
      <c r="D3770">
        <v>2025</v>
      </c>
      <c r="E3770" t="s">
        <v>396</v>
      </c>
      <c r="F3770" t="s">
        <v>412</v>
      </c>
      <c r="G3770">
        <v>465</v>
      </c>
      <c r="I3770">
        <f t="shared" si="225"/>
        <v>0</v>
      </c>
      <c r="J3770">
        <f t="shared" si="225"/>
        <v>0</v>
      </c>
      <c r="K3770">
        <f t="shared" si="225"/>
        <v>0</v>
      </c>
      <c r="M3770" t="str" cm="1">
        <f t="array" ref="M3770">IFERROR(INDEX($I$2:$K$2,0,MATCH(TRUE,I3770:K3770,0)),E3770)</f>
        <v>Lignite</v>
      </c>
      <c r="O3770" t="str">
        <f t="shared" si="223"/>
        <v>Lignite_2025</v>
      </c>
      <c r="P3770">
        <f t="shared" si="224"/>
        <v>465</v>
      </c>
    </row>
    <row r="3771" spans="4:16" x14ac:dyDescent="0.25">
      <c r="D3771">
        <v>2026</v>
      </c>
      <c r="E3771" t="s">
        <v>396</v>
      </c>
      <c r="F3771" t="s">
        <v>412</v>
      </c>
      <c r="G3771">
        <v>465</v>
      </c>
      <c r="I3771">
        <f t="shared" si="225"/>
        <v>0</v>
      </c>
      <c r="J3771">
        <f t="shared" si="225"/>
        <v>0</v>
      </c>
      <c r="K3771">
        <f t="shared" si="225"/>
        <v>0</v>
      </c>
      <c r="M3771" t="str" cm="1">
        <f t="array" ref="M3771">IFERROR(INDEX($I$2:$K$2,0,MATCH(TRUE,I3771:K3771,0)),E3771)</f>
        <v>Lignite</v>
      </c>
      <c r="O3771" t="str">
        <f t="shared" si="223"/>
        <v>Lignite_2026</v>
      </c>
      <c r="P3771">
        <f t="shared" si="224"/>
        <v>465</v>
      </c>
    </row>
    <row r="3772" spans="4:16" x14ac:dyDescent="0.25">
      <c r="D3772">
        <v>2027</v>
      </c>
      <c r="E3772" t="s">
        <v>396</v>
      </c>
      <c r="F3772" t="s">
        <v>412</v>
      </c>
      <c r="G3772">
        <v>465</v>
      </c>
      <c r="I3772">
        <f t="shared" si="225"/>
        <v>0</v>
      </c>
      <c r="J3772">
        <f t="shared" si="225"/>
        <v>0</v>
      </c>
      <c r="K3772">
        <f t="shared" si="225"/>
        <v>0</v>
      </c>
      <c r="M3772" t="str" cm="1">
        <f t="array" ref="M3772">IFERROR(INDEX($I$2:$K$2,0,MATCH(TRUE,I3772:K3772,0)),E3772)</f>
        <v>Lignite</v>
      </c>
      <c r="O3772" t="str">
        <f t="shared" si="223"/>
        <v>Lignite_2027</v>
      </c>
      <c r="P3772">
        <f t="shared" si="224"/>
        <v>465</v>
      </c>
    </row>
    <row r="3773" spans="4:16" x14ac:dyDescent="0.25">
      <c r="D3773">
        <v>2028</v>
      </c>
      <c r="E3773" t="s">
        <v>396</v>
      </c>
      <c r="F3773" t="s">
        <v>412</v>
      </c>
      <c r="G3773">
        <v>465</v>
      </c>
      <c r="I3773">
        <f t="shared" si="225"/>
        <v>0</v>
      </c>
      <c r="J3773">
        <f t="shared" si="225"/>
        <v>0</v>
      </c>
      <c r="K3773">
        <f t="shared" si="225"/>
        <v>0</v>
      </c>
      <c r="M3773" t="str" cm="1">
        <f t="array" ref="M3773">IFERROR(INDEX($I$2:$K$2,0,MATCH(TRUE,I3773:K3773,0)),E3773)</f>
        <v>Lignite</v>
      </c>
      <c r="O3773" t="str">
        <f t="shared" si="223"/>
        <v>Lignite_2028</v>
      </c>
      <c r="P3773">
        <f t="shared" si="224"/>
        <v>465</v>
      </c>
    </row>
    <row r="3774" spans="4:16" x14ac:dyDescent="0.25">
      <c r="D3774">
        <v>2021</v>
      </c>
      <c r="E3774" t="s">
        <v>396</v>
      </c>
      <c r="F3774" t="s">
        <v>413</v>
      </c>
      <c r="G3774">
        <v>465</v>
      </c>
      <c r="I3774">
        <f t="shared" si="225"/>
        <v>0</v>
      </c>
      <c r="J3774">
        <f t="shared" si="225"/>
        <v>0</v>
      </c>
      <c r="K3774">
        <f t="shared" si="225"/>
        <v>0</v>
      </c>
      <c r="M3774" t="str" cm="1">
        <f t="array" ref="M3774">IFERROR(INDEX($I$2:$K$2,0,MATCH(TRUE,I3774:K3774,0)),E3774)</f>
        <v>Lignite</v>
      </c>
      <c r="O3774" t="str">
        <f t="shared" si="223"/>
        <v>Lignite_2021</v>
      </c>
      <c r="P3774">
        <f t="shared" si="224"/>
        <v>465</v>
      </c>
    </row>
    <row r="3775" spans="4:16" x14ac:dyDescent="0.25">
      <c r="D3775">
        <v>2022</v>
      </c>
      <c r="E3775" t="s">
        <v>396</v>
      </c>
      <c r="F3775" t="s">
        <v>413</v>
      </c>
      <c r="G3775">
        <v>465</v>
      </c>
      <c r="I3775">
        <f t="shared" si="225"/>
        <v>0</v>
      </c>
      <c r="J3775">
        <f t="shared" si="225"/>
        <v>0</v>
      </c>
      <c r="K3775">
        <f t="shared" si="225"/>
        <v>0</v>
      </c>
      <c r="M3775" t="str" cm="1">
        <f t="array" ref="M3775">IFERROR(INDEX($I$2:$K$2,0,MATCH(TRUE,I3775:K3775,0)),E3775)</f>
        <v>Lignite</v>
      </c>
      <c r="O3775" t="str">
        <f t="shared" si="223"/>
        <v>Lignite_2022</v>
      </c>
      <c r="P3775">
        <f t="shared" si="224"/>
        <v>465</v>
      </c>
    </row>
    <row r="3776" spans="4:16" x14ac:dyDescent="0.25">
      <c r="D3776">
        <v>2023</v>
      </c>
      <c r="E3776" t="s">
        <v>396</v>
      </c>
      <c r="F3776" t="s">
        <v>413</v>
      </c>
      <c r="G3776">
        <v>465</v>
      </c>
      <c r="I3776">
        <f t="shared" si="225"/>
        <v>0</v>
      </c>
      <c r="J3776">
        <f t="shared" si="225"/>
        <v>0</v>
      </c>
      <c r="K3776">
        <f t="shared" si="225"/>
        <v>0</v>
      </c>
      <c r="M3776" t="str" cm="1">
        <f t="array" ref="M3776">IFERROR(INDEX($I$2:$K$2,0,MATCH(TRUE,I3776:K3776,0)),E3776)</f>
        <v>Lignite</v>
      </c>
      <c r="O3776" t="str">
        <f t="shared" si="223"/>
        <v>Lignite_2023</v>
      </c>
      <c r="P3776">
        <f t="shared" si="224"/>
        <v>465</v>
      </c>
    </row>
    <row r="3777" spans="4:16" x14ac:dyDescent="0.25">
      <c r="D3777">
        <v>2024</v>
      </c>
      <c r="E3777" t="s">
        <v>396</v>
      </c>
      <c r="F3777" t="s">
        <v>413</v>
      </c>
      <c r="G3777">
        <v>465</v>
      </c>
      <c r="I3777">
        <f t="shared" si="225"/>
        <v>0</v>
      </c>
      <c r="J3777">
        <f t="shared" si="225"/>
        <v>0</v>
      </c>
      <c r="K3777">
        <f t="shared" si="225"/>
        <v>0</v>
      </c>
      <c r="M3777" t="str" cm="1">
        <f t="array" ref="M3777">IFERROR(INDEX($I$2:$K$2,0,MATCH(TRUE,I3777:K3777,0)),E3777)</f>
        <v>Lignite</v>
      </c>
      <c r="O3777" t="str">
        <f t="shared" si="223"/>
        <v>Lignite_2024</v>
      </c>
      <c r="P3777">
        <f t="shared" si="224"/>
        <v>465</v>
      </c>
    </row>
    <row r="3778" spans="4:16" x14ac:dyDescent="0.25">
      <c r="D3778">
        <v>2025</v>
      </c>
      <c r="E3778" t="s">
        <v>396</v>
      </c>
      <c r="F3778" t="s">
        <v>413</v>
      </c>
      <c r="G3778">
        <v>465</v>
      </c>
      <c r="I3778">
        <f t="shared" si="225"/>
        <v>0</v>
      </c>
      <c r="J3778">
        <f t="shared" si="225"/>
        <v>0</v>
      </c>
      <c r="K3778">
        <f t="shared" si="225"/>
        <v>0</v>
      </c>
      <c r="M3778" t="str" cm="1">
        <f t="array" ref="M3778">IFERROR(INDEX($I$2:$K$2,0,MATCH(TRUE,I3778:K3778,0)),E3778)</f>
        <v>Lignite</v>
      </c>
      <c r="O3778" t="str">
        <f t="shared" si="223"/>
        <v>Lignite_2025</v>
      </c>
      <c r="P3778">
        <f t="shared" si="224"/>
        <v>465</v>
      </c>
    </row>
    <row r="3779" spans="4:16" x14ac:dyDescent="0.25">
      <c r="D3779">
        <v>2026</v>
      </c>
      <c r="E3779" t="s">
        <v>396</v>
      </c>
      <c r="F3779" t="s">
        <v>413</v>
      </c>
      <c r="G3779">
        <v>465</v>
      </c>
      <c r="I3779">
        <f t="shared" si="225"/>
        <v>0</v>
      </c>
      <c r="J3779">
        <f t="shared" si="225"/>
        <v>0</v>
      </c>
      <c r="K3779">
        <f t="shared" si="225"/>
        <v>0</v>
      </c>
      <c r="M3779" t="str" cm="1">
        <f t="array" ref="M3779">IFERROR(INDEX($I$2:$K$2,0,MATCH(TRUE,I3779:K3779,0)),E3779)</f>
        <v>Lignite</v>
      </c>
      <c r="O3779" t="str">
        <f t="shared" si="223"/>
        <v>Lignite_2026</v>
      </c>
      <c r="P3779">
        <f t="shared" si="224"/>
        <v>465</v>
      </c>
    </row>
    <row r="3780" spans="4:16" x14ac:dyDescent="0.25">
      <c r="D3780">
        <v>2027</v>
      </c>
      <c r="E3780" t="s">
        <v>396</v>
      </c>
      <c r="F3780" t="s">
        <v>413</v>
      </c>
      <c r="G3780">
        <v>465</v>
      </c>
      <c r="I3780">
        <f t="shared" si="225"/>
        <v>0</v>
      </c>
      <c r="J3780">
        <f t="shared" si="225"/>
        <v>0</v>
      </c>
      <c r="K3780">
        <f t="shared" si="225"/>
        <v>0</v>
      </c>
      <c r="M3780" t="str" cm="1">
        <f t="array" ref="M3780">IFERROR(INDEX($I$2:$K$2,0,MATCH(TRUE,I3780:K3780,0)),E3780)</f>
        <v>Lignite</v>
      </c>
      <c r="O3780" t="str">
        <f t="shared" si="223"/>
        <v>Lignite_2027</v>
      </c>
      <c r="P3780">
        <f t="shared" si="224"/>
        <v>465</v>
      </c>
    </row>
    <row r="3781" spans="4:16" x14ac:dyDescent="0.25">
      <c r="D3781">
        <v>2028</v>
      </c>
      <c r="E3781" t="s">
        <v>396</v>
      </c>
      <c r="F3781" t="s">
        <v>413</v>
      </c>
      <c r="G3781">
        <v>465</v>
      </c>
      <c r="I3781">
        <f t="shared" si="225"/>
        <v>0</v>
      </c>
      <c r="J3781">
        <f t="shared" si="225"/>
        <v>0</v>
      </c>
      <c r="K3781">
        <f t="shared" si="225"/>
        <v>0</v>
      </c>
      <c r="M3781" t="str" cm="1">
        <f t="array" ref="M3781">IFERROR(INDEX($I$2:$K$2,0,MATCH(TRUE,I3781:K3781,0)),E3781)</f>
        <v>Lignite</v>
      </c>
      <c r="O3781" t="str">
        <f t="shared" si="223"/>
        <v>Lignite_2028</v>
      </c>
      <c r="P3781">
        <f t="shared" si="224"/>
        <v>465</v>
      </c>
    </row>
    <row r="3782" spans="4:16" x14ac:dyDescent="0.25">
      <c r="D3782">
        <v>2021</v>
      </c>
      <c r="E3782" t="s">
        <v>396</v>
      </c>
      <c r="F3782" t="s">
        <v>414</v>
      </c>
      <c r="G3782">
        <v>32.9</v>
      </c>
      <c r="I3782">
        <f t="shared" si="225"/>
        <v>0</v>
      </c>
      <c r="J3782">
        <f t="shared" si="225"/>
        <v>0</v>
      </c>
      <c r="K3782">
        <f t="shared" si="225"/>
        <v>0</v>
      </c>
      <c r="M3782" t="str" cm="1">
        <f t="array" ref="M3782">IFERROR(INDEX($I$2:$K$2,0,MATCH(TRUE,I3782:K3782,0)),E3782)</f>
        <v>Lignite</v>
      </c>
      <c r="O3782" t="str">
        <f t="shared" si="223"/>
        <v>Lignite_2021</v>
      </c>
      <c r="P3782">
        <f t="shared" si="224"/>
        <v>32.9</v>
      </c>
    </row>
    <row r="3783" spans="4:16" x14ac:dyDescent="0.25">
      <c r="D3783">
        <v>2022</v>
      </c>
      <c r="E3783" t="s">
        <v>396</v>
      </c>
      <c r="F3783" t="s">
        <v>414</v>
      </c>
      <c r="G3783">
        <v>32.9</v>
      </c>
      <c r="I3783">
        <f t="shared" si="225"/>
        <v>0</v>
      </c>
      <c r="J3783">
        <f t="shared" si="225"/>
        <v>0</v>
      </c>
      <c r="K3783">
        <f t="shared" si="225"/>
        <v>0</v>
      </c>
      <c r="M3783" t="str" cm="1">
        <f t="array" ref="M3783">IFERROR(INDEX($I$2:$K$2,0,MATCH(TRUE,I3783:K3783,0)),E3783)</f>
        <v>Lignite</v>
      </c>
      <c r="O3783" t="str">
        <f t="shared" si="223"/>
        <v>Lignite_2022</v>
      </c>
      <c r="P3783">
        <f t="shared" si="224"/>
        <v>32.9</v>
      </c>
    </row>
    <row r="3784" spans="4:16" x14ac:dyDescent="0.25">
      <c r="D3784">
        <v>2021</v>
      </c>
      <c r="E3784" t="s">
        <v>396</v>
      </c>
      <c r="F3784" t="s">
        <v>415</v>
      </c>
      <c r="G3784">
        <v>294</v>
      </c>
      <c r="I3784">
        <f t="shared" si="225"/>
        <v>0</v>
      </c>
      <c r="J3784">
        <f t="shared" si="225"/>
        <v>0</v>
      </c>
      <c r="K3784">
        <f t="shared" si="225"/>
        <v>0</v>
      </c>
      <c r="M3784" t="str" cm="1">
        <f t="array" ref="M3784">IFERROR(INDEX($I$2:$K$2,0,MATCH(TRUE,I3784:K3784,0)),E3784)</f>
        <v>Lignite</v>
      </c>
      <c r="O3784" t="str">
        <f t="shared" si="223"/>
        <v>Lignite_2021</v>
      </c>
      <c r="P3784">
        <f t="shared" si="224"/>
        <v>294</v>
      </c>
    </row>
    <row r="3785" spans="4:16" x14ac:dyDescent="0.25">
      <c r="D3785">
        <v>2022</v>
      </c>
      <c r="E3785" t="s">
        <v>396</v>
      </c>
      <c r="F3785" t="s">
        <v>415</v>
      </c>
      <c r="G3785">
        <v>0</v>
      </c>
      <c r="I3785">
        <f t="shared" si="225"/>
        <v>0</v>
      </c>
      <c r="J3785">
        <f t="shared" si="225"/>
        <v>0</v>
      </c>
      <c r="K3785">
        <f t="shared" si="225"/>
        <v>0</v>
      </c>
      <c r="M3785" t="str" cm="1">
        <f t="array" ref="M3785">IFERROR(INDEX($I$2:$K$2,0,MATCH(TRUE,I3785:K3785,0)),E3785)</f>
        <v>Lignite</v>
      </c>
      <c r="O3785" t="str">
        <f t="shared" si="223"/>
        <v>Lignite_2022</v>
      </c>
      <c r="P3785">
        <f t="shared" si="224"/>
        <v>0</v>
      </c>
    </row>
    <row r="3786" spans="4:16" x14ac:dyDescent="0.25">
      <c r="D3786">
        <v>2021</v>
      </c>
      <c r="E3786" t="s">
        <v>396</v>
      </c>
      <c r="F3786" t="s">
        <v>416</v>
      </c>
      <c r="G3786">
        <v>294</v>
      </c>
      <c r="I3786">
        <f t="shared" si="225"/>
        <v>0</v>
      </c>
      <c r="J3786">
        <f t="shared" si="225"/>
        <v>0</v>
      </c>
      <c r="K3786">
        <f t="shared" si="225"/>
        <v>0</v>
      </c>
      <c r="M3786" t="str" cm="1">
        <f t="array" ref="M3786">IFERROR(INDEX($I$2:$K$2,0,MATCH(TRUE,I3786:K3786,0)),E3786)</f>
        <v>Lignite</v>
      </c>
      <c r="O3786" t="str">
        <f t="shared" si="223"/>
        <v>Lignite_2021</v>
      </c>
      <c r="P3786">
        <f t="shared" si="224"/>
        <v>294</v>
      </c>
    </row>
    <row r="3787" spans="4:16" x14ac:dyDescent="0.25">
      <c r="D3787">
        <v>2021</v>
      </c>
      <c r="E3787" t="s">
        <v>396</v>
      </c>
      <c r="F3787" t="s">
        <v>417</v>
      </c>
      <c r="G3787">
        <v>601</v>
      </c>
      <c r="I3787">
        <f t="shared" si="225"/>
        <v>0</v>
      </c>
      <c r="J3787">
        <f t="shared" si="225"/>
        <v>0</v>
      </c>
      <c r="K3787">
        <f t="shared" si="225"/>
        <v>0</v>
      </c>
      <c r="M3787" t="str" cm="1">
        <f t="array" ref="M3787">IFERROR(INDEX($I$2:$K$2,0,MATCH(TRUE,I3787:K3787,0)),E3787)</f>
        <v>Lignite</v>
      </c>
      <c r="O3787" t="str">
        <f t="shared" si="223"/>
        <v>Lignite_2021</v>
      </c>
      <c r="P3787">
        <f t="shared" si="224"/>
        <v>601</v>
      </c>
    </row>
    <row r="3788" spans="4:16" x14ac:dyDescent="0.25">
      <c r="D3788">
        <v>2022</v>
      </c>
      <c r="E3788" t="s">
        <v>396</v>
      </c>
      <c r="F3788" t="s">
        <v>417</v>
      </c>
      <c r="G3788">
        <v>601</v>
      </c>
      <c r="I3788">
        <f t="shared" si="225"/>
        <v>0</v>
      </c>
      <c r="J3788">
        <f t="shared" si="225"/>
        <v>0</v>
      </c>
      <c r="K3788">
        <f t="shared" si="225"/>
        <v>0</v>
      </c>
      <c r="M3788" t="str" cm="1">
        <f t="array" ref="M3788">IFERROR(INDEX($I$2:$K$2,0,MATCH(TRUE,I3788:K3788,0)),E3788)</f>
        <v>Lignite</v>
      </c>
      <c r="O3788" t="str">
        <f t="shared" si="223"/>
        <v>Lignite_2022</v>
      </c>
      <c r="P3788">
        <f t="shared" si="224"/>
        <v>601</v>
      </c>
    </row>
    <row r="3789" spans="4:16" x14ac:dyDescent="0.25">
      <c r="D3789">
        <v>2021</v>
      </c>
      <c r="E3789" t="s">
        <v>396</v>
      </c>
      <c r="F3789" t="s">
        <v>418</v>
      </c>
      <c r="G3789">
        <v>603</v>
      </c>
      <c r="I3789">
        <f t="shared" si="225"/>
        <v>0</v>
      </c>
      <c r="J3789">
        <f t="shared" si="225"/>
        <v>0</v>
      </c>
      <c r="K3789">
        <f t="shared" si="225"/>
        <v>0</v>
      </c>
      <c r="M3789" t="str" cm="1">
        <f t="array" ref="M3789">IFERROR(INDEX($I$2:$K$2,0,MATCH(TRUE,I3789:K3789,0)),E3789)</f>
        <v>Lignite</v>
      </c>
      <c r="O3789" t="str">
        <f t="shared" si="223"/>
        <v>Lignite_2021</v>
      </c>
      <c r="P3789">
        <f t="shared" si="224"/>
        <v>603</v>
      </c>
    </row>
    <row r="3790" spans="4:16" x14ac:dyDescent="0.25">
      <c r="D3790">
        <v>2022</v>
      </c>
      <c r="E3790" t="s">
        <v>396</v>
      </c>
      <c r="F3790" t="s">
        <v>418</v>
      </c>
      <c r="G3790">
        <v>603</v>
      </c>
      <c r="I3790">
        <f t="shared" si="225"/>
        <v>0</v>
      </c>
      <c r="J3790">
        <f t="shared" si="225"/>
        <v>0</v>
      </c>
      <c r="K3790">
        <f t="shared" si="225"/>
        <v>0</v>
      </c>
      <c r="M3790" t="str" cm="1">
        <f t="array" ref="M3790">IFERROR(INDEX($I$2:$K$2,0,MATCH(TRUE,I3790:K3790,0)),E3790)</f>
        <v>Lignite</v>
      </c>
      <c r="O3790" t="str">
        <f t="shared" si="223"/>
        <v>Lignite_2022</v>
      </c>
      <c r="P3790">
        <f t="shared" si="224"/>
        <v>603</v>
      </c>
    </row>
    <row r="3791" spans="4:16" x14ac:dyDescent="0.25">
      <c r="D3791">
        <v>2021</v>
      </c>
      <c r="E3791" t="s">
        <v>396</v>
      </c>
      <c r="F3791" t="s">
        <v>419</v>
      </c>
      <c r="G3791">
        <v>287</v>
      </c>
      <c r="I3791">
        <f t="shared" si="225"/>
        <v>0</v>
      </c>
      <c r="J3791">
        <f t="shared" si="225"/>
        <v>0</v>
      </c>
      <c r="K3791">
        <f t="shared" si="225"/>
        <v>0</v>
      </c>
      <c r="M3791" t="str" cm="1">
        <f t="array" ref="M3791">IFERROR(INDEX($I$2:$K$2,0,MATCH(TRUE,I3791:K3791,0)),E3791)</f>
        <v>Lignite</v>
      </c>
      <c r="O3791" t="str">
        <f t="shared" si="223"/>
        <v>Lignite_2021</v>
      </c>
      <c r="P3791">
        <f t="shared" si="224"/>
        <v>287</v>
      </c>
    </row>
    <row r="3792" spans="4:16" x14ac:dyDescent="0.25">
      <c r="D3792">
        <v>2021</v>
      </c>
      <c r="E3792" t="s">
        <v>396</v>
      </c>
      <c r="F3792" t="s">
        <v>420</v>
      </c>
      <c r="G3792">
        <v>626</v>
      </c>
      <c r="I3792">
        <f t="shared" si="225"/>
        <v>0</v>
      </c>
      <c r="J3792">
        <f t="shared" si="225"/>
        <v>0</v>
      </c>
      <c r="K3792">
        <f t="shared" si="225"/>
        <v>0</v>
      </c>
      <c r="M3792" t="str" cm="1">
        <f t="array" ref="M3792">IFERROR(INDEX($I$2:$K$2,0,MATCH(TRUE,I3792:K3792,0)),E3792)</f>
        <v>Lignite</v>
      </c>
      <c r="O3792" t="str">
        <f t="shared" si="223"/>
        <v>Lignite_2021</v>
      </c>
      <c r="P3792">
        <f t="shared" si="224"/>
        <v>626</v>
      </c>
    </row>
    <row r="3793" spans="4:16" x14ac:dyDescent="0.25">
      <c r="D3793">
        <v>2022</v>
      </c>
      <c r="E3793" t="s">
        <v>396</v>
      </c>
      <c r="F3793" t="s">
        <v>420</v>
      </c>
      <c r="G3793">
        <v>626</v>
      </c>
      <c r="I3793">
        <f t="shared" si="225"/>
        <v>0</v>
      </c>
      <c r="J3793">
        <f t="shared" si="225"/>
        <v>0</v>
      </c>
      <c r="K3793">
        <f t="shared" si="225"/>
        <v>0</v>
      </c>
      <c r="M3793" t="str" cm="1">
        <f t="array" ref="M3793">IFERROR(INDEX($I$2:$K$2,0,MATCH(TRUE,I3793:K3793,0)),E3793)</f>
        <v>Lignite</v>
      </c>
      <c r="O3793" t="str">
        <f t="shared" si="223"/>
        <v>Lignite_2022</v>
      </c>
      <c r="P3793">
        <f t="shared" si="224"/>
        <v>626</v>
      </c>
    </row>
    <row r="3794" spans="4:16" x14ac:dyDescent="0.25">
      <c r="D3794">
        <v>2023</v>
      </c>
      <c r="E3794" t="s">
        <v>396</v>
      </c>
      <c r="F3794" t="s">
        <v>420</v>
      </c>
      <c r="G3794">
        <v>626</v>
      </c>
      <c r="I3794">
        <f t="shared" si="225"/>
        <v>0</v>
      </c>
      <c r="J3794">
        <f t="shared" si="225"/>
        <v>0</v>
      </c>
      <c r="K3794">
        <f t="shared" si="225"/>
        <v>0</v>
      </c>
      <c r="M3794" t="str" cm="1">
        <f t="array" ref="M3794">IFERROR(INDEX($I$2:$K$2,0,MATCH(TRUE,I3794:K3794,0)),E3794)</f>
        <v>Lignite</v>
      </c>
      <c r="O3794" t="str">
        <f t="shared" si="223"/>
        <v>Lignite_2023</v>
      </c>
      <c r="P3794">
        <f t="shared" si="224"/>
        <v>626</v>
      </c>
    </row>
    <row r="3795" spans="4:16" x14ac:dyDescent="0.25">
      <c r="D3795">
        <v>2024</v>
      </c>
      <c r="E3795" t="s">
        <v>396</v>
      </c>
      <c r="F3795" t="s">
        <v>420</v>
      </c>
      <c r="G3795">
        <v>626</v>
      </c>
      <c r="I3795">
        <f t="shared" si="225"/>
        <v>0</v>
      </c>
      <c r="J3795">
        <f t="shared" si="225"/>
        <v>0</v>
      </c>
      <c r="K3795">
        <f t="shared" si="225"/>
        <v>0</v>
      </c>
      <c r="M3795" t="str" cm="1">
        <f t="array" ref="M3795">IFERROR(INDEX($I$2:$K$2,0,MATCH(TRUE,I3795:K3795,0)),E3795)</f>
        <v>Lignite</v>
      </c>
      <c r="O3795" t="str">
        <f t="shared" ref="O3795:O3858" si="226">M3795&amp;"_"&amp;D3795</f>
        <v>Lignite_2024</v>
      </c>
      <c r="P3795">
        <f t="shared" ref="P3795:P3858" si="227">G3795</f>
        <v>626</v>
      </c>
    </row>
    <row r="3796" spans="4:16" x14ac:dyDescent="0.25">
      <c r="D3796">
        <v>2025</v>
      </c>
      <c r="E3796" t="s">
        <v>396</v>
      </c>
      <c r="F3796" t="s">
        <v>420</v>
      </c>
      <c r="G3796">
        <v>626</v>
      </c>
      <c r="I3796">
        <f t="shared" si="225"/>
        <v>0</v>
      </c>
      <c r="J3796">
        <f t="shared" si="225"/>
        <v>0</v>
      </c>
      <c r="K3796">
        <f t="shared" si="225"/>
        <v>0</v>
      </c>
      <c r="M3796" t="str" cm="1">
        <f t="array" ref="M3796">IFERROR(INDEX($I$2:$K$2,0,MATCH(TRUE,I3796:K3796,0)),E3796)</f>
        <v>Lignite</v>
      </c>
      <c r="O3796" t="str">
        <f t="shared" si="226"/>
        <v>Lignite_2025</v>
      </c>
      <c r="P3796">
        <f t="shared" si="227"/>
        <v>626</v>
      </c>
    </row>
    <row r="3797" spans="4:16" x14ac:dyDescent="0.25">
      <c r="D3797">
        <v>2026</v>
      </c>
      <c r="E3797" t="s">
        <v>396</v>
      </c>
      <c r="F3797" t="s">
        <v>420</v>
      </c>
      <c r="G3797">
        <v>626</v>
      </c>
      <c r="I3797">
        <f t="shared" ref="I3797:K3860" si="228">IFERROR(FIND(I$2,$E3797,1)&gt;0,0)</f>
        <v>0</v>
      </c>
      <c r="J3797">
        <f t="shared" si="228"/>
        <v>0</v>
      </c>
      <c r="K3797">
        <f t="shared" si="228"/>
        <v>0</v>
      </c>
      <c r="M3797" t="str" cm="1">
        <f t="array" ref="M3797">IFERROR(INDEX($I$2:$K$2,0,MATCH(TRUE,I3797:K3797,0)),E3797)</f>
        <v>Lignite</v>
      </c>
      <c r="O3797" t="str">
        <f t="shared" si="226"/>
        <v>Lignite_2026</v>
      </c>
      <c r="P3797">
        <f t="shared" si="227"/>
        <v>626</v>
      </c>
    </row>
    <row r="3798" spans="4:16" x14ac:dyDescent="0.25">
      <c r="D3798">
        <v>2027</v>
      </c>
      <c r="E3798" t="s">
        <v>396</v>
      </c>
      <c r="F3798" t="s">
        <v>420</v>
      </c>
      <c r="G3798">
        <v>626</v>
      </c>
      <c r="I3798">
        <f t="shared" si="228"/>
        <v>0</v>
      </c>
      <c r="J3798">
        <f t="shared" si="228"/>
        <v>0</v>
      </c>
      <c r="K3798">
        <f t="shared" si="228"/>
        <v>0</v>
      </c>
      <c r="M3798" t="str" cm="1">
        <f t="array" ref="M3798">IFERROR(INDEX($I$2:$K$2,0,MATCH(TRUE,I3798:K3798,0)),E3798)</f>
        <v>Lignite</v>
      </c>
      <c r="O3798" t="str">
        <f t="shared" si="226"/>
        <v>Lignite_2027</v>
      </c>
      <c r="P3798">
        <f t="shared" si="227"/>
        <v>626</v>
      </c>
    </row>
    <row r="3799" spans="4:16" x14ac:dyDescent="0.25">
      <c r="D3799">
        <v>2028</v>
      </c>
      <c r="E3799" t="s">
        <v>396</v>
      </c>
      <c r="F3799" t="s">
        <v>420</v>
      </c>
      <c r="G3799">
        <v>626</v>
      </c>
      <c r="I3799">
        <f t="shared" si="228"/>
        <v>0</v>
      </c>
      <c r="J3799">
        <f t="shared" si="228"/>
        <v>0</v>
      </c>
      <c r="K3799">
        <f t="shared" si="228"/>
        <v>0</v>
      </c>
      <c r="M3799" t="str" cm="1">
        <f t="array" ref="M3799">IFERROR(INDEX($I$2:$K$2,0,MATCH(TRUE,I3799:K3799,0)),E3799)</f>
        <v>Lignite</v>
      </c>
      <c r="O3799" t="str">
        <f t="shared" si="226"/>
        <v>Lignite_2028</v>
      </c>
      <c r="P3799">
        <f t="shared" si="227"/>
        <v>626</v>
      </c>
    </row>
    <row r="3800" spans="4:16" x14ac:dyDescent="0.25">
      <c r="D3800">
        <v>2029</v>
      </c>
      <c r="E3800" t="s">
        <v>396</v>
      </c>
      <c r="F3800" t="s">
        <v>420</v>
      </c>
      <c r="G3800">
        <v>626</v>
      </c>
      <c r="I3800">
        <f t="shared" si="228"/>
        <v>0</v>
      </c>
      <c r="J3800">
        <f t="shared" si="228"/>
        <v>0</v>
      </c>
      <c r="K3800">
        <f t="shared" si="228"/>
        <v>0</v>
      </c>
      <c r="M3800" t="str" cm="1">
        <f t="array" ref="M3800">IFERROR(INDEX($I$2:$K$2,0,MATCH(TRUE,I3800:K3800,0)),E3800)</f>
        <v>Lignite</v>
      </c>
      <c r="O3800" t="str">
        <f t="shared" si="226"/>
        <v>Lignite_2029</v>
      </c>
      <c r="P3800">
        <f t="shared" si="227"/>
        <v>626</v>
      </c>
    </row>
    <row r="3801" spans="4:16" x14ac:dyDescent="0.25">
      <c r="D3801">
        <v>2021</v>
      </c>
      <c r="E3801" t="s">
        <v>396</v>
      </c>
      <c r="F3801" t="s">
        <v>421</v>
      </c>
      <c r="G3801">
        <v>631</v>
      </c>
      <c r="I3801">
        <f t="shared" si="228"/>
        <v>0</v>
      </c>
      <c r="J3801">
        <f t="shared" si="228"/>
        <v>0</v>
      </c>
      <c r="K3801">
        <f t="shared" si="228"/>
        <v>0</v>
      </c>
      <c r="M3801" t="str" cm="1">
        <f t="array" ref="M3801">IFERROR(INDEX($I$2:$K$2,0,MATCH(TRUE,I3801:K3801,0)),E3801)</f>
        <v>Lignite</v>
      </c>
      <c r="O3801" t="str">
        <f t="shared" si="226"/>
        <v>Lignite_2021</v>
      </c>
      <c r="P3801">
        <f t="shared" si="227"/>
        <v>631</v>
      </c>
    </row>
    <row r="3802" spans="4:16" x14ac:dyDescent="0.25">
      <c r="D3802">
        <v>2022</v>
      </c>
      <c r="E3802" t="s">
        <v>396</v>
      </c>
      <c r="F3802" t="s">
        <v>421</v>
      </c>
      <c r="G3802">
        <v>631</v>
      </c>
      <c r="I3802">
        <f t="shared" si="228"/>
        <v>0</v>
      </c>
      <c r="J3802">
        <f t="shared" si="228"/>
        <v>0</v>
      </c>
      <c r="K3802">
        <f t="shared" si="228"/>
        <v>0</v>
      </c>
      <c r="M3802" t="str" cm="1">
        <f t="array" ref="M3802">IFERROR(INDEX($I$2:$K$2,0,MATCH(TRUE,I3802:K3802,0)),E3802)</f>
        <v>Lignite</v>
      </c>
      <c r="O3802" t="str">
        <f t="shared" si="226"/>
        <v>Lignite_2022</v>
      </c>
      <c r="P3802">
        <f t="shared" si="227"/>
        <v>631</v>
      </c>
    </row>
    <row r="3803" spans="4:16" x14ac:dyDescent="0.25">
      <c r="D3803">
        <v>2023</v>
      </c>
      <c r="E3803" t="s">
        <v>396</v>
      </c>
      <c r="F3803" t="s">
        <v>421</v>
      </c>
      <c r="G3803">
        <v>631</v>
      </c>
      <c r="I3803">
        <f t="shared" si="228"/>
        <v>0</v>
      </c>
      <c r="J3803">
        <f t="shared" si="228"/>
        <v>0</v>
      </c>
      <c r="K3803">
        <f t="shared" si="228"/>
        <v>0</v>
      </c>
      <c r="M3803" t="str" cm="1">
        <f t="array" ref="M3803">IFERROR(INDEX($I$2:$K$2,0,MATCH(TRUE,I3803:K3803,0)),E3803)</f>
        <v>Lignite</v>
      </c>
      <c r="O3803" t="str">
        <f t="shared" si="226"/>
        <v>Lignite_2023</v>
      </c>
      <c r="P3803">
        <f t="shared" si="227"/>
        <v>631</v>
      </c>
    </row>
    <row r="3804" spans="4:16" x14ac:dyDescent="0.25">
      <c r="D3804">
        <v>2024</v>
      </c>
      <c r="E3804" t="s">
        <v>396</v>
      </c>
      <c r="F3804" t="s">
        <v>421</v>
      </c>
      <c r="G3804">
        <v>631</v>
      </c>
      <c r="I3804">
        <f t="shared" si="228"/>
        <v>0</v>
      </c>
      <c r="J3804">
        <f t="shared" si="228"/>
        <v>0</v>
      </c>
      <c r="K3804">
        <f t="shared" si="228"/>
        <v>0</v>
      </c>
      <c r="M3804" t="str" cm="1">
        <f t="array" ref="M3804">IFERROR(INDEX($I$2:$K$2,0,MATCH(TRUE,I3804:K3804,0)),E3804)</f>
        <v>Lignite</v>
      </c>
      <c r="O3804" t="str">
        <f t="shared" si="226"/>
        <v>Lignite_2024</v>
      </c>
      <c r="P3804">
        <f t="shared" si="227"/>
        <v>631</v>
      </c>
    </row>
    <row r="3805" spans="4:16" x14ac:dyDescent="0.25">
      <c r="D3805">
        <v>2025</v>
      </c>
      <c r="E3805" t="s">
        <v>396</v>
      </c>
      <c r="F3805" t="s">
        <v>421</v>
      </c>
      <c r="G3805">
        <v>631</v>
      </c>
      <c r="I3805">
        <f t="shared" si="228"/>
        <v>0</v>
      </c>
      <c r="J3805">
        <f t="shared" si="228"/>
        <v>0</v>
      </c>
      <c r="K3805">
        <f t="shared" si="228"/>
        <v>0</v>
      </c>
      <c r="M3805" t="str" cm="1">
        <f t="array" ref="M3805">IFERROR(INDEX($I$2:$K$2,0,MATCH(TRUE,I3805:K3805,0)),E3805)</f>
        <v>Lignite</v>
      </c>
      <c r="O3805" t="str">
        <f t="shared" si="226"/>
        <v>Lignite_2025</v>
      </c>
      <c r="P3805">
        <f t="shared" si="227"/>
        <v>631</v>
      </c>
    </row>
    <row r="3806" spans="4:16" x14ac:dyDescent="0.25">
      <c r="D3806">
        <v>2026</v>
      </c>
      <c r="E3806" t="s">
        <v>396</v>
      </c>
      <c r="F3806" t="s">
        <v>421</v>
      </c>
      <c r="G3806">
        <v>631</v>
      </c>
      <c r="I3806">
        <f t="shared" si="228"/>
        <v>0</v>
      </c>
      <c r="J3806">
        <f t="shared" si="228"/>
        <v>0</v>
      </c>
      <c r="K3806">
        <f t="shared" si="228"/>
        <v>0</v>
      </c>
      <c r="M3806" t="str" cm="1">
        <f t="array" ref="M3806">IFERROR(INDEX($I$2:$K$2,0,MATCH(TRUE,I3806:K3806,0)),E3806)</f>
        <v>Lignite</v>
      </c>
      <c r="O3806" t="str">
        <f t="shared" si="226"/>
        <v>Lignite_2026</v>
      </c>
      <c r="P3806">
        <f t="shared" si="227"/>
        <v>631</v>
      </c>
    </row>
    <row r="3807" spans="4:16" x14ac:dyDescent="0.25">
      <c r="D3807">
        <v>2027</v>
      </c>
      <c r="E3807" t="s">
        <v>396</v>
      </c>
      <c r="F3807" t="s">
        <v>421</v>
      </c>
      <c r="G3807">
        <v>631</v>
      </c>
      <c r="I3807">
        <f t="shared" si="228"/>
        <v>0</v>
      </c>
      <c r="J3807">
        <f t="shared" si="228"/>
        <v>0</v>
      </c>
      <c r="K3807">
        <f t="shared" si="228"/>
        <v>0</v>
      </c>
      <c r="M3807" t="str" cm="1">
        <f t="array" ref="M3807">IFERROR(INDEX($I$2:$K$2,0,MATCH(TRUE,I3807:K3807,0)),E3807)</f>
        <v>Lignite</v>
      </c>
      <c r="O3807" t="str">
        <f t="shared" si="226"/>
        <v>Lignite_2027</v>
      </c>
      <c r="P3807">
        <f t="shared" si="227"/>
        <v>631</v>
      </c>
    </row>
    <row r="3808" spans="4:16" x14ac:dyDescent="0.25">
      <c r="D3808">
        <v>2028</v>
      </c>
      <c r="E3808" t="s">
        <v>396</v>
      </c>
      <c r="F3808" t="s">
        <v>421</v>
      </c>
      <c r="G3808">
        <v>631</v>
      </c>
      <c r="I3808">
        <f t="shared" si="228"/>
        <v>0</v>
      </c>
      <c r="J3808">
        <f t="shared" si="228"/>
        <v>0</v>
      </c>
      <c r="K3808">
        <f t="shared" si="228"/>
        <v>0</v>
      </c>
      <c r="M3808" t="str" cm="1">
        <f t="array" ref="M3808">IFERROR(INDEX($I$2:$K$2,0,MATCH(TRUE,I3808:K3808,0)),E3808)</f>
        <v>Lignite</v>
      </c>
      <c r="O3808" t="str">
        <f t="shared" si="226"/>
        <v>Lignite_2028</v>
      </c>
      <c r="P3808">
        <f t="shared" si="227"/>
        <v>631</v>
      </c>
    </row>
    <row r="3809" spans="4:16" x14ac:dyDescent="0.25">
      <c r="D3809">
        <v>2029</v>
      </c>
      <c r="E3809" t="s">
        <v>396</v>
      </c>
      <c r="F3809" t="s">
        <v>421</v>
      </c>
      <c r="G3809">
        <v>631</v>
      </c>
      <c r="I3809">
        <f t="shared" si="228"/>
        <v>0</v>
      </c>
      <c r="J3809">
        <f t="shared" si="228"/>
        <v>0</v>
      </c>
      <c r="K3809">
        <f t="shared" si="228"/>
        <v>0</v>
      </c>
      <c r="M3809" t="str" cm="1">
        <f t="array" ref="M3809">IFERROR(INDEX($I$2:$K$2,0,MATCH(TRUE,I3809:K3809,0)),E3809)</f>
        <v>Lignite</v>
      </c>
      <c r="O3809" t="str">
        <f t="shared" si="226"/>
        <v>Lignite_2029</v>
      </c>
      <c r="P3809">
        <f t="shared" si="227"/>
        <v>631</v>
      </c>
    </row>
    <row r="3810" spans="4:16" x14ac:dyDescent="0.25">
      <c r="D3810">
        <v>2021</v>
      </c>
      <c r="E3810" t="s">
        <v>396</v>
      </c>
      <c r="F3810" t="s">
        <v>422</v>
      </c>
      <c r="G3810">
        <v>20.3</v>
      </c>
      <c r="I3810">
        <f t="shared" si="228"/>
        <v>0</v>
      </c>
      <c r="J3810">
        <f t="shared" si="228"/>
        <v>0</v>
      </c>
      <c r="K3810">
        <f t="shared" si="228"/>
        <v>0</v>
      </c>
      <c r="M3810" t="str" cm="1">
        <f t="array" ref="M3810">IFERROR(INDEX($I$2:$K$2,0,MATCH(TRUE,I3810:K3810,0)),E3810)</f>
        <v>Lignite</v>
      </c>
      <c r="O3810" t="str">
        <f t="shared" si="226"/>
        <v>Lignite_2021</v>
      </c>
      <c r="P3810">
        <f t="shared" si="227"/>
        <v>20.3</v>
      </c>
    </row>
    <row r="3811" spans="4:16" x14ac:dyDescent="0.25">
      <c r="D3811">
        <v>2022</v>
      </c>
      <c r="E3811" t="s">
        <v>396</v>
      </c>
      <c r="F3811" t="s">
        <v>422</v>
      </c>
      <c r="G3811">
        <v>20.3</v>
      </c>
      <c r="I3811">
        <f t="shared" si="228"/>
        <v>0</v>
      </c>
      <c r="J3811">
        <f t="shared" si="228"/>
        <v>0</v>
      </c>
      <c r="K3811">
        <f t="shared" si="228"/>
        <v>0</v>
      </c>
      <c r="M3811" t="str" cm="1">
        <f t="array" ref="M3811">IFERROR(INDEX($I$2:$K$2,0,MATCH(TRUE,I3811:K3811,0)),E3811)</f>
        <v>Lignite</v>
      </c>
      <c r="O3811" t="str">
        <f t="shared" si="226"/>
        <v>Lignite_2022</v>
      </c>
      <c r="P3811">
        <f t="shared" si="227"/>
        <v>20.3</v>
      </c>
    </row>
    <row r="3812" spans="4:16" x14ac:dyDescent="0.25">
      <c r="D3812">
        <v>2023</v>
      </c>
      <c r="E3812" t="s">
        <v>396</v>
      </c>
      <c r="F3812" t="s">
        <v>422</v>
      </c>
      <c r="G3812">
        <v>20.3</v>
      </c>
      <c r="I3812">
        <f t="shared" si="228"/>
        <v>0</v>
      </c>
      <c r="J3812">
        <f t="shared" si="228"/>
        <v>0</v>
      </c>
      <c r="K3812">
        <f t="shared" si="228"/>
        <v>0</v>
      </c>
      <c r="M3812" t="str" cm="1">
        <f t="array" ref="M3812">IFERROR(INDEX($I$2:$K$2,0,MATCH(TRUE,I3812:K3812,0)),E3812)</f>
        <v>Lignite</v>
      </c>
      <c r="O3812" t="str">
        <f t="shared" si="226"/>
        <v>Lignite_2023</v>
      </c>
      <c r="P3812">
        <f t="shared" si="227"/>
        <v>20.3</v>
      </c>
    </row>
    <row r="3813" spans="4:16" x14ac:dyDescent="0.25">
      <c r="D3813">
        <v>2024</v>
      </c>
      <c r="E3813" t="s">
        <v>396</v>
      </c>
      <c r="F3813" t="s">
        <v>422</v>
      </c>
      <c r="G3813">
        <v>20.3</v>
      </c>
      <c r="I3813">
        <f t="shared" si="228"/>
        <v>0</v>
      </c>
      <c r="J3813">
        <f t="shared" si="228"/>
        <v>0</v>
      </c>
      <c r="K3813">
        <f t="shared" si="228"/>
        <v>0</v>
      </c>
      <c r="M3813" t="str" cm="1">
        <f t="array" ref="M3813">IFERROR(INDEX($I$2:$K$2,0,MATCH(TRUE,I3813:K3813,0)),E3813)</f>
        <v>Lignite</v>
      </c>
      <c r="O3813" t="str">
        <f t="shared" si="226"/>
        <v>Lignite_2024</v>
      </c>
      <c r="P3813">
        <f t="shared" si="227"/>
        <v>20.3</v>
      </c>
    </row>
    <row r="3814" spans="4:16" x14ac:dyDescent="0.25">
      <c r="D3814">
        <v>2021</v>
      </c>
      <c r="E3814" t="s">
        <v>396</v>
      </c>
      <c r="F3814" t="s">
        <v>423</v>
      </c>
      <c r="G3814">
        <v>56</v>
      </c>
      <c r="I3814">
        <f t="shared" si="228"/>
        <v>0</v>
      </c>
      <c r="J3814">
        <f t="shared" si="228"/>
        <v>0</v>
      </c>
      <c r="K3814">
        <f t="shared" si="228"/>
        <v>0</v>
      </c>
      <c r="M3814" t="str" cm="1">
        <f t="array" ref="M3814">IFERROR(INDEX($I$2:$K$2,0,MATCH(TRUE,I3814:K3814,0)),E3814)</f>
        <v>Lignite</v>
      </c>
      <c r="O3814" t="str">
        <f t="shared" si="226"/>
        <v>Lignite_2021</v>
      </c>
      <c r="P3814">
        <f t="shared" si="227"/>
        <v>56</v>
      </c>
    </row>
    <row r="3815" spans="4:16" x14ac:dyDescent="0.25">
      <c r="D3815">
        <v>2022</v>
      </c>
      <c r="E3815" t="s">
        <v>396</v>
      </c>
      <c r="F3815" t="s">
        <v>423</v>
      </c>
      <c r="G3815">
        <v>56</v>
      </c>
      <c r="I3815">
        <f t="shared" si="228"/>
        <v>0</v>
      </c>
      <c r="J3815">
        <f t="shared" si="228"/>
        <v>0</v>
      </c>
      <c r="K3815">
        <f t="shared" si="228"/>
        <v>0</v>
      </c>
      <c r="M3815" t="str" cm="1">
        <f t="array" ref="M3815">IFERROR(INDEX($I$2:$K$2,0,MATCH(TRUE,I3815:K3815,0)),E3815)</f>
        <v>Lignite</v>
      </c>
      <c r="O3815" t="str">
        <f t="shared" si="226"/>
        <v>Lignite_2022</v>
      </c>
      <c r="P3815">
        <f t="shared" si="227"/>
        <v>56</v>
      </c>
    </row>
    <row r="3816" spans="4:16" x14ac:dyDescent="0.25">
      <c r="D3816">
        <v>2023</v>
      </c>
      <c r="E3816" t="s">
        <v>396</v>
      </c>
      <c r="F3816" t="s">
        <v>423</v>
      </c>
      <c r="G3816">
        <v>56</v>
      </c>
      <c r="I3816">
        <f t="shared" si="228"/>
        <v>0</v>
      </c>
      <c r="J3816">
        <f t="shared" si="228"/>
        <v>0</v>
      </c>
      <c r="K3816">
        <f t="shared" si="228"/>
        <v>0</v>
      </c>
      <c r="M3816" t="str" cm="1">
        <f t="array" ref="M3816">IFERROR(INDEX($I$2:$K$2,0,MATCH(TRUE,I3816:K3816,0)),E3816)</f>
        <v>Lignite</v>
      </c>
      <c r="O3816" t="str">
        <f t="shared" si="226"/>
        <v>Lignite_2023</v>
      </c>
      <c r="P3816">
        <f t="shared" si="227"/>
        <v>56</v>
      </c>
    </row>
    <row r="3817" spans="4:16" x14ac:dyDescent="0.25">
      <c r="D3817">
        <v>2024</v>
      </c>
      <c r="E3817" t="s">
        <v>396</v>
      </c>
      <c r="F3817" t="s">
        <v>423</v>
      </c>
      <c r="G3817">
        <v>56</v>
      </c>
      <c r="I3817">
        <f t="shared" si="228"/>
        <v>0</v>
      </c>
      <c r="J3817">
        <f t="shared" si="228"/>
        <v>0</v>
      </c>
      <c r="K3817">
        <f t="shared" si="228"/>
        <v>0</v>
      </c>
      <c r="M3817" t="str" cm="1">
        <f t="array" ref="M3817">IFERROR(INDEX($I$2:$K$2,0,MATCH(TRUE,I3817:K3817,0)),E3817)</f>
        <v>Lignite</v>
      </c>
      <c r="O3817" t="str">
        <f t="shared" si="226"/>
        <v>Lignite_2024</v>
      </c>
      <c r="P3817">
        <f t="shared" si="227"/>
        <v>56</v>
      </c>
    </row>
    <row r="3818" spans="4:16" x14ac:dyDescent="0.25">
      <c r="D3818">
        <v>2025</v>
      </c>
      <c r="E3818" t="s">
        <v>396</v>
      </c>
      <c r="F3818" t="s">
        <v>423</v>
      </c>
      <c r="G3818">
        <v>56</v>
      </c>
      <c r="I3818">
        <f t="shared" si="228"/>
        <v>0</v>
      </c>
      <c r="J3818">
        <f t="shared" si="228"/>
        <v>0</v>
      </c>
      <c r="K3818">
        <f t="shared" si="228"/>
        <v>0</v>
      </c>
      <c r="M3818" t="str" cm="1">
        <f t="array" ref="M3818">IFERROR(INDEX($I$2:$K$2,0,MATCH(TRUE,I3818:K3818,0)),E3818)</f>
        <v>Lignite</v>
      </c>
      <c r="O3818" t="str">
        <f t="shared" si="226"/>
        <v>Lignite_2025</v>
      </c>
      <c r="P3818">
        <f t="shared" si="227"/>
        <v>56</v>
      </c>
    </row>
    <row r="3819" spans="4:16" x14ac:dyDescent="0.25">
      <c r="D3819">
        <v>2026</v>
      </c>
      <c r="E3819" t="s">
        <v>396</v>
      </c>
      <c r="F3819" t="s">
        <v>423</v>
      </c>
      <c r="G3819">
        <v>56</v>
      </c>
      <c r="I3819">
        <f t="shared" si="228"/>
        <v>0</v>
      </c>
      <c r="J3819">
        <f t="shared" si="228"/>
        <v>0</v>
      </c>
      <c r="K3819">
        <f t="shared" si="228"/>
        <v>0</v>
      </c>
      <c r="M3819" t="str" cm="1">
        <f t="array" ref="M3819">IFERROR(INDEX($I$2:$K$2,0,MATCH(TRUE,I3819:K3819,0)),E3819)</f>
        <v>Lignite</v>
      </c>
      <c r="O3819" t="str">
        <f t="shared" si="226"/>
        <v>Lignite_2026</v>
      </c>
      <c r="P3819">
        <f t="shared" si="227"/>
        <v>56</v>
      </c>
    </row>
    <row r="3820" spans="4:16" x14ac:dyDescent="0.25">
      <c r="D3820">
        <v>2027</v>
      </c>
      <c r="E3820" t="s">
        <v>396</v>
      </c>
      <c r="F3820" t="s">
        <v>423</v>
      </c>
      <c r="G3820">
        <v>56</v>
      </c>
      <c r="I3820">
        <f t="shared" si="228"/>
        <v>0</v>
      </c>
      <c r="J3820">
        <f t="shared" si="228"/>
        <v>0</v>
      </c>
      <c r="K3820">
        <f t="shared" si="228"/>
        <v>0</v>
      </c>
      <c r="M3820" t="str" cm="1">
        <f t="array" ref="M3820">IFERROR(INDEX($I$2:$K$2,0,MATCH(TRUE,I3820:K3820,0)),E3820)</f>
        <v>Lignite</v>
      </c>
      <c r="O3820" t="str">
        <f t="shared" si="226"/>
        <v>Lignite_2027</v>
      </c>
      <c r="P3820">
        <f t="shared" si="227"/>
        <v>56</v>
      </c>
    </row>
    <row r="3821" spans="4:16" x14ac:dyDescent="0.25">
      <c r="D3821">
        <v>2028</v>
      </c>
      <c r="E3821" t="s">
        <v>396</v>
      </c>
      <c r="F3821" t="s">
        <v>423</v>
      </c>
      <c r="G3821">
        <v>56</v>
      </c>
      <c r="I3821">
        <f t="shared" si="228"/>
        <v>0</v>
      </c>
      <c r="J3821">
        <f t="shared" si="228"/>
        <v>0</v>
      </c>
      <c r="K3821">
        <f t="shared" si="228"/>
        <v>0</v>
      </c>
      <c r="M3821" t="str" cm="1">
        <f t="array" ref="M3821">IFERROR(INDEX($I$2:$K$2,0,MATCH(TRUE,I3821:K3821,0)),E3821)</f>
        <v>Lignite</v>
      </c>
      <c r="O3821" t="str">
        <f t="shared" si="226"/>
        <v>Lignite_2028</v>
      </c>
      <c r="P3821">
        <f t="shared" si="227"/>
        <v>56</v>
      </c>
    </row>
    <row r="3822" spans="4:16" x14ac:dyDescent="0.25">
      <c r="D3822">
        <v>2029</v>
      </c>
      <c r="E3822" t="s">
        <v>396</v>
      </c>
      <c r="F3822" t="s">
        <v>423</v>
      </c>
      <c r="G3822">
        <v>56</v>
      </c>
      <c r="I3822">
        <f t="shared" si="228"/>
        <v>0</v>
      </c>
      <c r="J3822">
        <f t="shared" si="228"/>
        <v>0</v>
      </c>
      <c r="K3822">
        <f t="shared" si="228"/>
        <v>0</v>
      </c>
      <c r="M3822" t="str" cm="1">
        <f t="array" ref="M3822">IFERROR(INDEX($I$2:$K$2,0,MATCH(TRUE,I3822:K3822,0)),E3822)</f>
        <v>Lignite</v>
      </c>
      <c r="O3822" t="str">
        <f t="shared" si="226"/>
        <v>Lignite_2029</v>
      </c>
      <c r="P3822">
        <f t="shared" si="227"/>
        <v>56</v>
      </c>
    </row>
    <row r="3823" spans="4:16" x14ac:dyDescent="0.25">
      <c r="D3823">
        <v>2030</v>
      </c>
      <c r="E3823" t="s">
        <v>396</v>
      </c>
      <c r="F3823" t="s">
        <v>423</v>
      </c>
      <c r="G3823">
        <v>56</v>
      </c>
      <c r="I3823">
        <f t="shared" si="228"/>
        <v>0</v>
      </c>
      <c r="J3823">
        <f t="shared" si="228"/>
        <v>0</v>
      </c>
      <c r="K3823">
        <f t="shared" si="228"/>
        <v>0</v>
      </c>
      <c r="M3823" t="str" cm="1">
        <f t="array" ref="M3823">IFERROR(INDEX($I$2:$K$2,0,MATCH(TRUE,I3823:K3823,0)),E3823)</f>
        <v>Lignite</v>
      </c>
      <c r="O3823" t="str">
        <f t="shared" si="226"/>
        <v>Lignite_2030</v>
      </c>
      <c r="P3823">
        <f t="shared" si="227"/>
        <v>56</v>
      </c>
    </row>
    <row r="3824" spans="4:16" x14ac:dyDescent="0.25">
      <c r="D3824">
        <v>2031</v>
      </c>
      <c r="E3824" t="s">
        <v>396</v>
      </c>
      <c r="F3824" t="s">
        <v>423</v>
      </c>
      <c r="G3824">
        <v>56</v>
      </c>
      <c r="I3824">
        <f t="shared" si="228"/>
        <v>0</v>
      </c>
      <c r="J3824">
        <f t="shared" si="228"/>
        <v>0</v>
      </c>
      <c r="K3824">
        <f t="shared" si="228"/>
        <v>0</v>
      </c>
      <c r="M3824" t="str" cm="1">
        <f t="array" ref="M3824">IFERROR(INDEX($I$2:$K$2,0,MATCH(TRUE,I3824:K3824,0)),E3824)</f>
        <v>Lignite</v>
      </c>
      <c r="O3824" t="str">
        <f t="shared" si="226"/>
        <v>Lignite_2031</v>
      </c>
      <c r="P3824">
        <f t="shared" si="227"/>
        <v>56</v>
      </c>
    </row>
    <row r="3825" spans="4:16" x14ac:dyDescent="0.25">
      <c r="D3825">
        <v>2032</v>
      </c>
      <c r="E3825" t="s">
        <v>396</v>
      </c>
      <c r="F3825" t="s">
        <v>423</v>
      </c>
      <c r="G3825">
        <v>56</v>
      </c>
      <c r="I3825">
        <f t="shared" si="228"/>
        <v>0</v>
      </c>
      <c r="J3825">
        <f t="shared" si="228"/>
        <v>0</v>
      </c>
      <c r="K3825">
        <f t="shared" si="228"/>
        <v>0</v>
      </c>
      <c r="M3825" t="str" cm="1">
        <f t="array" ref="M3825">IFERROR(INDEX($I$2:$K$2,0,MATCH(TRUE,I3825:K3825,0)),E3825)</f>
        <v>Lignite</v>
      </c>
      <c r="O3825" t="str">
        <f t="shared" si="226"/>
        <v>Lignite_2032</v>
      </c>
      <c r="P3825">
        <f t="shared" si="227"/>
        <v>56</v>
      </c>
    </row>
    <row r="3826" spans="4:16" x14ac:dyDescent="0.25">
      <c r="D3826">
        <v>2033</v>
      </c>
      <c r="E3826" t="s">
        <v>396</v>
      </c>
      <c r="F3826" t="s">
        <v>423</v>
      </c>
      <c r="G3826">
        <v>56</v>
      </c>
      <c r="I3826">
        <f t="shared" si="228"/>
        <v>0</v>
      </c>
      <c r="J3826">
        <f t="shared" si="228"/>
        <v>0</v>
      </c>
      <c r="K3826">
        <f t="shared" si="228"/>
        <v>0</v>
      </c>
      <c r="M3826" t="str" cm="1">
        <f t="array" ref="M3826">IFERROR(INDEX($I$2:$K$2,0,MATCH(TRUE,I3826:K3826,0)),E3826)</f>
        <v>Lignite</v>
      </c>
      <c r="O3826" t="str">
        <f t="shared" si="226"/>
        <v>Lignite_2033</v>
      </c>
      <c r="P3826">
        <f t="shared" si="227"/>
        <v>56</v>
      </c>
    </row>
    <row r="3827" spans="4:16" x14ac:dyDescent="0.25">
      <c r="D3827">
        <v>2034</v>
      </c>
      <c r="E3827" t="s">
        <v>396</v>
      </c>
      <c r="F3827" t="s">
        <v>423</v>
      </c>
      <c r="G3827">
        <v>56</v>
      </c>
      <c r="I3827">
        <f t="shared" si="228"/>
        <v>0</v>
      </c>
      <c r="J3827">
        <f t="shared" si="228"/>
        <v>0</v>
      </c>
      <c r="K3827">
        <f t="shared" si="228"/>
        <v>0</v>
      </c>
      <c r="M3827" t="str" cm="1">
        <f t="array" ref="M3827">IFERROR(INDEX($I$2:$K$2,0,MATCH(TRUE,I3827:K3827,0)),E3827)</f>
        <v>Lignite</v>
      </c>
      <c r="O3827" t="str">
        <f t="shared" si="226"/>
        <v>Lignite_2034</v>
      </c>
      <c r="P3827">
        <f t="shared" si="227"/>
        <v>56</v>
      </c>
    </row>
    <row r="3828" spans="4:16" x14ac:dyDescent="0.25">
      <c r="D3828">
        <v>2035</v>
      </c>
      <c r="E3828" t="s">
        <v>396</v>
      </c>
      <c r="F3828" t="s">
        <v>423</v>
      </c>
      <c r="G3828">
        <v>56</v>
      </c>
      <c r="I3828">
        <f t="shared" si="228"/>
        <v>0</v>
      </c>
      <c r="J3828">
        <f t="shared" si="228"/>
        <v>0</v>
      </c>
      <c r="K3828">
        <f t="shared" si="228"/>
        <v>0</v>
      </c>
      <c r="M3828" t="str" cm="1">
        <f t="array" ref="M3828">IFERROR(INDEX($I$2:$K$2,0,MATCH(TRUE,I3828:K3828,0)),E3828)</f>
        <v>Lignite</v>
      </c>
      <c r="O3828" t="str">
        <f t="shared" si="226"/>
        <v>Lignite_2035</v>
      </c>
      <c r="P3828">
        <f t="shared" si="227"/>
        <v>56</v>
      </c>
    </row>
    <row r="3829" spans="4:16" x14ac:dyDescent="0.25">
      <c r="D3829">
        <v>2036</v>
      </c>
      <c r="E3829" t="s">
        <v>396</v>
      </c>
      <c r="F3829" t="s">
        <v>423</v>
      </c>
      <c r="G3829">
        <v>56</v>
      </c>
      <c r="I3829">
        <f t="shared" si="228"/>
        <v>0</v>
      </c>
      <c r="J3829">
        <f t="shared" si="228"/>
        <v>0</v>
      </c>
      <c r="K3829">
        <f t="shared" si="228"/>
        <v>0</v>
      </c>
      <c r="M3829" t="str" cm="1">
        <f t="array" ref="M3829">IFERROR(INDEX($I$2:$K$2,0,MATCH(TRUE,I3829:K3829,0)),E3829)</f>
        <v>Lignite</v>
      </c>
      <c r="O3829" t="str">
        <f t="shared" si="226"/>
        <v>Lignite_2036</v>
      </c>
      <c r="P3829">
        <f t="shared" si="227"/>
        <v>56</v>
      </c>
    </row>
    <row r="3830" spans="4:16" x14ac:dyDescent="0.25">
      <c r="D3830">
        <v>2037</v>
      </c>
      <c r="E3830" t="s">
        <v>396</v>
      </c>
      <c r="F3830" t="s">
        <v>423</v>
      </c>
      <c r="G3830">
        <v>56</v>
      </c>
      <c r="I3830">
        <f t="shared" si="228"/>
        <v>0</v>
      </c>
      <c r="J3830">
        <f t="shared" si="228"/>
        <v>0</v>
      </c>
      <c r="K3830">
        <f t="shared" si="228"/>
        <v>0</v>
      </c>
      <c r="M3830" t="str" cm="1">
        <f t="array" ref="M3830">IFERROR(INDEX($I$2:$K$2,0,MATCH(TRUE,I3830:K3830,0)),E3830)</f>
        <v>Lignite</v>
      </c>
      <c r="O3830" t="str">
        <f t="shared" si="226"/>
        <v>Lignite_2037</v>
      </c>
      <c r="P3830">
        <f t="shared" si="227"/>
        <v>56</v>
      </c>
    </row>
    <row r="3831" spans="4:16" x14ac:dyDescent="0.25">
      <c r="D3831">
        <v>2038</v>
      </c>
      <c r="E3831" t="s">
        <v>396</v>
      </c>
      <c r="F3831" t="s">
        <v>423</v>
      </c>
      <c r="G3831">
        <v>56</v>
      </c>
      <c r="I3831">
        <f t="shared" si="228"/>
        <v>0</v>
      </c>
      <c r="J3831">
        <f t="shared" si="228"/>
        <v>0</v>
      </c>
      <c r="K3831">
        <f t="shared" si="228"/>
        <v>0</v>
      </c>
      <c r="M3831" t="str" cm="1">
        <f t="array" ref="M3831">IFERROR(INDEX($I$2:$K$2,0,MATCH(TRUE,I3831:K3831,0)),E3831)</f>
        <v>Lignite</v>
      </c>
      <c r="O3831" t="str">
        <f t="shared" si="226"/>
        <v>Lignite_2038</v>
      </c>
      <c r="P3831">
        <f t="shared" si="227"/>
        <v>56</v>
      </c>
    </row>
    <row r="3832" spans="4:16" x14ac:dyDescent="0.25">
      <c r="D3832">
        <v>2021</v>
      </c>
      <c r="E3832" t="s">
        <v>396</v>
      </c>
      <c r="F3832" t="s">
        <v>424</v>
      </c>
      <c r="G3832">
        <v>31</v>
      </c>
      <c r="I3832">
        <f t="shared" si="228"/>
        <v>0</v>
      </c>
      <c r="J3832">
        <f t="shared" si="228"/>
        <v>0</v>
      </c>
      <c r="K3832">
        <f t="shared" si="228"/>
        <v>0</v>
      </c>
      <c r="M3832" t="str" cm="1">
        <f t="array" ref="M3832">IFERROR(INDEX($I$2:$K$2,0,MATCH(TRUE,I3832:K3832,0)),E3832)</f>
        <v>Lignite</v>
      </c>
      <c r="O3832" t="str">
        <f t="shared" si="226"/>
        <v>Lignite_2021</v>
      </c>
      <c r="P3832">
        <f t="shared" si="227"/>
        <v>31</v>
      </c>
    </row>
    <row r="3833" spans="4:16" x14ac:dyDescent="0.25">
      <c r="D3833">
        <v>2022</v>
      </c>
      <c r="E3833" t="s">
        <v>396</v>
      </c>
      <c r="F3833" t="s">
        <v>424</v>
      </c>
      <c r="G3833">
        <v>31</v>
      </c>
      <c r="I3833">
        <f t="shared" si="228"/>
        <v>0</v>
      </c>
      <c r="J3833">
        <f t="shared" si="228"/>
        <v>0</v>
      </c>
      <c r="K3833">
        <f t="shared" si="228"/>
        <v>0</v>
      </c>
      <c r="M3833" t="str" cm="1">
        <f t="array" ref="M3833">IFERROR(INDEX($I$2:$K$2,0,MATCH(TRUE,I3833:K3833,0)),E3833)</f>
        <v>Lignite</v>
      </c>
      <c r="O3833" t="str">
        <f t="shared" si="226"/>
        <v>Lignite_2022</v>
      </c>
      <c r="P3833">
        <f t="shared" si="227"/>
        <v>31</v>
      </c>
    </row>
    <row r="3834" spans="4:16" x14ac:dyDescent="0.25">
      <c r="D3834">
        <v>2021</v>
      </c>
      <c r="E3834" t="s">
        <v>396</v>
      </c>
      <c r="F3834" t="s">
        <v>425</v>
      </c>
      <c r="G3834">
        <v>321</v>
      </c>
      <c r="I3834">
        <f t="shared" si="228"/>
        <v>0</v>
      </c>
      <c r="J3834">
        <f t="shared" si="228"/>
        <v>0</v>
      </c>
      <c r="K3834">
        <f t="shared" si="228"/>
        <v>0</v>
      </c>
      <c r="M3834" t="str" cm="1">
        <f t="array" ref="M3834">IFERROR(INDEX($I$2:$K$2,0,MATCH(TRUE,I3834:K3834,0)),E3834)</f>
        <v>Lignite</v>
      </c>
      <c r="O3834" t="str">
        <f t="shared" si="226"/>
        <v>Lignite_2021</v>
      </c>
      <c r="P3834">
        <f t="shared" si="227"/>
        <v>321</v>
      </c>
    </row>
    <row r="3835" spans="4:16" x14ac:dyDescent="0.25">
      <c r="D3835">
        <v>2021</v>
      </c>
      <c r="E3835" t="s">
        <v>396</v>
      </c>
      <c r="F3835" t="s">
        <v>426</v>
      </c>
      <c r="G3835">
        <v>321</v>
      </c>
      <c r="I3835">
        <f t="shared" si="228"/>
        <v>0</v>
      </c>
      <c r="J3835">
        <f t="shared" si="228"/>
        <v>0</v>
      </c>
      <c r="K3835">
        <f t="shared" si="228"/>
        <v>0</v>
      </c>
      <c r="M3835" t="str" cm="1">
        <f t="array" ref="M3835">IFERROR(INDEX($I$2:$K$2,0,MATCH(TRUE,I3835:K3835,0)),E3835)</f>
        <v>Lignite</v>
      </c>
      <c r="O3835" t="str">
        <f t="shared" si="226"/>
        <v>Lignite_2021</v>
      </c>
      <c r="P3835">
        <f t="shared" si="227"/>
        <v>321</v>
      </c>
    </row>
    <row r="3836" spans="4:16" x14ac:dyDescent="0.25">
      <c r="D3836">
        <v>2022</v>
      </c>
      <c r="E3836" t="s">
        <v>396</v>
      </c>
      <c r="F3836" t="s">
        <v>426</v>
      </c>
      <c r="G3836">
        <v>321</v>
      </c>
      <c r="I3836">
        <f t="shared" si="228"/>
        <v>0</v>
      </c>
      <c r="J3836">
        <f t="shared" si="228"/>
        <v>0</v>
      </c>
      <c r="K3836">
        <f t="shared" si="228"/>
        <v>0</v>
      </c>
      <c r="M3836" t="str" cm="1">
        <f t="array" ref="M3836">IFERROR(INDEX($I$2:$K$2,0,MATCH(TRUE,I3836:K3836,0)),E3836)</f>
        <v>Lignite</v>
      </c>
      <c r="O3836" t="str">
        <f t="shared" si="226"/>
        <v>Lignite_2022</v>
      </c>
      <c r="P3836">
        <f t="shared" si="227"/>
        <v>321</v>
      </c>
    </row>
    <row r="3837" spans="4:16" x14ac:dyDescent="0.25">
      <c r="D3837">
        <v>2023</v>
      </c>
      <c r="E3837" t="s">
        <v>396</v>
      </c>
      <c r="F3837" t="s">
        <v>426</v>
      </c>
      <c r="G3837">
        <v>321</v>
      </c>
      <c r="I3837">
        <f t="shared" si="228"/>
        <v>0</v>
      </c>
      <c r="J3837">
        <f t="shared" si="228"/>
        <v>0</v>
      </c>
      <c r="K3837">
        <f t="shared" si="228"/>
        <v>0</v>
      </c>
      <c r="M3837" t="str" cm="1">
        <f t="array" ref="M3837">IFERROR(INDEX($I$2:$K$2,0,MATCH(TRUE,I3837:K3837,0)),E3837)</f>
        <v>Lignite</v>
      </c>
      <c r="O3837" t="str">
        <f t="shared" si="226"/>
        <v>Lignite_2023</v>
      </c>
      <c r="P3837">
        <f t="shared" si="227"/>
        <v>321</v>
      </c>
    </row>
    <row r="3838" spans="4:16" x14ac:dyDescent="0.25">
      <c r="D3838">
        <v>2024</v>
      </c>
      <c r="E3838" t="s">
        <v>396</v>
      </c>
      <c r="F3838" t="s">
        <v>426</v>
      </c>
      <c r="G3838">
        <v>321</v>
      </c>
      <c r="I3838">
        <f t="shared" si="228"/>
        <v>0</v>
      </c>
      <c r="J3838">
        <f t="shared" si="228"/>
        <v>0</v>
      </c>
      <c r="K3838">
        <f t="shared" si="228"/>
        <v>0</v>
      </c>
      <c r="M3838" t="str" cm="1">
        <f t="array" ref="M3838">IFERROR(INDEX($I$2:$K$2,0,MATCH(TRUE,I3838:K3838,0)),E3838)</f>
        <v>Lignite</v>
      </c>
      <c r="O3838" t="str">
        <f t="shared" si="226"/>
        <v>Lignite_2024</v>
      </c>
      <c r="P3838">
        <f t="shared" si="227"/>
        <v>321</v>
      </c>
    </row>
    <row r="3839" spans="4:16" x14ac:dyDescent="0.25">
      <c r="D3839">
        <v>2021</v>
      </c>
      <c r="E3839" t="s">
        <v>396</v>
      </c>
      <c r="F3839" t="s">
        <v>427</v>
      </c>
      <c r="G3839">
        <v>636</v>
      </c>
      <c r="I3839">
        <f t="shared" si="228"/>
        <v>0</v>
      </c>
      <c r="J3839">
        <f t="shared" si="228"/>
        <v>0</v>
      </c>
      <c r="K3839">
        <f t="shared" si="228"/>
        <v>0</v>
      </c>
      <c r="M3839" t="str" cm="1">
        <f t="array" ref="M3839">IFERROR(INDEX($I$2:$K$2,0,MATCH(TRUE,I3839:K3839,0)),E3839)</f>
        <v>Lignite</v>
      </c>
      <c r="O3839" t="str">
        <f t="shared" si="226"/>
        <v>Lignite_2021</v>
      </c>
      <c r="P3839">
        <f t="shared" si="227"/>
        <v>636</v>
      </c>
    </row>
    <row r="3840" spans="4:16" x14ac:dyDescent="0.25">
      <c r="D3840">
        <v>2022</v>
      </c>
      <c r="E3840" t="s">
        <v>396</v>
      </c>
      <c r="F3840" t="s">
        <v>427</v>
      </c>
      <c r="G3840">
        <v>636</v>
      </c>
      <c r="I3840">
        <f t="shared" si="228"/>
        <v>0</v>
      </c>
      <c r="J3840">
        <f t="shared" si="228"/>
        <v>0</v>
      </c>
      <c r="K3840">
        <f t="shared" si="228"/>
        <v>0</v>
      </c>
      <c r="M3840" t="str" cm="1">
        <f t="array" ref="M3840">IFERROR(INDEX($I$2:$K$2,0,MATCH(TRUE,I3840:K3840,0)),E3840)</f>
        <v>Lignite</v>
      </c>
      <c r="O3840" t="str">
        <f t="shared" si="226"/>
        <v>Lignite_2022</v>
      </c>
      <c r="P3840">
        <f t="shared" si="227"/>
        <v>636</v>
      </c>
    </row>
    <row r="3841" spans="4:16" x14ac:dyDescent="0.25">
      <c r="D3841">
        <v>2023</v>
      </c>
      <c r="E3841" t="s">
        <v>396</v>
      </c>
      <c r="F3841" t="s">
        <v>427</v>
      </c>
      <c r="G3841">
        <v>636</v>
      </c>
      <c r="I3841">
        <f t="shared" si="228"/>
        <v>0</v>
      </c>
      <c r="J3841">
        <f t="shared" si="228"/>
        <v>0</v>
      </c>
      <c r="K3841">
        <f t="shared" si="228"/>
        <v>0</v>
      </c>
      <c r="M3841" t="str" cm="1">
        <f t="array" ref="M3841">IFERROR(INDEX($I$2:$K$2,0,MATCH(TRUE,I3841:K3841,0)),E3841)</f>
        <v>Lignite</v>
      </c>
      <c r="O3841" t="str">
        <f t="shared" si="226"/>
        <v>Lignite_2023</v>
      </c>
      <c r="P3841">
        <f t="shared" si="227"/>
        <v>636</v>
      </c>
    </row>
    <row r="3842" spans="4:16" x14ac:dyDescent="0.25">
      <c r="D3842">
        <v>2024</v>
      </c>
      <c r="E3842" t="s">
        <v>396</v>
      </c>
      <c r="F3842" t="s">
        <v>427</v>
      </c>
      <c r="G3842">
        <v>636</v>
      </c>
      <c r="I3842">
        <f t="shared" si="228"/>
        <v>0</v>
      </c>
      <c r="J3842">
        <f t="shared" si="228"/>
        <v>0</v>
      </c>
      <c r="K3842">
        <f t="shared" si="228"/>
        <v>0</v>
      </c>
      <c r="M3842" t="str" cm="1">
        <f t="array" ref="M3842">IFERROR(INDEX($I$2:$K$2,0,MATCH(TRUE,I3842:K3842,0)),E3842)</f>
        <v>Lignite</v>
      </c>
      <c r="O3842" t="str">
        <f t="shared" si="226"/>
        <v>Lignite_2024</v>
      </c>
      <c r="P3842">
        <f t="shared" si="227"/>
        <v>636</v>
      </c>
    </row>
    <row r="3843" spans="4:16" x14ac:dyDescent="0.25">
      <c r="D3843">
        <v>2025</v>
      </c>
      <c r="E3843" t="s">
        <v>396</v>
      </c>
      <c r="F3843" t="s">
        <v>427</v>
      </c>
      <c r="G3843">
        <v>636</v>
      </c>
      <c r="I3843">
        <f t="shared" si="228"/>
        <v>0</v>
      </c>
      <c r="J3843">
        <f t="shared" si="228"/>
        <v>0</v>
      </c>
      <c r="K3843">
        <f t="shared" si="228"/>
        <v>0</v>
      </c>
      <c r="M3843" t="str" cm="1">
        <f t="array" ref="M3843">IFERROR(INDEX($I$2:$K$2,0,MATCH(TRUE,I3843:K3843,0)),E3843)</f>
        <v>Lignite</v>
      </c>
      <c r="O3843" t="str">
        <f t="shared" si="226"/>
        <v>Lignite_2025</v>
      </c>
      <c r="P3843">
        <f t="shared" si="227"/>
        <v>636</v>
      </c>
    </row>
    <row r="3844" spans="4:16" x14ac:dyDescent="0.25">
      <c r="D3844">
        <v>2026</v>
      </c>
      <c r="E3844" t="s">
        <v>396</v>
      </c>
      <c r="F3844" t="s">
        <v>427</v>
      </c>
      <c r="G3844">
        <v>636</v>
      </c>
      <c r="I3844">
        <f t="shared" si="228"/>
        <v>0</v>
      </c>
      <c r="J3844">
        <f t="shared" si="228"/>
        <v>0</v>
      </c>
      <c r="K3844">
        <f t="shared" si="228"/>
        <v>0</v>
      </c>
      <c r="M3844" t="str" cm="1">
        <f t="array" ref="M3844">IFERROR(INDEX($I$2:$K$2,0,MATCH(TRUE,I3844:K3844,0)),E3844)</f>
        <v>Lignite</v>
      </c>
      <c r="O3844" t="str">
        <f t="shared" si="226"/>
        <v>Lignite_2026</v>
      </c>
      <c r="P3844">
        <f t="shared" si="227"/>
        <v>636</v>
      </c>
    </row>
    <row r="3845" spans="4:16" x14ac:dyDescent="0.25">
      <c r="D3845">
        <v>2027</v>
      </c>
      <c r="E3845" t="s">
        <v>396</v>
      </c>
      <c r="F3845" t="s">
        <v>427</v>
      </c>
      <c r="G3845">
        <v>636</v>
      </c>
      <c r="I3845">
        <f t="shared" si="228"/>
        <v>0</v>
      </c>
      <c r="J3845">
        <f t="shared" si="228"/>
        <v>0</v>
      </c>
      <c r="K3845">
        <f t="shared" si="228"/>
        <v>0</v>
      </c>
      <c r="M3845" t="str" cm="1">
        <f t="array" ref="M3845">IFERROR(INDEX($I$2:$K$2,0,MATCH(TRUE,I3845:K3845,0)),E3845)</f>
        <v>Lignite</v>
      </c>
      <c r="O3845" t="str">
        <f t="shared" si="226"/>
        <v>Lignite_2027</v>
      </c>
      <c r="P3845">
        <f t="shared" si="227"/>
        <v>636</v>
      </c>
    </row>
    <row r="3846" spans="4:16" x14ac:dyDescent="0.25">
      <c r="D3846">
        <v>2028</v>
      </c>
      <c r="E3846" t="s">
        <v>396</v>
      </c>
      <c r="F3846" t="s">
        <v>427</v>
      </c>
      <c r="G3846">
        <v>0</v>
      </c>
      <c r="I3846">
        <f t="shared" si="228"/>
        <v>0</v>
      </c>
      <c r="J3846">
        <f t="shared" si="228"/>
        <v>0</v>
      </c>
      <c r="K3846">
        <f t="shared" si="228"/>
        <v>0</v>
      </c>
      <c r="M3846" t="str" cm="1">
        <f t="array" ref="M3846">IFERROR(INDEX($I$2:$K$2,0,MATCH(TRUE,I3846:K3846,0)),E3846)</f>
        <v>Lignite</v>
      </c>
      <c r="O3846" t="str">
        <f t="shared" si="226"/>
        <v>Lignite_2028</v>
      </c>
      <c r="P3846">
        <f t="shared" si="227"/>
        <v>0</v>
      </c>
    </row>
    <row r="3847" spans="4:16" x14ac:dyDescent="0.25">
      <c r="D3847">
        <v>2021</v>
      </c>
      <c r="E3847" t="s">
        <v>396</v>
      </c>
      <c r="F3847" t="s">
        <v>428</v>
      </c>
      <c r="G3847">
        <v>635</v>
      </c>
      <c r="I3847">
        <f t="shared" si="228"/>
        <v>0</v>
      </c>
      <c r="J3847">
        <f t="shared" si="228"/>
        <v>0</v>
      </c>
      <c r="K3847">
        <f t="shared" si="228"/>
        <v>0</v>
      </c>
      <c r="M3847" t="str" cm="1">
        <f t="array" ref="M3847">IFERROR(INDEX($I$2:$K$2,0,MATCH(TRUE,I3847:K3847,0)),E3847)</f>
        <v>Lignite</v>
      </c>
      <c r="O3847" t="str">
        <f t="shared" si="226"/>
        <v>Lignite_2021</v>
      </c>
      <c r="P3847">
        <f t="shared" si="227"/>
        <v>635</v>
      </c>
    </row>
    <row r="3848" spans="4:16" x14ac:dyDescent="0.25">
      <c r="D3848">
        <v>2022</v>
      </c>
      <c r="E3848" t="s">
        <v>396</v>
      </c>
      <c r="F3848" t="s">
        <v>428</v>
      </c>
      <c r="G3848">
        <v>635</v>
      </c>
      <c r="I3848">
        <f t="shared" si="228"/>
        <v>0</v>
      </c>
      <c r="J3848">
        <f t="shared" si="228"/>
        <v>0</v>
      </c>
      <c r="K3848">
        <f t="shared" si="228"/>
        <v>0</v>
      </c>
      <c r="M3848" t="str" cm="1">
        <f t="array" ref="M3848">IFERROR(INDEX($I$2:$K$2,0,MATCH(TRUE,I3848:K3848,0)),E3848)</f>
        <v>Lignite</v>
      </c>
      <c r="O3848" t="str">
        <f t="shared" si="226"/>
        <v>Lignite_2022</v>
      </c>
      <c r="P3848">
        <f t="shared" si="227"/>
        <v>635</v>
      </c>
    </row>
    <row r="3849" spans="4:16" x14ac:dyDescent="0.25">
      <c r="D3849">
        <v>2023</v>
      </c>
      <c r="E3849" t="s">
        <v>396</v>
      </c>
      <c r="F3849" t="s">
        <v>428</v>
      </c>
      <c r="G3849">
        <v>635</v>
      </c>
      <c r="I3849">
        <f t="shared" si="228"/>
        <v>0</v>
      </c>
      <c r="J3849">
        <f t="shared" si="228"/>
        <v>0</v>
      </c>
      <c r="K3849">
        <f t="shared" si="228"/>
        <v>0</v>
      </c>
      <c r="M3849" t="str" cm="1">
        <f t="array" ref="M3849">IFERROR(INDEX($I$2:$K$2,0,MATCH(TRUE,I3849:K3849,0)),E3849)</f>
        <v>Lignite</v>
      </c>
      <c r="O3849" t="str">
        <f t="shared" si="226"/>
        <v>Lignite_2023</v>
      </c>
      <c r="P3849">
        <f t="shared" si="227"/>
        <v>635</v>
      </c>
    </row>
    <row r="3850" spans="4:16" x14ac:dyDescent="0.25">
      <c r="D3850">
        <v>2024</v>
      </c>
      <c r="E3850" t="s">
        <v>396</v>
      </c>
      <c r="F3850" t="s">
        <v>428</v>
      </c>
      <c r="G3850">
        <v>635</v>
      </c>
      <c r="I3850">
        <f t="shared" si="228"/>
        <v>0</v>
      </c>
      <c r="J3850">
        <f t="shared" si="228"/>
        <v>0</v>
      </c>
      <c r="K3850">
        <f t="shared" si="228"/>
        <v>0</v>
      </c>
      <c r="M3850" t="str" cm="1">
        <f t="array" ref="M3850">IFERROR(INDEX($I$2:$K$2,0,MATCH(TRUE,I3850:K3850,0)),E3850)</f>
        <v>Lignite</v>
      </c>
      <c r="O3850" t="str">
        <f t="shared" si="226"/>
        <v>Lignite_2024</v>
      </c>
      <c r="P3850">
        <f t="shared" si="227"/>
        <v>635</v>
      </c>
    </row>
    <row r="3851" spans="4:16" x14ac:dyDescent="0.25">
      <c r="D3851">
        <v>2025</v>
      </c>
      <c r="E3851" t="s">
        <v>396</v>
      </c>
      <c r="F3851" t="s">
        <v>428</v>
      </c>
      <c r="G3851">
        <v>635</v>
      </c>
      <c r="I3851">
        <f t="shared" si="228"/>
        <v>0</v>
      </c>
      <c r="J3851">
        <f t="shared" si="228"/>
        <v>0</v>
      </c>
      <c r="K3851">
        <f t="shared" si="228"/>
        <v>0</v>
      </c>
      <c r="M3851" t="str" cm="1">
        <f t="array" ref="M3851">IFERROR(INDEX($I$2:$K$2,0,MATCH(TRUE,I3851:K3851,0)),E3851)</f>
        <v>Lignite</v>
      </c>
      <c r="O3851" t="str">
        <f t="shared" si="226"/>
        <v>Lignite_2025</v>
      </c>
      <c r="P3851">
        <f t="shared" si="227"/>
        <v>635</v>
      </c>
    </row>
    <row r="3852" spans="4:16" x14ac:dyDescent="0.25">
      <c r="D3852">
        <v>2026</v>
      </c>
      <c r="E3852" t="s">
        <v>396</v>
      </c>
      <c r="F3852" t="s">
        <v>428</v>
      </c>
      <c r="G3852">
        <v>635</v>
      </c>
      <c r="I3852">
        <f t="shared" si="228"/>
        <v>0</v>
      </c>
      <c r="J3852">
        <f t="shared" si="228"/>
        <v>0</v>
      </c>
      <c r="K3852">
        <f t="shared" si="228"/>
        <v>0</v>
      </c>
      <c r="M3852" t="str" cm="1">
        <f t="array" ref="M3852">IFERROR(INDEX($I$2:$K$2,0,MATCH(TRUE,I3852:K3852,0)),E3852)</f>
        <v>Lignite</v>
      </c>
      <c r="O3852" t="str">
        <f t="shared" si="226"/>
        <v>Lignite_2026</v>
      </c>
      <c r="P3852">
        <f t="shared" si="227"/>
        <v>635</v>
      </c>
    </row>
    <row r="3853" spans="4:16" x14ac:dyDescent="0.25">
      <c r="D3853">
        <v>2027</v>
      </c>
      <c r="E3853" t="s">
        <v>396</v>
      </c>
      <c r="F3853" t="s">
        <v>428</v>
      </c>
      <c r="G3853">
        <v>635</v>
      </c>
      <c r="I3853">
        <f t="shared" si="228"/>
        <v>0</v>
      </c>
      <c r="J3853">
        <f t="shared" si="228"/>
        <v>0</v>
      </c>
      <c r="K3853">
        <f t="shared" si="228"/>
        <v>0</v>
      </c>
      <c r="M3853" t="str" cm="1">
        <f t="array" ref="M3853">IFERROR(INDEX($I$2:$K$2,0,MATCH(TRUE,I3853:K3853,0)),E3853)</f>
        <v>Lignite</v>
      </c>
      <c r="O3853" t="str">
        <f t="shared" si="226"/>
        <v>Lignite_2027</v>
      </c>
      <c r="P3853">
        <f t="shared" si="227"/>
        <v>635</v>
      </c>
    </row>
    <row r="3854" spans="4:16" x14ac:dyDescent="0.25">
      <c r="D3854">
        <v>2028</v>
      </c>
      <c r="E3854" t="s">
        <v>396</v>
      </c>
      <c r="F3854" t="s">
        <v>428</v>
      </c>
      <c r="G3854">
        <v>635</v>
      </c>
      <c r="I3854">
        <f t="shared" si="228"/>
        <v>0</v>
      </c>
      <c r="J3854">
        <f t="shared" si="228"/>
        <v>0</v>
      </c>
      <c r="K3854">
        <f t="shared" si="228"/>
        <v>0</v>
      </c>
      <c r="M3854" t="str" cm="1">
        <f t="array" ref="M3854">IFERROR(INDEX($I$2:$K$2,0,MATCH(TRUE,I3854:K3854,0)),E3854)</f>
        <v>Lignite</v>
      </c>
      <c r="O3854" t="str">
        <f t="shared" si="226"/>
        <v>Lignite_2028</v>
      </c>
      <c r="P3854">
        <f t="shared" si="227"/>
        <v>635</v>
      </c>
    </row>
    <row r="3855" spans="4:16" x14ac:dyDescent="0.25">
      <c r="D3855">
        <v>2029</v>
      </c>
      <c r="E3855" t="s">
        <v>396</v>
      </c>
      <c r="F3855" t="s">
        <v>428</v>
      </c>
      <c r="G3855">
        <v>0</v>
      </c>
      <c r="I3855">
        <f t="shared" si="228"/>
        <v>0</v>
      </c>
      <c r="J3855">
        <f t="shared" si="228"/>
        <v>0</v>
      </c>
      <c r="K3855">
        <f t="shared" si="228"/>
        <v>0</v>
      </c>
      <c r="M3855" t="str" cm="1">
        <f t="array" ref="M3855">IFERROR(INDEX($I$2:$K$2,0,MATCH(TRUE,I3855:K3855,0)),E3855)</f>
        <v>Lignite</v>
      </c>
      <c r="O3855" t="str">
        <f t="shared" si="226"/>
        <v>Lignite_2029</v>
      </c>
      <c r="P3855">
        <f t="shared" si="227"/>
        <v>0</v>
      </c>
    </row>
    <row r="3856" spans="4:16" x14ac:dyDescent="0.25">
      <c r="D3856">
        <v>2021</v>
      </c>
      <c r="E3856" t="s">
        <v>429</v>
      </c>
      <c r="F3856" t="s">
        <v>430</v>
      </c>
      <c r="G3856">
        <v>857</v>
      </c>
      <c r="I3856">
        <f t="shared" si="228"/>
        <v>0</v>
      </c>
      <c r="J3856">
        <f t="shared" si="228"/>
        <v>0</v>
      </c>
      <c r="K3856">
        <f t="shared" si="228"/>
        <v>0</v>
      </c>
      <c r="M3856" t="str" cm="1">
        <f t="array" ref="M3856">IFERROR(INDEX($I$2:$K$2,0,MATCH(TRUE,I3856:K3856,0)),E3856)</f>
        <v>Lignite new</v>
      </c>
      <c r="O3856" t="str">
        <f t="shared" si="226"/>
        <v>Lignite new_2021</v>
      </c>
      <c r="P3856">
        <f t="shared" si="227"/>
        <v>857</v>
      </c>
    </row>
    <row r="3857" spans="4:16" x14ac:dyDescent="0.25">
      <c r="D3857">
        <v>2022</v>
      </c>
      <c r="E3857" t="s">
        <v>429</v>
      </c>
      <c r="F3857" t="s">
        <v>430</v>
      </c>
      <c r="G3857">
        <v>857</v>
      </c>
      <c r="I3857">
        <f t="shared" si="228"/>
        <v>0</v>
      </c>
      <c r="J3857">
        <f t="shared" si="228"/>
        <v>0</v>
      </c>
      <c r="K3857">
        <f t="shared" si="228"/>
        <v>0</v>
      </c>
      <c r="M3857" t="str" cm="1">
        <f t="array" ref="M3857">IFERROR(INDEX($I$2:$K$2,0,MATCH(TRUE,I3857:K3857,0)),E3857)</f>
        <v>Lignite new</v>
      </c>
      <c r="O3857" t="str">
        <f t="shared" si="226"/>
        <v>Lignite new_2022</v>
      </c>
      <c r="P3857">
        <f t="shared" si="227"/>
        <v>857</v>
      </c>
    </row>
    <row r="3858" spans="4:16" x14ac:dyDescent="0.25">
      <c r="D3858">
        <v>2023</v>
      </c>
      <c r="E3858" t="s">
        <v>429</v>
      </c>
      <c r="F3858" t="s">
        <v>430</v>
      </c>
      <c r="G3858">
        <v>857</v>
      </c>
      <c r="I3858">
        <f t="shared" si="228"/>
        <v>0</v>
      </c>
      <c r="J3858">
        <f t="shared" si="228"/>
        <v>0</v>
      </c>
      <c r="K3858">
        <f t="shared" si="228"/>
        <v>0</v>
      </c>
      <c r="M3858" t="str" cm="1">
        <f t="array" ref="M3858">IFERROR(INDEX($I$2:$K$2,0,MATCH(TRUE,I3858:K3858,0)),E3858)</f>
        <v>Lignite new</v>
      </c>
      <c r="O3858" t="str">
        <f t="shared" si="226"/>
        <v>Lignite new_2023</v>
      </c>
      <c r="P3858">
        <f t="shared" si="227"/>
        <v>857</v>
      </c>
    </row>
    <row r="3859" spans="4:16" x14ac:dyDescent="0.25">
      <c r="D3859">
        <v>2024</v>
      </c>
      <c r="E3859" t="s">
        <v>429</v>
      </c>
      <c r="F3859" t="s">
        <v>430</v>
      </c>
      <c r="G3859">
        <v>857</v>
      </c>
      <c r="I3859">
        <f t="shared" si="228"/>
        <v>0</v>
      </c>
      <c r="J3859">
        <f t="shared" si="228"/>
        <v>0</v>
      </c>
      <c r="K3859">
        <f t="shared" si="228"/>
        <v>0</v>
      </c>
      <c r="M3859" t="str" cm="1">
        <f t="array" ref="M3859">IFERROR(INDEX($I$2:$K$2,0,MATCH(TRUE,I3859:K3859,0)),E3859)</f>
        <v>Lignite new</v>
      </c>
      <c r="O3859" t="str">
        <f t="shared" ref="O3859:O3922" si="229">M3859&amp;"_"&amp;D3859</f>
        <v>Lignite new_2024</v>
      </c>
      <c r="P3859">
        <f t="shared" ref="P3859:P3922" si="230">G3859</f>
        <v>857</v>
      </c>
    </row>
    <row r="3860" spans="4:16" x14ac:dyDescent="0.25">
      <c r="D3860">
        <v>2025</v>
      </c>
      <c r="E3860" t="s">
        <v>429</v>
      </c>
      <c r="F3860" t="s">
        <v>430</v>
      </c>
      <c r="G3860">
        <v>857</v>
      </c>
      <c r="I3860">
        <f t="shared" si="228"/>
        <v>0</v>
      </c>
      <c r="J3860">
        <f t="shared" si="228"/>
        <v>0</v>
      </c>
      <c r="K3860">
        <f t="shared" si="228"/>
        <v>0</v>
      </c>
      <c r="M3860" t="str" cm="1">
        <f t="array" ref="M3860">IFERROR(INDEX($I$2:$K$2,0,MATCH(TRUE,I3860:K3860,0)),E3860)</f>
        <v>Lignite new</v>
      </c>
      <c r="O3860" t="str">
        <f t="shared" si="229"/>
        <v>Lignite new_2025</v>
      </c>
      <c r="P3860">
        <f t="shared" si="230"/>
        <v>857</v>
      </c>
    </row>
    <row r="3861" spans="4:16" x14ac:dyDescent="0.25">
      <c r="D3861">
        <v>2026</v>
      </c>
      <c r="E3861" t="s">
        <v>429</v>
      </c>
      <c r="F3861" t="s">
        <v>430</v>
      </c>
      <c r="G3861">
        <v>857</v>
      </c>
      <c r="I3861">
        <f t="shared" ref="I3861:K3924" si="231">IFERROR(FIND(I$2,$E3861,1)&gt;0,0)</f>
        <v>0</v>
      </c>
      <c r="J3861">
        <f t="shared" si="231"/>
        <v>0</v>
      </c>
      <c r="K3861">
        <f t="shared" si="231"/>
        <v>0</v>
      </c>
      <c r="M3861" t="str" cm="1">
        <f t="array" ref="M3861">IFERROR(INDEX($I$2:$K$2,0,MATCH(TRUE,I3861:K3861,0)),E3861)</f>
        <v>Lignite new</v>
      </c>
      <c r="O3861" t="str">
        <f t="shared" si="229"/>
        <v>Lignite new_2026</v>
      </c>
      <c r="P3861">
        <f t="shared" si="230"/>
        <v>857</v>
      </c>
    </row>
    <row r="3862" spans="4:16" x14ac:dyDescent="0.25">
      <c r="D3862">
        <v>2027</v>
      </c>
      <c r="E3862" t="s">
        <v>429</v>
      </c>
      <c r="F3862" t="s">
        <v>430</v>
      </c>
      <c r="G3862">
        <v>857</v>
      </c>
      <c r="I3862">
        <f t="shared" si="231"/>
        <v>0</v>
      </c>
      <c r="J3862">
        <f t="shared" si="231"/>
        <v>0</v>
      </c>
      <c r="K3862">
        <f t="shared" si="231"/>
        <v>0</v>
      </c>
      <c r="M3862" t="str" cm="1">
        <f t="array" ref="M3862">IFERROR(INDEX($I$2:$K$2,0,MATCH(TRUE,I3862:K3862,0)),E3862)</f>
        <v>Lignite new</v>
      </c>
      <c r="O3862" t="str">
        <f t="shared" si="229"/>
        <v>Lignite new_2027</v>
      </c>
      <c r="P3862">
        <f t="shared" si="230"/>
        <v>857</v>
      </c>
    </row>
    <row r="3863" spans="4:16" x14ac:dyDescent="0.25">
      <c r="D3863">
        <v>2028</v>
      </c>
      <c r="E3863" t="s">
        <v>429</v>
      </c>
      <c r="F3863" t="s">
        <v>430</v>
      </c>
      <c r="G3863">
        <v>857</v>
      </c>
      <c r="I3863">
        <f t="shared" si="231"/>
        <v>0</v>
      </c>
      <c r="J3863">
        <f t="shared" si="231"/>
        <v>0</v>
      </c>
      <c r="K3863">
        <f t="shared" si="231"/>
        <v>0</v>
      </c>
      <c r="M3863" t="str" cm="1">
        <f t="array" ref="M3863">IFERROR(INDEX($I$2:$K$2,0,MATCH(TRUE,I3863:K3863,0)),E3863)</f>
        <v>Lignite new</v>
      </c>
      <c r="O3863" t="str">
        <f t="shared" si="229"/>
        <v>Lignite new_2028</v>
      </c>
      <c r="P3863">
        <f t="shared" si="230"/>
        <v>857</v>
      </c>
    </row>
    <row r="3864" spans="4:16" x14ac:dyDescent="0.25">
      <c r="D3864">
        <v>2029</v>
      </c>
      <c r="E3864" t="s">
        <v>429</v>
      </c>
      <c r="F3864" t="s">
        <v>430</v>
      </c>
      <c r="G3864">
        <v>857</v>
      </c>
      <c r="I3864">
        <f t="shared" si="231"/>
        <v>0</v>
      </c>
      <c r="J3864">
        <f t="shared" si="231"/>
        <v>0</v>
      </c>
      <c r="K3864">
        <f t="shared" si="231"/>
        <v>0</v>
      </c>
      <c r="M3864" t="str" cm="1">
        <f t="array" ref="M3864">IFERROR(INDEX($I$2:$K$2,0,MATCH(TRUE,I3864:K3864,0)),E3864)</f>
        <v>Lignite new</v>
      </c>
      <c r="O3864" t="str">
        <f t="shared" si="229"/>
        <v>Lignite new_2029</v>
      </c>
      <c r="P3864">
        <f t="shared" si="230"/>
        <v>857</v>
      </c>
    </row>
    <row r="3865" spans="4:16" x14ac:dyDescent="0.25">
      <c r="D3865">
        <v>2030</v>
      </c>
      <c r="E3865" t="s">
        <v>429</v>
      </c>
      <c r="F3865" t="s">
        <v>430</v>
      </c>
      <c r="G3865">
        <v>857</v>
      </c>
      <c r="I3865">
        <f t="shared" si="231"/>
        <v>0</v>
      </c>
      <c r="J3865">
        <f t="shared" si="231"/>
        <v>0</v>
      </c>
      <c r="K3865">
        <f t="shared" si="231"/>
        <v>0</v>
      </c>
      <c r="M3865" t="str" cm="1">
        <f t="array" ref="M3865">IFERROR(INDEX($I$2:$K$2,0,MATCH(TRUE,I3865:K3865,0)),E3865)</f>
        <v>Lignite new</v>
      </c>
      <c r="O3865" t="str">
        <f t="shared" si="229"/>
        <v>Lignite new_2030</v>
      </c>
      <c r="P3865">
        <f t="shared" si="230"/>
        <v>857</v>
      </c>
    </row>
    <row r="3866" spans="4:16" x14ac:dyDescent="0.25">
      <c r="D3866">
        <v>2031</v>
      </c>
      <c r="E3866" t="s">
        <v>429</v>
      </c>
      <c r="F3866" t="s">
        <v>430</v>
      </c>
      <c r="G3866">
        <v>857</v>
      </c>
      <c r="I3866">
        <f t="shared" si="231"/>
        <v>0</v>
      </c>
      <c r="J3866">
        <f t="shared" si="231"/>
        <v>0</v>
      </c>
      <c r="K3866">
        <f t="shared" si="231"/>
        <v>0</v>
      </c>
      <c r="M3866" t="str" cm="1">
        <f t="array" ref="M3866">IFERROR(INDEX($I$2:$K$2,0,MATCH(TRUE,I3866:K3866,0)),E3866)</f>
        <v>Lignite new</v>
      </c>
      <c r="O3866" t="str">
        <f t="shared" si="229"/>
        <v>Lignite new_2031</v>
      </c>
      <c r="P3866">
        <f t="shared" si="230"/>
        <v>857</v>
      </c>
    </row>
    <row r="3867" spans="4:16" x14ac:dyDescent="0.25">
      <c r="D3867">
        <v>2032</v>
      </c>
      <c r="E3867" t="s">
        <v>429</v>
      </c>
      <c r="F3867" t="s">
        <v>430</v>
      </c>
      <c r="G3867">
        <v>857</v>
      </c>
      <c r="I3867">
        <f t="shared" si="231"/>
        <v>0</v>
      </c>
      <c r="J3867">
        <f t="shared" si="231"/>
        <v>0</v>
      </c>
      <c r="K3867">
        <f t="shared" si="231"/>
        <v>0</v>
      </c>
      <c r="M3867" t="str" cm="1">
        <f t="array" ref="M3867">IFERROR(INDEX($I$2:$K$2,0,MATCH(TRUE,I3867:K3867,0)),E3867)</f>
        <v>Lignite new</v>
      </c>
      <c r="O3867" t="str">
        <f t="shared" si="229"/>
        <v>Lignite new_2032</v>
      </c>
      <c r="P3867">
        <f t="shared" si="230"/>
        <v>857</v>
      </c>
    </row>
    <row r="3868" spans="4:16" x14ac:dyDescent="0.25">
      <c r="D3868">
        <v>2033</v>
      </c>
      <c r="E3868" t="s">
        <v>429</v>
      </c>
      <c r="F3868" t="s">
        <v>430</v>
      </c>
      <c r="G3868">
        <v>857</v>
      </c>
      <c r="I3868">
        <f t="shared" si="231"/>
        <v>0</v>
      </c>
      <c r="J3868">
        <f t="shared" si="231"/>
        <v>0</v>
      </c>
      <c r="K3868">
        <f t="shared" si="231"/>
        <v>0</v>
      </c>
      <c r="M3868" t="str" cm="1">
        <f t="array" ref="M3868">IFERROR(INDEX($I$2:$K$2,0,MATCH(TRUE,I3868:K3868,0)),E3868)</f>
        <v>Lignite new</v>
      </c>
      <c r="O3868" t="str">
        <f t="shared" si="229"/>
        <v>Lignite new_2033</v>
      </c>
      <c r="P3868">
        <f t="shared" si="230"/>
        <v>857</v>
      </c>
    </row>
    <row r="3869" spans="4:16" x14ac:dyDescent="0.25">
      <c r="D3869">
        <v>2034</v>
      </c>
      <c r="E3869" t="s">
        <v>429</v>
      </c>
      <c r="F3869" t="s">
        <v>430</v>
      </c>
      <c r="G3869">
        <v>857</v>
      </c>
      <c r="I3869">
        <f t="shared" si="231"/>
        <v>0</v>
      </c>
      <c r="J3869">
        <f t="shared" si="231"/>
        <v>0</v>
      </c>
      <c r="K3869">
        <f t="shared" si="231"/>
        <v>0</v>
      </c>
      <c r="M3869" t="str" cm="1">
        <f t="array" ref="M3869">IFERROR(INDEX($I$2:$K$2,0,MATCH(TRUE,I3869:K3869,0)),E3869)</f>
        <v>Lignite new</v>
      </c>
      <c r="O3869" t="str">
        <f t="shared" si="229"/>
        <v>Lignite new_2034</v>
      </c>
      <c r="P3869">
        <f t="shared" si="230"/>
        <v>857</v>
      </c>
    </row>
    <row r="3870" spans="4:16" x14ac:dyDescent="0.25">
      <c r="D3870">
        <v>2035</v>
      </c>
      <c r="E3870" t="s">
        <v>429</v>
      </c>
      <c r="F3870" t="s">
        <v>430</v>
      </c>
      <c r="G3870">
        <v>857</v>
      </c>
      <c r="I3870">
        <f t="shared" si="231"/>
        <v>0</v>
      </c>
      <c r="J3870">
        <f t="shared" si="231"/>
        <v>0</v>
      </c>
      <c r="K3870">
        <f t="shared" si="231"/>
        <v>0</v>
      </c>
      <c r="M3870" t="str" cm="1">
        <f t="array" ref="M3870">IFERROR(INDEX($I$2:$K$2,0,MATCH(TRUE,I3870:K3870,0)),E3870)</f>
        <v>Lignite new</v>
      </c>
      <c r="O3870" t="str">
        <f t="shared" si="229"/>
        <v>Lignite new_2035</v>
      </c>
      <c r="P3870">
        <f t="shared" si="230"/>
        <v>857</v>
      </c>
    </row>
    <row r="3871" spans="4:16" x14ac:dyDescent="0.25">
      <c r="D3871">
        <v>2036</v>
      </c>
      <c r="E3871" t="s">
        <v>429</v>
      </c>
      <c r="F3871" t="s">
        <v>430</v>
      </c>
      <c r="G3871">
        <v>857</v>
      </c>
      <c r="I3871">
        <f t="shared" si="231"/>
        <v>0</v>
      </c>
      <c r="J3871">
        <f t="shared" si="231"/>
        <v>0</v>
      </c>
      <c r="K3871">
        <f t="shared" si="231"/>
        <v>0</v>
      </c>
      <c r="M3871" t="str" cm="1">
        <f t="array" ref="M3871">IFERROR(INDEX($I$2:$K$2,0,MATCH(TRUE,I3871:K3871,0)),E3871)</f>
        <v>Lignite new</v>
      </c>
      <c r="O3871" t="str">
        <f t="shared" si="229"/>
        <v>Lignite new_2036</v>
      </c>
      <c r="P3871">
        <f t="shared" si="230"/>
        <v>857</v>
      </c>
    </row>
    <row r="3872" spans="4:16" x14ac:dyDescent="0.25">
      <c r="D3872">
        <v>2037</v>
      </c>
      <c r="E3872" t="s">
        <v>429</v>
      </c>
      <c r="F3872" t="s">
        <v>430</v>
      </c>
      <c r="G3872">
        <v>857</v>
      </c>
      <c r="I3872">
        <f t="shared" si="231"/>
        <v>0</v>
      </c>
      <c r="J3872">
        <f t="shared" si="231"/>
        <v>0</v>
      </c>
      <c r="K3872">
        <f t="shared" si="231"/>
        <v>0</v>
      </c>
      <c r="M3872" t="str" cm="1">
        <f t="array" ref="M3872">IFERROR(INDEX($I$2:$K$2,0,MATCH(TRUE,I3872:K3872,0)),E3872)</f>
        <v>Lignite new</v>
      </c>
      <c r="O3872" t="str">
        <f t="shared" si="229"/>
        <v>Lignite new_2037</v>
      </c>
      <c r="P3872">
        <f t="shared" si="230"/>
        <v>857</v>
      </c>
    </row>
    <row r="3873" spans="4:16" x14ac:dyDescent="0.25">
      <c r="D3873">
        <v>2038</v>
      </c>
      <c r="E3873" t="s">
        <v>429</v>
      </c>
      <c r="F3873" t="s">
        <v>430</v>
      </c>
      <c r="G3873">
        <v>857</v>
      </c>
      <c r="I3873">
        <f t="shared" si="231"/>
        <v>0</v>
      </c>
      <c r="J3873">
        <f t="shared" si="231"/>
        <v>0</v>
      </c>
      <c r="K3873">
        <f t="shared" si="231"/>
        <v>0</v>
      </c>
      <c r="M3873" t="str" cm="1">
        <f t="array" ref="M3873">IFERROR(INDEX($I$2:$K$2,0,MATCH(TRUE,I3873:K3873,0)),E3873)</f>
        <v>Lignite new</v>
      </c>
      <c r="O3873" t="str">
        <f t="shared" si="229"/>
        <v>Lignite new_2038</v>
      </c>
      <c r="P3873">
        <f t="shared" si="230"/>
        <v>857</v>
      </c>
    </row>
    <row r="3874" spans="4:16" x14ac:dyDescent="0.25">
      <c r="D3874">
        <v>2021</v>
      </c>
      <c r="E3874" t="s">
        <v>429</v>
      </c>
      <c r="F3874" t="s">
        <v>431</v>
      </c>
      <c r="G3874">
        <v>635</v>
      </c>
      <c r="I3874">
        <f t="shared" si="231"/>
        <v>0</v>
      </c>
      <c r="J3874">
        <f t="shared" si="231"/>
        <v>0</v>
      </c>
      <c r="K3874">
        <f t="shared" si="231"/>
        <v>0</v>
      </c>
      <c r="M3874" t="str" cm="1">
        <f t="array" ref="M3874">IFERROR(INDEX($I$2:$K$2,0,MATCH(TRUE,I3874:K3874,0)),E3874)</f>
        <v>Lignite new</v>
      </c>
      <c r="O3874" t="str">
        <f t="shared" si="229"/>
        <v>Lignite new_2021</v>
      </c>
      <c r="P3874">
        <f t="shared" si="230"/>
        <v>635</v>
      </c>
    </row>
    <row r="3875" spans="4:16" x14ac:dyDescent="0.25">
      <c r="D3875">
        <v>2022</v>
      </c>
      <c r="E3875" t="s">
        <v>429</v>
      </c>
      <c r="F3875" t="s">
        <v>431</v>
      </c>
      <c r="G3875">
        <v>635</v>
      </c>
      <c r="I3875">
        <f t="shared" si="231"/>
        <v>0</v>
      </c>
      <c r="J3875">
        <f t="shared" si="231"/>
        <v>0</v>
      </c>
      <c r="K3875">
        <f t="shared" si="231"/>
        <v>0</v>
      </c>
      <c r="M3875" t="str" cm="1">
        <f t="array" ref="M3875">IFERROR(INDEX($I$2:$K$2,0,MATCH(TRUE,I3875:K3875,0)),E3875)</f>
        <v>Lignite new</v>
      </c>
      <c r="O3875" t="str">
        <f t="shared" si="229"/>
        <v>Lignite new_2022</v>
      </c>
      <c r="P3875">
        <f t="shared" si="230"/>
        <v>635</v>
      </c>
    </row>
    <row r="3876" spans="4:16" x14ac:dyDescent="0.25">
      <c r="D3876">
        <v>2023</v>
      </c>
      <c r="E3876" t="s">
        <v>429</v>
      </c>
      <c r="F3876" t="s">
        <v>431</v>
      </c>
      <c r="G3876">
        <v>635</v>
      </c>
      <c r="I3876">
        <f t="shared" si="231"/>
        <v>0</v>
      </c>
      <c r="J3876">
        <f t="shared" si="231"/>
        <v>0</v>
      </c>
      <c r="K3876">
        <f t="shared" si="231"/>
        <v>0</v>
      </c>
      <c r="M3876" t="str" cm="1">
        <f t="array" ref="M3876">IFERROR(INDEX($I$2:$K$2,0,MATCH(TRUE,I3876:K3876,0)),E3876)</f>
        <v>Lignite new</v>
      </c>
      <c r="O3876" t="str">
        <f t="shared" si="229"/>
        <v>Lignite new_2023</v>
      </c>
      <c r="P3876">
        <f t="shared" si="230"/>
        <v>635</v>
      </c>
    </row>
    <row r="3877" spans="4:16" x14ac:dyDescent="0.25">
      <c r="D3877">
        <v>2024</v>
      </c>
      <c r="E3877" t="s">
        <v>429</v>
      </c>
      <c r="F3877" t="s">
        <v>431</v>
      </c>
      <c r="G3877">
        <v>635</v>
      </c>
      <c r="I3877">
        <f t="shared" si="231"/>
        <v>0</v>
      </c>
      <c r="J3877">
        <f t="shared" si="231"/>
        <v>0</v>
      </c>
      <c r="K3877">
        <f t="shared" si="231"/>
        <v>0</v>
      </c>
      <c r="M3877" t="str" cm="1">
        <f t="array" ref="M3877">IFERROR(INDEX($I$2:$K$2,0,MATCH(TRUE,I3877:K3877,0)),E3877)</f>
        <v>Lignite new</v>
      </c>
      <c r="O3877" t="str">
        <f t="shared" si="229"/>
        <v>Lignite new_2024</v>
      </c>
      <c r="P3877">
        <f t="shared" si="230"/>
        <v>635</v>
      </c>
    </row>
    <row r="3878" spans="4:16" x14ac:dyDescent="0.25">
      <c r="D3878">
        <v>2025</v>
      </c>
      <c r="E3878" t="s">
        <v>429</v>
      </c>
      <c r="F3878" t="s">
        <v>431</v>
      </c>
      <c r="G3878">
        <v>635</v>
      </c>
      <c r="I3878">
        <f t="shared" si="231"/>
        <v>0</v>
      </c>
      <c r="J3878">
        <f t="shared" si="231"/>
        <v>0</v>
      </c>
      <c r="K3878">
        <f t="shared" si="231"/>
        <v>0</v>
      </c>
      <c r="M3878" t="str" cm="1">
        <f t="array" ref="M3878">IFERROR(INDEX($I$2:$K$2,0,MATCH(TRUE,I3878:K3878,0)),E3878)</f>
        <v>Lignite new</v>
      </c>
      <c r="O3878" t="str">
        <f t="shared" si="229"/>
        <v>Lignite new_2025</v>
      </c>
      <c r="P3878">
        <f t="shared" si="230"/>
        <v>635</v>
      </c>
    </row>
    <row r="3879" spans="4:16" x14ac:dyDescent="0.25">
      <c r="D3879">
        <v>2026</v>
      </c>
      <c r="E3879" t="s">
        <v>429</v>
      </c>
      <c r="F3879" t="s">
        <v>431</v>
      </c>
      <c r="G3879">
        <v>635</v>
      </c>
      <c r="I3879">
        <f t="shared" si="231"/>
        <v>0</v>
      </c>
      <c r="J3879">
        <f t="shared" si="231"/>
        <v>0</v>
      </c>
      <c r="K3879">
        <f t="shared" si="231"/>
        <v>0</v>
      </c>
      <c r="M3879" t="str" cm="1">
        <f t="array" ref="M3879">IFERROR(INDEX($I$2:$K$2,0,MATCH(TRUE,I3879:K3879,0)),E3879)</f>
        <v>Lignite new</v>
      </c>
      <c r="O3879" t="str">
        <f t="shared" si="229"/>
        <v>Lignite new_2026</v>
      </c>
      <c r="P3879">
        <f t="shared" si="230"/>
        <v>635</v>
      </c>
    </row>
    <row r="3880" spans="4:16" x14ac:dyDescent="0.25">
      <c r="D3880">
        <v>2027</v>
      </c>
      <c r="E3880" t="s">
        <v>429</v>
      </c>
      <c r="F3880" t="s">
        <v>431</v>
      </c>
      <c r="G3880">
        <v>635</v>
      </c>
      <c r="I3880">
        <f t="shared" si="231"/>
        <v>0</v>
      </c>
      <c r="J3880">
        <f t="shared" si="231"/>
        <v>0</v>
      </c>
      <c r="K3880">
        <f t="shared" si="231"/>
        <v>0</v>
      </c>
      <c r="M3880" t="str" cm="1">
        <f t="array" ref="M3880">IFERROR(INDEX($I$2:$K$2,0,MATCH(TRUE,I3880:K3880,0)),E3880)</f>
        <v>Lignite new</v>
      </c>
      <c r="O3880" t="str">
        <f t="shared" si="229"/>
        <v>Lignite new_2027</v>
      </c>
      <c r="P3880">
        <f t="shared" si="230"/>
        <v>635</v>
      </c>
    </row>
    <row r="3881" spans="4:16" x14ac:dyDescent="0.25">
      <c r="D3881">
        <v>2028</v>
      </c>
      <c r="E3881" t="s">
        <v>429</v>
      </c>
      <c r="F3881" t="s">
        <v>431</v>
      </c>
      <c r="G3881">
        <v>635</v>
      </c>
      <c r="I3881">
        <f t="shared" si="231"/>
        <v>0</v>
      </c>
      <c r="J3881">
        <f t="shared" si="231"/>
        <v>0</v>
      </c>
      <c r="K3881">
        <f t="shared" si="231"/>
        <v>0</v>
      </c>
      <c r="M3881" t="str" cm="1">
        <f t="array" ref="M3881">IFERROR(INDEX($I$2:$K$2,0,MATCH(TRUE,I3881:K3881,0)),E3881)</f>
        <v>Lignite new</v>
      </c>
      <c r="O3881" t="str">
        <f t="shared" si="229"/>
        <v>Lignite new_2028</v>
      </c>
      <c r="P3881">
        <f t="shared" si="230"/>
        <v>635</v>
      </c>
    </row>
    <row r="3882" spans="4:16" x14ac:dyDescent="0.25">
      <c r="D3882">
        <v>2029</v>
      </c>
      <c r="E3882" t="s">
        <v>429</v>
      </c>
      <c r="F3882" t="s">
        <v>431</v>
      </c>
      <c r="G3882">
        <v>635</v>
      </c>
      <c r="I3882">
        <f t="shared" si="231"/>
        <v>0</v>
      </c>
      <c r="J3882">
        <f t="shared" si="231"/>
        <v>0</v>
      </c>
      <c r="K3882">
        <f t="shared" si="231"/>
        <v>0</v>
      </c>
      <c r="M3882" t="str" cm="1">
        <f t="array" ref="M3882">IFERROR(INDEX($I$2:$K$2,0,MATCH(TRUE,I3882:K3882,0)),E3882)</f>
        <v>Lignite new</v>
      </c>
      <c r="O3882" t="str">
        <f t="shared" si="229"/>
        <v>Lignite new_2029</v>
      </c>
      <c r="P3882">
        <f t="shared" si="230"/>
        <v>635</v>
      </c>
    </row>
    <row r="3883" spans="4:16" x14ac:dyDescent="0.25">
      <c r="D3883">
        <v>2030</v>
      </c>
      <c r="E3883" t="s">
        <v>429</v>
      </c>
      <c r="F3883" t="s">
        <v>431</v>
      </c>
      <c r="G3883">
        <v>635</v>
      </c>
      <c r="I3883">
        <f t="shared" si="231"/>
        <v>0</v>
      </c>
      <c r="J3883">
        <f t="shared" si="231"/>
        <v>0</v>
      </c>
      <c r="K3883">
        <f t="shared" si="231"/>
        <v>0</v>
      </c>
      <c r="M3883" t="str" cm="1">
        <f t="array" ref="M3883">IFERROR(INDEX($I$2:$K$2,0,MATCH(TRUE,I3883:K3883,0)),E3883)</f>
        <v>Lignite new</v>
      </c>
      <c r="O3883" t="str">
        <f t="shared" si="229"/>
        <v>Lignite new_2030</v>
      </c>
      <c r="P3883">
        <f t="shared" si="230"/>
        <v>635</v>
      </c>
    </row>
    <row r="3884" spans="4:16" x14ac:dyDescent="0.25">
      <c r="D3884">
        <v>2031</v>
      </c>
      <c r="E3884" t="s">
        <v>429</v>
      </c>
      <c r="F3884" t="s">
        <v>431</v>
      </c>
      <c r="G3884">
        <v>635</v>
      </c>
      <c r="I3884">
        <f t="shared" si="231"/>
        <v>0</v>
      </c>
      <c r="J3884">
        <f t="shared" si="231"/>
        <v>0</v>
      </c>
      <c r="K3884">
        <f t="shared" si="231"/>
        <v>0</v>
      </c>
      <c r="M3884" t="str" cm="1">
        <f t="array" ref="M3884">IFERROR(INDEX($I$2:$K$2,0,MATCH(TRUE,I3884:K3884,0)),E3884)</f>
        <v>Lignite new</v>
      </c>
      <c r="O3884" t="str">
        <f t="shared" si="229"/>
        <v>Lignite new_2031</v>
      </c>
      <c r="P3884">
        <f t="shared" si="230"/>
        <v>635</v>
      </c>
    </row>
    <row r="3885" spans="4:16" x14ac:dyDescent="0.25">
      <c r="D3885">
        <v>2032</v>
      </c>
      <c r="E3885" t="s">
        <v>429</v>
      </c>
      <c r="F3885" t="s">
        <v>431</v>
      </c>
      <c r="G3885">
        <v>635</v>
      </c>
      <c r="I3885">
        <f t="shared" si="231"/>
        <v>0</v>
      </c>
      <c r="J3885">
        <f t="shared" si="231"/>
        <v>0</v>
      </c>
      <c r="K3885">
        <f t="shared" si="231"/>
        <v>0</v>
      </c>
      <c r="M3885" t="str" cm="1">
        <f t="array" ref="M3885">IFERROR(INDEX($I$2:$K$2,0,MATCH(TRUE,I3885:K3885,0)),E3885)</f>
        <v>Lignite new</v>
      </c>
      <c r="O3885" t="str">
        <f t="shared" si="229"/>
        <v>Lignite new_2032</v>
      </c>
      <c r="P3885">
        <f t="shared" si="230"/>
        <v>635</v>
      </c>
    </row>
    <row r="3886" spans="4:16" x14ac:dyDescent="0.25">
      <c r="D3886">
        <v>2033</v>
      </c>
      <c r="E3886" t="s">
        <v>429</v>
      </c>
      <c r="F3886" t="s">
        <v>431</v>
      </c>
      <c r="G3886">
        <v>635</v>
      </c>
      <c r="I3886">
        <f t="shared" si="231"/>
        <v>0</v>
      </c>
      <c r="J3886">
        <f t="shared" si="231"/>
        <v>0</v>
      </c>
      <c r="K3886">
        <f t="shared" si="231"/>
        <v>0</v>
      </c>
      <c r="M3886" t="str" cm="1">
        <f t="array" ref="M3886">IFERROR(INDEX($I$2:$K$2,0,MATCH(TRUE,I3886:K3886,0)),E3886)</f>
        <v>Lignite new</v>
      </c>
      <c r="O3886" t="str">
        <f t="shared" si="229"/>
        <v>Lignite new_2033</v>
      </c>
      <c r="P3886">
        <f t="shared" si="230"/>
        <v>635</v>
      </c>
    </row>
    <row r="3887" spans="4:16" x14ac:dyDescent="0.25">
      <c r="D3887">
        <v>2034</v>
      </c>
      <c r="E3887" t="s">
        <v>429</v>
      </c>
      <c r="F3887" t="s">
        <v>431</v>
      </c>
      <c r="G3887">
        <v>635</v>
      </c>
      <c r="I3887">
        <f t="shared" si="231"/>
        <v>0</v>
      </c>
      <c r="J3887">
        <f t="shared" si="231"/>
        <v>0</v>
      </c>
      <c r="K3887">
        <f t="shared" si="231"/>
        <v>0</v>
      </c>
      <c r="M3887" t="str" cm="1">
        <f t="array" ref="M3887">IFERROR(INDEX($I$2:$K$2,0,MATCH(TRUE,I3887:K3887,0)),E3887)</f>
        <v>Lignite new</v>
      </c>
      <c r="O3887" t="str">
        <f t="shared" si="229"/>
        <v>Lignite new_2034</v>
      </c>
      <c r="P3887">
        <f t="shared" si="230"/>
        <v>635</v>
      </c>
    </row>
    <row r="3888" spans="4:16" x14ac:dyDescent="0.25">
      <c r="D3888">
        <v>2035</v>
      </c>
      <c r="E3888" t="s">
        <v>429</v>
      </c>
      <c r="F3888" t="s">
        <v>431</v>
      </c>
      <c r="G3888">
        <v>635</v>
      </c>
      <c r="I3888">
        <f t="shared" si="231"/>
        <v>0</v>
      </c>
      <c r="J3888">
        <f t="shared" si="231"/>
        <v>0</v>
      </c>
      <c r="K3888">
        <f t="shared" si="231"/>
        <v>0</v>
      </c>
      <c r="M3888" t="str" cm="1">
        <f t="array" ref="M3888">IFERROR(INDEX($I$2:$K$2,0,MATCH(TRUE,I3888:K3888,0)),E3888)</f>
        <v>Lignite new</v>
      </c>
      <c r="O3888" t="str">
        <f t="shared" si="229"/>
        <v>Lignite new_2035</v>
      </c>
      <c r="P3888">
        <f t="shared" si="230"/>
        <v>635</v>
      </c>
    </row>
    <row r="3889" spans="4:16" x14ac:dyDescent="0.25">
      <c r="D3889">
        <v>2036</v>
      </c>
      <c r="E3889" t="s">
        <v>429</v>
      </c>
      <c r="F3889" t="s">
        <v>431</v>
      </c>
      <c r="G3889">
        <v>635</v>
      </c>
      <c r="I3889">
        <f t="shared" si="231"/>
        <v>0</v>
      </c>
      <c r="J3889">
        <f t="shared" si="231"/>
        <v>0</v>
      </c>
      <c r="K3889">
        <f t="shared" si="231"/>
        <v>0</v>
      </c>
      <c r="M3889" t="str" cm="1">
        <f t="array" ref="M3889">IFERROR(INDEX($I$2:$K$2,0,MATCH(TRUE,I3889:K3889,0)),E3889)</f>
        <v>Lignite new</v>
      </c>
      <c r="O3889" t="str">
        <f t="shared" si="229"/>
        <v>Lignite new_2036</v>
      </c>
      <c r="P3889">
        <f t="shared" si="230"/>
        <v>635</v>
      </c>
    </row>
    <row r="3890" spans="4:16" x14ac:dyDescent="0.25">
      <c r="D3890">
        <v>2037</v>
      </c>
      <c r="E3890" t="s">
        <v>429</v>
      </c>
      <c r="F3890" t="s">
        <v>431</v>
      </c>
      <c r="G3890">
        <v>635</v>
      </c>
      <c r="I3890">
        <f t="shared" si="231"/>
        <v>0</v>
      </c>
      <c r="J3890">
        <f t="shared" si="231"/>
        <v>0</v>
      </c>
      <c r="K3890">
        <f t="shared" si="231"/>
        <v>0</v>
      </c>
      <c r="M3890" t="str" cm="1">
        <f t="array" ref="M3890">IFERROR(INDEX($I$2:$K$2,0,MATCH(TRUE,I3890:K3890,0)),E3890)</f>
        <v>Lignite new</v>
      </c>
      <c r="O3890" t="str">
        <f t="shared" si="229"/>
        <v>Lignite new_2037</v>
      </c>
      <c r="P3890">
        <f t="shared" si="230"/>
        <v>635</v>
      </c>
    </row>
    <row r="3891" spans="4:16" x14ac:dyDescent="0.25">
      <c r="D3891">
        <v>2038</v>
      </c>
      <c r="E3891" t="s">
        <v>429</v>
      </c>
      <c r="F3891" t="s">
        <v>431</v>
      </c>
      <c r="G3891">
        <v>635</v>
      </c>
      <c r="I3891">
        <f t="shared" si="231"/>
        <v>0</v>
      </c>
      <c r="J3891">
        <f t="shared" si="231"/>
        <v>0</v>
      </c>
      <c r="K3891">
        <f t="shared" si="231"/>
        <v>0</v>
      </c>
      <c r="M3891" t="str" cm="1">
        <f t="array" ref="M3891">IFERROR(INDEX($I$2:$K$2,0,MATCH(TRUE,I3891:K3891,0)),E3891)</f>
        <v>Lignite new</v>
      </c>
      <c r="O3891" t="str">
        <f t="shared" si="229"/>
        <v>Lignite new_2038</v>
      </c>
      <c r="P3891">
        <f t="shared" si="230"/>
        <v>635</v>
      </c>
    </row>
    <row r="3892" spans="4:16" x14ac:dyDescent="0.25">
      <c r="D3892">
        <v>2021</v>
      </c>
      <c r="E3892" t="s">
        <v>429</v>
      </c>
      <c r="F3892" t="s">
        <v>432</v>
      </c>
      <c r="G3892">
        <v>875</v>
      </c>
      <c r="I3892">
        <f t="shared" si="231"/>
        <v>0</v>
      </c>
      <c r="J3892">
        <f t="shared" si="231"/>
        <v>0</v>
      </c>
      <c r="K3892">
        <f t="shared" si="231"/>
        <v>0</v>
      </c>
      <c r="M3892" t="str" cm="1">
        <f t="array" ref="M3892">IFERROR(INDEX($I$2:$K$2,0,MATCH(TRUE,I3892:K3892,0)),E3892)</f>
        <v>Lignite new</v>
      </c>
      <c r="O3892" t="str">
        <f t="shared" si="229"/>
        <v>Lignite new_2021</v>
      </c>
      <c r="P3892">
        <f t="shared" si="230"/>
        <v>875</v>
      </c>
    </row>
    <row r="3893" spans="4:16" x14ac:dyDescent="0.25">
      <c r="D3893">
        <v>2022</v>
      </c>
      <c r="E3893" t="s">
        <v>429</v>
      </c>
      <c r="F3893" t="s">
        <v>432</v>
      </c>
      <c r="G3893">
        <v>875</v>
      </c>
      <c r="I3893">
        <f t="shared" si="231"/>
        <v>0</v>
      </c>
      <c r="J3893">
        <f t="shared" si="231"/>
        <v>0</v>
      </c>
      <c r="K3893">
        <f t="shared" si="231"/>
        <v>0</v>
      </c>
      <c r="M3893" t="str" cm="1">
        <f t="array" ref="M3893">IFERROR(INDEX($I$2:$K$2,0,MATCH(TRUE,I3893:K3893,0)),E3893)</f>
        <v>Lignite new</v>
      </c>
      <c r="O3893" t="str">
        <f t="shared" si="229"/>
        <v>Lignite new_2022</v>
      </c>
      <c r="P3893">
        <f t="shared" si="230"/>
        <v>875</v>
      </c>
    </row>
    <row r="3894" spans="4:16" x14ac:dyDescent="0.25">
      <c r="D3894">
        <v>2023</v>
      </c>
      <c r="E3894" t="s">
        <v>429</v>
      </c>
      <c r="F3894" t="s">
        <v>432</v>
      </c>
      <c r="G3894">
        <v>875</v>
      </c>
      <c r="I3894">
        <f t="shared" si="231"/>
        <v>0</v>
      </c>
      <c r="J3894">
        <f t="shared" si="231"/>
        <v>0</v>
      </c>
      <c r="K3894">
        <f t="shared" si="231"/>
        <v>0</v>
      </c>
      <c r="M3894" t="str" cm="1">
        <f t="array" ref="M3894">IFERROR(INDEX($I$2:$K$2,0,MATCH(TRUE,I3894:K3894,0)),E3894)</f>
        <v>Lignite new</v>
      </c>
      <c r="O3894" t="str">
        <f t="shared" si="229"/>
        <v>Lignite new_2023</v>
      </c>
      <c r="P3894">
        <f t="shared" si="230"/>
        <v>875</v>
      </c>
    </row>
    <row r="3895" spans="4:16" x14ac:dyDescent="0.25">
      <c r="D3895">
        <v>2024</v>
      </c>
      <c r="E3895" t="s">
        <v>429</v>
      </c>
      <c r="F3895" t="s">
        <v>432</v>
      </c>
      <c r="G3895">
        <v>875</v>
      </c>
      <c r="I3895">
        <f t="shared" si="231"/>
        <v>0</v>
      </c>
      <c r="J3895">
        <f t="shared" si="231"/>
        <v>0</v>
      </c>
      <c r="K3895">
        <f t="shared" si="231"/>
        <v>0</v>
      </c>
      <c r="M3895" t="str" cm="1">
        <f t="array" ref="M3895">IFERROR(INDEX($I$2:$K$2,0,MATCH(TRUE,I3895:K3895,0)),E3895)</f>
        <v>Lignite new</v>
      </c>
      <c r="O3895" t="str">
        <f t="shared" si="229"/>
        <v>Lignite new_2024</v>
      </c>
      <c r="P3895">
        <f t="shared" si="230"/>
        <v>875</v>
      </c>
    </row>
    <row r="3896" spans="4:16" x14ac:dyDescent="0.25">
      <c r="D3896">
        <v>2025</v>
      </c>
      <c r="E3896" t="s">
        <v>429</v>
      </c>
      <c r="F3896" t="s">
        <v>432</v>
      </c>
      <c r="G3896">
        <v>875</v>
      </c>
      <c r="I3896">
        <f t="shared" si="231"/>
        <v>0</v>
      </c>
      <c r="J3896">
        <f t="shared" si="231"/>
        <v>0</v>
      </c>
      <c r="K3896">
        <f t="shared" si="231"/>
        <v>0</v>
      </c>
      <c r="M3896" t="str" cm="1">
        <f t="array" ref="M3896">IFERROR(INDEX($I$2:$K$2,0,MATCH(TRUE,I3896:K3896,0)),E3896)</f>
        <v>Lignite new</v>
      </c>
      <c r="O3896" t="str">
        <f t="shared" si="229"/>
        <v>Lignite new_2025</v>
      </c>
      <c r="P3896">
        <f t="shared" si="230"/>
        <v>875</v>
      </c>
    </row>
    <row r="3897" spans="4:16" x14ac:dyDescent="0.25">
      <c r="D3897">
        <v>2026</v>
      </c>
      <c r="E3897" t="s">
        <v>429</v>
      </c>
      <c r="F3897" t="s">
        <v>432</v>
      </c>
      <c r="G3897">
        <v>875</v>
      </c>
      <c r="I3897">
        <f t="shared" si="231"/>
        <v>0</v>
      </c>
      <c r="J3897">
        <f t="shared" si="231"/>
        <v>0</v>
      </c>
      <c r="K3897">
        <f t="shared" si="231"/>
        <v>0</v>
      </c>
      <c r="M3897" t="str" cm="1">
        <f t="array" ref="M3897">IFERROR(INDEX($I$2:$K$2,0,MATCH(TRUE,I3897:K3897,0)),E3897)</f>
        <v>Lignite new</v>
      </c>
      <c r="O3897" t="str">
        <f t="shared" si="229"/>
        <v>Lignite new_2026</v>
      </c>
      <c r="P3897">
        <f t="shared" si="230"/>
        <v>875</v>
      </c>
    </row>
    <row r="3898" spans="4:16" x14ac:dyDescent="0.25">
      <c r="D3898">
        <v>2027</v>
      </c>
      <c r="E3898" t="s">
        <v>429</v>
      </c>
      <c r="F3898" t="s">
        <v>432</v>
      </c>
      <c r="G3898">
        <v>875</v>
      </c>
      <c r="I3898">
        <f t="shared" si="231"/>
        <v>0</v>
      </c>
      <c r="J3898">
        <f t="shared" si="231"/>
        <v>0</v>
      </c>
      <c r="K3898">
        <f t="shared" si="231"/>
        <v>0</v>
      </c>
      <c r="M3898" t="str" cm="1">
        <f t="array" ref="M3898">IFERROR(INDEX($I$2:$K$2,0,MATCH(TRUE,I3898:K3898,0)),E3898)</f>
        <v>Lignite new</v>
      </c>
      <c r="O3898" t="str">
        <f t="shared" si="229"/>
        <v>Lignite new_2027</v>
      </c>
      <c r="P3898">
        <f t="shared" si="230"/>
        <v>875</v>
      </c>
    </row>
    <row r="3899" spans="4:16" x14ac:dyDescent="0.25">
      <c r="D3899">
        <v>2028</v>
      </c>
      <c r="E3899" t="s">
        <v>429</v>
      </c>
      <c r="F3899" t="s">
        <v>432</v>
      </c>
      <c r="G3899">
        <v>875</v>
      </c>
      <c r="I3899">
        <f t="shared" si="231"/>
        <v>0</v>
      </c>
      <c r="J3899">
        <f t="shared" si="231"/>
        <v>0</v>
      </c>
      <c r="K3899">
        <f t="shared" si="231"/>
        <v>0</v>
      </c>
      <c r="M3899" t="str" cm="1">
        <f t="array" ref="M3899">IFERROR(INDEX($I$2:$K$2,0,MATCH(TRUE,I3899:K3899,0)),E3899)</f>
        <v>Lignite new</v>
      </c>
      <c r="O3899" t="str">
        <f t="shared" si="229"/>
        <v>Lignite new_2028</v>
      </c>
      <c r="P3899">
        <f t="shared" si="230"/>
        <v>875</v>
      </c>
    </row>
    <row r="3900" spans="4:16" x14ac:dyDescent="0.25">
      <c r="D3900">
        <v>2029</v>
      </c>
      <c r="E3900" t="s">
        <v>429</v>
      </c>
      <c r="F3900" t="s">
        <v>432</v>
      </c>
      <c r="G3900">
        <v>875</v>
      </c>
      <c r="I3900">
        <f t="shared" si="231"/>
        <v>0</v>
      </c>
      <c r="J3900">
        <f t="shared" si="231"/>
        <v>0</v>
      </c>
      <c r="K3900">
        <f t="shared" si="231"/>
        <v>0</v>
      </c>
      <c r="M3900" t="str" cm="1">
        <f t="array" ref="M3900">IFERROR(INDEX($I$2:$K$2,0,MATCH(TRUE,I3900:K3900,0)),E3900)</f>
        <v>Lignite new</v>
      </c>
      <c r="O3900" t="str">
        <f t="shared" si="229"/>
        <v>Lignite new_2029</v>
      </c>
      <c r="P3900">
        <f t="shared" si="230"/>
        <v>875</v>
      </c>
    </row>
    <row r="3901" spans="4:16" x14ac:dyDescent="0.25">
      <c r="D3901">
        <v>2030</v>
      </c>
      <c r="E3901" t="s">
        <v>429</v>
      </c>
      <c r="F3901" t="s">
        <v>432</v>
      </c>
      <c r="G3901">
        <v>875</v>
      </c>
      <c r="I3901">
        <f t="shared" si="231"/>
        <v>0</v>
      </c>
      <c r="J3901">
        <f t="shared" si="231"/>
        <v>0</v>
      </c>
      <c r="K3901">
        <f t="shared" si="231"/>
        <v>0</v>
      </c>
      <c r="M3901" t="str" cm="1">
        <f t="array" ref="M3901">IFERROR(INDEX($I$2:$K$2,0,MATCH(TRUE,I3901:K3901,0)),E3901)</f>
        <v>Lignite new</v>
      </c>
      <c r="O3901" t="str">
        <f t="shared" si="229"/>
        <v>Lignite new_2030</v>
      </c>
      <c r="P3901">
        <f t="shared" si="230"/>
        <v>875</v>
      </c>
    </row>
    <row r="3902" spans="4:16" x14ac:dyDescent="0.25">
      <c r="D3902">
        <v>2031</v>
      </c>
      <c r="E3902" t="s">
        <v>429</v>
      </c>
      <c r="F3902" t="s">
        <v>432</v>
      </c>
      <c r="G3902">
        <v>875</v>
      </c>
      <c r="I3902">
        <f t="shared" si="231"/>
        <v>0</v>
      </c>
      <c r="J3902">
        <f t="shared" si="231"/>
        <v>0</v>
      </c>
      <c r="K3902">
        <f t="shared" si="231"/>
        <v>0</v>
      </c>
      <c r="M3902" t="str" cm="1">
        <f t="array" ref="M3902">IFERROR(INDEX($I$2:$K$2,0,MATCH(TRUE,I3902:K3902,0)),E3902)</f>
        <v>Lignite new</v>
      </c>
      <c r="O3902" t="str">
        <f t="shared" si="229"/>
        <v>Lignite new_2031</v>
      </c>
      <c r="P3902">
        <f t="shared" si="230"/>
        <v>875</v>
      </c>
    </row>
    <row r="3903" spans="4:16" x14ac:dyDescent="0.25">
      <c r="D3903">
        <v>2032</v>
      </c>
      <c r="E3903" t="s">
        <v>429</v>
      </c>
      <c r="F3903" t="s">
        <v>432</v>
      </c>
      <c r="G3903">
        <v>875</v>
      </c>
      <c r="I3903">
        <f t="shared" si="231"/>
        <v>0</v>
      </c>
      <c r="J3903">
        <f t="shared" si="231"/>
        <v>0</v>
      </c>
      <c r="K3903">
        <f t="shared" si="231"/>
        <v>0</v>
      </c>
      <c r="M3903" t="str" cm="1">
        <f t="array" ref="M3903">IFERROR(INDEX($I$2:$K$2,0,MATCH(TRUE,I3903:K3903,0)),E3903)</f>
        <v>Lignite new</v>
      </c>
      <c r="O3903" t="str">
        <f t="shared" si="229"/>
        <v>Lignite new_2032</v>
      </c>
      <c r="P3903">
        <f t="shared" si="230"/>
        <v>875</v>
      </c>
    </row>
    <row r="3904" spans="4:16" x14ac:dyDescent="0.25">
      <c r="D3904">
        <v>2033</v>
      </c>
      <c r="E3904" t="s">
        <v>429</v>
      </c>
      <c r="F3904" t="s">
        <v>432</v>
      </c>
      <c r="G3904">
        <v>875</v>
      </c>
      <c r="I3904">
        <f t="shared" si="231"/>
        <v>0</v>
      </c>
      <c r="J3904">
        <f t="shared" si="231"/>
        <v>0</v>
      </c>
      <c r="K3904">
        <f t="shared" si="231"/>
        <v>0</v>
      </c>
      <c r="M3904" t="str" cm="1">
        <f t="array" ref="M3904">IFERROR(INDEX($I$2:$K$2,0,MATCH(TRUE,I3904:K3904,0)),E3904)</f>
        <v>Lignite new</v>
      </c>
      <c r="O3904" t="str">
        <f t="shared" si="229"/>
        <v>Lignite new_2033</v>
      </c>
      <c r="P3904">
        <f t="shared" si="230"/>
        <v>875</v>
      </c>
    </row>
    <row r="3905" spans="4:16" x14ac:dyDescent="0.25">
      <c r="D3905">
        <v>2034</v>
      </c>
      <c r="E3905" t="s">
        <v>429</v>
      </c>
      <c r="F3905" t="s">
        <v>432</v>
      </c>
      <c r="G3905">
        <v>875</v>
      </c>
      <c r="I3905">
        <f t="shared" si="231"/>
        <v>0</v>
      </c>
      <c r="J3905">
        <f t="shared" si="231"/>
        <v>0</v>
      </c>
      <c r="K3905">
        <f t="shared" si="231"/>
        <v>0</v>
      </c>
      <c r="M3905" t="str" cm="1">
        <f t="array" ref="M3905">IFERROR(INDEX($I$2:$K$2,0,MATCH(TRUE,I3905:K3905,0)),E3905)</f>
        <v>Lignite new</v>
      </c>
      <c r="O3905" t="str">
        <f t="shared" si="229"/>
        <v>Lignite new_2034</v>
      </c>
      <c r="P3905">
        <f t="shared" si="230"/>
        <v>875</v>
      </c>
    </row>
    <row r="3906" spans="4:16" x14ac:dyDescent="0.25">
      <c r="D3906">
        <v>2035</v>
      </c>
      <c r="E3906" t="s">
        <v>429</v>
      </c>
      <c r="F3906" t="s">
        <v>432</v>
      </c>
      <c r="G3906">
        <v>875</v>
      </c>
      <c r="I3906">
        <f t="shared" si="231"/>
        <v>0</v>
      </c>
      <c r="J3906">
        <f t="shared" si="231"/>
        <v>0</v>
      </c>
      <c r="K3906">
        <f t="shared" si="231"/>
        <v>0</v>
      </c>
      <c r="M3906" t="str" cm="1">
        <f t="array" ref="M3906">IFERROR(INDEX($I$2:$K$2,0,MATCH(TRUE,I3906:K3906,0)),E3906)</f>
        <v>Lignite new</v>
      </c>
      <c r="O3906" t="str">
        <f t="shared" si="229"/>
        <v>Lignite new_2035</v>
      </c>
      <c r="P3906">
        <f t="shared" si="230"/>
        <v>875</v>
      </c>
    </row>
    <row r="3907" spans="4:16" x14ac:dyDescent="0.25">
      <c r="D3907">
        <v>2021</v>
      </c>
      <c r="E3907" t="s">
        <v>429</v>
      </c>
      <c r="F3907" t="s">
        <v>433</v>
      </c>
      <c r="G3907">
        <v>875</v>
      </c>
      <c r="I3907">
        <f t="shared" si="231"/>
        <v>0</v>
      </c>
      <c r="J3907">
        <f t="shared" si="231"/>
        <v>0</v>
      </c>
      <c r="K3907">
        <f t="shared" si="231"/>
        <v>0</v>
      </c>
      <c r="M3907" t="str" cm="1">
        <f t="array" ref="M3907">IFERROR(INDEX($I$2:$K$2,0,MATCH(TRUE,I3907:K3907,0)),E3907)</f>
        <v>Lignite new</v>
      </c>
      <c r="O3907" t="str">
        <f t="shared" si="229"/>
        <v>Lignite new_2021</v>
      </c>
      <c r="P3907">
        <f t="shared" si="230"/>
        <v>875</v>
      </c>
    </row>
    <row r="3908" spans="4:16" x14ac:dyDescent="0.25">
      <c r="D3908">
        <v>2022</v>
      </c>
      <c r="E3908" t="s">
        <v>429</v>
      </c>
      <c r="F3908" t="s">
        <v>433</v>
      </c>
      <c r="G3908">
        <v>875</v>
      </c>
      <c r="I3908">
        <f t="shared" si="231"/>
        <v>0</v>
      </c>
      <c r="J3908">
        <f t="shared" si="231"/>
        <v>0</v>
      </c>
      <c r="K3908">
        <f t="shared" si="231"/>
        <v>0</v>
      </c>
      <c r="M3908" t="str" cm="1">
        <f t="array" ref="M3908">IFERROR(INDEX($I$2:$K$2,0,MATCH(TRUE,I3908:K3908,0)),E3908)</f>
        <v>Lignite new</v>
      </c>
      <c r="O3908" t="str">
        <f t="shared" si="229"/>
        <v>Lignite new_2022</v>
      </c>
      <c r="P3908">
        <f t="shared" si="230"/>
        <v>875</v>
      </c>
    </row>
    <row r="3909" spans="4:16" x14ac:dyDescent="0.25">
      <c r="D3909">
        <v>2023</v>
      </c>
      <c r="E3909" t="s">
        <v>429</v>
      </c>
      <c r="F3909" t="s">
        <v>433</v>
      </c>
      <c r="G3909">
        <v>875</v>
      </c>
      <c r="I3909">
        <f t="shared" si="231"/>
        <v>0</v>
      </c>
      <c r="J3909">
        <f t="shared" si="231"/>
        <v>0</v>
      </c>
      <c r="K3909">
        <f t="shared" si="231"/>
        <v>0</v>
      </c>
      <c r="M3909" t="str" cm="1">
        <f t="array" ref="M3909">IFERROR(INDEX($I$2:$K$2,0,MATCH(TRUE,I3909:K3909,0)),E3909)</f>
        <v>Lignite new</v>
      </c>
      <c r="O3909" t="str">
        <f t="shared" si="229"/>
        <v>Lignite new_2023</v>
      </c>
      <c r="P3909">
        <f t="shared" si="230"/>
        <v>875</v>
      </c>
    </row>
    <row r="3910" spans="4:16" x14ac:dyDescent="0.25">
      <c r="D3910">
        <v>2024</v>
      </c>
      <c r="E3910" t="s">
        <v>429</v>
      </c>
      <c r="F3910" t="s">
        <v>433</v>
      </c>
      <c r="G3910">
        <v>875</v>
      </c>
      <c r="I3910">
        <f t="shared" si="231"/>
        <v>0</v>
      </c>
      <c r="J3910">
        <f t="shared" si="231"/>
        <v>0</v>
      </c>
      <c r="K3910">
        <f t="shared" si="231"/>
        <v>0</v>
      </c>
      <c r="M3910" t="str" cm="1">
        <f t="array" ref="M3910">IFERROR(INDEX($I$2:$K$2,0,MATCH(TRUE,I3910:K3910,0)),E3910)</f>
        <v>Lignite new</v>
      </c>
      <c r="O3910" t="str">
        <f t="shared" si="229"/>
        <v>Lignite new_2024</v>
      </c>
      <c r="P3910">
        <f t="shared" si="230"/>
        <v>875</v>
      </c>
    </row>
    <row r="3911" spans="4:16" x14ac:dyDescent="0.25">
      <c r="D3911">
        <v>2025</v>
      </c>
      <c r="E3911" t="s">
        <v>429</v>
      </c>
      <c r="F3911" t="s">
        <v>433</v>
      </c>
      <c r="G3911">
        <v>875</v>
      </c>
      <c r="I3911">
        <f t="shared" si="231"/>
        <v>0</v>
      </c>
      <c r="J3911">
        <f t="shared" si="231"/>
        <v>0</v>
      </c>
      <c r="K3911">
        <f t="shared" si="231"/>
        <v>0</v>
      </c>
      <c r="M3911" t="str" cm="1">
        <f t="array" ref="M3911">IFERROR(INDEX($I$2:$K$2,0,MATCH(TRUE,I3911:K3911,0)),E3911)</f>
        <v>Lignite new</v>
      </c>
      <c r="O3911" t="str">
        <f t="shared" si="229"/>
        <v>Lignite new_2025</v>
      </c>
      <c r="P3911">
        <f t="shared" si="230"/>
        <v>875</v>
      </c>
    </row>
    <row r="3912" spans="4:16" x14ac:dyDescent="0.25">
      <c r="D3912">
        <v>2026</v>
      </c>
      <c r="E3912" t="s">
        <v>429</v>
      </c>
      <c r="F3912" t="s">
        <v>433</v>
      </c>
      <c r="G3912">
        <v>875</v>
      </c>
      <c r="I3912">
        <f t="shared" si="231"/>
        <v>0</v>
      </c>
      <c r="J3912">
        <f t="shared" si="231"/>
        <v>0</v>
      </c>
      <c r="K3912">
        <f t="shared" si="231"/>
        <v>0</v>
      </c>
      <c r="M3912" t="str" cm="1">
        <f t="array" ref="M3912">IFERROR(INDEX($I$2:$K$2,0,MATCH(TRUE,I3912:K3912,0)),E3912)</f>
        <v>Lignite new</v>
      </c>
      <c r="O3912" t="str">
        <f t="shared" si="229"/>
        <v>Lignite new_2026</v>
      </c>
      <c r="P3912">
        <f t="shared" si="230"/>
        <v>875</v>
      </c>
    </row>
    <row r="3913" spans="4:16" x14ac:dyDescent="0.25">
      <c r="D3913">
        <v>2027</v>
      </c>
      <c r="E3913" t="s">
        <v>429</v>
      </c>
      <c r="F3913" t="s">
        <v>433</v>
      </c>
      <c r="G3913">
        <v>875</v>
      </c>
      <c r="I3913">
        <f t="shared" si="231"/>
        <v>0</v>
      </c>
      <c r="J3913">
        <f t="shared" si="231"/>
        <v>0</v>
      </c>
      <c r="K3913">
        <f t="shared" si="231"/>
        <v>0</v>
      </c>
      <c r="M3913" t="str" cm="1">
        <f t="array" ref="M3913">IFERROR(INDEX($I$2:$K$2,0,MATCH(TRUE,I3913:K3913,0)),E3913)</f>
        <v>Lignite new</v>
      </c>
      <c r="O3913" t="str">
        <f t="shared" si="229"/>
        <v>Lignite new_2027</v>
      </c>
      <c r="P3913">
        <f t="shared" si="230"/>
        <v>875</v>
      </c>
    </row>
    <row r="3914" spans="4:16" x14ac:dyDescent="0.25">
      <c r="D3914">
        <v>2028</v>
      </c>
      <c r="E3914" t="s">
        <v>429</v>
      </c>
      <c r="F3914" t="s">
        <v>433</v>
      </c>
      <c r="G3914">
        <v>875</v>
      </c>
      <c r="I3914">
        <f t="shared" si="231"/>
        <v>0</v>
      </c>
      <c r="J3914">
        <f t="shared" si="231"/>
        <v>0</v>
      </c>
      <c r="K3914">
        <f t="shared" si="231"/>
        <v>0</v>
      </c>
      <c r="M3914" t="str" cm="1">
        <f t="array" ref="M3914">IFERROR(INDEX($I$2:$K$2,0,MATCH(TRUE,I3914:K3914,0)),E3914)</f>
        <v>Lignite new</v>
      </c>
      <c r="O3914" t="str">
        <f t="shared" si="229"/>
        <v>Lignite new_2028</v>
      </c>
      <c r="P3914">
        <f t="shared" si="230"/>
        <v>875</v>
      </c>
    </row>
    <row r="3915" spans="4:16" x14ac:dyDescent="0.25">
      <c r="D3915">
        <v>2029</v>
      </c>
      <c r="E3915" t="s">
        <v>429</v>
      </c>
      <c r="F3915" t="s">
        <v>433</v>
      </c>
      <c r="G3915">
        <v>875</v>
      </c>
      <c r="I3915">
        <f t="shared" si="231"/>
        <v>0</v>
      </c>
      <c r="J3915">
        <f t="shared" si="231"/>
        <v>0</v>
      </c>
      <c r="K3915">
        <f t="shared" si="231"/>
        <v>0</v>
      </c>
      <c r="M3915" t="str" cm="1">
        <f t="array" ref="M3915">IFERROR(INDEX($I$2:$K$2,0,MATCH(TRUE,I3915:K3915,0)),E3915)</f>
        <v>Lignite new</v>
      </c>
      <c r="O3915" t="str">
        <f t="shared" si="229"/>
        <v>Lignite new_2029</v>
      </c>
      <c r="P3915">
        <f t="shared" si="230"/>
        <v>875</v>
      </c>
    </row>
    <row r="3916" spans="4:16" x14ac:dyDescent="0.25">
      <c r="D3916">
        <v>2030</v>
      </c>
      <c r="E3916" t="s">
        <v>429</v>
      </c>
      <c r="F3916" t="s">
        <v>433</v>
      </c>
      <c r="G3916">
        <v>875</v>
      </c>
      <c r="I3916">
        <f t="shared" si="231"/>
        <v>0</v>
      </c>
      <c r="J3916">
        <f t="shared" si="231"/>
        <v>0</v>
      </c>
      <c r="K3916">
        <f t="shared" si="231"/>
        <v>0</v>
      </c>
      <c r="M3916" t="str" cm="1">
        <f t="array" ref="M3916">IFERROR(INDEX($I$2:$K$2,0,MATCH(TRUE,I3916:K3916,0)),E3916)</f>
        <v>Lignite new</v>
      </c>
      <c r="O3916" t="str">
        <f t="shared" si="229"/>
        <v>Lignite new_2030</v>
      </c>
      <c r="P3916">
        <f t="shared" si="230"/>
        <v>875</v>
      </c>
    </row>
    <row r="3917" spans="4:16" x14ac:dyDescent="0.25">
      <c r="D3917">
        <v>2031</v>
      </c>
      <c r="E3917" t="s">
        <v>429</v>
      </c>
      <c r="F3917" t="s">
        <v>433</v>
      </c>
      <c r="G3917">
        <v>875</v>
      </c>
      <c r="I3917">
        <f t="shared" si="231"/>
        <v>0</v>
      </c>
      <c r="J3917">
        <f t="shared" si="231"/>
        <v>0</v>
      </c>
      <c r="K3917">
        <f t="shared" si="231"/>
        <v>0</v>
      </c>
      <c r="M3917" t="str" cm="1">
        <f t="array" ref="M3917">IFERROR(INDEX($I$2:$K$2,0,MATCH(TRUE,I3917:K3917,0)),E3917)</f>
        <v>Lignite new</v>
      </c>
      <c r="O3917" t="str">
        <f t="shared" si="229"/>
        <v>Lignite new_2031</v>
      </c>
      <c r="P3917">
        <f t="shared" si="230"/>
        <v>875</v>
      </c>
    </row>
    <row r="3918" spans="4:16" x14ac:dyDescent="0.25">
      <c r="D3918">
        <v>2032</v>
      </c>
      <c r="E3918" t="s">
        <v>429</v>
      </c>
      <c r="F3918" t="s">
        <v>433</v>
      </c>
      <c r="G3918">
        <v>875</v>
      </c>
      <c r="I3918">
        <f t="shared" si="231"/>
        <v>0</v>
      </c>
      <c r="J3918">
        <f t="shared" si="231"/>
        <v>0</v>
      </c>
      <c r="K3918">
        <f t="shared" si="231"/>
        <v>0</v>
      </c>
      <c r="M3918" t="str" cm="1">
        <f t="array" ref="M3918">IFERROR(INDEX($I$2:$K$2,0,MATCH(TRUE,I3918:K3918,0)),E3918)</f>
        <v>Lignite new</v>
      </c>
      <c r="O3918" t="str">
        <f t="shared" si="229"/>
        <v>Lignite new_2032</v>
      </c>
      <c r="P3918">
        <f t="shared" si="230"/>
        <v>875</v>
      </c>
    </row>
    <row r="3919" spans="4:16" x14ac:dyDescent="0.25">
      <c r="D3919">
        <v>2033</v>
      </c>
      <c r="E3919" t="s">
        <v>429</v>
      </c>
      <c r="F3919" t="s">
        <v>433</v>
      </c>
      <c r="G3919">
        <v>875</v>
      </c>
      <c r="I3919">
        <f t="shared" si="231"/>
        <v>0</v>
      </c>
      <c r="J3919">
        <f t="shared" si="231"/>
        <v>0</v>
      </c>
      <c r="K3919">
        <f t="shared" si="231"/>
        <v>0</v>
      </c>
      <c r="M3919" t="str" cm="1">
        <f t="array" ref="M3919">IFERROR(INDEX($I$2:$K$2,0,MATCH(TRUE,I3919:K3919,0)),E3919)</f>
        <v>Lignite new</v>
      </c>
      <c r="O3919" t="str">
        <f t="shared" si="229"/>
        <v>Lignite new_2033</v>
      </c>
      <c r="P3919">
        <f t="shared" si="230"/>
        <v>875</v>
      </c>
    </row>
    <row r="3920" spans="4:16" x14ac:dyDescent="0.25">
      <c r="D3920">
        <v>2034</v>
      </c>
      <c r="E3920" t="s">
        <v>429</v>
      </c>
      <c r="F3920" t="s">
        <v>433</v>
      </c>
      <c r="G3920">
        <v>875</v>
      </c>
      <c r="I3920">
        <f t="shared" si="231"/>
        <v>0</v>
      </c>
      <c r="J3920">
        <f t="shared" si="231"/>
        <v>0</v>
      </c>
      <c r="K3920">
        <f t="shared" si="231"/>
        <v>0</v>
      </c>
      <c r="M3920" t="str" cm="1">
        <f t="array" ref="M3920">IFERROR(INDEX($I$2:$K$2,0,MATCH(TRUE,I3920:K3920,0)),E3920)</f>
        <v>Lignite new</v>
      </c>
      <c r="O3920" t="str">
        <f t="shared" si="229"/>
        <v>Lignite new_2034</v>
      </c>
      <c r="P3920">
        <f t="shared" si="230"/>
        <v>875</v>
      </c>
    </row>
    <row r="3921" spans="4:16" x14ac:dyDescent="0.25">
      <c r="D3921">
        <v>2035</v>
      </c>
      <c r="E3921" t="s">
        <v>429</v>
      </c>
      <c r="F3921" t="s">
        <v>433</v>
      </c>
      <c r="G3921">
        <v>875</v>
      </c>
      <c r="I3921">
        <f t="shared" si="231"/>
        <v>0</v>
      </c>
      <c r="J3921">
        <f t="shared" si="231"/>
        <v>0</v>
      </c>
      <c r="K3921">
        <f t="shared" si="231"/>
        <v>0</v>
      </c>
      <c r="M3921" t="str" cm="1">
        <f t="array" ref="M3921">IFERROR(INDEX($I$2:$K$2,0,MATCH(TRUE,I3921:K3921,0)),E3921)</f>
        <v>Lignite new</v>
      </c>
      <c r="O3921" t="str">
        <f t="shared" si="229"/>
        <v>Lignite new_2035</v>
      </c>
      <c r="P3921">
        <f t="shared" si="230"/>
        <v>875</v>
      </c>
    </row>
    <row r="3922" spans="4:16" x14ac:dyDescent="0.25">
      <c r="D3922">
        <v>2021</v>
      </c>
      <c r="E3922" t="s">
        <v>429</v>
      </c>
      <c r="F3922" t="s">
        <v>434</v>
      </c>
      <c r="G3922">
        <v>1060</v>
      </c>
      <c r="I3922">
        <f t="shared" si="231"/>
        <v>0</v>
      </c>
      <c r="J3922">
        <f t="shared" si="231"/>
        <v>0</v>
      </c>
      <c r="K3922">
        <f t="shared" si="231"/>
        <v>0</v>
      </c>
      <c r="M3922" t="str" cm="1">
        <f t="array" ref="M3922">IFERROR(INDEX($I$2:$K$2,0,MATCH(TRUE,I3922:K3922,0)),E3922)</f>
        <v>Lignite new</v>
      </c>
      <c r="O3922" t="str">
        <f t="shared" si="229"/>
        <v>Lignite new_2021</v>
      </c>
      <c r="P3922">
        <f t="shared" si="230"/>
        <v>1060</v>
      </c>
    </row>
    <row r="3923" spans="4:16" x14ac:dyDescent="0.25">
      <c r="D3923">
        <v>2022</v>
      </c>
      <c r="E3923" t="s">
        <v>429</v>
      </c>
      <c r="F3923" t="s">
        <v>434</v>
      </c>
      <c r="G3923">
        <v>1060</v>
      </c>
      <c r="I3923">
        <f t="shared" si="231"/>
        <v>0</v>
      </c>
      <c r="J3923">
        <f t="shared" si="231"/>
        <v>0</v>
      </c>
      <c r="K3923">
        <f t="shared" si="231"/>
        <v>0</v>
      </c>
      <c r="M3923" t="str" cm="1">
        <f t="array" ref="M3923">IFERROR(INDEX($I$2:$K$2,0,MATCH(TRUE,I3923:K3923,0)),E3923)</f>
        <v>Lignite new</v>
      </c>
      <c r="O3923" t="str">
        <f t="shared" ref="O3923:O3986" si="232">M3923&amp;"_"&amp;D3923</f>
        <v>Lignite new_2022</v>
      </c>
      <c r="P3923">
        <f t="shared" ref="P3923:P3986" si="233">G3923</f>
        <v>1060</v>
      </c>
    </row>
    <row r="3924" spans="4:16" x14ac:dyDescent="0.25">
      <c r="D3924">
        <v>2023</v>
      </c>
      <c r="E3924" t="s">
        <v>429</v>
      </c>
      <c r="F3924" t="s">
        <v>434</v>
      </c>
      <c r="G3924">
        <v>1060</v>
      </c>
      <c r="I3924">
        <f t="shared" si="231"/>
        <v>0</v>
      </c>
      <c r="J3924">
        <f t="shared" si="231"/>
        <v>0</v>
      </c>
      <c r="K3924">
        <f t="shared" si="231"/>
        <v>0</v>
      </c>
      <c r="M3924" t="str" cm="1">
        <f t="array" ref="M3924">IFERROR(INDEX($I$2:$K$2,0,MATCH(TRUE,I3924:K3924,0)),E3924)</f>
        <v>Lignite new</v>
      </c>
      <c r="O3924" t="str">
        <f t="shared" si="232"/>
        <v>Lignite new_2023</v>
      </c>
      <c r="P3924">
        <f t="shared" si="233"/>
        <v>1060</v>
      </c>
    </row>
    <row r="3925" spans="4:16" x14ac:dyDescent="0.25">
      <c r="D3925">
        <v>2024</v>
      </c>
      <c r="E3925" t="s">
        <v>429</v>
      </c>
      <c r="F3925" t="s">
        <v>434</v>
      </c>
      <c r="G3925">
        <v>1060</v>
      </c>
      <c r="I3925">
        <f t="shared" ref="I3925:K3988" si="234">IFERROR(FIND(I$2,$E3925,1)&gt;0,0)</f>
        <v>0</v>
      </c>
      <c r="J3925">
        <f t="shared" si="234"/>
        <v>0</v>
      </c>
      <c r="K3925">
        <f t="shared" si="234"/>
        <v>0</v>
      </c>
      <c r="M3925" t="str" cm="1">
        <f t="array" ref="M3925">IFERROR(INDEX($I$2:$K$2,0,MATCH(TRUE,I3925:K3925,0)),E3925)</f>
        <v>Lignite new</v>
      </c>
      <c r="O3925" t="str">
        <f t="shared" si="232"/>
        <v>Lignite new_2024</v>
      </c>
      <c r="P3925">
        <f t="shared" si="233"/>
        <v>1060</v>
      </c>
    </row>
    <row r="3926" spans="4:16" x14ac:dyDescent="0.25">
      <c r="D3926">
        <v>2025</v>
      </c>
      <c r="E3926" t="s">
        <v>429</v>
      </c>
      <c r="F3926" t="s">
        <v>434</v>
      </c>
      <c r="G3926">
        <v>1060</v>
      </c>
      <c r="I3926">
        <f t="shared" si="234"/>
        <v>0</v>
      </c>
      <c r="J3926">
        <f t="shared" si="234"/>
        <v>0</v>
      </c>
      <c r="K3926">
        <f t="shared" si="234"/>
        <v>0</v>
      </c>
      <c r="M3926" t="str" cm="1">
        <f t="array" ref="M3926">IFERROR(INDEX($I$2:$K$2,0,MATCH(TRUE,I3926:K3926,0)),E3926)</f>
        <v>Lignite new</v>
      </c>
      <c r="O3926" t="str">
        <f t="shared" si="232"/>
        <v>Lignite new_2025</v>
      </c>
      <c r="P3926">
        <f t="shared" si="233"/>
        <v>1060</v>
      </c>
    </row>
    <row r="3927" spans="4:16" x14ac:dyDescent="0.25">
      <c r="D3927">
        <v>2026</v>
      </c>
      <c r="E3927" t="s">
        <v>429</v>
      </c>
      <c r="F3927" t="s">
        <v>434</v>
      </c>
      <c r="G3927">
        <v>1060</v>
      </c>
      <c r="I3927">
        <f t="shared" si="234"/>
        <v>0</v>
      </c>
      <c r="J3927">
        <f t="shared" si="234"/>
        <v>0</v>
      </c>
      <c r="K3927">
        <f t="shared" si="234"/>
        <v>0</v>
      </c>
      <c r="M3927" t="str" cm="1">
        <f t="array" ref="M3927">IFERROR(INDEX($I$2:$K$2,0,MATCH(TRUE,I3927:K3927,0)),E3927)</f>
        <v>Lignite new</v>
      </c>
      <c r="O3927" t="str">
        <f t="shared" si="232"/>
        <v>Lignite new_2026</v>
      </c>
      <c r="P3927">
        <f t="shared" si="233"/>
        <v>1060</v>
      </c>
    </row>
    <row r="3928" spans="4:16" x14ac:dyDescent="0.25">
      <c r="D3928">
        <v>2027</v>
      </c>
      <c r="E3928" t="s">
        <v>429</v>
      </c>
      <c r="F3928" t="s">
        <v>434</v>
      </c>
      <c r="G3928">
        <v>1060</v>
      </c>
      <c r="I3928">
        <f t="shared" si="234"/>
        <v>0</v>
      </c>
      <c r="J3928">
        <f t="shared" si="234"/>
        <v>0</v>
      </c>
      <c r="K3928">
        <f t="shared" si="234"/>
        <v>0</v>
      </c>
      <c r="M3928" t="str" cm="1">
        <f t="array" ref="M3928">IFERROR(INDEX($I$2:$K$2,0,MATCH(TRUE,I3928:K3928,0)),E3928)</f>
        <v>Lignite new</v>
      </c>
      <c r="O3928" t="str">
        <f t="shared" si="232"/>
        <v>Lignite new_2027</v>
      </c>
      <c r="P3928">
        <f t="shared" si="233"/>
        <v>1060</v>
      </c>
    </row>
    <row r="3929" spans="4:16" x14ac:dyDescent="0.25">
      <c r="D3929">
        <v>2028</v>
      </c>
      <c r="E3929" t="s">
        <v>429</v>
      </c>
      <c r="F3929" t="s">
        <v>434</v>
      </c>
      <c r="G3929">
        <v>1060</v>
      </c>
      <c r="I3929">
        <f t="shared" si="234"/>
        <v>0</v>
      </c>
      <c r="J3929">
        <f t="shared" si="234"/>
        <v>0</v>
      </c>
      <c r="K3929">
        <f t="shared" si="234"/>
        <v>0</v>
      </c>
      <c r="M3929" t="str" cm="1">
        <f t="array" ref="M3929">IFERROR(INDEX($I$2:$K$2,0,MATCH(TRUE,I3929:K3929,0)),E3929)</f>
        <v>Lignite new</v>
      </c>
      <c r="O3929" t="str">
        <f t="shared" si="232"/>
        <v>Lignite new_2028</v>
      </c>
      <c r="P3929">
        <f t="shared" si="233"/>
        <v>1060</v>
      </c>
    </row>
    <row r="3930" spans="4:16" x14ac:dyDescent="0.25">
      <c r="D3930">
        <v>2029</v>
      </c>
      <c r="E3930" t="s">
        <v>429</v>
      </c>
      <c r="F3930" t="s">
        <v>434</v>
      </c>
      <c r="G3930">
        <v>1060</v>
      </c>
      <c r="I3930">
        <f t="shared" si="234"/>
        <v>0</v>
      </c>
      <c r="J3930">
        <f t="shared" si="234"/>
        <v>0</v>
      </c>
      <c r="K3930">
        <f t="shared" si="234"/>
        <v>0</v>
      </c>
      <c r="M3930" t="str" cm="1">
        <f t="array" ref="M3930">IFERROR(INDEX($I$2:$K$2,0,MATCH(TRUE,I3930:K3930,0)),E3930)</f>
        <v>Lignite new</v>
      </c>
      <c r="O3930" t="str">
        <f t="shared" si="232"/>
        <v>Lignite new_2029</v>
      </c>
      <c r="P3930">
        <f t="shared" si="233"/>
        <v>1060</v>
      </c>
    </row>
    <row r="3931" spans="4:16" x14ac:dyDescent="0.25">
      <c r="D3931">
        <v>2030</v>
      </c>
      <c r="E3931" t="s">
        <v>429</v>
      </c>
      <c r="F3931" t="s">
        <v>434</v>
      </c>
      <c r="G3931">
        <v>1060</v>
      </c>
      <c r="I3931">
        <f t="shared" si="234"/>
        <v>0</v>
      </c>
      <c r="J3931">
        <f t="shared" si="234"/>
        <v>0</v>
      </c>
      <c r="K3931">
        <f t="shared" si="234"/>
        <v>0</v>
      </c>
      <c r="M3931" t="str" cm="1">
        <f t="array" ref="M3931">IFERROR(INDEX($I$2:$K$2,0,MATCH(TRUE,I3931:K3931,0)),E3931)</f>
        <v>Lignite new</v>
      </c>
      <c r="O3931" t="str">
        <f t="shared" si="232"/>
        <v>Lignite new_2030</v>
      </c>
      <c r="P3931">
        <f t="shared" si="233"/>
        <v>1060</v>
      </c>
    </row>
    <row r="3932" spans="4:16" x14ac:dyDescent="0.25">
      <c r="D3932">
        <v>2031</v>
      </c>
      <c r="E3932" t="s">
        <v>429</v>
      </c>
      <c r="F3932" t="s">
        <v>434</v>
      </c>
      <c r="G3932">
        <v>1060</v>
      </c>
      <c r="I3932">
        <f t="shared" si="234"/>
        <v>0</v>
      </c>
      <c r="J3932">
        <f t="shared" si="234"/>
        <v>0</v>
      </c>
      <c r="K3932">
        <f t="shared" si="234"/>
        <v>0</v>
      </c>
      <c r="M3932" t="str" cm="1">
        <f t="array" ref="M3932">IFERROR(INDEX($I$2:$K$2,0,MATCH(TRUE,I3932:K3932,0)),E3932)</f>
        <v>Lignite new</v>
      </c>
      <c r="O3932" t="str">
        <f t="shared" si="232"/>
        <v>Lignite new_2031</v>
      </c>
      <c r="P3932">
        <f t="shared" si="233"/>
        <v>1060</v>
      </c>
    </row>
    <row r="3933" spans="4:16" x14ac:dyDescent="0.25">
      <c r="D3933">
        <v>2032</v>
      </c>
      <c r="E3933" t="s">
        <v>429</v>
      </c>
      <c r="F3933" t="s">
        <v>434</v>
      </c>
      <c r="G3933">
        <v>1060</v>
      </c>
      <c r="I3933">
        <f t="shared" si="234"/>
        <v>0</v>
      </c>
      <c r="J3933">
        <f t="shared" si="234"/>
        <v>0</v>
      </c>
      <c r="K3933">
        <f t="shared" si="234"/>
        <v>0</v>
      </c>
      <c r="M3933" t="str" cm="1">
        <f t="array" ref="M3933">IFERROR(INDEX($I$2:$K$2,0,MATCH(TRUE,I3933:K3933,0)),E3933)</f>
        <v>Lignite new</v>
      </c>
      <c r="O3933" t="str">
        <f t="shared" si="232"/>
        <v>Lignite new_2032</v>
      </c>
      <c r="P3933">
        <f t="shared" si="233"/>
        <v>1060</v>
      </c>
    </row>
    <row r="3934" spans="4:16" x14ac:dyDescent="0.25">
      <c r="D3934">
        <v>2033</v>
      </c>
      <c r="E3934" t="s">
        <v>429</v>
      </c>
      <c r="F3934" t="s">
        <v>434</v>
      </c>
      <c r="G3934">
        <v>1060</v>
      </c>
      <c r="I3934">
        <f t="shared" si="234"/>
        <v>0</v>
      </c>
      <c r="J3934">
        <f t="shared" si="234"/>
        <v>0</v>
      </c>
      <c r="K3934">
        <f t="shared" si="234"/>
        <v>0</v>
      </c>
      <c r="M3934" t="str" cm="1">
        <f t="array" ref="M3934">IFERROR(INDEX($I$2:$K$2,0,MATCH(TRUE,I3934:K3934,0)),E3934)</f>
        <v>Lignite new</v>
      </c>
      <c r="O3934" t="str">
        <f t="shared" si="232"/>
        <v>Lignite new_2033</v>
      </c>
      <c r="P3934">
        <f t="shared" si="233"/>
        <v>1060</v>
      </c>
    </row>
    <row r="3935" spans="4:16" x14ac:dyDescent="0.25">
      <c r="D3935">
        <v>2034</v>
      </c>
      <c r="E3935" t="s">
        <v>429</v>
      </c>
      <c r="F3935" t="s">
        <v>434</v>
      </c>
      <c r="G3935">
        <v>1060</v>
      </c>
      <c r="I3935">
        <f t="shared" si="234"/>
        <v>0</v>
      </c>
      <c r="J3935">
        <f t="shared" si="234"/>
        <v>0</v>
      </c>
      <c r="K3935">
        <f t="shared" si="234"/>
        <v>0</v>
      </c>
      <c r="M3935" t="str" cm="1">
        <f t="array" ref="M3935">IFERROR(INDEX($I$2:$K$2,0,MATCH(TRUE,I3935:K3935,0)),E3935)</f>
        <v>Lignite new</v>
      </c>
      <c r="O3935" t="str">
        <f t="shared" si="232"/>
        <v>Lignite new_2034</v>
      </c>
      <c r="P3935">
        <f t="shared" si="233"/>
        <v>1060</v>
      </c>
    </row>
    <row r="3936" spans="4:16" x14ac:dyDescent="0.25">
      <c r="D3936">
        <v>2035</v>
      </c>
      <c r="E3936" t="s">
        <v>429</v>
      </c>
      <c r="F3936" t="s">
        <v>434</v>
      </c>
      <c r="G3936">
        <v>1060</v>
      </c>
      <c r="I3936">
        <f t="shared" si="234"/>
        <v>0</v>
      </c>
      <c r="J3936">
        <f t="shared" si="234"/>
        <v>0</v>
      </c>
      <c r="K3936">
        <f t="shared" si="234"/>
        <v>0</v>
      </c>
      <c r="M3936" t="str" cm="1">
        <f t="array" ref="M3936">IFERROR(INDEX($I$2:$K$2,0,MATCH(TRUE,I3936:K3936,0)),E3936)</f>
        <v>Lignite new</v>
      </c>
      <c r="O3936" t="str">
        <f t="shared" si="232"/>
        <v>Lignite new_2035</v>
      </c>
      <c r="P3936">
        <f t="shared" si="233"/>
        <v>1060</v>
      </c>
    </row>
    <row r="3937" spans="4:16" x14ac:dyDescent="0.25">
      <c r="D3937">
        <v>2036</v>
      </c>
      <c r="E3937" t="s">
        <v>429</v>
      </c>
      <c r="F3937" t="s">
        <v>434</v>
      </c>
      <c r="G3937">
        <v>1060</v>
      </c>
      <c r="I3937">
        <f t="shared" si="234"/>
        <v>0</v>
      </c>
      <c r="J3937">
        <f t="shared" si="234"/>
        <v>0</v>
      </c>
      <c r="K3937">
        <f t="shared" si="234"/>
        <v>0</v>
      </c>
      <c r="M3937" t="str" cm="1">
        <f t="array" ref="M3937">IFERROR(INDEX($I$2:$K$2,0,MATCH(TRUE,I3937:K3937,0)),E3937)</f>
        <v>Lignite new</v>
      </c>
      <c r="O3937" t="str">
        <f t="shared" si="232"/>
        <v>Lignite new_2036</v>
      </c>
      <c r="P3937">
        <f t="shared" si="233"/>
        <v>1060</v>
      </c>
    </row>
    <row r="3938" spans="4:16" x14ac:dyDescent="0.25">
      <c r="D3938">
        <v>2037</v>
      </c>
      <c r="E3938" t="s">
        <v>429</v>
      </c>
      <c r="F3938" t="s">
        <v>434</v>
      </c>
      <c r="G3938">
        <v>1060</v>
      </c>
      <c r="I3938">
        <f t="shared" si="234"/>
        <v>0</v>
      </c>
      <c r="J3938">
        <f t="shared" si="234"/>
        <v>0</v>
      </c>
      <c r="K3938">
        <f t="shared" si="234"/>
        <v>0</v>
      </c>
      <c r="M3938" t="str" cm="1">
        <f t="array" ref="M3938">IFERROR(INDEX($I$2:$K$2,0,MATCH(TRUE,I3938:K3938,0)),E3938)</f>
        <v>Lignite new</v>
      </c>
      <c r="O3938" t="str">
        <f t="shared" si="232"/>
        <v>Lignite new_2037</v>
      </c>
      <c r="P3938">
        <f t="shared" si="233"/>
        <v>1060</v>
      </c>
    </row>
    <row r="3939" spans="4:16" x14ac:dyDescent="0.25">
      <c r="D3939">
        <v>2038</v>
      </c>
      <c r="E3939" t="s">
        <v>429</v>
      </c>
      <c r="F3939" t="s">
        <v>434</v>
      </c>
      <c r="G3939">
        <v>1060</v>
      </c>
      <c r="I3939">
        <f t="shared" si="234"/>
        <v>0</v>
      </c>
      <c r="J3939">
        <f t="shared" si="234"/>
        <v>0</v>
      </c>
      <c r="K3939">
        <f t="shared" si="234"/>
        <v>0</v>
      </c>
      <c r="M3939" t="str" cm="1">
        <f t="array" ref="M3939">IFERROR(INDEX($I$2:$K$2,0,MATCH(TRUE,I3939:K3939,0)),E3939)</f>
        <v>Lignite new</v>
      </c>
      <c r="O3939" t="str">
        <f t="shared" si="232"/>
        <v>Lignite new_2038</v>
      </c>
      <c r="P3939">
        <f t="shared" si="233"/>
        <v>1060</v>
      </c>
    </row>
    <row r="3940" spans="4:16" x14ac:dyDescent="0.25">
      <c r="D3940">
        <v>2021</v>
      </c>
      <c r="E3940" t="s">
        <v>429</v>
      </c>
      <c r="F3940" t="s">
        <v>435</v>
      </c>
      <c r="G3940">
        <v>1060</v>
      </c>
      <c r="I3940">
        <f t="shared" si="234"/>
        <v>0</v>
      </c>
      <c r="J3940">
        <f t="shared" si="234"/>
        <v>0</v>
      </c>
      <c r="K3940">
        <f t="shared" si="234"/>
        <v>0</v>
      </c>
      <c r="M3940" t="str" cm="1">
        <f t="array" ref="M3940">IFERROR(INDEX($I$2:$K$2,0,MATCH(TRUE,I3940:K3940,0)),E3940)</f>
        <v>Lignite new</v>
      </c>
      <c r="O3940" t="str">
        <f t="shared" si="232"/>
        <v>Lignite new_2021</v>
      </c>
      <c r="P3940">
        <f t="shared" si="233"/>
        <v>1060</v>
      </c>
    </row>
    <row r="3941" spans="4:16" x14ac:dyDescent="0.25">
      <c r="D3941">
        <v>2022</v>
      </c>
      <c r="E3941" t="s">
        <v>429</v>
      </c>
      <c r="F3941" t="s">
        <v>435</v>
      </c>
      <c r="G3941">
        <v>1060</v>
      </c>
      <c r="I3941">
        <f t="shared" si="234"/>
        <v>0</v>
      </c>
      <c r="J3941">
        <f t="shared" si="234"/>
        <v>0</v>
      </c>
      <c r="K3941">
        <f t="shared" si="234"/>
        <v>0</v>
      </c>
      <c r="M3941" t="str" cm="1">
        <f t="array" ref="M3941">IFERROR(INDEX($I$2:$K$2,0,MATCH(TRUE,I3941:K3941,0)),E3941)</f>
        <v>Lignite new</v>
      </c>
      <c r="O3941" t="str">
        <f t="shared" si="232"/>
        <v>Lignite new_2022</v>
      </c>
      <c r="P3941">
        <f t="shared" si="233"/>
        <v>1060</v>
      </c>
    </row>
    <row r="3942" spans="4:16" x14ac:dyDescent="0.25">
      <c r="D3942">
        <v>2023</v>
      </c>
      <c r="E3942" t="s">
        <v>429</v>
      </c>
      <c r="F3942" t="s">
        <v>435</v>
      </c>
      <c r="G3942">
        <v>1060</v>
      </c>
      <c r="I3942">
        <f t="shared" si="234"/>
        <v>0</v>
      </c>
      <c r="J3942">
        <f t="shared" si="234"/>
        <v>0</v>
      </c>
      <c r="K3942">
        <f t="shared" si="234"/>
        <v>0</v>
      </c>
      <c r="M3942" t="str" cm="1">
        <f t="array" ref="M3942">IFERROR(INDEX($I$2:$K$2,0,MATCH(TRUE,I3942:K3942,0)),E3942)</f>
        <v>Lignite new</v>
      </c>
      <c r="O3942" t="str">
        <f t="shared" si="232"/>
        <v>Lignite new_2023</v>
      </c>
      <c r="P3942">
        <f t="shared" si="233"/>
        <v>1060</v>
      </c>
    </row>
    <row r="3943" spans="4:16" x14ac:dyDescent="0.25">
      <c r="D3943">
        <v>2024</v>
      </c>
      <c r="E3943" t="s">
        <v>429</v>
      </c>
      <c r="F3943" t="s">
        <v>435</v>
      </c>
      <c r="G3943">
        <v>1060</v>
      </c>
      <c r="I3943">
        <f t="shared" si="234"/>
        <v>0</v>
      </c>
      <c r="J3943">
        <f t="shared" si="234"/>
        <v>0</v>
      </c>
      <c r="K3943">
        <f t="shared" si="234"/>
        <v>0</v>
      </c>
      <c r="M3943" t="str" cm="1">
        <f t="array" ref="M3943">IFERROR(INDEX($I$2:$K$2,0,MATCH(TRUE,I3943:K3943,0)),E3943)</f>
        <v>Lignite new</v>
      </c>
      <c r="O3943" t="str">
        <f t="shared" si="232"/>
        <v>Lignite new_2024</v>
      </c>
      <c r="P3943">
        <f t="shared" si="233"/>
        <v>1060</v>
      </c>
    </row>
    <row r="3944" spans="4:16" x14ac:dyDescent="0.25">
      <c r="D3944">
        <v>2025</v>
      </c>
      <c r="E3944" t="s">
        <v>429</v>
      </c>
      <c r="F3944" t="s">
        <v>435</v>
      </c>
      <c r="G3944">
        <v>1060</v>
      </c>
      <c r="I3944">
        <f t="shared" si="234"/>
        <v>0</v>
      </c>
      <c r="J3944">
        <f t="shared" si="234"/>
        <v>0</v>
      </c>
      <c r="K3944">
        <f t="shared" si="234"/>
        <v>0</v>
      </c>
      <c r="M3944" t="str" cm="1">
        <f t="array" ref="M3944">IFERROR(INDEX($I$2:$K$2,0,MATCH(TRUE,I3944:K3944,0)),E3944)</f>
        <v>Lignite new</v>
      </c>
      <c r="O3944" t="str">
        <f t="shared" si="232"/>
        <v>Lignite new_2025</v>
      </c>
      <c r="P3944">
        <f t="shared" si="233"/>
        <v>1060</v>
      </c>
    </row>
    <row r="3945" spans="4:16" x14ac:dyDescent="0.25">
      <c r="D3945">
        <v>2026</v>
      </c>
      <c r="E3945" t="s">
        <v>429</v>
      </c>
      <c r="F3945" t="s">
        <v>435</v>
      </c>
      <c r="G3945">
        <v>1060</v>
      </c>
      <c r="I3945">
        <f t="shared" si="234"/>
        <v>0</v>
      </c>
      <c r="J3945">
        <f t="shared" si="234"/>
        <v>0</v>
      </c>
      <c r="K3945">
        <f t="shared" si="234"/>
        <v>0</v>
      </c>
      <c r="M3945" t="str" cm="1">
        <f t="array" ref="M3945">IFERROR(INDEX($I$2:$K$2,0,MATCH(TRUE,I3945:K3945,0)),E3945)</f>
        <v>Lignite new</v>
      </c>
      <c r="O3945" t="str">
        <f t="shared" si="232"/>
        <v>Lignite new_2026</v>
      </c>
      <c r="P3945">
        <f t="shared" si="233"/>
        <v>1060</v>
      </c>
    </row>
    <row r="3946" spans="4:16" x14ac:dyDescent="0.25">
      <c r="D3946">
        <v>2027</v>
      </c>
      <c r="E3946" t="s">
        <v>429</v>
      </c>
      <c r="F3946" t="s">
        <v>435</v>
      </c>
      <c r="G3946">
        <v>1060</v>
      </c>
      <c r="I3946">
        <f t="shared" si="234"/>
        <v>0</v>
      </c>
      <c r="J3946">
        <f t="shared" si="234"/>
        <v>0</v>
      </c>
      <c r="K3946">
        <f t="shared" si="234"/>
        <v>0</v>
      </c>
      <c r="M3946" t="str" cm="1">
        <f t="array" ref="M3946">IFERROR(INDEX($I$2:$K$2,0,MATCH(TRUE,I3946:K3946,0)),E3946)</f>
        <v>Lignite new</v>
      </c>
      <c r="O3946" t="str">
        <f t="shared" si="232"/>
        <v>Lignite new_2027</v>
      </c>
      <c r="P3946">
        <f t="shared" si="233"/>
        <v>1060</v>
      </c>
    </row>
    <row r="3947" spans="4:16" x14ac:dyDescent="0.25">
      <c r="D3947">
        <v>2028</v>
      </c>
      <c r="E3947" t="s">
        <v>429</v>
      </c>
      <c r="F3947" t="s">
        <v>435</v>
      </c>
      <c r="G3947">
        <v>1060</v>
      </c>
      <c r="I3947">
        <f t="shared" si="234"/>
        <v>0</v>
      </c>
      <c r="J3947">
        <f t="shared" si="234"/>
        <v>0</v>
      </c>
      <c r="K3947">
        <f t="shared" si="234"/>
        <v>0</v>
      </c>
      <c r="M3947" t="str" cm="1">
        <f t="array" ref="M3947">IFERROR(INDEX($I$2:$K$2,0,MATCH(TRUE,I3947:K3947,0)),E3947)</f>
        <v>Lignite new</v>
      </c>
      <c r="O3947" t="str">
        <f t="shared" si="232"/>
        <v>Lignite new_2028</v>
      </c>
      <c r="P3947">
        <f t="shared" si="233"/>
        <v>1060</v>
      </c>
    </row>
    <row r="3948" spans="4:16" x14ac:dyDescent="0.25">
      <c r="D3948">
        <v>2029</v>
      </c>
      <c r="E3948" t="s">
        <v>429</v>
      </c>
      <c r="F3948" t="s">
        <v>435</v>
      </c>
      <c r="G3948">
        <v>1060</v>
      </c>
      <c r="I3948">
        <f t="shared" si="234"/>
        <v>0</v>
      </c>
      <c r="J3948">
        <f t="shared" si="234"/>
        <v>0</v>
      </c>
      <c r="K3948">
        <f t="shared" si="234"/>
        <v>0</v>
      </c>
      <c r="M3948" t="str" cm="1">
        <f t="array" ref="M3948">IFERROR(INDEX($I$2:$K$2,0,MATCH(TRUE,I3948:K3948,0)),E3948)</f>
        <v>Lignite new</v>
      </c>
      <c r="O3948" t="str">
        <f t="shared" si="232"/>
        <v>Lignite new_2029</v>
      </c>
      <c r="P3948">
        <f t="shared" si="233"/>
        <v>1060</v>
      </c>
    </row>
    <row r="3949" spans="4:16" x14ac:dyDescent="0.25">
      <c r="D3949">
        <v>2030</v>
      </c>
      <c r="E3949" t="s">
        <v>429</v>
      </c>
      <c r="F3949" t="s">
        <v>435</v>
      </c>
      <c r="G3949">
        <v>1060</v>
      </c>
      <c r="I3949">
        <f t="shared" si="234"/>
        <v>0</v>
      </c>
      <c r="J3949">
        <f t="shared" si="234"/>
        <v>0</v>
      </c>
      <c r="K3949">
        <f t="shared" si="234"/>
        <v>0</v>
      </c>
      <c r="M3949" t="str" cm="1">
        <f t="array" ref="M3949">IFERROR(INDEX($I$2:$K$2,0,MATCH(TRUE,I3949:K3949,0)),E3949)</f>
        <v>Lignite new</v>
      </c>
      <c r="O3949" t="str">
        <f t="shared" si="232"/>
        <v>Lignite new_2030</v>
      </c>
      <c r="P3949">
        <f t="shared" si="233"/>
        <v>1060</v>
      </c>
    </row>
    <row r="3950" spans="4:16" x14ac:dyDescent="0.25">
      <c r="D3950">
        <v>2031</v>
      </c>
      <c r="E3950" t="s">
        <v>429</v>
      </c>
      <c r="F3950" t="s">
        <v>435</v>
      </c>
      <c r="G3950">
        <v>1060</v>
      </c>
      <c r="I3950">
        <f t="shared" si="234"/>
        <v>0</v>
      </c>
      <c r="J3950">
        <f t="shared" si="234"/>
        <v>0</v>
      </c>
      <c r="K3950">
        <f t="shared" si="234"/>
        <v>0</v>
      </c>
      <c r="M3950" t="str" cm="1">
        <f t="array" ref="M3950">IFERROR(INDEX($I$2:$K$2,0,MATCH(TRUE,I3950:K3950,0)),E3950)</f>
        <v>Lignite new</v>
      </c>
      <c r="O3950" t="str">
        <f t="shared" si="232"/>
        <v>Lignite new_2031</v>
      </c>
      <c r="P3950">
        <f t="shared" si="233"/>
        <v>1060</v>
      </c>
    </row>
    <row r="3951" spans="4:16" x14ac:dyDescent="0.25">
      <c r="D3951">
        <v>2032</v>
      </c>
      <c r="E3951" t="s">
        <v>429</v>
      </c>
      <c r="F3951" t="s">
        <v>435</v>
      </c>
      <c r="G3951">
        <v>1060</v>
      </c>
      <c r="I3951">
        <f t="shared" si="234"/>
        <v>0</v>
      </c>
      <c r="J3951">
        <f t="shared" si="234"/>
        <v>0</v>
      </c>
      <c r="K3951">
        <f t="shared" si="234"/>
        <v>0</v>
      </c>
      <c r="M3951" t="str" cm="1">
        <f t="array" ref="M3951">IFERROR(INDEX($I$2:$K$2,0,MATCH(TRUE,I3951:K3951,0)),E3951)</f>
        <v>Lignite new</v>
      </c>
      <c r="O3951" t="str">
        <f t="shared" si="232"/>
        <v>Lignite new_2032</v>
      </c>
      <c r="P3951">
        <f t="shared" si="233"/>
        <v>1060</v>
      </c>
    </row>
    <row r="3952" spans="4:16" x14ac:dyDescent="0.25">
      <c r="D3952">
        <v>2033</v>
      </c>
      <c r="E3952" t="s">
        <v>429</v>
      </c>
      <c r="F3952" t="s">
        <v>435</v>
      </c>
      <c r="G3952">
        <v>1060</v>
      </c>
      <c r="I3952">
        <f t="shared" si="234"/>
        <v>0</v>
      </c>
      <c r="J3952">
        <f t="shared" si="234"/>
        <v>0</v>
      </c>
      <c r="K3952">
        <f t="shared" si="234"/>
        <v>0</v>
      </c>
      <c r="M3952" t="str" cm="1">
        <f t="array" ref="M3952">IFERROR(INDEX($I$2:$K$2,0,MATCH(TRUE,I3952:K3952,0)),E3952)</f>
        <v>Lignite new</v>
      </c>
      <c r="O3952" t="str">
        <f t="shared" si="232"/>
        <v>Lignite new_2033</v>
      </c>
      <c r="P3952">
        <f t="shared" si="233"/>
        <v>1060</v>
      </c>
    </row>
    <row r="3953" spans="4:16" x14ac:dyDescent="0.25">
      <c r="D3953">
        <v>2034</v>
      </c>
      <c r="E3953" t="s">
        <v>429</v>
      </c>
      <c r="F3953" t="s">
        <v>435</v>
      </c>
      <c r="G3953">
        <v>1060</v>
      </c>
      <c r="I3953">
        <f t="shared" si="234"/>
        <v>0</v>
      </c>
      <c r="J3953">
        <f t="shared" si="234"/>
        <v>0</v>
      </c>
      <c r="K3953">
        <f t="shared" si="234"/>
        <v>0</v>
      </c>
      <c r="M3953" t="str" cm="1">
        <f t="array" ref="M3953">IFERROR(INDEX($I$2:$K$2,0,MATCH(TRUE,I3953:K3953,0)),E3953)</f>
        <v>Lignite new</v>
      </c>
      <c r="O3953" t="str">
        <f t="shared" si="232"/>
        <v>Lignite new_2034</v>
      </c>
      <c r="P3953">
        <f t="shared" si="233"/>
        <v>1060</v>
      </c>
    </row>
    <row r="3954" spans="4:16" x14ac:dyDescent="0.25">
      <c r="D3954">
        <v>2035</v>
      </c>
      <c r="E3954" t="s">
        <v>429</v>
      </c>
      <c r="F3954" t="s">
        <v>435</v>
      </c>
      <c r="G3954">
        <v>1060</v>
      </c>
      <c r="I3954">
        <f t="shared" si="234"/>
        <v>0</v>
      </c>
      <c r="J3954">
        <f t="shared" si="234"/>
        <v>0</v>
      </c>
      <c r="K3954">
        <f t="shared" si="234"/>
        <v>0</v>
      </c>
      <c r="M3954" t="str" cm="1">
        <f t="array" ref="M3954">IFERROR(INDEX($I$2:$K$2,0,MATCH(TRUE,I3954:K3954,0)),E3954)</f>
        <v>Lignite new</v>
      </c>
      <c r="O3954" t="str">
        <f t="shared" si="232"/>
        <v>Lignite new_2035</v>
      </c>
      <c r="P3954">
        <f t="shared" si="233"/>
        <v>1060</v>
      </c>
    </row>
    <row r="3955" spans="4:16" x14ac:dyDescent="0.25">
      <c r="D3955">
        <v>2036</v>
      </c>
      <c r="E3955" t="s">
        <v>429</v>
      </c>
      <c r="F3955" t="s">
        <v>435</v>
      </c>
      <c r="G3955">
        <v>1060</v>
      </c>
      <c r="I3955">
        <f t="shared" si="234"/>
        <v>0</v>
      </c>
      <c r="J3955">
        <f t="shared" si="234"/>
        <v>0</v>
      </c>
      <c r="K3955">
        <f t="shared" si="234"/>
        <v>0</v>
      </c>
      <c r="M3955" t="str" cm="1">
        <f t="array" ref="M3955">IFERROR(INDEX($I$2:$K$2,0,MATCH(TRUE,I3955:K3955,0)),E3955)</f>
        <v>Lignite new</v>
      </c>
      <c r="O3955" t="str">
        <f t="shared" si="232"/>
        <v>Lignite new_2036</v>
      </c>
      <c r="P3955">
        <f t="shared" si="233"/>
        <v>1060</v>
      </c>
    </row>
    <row r="3956" spans="4:16" x14ac:dyDescent="0.25">
      <c r="D3956">
        <v>2037</v>
      </c>
      <c r="E3956" t="s">
        <v>429</v>
      </c>
      <c r="F3956" t="s">
        <v>435</v>
      </c>
      <c r="G3956">
        <v>1060</v>
      </c>
      <c r="I3956">
        <f t="shared" si="234"/>
        <v>0</v>
      </c>
      <c r="J3956">
        <f t="shared" si="234"/>
        <v>0</v>
      </c>
      <c r="K3956">
        <f t="shared" si="234"/>
        <v>0</v>
      </c>
      <c r="M3956" t="str" cm="1">
        <f t="array" ref="M3956">IFERROR(INDEX($I$2:$K$2,0,MATCH(TRUE,I3956:K3956,0)),E3956)</f>
        <v>Lignite new</v>
      </c>
      <c r="O3956" t="str">
        <f t="shared" si="232"/>
        <v>Lignite new_2037</v>
      </c>
      <c r="P3956">
        <f t="shared" si="233"/>
        <v>1060</v>
      </c>
    </row>
    <row r="3957" spans="4:16" x14ac:dyDescent="0.25">
      <c r="D3957">
        <v>2038</v>
      </c>
      <c r="E3957" t="s">
        <v>429</v>
      </c>
      <c r="F3957" t="s">
        <v>435</v>
      </c>
      <c r="G3957">
        <v>1060</v>
      </c>
      <c r="I3957">
        <f t="shared" si="234"/>
        <v>0</v>
      </c>
      <c r="J3957">
        <f t="shared" si="234"/>
        <v>0</v>
      </c>
      <c r="K3957">
        <f t="shared" si="234"/>
        <v>0</v>
      </c>
      <c r="M3957" t="str" cm="1">
        <f t="array" ref="M3957">IFERROR(INDEX($I$2:$K$2,0,MATCH(TRUE,I3957:K3957,0)),E3957)</f>
        <v>Lignite new</v>
      </c>
      <c r="O3957" t="str">
        <f t="shared" si="232"/>
        <v>Lignite new_2038</v>
      </c>
      <c r="P3957">
        <f t="shared" si="233"/>
        <v>1060</v>
      </c>
    </row>
    <row r="3958" spans="4:16" x14ac:dyDescent="0.25">
      <c r="D3958">
        <v>2021</v>
      </c>
      <c r="E3958" t="s">
        <v>429</v>
      </c>
      <c r="F3958" t="s">
        <v>436</v>
      </c>
      <c r="G3958">
        <v>915</v>
      </c>
      <c r="I3958">
        <f t="shared" si="234"/>
        <v>0</v>
      </c>
      <c r="J3958">
        <f t="shared" si="234"/>
        <v>0</v>
      </c>
      <c r="K3958">
        <f t="shared" si="234"/>
        <v>0</v>
      </c>
      <c r="M3958" t="str" cm="1">
        <f t="array" ref="M3958">IFERROR(INDEX($I$2:$K$2,0,MATCH(TRUE,I3958:K3958,0)),E3958)</f>
        <v>Lignite new</v>
      </c>
      <c r="O3958" t="str">
        <f t="shared" si="232"/>
        <v>Lignite new_2021</v>
      </c>
      <c r="P3958">
        <f t="shared" si="233"/>
        <v>915</v>
      </c>
    </row>
    <row r="3959" spans="4:16" x14ac:dyDescent="0.25">
      <c r="D3959">
        <v>2022</v>
      </c>
      <c r="E3959" t="s">
        <v>429</v>
      </c>
      <c r="F3959" t="s">
        <v>436</v>
      </c>
      <c r="G3959">
        <v>915</v>
      </c>
      <c r="I3959">
        <f t="shared" si="234"/>
        <v>0</v>
      </c>
      <c r="J3959">
        <f t="shared" si="234"/>
        <v>0</v>
      </c>
      <c r="K3959">
        <f t="shared" si="234"/>
        <v>0</v>
      </c>
      <c r="M3959" t="str" cm="1">
        <f t="array" ref="M3959">IFERROR(INDEX($I$2:$K$2,0,MATCH(TRUE,I3959:K3959,0)),E3959)</f>
        <v>Lignite new</v>
      </c>
      <c r="O3959" t="str">
        <f t="shared" si="232"/>
        <v>Lignite new_2022</v>
      </c>
      <c r="P3959">
        <f t="shared" si="233"/>
        <v>915</v>
      </c>
    </row>
    <row r="3960" spans="4:16" x14ac:dyDescent="0.25">
      <c r="D3960">
        <v>2023</v>
      </c>
      <c r="E3960" t="s">
        <v>429</v>
      </c>
      <c r="F3960" t="s">
        <v>436</v>
      </c>
      <c r="G3960">
        <v>915</v>
      </c>
      <c r="I3960">
        <f t="shared" si="234"/>
        <v>0</v>
      </c>
      <c r="J3960">
        <f t="shared" si="234"/>
        <v>0</v>
      </c>
      <c r="K3960">
        <f t="shared" si="234"/>
        <v>0</v>
      </c>
      <c r="M3960" t="str" cm="1">
        <f t="array" ref="M3960">IFERROR(INDEX($I$2:$K$2,0,MATCH(TRUE,I3960:K3960,0)),E3960)</f>
        <v>Lignite new</v>
      </c>
      <c r="O3960" t="str">
        <f t="shared" si="232"/>
        <v>Lignite new_2023</v>
      </c>
      <c r="P3960">
        <f t="shared" si="233"/>
        <v>915</v>
      </c>
    </row>
    <row r="3961" spans="4:16" x14ac:dyDescent="0.25">
      <c r="D3961">
        <v>2024</v>
      </c>
      <c r="E3961" t="s">
        <v>429</v>
      </c>
      <c r="F3961" t="s">
        <v>436</v>
      </c>
      <c r="G3961">
        <v>915</v>
      </c>
      <c r="I3961">
        <f t="shared" si="234"/>
        <v>0</v>
      </c>
      <c r="J3961">
        <f t="shared" si="234"/>
        <v>0</v>
      </c>
      <c r="K3961">
        <f t="shared" si="234"/>
        <v>0</v>
      </c>
      <c r="M3961" t="str" cm="1">
        <f t="array" ref="M3961">IFERROR(INDEX($I$2:$K$2,0,MATCH(TRUE,I3961:K3961,0)),E3961)</f>
        <v>Lignite new</v>
      </c>
      <c r="O3961" t="str">
        <f t="shared" si="232"/>
        <v>Lignite new_2024</v>
      </c>
      <c r="P3961">
        <f t="shared" si="233"/>
        <v>915</v>
      </c>
    </row>
    <row r="3962" spans="4:16" x14ac:dyDescent="0.25">
      <c r="D3962">
        <v>2025</v>
      </c>
      <c r="E3962" t="s">
        <v>429</v>
      </c>
      <c r="F3962" t="s">
        <v>436</v>
      </c>
      <c r="G3962">
        <v>915</v>
      </c>
      <c r="I3962">
        <f t="shared" si="234"/>
        <v>0</v>
      </c>
      <c r="J3962">
        <f t="shared" si="234"/>
        <v>0</v>
      </c>
      <c r="K3962">
        <f t="shared" si="234"/>
        <v>0</v>
      </c>
      <c r="M3962" t="str" cm="1">
        <f t="array" ref="M3962">IFERROR(INDEX($I$2:$K$2,0,MATCH(TRUE,I3962:K3962,0)),E3962)</f>
        <v>Lignite new</v>
      </c>
      <c r="O3962" t="str">
        <f t="shared" si="232"/>
        <v>Lignite new_2025</v>
      </c>
      <c r="P3962">
        <f t="shared" si="233"/>
        <v>915</v>
      </c>
    </row>
    <row r="3963" spans="4:16" x14ac:dyDescent="0.25">
      <c r="D3963">
        <v>2026</v>
      </c>
      <c r="E3963" t="s">
        <v>429</v>
      </c>
      <c r="F3963" t="s">
        <v>436</v>
      </c>
      <c r="G3963">
        <v>915</v>
      </c>
      <c r="I3963">
        <f t="shared" si="234"/>
        <v>0</v>
      </c>
      <c r="J3963">
        <f t="shared" si="234"/>
        <v>0</v>
      </c>
      <c r="K3963">
        <f t="shared" si="234"/>
        <v>0</v>
      </c>
      <c r="M3963" t="str" cm="1">
        <f t="array" ref="M3963">IFERROR(INDEX($I$2:$K$2,0,MATCH(TRUE,I3963:K3963,0)),E3963)</f>
        <v>Lignite new</v>
      </c>
      <c r="O3963" t="str">
        <f t="shared" si="232"/>
        <v>Lignite new_2026</v>
      </c>
      <c r="P3963">
        <f t="shared" si="233"/>
        <v>915</v>
      </c>
    </row>
    <row r="3964" spans="4:16" x14ac:dyDescent="0.25">
      <c r="D3964">
        <v>2027</v>
      </c>
      <c r="E3964" t="s">
        <v>429</v>
      </c>
      <c r="F3964" t="s">
        <v>436</v>
      </c>
      <c r="G3964">
        <v>915</v>
      </c>
      <c r="I3964">
        <f t="shared" si="234"/>
        <v>0</v>
      </c>
      <c r="J3964">
        <f t="shared" si="234"/>
        <v>0</v>
      </c>
      <c r="K3964">
        <f t="shared" si="234"/>
        <v>0</v>
      </c>
      <c r="M3964" t="str" cm="1">
        <f t="array" ref="M3964">IFERROR(INDEX($I$2:$K$2,0,MATCH(TRUE,I3964:K3964,0)),E3964)</f>
        <v>Lignite new</v>
      </c>
      <c r="O3964" t="str">
        <f t="shared" si="232"/>
        <v>Lignite new_2027</v>
      </c>
      <c r="P3964">
        <f t="shared" si="233"/>
        <v>915</v>
      </c>
    </row>
    <row r="3965" spans="4:16" x14ac:dyDescent="0.25">
      <c r="D3965">
        <v>2028</v>
      </c>
      <c r="E3965" t="s">
        <v>429</v>
      </c>
      <c r="F3965" t="s">
        <v>436</v>
      </c>
      <c r="G3965">
        <v>915</v>
      </c>
      <c r="I3965">
        <f t="shared" si="234"/>
        <v>0</v>
      </c>
      <c r="J3965">
        <f t="shared" si="234"/>
        <v>0</v>
      </c>
      <c r="K3965">
        <f t="shared" si="234"/>
        <v>0</v>
      </c>
      <c r="M3965" t="str" cm="1">
        <f t="array" ref="M3965">IFERROR(INDEX($I$2:$K$2,0,MATCH(TRUE,I3965:K3965,0)),E3965)</f>
        <v>Lignite new</v>
      </c>
      <c r="O3965" t="str">
        <f t="shared" si="232"/>
        <v>Lignite new_2028</v>
      </c>
      <c r="P3965">
        <f t="shared" si="233"/>
        <v>915</v>
      </c>
    </row>
    <row r="3966" spans="4:16" x14ac:dyDescent="0.25">
      <c r="D3966">
        <v>2029</v>
      </c>
      <c r="E3966" t="s">
        <v>429</v>
      </c>
      <c r="F3966" t="s">
        <v>436</v>
      </c>
      <c r="G3966">
        <v>915</v>
      </c>
      <c r="I3966">
        <f t="shared" si="234"/>
        <v>0</v>
      </c>
      <c r="J3966">
        <f t="shared" si="234"/>
        <v>0</v>
      </c>
      <c r="K3966">
        <f t="shared" si="234"/>
        <v>0</v>
      </c>
      <c r="M3966" t="str" cm="1">
        <f t="array" ref="M3966">IFERROR(INDEX($I$2:$K$2,0,MATCH(TRUE,I3966:K3966,0)),E3966)</f>
        <v>Lignite new</v>
      </c>
      <c r="O3966" t="str">
        <f t="shared" si="232"/>
        <v>Lignite new_2029</v>
      </c>
      <c r="P3966">
        <f t="shared" si="233"/>
        <v>915</v>
      </c>
    </row>
    <row r="3967" spans="4:16" x14ac:dyDescent="0.25">
      <c r="D3967">
        <v>2030</v>
      </c>
      <c r="E3967" t="s">
        <v>429</v>
      </c>
      <c r="F3967" t="s">
        <v>436</v>
      </c>
      <c r="G3967">
        <v>915</v>
      </c>
      <c r="I3967">
        <f t="shared" si="234"/>
        <v>0</v>
      </c>
      <c r="J3967">
        <f t="shared" si="234"/>
        <v>0</v>
      </c>
      <c r="K3967">
        <f t="shared" si="234"/>
        <v>0</v>
      </c>
      <c r="M3967" t="str" cm="1">
        <f t="array" ref="M3967">IFERROR(INDEX($I$2:$K$2,0,MATCH(TRUE,I3967:K3967,0)),E3967)</f>
        <v>Lignite new</v>
      </c>
      <c r="O3967" t="str">
        <f t="shared" si="232"/>
        <v>Lignite new_2030</v>
      </c>
      <c r="P3967">
        <f t="shared" si="233"/>
        <v>915</v>
      </c>
    </row>
    <row r="3968" spans="4:16" x14ac:dyDescent="0.25">
      <c r="D3968">
        <v>2031</v>
      </c>
      <c r="E3968" t="s">
        <v>429</v>
      </c>
      <c r="F3968" t="s">
        <v>436</v>
      </c>
      <c r="G3968">
        <v>915</v>
      </c>
      <c r="I3968">
        <f t="shared" si="234"/>
        <v>0</v>
      </c>
      <c r="J3968">
        <f t="shared" si="234"/>
        <v>0</v>
      </c>
      <c r="K3968">
        <f t="shared" si="234"/>
        <v>0</v>
      </c>
      <c r="M3968" t="str" cm="1">
        <f t="array" ref="M3968">IFERROR(INDEX($I$2:$K$2,0,MATCH(TRUE,I3968:K3968,0)),E3968)</f>
        <v>Lignite new</v>
      </c>
      <c r="O3968" t="str">
        <f t="shared" si="232"/>
        <v>Lignite new_2031</v>
      </c>
      <c r="P3968">
        <f t="shared" si="233"/>
        <v>915</v>
      </c>
    </row>
    <row r="3969" spans="4:16" x14ac:dyDescent="0.25">
      <c r="D3969">
        <v>2032</v>
      </c>
      <c r="E3969" t="s">
        <v>429</v>
      </c>
      <c r="F3969" t="s">
        <v>436</v>
      </c>
      <c r="G3969">
        <v>915</v>
      </c>
      <c r="I3969">
        <f t="shared" si="234"/>
        <v>0</v>
      </c>
      <c r="J3969">
        <f t="shared" si="234"/>
        <v>0</v>
      </c>
      <c r="K3969">
        <f t="shared" si="234"/>
        <v>0</v>
      </c>
      <c r="M3969" t="str" cm="1">
        <f t="array" ref="M3969">IFERROR(INDEX($I$2:$K$2,0,MATCH(TRUE,I3969:K3969,0)),E3969)</f>
        <v>Lignite new</v>
      </c>
      <c r="O3969" t="str">
        <f t="shared" si="232"/>
        <v>Lignite new_2032</v>
      </c>
      <c r="P3969">
        <f t="shared" si="233"/>
        <v>915</v>
      </c>
    </row>
    <row r="3970" spans="4:16" x14ac:dyDescent="0.25">
      <c r="D3970">
        <v>2033</v>
      </c>
      <c r="E3970" t="s">
        <v>429</v>
      </c>
      <c r="F3970" t="s">
        <v>436</v>
      </c>
      <c r="G3970">
        <v>915</v>
      </c>
      <c r="I3970">
        <f t="shared" si="234"/>
        <v>0</v>
      </c>
      <c r="J3970">
        <f t="shared" si="234"/>
        <v>0</v>
      </c>
      <c r="K3970">
        <f t="shared" si="234"/>
        <v>0</v>
      </c>
      <c r="M3970" t="str" cm="1">
        <f t="array" ref="M3970">IFERROR(INDEX($I$2:$K$2,0,MATCH(TRUE,I3970:K3970,0)),E3970)</f>
        <v>Lignite new</v>
      </c>
      <c r="O3970" t="str">
        <f t="shared" si="232"/>
        <v>Lignite new_2033</v>
      </c>
      <c r="P3970">
        <f t="shared" si="233"/>
        <v>915</v>
      </c>
    </row>
    <row r="3971" spans="4:16" x14ac:dyDescent="0.25">
      <c r="D3971">
        <v>2034</v>
      </c>
      <c r="E3971" t="s">
        <v>429</v>
      </c>
      <c r="F3971" t="s">
        <v>436</v>
      </c>
      <c r="G3971">
        <v>915</v>
      </c>
      <c r="I3971">
        <f t="shared" si="234"/>
        <v>0</v>
      </c>
      <c r="J3971">
        <f t="shared" si="234"/>
        <v>0</v>
      </c>
      <c r="K3971">
        <f t="shared" si="234"/>
        <v>0</v>
      </c>
      <c r="M3971" t="str" cm="1">
        <f t="array" ref="M3971">IFERROR(INDEX($I$2:$K$2,0,MATCH(TRUE,I3971:K3971,0)),E3971)</f>
        <v>Lignite new</v>
      </c>
      <c r="O3971" t="str">
        <f t="shared" si="232"/>
        <v>Lignite new_2034</v>
      </c>
      <c r="P3971">
        <f t="shared" si="233"/>
        <v>915</v>
      </c>
    </row>
    <row r="3972" spans="4:16" x14ac:dyDescent="0.25">
      <c r="D3972">
        <v>2035</v>
      </c>
      <c r="E3972" t="s">
        <v>429</v>
      </c>
      <c r="F3972" t="s">
        <v>436</v>
      </c>
      <c r="G3972">
        <v>915</v>
      </c>
      <c r="I3972">
        <f t="shared" si="234"/>
        <v>0</v>
      </c>
      <c r="J3972">
        <f t="shared" si="234"/>
        <v>0</v>
      </c>
      <c r="K3972">
        <f t="shared" si="234"/>
        <v>0</v>
      </c>
      <c r="M3972" t="str" cm="1">
        <f t="array" ref="M3972">IFERROR(INDEX($I$2:$K$2,0,MATCH(TRUE,I3972:K3972,0)),E3972)</f>
        <v>Lignite new</v>
      </c>
      <c r="O3972" t="str">
        <f t="shared" si="232"/>
        <v>Lignite new_2035</v>
      </c>
      <c r="P3972">
        <f t="shared" si="233"/>
        <v>915</v>
      </c>
    </row>
    <row r="3973" spans="4:16" x14ac:dyDescent="0.25">
      <c r="D3973">
        <v>2036</v>
      </c>
      <c r="E3973" t="s">
        <v>429</v>
      </c>
      <c r="F3973" t="s">
        <v>436</v>
      </c>
      <c r="G3973">
        <v>915</v>
      </c>
      <c r="I3973">
        <f t="shared" si="234"/>
        <v>0</v>
      </c>
      <c r="J3973">
        <f t="shared" si="234"/>
        <v>0</v>
      </c>
      <c r="K3973">
        <f t="shared" si="234"/>
        <v>0</v>
      </c>
      <c r="M3973" t="str" cm="1">
        <f t="array" ref="M3973">IFERROR(INDEX($I$2:$K$2,0,MATCH(TRUE,I3973:K3973,0)),E3973)</f>
        <v>Lignite new</v>
      </c>
      <c r="O3973" t="str">
        <f t="shared" si="232"/>
        <v>Lignite new_2036</v>
      </c>
      <c r="P3973">
        <f t="shared" si="233"/>
        <v>915</v>
      </c>
    </row>
    <row r="3974" spans="4:16" x14ac:dyDescent="0.25">
      <c r="D3974">
        <v>2037</v>
      </c>
      <c r="E3974" t="s">
        <v>429</v>
      </c>
      <c r="F3974" t="s">
        <v>436</v>
      </c>
      <c r="G3974">
        <v>915</v>
      </c>
      <c r="I3974">
        <f t="shared" si="234"/>
        <v>0</v>
      </c>
      <c r="J3974">
        <f t="shared" si="234"/>
        <v>0</v>
      </c>
      <c r="K3974">
        <f t="shared" si="234"/>
        <v>0</v>
      </c>
      <c r="M3974" t="str" cm="1">
        <f t="array" ref="M3974">IFERROR(INDEX($I$2:$K$2,0,MATCH(TRUE,I3974:K3974,0)),E3974)</f>
        <v>Lignite new</v>
      </c>
      <c r="O3974" t="str">
        <f t="shared" si="232"/>
        <v>Lignite new_2037</v>
      </c>
      <c r="P3974">
        <f t="shared" si="233"/>
        <v>915</v>
      </c>
    </row>
    <row r="3975" spans="4:16" x14ac:dyDescent="0.25">
      <c r="D3975">
        <v>2038</v>
      </c>
      <c r="E3975" t="s">
        <v>429</v>
      </c>
      <c r="F3975" t="s">
        <v>436</v>
      </c>
      <c r="G3975">
        <v>915</v>
      </c>
      <c r="I3975">
        <f t="shared" si="234"/>
        <v>0</v>
      </c>
      <c r="J3975">
        <f t="shared" si="234"/>
        <v>0</v>
      </c>
      <c r="K3975">
        <f t="shared" si="234"/>
        <v>0</v>
      </c>
      <c r="M3975" t="str" cm="1">
        <f t="array" ref="M3975">IFERROR(INDEX($I$2:$K$2,0,MATCH(TRUE,I3975:K3975,0)),E3975)</f>
        <v>Lignite new</v>
      </c>
      <c r="O3975" t="str">
        <f t="shared" si="232"/>
        <v>Lignite new_2038</v>
      </c>
      <c r="P3975">
        <f t="shared" si="233"/>
        <v>915</v>
      </c>
    </row>
    <row r="3976" spans="4:16" x14ac:dyDescent="0.25">
      <c r="D3976">
        <v>2021</v>
      </c>
      <c r="E3976" t="s">
        <v>429</v>
      </c>
      <c r="F3976" t="s">
        <v>437</v>
      </c>
      <c r="G3976">
        <v>450</v>
      </c>
      <c r="I3976">
        <f t="shared" si="234"/>
        <v>0</v>
      </c>
      <c r="J3976">
        <f t="shared" si="234"/>
        <v>0</v>
      </c>
      <c r="K3976">
        <f t="shared" si="234"/>
        <v>0</v>
      </c>
      <c r="M3976" t="str" cm="1">
        <f t="array" ref="M3976">IFERROR(INDEX($I$2:$K$2,0,MATCH(TRUE,I3976:K3976,0)),E3976)</f>
        <v>Lignite new</v>
      </c>
      <c r="O3976" t="str">
        <f t="shared" si="232"/>
        <v>Lignite new_2021</v>
      </c>
      <c r="P3976">
        <f t="shared" si="233"/>
        <v>450</v>
      </c>
    </row>
    <row r="3977" spans="4:16" x14ac:dyDescent="0.25">
      <c r="D3977">
        <v>2022</v>
      </c>
      <c r="E3977" t="s">
        <v>429</v>
      </c>
      <c r="F3977" t="s">
        <v>437</v>
      </c>
      <c r="G3977">
        <v>450</v>
      </c>
      <c r="I3977">
        <f t="shared" si="234"/>
        <v>0</v>
      </c>
      <c r="J3977">
        <f t="shared" si="234"/>
        <v>0</v>
      </c>
      <c r="K3977">
        <f t="shared" si="234"/>
        <v>0</v>
      </c>
      <c r="M3977" t="str" cm="1">
        <f t="array" ref="M3977">IFERROR(INDEX($I$2:$K$2,0,MATCH(TRUE,I3977:K3977,0)),E3977)</f>
        <v>Lignite new</v>
      </c>
      <c r="O3977" t="str">
        <f t="shared" si="232"/>
        <v>Lignite new_2022</v>
      </c>
      <c r="P3977">
        <f t="shared" si="233"/>
        <v>450</v>
      </c>
    </row>
    <row r="3978" spans="4:16" x14ac:dyDescent="0.25">
      <c r="D3978">
        <v>2023</v>
      </c>
      <c r="E3978" t="s">
        <v>429</v>
      </c>
      <c r="F3978" t="s">
        <v>437</v>
      </c>
      <c r="G3978">
        <v>450</v>
      </c>
      <c r="I3978">
        <f t="shared" si="234"/>
        <v>0</v>
      </c>
      <c r="J3978">
        <f t="shared" si="234"/>
        <v>0</v>
      </c>
      <c r="K3978">
        <f t="shared" si="234"/>
        <v>0</v>
      </c>
      <c r="M3978" t="str" cm="1">
        <f t="array" ref="M3978">IFERROR(INDEX($I$2:$K$2,0,MATCH(TRUE,I3978:K3978,0)),E3978)</f>
        <v>Lignite new</v>
      </c>
      <c r="O3978" t="str">
        <f t="shared" si="232"/>
        <v>Lignite new_2023</v>
      </c>
      <c r="P3978">
        <f t="shared" si="233"/>
        <v>450</v>
      </c>
    </row>
    <row r="3979" spans="4:16" x14ac:dyDescent="0.25">
      <c r="D3979">
        <v>2024</v>
      </c>
      <c r="E3979" t="s">
        <v>429</v>
      </c>
      <c r="F3979" t="s">
        <v>437</v>
      </c>
      <c r="G3979">
        <v>450</v>
      </c>
      <c r="I3979">
        <f t="shared" si="234"/>
        <v>0</v>
      </c>
      <c r="J3979">
        <f t="shared" si="234"/>
        <v>0</v>
      </c>
      <c r="K3979">
        <f t="shared" si="234"/>
        <v>0</v>
      </c>
      <c r="M3979" t="str" cm="1">
        <f t="array" ref="M3979">IFERROR(INDEX($I$2:$K$2,0,MATCH(TRUE,I3979:K3979,0)),E3979)</f>
        <v>Lignite new</v>
      </c>
      <c r="O3979" t="str">
        <f t="shared" si="232"/>
        <v>Lignite new_2024</v>
      </c>
      <c r="P3979">
        <f t="shared" si="233"/>
        <v>450</v>
      </c>
    </row>
    <row r="3980" spans="4:16" x14ac:dyDescent="0.25">
      <c r="D3980">
        <v>2025</v>
      </c>
      <c r="E3980" t="s">
        <v>429</v>
      </c>
      <c r="F3980" t="s">
        <v>437</v>
      </c>
      <c r="G3980">
        <v>450</v>
      </c>
      <c r="I3980">
        <f t="shared" si="234"/>
        <v>0</v>
      </c>
      <c r="J3980">
        <f t="shared" si="234"/>
        <v>0</v>
      </c>
      <c r="K3980">
        <f t="shared" si="234"/>
        <v>0</v>
      </c>
      <c r="M3980" t="str" cm="1">
        <f t="array" ref="M3980">IFERROR(INDEX($I$2:$K$2,0,MATCH(TRUE,I3980:K3980,0)),E3980)</f>
        <v>Lignite new</v>
      </c>
      <c r="O3980" t="str">
        <f t="shared" si="232"/>
        <v>Lignite new_2025</v>
      </c>
      <c r="P3980">
        <f t="shared" si="233"/>
        <v>450</v>
      </c>
    </row>
    <row r="3981" spans="4:16" x14ac:dyDescent="0.25">
      <c r="D3981">
        <v>2026</v>
      </c>
      <c r="E3981" t="s">
        <v>429</v>
      </c>
      <c r="F3981" t="s">
        <v>437</v>
      </c>
      <c r="G3981">
        <v>450</v>
      </c>
      <c r="I3981">
        <f t="shared" si="234"/>
        <v>0</v>
      </c>
      <c r="J3981">
        <f t="shared" si="234"/>
        <v>0</v>
      </c>
      <c r="K3981">
        <f t="shared" si="234"/>
        <v>0</v>
      </c>
      <c r="M3981" t="str" cm="1">
        <f t="array" ref="M3981">IFERROR(INDEX($I$2:$K$2,0,MATCH(TRUE,I3981:K3981,0)),E3981)</f>
        <v>Lignite new</v>
      </c>
      <c r="O3981" t="str">
        <f t="shared" si="232"/>
        <v>Lignite new_2026</v>
      </c>
      <c r="P3981">
        <f t="shared" si="233"/>
        <v>450</v>
      </c>
    </row>
    <row r="3982" spans="4:16" x14ac:dyDescent="0.25">
      <c r="D3982">
        <v>2027</v>
      </c>
      <c r="E3982" t="s">
        <v>429</v>
      </c>
      <c r="F3982" t="s">
        <v>437</v>
      </c>
      <c r="G3982">
        <v>450</v>
      </c>
      <c r="I3982">
        <f t="shared" si="234"/>
        <v>0</v>
      </c>
      <c r="J3982">
        <f t="shared" si="234"/>
        <v>0</v>
      </c>
      <c r="K3982">
        <f t="shared" si="234"/>
        <v>0</v>
      </c>
      <c r="M3982" t="str" cm="1">
        <f t="array" ref="M3982">IFERROR(INDEX($I$2:$K$2,0,MATCH(TRUE,I3982:K3982,0)),E3982)</f>
        <v>Lignite new</v>
      </c>
      <c r="O3982" t="str">
        <f t="shared" si="232"/>
        <v>Lignite new_2027</v>
      </c>
      <c r="P3982">
        <f t="shared" si="233"/>
        <v>450</v>
      </c>
    </row>
    <row r="3983" spans="4:16" x14ac:dyDescent="0.25">
      <c r="D3983">
        <v>2028</v>
      </c>
      <c r="E3983" t="s">
        <v>429</v>
      </c>
      <c r="F3983" t="s">
        <v>437</v>
      </c>
      <c r="G3983">
        <v>450</v>
      </c>
      <c r="I3983">
        <f t="shared" si="234"/>
        <v>0</v>
      </c>
      <c r="J3983">
        <f t="shared" si="234"/>
        <v>0</v>
      </c>
      <c r="K3983">
        <f t="shared" si="234"/>
        <v>0</v>
      </c>
      <c r="M3983" t="str" cm="1">
        <f t="array" ref="M3983">IFERROR(INDEX($I$2:$K$2,0,MATCH(TRUE,I3983:K3983,0)),E3983)</f>
        <v>Lignite new</v>
      </c>
      <c r="O3983" t="str">
        <f t="shared" si="232"/>
        <v>Lignite new_2028</v>
      </c>
      <c r="P3983">
        <f t="shared" si="233"/>
        <v>450</v>
      </c>
    </row>
    <row r="3984" spans="4:16" x14ac:dyDescent="0.25">
      <c r="D3984">
        <v>2029</v>
      </c>
      <c r="E3984" t="s">
        <v>429</v>
      </c>
      <c r="F3984" t="s">
        <v>437</v>
      </c>
      <c r="G3984">
        <v>450</v>
      </c>
      <c r="I3984">
        <f t="shared" si="234"/>
        <v>0</v>
      </c>
      <c r="J3984">
        <f t="shared" si="234"/>
        <v>0</v>
      </c>
      <c r="K3984">
        <f t="shared" si="234"/>
        <v>0</v>
      </c>
      <c r="M3984" t="str" cm="1">
        <f t="array" ref="M3984">IFERROR(INDEX($I$2:$K$2,0,MATCH(TRUE,I3984:K3984,0)),E3984)</f>
        <v>Lignite new</v>
      </c>
      <c r="O3984" t="str">
        <f t="shared" si="232"/>
        <v>Lignite new_2029</v>
      </c>
      <c r="P3984">
        <f t="shared" si="233"/>
        <v>450</v>
      </c>
    </row>
    <row r="3985" spans="4:16" x14ac:dyDescent="0.25">
      <c r="D3985">
        <v>2030</v>
      </c>
      <c r="E3985" t="s">
        <v>429</v>
      </c>
      <c r="F3985" t="s">
        <v>437</v>
      </c>
      <c r="G3985">
        <v>450</v>
      </c>
      <c r="I3985">
        <f t="shared" si="234"/>
        <v>0</v>
      </c>
      <c r="J3985">
        <f t="shared" si="234"/>
        <v>0</v>
      </c>
      <c r="K3985">
        <f t="shared" si="234"/>
        <v>0</v>
      </c>
      <c r="M3985" t="str" cm="1">
        <f t="array" ref="M3985">IFERROR(INDEX($I$2:$K$2,0,MATCH(TRUE,I3985:K3985,0)),E3985)</f>
        <v>Lignite new</v>
      </c>
      <c r="O3985" t="str">
        <f t="shared" si="232"/>
        <v>Lignite new_2030</v>
      </c>
      <c r="P3985">
        <f t="shared" si="233"/>
        <v>450</v>
      </c>
    </row>
    <row r="3986" spans="4:16" x14ac:dyDescent="0.25">
      <c r="D3986">
        <v>2031</v>
      </c>
      <c r="E3986" t="s">
        <v>429</v>
      </c>
      <c r="F3986" t="s">
        <v>437</v>
      </c>
      <c r="G3986">
        <v>450</v>
      </c>
      <c r="I3986">
        <f t="shared" si="234"/>
        <v>0</v>
      </c>
      <c r="J3986">
        <f t="shared" si="234"/>
        <v>0</v>
      </c>
      <c r="K3986">
        <f t="shared" si="234"/>
        <v>0</v>
      </c>
      <c r="M3986" t="str" cm="1">
        <f t="array" ref="M3986">IFERROR(INDEX($I$2:$K$2,0,MATCH(TRUE,I3986:K3986,0)),E3986)</f>
        <v>Lignite new</v>
      </c>
      <c r="O3986" t="str">
        <f t="shared" si="232"/>
        <v>Lignite new_2031</v>
      </c>
      <c r="P3986">
        <f t="shared" si="233"/>
        <v>450</v>
      </c>
    </row>
    <row r="3987" spans="4:16" x14ac:dyDescent="0.25">
      <c r="D3987">
        <v>2032</v>
      </c>
      <c r="E3987" t="s">
        <v>429</v>
      </c>
      <c r="F3987" t="s">
        <v>437</v>
      </c>
      <c r="G3987">
        <v>450</v>
      </c>
      <c r="I3987">
        <f t="shared" si="234"/>
        <v>0</v>
      </c>
      <c r="J3987">
        <f t="shared" si="234"/>
        <v>0</v>
      </c>
      <c r="K3987">
        <f t="shared" si="234"/>
        <v>0</v>
      </c>
      <c r="M3987" t="str" cm="1">
        <f t="array" ref="M3987">IFERROR(INDEX($I$2:$K$2,0,MATCH(TRUE,I3987:K3987,0)),E3987)</f>
        <v>Lignite new</v>
      </c>
      <c r="O3987" t="str">
        <f t="shared" ref="O3987:O4050" si="235">M3987&amp;"_"&amp;D3987</f>
        <v>Lignite new_2032</v>
      </c>
      <c r="P3987">
        <f t="shared" ref="P3987:P4050" si="236">G3987</f>
        <v>450</v>
      </c>
    </row>
    <row r="3988" spans="4:16" x14ac:dyDescent="0.25">
      <c r="D3988">
        <v>2033</v>
      </c>
      <c r="E3988" t="s">
        <v>429</v>
      </c>
      <c r="F3988" t="s">
        <v>437</v>
      </c>
      <c r="G3988">
        <v>450</v>
      </c>
      <c r="I3988">
        <f t="shared" si="234"/>
        <v>0</v>
      </c>
      <c r="J3988">
        <f t="shared" si="234"/>
        <v>0</v>
      </c>
      <c r="K3988">
        <f t="shared" si="234"/>
        <v>0</v>
      </c>
      <c r="M3988" t="str" cm="1">
        <f t="array" ref="M3988">IFERROR(INDEX($I$2:$K$2,0,MATCH(TRUE,I3988:K3988,0)),E3988)</f>
        <v>Lignite new</v>
      </c>
      <c r="O3988" t="str">
        <f t="shared" si="235"/>
        <v>Lignite new_2033</v>
      </c>
      <c r="P3988">
        <f t="shared" si="236"/>
        <v>450</v>
      </c>
    </row>
    <row r="3989" spans="4:16" x14ac:dyDescent="0.25">
      <c r="D3989">
        <v>2034</v>
      </c>
      <c r="E3989" t="s">
        <v>429</v>
      </c>
      <c r="F3989" t="s">
        <v>437</v>
      </c>
      <c r="G3989">
        <v>450</v>
      </c>
      <c r="I3989">
        <f t="shared" ref="I3989:K4052" si="237">IFERROR(FIND(I$2,$E3989,1)&gt;0,0)</f>
        <v>0</v>
      </c>
      <c r="J3989">
        <f t="shared" si="237"/>
        <v>0</v>
      </c>
      <c r="K3989">
        <f t="shared" si="237"/>
        <v>0</v>
      </c>
      <c r="M3989" t="str" cm="1">
        <f t="array" ref="M3989">IFERROR(INDEX($I$2:$K$2,0,MATCH(TRUE,I3989:K3989,0)),E3989)</f>
        <v>Lignite new</v>
      </c>
      <c r="O3989" t="str">
        <f t="shared" si="235"/>
        <v>Lignite new_2034</v>
      </c>
      <c r="P3989">
        <f t="shared" si="236"/>
        <v>450</v>
      </c>
    </row>
    <row r="3990" spans="4:16" x14ac:dyDescent="0.25">
      <c r="D3990">
        <v>2021</v>
      </c>
      <c r="E3990" t="s">
        <v>429</v>
      </c>
      <c r="F3990" t="s">
        <v>438</v>
      </c>
      <c r="G3990">
        <v>450</v>
      </c>
      <c r="I3990">
        <f t="shared" si="237"/>
        <v>0</v>
      </c>
      <c r="J3990">
        <f t="shared" si="237"/>
        <v>0</v>
      </c>
      <c r="K3990">
        <f t="shared" si="237"/>
        <v>0</v>
      </c>
      <c r="M3990" t="str" cm="1">
        <f t="array" ref="M3990">IFERROR(INDEX($I$2:$K$2,0,MATCH(TRUE,I3990:K3990,0)),E3990)</f>
        <v>Lignite new</v>
      </c>
      <c r="O3990" t="str">
        <f t="shared" si="235"/>
        <v>Lignite new_2021</v>
      </c>
      <c r="P3990">
        <f t="shared" si="236"/>
        <v>450</v>
      </c>
    </row>
    <row r="3991" spans="4:16" x14ac:dyDescent="0.25">
      <c r="D3991">
        <v>2022</v>
      </c>
      <c r="E3991" t="s">
        <v>429</v>
      </c>
      <c r="F3991" t="s">
        <v>438</v>
      </c>
      <c r="G3991">
        <v>450</v>
      </c>
      <c r="I3991">
        <f t="shared" si="237"/>
        <v>0</v>
      </c>
      <c r="J3991">
        <f t="shared" si="237"/>
        <v>0</v>
      </c>
      <c r="K3991">
        <f t="shared" si="237"/>
        <v>0</v>
      </c>
      <c r="M3991" t="str" cm="1">
        <f t="array" ref="M3991">IFERROR(INDEX($I$2:$K$2,0,MATCH(TRUE,I3991:K3991,0)),E3991)</f>
        <v>Lignite new</v>
      </c>
      <c r="O3991" t="str">
        <f t="shared" si="235"/>
        <v>Lignite new_2022</v>
      </c>
      <c r="P3991">
        <f t="shared" si="236"/>
        <v>450</v>
      </c>
    </row>
    <row r="3992" spans="4:16" x14ac:dyDescent="0.25">
      <c r="D3992">
        <v>2023</v>
      </c>
      <c r="E3992" t="s">
        <v>429</v>
      </c>
      <c r="F3992" t="s">
        <v>438</v>
      </c>
      <c r="G3992">
        <v>450</v>
      </c>
      <c r="I3992">
        <f t="shared" si="237"/>
        <v>0</v>
      </c>
      <c r="J3992">
        <f t="shared" si="237"/>
        <v>0</v>
      </c>
      <c r="K3992">
        <f t="shared" si="237"/>
        <v>0</v>
      </c>
      <c r="M3992" t="str" cm="1">
        <f t="array" ref="M3992">IFERROR(INDEX($I$2:$K$2,0,MATCH(TRUE,I3992:K3992,0)),E3992)</f>
        <v>Lignite new</v>
      </c>
      <c r="O3992" t="str">
        <f t="shared" si="235"/>
        <v>Lignite new_2023</v>
      </c>
      <c r="P3992">
        <f t="shared" si="236"/>
        <v>450</v>
      </c>
    </row>
    <row r="3993" spans="4:16" x14ac:dyDescent="0.25">
      <c r="D3993">
        <v>2024</v>
      </c>
      <c r="E3993" t="s">
        <v>429</v>
      </c>
      <c r="F3993" t="s">
        <v>438</v>
      </c>
      <c r="G3993">
        <v>450</v>
      </c>
      <c r="I3993">
        <f t="shared" si="237"/>
        <v>0</v>
      </c>
      <c r="J3993">
        <f t="shared" si="237"/>
        <v>0</v>
      </c>
      <c r="K3993">
        <f t="shared" si="237"/>
        <v>0</v>
      </c>
      <c r="M3993" t="str" cm="1">
        <f t="array" ref="M3993">IFERROR(INDEX($I$2:$K$2,0,MATCH(TRUE,I3993:K3993,0)),E3993)</f>
        <v>Lignite new</v>
      </c>
      <c r="O3993" t="str">
        <f t="shared" si="235"/>
        <v>Lignite new_2024</v>
      </c>
      <c r="P3993">
        <f t="shared" si="236"/>
        <v>450</v>
      </c>
    </row>
    <row r="3994" spans="4:16" x14ac:dyDescent="0.25">
      <c r="D3994">
        <v>2025</v>
      </c>
      <c r="E3994" t="s">
        <v>429</v>
      </c>
      <c r="F3994" t="s">
        <v>438</v>
      </c>
      <c r="G3994">
        <v>450</v>
      </c>
      <c r="I3994">
        <f t="shared" si="237"/>
        <v>0</v>
      </c>
      <c r="J3994">
        <f t="shared" si="237"/>
        <v>0</v>
      </c>
      <c r="K3994">
        <f t="shared" si="237"/>
        <v>0</v>
      </c>
      <c r="M3994" t="str" cm="1">
        <f t="array" ref="M3994">IFERROR(INDEX($I$2:$K$2,0,MATCH(TRUE,I3994:K3994,0)),E3994)</f>
        <v>Lignite new</v>
      </c>
      <c r="O3994" t="str">
        <f t="shared" si="235"/>
        <v>Lignite new_2025</v>
      </c>
      <c r="P3994">
        <f t="shared" si="236"/>
        <v>450</v>
      </c>
    </row>
    <row r="3995" spans="4:16" x14ac:dyDescent="0.25">
      <c r="D3995">
        <v>2026</v>
      </c>
      <c r="E3995" t="s">
        <v>429</v>
      </c>
      <c r="F3995" t="s">
        <v>438</v>
      </c>
      <c r="G3995">
        <v>450</v>
      </c>
      <c r="I3995">
        <f t="shared" si="237"/>
        <v>0</v>
      </c>
      <c r="J3995">
        <f t="shared" si="237"/>
        <v>0</v>
      </c>
      <c r="K3995">
        <f t="shared" si="237"/>
        <v>0</v>
      </c>
      <c r="M3995" t="str" cm="1">
        <f t="array" ref="M3995">IFERROR(INDEX($I$2:$K$2,0,MATCH(TRUE,I3995:K3995,0)),E3995)</f>
        <v>Lignite new</v>
      </c>
      <c r="O3995" t="str">
        <f t="shared" si="235"/>
        <v>Lignite new_2026</v>
      </c>
      <c r="P3995">
        <f t="shared" si="236"/>
        <v>450</v>
      </c>
    </row>
    <row r="3996" spans="4:16" x14ac:dyDescent="0.25">
      <c r="D3996">
        <v>2027</v>
      </c>
      <c r="E3996" t="s">
        <v>429</v>
      </c>
      <c r="F3996" t="s">
        <v>438</v>
      </c>
      <c r="G3996">
        <v>450</v>
      </c>
      <c r="I3996">
        <f t="shared" si="237"/>
        <v>0</v>
      </c>
      <c r="J3996">
        <f t="shared" si="237"/>
        <v>0</v>
      </c>
      <c r="K3996">
        <f t="shared" si="237"/>
        <v>0</v>
      </c>
      <c r="M3996" t="str" cm="1">
        <f t="array" ref="M3996">IFERROR(INDEX($I$2:$K$2,0,MATCH(TRUE,I3996:K3996,0)),E3996)</f>
        <v>Lignite new</v>
      </c>
      <c r="O3996" t="str">
        <f t="shared" si="235"/>
        <v>Lignite new_2027</v>
      </c>
      <c r="P3996">
        <f t="shared" si="236"/>
        <v>450</v>
      </c>
    </row>
    <row r="3997" spans="4:16" x14ac:dyDescent="0.25">
      <c r="D3997">
        <v>2028</v>
      </c>
      <c r="E3997" t="s">
        <v>429</v>
      </c>
      <c r="F3997" t="s">
        <v>438</v>
      </c>
      <c r="G3997">
        <v>450</v>
      </c>
      <c r="I3997">
        <f t="shared" si="237"/>
        <v>0</v>
      </c>
      <c r="J3997">
        <f t="shared" si="237"/>
        <v>0</v>
      </c>
      <c r="K3997">
        <f t="shared" si="237"/>
        <v>0</v>
      </c>
      <c r="M3997" t="str" cm="1">
        <f t="array" ref="M3997">IFERROR(INDEX($I$2:$K$2,0,MATCH(TRUE,I3997:K3997,0)),E3997)</f>
        <v>Lignite new</v>
      </c>
      <c r="O3997" t="str">
        <f t="shared" si="235"/>
        <v>Lignite new_2028</v>
      </c>
      <c r="P3997">
        <f t="shared" si="236"/>
        <v>450</v>
      </c>
    </row>
    <row r="3998" spans="4:16" x14ac:dyDescent="0.25">
      <c r="D3998">
        <v>2029</v>
      </c>
      <c r="E3998" t="s">
        <v>429</v>
      </c>
      <c r="F3998" t="s">
        <v>438</v>
      </c>
      <c r="G3998">
        <v>450</v>
      </c>
      <c r="I3998">
        <f t="shared" si="237"/>
        <v>0</v>
      </c>
      <c r="J3998">
        <f t="shared" si="237"/>
        <v>0</v>
      </c>
      <c r="K3998">
        <f t="shared" si="237"/>
        <v>0</v>
      </c>
      <c r="M3998" t="str" cm="1">
        <f t="array" ref="M3998">IFERROR(INDEX($I$2:$K$2,0,MATCH(TRUE,I3998:K3998,0)),E3998)</f>
        <v>Lignite new</v>
      </c>
      <c r="O3998" t="str">
        <f t="shared" si="235"/>
        <v>Lignite new_2029</v>
      </c>
      <c r="P3998">
        <f t="shared" si="236"/>
        <v>450</v>
      </c>
    </row>
    <row r="3999" spans="4:16" x14ac:dyDescent="0.25">
      <c r="D3999">
        <v>2030</v>
      </c>
      <c r="E3999" t="s">
        <v>429</v>
      </c>
      <c r="F3999" t="s">
        <v>438</v>
      </c>
      <c r="G3999">
        <v>450</v>
      </c>
      <c r="I3999">
        <f t="shared" si="237"/>
        <v>0</v>
      </c>
      <c r="J3999">
        <f t="shared" si="237"/>
        <v>0</v>
      </c>
      <c r="K3999">
        <f t="shared" si="237"/>
        <v>0</v>
      </c>
      <c r="M3999" t="str" cm="1">
        <f t="array" ref="M3999">IFERROR(INDEX($I$2:$K$2,0,MATCH(TRUE,I3999:K3999,0)),E3999)</f>
        <v>Lignite new</v>
      </c>
      <c r="O3999" t="str">
        <f t="shared" si="235"/>
        <v>Lignite new_2030</v>
      </c>
      <c r="P3999">
        <f t="shared" si="236"/>
        <v>450</v>
      </c>
    </row>
    <row r="4000" spans="4:16" x14ac:dyDescent="0.25">
      <c r="D4000">
        <v>2031</v>
      </c>
      <c r="E4000" t="s">
        <v>429</v>
      </c>
      <c r="F4000" t="s">
        <v>438</v>
      </c>
      <c r="G4000">
        <v>450</v>
      </c>
      <c r="I4000">
        <f t="shared" si="237"/>
        <v>0</v>
      </c>
      <c r="J4000">
        <f t="shared" si="237"/>
        <v>0</v>
      </c>
      <c r="K4000">
        <f t="shared" si="237"/>
        <v>0</v>
      </c>
      <c r="M4000" t="str" cm="1">
        <f t="array" ref="M4000">IFERROR(INDEX($I$2:$K$2,0,MATCH(TRUE,I4000:K4000,0)),E4000)</f>
        <v>Lignite new</v>
      </c>
      <c r="O4000" t="str">
        <f t="shared" si="235"/>
        <v>Lignite new_2031</v>
      </c>
      <c r="P4000">
        <f t="shared" si="236"/>
        <v>450</v>
      </c>
    </row>
    <row r="4001" spans="4:16" x14ac:dyDescent="0.25">
      <c r="D4001">
        <v>2032</v>
      </c>
      <c r="E4001" t="s">
        <v>429</v>
      </c>
      <c r="F4001" t="s">
        <v>438</v>
      </c>
      <c r="G4001">
        <v>450</v>
      </c>
      <c r="I4001">
        <f t="shared" si="237"/>
        <v>0</v>
      </c>
      <c r="J4001">
        <f t="shared" si="237"/>
        <v>0</v>
      </c>
      <c r="K4001">
        <f t="shared" si="237"/>
        <v>0</v>
      </c>
      <c r="M4001" t="str" cm="1">
        <f t="array" ref="M4001">IFERROR(INDEX($I$2:$K$2,0,MATCH(TRUE,I4001:K4001,0)),E4001)</f>
        <v>Lignite new</v>
      </c>
      <c r="O4001" t="str">
        <f t="shared" si="235"/>
        <v>Lignite new_2032</v>
      </c>
      <c r="P4001">
        <f t="shared" si="236"/>
        <v>450</v>
      </c>
    </row>
    <row r="4002" spans="4:16" x14ac:dyDescent="0.25">
      <c r="D4002">
        <v>2033</v>
      </c>
      <c r="E4002" t="s">
        <v>429</v>
      </c>
      <c r="F4002" t="s">
        <v>438</v>
      </c>
      <c r="G4002">
        <v>450</v>
      </c>
      <c r="I4002">
        <f t="shared" si="237"/>
        <v>0</v>
      </c>
      <c r="J4002">
        <f t="shared" si="237"/>
        <v>0</v>
      </c>
      <c r="K4002">
        <f t="shared" si="237"/>
        <v>0</v>
      </c>
      <c r="M4002" t="str" cm="1">
        <f t="array" ref="M4002">IFERROR(INDEX($I$2:$K$2,0,MATCH(TRUE,I4002:K4002,0)),E4002)</f>
        <v>Lignite new</v>
      </c>
      <c r="O4002" t="str">
        <f t="shared" si="235"/>
        <v>Lignite new_2033</v>
      </c>
      <c r="P4002">
        <f t="shared" si="236"/>
        <v>450</v>
      </c>
    </row>
    <row r="4003" spans="4:16" x14ac:dyDescent="0.25">
      <c r="D4003">
        <v>2034</v>
      </c>
      <c r="E4003" t="s">
        <v>429</v>
      </c>
      <c r="F4003" t="s">
        <v>438</v>
      </c>
      <c r="G4003">
        <v>450</v>
      </c>
      <c r="I4003">
        <f t="shared" si="237"/>
        <v>0</v>
      </c>
      <c r="J4003">
        <f t="shared" si="237"/>
        <v>0</v>
      </c>
      <c r="K4003">
        <f t="shared" si="237"/>
        <v>0</v>
      </c>
      <c r="M4003" t="str" cm="1">
        <f t="array" ref="M4003">IFERROR(INDEX($I$2:$K$2,0,MATCH(TRUE,I4003:K4003,0)),E4003)</f>
        <v>Lignite new</v>
      </c>
      <c r="O4003" t="str">
        <f t="shared" si="235"/>
        <v>Lignite new_2034</v>
      </c>
      <c r="P4003">
        <f t="shared" si="236"/>
        <v>450</v>
      </c>
    </row>
    <row r="4004" spans="4:16" x14ac:dyDescent="0.25">
      <c r="D4004">
        <v>2021</v>
      </c>
      <c r="E4004" t="s">
        <v>429</v>
      </c>
      <c r="F4004" t="s">
        <v>439</v>
      </c>
      <c r="G4004">
        <v>750</v>
      </c>
      <c r="I4004">
        <f t="shared" si="237"/>
        <v>0</v>
      </c>
      <c r="J4004">
        <f t="shared" si="237"/>
        <v>0</v>
      </c>
      <c r="K4004">
        <f t="shared" si="237"/>
        <v>0</v>
      </c>
      <c r="M4004" t="str" cm="1">
        <f t="array" ref="M4004">IFERROR(INDEX($I$2:$K$2,0,MATCH(TRUE,I4004:K4004,0)),E4004)</f>
        <v>Lignite new</v>
      </c>
      <c r="O4004" t="str">
        <f t="shared" si="235"/>
        <v>Lignite new_2021</v>
      </c>
      <c r="P4004">
        <f t="shared" si="236"/>
        <v>750</v>
      </c>
    </row>
    <row r="4005" spans="4:16" x14ac:dyDescent="0.25">
      <c r="D4005">
        <v>2022</v>
      </c>
      <c r="E4005" t="s">
        <v>429</v>
      </c>
      <c r="F4005" t="s">
        <v>439</v>
      </c>
      <c r="G4005">
        <v>750</v>
      </c>
      <c r="I4005">
        <f t="shared" si="237"/>
        <v>0</v>
      </c>
      <c r="J4005">
        <f t="shared" si="237"/>
        <v>0</v>
      </c>
      <c r="K4005">
        <f t="shared" si="237"/>
        <v>0</v>
      </c>
      <c r="M4005" t="str" cm="1">
        <f t="array" ref="M4005">IFERROR(INDEX($I$2:$K$2,0,MATCH(TRUE,I4005:K4005,0)),E4005)</f>
        <v>Lignite new</v>
      </c>
      <c r="O4005" t="str">
        <f t="shared" si="235"/>
        <v>Lignite new_2022</v>
      </c>
      <c r="P4005">
        <f t="shared" si="236"/>
        <v>750</v>
      </c>
    </row>
    <row r="4006" spans="4:16" x14ac:dyDescent="0.25">
      <c r="D4006">
        <v>2023</v>
      </c>
      <c r="E4006" t="s">
        <v>429</v>
      </c>
      <c r="F4006" t="s">
        <v>439</v>
      </c>
      <c r="G4006">
        <v>750</v>
      </c>
      <c r="I4006">
        <f t="shared" si="237"/>
        <v>0</v>
      </c>
      <c r="J4006">
        <f t="shared" si="237"/>
        <v>0</v>
      </c>
      <c r="K4006">
        <f t="shared" si="237"/>
        <v>0</v>
      </c>
      <c r="M4006" t="str" cm="1">
        <f t="array" ref="M4006">IFERROR(INDEX($I$2:$K$2,0,MATCH(TRUE,I4006:K4006,0)),E4006)</f>
        <v>Lignite new</v>
      </c>
      <c r="O4006" t="str">
        <f t="shared" si="235"/>
        <v>Lignite new_2023</v>
      </c>
      <c r="P4006">
        <f t="shared" si="236"/>
        <v>750</v>
      </c>
    </row>
    <row r="4007" spans="4:16" x14ac:dyDescent="0.25">
      <c r="D4007">
        <v>2024</v>
      </c>
      <c r="E4007" t="s">
        <v>429</v>
      </c>
      <c r="F4007" t="s">
        <v>439</v>
      </c>
      <c r="G4007">
        <v>750</v>
      </c>
      <c r="I4007">
        <f t="shared" si="237"/>
        <v>0</v>
      </c>
      <c r="J4007">
        <f t="shared" si="237"/>
        <v>0</v>
      </c>
      <c r="K4007">
        <f t="shared" si="237"/>
        <v>0</v>
      </c>
      <c r="M4007" t="str" cm="1">
        <f t="array" ref="M4007">IFERROR(INDEX($I$2:$K$2,0,MATCH(TRUE,I4007:K4007,0)),E4007)</f>
        <v>Lignite new</v>
      </c>
      <c r="O4007" t="str">
        <f t="shared" si="235"/>
        <v>Lignite new_2024</v>
      </c>
      <c r="P4007">
        <f t="shared" si="236"/>
        <v>750</v>
      </c>
    </row>
    <row r="4008" spans="4:16" x14ac:dyDescent="0.25">
      <c r="D4008">
        <v>2025</v>
      </c>
      <c r="E4008" t="s">
        <v>429</v>
      </c>
      <c r="F4008" t="s">
        <v>439</v>
      </c>
      <c r="G4008">
        <v>750</v>
      </c>
      <c r="I4008">
        <f t="shared" si="237"/>
        <v>0</v>
      </c>
      <c r="J4008">
        <f t="shared" si="237"/>
        <v>0</v>
      </c>
      <c r="K4008">
        <f t="shared" si="237"/>
        <v>0</v>
      </c>
      <c r="M4008" t="str" cm="1">
        <f t="array" ref="M4008">IFERROR(INDEX($I$2:$K$2,0,MATCH(TRUE,I4008:K4008,0)),E4008)</f>
        <v>Lignite new</v>
      </c>
      <c r="O4008" t="str">
        <f t="shared" si="235"/>
        <v>Lignite new_2025</v>
      </c>
      <c r="P4008">
        <f t="shared" si="236"/>
        <v>750</v>
      </c>
    </row>
    <row r="4009" spans="4:16" x14ac:dyDescent="0.25">
      <c r="D4009">
        <v>2026</v>
      </c>
      <c r="E4009" t="s">
        <v>429</v>
      </c>
      <c r="F4009" t="s">
        <v>439</v>
      </c>
      <c r="G4009">
        <v>750</v>
      </c>
      <c r="I4009">
        <f t="shared" si="237"/>
        <v>0</v>
      </c>
      <c r="J4009">
        <f t="shared" si="237"/>
        <v>0</v>
      </c>
      <c r="K4009">
        <f t="shared" si="237"/>
        <v>0</v>
      </c>
      <c r="M4009" t="str" cm="1">
        <f t="array" ref="M4009">IFERROR(INDEX($I$2:$K$2,0,MATCH(TRUE,I4009:K4009,0)),E4009)</f>
        <v>Lignite new</v>
      </c>
      <c r="O4009" t="str">
        <f t="shared" si="235"/>
        <v>Lignite new_2026</v>
      </c>
      <c r="P4009">
        <f t="shared" si="236"/>
        <v>750</v>
      </c>
    </row>
    <row r="4010" spans="4:16" x14ac:dyDescent="0.25">
      <c r="D4010">
        <v>2027</v>
      </c>
      <c r="E4010" t="s">
        <v>429</v>
      </c>
      <c r="F4010" t="s">
        <v>439</v>
      </c>
      <c r="G4010">
        <v>750</v>
      </c>
      <c r="I4010">
        <f t="shared" si="237"/>
        <v>0</v>
      </c>
      <c r="J4010">
        <f t="shared" si="237"/>
        <v>0</v>
      </c>
      <c r="K4010">
        <f t="shared" si="237"/>
        <v>0</v>
      </c>
      <c r="M4010" t="str" cm="1">
        <f t="array" ref="M4010">IFERROR(INDEX($I$2:$K$2,0,MATCH(TRUE,I4010:K4010,0)),E4010)</f>
        <v>Lignite new</v>
      </c>
      <c r="O4010" t="str">
        <f t="shared" si="235"/>
        <v>Lignite new_2027</v>
      </c>
      <c r="P4010">
        <f t="shared" si="236"/>
        <v>750</v>
      </c>
    </row>
    <row r="4011" spans="4:16" x14ac:dyDescent="0.25">
      <c r="D4011">
        <v>2028</v>
      </c>
      <c r="E4011" t="s">
        <v>429</v>
      </c>
      <c r="F4011" t="s">
        <v>439</v>
      </c>
      <c r="G4011">
        <v>750</v>
      </c>
      <c r="I4011">
        <f t="shared" si="237"/>
        <v>0</v>
      </c>
      <c r="J4011">
        <f t="shared" si="237"/>
        <v>0</v>
      </c>
      <c r="K4011">
        <f t="shared" si="237"/>
        <v>0</v>
      </c>
      <c r="M4011" t="str" cm="1">
        <f t="array" ref="M4011">IFERROR(INDEX($I$2:$K$2,0,MATCH(TRUE,I4011:K4011,0)),E4011)</f>
        <v>Lignite new</v>
      </c>
      <c r="O4011" t="str">
        <f t="shared" si="235"/>
        <v>Lignite new_2028</v>
      </c>
      <c r="P4011">
        <f t="shared" si="236"/>
        <v>750</v>
      </c>
    </row>
    <row r="4012" spans="4:16" x14ac:dyDescent="0.25">
      <c r="D4012">
        <v>2029</v>
      </c>
      <c r="E4012" t="s">
        <v>429</v>
      </c>
      <c r="F4012" t="s">
        <v>439</v>
      </c>
      <c r="G4012">
        <v>750</v>
      </c>
      <c r="I4012">
        <f t="shared" si="237"/>
        <v>0</v>
      </c>
      <c r="J4012">
        <f t="shared" si="237"/>
        <v>0</v>
      </c>
      <c r="K4012">
        <f t="shared" si="237"/>
        <v>0</v>
      </c>
      <c r="M4012" t="str" cm="1">
        <f t="array" ref="M4012">IFERROR(INDEX($I$2:$K$2,0,MATCH(TRUE,I4012:K4012,0)),E4012)</f>
        <v>Lignite new</v>
      </c>
      <c r="O4012" t="str">
        <f t="shared" si="235"/>
        <v>Lignite new_2029</v>
      </c>
      <c r="P4012">
        <f t="shared" si="236"/>
        <v>750</v>
      </c>
    </row>
    <row r="4013" spans="4:16" x14ac:dyDescent="0.25">
      <c r="D4013">
        <v>2030</v>
      </c>
      <c r="E4013" t="s">
        <v>429</v>
      </c>
      <c r="F4013" t="s">
        <v>439</v>
      </c>
      <c r="G4013">
        <v>750</v>
      </c>
      <c r="I4013">
        <f t="shared" si="237"/>
        <v>0</v>
      </c>
      <c r="J4013">
        <f t="shared" si="237"/>
        <v>0</v>
      </c>
      <c r="K4013">
        <f t="shared" si="237"/>
        <v>0</v>
      </c>
      <c r="M4013" t="str" cm="1">
        <f t="array" ref="M4013">IFERROR(INDEX($I$2:$K$2,0,MATCH(TRUE,I4013:K4013,0)),E4013)</f>
        <v>Lignite new</v>
      </c>
      <c r="O4013" t="str">
        <f t="shared" si="235"/>
        <v>Lignite new_2030</v>
      </c>
      <c r="P4013">
        <f t="shared" si="236"/>
        <v>750</v>
      </c>
    </row>
    <row r="4014" spans="4:16" x14ac:dyDescent="0.25">
      <c r="D4014">
        <v>2031</v>
      </c>
      <c r="E4014" t="s">
        <v>429</v>
      </c>
      <c r="F4014" t="s">
        <v>439</v>
      </c>
      <c r="G4014">
        <v>750</v>
      </c>
      <c r="I4014">
        <f t="shared" si="237"/>
        <v>0</v>
      </c>
      <c r="J4014">
        <f t="shared" si="237"/>
        <v>0</v>
      </c>
      <c r="K4014">
        <f t="shared" si="237"/>
        <v>0</v>
      </c>
      <c r="M4014" t="str" cm="1">
        <f t="array" ref="M4014">IFERROR(INDEX($I$2:$K$2,0,MATCH(TRUE,I4014:K4014,0)),E4014)</f>
        <v>Lignite new</v>
      </c>
      <c r="O4014" t="str">
        <f t="shared" si="235"/>
        <v>Lignite new_2031</v>
      </c>
      <c r="P4014">
        <f t="shared" si="236"/>
        <v>750</v>
      </c>
    </row>
    <row r="4015" spans="4:16" x14ac:dyDescent="0.25">
      <c r="D4015">
        <v>2032</v>
      </c>
      <c r="E4015" t="s">
        <v>429</v>
      </c>
      <c r="F4015" t="s">
        <v>439</v>
      </c>
      <c r="G4015">
        <v>750</v>
      </c>
      <c r="I4015">
        <f t="shared" si="237"/>
        <v>0</v>
      </c>
      <c r="J4015">
        <f t="shared" si="237"/>
        <v>0</v>
      </c>
      <c r="K4015">
        <f t="shared" si="237"/>
        <v>0</v>
      </c>
      <c r="M4015" t="str" cm="1">
        <f t="array" ref="M4015">IFERROR(INDEX($I$2:$K$2,0,MATCH(TRUE,I4015:K4015,0)),E4015)</f>
        <v>Lignite new</v>
      </c>
      <c r="O4015" t="str">
        <f t="shared" si="235"/>
        <v>Lignite new_2032</v>
      </c>
      <c r="P4015">
        <f t="shared" si="236"/>
        <v>750</v>
      </c>
    </row>
    <row r="4016" spans="4:16" x14ac:dyDescent="0.25">
      <c r="D4016">
        <v>2033</v>
      </c>
      <c r="E4016" t="s">
        <v>429</v>
      </c>
      <c r="F4016" t="s">
        <v>439</v>
      </c>
      <c r="G4016">
        <v>750</v>
      </c>
      <c r="I4016">
        <f t="shared" si="237"/>
        <v>0</v>
      </c>
      <c r="J4016">
        <f t="shared" si="237"/>
        <v>0</v>
      </c>
      <c r="K4016">
        <f t="shared" si="237"/>
        <v>0</v>
      </c>
      <c r="M4016" t="str" cm="1">
        <f t="array" ref="M4016">IFERROR(INDEX($I$2:$K$2,0,MATCH(TRUE,I4016:K4016,0)),E4016)</f>
        <v>Lignite new</v>
      </c>
      <c r="O4016" t="str">
        <f t="shared" si="235"/>
        <v>Lignite new_2033</v>
      </c>
      <c r="P4016">
        <f t="shared" si="236"/>
        <v>750</v>
      </c>
    </row>
    <row r="4017" spans="4:16" x14ac:dyDescent="0.25">
      <c r="D4017">
        <v>2034</v>
      </c>
      <c r="E4017" t="s">
        <v>429</v>
      </c>
      <c r="F4017" t="s">
        <v>439</v>
      </c>
      <c r="G4017">
        <v>750</v>
      </c>
      <c r="I4017">
        <f t="shared" si="237"/>
        <v>0</v>
      </c>
      <c r="J4017">
        <f t="shared" si="237"/>
        <v>0</v>
      </c>
      <c r="K4017">
        <f t="shared" si="237"/>
        <v>0</v>
      </c>
      <c r="M4017" t="str" cm="1">
        <f t="array" ref="M4017">IFERROR(INDEX($I$2:$K$2,0,MATCH(TRUE,I4017:K4017,0)),E4017)</f>
        <v>Lignite new</v>
      </c>
      <c r="O4017" t="str">
        <f t="shared" si="235"/>
        <v>Lignite new_2034</v>
      </c>
      <c r="P4017">
        <f t="shared" si="236"/>
        <v>750</v>
      </c>
    </row>
    <row r="4018" spans="4:16" x14ac:dyDescent="0.25">
      <c r="D4018">
        <v>2035</v>
      </c>
      <c r="E4018" t="s">
        <v>429</v>
      </c>
      <c r="F4018" t="s">
        <v>439</v>
      </c>
      <c r="G4018">
        <v>750</v>
      </c>
      <c r="I4018">
        <f t="shared" si="237"/>
        <v>0</v>
      </c>
      <c r="J4018">
        <f t="shared" si="237"/>
        <v>0</v>
      </c>
      <c r="K4018">
        <f t="shared" si="237"/>
        <v>0</v>
      </c>
      <c r="M4018" t="str" cm="1">
        <f t="array" ref="M4018">IFERROR(INDEX($I$2:$K$2,0,MATCH(TRUE,I4018:K4018,0)),E4018)</f>
        <v>Lignite new</v>
      </c>
      <c r="O4018" t="str">
        <f t="shared" si="235"/>
        <v>Lignite new_2035</v>
      </c>
      <c r="P4018">
        <f t="shared" si="236"/>
        <v>750</v>
      </c>
    </row>
    <row r="4019" spans="4:16" x14ac:dyDescent="0.25">
      <c r="D4019">
        <v>2036</v>
      </c>
      <c r="E4019" t="s">
        <v>429</v>
      </c>
      <c r="F4019" t="s">
        <v>439</v>
      </c>
      <c r="G4019">
        <v>750</v>
      </c>
      <c r="I4019">
        <f t="shared" si="237"/>
        <v>0</v>
      </c>
      <c r="J4019">
        <f t="shared" si="237"/>
        <v>0</v>
      </c>
      <c r="K4019">
        <f t="shared" si="237"/>
        <v>0</v>
      </c>
      <c r="M4019" t="str" cm="1">
        <f t="array" ref="M4019">IFERROR(INDEX($I$2:$K$2,0,MATCH(TRUE,I4019:K4019,0)),E4019)</f>
        <v>Lignite new</v>
      </c>
      <c r="O4019" t="str">
        <f t="shared" si="235"/>
        <v>Lignite new_2036</v>
      </c>
      <c r="P4019">
        <f t="shared" si="236"/>
        <v>750</v>
      </c>
    </row>
    <row r="4020" spans="4:16" x14ac:dyDescent="0.25">
      <c r="D4020">
        <v>2037</v>
      </c>
      <c r="E4020" t="s">
        <v>429</v>
      </c>
      <c r="F4020" t="s">
        <v>439</v>
      </c>
      <c r="G4020">
        <v>750</v>
      </c>
      <c r="I4020">
        <f t="shared" si="237"/>
        <v>0</v>
      </c>
      <c r="J4020">
        <f t="shared" si="237"/>
        <v>0</v>
      </c>
      <c r="K4020">
        <f t="shared" si="237"/>
        <v>0</v>
      </c>
      <c r="M4020" t="str" cm="1">
        <f t="array" ref="M4020">IFERROR(INDEX($I$2:$K$2,0,MATCH(TRUE,I4020:K4020,0)),E4020)</f>
        <v>Lignite new</v>
      </c>
      <c r="O4020" t="str">
        <f t="shared" si="235"/>
        <v>Lignite new_2037</v>
      </c>
      <c r="P4020">
        <f t="shared" si="236"/>
        <v>750</v>
      </c>
    </row>
    <row r="4021" spans="4:16" x14ac:dyDescent="0.25">
      <c r="D4021">
        <v>2038</v>
      </c>
      <c r="E4021" t="s">
        <v>429</v>
      </c>
      <c r="F4021" t="s">
        <v>439</v>
      </c>
      <c r="G4021">
        <v>750</v>
      </c>
      <c r="I4021">
        <f t="shared" si="237"/>
        <v>0</v>
      </c>
      <c r="J4021">
        <f t="shared" si="237"/>
        <v>0</v>
      </c>
      <c r="K4021">
        <f t="shared" si="237"/>
        <v>0</v>
      </c>
      <c r="M4021" t="str" cm="1">
        <f t="array" ref="M4021">IFERROR(INDEX($I$2:$K$2,0,MATCH(TRUE,I4021:K4021,0)),E4021)</f>
        <v>Lignite new</v>
      </c>
      <c r="O4021" t="str">
        <f t="shared" si="235"/>
        <v>Lignite new_2038</v>
      </c>
      <c r="P4021">
        <f t="shared" si="236"/>
        <v>750</v>
      </c>
    </row>
    <row r="4022" spans="4:16" x14ac:dyDescent="0.25">
      <c r="D4022">
        <v>2021</v>
      </c>
      <c r="E4022" t="s">
        <v>429</v>
      </c>
      <c r="F4022" t="s">
        <v>440</v>
      </c>
      <c r="G4022">
        <v>750</v>
      </c>
      <c r="I4022">
        <f t="shared" si="237"/>
        <v>0</v>
      </c>
      <c r="J4022">
        <f t="shared" si="237"/>
        <v>0</v>
      </c>
      <c r="K4022">
        <f t="shared" si="237"/>
        <v>0</v>
      </c>
      <c r="M4022" t="str" cm="1">
        <f t="array" ref="M4022">IFERROR(INDEX($I$2:$K$2,0,MATCH(TRUE,I4022:K4022,0)),E4022)</f>
        <v>Lignite new</v>
      </c>
      <c r="O4022" t="str">
        <f t="shared" si="235"/>
        <v>Lignite new_2021</v>
      </c>
      <c r="P4022">
        <f t="shared" si="236"/>
        <v>750</v>
      </c>
    </row>
    <row r="4023" spans="4:16" x14ac:dyDescent="0.25">
      <c r="D4023">
        <v>2022</v>
      </c>
      <c r="E4023" t="s">
        <v>429</v>
      </c>
      <c r="F4023" t="s">
        <v>440</v>
      </c>
      <c r="G4023">
        <v>750</v>
      </c>
      <c r="I4023">
        <f t="shared" si="237"/>
        <v>0</v>
      </c>
      <c r="J4023">
        <f t="shared" si="237"/>
        <v>0</v>
      </c>
      <c r="K4023">
        <f t="shared" si="237"/>
        <v>0</v>
      </c>
      <c r="M4023" t="str" cm="1">
        <f t="array" ref="M4023">IFERROR(INDEX($I$2:$K$2,0,MATCH(TRUE,I4023:K4023,0)),E4023)</f>
        <v>Lignite new</v>
      </c>
      <c r="O4023" t="str">
        <f t="shared" si="235"/>
        <v>Lignite new_2022</v>
      </c>
      <c r="P4023">
        <f t="shared" si="236"/>
        <v>750</v>
      </c>
    </row>
    <row r="4024" spans="4:16" x14ac:dyDescent="0.25">
      <c r="D4024">
        <v>2023</v>
      </c>
      <c r="E4024" t="s">
        <v>429</v>
      </c>
      <c r="F4024" t="s">
        <v>440</v>
      </c>
      <c r="G4024">
        <v>750</v>
      </c>
      <c r="I4024">
        <f t="shared" si="237"/>
        <v>0</v>
      </c>
      <c r="J4024">
        <f t="shared" si="237"/>
        <v>0</v>
      </c>
      <c r="K4024">
        <f t="shared" si="237"/>
        <v>0</v>
      </c>
      <c r="M4024" t="str" cm="1">
        <f t="array" ref="M4024">IFERROR(INDEX($I$2:$K$2,0,MATCH(TRUE,I4024:K4024,0)),E4024)</f>
        <v>Lignite new</v>
      </c>
      <c r="O4024" t="str">
        <f t="shared" si="235"/>
        <v>Lignite new_2023</v>
      </c>
      <c r="P4024">
        <f t="shared" si="236"/>
        <v>750</v>
      </c>
    </row>
    <row r="4025" spans="4:16" x14ac:dyDescent="0.25">
      <c r="D4025">
        <v>2024</v>
      </c>
      <c r="E4025" t="s">
        <v>429</v>
      </c>
      <c r="F4025" t="s">
        <v>440</v>
      </c>
      <c r="G4025">
        <v>750</v>
      </c>
      <c r="I4025">
        <f t="shared" si="237"/>
        <v>0</v>
      </c>
      <c r="J4025">
        <f t="shared" si="237"/>
        <v>0</v>
      </c>
      <c r="K4025">
        <f t="shared" si="237"/>
        <v>0</v>
      </c>
      <c r="M4025" t="str" cm="1">
        <f t="array" ref="M4025">IFERROR(INDEX($I$2:$K$2,0,MATCH(TRUE,I4025:K4025,0)),E4025)</f>
        <v>Lignite new</v>
      </c>
      <c r="O4025" t="str">
        <f t="shared" si="235"/>
        <v>Lignite new_2024</v>
      </c>
      <c r="P4025">
        <f t="shared" si="236"/>
        <v>750</v>
      </c>
    </row>
    <row r="4026" spans="4:16" x14ac:dyDescent="0.25">
      <c r="D4026">
        <v>2025</v>
      </c>
      <c r="E4026" t="s">
        <v>429</v>
      </c>
      <c r="F4026" t="s">
        <v>440</v>
      </c>
      <c r="G4026">
        <v>750</v>
      </c>
      <c r="I4026">
        <f t="shared" si="237"/>
        <v>0</v>
      </c>
      <c r="J4026">
        <f t="shared" si="237"/>
        <v>0</v>
      </c>
      <c r="K4026">
        <f t="shared" si="237"/>
        <v>0</v>
      </c>
      <c r="M4026" t="str" cm="1">
        <f t="array" ref="M4026">IFERROR(INDEX($I$2:$K$2,0,MATCH(TRUE,I4026:K4026,0)),E4026)</f>
        <v>Lignite new</v>
      </c>
      <c r="O4026" t="str">
        <f t="shared" si="235"/>
        <v>Lignite new_2025</v>
      </c>
      <c r="P4026">
        <f t="shared" si="236"/>
        <v>750</v>
      </c>
    </row>
    <row r="4027" spans="4:16" x14ac:dyDescent="0.25">
      <c r="D4027">
        <v>2026</v>
      </c>
      <c r="E4027" t="s">
        <v>429</v>
      </c>
      <c r="F4027" t="s">
        <v>440</v>
      </c>
      <c r="G4027">
        <v>750</v>
      </c>
      <c r="I4027">
        <f t="shared" si="237"/>
        <v>0</v>
      </c>
      <c r="J4027">
        <f t="shared" si="237"/>
        <v>0</v>
      </c>
      <c r="K4027">
        <f t="shared" si="237"/>
        <v>0</v>
      </c>
      <c r="M4027" t="str" cm="1">
        <f t="array" ref="M4027">IFERROR(INDEX($I$2:$K$2,0,MATCH(TRUE,I4027:K4027,0)),E4027)</f>
        <v>Lignite new</v>
      </c>
      <c r="O4027" t="str">
        <f t="shared" si="235"/>
        <v>Lignite new_2026</v>
      </c>
      <c r="P4027">
        <f t="shared" si="236"/>
        <v>750</v>
      </c>
    </row>
    <row r="4028" spans="4:16" x14ac:dyDescent="0.25">
      <c r="D4028">
        <v>2027</v>
      </c>
      <c r="E4028" t="s">
        <v>429</v>
      </c>
      <c r="F4028" t="s">
        <v>440</v>
      </c>
      <c r="G4028">
        <v>750</v>
      </c>
      <c r="I4028">
        <f t="shared" si="237"/>
        <v>0</v>
      </c>
      <c r="J4028">
        <f t="shared" si="237"/>
        <v>0</v>
      </c>
      <c r="K4028">
        <f t="shared" si="237"/>
        <v>0</v>
      </c>
      <c r="M4028" t="str" cm="1">
        <f t="array" ref="M4028">IFERROR(INDEX($I$2:$K$2,0,MATCH(TRUE,I4028:K4028,0)),E4028)</f>
        <v>Lignite new</v>
      </c>
      <c r="O4028" t="str">
        <f t="shared" si="235"/>
        <v>Lignite new_2027</v>
      </c>
      <c r="P4028">
        <f t="shared" si="236"/>
        <v>750</v>
      </c>
    </row>
    <row r="4029" spans="4:16" x14ac:dyDescent="0.25">
      <c r="D4029">
        <v>2028</v>
      </c>
      <c r="E4029" t="s">
        <v>429</v>
      </c>
      <c r="F4029" t="s">
        <v>440</v>
      </c>
      <c r="G4029">
        <v>750</v>
      </c>
      <c r="I4029">
        <f t="shared" si="237"/>
        <v>0</v>
      </c>
      <c r="J4029">
        <f t="shared" si="237"/>
        <v>0</v>
      </c>
      <c r="K4029">
        <f t="shared" si="237"/>
        <v>0</v>
      </c>
      <c r="M4029" t="str" cm="1">
        <f t="array" ref="M4029">IFERROR(INDEX($I$2:$K$2,0,MATCH(TRUE,I4029:K4029,0)),E4029)</f>
        <v>Lignite new</v>
      </c>
      <c r="O4029" t="str">
        <f t="shared" si="235"/>
        <v>Lignite new_2028</v>
      </c>
      <c r="P4029">
        <f t="shared" si="236"/>
        <v>750</v>
      </c>
    </row>
    <row r="4030" spans="4:16" x14ac:dyDescent="0.25">
      <c r="D4030">
        <v>2029</v>
      </c>
      <c r="E4030" t="s">
        <v>429</v>
      </c>
      <c r="F4030" t="s">
        <v>440</v>
      </c>
      <c r="G4030">
        <v>750</v>
      </c>
      <c r="I4030">
        <f t="shared" si="237"/>
        <v>0</v>
      </c>
      <c r="J4030">
        <f t="shared" si="237"/>
        <v>0</v>
      </c>
      <c r="K4030">
        <f t="shared" si="237"/>
        <v>0</v>
      </c>
      <c r="M4030" t="str" cm="1">
        <f t="array" ref="M4030">IFERROR(INDEX($I$2:$K$2,0,MATCH(TRUE,I4030:K4030,0)),E4030)</f>
        <v>Lignite new</v>
      </c>
      <c r="O4030" t="str">
        <f t="shared" si="235"/>
        <v>Lignite new_2029</v>
      </c>
      <c r="P4030">
        <f t="shared" si="236"/>
        <v>750</v>
      </c>
    </row>
    <row r="4031" spans="4:16" x14ac:dyDescent="0.25">
      <c r="D4031">
        <v>2030</v>
      </c>
      <c r="E4031" t="s">
        <v>429</v>
      </c>
      <c r="F4031" t="s">
        <v>440</v>
      </c>
      <c r="G4031">
        <v>750</v>
      </c>
      <c r="I4031">
        <f t="shared" si="237"/>
        <v>0</v>
      </c>
      <c r="J4031">
        <f t="shared" si="237"/>
        <v>0</v>
      </c>
      <c r="K4031">
        <f t="shared" si="237"/>
        <v>0</v>
      </c>
      <c r="M4031" t="str" cm="1">
        <f t="array" ref="M4031">IFERROR(INDEX($I$2:$K$2,0,MATCH(TRUE,I4031:K4031,0)),E4031)</f>
        <v>Lignite new</v>
      </c>
      <c r="O4031" t="str">
        <f t="shared" si="235"/>
        <v>Lignite new_2030</v>
      </c>
      <c r="P4031">
        <f t="shared" si="236"/>
        <v>750</v>
      </c>
    </row>
    <row r="4032" spans="4:16" x14ac:dyDescent="0.25">
      <c r="D4032">
        <v>2031</v>
      </c>
      <c r="E4032" t="s">
        <v>429</v>
      </c>
      <c r="F4032" t="s">
        <v>440</v>
      </c>
      <c r="G4032">
        <v>750</v>
      </c>
      <c r="I4032">
        <f t="shared" si="237"/>
        <v>0</v>
      </c>
      <c r="J4032">
        <f t="shared" si="237"/>
        <v>0</v>
      </c>
      <c r="K4032">
        <f t="shared" si="237"/>
        <v>0</v>
      </c>
      <c r="M4032" t="str" cm="1">
        <f t="array" ref="M4032">IFERROR(INDEX($I$2:$K$2,0,MATCH(TRUE,I4032:K4032,0)),E4032)</f>
        <v>Lignite new</v>
      </c>
      <c r="O4032" t="str">
        <f t="shared" si="235"/>
        <v>Lignite new_2031</v>
      </c>
      <c r="P4032">
        <f t="shared" si="236"/>
        <v>750</v>
      </c>
    </row>
    <row r="4033" spans="4:16" x14ac:dyDescent="0.25">
      <c r="D4033">
        <v>2032</v>
      </c>
      <c r="E4033" t="s">
        <v>429</v>
      </c>
      <c r="F4033" t="s">
        <v>440</v>
      </c>
      <c r="G4033">
        <v>750</v>
      </c>
      <c r="I4033">
        <f t="shared" si="237"/>
        <v>0</v>
      </c>
      <c r="J4033">
        <f t="shared" si="237"/>
        <v>0</v>
      </c>
      <c r="K4033">
        <f t="shared" si="237"/>
        <v>0</v>
      </c>
      <c r="M4033" t="str" cm="1">
        <f t="array" ref="M4033">IFERROR(INDEX($I$2:$K$2,0,MATCH(TRUE,I4033:K4033,0)),E4033)</f>
        <v>Lignite new</v>
      </c>
      <c r="O4033" t="str">
        <f t="shared" si="235"/>
        <v>Lignite new_2032</v>
      </c>
      <c r="P4033">
        <f t="shared" si="236"/>
        <v>750</v>
      </c>
    </row>
    <row r="4034" spans="4:16" x14ac:dyDescent="0.25">
      <c r="D4034">
        <v>2033</v>
      </c>
      <c r="E4034" t="s">
        <v>429</v>
      </c>
      <c r="F4034" t="s">
        <v>440</v>
      </c>
      <c r="G4034">
        <v>750</v>
      </c>
      <c r="I4034">
        <f t="shared" si="237"/>
        <v>0</v>
      </c>
      <c r="J4034">
        <f t="shared" si="237"/>
        <v>0</v>
      </c>
      <c r="K4034">
        <f t="shared" si="237"/>
        <v>0</v>
      </c>
      <c r="M4034" t="str" cm="1">
        <f t="array" ref="M4034">IFERROR(INDEX($I$2:$K$2,0,MATCH(TRUE,I4034:K4034,0)),E4034)</f>
        <v>Lignite new</v>
      </c>
      <c r="O4034" t="str">
        <f t="shared" si="235"/>
        <v>Lignite new_2033</v>
      </c>
      <c r="P4034">
        <f t="shared" si="236"/>
        <v>750</v>
      </c>
    </row>
    <row r="4035" spans="4:16" x14ac:dyDescent="0.25">
      <c r="D4035">
        <v>2034</v>
      </c>
      <c r="E4035" t="s">
        <v>429</v>
      </c>
      <c r="F4035" t="s">
        <v>440</v>
      </c>
      <c r="G4035">
        <v>750</v>
      </c>
      <c r="I4035">
        <f t="shared" si="237"/>
        <v>0</v>
      </c>
      <c r="J4035">
        <f t="shared" si="237"/>
        <v>0</v>
      </c>
      <c r="K4035">
        <f t="shared" si="237"/>
        <v>0</v>
      </c>
      <c r="M4035" t="str" cm="1">
        <f t="array" ref="M4035">IFERROR(INDEX($I$2:$K$2,0,MATCH(TRUE,I4035:K4035,0)),E4035)</f>
        <v>Lignite new</v>
      </c>
      <c r="O4035" t="str">
        <f t="shared" si="235"/>
        <v>Lignite new_2034</v>
      </c>
      <c r="P4035">
        <f t="shared" si="236"/>
        <v>750</v>
      </c>
    </row>
    <row r="4036" spans="4:16" x14ac:dyDescent="0.25">
      <c r="D4036">
        <v>2035</v>
      </c>
      <c r="E4036" t="s">
        <v>429</v>
      </c>
      <c r="F4036" t="s">
        <v>440</v>
      </c>
      <c r="G4036">
        <v>750</v>
      </c>
      <c r="I4036">
        <f t="shared" si="237"/>
        <v>0</v>
      </c>
      <c r="J4036">
        <f t="shared" si="237"/>
        <v>0</v>
      </c>
      <c r="K4036">
        <f t="shared" si="237"/>
        <v>0</v>
      </c>
      <c r="M4036" t="str" cm="1">
        <f t="array" ref="M4036">IFERROR(INDEX($I$2:$K$2,0,MATCH(TRUE,I4036:K4036,0)),E4036)</f>
        <v>Lignite new</v>
      </c>
      <c r="O4036" t="str">
        <f t="shared" si="235"/>
        <v>Lignite new_2035</v>
      </c>
      <c r="P4036">
        <f t="shared" si="236"/>
        <v>750</v>
      </c>
    </row>
    <row r="4037" spans="4:16" x14ac:dyDescent="0.25">
      <c r="D4037">
        <v>2036</v>
      </c>
      <c r="E4037" t="s">
        <v>429</v>
      </c>
      <c r="F4037" t="s">
        <v>440</v>
      </c>
      <c r="G4037">
        <v>750</v>
      </c>
      <c r="I4037">
        <f t="shared" si="237"/>
        <v>0</v>
      </c>
      <c r="J4037">
        <f t="shared" si="237"/>
        <v>0</v>
      </c>
      <c r="K4037">
        <f t="shared" si="237"/>
        <v>0</v>
      </c>
      <c r="M4037" t="str" cm="1">
        <f t="array" ref="M4037">IFERROR(INDEX($I$2:$K$2,0,MATCH(TRUE,I4037:K4037,0)),E4037)</f>
        <v>Lignite new</v>
      </c>
      <c r="O4037" t="str">
        <f t="shared" si="235"/>
        <v>Lignite new_2036</v>
      </c>
      <c r="P4037">
        <f t="shared" si="236"/>
        <v>750</v>
      </c>
    </row>
    <row r="4038" spans="4:16" x14ac:dyDescent="0.25">
      <c r="D4038">
        <v>2037</v>
      </c>
      <c r="E4038" t="s">
        <v>429</v>
      </c>
      <c r="F4038" t="s">
        <v>440</v>
      </c>
      <c r="G4038">
        <v>750</v>
      </c>
      <c r="I4038">
        <f t="shared" si="237"/>
        <v>0</v>
      </c>
      <c r="J4038">
        <f t="shared" si="237"/>
        <v>0</v>
      </c>
      <c r="K4038">
        <f t="shared" si="237"/>
        <v>0</v>
      </c>
      <c r="M4038" t="str" cm="1">
        <f t="array" ref="M4038">IFERROR(INDEX($I$2:$K$2,0,MATCH(TRUE,I4038:K4038,0)),E4038)</f>
        <v>Lignite new</v>
      </c>
      <c r="O4038" t="str">
        <f t="shared" si="235"/>
        <v>Lignite new_2037</v>
      </c>
      <c r="P4038">
        <f t="shared" si="236"/>
        <v>750</v>
      </c>
    </row>
    <row r="4039" spans="4:16" x14ac:dyDescent="0.25">
      <c r="D4039">
        <v>2038</v>
      </c>
      <c r="E4039" t="s">
        <v>429</v>
      </c>
      <c r="F4039" t="s">
        <v>440</v>
      </c>
      <c r="G4039">
        <v>750</v>
      </c>
      <c r="I4039">
        <f t="shared" si="237"/>
        <v>0</v>
      </c>
      <c r="J4039">
        <f t="shared" si="237"/>
        <v>0</v>
      </c>
      <c r="K4039">
        <f t="shared" si="237"/>
        <v>0</v>
      </c>
      <c r="M4039" t="str" cm="1">
        <f t="array" ref="M4039">IFERROR(INDEX($I$2:$K$2,0,MATCH(TRUE,I4039:K4039,0)),E4039)</f>
        <v>Lignite new</v>
      </c>
      <c r="O4039" t="str">
        <f t="shared" si="235"/>
        <v>Lignite new_2038</v>
      </c>
      <c r="P4039">
        <f t="shared" si="236"/>
        <v>750</v>
      </c>
    </row>
    <row r="4040" spans="4:16" x14ac:dyDescent="0.25">
      <c r="D4040">
        <v>2024</v>
      </c>
      <c r="E4040" t="s">
        <v>127</v>
      </c>
      <c r="F4040" t="s">
        <v>441</v>
      </c>
      <c r="G4040">
        <v>0</v>
      </c>
      <c r="I4040">
        <f t="shared" si="237"/>
        <v>0</v>
      </c>
      <c r="J4040">
        <f t="shared" si="237"/>
        <v>0</v>
      </c>
      <c r="K4040">
        <f t="shared" si="237"/>
        <v>0</v>
      </c>
      <c r="M4040" t="str" cm="1">
        <f t="array" ref="M4040">IFERROR(INDEX($I$2:$K$2,0,MATCH(TRUE,I4040:K4040,0)),E4040)</f>
        <v>NEW DSM</v>
      </c>
      <c r="O4040" t="str">
        <f t="shared" si="235"/>
        <v>NEW DSM_2024</v>
      </c>
      <c r="P4040">
        <f t="shared" si="236"/>
        <v>0</v>
      </c>
    </row>
    <row r="4041" spans="4:16" x14ac:dyDescent="0.25">
      <c r="D4041">
        <v>2025</v>
      </c>
      <c r="E4041" t="s">
        <v>127</v>
      </c>
      <c r="F4041" t="s">
        <v>441</v>
      </c>
      <c r="G4041">
        <v>0.05</v>
      </c>
      <c r="I4041">
        <f t="shared" si="237"/>
        <v>0</v>
      </c>
      <c r="J4041">
        <f t="shared" si="237"/>
        <v>0</v>
      </c>
      <c r="K4041">
        <f t="shared" si="237"/>
        <v>0</v>
      </c>
      <c r="M4041" t="str" cm="1">
        <f t="array" ref="M4041">IFERROR(INDEX($I$2:$K$2,0,MATCH(TRUE,I4041:K4041,0)),E4041)</f>
        <v>NEW DSM</v>
      </c>
      <c r="O4041" t="str">
        <f t="shared" si="235"/>
        <v>NEW DSM_2025</v>
      </c>
      <c r="P4041">
        <f t="shared" si="236"/>
        <v>0.05</v>
      </c>
    </row>
    <row r="4042" spans="4:16" x14ac:dyDescent="0.25">
      <c r="D4042">
        <v>2026</v>
      </c>
      <c r="E4042" t="s">
        <v>127</v>
      </c>
      <c r="F4042" t="s">
        <v>441</v>
      </c>
      <c r="G4042">
        <v>0.05</v>
      </c>
      <c r="I4042">
        <f t="shared" si="237"/>
        <v>0</v>
      </c>
      <c r="J4042">
        <f t="shared" si="237"/>
        <v>0</v>
      </c>
      <c r="K4042">
        <f t="shared" si="237"/>
        <v>0</v>
      </c>
      <c r="M4042" t="str" cm="1">
        <f t="array" ref="M4042">IFERROR(INDEX($I$2:$K$2,0,MATCH(TRUE,I4042:K4042,0)),E4042)</f>
        <v>NEW DSM</v>
      </c>
      <c r="O4042" t="str">
        <f t="shared" si="235"/>
        <v>NEW DSM_2026</v>
      </c>
      <c r="P4042">
        <f t="shared" si="236"/>
        <v>0.05</v>
      </c>
    </row>
    <row r="4043" spans="4:16" x14ac:dyDescent="0.25">
      <c r="D4043">
        <v>2027</v>
      </c>
      <c r="E4043" t="s">
        <v>127</v>
      </c>
      <c r="F4043" t="s">
        <v>441</v>
      </c>
      <c r="G4043">
        <v>0.05</v>
      </c>
      <c r="I4043">
        <f t="shared" si="237"/>
        <v>0</v>
      </c>
      <c r="J4043">
        <f t="shared" si="237"/>
        <v>0</v>
      </c>
      <c r="K4043">
        <f t="shared" si="237"/>
        <v>0</v>
      </c>
      <c r="M4043" t="str" cm="1">
        <f t="array" ref="M4043">IFERROR(INDEX($I$2:$K$2,0,MATCH(TRUE,I4043:K4043,0)),E4043)</f>
        <v>NEW DSM</v>
      </c>
      <c r="O4043" t="str">
        <f t="shared" si="235"/>
        <v>NEW DSM_2027</v>
      </c>
      <c r="P4043">
        <f t="shared" si="236"/>
        <v>0.05</v>
      </c>
    </row>
    <row r="4044" spans="4:16" x14ac:dyDescent="0.25">
      <c r="D4044">
        <v>2028</v>
      </c>
      <c r="E4044" t="s">
        <v>127</v>
      </c>
      <c r="F4044" t="s">
        <v>441</v>
      </c>
      <c r="G4044">
        <v>0.05</v>
      </c>
      <c r="I4044">
        <f t="shared" si="237"/>
        <v>0</v>
      </c>
      <c r="J4044">
        <f t="shared" si="237"/>
        <v>0</v>
      </c>
      <c r="K4044">
        <f t="shared" si="237"/>
        <v>0</v>
      </c>
      <c r="M4044" t="str" cm="1">
        <f t="array" ref="M4044">IFERROR(INDEX($I$2:$K$2,0,MATCH(TRUE,I4044:K4044,0)),E4044)</f>
        <v>NEW DSM</v>
      </c>
      <c r="O4044" t="str">
        <f t="shared" si="235"/>
        <v>NEW DSM_2028</v>
      </c>
      <c r="P4044">
        <f t="shared" si="236"/>
        <v>0.05</v>
      </c>
    </row>
    <row r="4045" spans="4:16" x14ac:dyDescent="0.25">
      <c r="D4045">
        <v>2029</v>
      </c>
      <c r="E4045" t="s">
        <v>127</v>
      </c>
      <c r="F4045" t="s">
        <v>441</v>
      </c>
      <c r="G4045">
        <v>0.05</v>
      </c>
      <c r="I4045">
        <f t="shared" si="237"/>
        <v>0</v>
      </c>
      <c r="J4045">
        <f t="shared" si="237"/>
        <v>0</v>
      </c>
      <c r="K4045">
        <f t="shared" si="237"/>
        <v>0</v>
      </c>
      <c r="M4045" t="str" cm="1">
        <f t="array" ref="M4045">IFERROR(INDEX($I$2:$K$2,0,MATCH(TRUE,I4045:K4045,0)),E4045)</f>
        <v>NEW DSM</v>
      </c>
      <c r="O4045" t="str">
        <f t="shared" si="235"/>
        <v>NEW DSM_2029</v>
      </c>
      <c r="P4045">
        <f t="shared" si="236"/>
        <v>0.05</v>
      </c>
    </row>
    <row r="4046" spans="4:16" x14ac:dyDescent="0.25">
      <c r="D4046">
        <v>2030</v>
      </c>
      <c r="E4046" t="s">
        <v>127</v>
      </c>
      <c r="F4046" t="s">
        <v>441</v>
      </c>
      <c r="G4046">
        <v>0.05</v>
      </c>
      <c r="I4046">
        <f t="shared" si="237"/>
        <v>0</v>
      </c>
      <c r="J4046">
        <f t="shared" si="237"/>
        <v>0</v>
      </c>
      <c r="K4046">
        <f t="shared" si="237"/>
        <v>0</v>
      </c>
      <c r="M4046" t="str" cm="1">
        <f t="array" ref="M4046">IFERROR(INDEX($I$2:$K$2,0,MATCH(TRUE,I4046:K4046,0)),E4046)</f>
        <v>NEW DSM</v>
      </c>
      <c r="O4046" t="str">
        <f t="shared" si="235"/>
        <v>NEW DSM_2030</v>
      </c>
      <c r="P4046">
        <f t="shared" si="236"/>
        <v>0.05</v>
      </c>
    </row>
    <row r="4047" spans="4:16" x14ac:dyDescent="0.25">
      <c r="D4047">
        <v>2031</v>
      </c>
      <c r="E4047" t="s">
        <v>127</v>
      </c>
      <c r="F4047" t="s">
        <v>441</v>
      </c>
      <c r="G4047">
        <v>0.05</v>
      </c>
      <c r="I4047">
        <f t="shared" si="237"/>
        <v>0</v>
      </c>
      <c r="J4047">
        <f t="shared" si="237"/>
        <v>0</v>
      </c>
      <c r="K4047">
        <f t="shared" si="237"/>
        <v>0</v>
      </c>
      <c r="M4047" t="str" cm="1">
        <f t="array" ref="M4047">IFERROR(INDEX($I$2:$K$2,0,MATCH(TRUE,I4047:K4047,0)),E4047)</f>
        <v>NEW DSM</v>
      </c>
      <c r="O4047" t="str">
        <f t="shared" si="235"/>
        <v>NEW DSM_2031</v>
      </c>
      <c r="P4047">
        <f t="shared" si="236"/>
        <v>0.05</v>
      </c>
    </row>
    <row r="4048" spans="4:16" x14ac:dyDescent="0.25">
      <c r="D4048">
        <v>2032</v>
      </c>
      <c r="E4048" t="s">
        <v>127</v>
      </c>
      <c r="F4048" t="s">
        <v>441</v>
      </c>
      <c r="G4048">
        <v>0.05</v>
      </c>
      <c r="I4048">
        <f t="shared" si="237"/>
        <v>0</v>
      </c>
      <c r="J4048">
        <f t="shared" si="237"/>
        <v>0</v>
      </c>
      <c r="K4048">
        <f t="shared" si="237"/>
        <v>0</v>
      </c>
      <c r="M4048" t="str" cm="1">
        <f t="array" ref="M4048">IFERROR(INDEX($I$2:$K$2,0,MATCH(TRUE,I4048:K4048,0)),E4048)</f>
        <v>NEW DSM</v>
      </c>
      <c r="O4048" t="str">
        <f t="shared" si="235"/>
        <v>NEW DSM_2032</v>
      </c>
      <c r="P4048">
        <f t="shared" si="236"/>
        <v>0.05</v>
      </c>
    </row>
    <row r="4049" spans="4:16" x14ac:dyDescent="0.25">
      <c r="D4049">
        <v>2033</v>
      </c>
      <c r="E4049" t="s">
        <v>127</v>
      </c>
      <c r="F4049" t="s">
        <v>441</v>
      </c>
      <c r="G4049">
        <v>0.05</v>
      </c>
      <c r="I4049">
        <f t="shared" si="237"/>
        <v>0</v>
      </c>
      <c r="J4049">
        <f t="shared" si="237"/>
        <v>0</v>
      </c>
      <c r="K4049">
        <f t="shared" si="237"/>
        <v>0</v>
      </c>
      <c r="M4049" t="str" cm="1">
        <f t="array" ref="M4049">IFERROR(INDEX($I$2:$K$2,0,MATCH(TRUE,I4049:K4049,0)),E4049)</f>
        <v>NEW DSM</v>
      </c>
      <c r="O4049" t="str">
        <f t="shared" si="235"/>
        <v>NEW DSM_2033</v>
      </c>
      <c r="P4049">
        <f t="shared" si="236"/>
        <v>0.05</v>
      </c>
    </row>
    <row r="4050" spans="4:16" x14ac:dyDescent="0.25">
      <c r="D4050">
        <v>2034</v>
      </c>
      <c r="E4050" t="s">
        <v>127</v>
      </c>
      <c r="F4050" t="s">
        <v>441</v>
      </c>
      <c r="G4050">
        <v>0.05</v>
      </c>
      <c r="I4050">
        <f t="shared" si="237"/>
        <v>0</v>
      </c>
      <c r="J4050">
        <f t="shared" si="237"/>
        <v>0</v>
      </c>
      <c r="K4050">
        <f t="shared" si="237"/>
        <v>0</v>
      </c>
      <c r="M4050" t="str" cm="1">
        <f t="array" ref="M4050">IFERROR(INDEX($I$2:$K$2,0,MATCH(TRUE,I4050:K4050,0)),E4050)</f>
        <v>NEW DSM</v>
      </c>
      <c r="O4050" t="str">
        <f t="shared" si="235"/>
        <v>NEW DSM_2034</v>
      </c>
      <c r="P4050">
        <f t="shared" si="236"/>
        <v>0.05</v>
      </c>
    </row>
    <row r="4051" spans="4:16" x14ac:dyDescent="0.25">
      <c r="D4051">
        <v>2035</v>
      </c>
      <c r="E4051" t="s">
        <v>127</v>
      </c>
      <c r="F4051" t="s">
        <v>441</v>
      </c>
      <c r="G4051">
        <v>0.05</v>
      </c>
      <c r="I4051">
        <f t="shared" si="237"/>
        <v>0</v>
      </c>
      <c r="J4051">
        <f t="shared" si="237"/>
        <v>0</v>
      </c>
      <c r="K4051">
        <f t="shared" si="237"/>
        <v>0</v>
      </c>
      <c r="M4051" t="str" cm="1">
        <f t="array" ref="M4051">IFERROR(INDEX($I$2:$K$2,0,MATCH(TRUE,I4051:K4051,0)),E4051)</f>
        <v>NEW DSM</v>
      </c>
      <c r="O4051" t="str">
        <f t="shared" ref="O4051:O4114" si="238">M4051&amp;"_"&amp;D4051</f>
        <v>NEW DSM_2035</v>
      </c>
      <c r="P4051">
        <f t="shared" ref="P4051:P4114" si="239">G4051</f>
        <v>0.05</v>
      </c>
    </row>
    <row r="4052" spans="4:16" x14ac:dyDescent="0.25">
      <c r="D4052">
        <v>2036</v>
      </c>
      <c r="E4052" t="s">
        <v>127</v>
      </c>
      <c r="F4052" t="s">
        <v>441</v>
      </c>
      <c r="G4052">
        <v>0.05</v>
      </c>
      <c r="I4052">
        <f t="shared" si="237"/>
        <v>0</v>
      </c>
      <c r="J4052">
        <f t="shared" si="237"/>
        <v>0</v>
      </c>
      <c r="K4052">
        <f t="shared" si="237"/>
        <v>0</v>
      </c>
      <c r="M4052" t="str" cm="1">
        <f t="array" ref="M4052">IFERROR(INDEX($I$2:$K$2,0,MATCH(TRUE,I4052:K4052,0)),E4052)</f>
        <v>NEW DSM</v>
      </c>
      <c r="O4052" t="str">
        <f t="shared" si="238"/>
        <v>NEW DSM_2036</v>
      </c>
      <c r="P4052">
        <f t="shared" si="239"/>
        <v>0.05</v>
      </c>
    </row>
    <row r="4053" spans="4:16" x14ac:dyDescent="0.25">
      <c r="D4053">
        <v>2037</v>
      </c>
      <c r="E4053" t="s">
        <v>127</v>
      </c>
      <c r="F4053" t="s">
        <v>441</v>
      </c>
      <c r="G4053">
        <v>0.05</v>
      </c>
      <c r="I4053">
        <f t="shared" ref="I4053:K4116" si="240">IFERROR(FIND(I$2,$E4053,1)&gt;0,0)</f>
        <v>0</v>
      </c>
      <c r="J4053">
        <f t="shared" si="240"/>
        <v>0</v>
      </c>
      <c r="K4053">
        <f t="shared" si="240"/>
        <v>0</v>
      </c>
      <c r="M4053" t="str" cm="1">
        <f t="array" ref="M4053">IFERROR(INDEX($I$2:$K$2,0,MATCH(TRUE,I4053:K4053,0)),E4053)</f>
        <v>NEW DSM</v>
      </c>
      <c r="O4053" t="str">
        <f t="shared" si="238"/>
        <v>NEW DSM_2037</v>
      </c>
      <c r="P4053">
        <f t="shared" si="239"/>
        <v>0.05</v>
      </c>
    </row>
    <row r="4054" spans="4:16" x14ac:dyDescent="0.25">
      <c r="D4054">
        <v>2038</v>
      </c>
      <c r="E4054" t="s">
        <v>127</v>
      </c>
      <c r="F4054" t="s">
        <v>441</v>
      </c>
      <c r="G4054">
        <v>0.05</v>
      </c>
      <c r="I4054">
        <f t="shared" si="240"/>
        <v>0</v>
      </c>
      <c r="J4054">
        <f t="shared" si="240"/>
        <v>0</v>
      </c>
      <c r="K4054">
        <f t="shared" si="240"/>
        <v>0</v>
      </c>
      <c r="M4054" t="str" cm="1">
        <f t="array" ref="M4054">IFERROR(INDEX($I$2:$K$2,0,MATCH(TRUE,I4054:K4054,0)),E4054)</f>
        <v>NEW DSM</v>
      </c>
      <c r="O4054" t="str">
        <f t="shared" si="238"/>
        <v>NEW DSM_2038</v>
      </c>
      <c r="P4054">
        <f t="shared" si="239"/>
        <v>0.05</v>
      </c>
    </row>
    <row r="4055" spans="4:16" x14ac:dyDescent="0.25">
      <c r="D4055">
        <v>2039</v>
      </c>
      <c r="E4055" t="s">
        <v>127</v>
      </c>
      <c r="F4055" t="s">
        <v>441</v>
      </c>
      <c r="G4055">
        <v>0.05</v>
      </c>
      <c r="I4055">
        <f t="shared" si="240"/>
        <v>0</v>
      </c>
      <c r="J4055">
        <f t="shared" si="240"/>
        <v>0</v>
      </c>
      <c r="K4055">
        <f t="shared" si="240"/>
        <v>0</v>
      </c>
      <c r="M4055" t="str" cm="1">
        <f t="array" ref="M4055">IFERROR(INDEX($I$2:$K$2,0,MATCH(TRUE,I4055:K4055,0)),E4055)</f>
        <v>NEW DSM</v>
      </c>
      <c r="O4055" t="str">
        <f t="shared" si="238"/>
        <v>NEW DSM_2039</v>
      </c>
      <c r="P4055">
        <f t="shared" si="239"/>
        <v>0.05</v>
      </c>
    </row>
    <row r="4056" spans="4:16" x14ac:dyDescent="0.25">
      <c r="D4056">
        <v>2040</v>
      </c>
      <c r="E4056" t="s">
        <v>127</v>
      </c>
      <c r="F4056" t="s">
        <v>441</v>
      </c>
      <c r="G4056">
        <v>0.05</v>
      </c>
      <c r="I4056">
        <f t="shared" si="240"/>
        <v>0</v>
      </c>
      <c r="J4056">
        <f t="shared" si="240"/>
        <v>0</v>
      </c>
      <c r="K4056">
        <f t="shared" si="240"/>
        <v>0</v>
      </c>
      <c r="M4056" t="str" cm="1">
        <f t="array" ref="M4056">IFERROR(INDEX($I$2:$K$2,0,MATCH(TRUE,I4056:K4056,0)),E4056)</f>
        <v>NEW DSM</v>
      </c>
      <c r="O4056" t="str">
        <f t="shared" si="238"/>
        <v>NEW DSM_2040</v>
      </c>
      <c r="P4056">
        <f t="shared" si="239"/>
        <v>0.05</v>
      </c>
    </row>
    <row r="4057" spans="4:16" x14ac:dyDescent="0.25">
      <c r="D4057">
        <v>2024</v>
      </c>
      <c r="E4057" t="s">
        <v>127</v>
      </c>
      <c r="F4057" t="s">
        <v>442</v>
      </c>
      <c r="G4057">
        <v>0</v>
      </c>
      <c r="I4057">
        <f t="shared" si="240"/>
        <v>0</v>
      </c>
      <c r="J4057">
        <f t="shared" si="240"/>
        <v>0</v>
      </c>
      <c r="K4057">
        <f t="shared" si="240"/>
        <v>0</v>
      </c>
      <c r="M4057" t="str" cm="1">
        <f t="array" ref="M4057">IFERROR(INDEX($I$2:$K$2,0,MATCH(TRUE,I4057:K4057,0)),E4057)</f>
        <v>NEW DSM</v>
      </c>
      <c r="O4057" t="str">
        <f t="shared" si="238"/>
        <v>NEW DSM_2024</v>
      </c>
      <c r="P4057">
        <f t="shared" si="239"/>
        <v>0</v>
      </c>
    </row>
    <row r="4058" spans="4:16" x14ac:dyDescent="0.25">
      <c r="D4058">
        <v>2025</v>
      </c>
      <c r="E4058" t="s">
        <v>127</v>
      </c>
      <c r="F4058" t="s">
        <v>442</v>
      </c>
      <c r="G4058">
        <v>0.05</v>
      </c>
      <c r="I4058">
        <f t="shared" si="240"/>
        <v>0</v>
      </c>
      <c r="J4058">
        <f t="shared" si="240"/>
        <v>0</v>
      </c>
      <c r="K4058">
        <f t="shared" si="240"/>
        <v>0</v>
      </c>
      <c r="M4058" t="str" cm="1">
        <f t="array" ref="M4058">IFERROR(INDEX($I$2:$K$2,0,MATCH(TRUE,I4058:K4058,0)),E4058)</f>
        <v>NEW DSM</v>
      </c>
      <c r="O4058" t="str">
        <f t="shared" si="238"/>
        <v>NEW DSM_2025</v>
      </c>
      <c r="P4058">
        <f t="shared" si="239"/>
        <v>0.05</v>
      </c>
    </row>
    <row r="4059" spans="4:16" x14ac:dyDescent="0.25">
      <c r="D4059">
        <v>2026</v>
      </c>
      <c r="E4059" t="s">
        <v>127</v>
      </c>
      <c r="F4059" t="s">
        <v>442</v>
      </c>
      <c r="G4059">
        <v>0.05</v>
      </c>
      <c r="I4059">
        <f t="shared" si="240"/>
        <v>0</v>
      </c>
      <c r="J4059">
        <f t="shared" si="240"/>
        <v>0</v>
      </c>
      <c r="K4059">
        <f t="shared" si="240"/>
        <v>0</v>
      </c>
      <c r="M4059" t="str" cm="1">
        <f t="array" ref="M4059">IFERROR(INDEX($I$2:$K$2,0,MATCH(TRUE,I4059:K4059,0)),E4059)</f>
        <v>NEW DSM</v>
      </c>
      <c r="O4059" t="str">
        <f t="shared" si="238"/>
        <v>NEW DSM_2026</v>
      </c>
      <c r="P4059">
        <f t="shared" si="239"/>
        <v>0.05</v>
      </c>
    </row>
    <row r="4060" spans="4:16" x14ac:dyDescent="0.25">
      <c r="D4060">
        <v>2027</v>
      </c>
      <c r="E4060" t="s">
        <v>127</v>
      </c>
      <c r="F4060" t="s">
        <v>442</v>
      </c>
      <c r="G4060">
        <v>0.05</v>
      </c>
      <c r="I4060">
        <f t="shared" si="240"/>
        <v>0</v>
      </c>
      <c r="J4060">
        <f t="shared" si="240"/>
        <v>0</v>
      </c>
      <c r="K4060">
        <f t="shared" si="240"/>
        <v>0</v>
      </c>
      <c r="M4060" t="str" cm="1">
        <f t="array" ref="M4060">IFERROR(INDEX($I$2:$K$2,0,MATCH(TRUE,I4060:K4060,0)),E4060)</f>
        <v>NEW DSM</v>
      </c>
      <c r="O4060" t="str">
        <f t="shared" si="238"/>
        <v>NEW DSM_2027</v>
      </c>
      <c r="P4060">
        <f t="shared" si="239"/>
        <v>0.05</v>
      </c>
    </row>
    <row r="4061" spans="4:16" x14ac:dyDescent="0.25">
      <c r="D4061">
        <v>2028</v>
      </c>
      <c r="E4061" t="s">
        <v>127</v>
      </c>
      <c r="F4061" t="s">
        <v>442</v>
      </c>
      <c r="G4061">
        <v>0.05</v>
      </c>
      <c r="I4061">
        <f t="shared" si="240"/>
        <v>0</v>
      </c>
      <c r="J4061">
        <f t="shared" si="240"/>
        <v>0</v>
      </c>
      <c r="K4061">
        <f t="shared" si="240"/>
        <v>0</v>
      </c>
      <c r="M4061" t="str" cm="1">
        <f t="array" ref="M4061">IFERROR(INDEX($I$2:$K$2,0,MATCH(TRUE,I4061:K4061,0)),E4061)</f>
        <v>NEW DSM</v>
      </c>
      <c r="O4061" t="str">
        <f t="shared" si="238"/>
        <v>NEW DSM_2028</v>
      </c>
      <c r="P4061">
        <f t="shared" si="239"/>
        <v>0.05</v>
      </c>
    </row>
    <row r="4062" spans="4:16" x14ac:dyDescent="0.25">
      <c r="D4062">
        <v>2029</v>
      </c>
      <c r="E4062" t="s">
        <v>127</v>
      </c>
      <c r="F4062" t="s">
        <v>442</v>
      </c>
      <c r="G4062">
        <v>0.05</v>
      </c>
      <c r="I4062">
        <f t="shared" si="240"/>
        <v>0</v>
      </c>
      <c r="J4062">
        <f t="shared" si="240"/>
        <v>0</v>
      </c>
      <c r="K4062">
        <f t="shared" si="240"/>
        <v>0</v>
      </c>
      <c r="M4062" t="str" cm="1">
        <f t="array" ref="M4062">IFERROR(INDEX($I$2:$K$2,0,MATCH(TRUE,I4062:K4062,0)),E4062)</f>
        <v>NEW DSM</v>
      </c>
      <c r="O4062" t="str">
        <f t="shared" si="238"/>
        <v>NEW DSM_2029</v>
      </c>
      <c r="P4062">
        <f t="shared" si="239"/>
        <v>0.05</v>
      </c>
    </row>
    <row r="4063" spans="4:16" x14ac:dyDescent="0.25">
      <c r="D4063">
        <v>2030</v>
      </c>
      <c r="E4063" t="s">
        <v>127</v>
      </c>
      <c r="F4063" t="s">
        <v>442</v>
      </c>
      <c r="G4063">
        <v>0.05</v>
      </c>
      <c r="I4063">
        <f t="shared" si="240"/>
        <v>0</v>
      </c>
      <c r="J4063">
        <f t="shared" si="240"/>
        <v>0</v>
      </c>
      <c r="K4063">
        <f t="shared" si="240"/>
        <v>0</v>
      </c>
      <c r="M4063" t="str" cm="1">
        <f t="array" ref="M4063">IFERROR(INDEX($I$2:$K$2,0,MATCH(TRUE,I4063:K4063,0)),E4063)</f>
        <v>NEW DSM</v>
      </c>
      <c r="O4063" t="str">
        <f t="shared" si="238"/>
        <v>NEW DSM_2030</v>
      </c>
      <c r="P4063">
        <f t="shared" si="239"/>
        <v>0.05</v>
      </c>
    </row>
    <row r="4064" spans="4:16" x14ac:dyDescent="0.25">
      <c r="D4064">
        <v>2031</v>
      </c>
      <c r="E4064" t="s">
        <v>127</v>
      </c>
      <c r="F4064" t="s">
        <v>442</v>
      </c>
      <c r="G4064">
        <v>0.05</v>
      </c>
      <c r="I4064">
        <f t="shared" si="240"/>
        <v>0</v>
      </c>
      <c r="J4064">
        <f t="shared" si="240"/>
        <v>0</v>
      </c>
      <c r="K4064">
        <f t="shared" si="240"/>
        <v>0</v>
      </c>
      <c r="M4064" t="str" cm="1">
        <f t="array" ref="M4064">IFERROR(INDEX($I$2:$K$2,0,MATCH(TRUE,I4064:K4064,0)),E4064)</f>
        <v>NEW DSM</v>
      </c>
      <c r="O4064" t="str">
        <f t="shared" si="238"/>
        <v>NEW DSM_2031</v>
      </c>
      <c r="P4064">
        <f t="shared" si="239"/>
        <v>0.05</v>
      </c>
    </row>
    <row r="4065" spans="4:16" x14ac:dyDescent="0.25">
      <c r="D4065">
        <v>2032</v>
      </c>
      <c r="E4065" t="s">
        <v>127</v>
      </c>
      <c r="F4065" t="s">
        <v>442</v>
      </c>
      <c r="G4065">
        <v>0.05</v>
      </c>
      <c r="I4065">
        <f t="shared" si="240"/>
        <v>0</v>
      </c>
      <c r="J4065">
        <f t="shared" si="240"/>
        <v>0</v>
      </c>
      <c r="K4065">
        <f t="shared" si="240"/>
        <v>0</v>
      </c>
      <c r="M4065" t="str" cm="1">
        <f t="array" ref="M4065">IFERROR(INDEX($I$2:$K$2,0,MATCH(TRUE,I4065:K4065,0)),E4065)</f>
        <v>NEW DSM</v>
      </c>
      <c r="O4065" t="str">
        <f t="shared" si="238"/>
        <v>NEW DSM_2032</v>
      </c>
      <c r="P4065">
        <f t="shared" si="239"/>
        <v>0.05</v>
      </c>
    </row>
    <row r="4066" spans="4:16" x14ac:dyDescent="0.25">
      <c r="D4066">
        <v>2033</v>
      </c>
      <c r="E4066" t="s">
        <v>127</v>
      </c>
      <c r="F4066" t="s">
        <v>442</v>
      </c>
      <c r="G4066">
        <v>0.05</v>
      </c>
      <c r="I4066">
        <f t="shared" si="240"/>
        <v>0</v>
      </c>
      <c r="J4066">
        <f t="shared" si="240"/>
        <v>0</v>
      </c>
      <c r="K4066">
        <f t="shared" si="240"/>
        <v>0</v>
      </c>
      <c r="M4066" t="str" cm="1">
        <f t="array" ref="M4066">IFERROR(INDEX($I$2:$K$2,0,MATCH(TRUE,I4066:K4066,0)),E4066)</f>
        <v>NEW DSM</v>
      </c>
      <c r="O4066" t="str">
        <f t="shared" si="238"/>
        <v>NEW DSM_2033</v>
      </c>
      <c r="P4066">
        <f t="shared" si="239"/>
        <v>0.05</v>
      </c>
    </row>
    <row r="4067" spans="4:16" x14ac:dyDescent="0.25">
      <c r="D4067">
        <v>2034</v>
      </c>
      <c r="E4067" t="s">
        <v>127</v>
      </c>
      <c r="F4067" t="s">
        <v>442</v>
      </c>
      <c r="G4067">
        <v>0.05</v>
      </c>
      <c r="I4067">
        <f t="shared" si="240"/>
        <v>0</v>
      </c>
      <c r="J4067">
        <f t="shared" si="240"/>
        <v>0</v>
      </c>
      <c r="K4067">
        <f t="shared" si="240"/>
        <v>0</v>
      </c>
      <c r="M4067" t="str" cm="1">
        <f t="array" ref="M4067">IFERROR(INDEX($I$2:$K$2,0,MATCH(TRUE,I4067:K4067,0)),E4067)</f>
        <v>NEW DSM</v>
      </c>
      <c r="O4067" t="str">
        <f t="shared" si="238"/>
        <v>NEW DSM_2034</v>
      </c>
      <c r="P4067">
        <f t="shared" si="239"/>
        <v>0.05</v>
      </c>
    </row>
    <row r="4068" spans="4:16" x14ac:dyDescent="0.25">
      <c r="D4068">
        <v>2035</v>
      </c>
      <c r="E4068" t="s">
        <v>127</v>
      </c>
      <c r="F4068" t="s">
        <v>442</v>
      </c>
      <c r="G4068">
        <v>0.05</v>
      </c>
      <c r="I4068">
        <f t="shared" si="240"/>
        <v>0</v>
      </c>
      <c r="J4068">
        <f t="shared" si="240"/>
        <v>0</v>
      </c>
      <c r="K4068">
        <f t="shared" si="240"/>
        <v>0</v>
      </c>
      <c r="M4068" t="str" cm="1">
        <f t="array" ref="M4068">IFERROR(INDEX($I$2:$K$2,0,MATCH(TRUE,I4068:K4068,0)),E4068)</f>
        <v>NEW DSM</v>
      </c>
      <c r="O4068" t="str">
        <f t="shared" si="238"/>
        <v>NEW DSM_2035</v>
      </c>
      <c r="P4068">
        <f t="shared" si="239"/>
        <v>0.05</v>
      </c>
    </row>
    <row r="4069" spans="4:16" x14ac:dyDescent="0.25">
      <c r="D4069">
        <v>2036</v>
      </c>
      <c r="E4069" t="s">
        <v>127</v>
      </c>
      <c r="F4069" t="s">
        <v>442</v>
      </c>
      <c r="G4069">
        <v>0.05</v>
      </c>
      <c r="I4069">
        <f t="shared" si="240"/>
        <v>0</v>
      </c>
      <c r="J4069">
        <f t="shared" si="240"/>
        <v>0</v>
      </c>
      <c r="K4069">
        <f t="shared" si="240"/>
        <v>0</v>
      </c>
      <c r="M4069" t="str" cm="1">
        <f t="array" ref="M4069">IFERROR(INDEX($I$2:$K$2,0,MATCH(TRUE,I4069:K4069,0)),E4069)</f>
        <v>NEW DSM</v>
      </c>
      <c r="O4069" t="str">
        <f t="shared" si="238"/>
        <v>NEW DSM_2036</v>
      </c>
      <c r="P4069">
        <f t="shared" si="239"/>
        <v>0.05</v>
      </c>
    </row>
    <row r="4070" spans="4:16" x14ac:dyDescent="0.25">
      <c r="D4070">
        <v>2037</v>
      </c>
      <c r="E4070" t="s">
        <v>127</v>
      </c>
      <c r="F4070" t="s">
        <v>442</v>
      </c>
      <c r="G4070">
        <v>0.05</v>
      </c>
      <c r="I4070">
        <f t="shared" si="240"/>
        <v>0</v>
      </c>
      <c r="J4070">
        <f t="shared" si="240"/>
        <v>0</v>
      </c>
      <c r="K4070">
        <f t="shared" si="240"/>
        <v>0</v>
      </c>
      <c r="M4070" t="str" cm="1">
        <f t="array" ref="M4070">IFERROR(INDEX($I$2:$K$2,0,MATCH(TRUE,I4070:K4070,0)),E4070)</f>
        <v>NEW DSM</v>
      </c>
      <c r="O4070" t="str">
        <f t="shared" si="238"/>
        <v>NEW DSM_2037</v>
      </c>
      <c r="P4070">
        <f t="shared" si="239"/>
        <v>0.05</v>
      </c>
    </row>
    <row r="4071" spans="4:16" x14ac:dyDescent="0.25">
      <c r="D4071">
        <v>2038</v>
      </c>
      <c r="E4071" t="s">
        <v>127</v>
      </c>
      <c r="F4071" t="s">
        <v>442</v>
      </c>
      <c r="G4071">
        <v>0.05</v>
      </c>
      <c r="I4071">
        <f t="shared" si="240"/>
        <v>0</v>
      </c>
      <c r="J4071">
        <f t="shared" si="240"/>
        <v>0</v>
      </c>
      <c r="K4071">
        <f t="shared" si="240"/>
        <v>0</v>
      </c>
      <c r="M4071" t="str" cm="1">
        <f t="array" ref="M4071">IFERROR(INDEX($I$2:$K$2,0,MATCH(TRUE,I4071:K4071,0)),E4071)</f>
        <v>NEW DSM</v>
      </c>
      <c r="O4071" t="str">
        <f t="shared" si="238"/>
        <v>NEW DSM_2038</v>
      </c>
      <c r="P4071">
        <f t="shared" si="239"/>
        <v>0.05</v>
      </c>
    </row>
    <row r="4072" spans="4:16" x14ac:dyDescent="0.25">
      <c r="D4072">
        <v>2039</v>
      </c>
      <c r="E4072" t="s">
        <v>127</v>
      </c>
      <c r="F4072" t="s">
        <v>442</v>
      </c>
      <c r="G4072">
        <v>0.05</v>
      </c>
      <c r="I4072">
        <f t="shared" si="240"/>
        <v>0</v>
      </c>
      <c r="J4072">
        <f t="shared" si="240"/>
        <v>0</v>
      </c>
      <c r="K4072">
        <f t="shared" si="240"/>
        <v>0</v>
      </c>
      <c r="M4072" t="str" cm="1">
        <f t="array" ref="M4072">IFERROR(INDEX($I$2:$K$2,0,MATCH(TRUE,I4072:K4072,0)),E4072)</f>
        <v>NEW DSM</v>
      </c>
      <c r="O4072" t="str">
        <f t="shared" si="238"/>
        <v>NEW DSM_2039</v>
      </c>
      <c r="P4072">
        <f t="shared" si="239"/>
        <v>0.05</v>
      </c>
    </row>
    <row r="4073" spans="4:16" x14ac:dyDescent="0.25">
      <c r="D4073">
        <v>2040</v>
      </c>
      <c r="E4073" t="s">
        <v>127</v>
      </c>
      <c r="F4073" t="s">
        <v>442</v>
      </c>
      <c r="G4073">
        <v>0.05</v>
      </c>
      <c r="I4073">
        <f t="shared" si="240"/>
        <v>0</v>
      </c>
      <c r="J4073">
        <f t="shared" si="240"/>
        <v>0</v>
      </c>
      <c r="K4073">
        <f t="shared" si="240"/>
        <v>0</v>
      </c>
      <c r="M4073" t="str" cm="1">
        <f t="array" ref="M4073">IFERROR(INDEX($I$2:$K$2,0,MATCH(TRUE,I4073:K4073,0)),E4073)</f>
        <v>NEW DSM</v>
      </c>
      <c r="O4073" t="str">
        <f t="shared" si="238"/>
        <v>NEW DSM_2040</v>
      </c>
      <c r="P4073">
        <f t="shared" si="239"/>
        <v>0.05</v>
      </c>
    </row>
    <row r="4074" spans="4:16" x14ac:dyDescent="0.25">
      <c r="D4074">
        <v>2024</v>
      </c>
      <c r="E4074" t="s">
        <v>127</v>
      </c>
      <c r="F4074" t="s">
        <v>443</v>
      </c>
      <c r="G4074">
        <v>0</v>
      </c>
      <c r="I4074">
        <f t="shared" si="240"/>
        <v>0</v>
      </c>
      <c r="J4074">
        <f t="shared" si="240"/>
        <v>0</v>
      </c>
      <c r="K4074">
        <f t="shared" si="240"/>
        <v>0</v>
      </c>
      <c r="M4074" t="str" cm="1">
        <f t="array" ref="M4074">IFERROR(INDEX($I$2:$K$2,0,MATCH(TRUE,I4074:K4074,0)),E4074)</f>
        <v>NEW DSM</v>
      </c>
      <c r="O4074" t="str">
        <f t="shared" si="238"/>
        <v>NEW DSM_2024</v>
      </c>
      <c r="P4074">
        <f t="shared" si="239"/>
        <v>0</v>
      </c>
    </row>
    <row r="4075" spans="4:16" x14ac:dyDescent="0.25">
      <c r="D4075">
        <v>2025</v>
      </c>
      <c r="E4075" t="s">
        <v>127</v>
      </c>
      <c r="F4075" t="s">
        <v>443</v>
      </c>
      <c r="G4075">
        <v>0.05</v>
      </c>
      <c r="I4075">
        <f t="shared" si="240"/>
        <v>0</v>
      </c>
      <c r="J4075">
        <f t="shared" si="240"/>
        <v>0</v>
      </c>
      <c r="K4075">
        <f t="shared" si="240"/>
        <v>0</v>
      </c>
      <c r="M4075" t="str" cm="1">
        <f t="array" ref="M4075">IFERROR(INDEX($I$2:$K$2,0,MATCH(TRUE,I4075:K4075,0)),E4075)</f>
        <v>NEW DSM</v>
      </c>
      <c r="O4075" t="str">
        <f t="shared" si="238"/>
        <v>NEW DSM_2025</v>
      </c>
      <c r="P4075">
        <f t="shared" si="239"/>
        <v>0.05</v>
      </c>
    </row>
    <row r="4076" spans="4:16" x14ac:dyDescent="0.25">
      <c r="D4076">
        <v>2026</v>
      </c>
      <c r="E4076" t="s">
        <v>127</v>
      </c>
      <c r="F4076" t="s">
        <v>443</v>
      </c>
      <c r="G4076">
        <v>0.05</v>
      </c>
      <c r="I4076">
        <f t="shared" si="240"/>
        <v>0</v>
      </c>
      <c r="J4076">
        <f t="shared" si="240"/>
        <v>0</v>
      </c>
      <c r="K4076">
        <f t="shared" si="240"/>
        <v>0</v>
      </c>
      <c r="M4076" t="str" cm="1">
        <f t="array" ref="M4076">IFERROR(INDEX($I$2:$K$2,0,MATCH(TRUE,I4076:K4076,0)),E4076)</f>
        <v>NEW DSM</v>
      </c>
      <c r="O4076" t="str">
        <f t="shared" si="238"/>
        <v>NEW DSM_2026</v>
      </c>
      <c r="P4076">
        <f t="shared" si="239"/>
        <v>0.05</v>
      </c>
    </row>
    <row r="4077" spans="4:16" x14ac:dyDescent="0.25">
      <c r="D4077">
        <v>2027</v>
      </c>
      <c r="E4077" t="s">
        <v>127</v>
      </c>
      <c r="F4077" t="s">
        <v>443</v>
      </c>
      <c r="G4077">
        <v>0.05</v>
      </c>
      <c r="I4077">
        <f t="shared" si="240"/>
        <v>0</v>
      </c>
      <c r="J4077">
        <f t="shared" si="240"/>
        <v>0</v>
      </c>
      <c r="K4077">
        <f t="shared" si="240"/>
        <v>0</v>
      </c>
      <c r="M4077" t="str" cm="1">
        <f t="array" ref="M4077">IFERROR(INDEX($I$2:$K$2,0,MATCH(TRUE,I4077:K4077,0)),E4077)</f>
        <v>NEW DSM</v>
      </c>
      <c r="O4077" t="str">
        <f t="shared" si="238"/>
        <v>NEW DSM_2027</v>
      </c>
      <c r="P4077">
        <f t="shared" si="239"/>
        <v>0.05</v>
      </c>
    </row>
    <row r="4078" spans="4:16" x14ac:dyDescent="0.25">
      <c r="D4078">
        <v>2028</v>
      </c>
      <c r="E4078" t="s">
        <v>127</v>
      </c>
      <c r="F4078" t="s">
        <v>443</v>
      </c>
      <c r="G4078">
        <v>18988.55</v>
      </c>
      <c r="I4078">
        <f t="shared" si="240"/>
        <v>0</v>
      </c>
      <c r="J4078">
        <f t="shared" si="240"/>
        <v>0</v>
      </c>
      <c r="K4078">
        <f t="shared" si="240"/>
        <v>0</v>
      </c>
      <c r="M4078" t="str" cm="1">
        <f t="array" ref="M4078">IFERROR(INDEX($I$2:$K$2,0,MATCH(TRUE,I4078:K4078,0)),E4078)</f>
        <v>NEW DSM</v>
      </c>
      <c r="O4078" t="str">
        <f t="shared" si="238"/>
        <v>NEW DSM_2028</v>
      </c>
      <c r="P4078">
        <f t="shared" si="239"/>
        <v>18988.55</v>
      </c>
    </row>
    <row r="4079" spans="4:16" x14ac:dyDescent="0.25">
      <c r="D4079">
        <v>2029</v>
      </c>
      <c r="E4079" t="s">
        <v>127</v>
      </c>
      <c r="F4079" t="s">
        <v>443</v>
      </c>
      <c r="G4079">
        <v>18305.849999999999</v>
      </c>
      <c r="I4079">
        <f t="shared" si="240"/>
        <v>0</v>
      </c>
      <c r="J4079">
        <f t="shared" si="240"/>
        <v>0</v>
      </c>
      <c r="K4079">
        <f t="shared" si="240"/>
        <v>0</v>
      </c>
      <c r="M4079" t="str" cm="1">
        <f t="array" ref="M4079">IFERROR(INDEX($I$2:$K$2,0,MATCH(TRUE,I4079:K4079,0)),E4079)</f>
        <v>NEW DSM</v>
      </c>
      <c r="O4079" t="str">
        <f t="shared" si="238"/>
        <v>NEW DSM_2029</v>
      </c>
      <c r="P4079">
        <f t="shared" si="239"/>
        <v>18305.849999999999</v>
      </c>
    </row>
    <row r="4080" spans="4:16" x14ac:dyDescent="0.25">
      <c r="D4080">
        <v>2030</v>
      </c>
      <c r="E4080" t="s">
        <v>127</v>
      </c>
      <c r="F4080" t="s">
        <v>443</v>
      </c>
      <c r="G4080">
        <v>21114</v>
      </c>
      <c r="I4080">
        <f t="shared" si="240"/>
        <v>0</v>
      </c>
      <c r="J4080">
        <f t="shared" si="240"/>
        <v>0</v>
      </c>
      <c r="K4080">
        <f t="shared" si="240"/>
        <v>0</v>
      </c>
      <c r="M4080" t="str" cm="1">
        <f t="array" ref="M4080">IFERROR(INDEX($I$2:$K$2,0,MATCH(TRUE,I4080:K4080,0)),E4080)</f>
        <v>NEW DSM</v>
      </c>
      <c r="O4080" t="str">
        <f t="shared" si="238"/>
        <v>NEW DSM_2030</v>
      </c>
      <c r="P4080">
        <f t="shared" si="239"/>
        <v>21114</v>
      </c>
    </row>
    <row r="4081" spans="4:16" x14ac:dyDescent="0.25">
      <c r="D4081">
        <v>2031</v>
      </c>
      <c r="E4081" t="s">
        <v>127</v>
      </c>
      <c r="F4081" t="s">
        <v>443</v>
      </c>
      <c r="G4081">
        <v>22883.7</v>
      </c>
      <c r="I4081">
        <f t="shared" si="240"/>
        <v>0</v>
      </c>
      <c r="J4081">
        <f t="shared" si="240"/>
        <v>0</v>
      </c>
      <c r="K4081">
        <f t="shared" si="240"/>
        <v>0</v>
      </c>
      <c r="M4081" t="str" cm="1">
        <f t="array" ref="M4081">IFERROR(INDEX($I$2:$K$2,0,MATCH(TRUE,I4081:K4081,0)),E4081)</f>
        <v>NEW DSM</v>
      </c>
      <c r="O4081" t="str">
        <f t="shared" si="238"/>
        <v>NEW DSM_2031</v>
      </c>
      <c r="P4081">
        <f t="shared" si="239"/>
        <v>22883.7</v>
      </c>
    </row>
    <row r="4082" spans="4:16" x14ac:dyDescent="0.25">
      <c r="D4082">
        <v>2032</v>
      </c>
      <c r="E4082" t="s">
        <v>127</v>
      </c>
      <c r="F4082" t="s">
        <v>443</v>
      </c>
      <c r="G4082">
        <v>24404.35</v>
      </c>
      <c r="I4082">
        <f t="shared" si="240"/>
        <v>0</v>
      </c>
      <c r="J4082">
        <f t="shared" si="240"/>
        <v>0</v>
      </c>
      <c r="K4082">
        <f t="shared" si="240"/>
        <v>0</v>
      </c>
      <c r="M4082" t="str" cm="1">
        <f t="array" ref="M4082">IFERROR(INDEX($I$2:$K$2,0,MATCH(TRUE,I4082:K4082,0)),E4082)</f>
        <v>NEW DSM</v>
      </c>
      <c r="O4082" t="str">
        <f t="shared" si="238"/>
        <v>NEW DSM_2032</v>
      </c>
      <c r="P4082">
        <f t="shared" si="239"/>
        <v>24404.35</v>
      </c>
    </row>
    <row r="4083" spans="4:16" x14ac:dyDescent="0.25">
      <c r="D4083">
        <v>2033</v>
      </c>
      <c r="E4083" t="s">
        <v>127</v>
      </c>
      <c r="F4083" t="s">
        <v>443</v>
      </c>
      <c r="G4083">
        <v>25607.95</v>
      </c>
      <c r="I4083">
        <f t="shared" si="240"/>
        <v>0</v>
      </c>
      <c r="J4083">
        <f t="shared" si="240"/>
        <v>0</v>
      </c>
      <c r="K4083">
        <f t="shared" si="240"/>
        <v>0</v>
      </c>
      <c r="M4083" t="str" cm="1">
        <f t="array" ref="M4083">IFERROR(INDEX($I$2:$K$2,0,MATCH(TRUE,I4083:K4083,0)),E4083)</f>
        <v>NEW DSM</v>
      </c>
      <c r="O4083" t="str">
        <f t="shared" si="238"/>
        <v>NEW DSM_2033</v>
      </c>
      <c r="P4083">
        <f t="shared" si="239"/>
        <v>25607.95</v>
      </c>
    </row>
    <row r="4084" spans="4:16" x14ac:dyDescent="0.25">
      <c r="D4084">
        <v>2034</v>
      </c>
      <c r="E4084" t="s">
        <v>127</v>
      </c>
      <c r="F4084" t="s">
        <v>443</v>
      </c>
      <c r="G4084">
        <v>26232.2</v>
      </c>
      <c r="I4084">
        <f t="shared" si="240"/>
        <v>0</v>
      </c>
      <c r="J4084">
        <f t="shared" si="240"/>
        <v>0</v>
      </c>
      <c r="K4084">
        <f t="shared" si="240"/>
        <v>0</v>
      </c>
      <c r="M4084" t="str" cm="1">
        <f t="array" ref="M4084">IFERROR(INDEX($I$2:$K$2,0,MATCH(TRUE,I4084:K4084,0)),E4084)</f>
        <v>NEW DSM</v>
      </c>
      <c r="O4084" t="str">
        <f t="shared" si="238"/>
        <v>NEW DSM_2034</v>
      </c>
      <c r="P4084">
        <f t="shared" si="239"/>
        <v>26232.2</v>
      </c>
    </row>
    <row r="4085" spans="4:16" x14ac:dyDescent="0.25">
      <c r="D4085">
        <v>2035</v>
      </c>
      <c r="E4085" t="s">
        <v>127</v>
      </c>
      <c r="F4085" t="s">
        <v>443</v>
      </c>
      <c r="G4085">
        <v>24842.400000000001</v>
      </c>
      <c r="I4085">
        <f t="shared" si="240"/>
        <v>0</v>
      </c>
      <c r="J4085">
        <f t="shared" si="240"/>
        <v>0</v>
      </c>
      <c r="K4085">
        <f t="shared" si="240"/>
        <v>0</v>
      </c>
      <c r="M4085" t="str" cm="1">
        <f t="array" ref="M4085">IFERROR(INDEX($I$2:$K$2,0,MATCH(TRUE,I4085:K4085,0)),E4085)</f>
        <v>NEW DSM</v>
      </c>
      <c r="O4085" t="str">
        <f t="shared" si="238"/>
        <v>NEW DSM_2035</v>
      </c>
      <c r="P4085">
        <f t="shared" si="239"/>
        <v>24842.400000000001</v>
      </c>
    </row>
    <row r="4086" spans="4:16" x14ac:dyDescent="0.25">
      <c r="D4086">
        <v>2036</v>
      </c>
      <c r="E4086" t="s">
        <v>127</v>
      </c>
      <c r="F4086" t="s">
        <v>443</v>
      </c>
      <c r="G4086">
        <v>26554.45</v>
      </c>
      <c r="I4086">
        <f t="shared" si="240"/>
        <v>0</v>
      </c>
      <c r="J4086">
        <f t="shared" si="240"/>
        <v>0</v>
      </c>
      <c r="K4086">
        <f t="shared" si="240"/>
        <v>0</v>
      </c>
      <c r="M4086" t="str" cm="1">
        <f t="array" ref="M4086">IFERROR(INDEX($I$2:$K$2,0,MATCH(TRUE,I4086:K4086,0)),E4086)</f>
        <v>NEW DSM</v>
      </c>
      <c r="O4086" t="str">
        <f t="shared" si="238"/>
        <v>NEW DSM_2036</v>
      </c>
      <c r="P4086">
        <f t="shared" si="239"/>
        <v>26554.45</v>
      </c>
    </row>
    <row r="4087" spans="4:16" x14ac:dyDescent="0.25">
      <c r="D4087">
        <v>2037</v>
      </c>
      <c r="E4087" t="s">
        <v>127</v>
      </c>
      <c r="F4087" t="s">
        <v>443</v>
      </c>
      <c r="G4087">
        <v>26816.5</v>
      </c>
      <c r="I4087">
        <f t="shared" si="240"/>
        <v>0</v>
      </c>
      <c r="J4087">
        <f t="shared" si="240"/>
        <v>0</v>
      </c>
      <c r="K4087">
        <f t="shared" si="240"/>
        <v>0</v>
      </c>
      <c r="M4087" t="str" cm="1">
        <f t="array" ref="M4087">IFERROR(INDEX($I$2:$K$2,0,MATCH(TRUE,I4087:K4087,0)),E4087)</f>
        <v>NEW DSM</v>
      </c>
      <c r="O4087" t="str">
        <f t="shared" si="238"/>
        <v>NEW DSM_2037</v>
      </c>
      <c r="P4087">
        <f t="shared" si="239"/>
        <v>26816.5</v>
      </c>
    </row>
    <row r="4088" spans="4:16" x14ac:dyDescent="0.25">
      <c r="D4088">
        <v>2038</v>
      </c>
      <c r="E4088" t="s">
        <v>127</v>
      </c>
      <c r="F4088" t="s">
        <v>443</v>
      </c>
      <c r="G4088">
        <v>26047.599999999999</v>
      </c>
      <c r="I4088">
        <f t="shared" si="240"/>
        <v>0</v>
      </c>
      <c r="J4088">
        <f t="shared" si="240"/>
        <v>0</v>
      </c>
      <c r="K4088">
        <f t="shared" si="240"/>
        <v>0</v>
      </c>
      <c r="M4088" t="str" cm="1">
        <f t="array" ref="M4088">IFERROR(INDEX($I$2:$K$2,0,MATCH(TRUE,I4088:K4088,0)),E4088)</f>
        <v>NEW DSM</v>
      </c>
      <c r="O4088" t="str">
        <f t="shared" si="238"/>
        <v>NEW DSM_2038</v>
      </c>
      <c r="P4088">
        <f t="shared" si="239"/>
        <v>26047.599999999999</v>
      </c>
    </row>
    <row r="4089" spans="4:16" x14ac:dyDescent="0.25">
      <c r="D4089">
        <v>2039</v>
      </c>
      <c r="E4089" t="s">
        <v>127</v>
      </c>
      <c r="F4089" t="s">
        <v>443</v>
      </c>
      <c r="G4089">
        <v>28348.45</v>
      </c>
      <c r="I4089">
        <f t="shared" si="240"/>
        <v>0</v>
      </c>
      <c r="J4089">
        <f t="shared" si="240"/>
        <v>0</v>
      </c>
      <c r="K4089">
        <f t="shared" si="240"/>
        <v>0</v>
      </c>
      <c r="M4089" t="str" cm="1">
        <f t="array" ref="M4089">IFERROR(INDEX($I$2:$K$2,0,MATCH(TRUE,I4089:K4089,0)),E4089)</f>
        <v>NEW DSM</v>
      </c>
      <c r="O4089" t="str">
        <f t="shared" si="238"/>
        <v>NEW DSM_2039</v>
      </c>
      <c r="P4089">
        <f t="shared" si="239"/>
        <v>28348.45</v>
      </c>
    </row>
    <row r="4090" spans="4:16" x14ac:dyDescent="0.25">
      <c r="D4090">
        <v>2040</v>
      </c>
      <c r="E4090" t="s">
        <v>127</v>
      </c>
      <c r="F4090" t="s">
        <v>443</v>
      </c>
      <c r="G4090">
        <v>28718.6</v>
      </c>
      <c r="I4090">
        <f t="shared" si="240"/>
        <v>0</v>
      </c>
      <c r="J4090">
        <f t="shared" si="240"/>
        <v>0</v>
      </c>
      <c r="K4090">
        <f t="shared" si="240"/>
        <v>0</v>
      </c>
      <c r="M4090" t="str" cm="1">
        <f t="array" ref="M4090">IFERROR(INDEX($I$2:$K$2,0,MATCH(TRUE,I4090:K4090,0)),E4090)</f>
        <v>NEW DSM</v>
      </c>
      <c r="O4090" t="str">
        <f t="shared" si="238"/>
        <v>NEW DSM_2040</v>
      </c>
      <c r="P4090">
        <f t="shared" si="239"/>
        <v>28718.6</v>
      </c>
    </row>
    <row r="4091" spans="4:16" x14ac:dyDescent="0.25">
      <c r="D4091">
        <v>2024</v>
      </c>
      <c r="E4091" t="s">
        <v>128</v>
      </c>
      <c r="F4091" t="s">
        <v>444</v>
      </c>
      <c r="G4091">
        <v>0</v>
      </c>
      <c r="I4091">
        <f t="shared" si="240"/>
        <v>0</v>
      </c>
      <c r="J4091">
        <f t="shared" si="240"/>
        <v>0</v>
      </c>
      <c r="K4091">
        <f t="shared" si="240"/>
        <v>0</v>
      </c>
      <c r="M4091" t="str" cm="1">
        <f t="array" ref="M4091">IFERROR(INDEX($I$2:$K$2,0,MATCH(TRUE,I4091:K4091,0)),E4091)</f>
        <v>NEW Gas_CCGT</v>
      </c>
      <c r="O4091" t="str">
        <f t="shared" si="238"/>
        <v>NEW Gas_CCGT_2024</v>
      </c>
      <c r="P4091">
        <f t="shared" si="239"/>
        <v>0</v>
      </c>
    </row>
    <row r="4092" spans="4:16" x14ac:dyDescent="0.25">
      <c r="D4092">
        <v>2025</v>
      </c>
      <c r="E4092" t="s">
        <v>128</v>
      </c>
      <c r="F4092" t="s">
        <v>444</v>
      </c>
      <c r="G4092">
        <v>1.3240000000000001</v>
      </c>
      <c r="I4092">
        <f t="shared" si="240"/>
        <v>0</v>
      </c>
      <c r="J4092">
        <f t="shared" si="240"/>
        <v>0</v>
      </c>
      <c r="K4092">
        <f t="shared" si="240"/>
        <v>0</v>
      </c>
      <c r="M4092" t="str" cm="1">
        <f t="array" ref="M4092">IFERROR(INDEX($I$2:$K$2,0,MATCH(TRUE,I4092:K4092,0)),E4092)</f>
        <v>NEW Gas_CCGT</v>
      </c>
      <c r="O4092" t="str">
        <f t="shared" si="238"/>
        <v>NEW Gas_CCGT_2025</v>
      </c>
      <c r="P4092">
        <f t="shared" si="239"/>
        <v>1.3240000000000001</v>
      </c>
    </row>
    <row r="4093" spans="4:16" x14ac:dyDescent="0.25">
      <c r="D4093">
        <v>2026</v>
      </c>
      <c r="E4093" t="s">
        <v>128</v>
      </c>
      <c r="F4093" t="s">
        <v>444</v>
      </c>
      <c r="G4093">
        <v>1.3240000000000001</v>
      </c>
      <c r="I4093">
        <f t="shared" si="240"/>
        <v>0</v>
      </c>
      <c r="J4093">
        <f t="shared" si="240"/>
        <v>0</v>
      </c>
      <c r="K4093">
        <f t="shared" si="240"/>
        <v>0</v>
      </c>
      <c r="M4093" t="str" cm="1">
        <f t="array" ref="M4093">IFERROR(INDEX($I$2:$K$2,0,MATCH(TRUE,I4093:K4093,0)),E4093)</f>
        <v>NEW Gas_CCGT</v>
      </c>
      <c r="O4093" t="str">
        <f t="shared" si="238"/>
        <v>NEW Gas_CCGT_2026</v>
      </c>
      <c r="P4093">
        <f t="shared" si="239"/>
        <v>1.3240000000000001</v>
      </c>
    </row>
    <row r="4094" spans="4:16" x14ac:dyDescent="0.25">
      <c r="D4094">
        <v>2027</v>
      </c>
      <c r="E4094" t="s">
        <v>128</v>
      </c>
      <c r="F4094" t="s">
        <v>444</v>
      </c>
      <c r="G4094">
        <v>1.3240000000000001</v>
      </c>
      <c r="I4094">
        <f t="shared" si="240"/>
        <v>0</v>
      </c>
      <c r="J4094">
        <f t="shared" si="240"/>
        <v>0</v>
      </c>
      <c r="K4094">
        <f t="shared" si="240"/>
        <v>0</v>
      </c>
      <c r="M4094" t="str" cm="1">
        <f t="array" ref="M4094">IFERROR(INDEX($I$2:$K$2,0,MATCH(TRUE,I4094:K4094,0)),E4094)</f>
        <v>NEW Gas_CCGT</v>
      </c>
      <c r="O4094" t="str">
        <f t="shared" si="238"/>
        <v>NEW Gas_CCGT_2027</v>
      </c>
      <c r="P4094">
        <f t="shared" si="239"/>
        <v>1.3240000000000001</v>
      </c>
    </row>
    <row r="4095" spans="4:16" x14ac:dyDescent="0.25">
      <c r="D4095">
        <v>2028</v>
      </c>
      <c r="E4095" t="s">
        <v>128</v>
      </c>
      <c r="F4095" t="s">
        <v>444</v>
      </c>
      <c r="G4095">
        <v>1.3240000000000001</v>
      </c>
      <c r="I4095">
        <f t="shared" si="240"/>
        <v>0</v>
      </c>
      <c r="J4095">
        <f t="shared" si="240"/>
        <v>0</v>
      </c>
      <c r="K4095">
        <f t="shared" si="240"/>
        <v>0</v>
      </c>
      <c r="M4095" t="str" cm="1">
        <f t="array" ref="M4095">IFERROR(INDEX($I$2:$K$2,0,MATCH(TRUE,I4095:K4095,0)),E4095)</f>
        <v>NEW Gas_CCGT</v>
      </c>
      <c r="O4095" t="str">
        <f t="shared" si="238"/>
        <v>NEW Gas_CCGT_2028</v>
      </c>
      <c r="P4095">
        <f t="shared" si="239"/>
        <v>1.3240000000000001</v>
      </c>
    </row>
    <row r="4096" spans="4:16" x14ac:dyDescent="0.25">
      <c r="D4096">
        <v>2029</v>
      </c>
      <c r="E4096" t="s">
        <v>128</v>
      </c>
      <c r="F4096" t="s">
        <v>444</v>
      </c>
      <c r="G4096">
        <v>1.3240000000000001</v>
      </c>
      <c r="I4096">
        <f t="shared" si="240"/>
        <v>0</v>
      </c>
      <c r="J4096">
        <f t="shared" si="240"/>
        <v>0</v>
      </c>
      <c r="K4096">
        <f t="shared" si="240"/>
        <v>0</v>
      </c>
      <c r="M4096" t="str" cm="1">
        <f t="array" ref="M4096">IFERROR(INDEX($I$2:$K$2,0,MATCH(TRUE,I4096:K4096,0)),E4096)</f>
        <v>NEW Gas_CCGT</v>
      </c>
      <c r="O4096" t="str">
        <f t="shared" si="238"/>
        <v>NEW Gas_CCGT_2029</v>
      </c>
      <c r="P4096">
        <f t="shared" si="239"/>
        <v>1.3240000000000001</v>
      </c>
    </row>
    <row r="4097" spans="4:16" x14ac:dyDescent="0.25">
      <c r="D4097">
        <v>2030</v>
      </c>
      <c r="E4097" t="s">
        <v>128</v>
      </c>
      <c r="F4097" t="s">
        <v>444</v>
      </c>
      <c r="G4097">
        <v>1.3240000000000001</v>
      </c>
      <c r="I4097">
        <f t="shared" si="240"/>
        <v>0</v>
      </c>
      <c r="J4097">
        <f t="shared" si="240"/>
        <v>0</v>
      </c>
      <c r="K4097">
        <f t="shared" si="240"/>
        <v>0</v>
      </c>
      <c r="M4097" t="str" cm="1">
        <f t="array" ref="M4097">IFERROR(INDEX($I$2:$K$2,0,MATCH(TRUE,I4097:K4097,0)),E4097)</f>
        <v>NEW Gas_CCGT</v>
      </c>
      <c r="O4097" t="str">
        <f t="shared" si="238"/>
        <v>NEW Gas_CCGT_2030</v>
      </c>
      <c r="P4097">
        <f t="shared" si="239"/>
        <v>1.3240000000000001</v>
      </c>
    </row>
    <row r="4098" spans="4:16" x14ac:dyDescent="0.25">
      <c r="D4098">
        <v>2031</v>
      </c>
      <c r="E4098" t="s">
        <v>128</v>
      </c>
      <c r="F4098" t="s">
        <v>444</v>
      </c>
      <c r="G4098">
        <v>1.3240000000000001</v>
      </c>
      <c r="I4098">
        <f t="shared" si="240"/>
        <v>0</v>
      </c>
      <c r="J4098">
        <f t="shared" si="240"/>
        <v>0</v>
      </c>
      <c r="K4098">
        <f t="shared" si="240"/>
        <v>0</v>
      </c>
      <c r="M4098" t="str" cm="1">
        <f t="array" ref="M4098">IFERROR(INDEX($I$2:$K$2,0,MATCH(TRUE,I4098:K4098,0)),E4098)</f>
        <v>NEW Gas_CCGT</v>
      </c>
      <c r="O4098" t="str">
        <f t="shared" si="238"/>
        <v>NEW Gas_CCGT_2031</v>
      </c>
      <c r="P4098">
        <f t="shared" si="239"/>
        <v>1.3240000000000001</v>
      </c>
    </row>
    <row r="4099" spans="4:16" x14ac:dyDescent="0.25">
      <c r="D4099">
        <v>2032</v>
      </c>
      <c r="E4099" t="s">
        <v>128</v>
      </c>
      <c r="F4099" t="s">
        <v>444</v>
      </c>
      <c r="G4099">
        <v>1.3240000000000001</v>
      </c>
      <c r="I4099">
        <f t="shared" si="240"/>
        <v>0</v>
      </c>
      <c r="J4099">
        <f t="shared" si="240"/>
        <v>0</v>
      </c>
      <c r="K4099">
        <f t="shared" si="240"/>
        <v>0</v>
      </c>
      <c r="M4099" t="str" cm="1">
        <f t="array" ref="M4099">IFERROR(INDEX($I$2:$K$2,0,MATCH(TRUE,I4099:K4099,0)),E4099)</f>
        <v>NEW Gas_CCGT</v>
      </c>
      <c r="O4099" t="str">
        <f t="shared" si="238"/>
        <v>NEW Gas_CCGT_2032</v>
      </c>
      <c r="P4099">
        <f t="shared" si="239"/>
        <v>1.3240000000000001</v>
      </c>
    </row>
    <row r="4100" spans="4:16" x14ac:dyDescent="0.25">
      <c r="D4100">
        <v>2033</v>
      </c>
      <c r="E4100" t="s">
        <v>128</v>
      </c>
      <c r="F4100" t="s">
        <v>444</v>
      </c>
      <c r="G4100">
        <v>1.3240000000000001</v>
      </c>
      <c r="I4100">
        <f t="shared" si="240"/>
        <v>0</v>
      </c>
      <c r="J4100">
        <f t="shared" si="240"/>
        <v>0</v>
      </c>
      <c r="K4100">
        <f t="shared" si="240"/>
        <v>0</v>
      </c>
      <c r="M4100" t="str" cm="1">
        <f t="array" ref="M4100">IFERROR(INDEX($I$2:$K$2,0,MATCH(TRUE,I4100:K4100,0)),E4100)</f>
        <v>NEW Gas_CCGT</v>
      </c>
      <c r="O4100" t="str">
        <f t="shared" si="238"/>
        <v>NEW Gas_CCGT_2033</v>
      </c>
      <c r="P4100">
        <f t="shared" si="239"/>
        <v>1.3240000000000001</v>
      </c>
    </row>
    <row r="4101" spans="4:16" x14ac:dyDescent="0.25">
      <c r="D4101">
        <v>2034</v>
      </c>
      <c r="E4101" t="s">
        <v>128</v>
      </c>
      <c r="F4101" t="s">
        <v>444</v>
      </c>
      <c r="G4101">
        <v>1.3240000000000001</v>
      </c>
      <c r="I4101">
        <f t="shared" si="240"/>
        <v>0</v>
      </c>
      <c r="J4101">
        <f t="shared" si="240"/>
        <v>0</v>
      </c>
      <c r="K4101">
        <f t="shared" si="240"/>
        <v>0</v>
      </c>
      <c r="M4101" t="str" cm="1">
        <f t="array" ref="M4101">IFERROR(INDEX($I$2:$K$2,0,MATCH(TRUE,I4101:K4101,0)),E4101)</f>
        <v>NEW Gas_CCGT</v>
      </c>
      <c r="O4101" t="str">
        <f t="shared" si="238"/>
        <v>NEW Gas_CCGT_2034</v>
      </c>
      <c r="P4101">
        <f t="shared" si="239"/>
        <v>1.3240000000000001</v>
      </c>
    </row>
    <row r="4102" spans="4:16" x14ac:dyDescent="0.25">
      <c r="D4102">
        <v>2035</v>
      </c>
      <c r="E4102" t="s">
        <v>128</v>
      </c>
      <c r="F4102" t="s">
        <v>444</v>
      </c>
      <c r="G4102">
        <v>1.3240000000000001</v>
      </c>
      <c r="I4102">
        <f t="shared" si="240"/>
        <v>0</v>
      </c>
      <c r="J4102">
        <f t="shared" si="240"/>
        <v>0</v>
      </c>
      <c r="K4102">
        <f t="shared" si="240"/>
        <v>0</v>
      </c>
      <c r="M4102" t="str" cm="1">
        <f t="array" ref="M4102">IFERROR(INDEX($I$2:$K$2,0,MATCH(TRUE,I4102:K4102,0)),E4102)</f>
        <v>NEW Gas_CCGT</v>
      </c>
      <c r="O4102" t="str">
        <f t="shared" si="238"/>
        <v>NEW Gas_CCGT_2035</v>
      </c>
      <c r="P4102">
        <f t="shared" si="239"/>
        <v>1.3240000000000001</v>
      </c>
    </row>
    <row r="4103" spans="4:16" x14ac:dyDescent="0.25">
      <c r="D4103">
        <v>2036</v>
      </c>
      <c r="E4103" t="s">
        <v>128</v>
      </c>
      <c r="F4103" t="s">
        <v>444</v>
      </c>
      <c r="G4103">
        <v>1.3240000000000001</v>
      </c>
      <c r="I4103">
        <f t="shared" si="240"/>
        <v>0</v>
      </c>
      <c r="J4103">
        <f t="shared" si="240"/>
        <v>0</v>
      </c>
      <c r="K4103">
        <f t="shared" si="240"/>
        <v>0</v>
      </c>
      <c r="M4103" t="str" cm="1">
        <f t="array" ref="M4103">IFERROR(INDEX($I$2:$K$2,0,MATCH(TRUE,I4103:K4103,0)),E4103)</f>
        <v>NEW Gas_CCGT</v>
      </c>
      <c r="O4103" t="str">
        <f t="shared" si="238"/>
        <v>NEW Gas_CCGT_2036</v>
      </c>
      <c r="P4103">
        <f t="shared" si="239"/>
        <v>1.3240000000000001</v>
      </c>
    </row>
    <row r="4104" spans="4:16" x14ac:dyDescent="0.25">
      <c r="D4104">
        <v>2037</v>
      </c>
      <c r="E4104" t="s">
        <v>128</v>
      </c>
      <c r="F4104" t="s">
        <v>444</v>
      </c>
      <c r="G4104">
        <v>1.3240000000000001</v>
      </c>
      <c r="I4104">
        <f t="shared" si="240"/>
        <v>0</v>
      </c>
      <c r="J4104">
        <f t="shared" si="240"/>
        <v>0</v>
      </c>
      <c r="K4104">
        <f t="shared" si="240"/>
        <v>0</v>
      </c>
      <c r="M4104" t="str" cm="1">
        <f t="array" ref="M4104">IFERROR(INDEX($I$2:$K$2,0,MATCH(TRUE,I4104:K4104,0)),E4104)</f>
        <v>NEW Gas_CCGT</v>
      </c>
      <c r="O4104" t="str">
        <f t="shared" si="238"/>
        <v>NEW Gas_CCGT_2037</v>
      </c>
      <c r="P4104">
        <f t="shared" si="239"/>
        <v>1.3240000000000001</v>
      </c>
    </row>
    <row r="4105" spans="4:16" x14ac:dyDescent="0.25">
      <c r="D4105">
        <v>2038</v>
      </c>
      <c r="E4105" t="s">
        <v>128</v>
      </c>
      <c r="F4105" t="s">
        <v>444</v>
      </c>
      <c r="G4105">
        <v>1.3240000000000001</v>
      </c>
      <c r="I4105">
        <f t="shared" si="240"/>
        <v>0</v>
      </c>
      <c r="J4105">
        <f t="shared" si="240"/>
        <v>0</v>
      </c>
      <c r="K4105">
        <f t="shared" si="240"/>
        <v>0</v>
      </c>
      <c r="M4105" t="str" cm="1">
        <f t="array" ref="M4105">IFERROR(INDEX($I$2:$K$2,0,MATCH(TRUE,I4105:K4105,0)),E4105)</f>
        <v>NEW Gas_CCGT</v>
      </c>
      <c r="O4105" t="str">
        <f t="shared" si="238"/>
        <v>NEW Gas_CCGT_2038</v>
      </c>
      <c r="P4105">
        <f t="shared" si="239"/>
        <v>1.3240000000000001</v>
      </c>
    </row>
    <row r="4106" spans="4:16" x14ac:dyDescent="0.25">
      <c r="D4106">
        <v>2039</v>
      </c>
      <c r="E4106" t="s">
        <v>128</v>
      </c>
      <c r="F4106" t="s">
        <v>444</v>
      </c>
      <c r="G4106">
        <v>1.3240000000000001</v>
      </c>
      <c r="I4106">
        <f t="shared" si="240"/>
        <v>0</v>
      </c>
      <c r="J4106">
        <f t="shared" si="240"/>
        <v>0</v>
      </c>
      <c r="K4106">
        <f t="shared" si="240"/>
        <v>0</v>
      </c>
      <c r="M4106" t="str" cm="1">
        <f t="array" ref="M4106">IFERROR(INDEX($I$2:$K$2,0,MATCH(TRUE,I4106:K4106,0)),E4106)</f>
        <v>NEW Gas_CCGT</v>
      </c>
      <c r="O4106" t="str">
        <f t="shared" si="238"/>
        <v>NEW Gas_CCGT_2039</v>
      </c>
      <c r="P4106">
        <f t="shared" si="239"/>
        <v>1.3240000000000001</v>
      </c>
    </row>
    <row r="4107" spans="4:16" x14ac:dyDescent="0.25">
      <c r="D4107">
        <v>2040</v>
      </c>
      <c r="E4107" t="s">
        <v>128</v>
      </c>
      <c r="F4107" t="s">
        <v>444</v>
      </c>
      <c r="G4107">
        <v>1.3240000000000001</v>
      </c>
      <c r="I4107">
        <f t="shared" si="240"/>
        <v>0</v>
      </c>
      <c r="J4107">
        <f t="shared" si="240"/>
        <v>0</v>
      </c>
      <c r="K4107">
        <f t="shared" si="240"/>
        <v>0</v>
      </c>
      <c r="M4107" t="str" cm="1">
        <f t="array" ref="M4107">IFERROR(INDEX($I$2:$K$2,0,MATCH(TRUE,I4107:K4107,0)),E4107)</f>
        <v>NEW Gas_CCGT</v>
      </c>
      <c r="O4107" t="str">
        <f t="shared" si="238"/>
        <v>NEW Gas_CCGT_2040</v>
      </c>
      <c r="P4107">
        <f t="shared" si="239"/>
        <v>1.3240000000000001</v>
      </c>
    </row>
    <row r="4108" spans="4:16" x14ac:dyDescent="0.25">
      <c r="D4108">
        <v>2024</v>
      </c>
      <c r="E4108" t="s">
        <v>128</v>
      </c>
      <c r="F4108" t="s">
        <v>445</v>
      </c>
      <c r="G4108">
        <v>0</v>
      </c>
      <c r="I4108">
        <f t="shared" si="240"/>
        <v>0</v>
      </c>
      <c r="J4108">
        <f t="shared" si="240"/>
        <v>0</v>
      </c>
      <c r="K4108">
        <f t="shared" si="240"/>
        <v>0</v>
      </c>
      <c r="M4108" t="str" cm="1">
        <f t="array" ref="M4108">IFERROR(INDEX($I$2:$K$2,0,MATCH(TRUE,I4108:K4108,0)),E4108)</f>
        <v>NEW Gas_CCGT</v>
      </c>
      <c r="O4108" t="str">
        <f t="shared" si="238"/>
        <v>NEW Gas_CCGT_2024</v>
      </c>
      <c r="P4108">
        <f t="shared" si="239"/>
        <v>0</v>
      </c>
    </row>
    <row r="4109" spans="4:16" x14ac:dyDescent="0.25">
      <c r="D4109">
        <v>2025</v>
      </c>
      <c r="E4109" t="s">
        <v>128</v>
      </c>
      <c r="F4109" t="s">
        <v>445</v>
      </c>
      <c r="G4109">
        <v>1.3240000000000001</v>
      </c>
      <c r="I4109">
        <f t="shared" si="240"/>
        <v>0</v>
      </c>
      <c r="J4109">
        <f t="shared" si="240"/>
        <v>0</v>
      </c>
      <c r="K4109">
        <f t="shared" si="240"/>
        <v>0</v>
      </c>
      <c r="M4109" t="str" cm="1">
        <f t="array" ref="M4109">IFERROR(INDEX($I$2:$K$2,0,MATCH(TRUE,I4109:K4109,0)),E4109)</f>
        <v>NEW Gas_CCGT</v>
      </c>
      <c r="O4109" t="str">
        <f t="shared" si="238"/>
        <v>NEW Gas_CCGT_2025</v>
      </c>
      <c r="P4109">
        <f t="shared" si="239"/>
        <v>1.3240000000000001</v>
      </c>
    </row>
    <row r="4110" spans="4:16" x14ac:dyDescent="0.25">
      <c r="D4110">
        <v>2026</v>
      </c>
      <c r="E4110" t="s">
        <v>128</v>
      </c>
      <c r="F4110" t="s">
        <v>445</v>
      </c>
      <c r="G4110">
        <v>1.3240000000000001</v>
      </c>
      <c r="I4110">
        <f t="shared" si="240"/>
        <v>0</v>
      </c>
      <c r="J4110">
        <f t="shared" si="240"/>
        <v>0</v>
      </c>
      <c r="K4110">
        <f t="shared" si="240"/>
        <v>0</v>
      </c>
      <c r="M4110" t="str" cm="1">
        <f t="array" ref="M4110">IFERROR(INDEX($I$2:$K$2,0,MATCH(TRUE,I4110:K4110,0)),E4110)</f>
        <v>NEW Gas_CCGT</v>
      </c>
      <c r="O4110" t="str">
        <f t="shared" si="238"/>
        <v>NEW Gas_CCGT_2026</v>
      </c>
      <c r="P4110">
        <f t="shared" si="239"/>
        <v>1.3240000000000001</v>
      </c>
    </row>
    <row r="4111" spans="4:16" x14ac:dyDescent="0.25">
      <c r="D4111">
        <v>2027</v>
      </c>
      <c r="E4111" t="s">
        <v>128</v>
      </c>
      <c r="F4111" t="s">
        <v>445</v>
      </c>
      <c r="G4111">
        <v>1.3240000000000001</v>
      </c>
      <c r="I4111">
        <f t="shared" si="240"/>
        <v>0</v>
      </c>
      <c r="J4111">
        <f t="shared" si="240"/>
        <v>0</v>
      </c>
      <c r="K4111">
        <f t="shared" si="240"/>
        <v>0</v>
      </c>
      <c r="M4111" t="str" cm="1">
        <f t="array" ref="M4111">IFERROR(INDEX($I$2:$K$2,0,MATCH(TRUE,I4111:K4111,0)),E4111)</f>
        <v>NEW Gas_CCGT</v>
      </c>
      <c r="O4111" t="str">
        <f t="shared" si="238"/>
        <v>NEW Gas_CCGT_2027</v>
      </c>
      <c r="P4111">
        <f t="shared" si="239"/>
        <v>1.3240000000000001</v>
      </c>
    </row>
    <row r="4112" spans="4:16" x14ac:dyDescent="0.25">
      <c r="D4112">
        <v>2028</v>
      </c>
      <c r="E4112" t="s">
        <v>128</v>
      </c>
      <c r="F4112" t="s">
        <v>445</v>
      </c>
      <c r="G4112">
        <v>1.3240000000000001</v>
      </c>
      <c r="I4112">
        <f t="shared" si="240"/>
        <v>0</v>
      </c>
      <c r="J4112">
        <f t="shared" si="240"/>
        <v>0</v>
      </c>
      <c r="K4112">
        <f t="shared" si="240"/>
        <v>0</v>
      </c>
      <c r="M4112" t="str" cm="1">
        <f t="array" ref="M4112">IFERROR(INDEX($I$2:$K$2,0,MATCH(TRUE,I4112:K4112,0)),E4112)</f>
        <v>NEW Gas_CCGT</v>
      </c>
      <c r="O4112" t="str">
        <f t="shared" si="238"/>
        <v>NEW Gas_CCGT_2028</v>
      </c>
      <c r="P4112">
        <f t="shared" si="239"/>
        <v>1.3240000000000001</v>
      </c>
    </row>
    <row r="4113" spans="4:16" x14ac:dyDescent="0.25">
      <c r="D4113">
        <v>2029</v>
      </c>
      <c r="E4113" t="s">
        <v>128</v>
      </c>
      <c r="F4113" t="s">
        <v>445</v>
      </c>
      <c r="G4113">
        <v>1.3240000000000001</v>
      </c>
      <c r="I4113">
        <f t="shared" si="240"/>
        <v>0</v>
      </c>
      <c r="J4113">
        <f t="shared" si="240"/>
        <v>0</v>
      </c>
      <c r="K4113">
        <f t="shared" si="240"/>
        <v>0</v>
      </c>
      <c r="M4113" t="str" cm="1">
        <f t="array" ref="M4113">IFERROR(INDEX($I$2:$K$2,0,MATCH(TRUE,I4113:K4113,0)),E4113)</f>
        <v>NEW Gas_CCGT</v>
      </c>
      <c r="O4113" t="str">
        <f t="shared" si="238"/>
        <v>NEW Gas_CCGT_2029</v>
      </c>
      <c r="P4113">
        <f t="shared" si="239"/>
        <v>1.3240000000000001</v>
      </c>
    </row>
    <row r="4114" spans="4:16" x14ac:dyDescent="0.25">
      <c r="D4114">
        <v>2030</v>
      </c>
      <c r="E4114" t="s">
        <v>128</v>
      </c>
      <c r="F4114" t="s">
        <v>445</v>
      </c>
      <c r="G4114">
        <v>1.3240000000000001</v>
      </c>
      <c r="I4114">
        <f t="shared" si="240"/>
        <v>0</v>
      </c>
      <c r="J4114">
        <f t="shared" si="240"/>
        <v>0</v>
      </c>
      <c r="K4114">
        <f t="shared" si="240"/>
        <v>0</v>
      </c>
      <c r="M4114" t="str" cm="1">
        <f t="array" ref="M4114">IFERROR(INDEX($I$2:$K$2,0,MATCH(TRUE,I4114:K4114,0)),E4114)</f>
        <v>NEW Gas_CCGT</v>
      </c>
      <c r="O4114" t="str">
        <f t="shared" si="238"/>
        <v>NEW Gas_CCGT_2030</v>
      </c>
      <c r="P4114">
        <f t="shared" si="239"/>
        <v>1.3240000000000001</v>
      </c>
    </row>
    <row r="4115" spans="4:16" x14ac:dyDescent="0.25">
      <c r="D4115">
        <v>2031</v>
      </c>
      <c r="E4115" t="s">
        <v>128</v>
      </c>
      <c r="F4115" t="s">
        <v>445</v>
      </c>
      <c r="G4115">
        <v>1.3240000000000001</v>
      </c>
      <c r="I4115">
        <f t="shared" si="240"/>
        <v>0</v>
      </c>
      <c r="J4115">
        <f t="shared" si="240"/>
        <v>0</v>
      </c>
      <c r="K4115">
        <f t="shared" si="240"/>
        <v>0</v>
      </c>
      <c r="M4115" t="str" cm="1">
        <f t="array" ref="M4115">IFERROR(INDEX($I$2:$K$2,0,MATCH(TRUE,I4115:K4115,0)),E4115)</f>
        <v>NEW Gas_CCGT</v>
      </c>
      <c r="O4115" t="str">
        <f t="shared" ref="O4115:O4178" si="241">M4115&amp;"_"&amp;D4115</f>
        <v>NEW Gas_CCGT_2031</v>
      </c>
      <c r="P4115">
        <f t="shared" ref="P4115:P4178" si="242">G4115</f>
        <v>1.3240000000000001</v>
      </c>
    </row>
    <row r="4116" spans="4:16" x14ac:dyDescent="0.25">
      <c r="D4116">
        <v>2032</v>
      </c>
      <c r="E4116" t="s">
        <v>128</v>
      </c>
      <c r="F4116" t="s">
        <v>445</v>
      </c>
      <c r="G4116">
        <v>1.3240000000000001</v>
      </c>
      <c r="I4116">
        <f t="shared" si="240"/>
        <v>0</v>
      </c>
      <c r="J4116">
        <f t="shared" si="240"/>
        <v>0</v>
      </c>
      <c r="K4116">
        <f t="shared" si="240"/>
        <v>0</v>
      </c>
      <c r="M4116" t="str" cm="1">
        <f t="array" ref="M4116">IFERROR(INDEX($I$2:$K$2,0,MATCH(TRUE,I4116:K4116,0)),E4116)</f>
        <v>NEW Gas_CCGT</v>
      </c>
      <c r="O4116" t="str">
        <f t="shared" si="241"/>
        <v>NEW Gas_CCGT_2032</v>
      </c>
      <c r="P4116">
        <f t="shared" si="242"/>
        <v>1.3240000000000001</v>
      </c>
    </row>
    <row r="4117" spans="4:16" x14ac:dyDescent="0.25">
      <c r="D4117">
        <v>2033</v>
      </c>
      <c r="E4117" t="s">
        <v>128</v>
      </c>
      <c r="F4117" t="s">
        <v>445</v>
      </c>
      <c r="G4117">
        <v>1.3240000000000001</v>
      </c>
      <c r="I4117">
        <f t="shared" ref="I4117:K4180" si="243">IFERROR(FIND(I$2,$E4117,1)&gt;0,0)</f>
        <v>0</v>
      </c>
      <c r="J4117">
        <f t="shared" si="243"/>
        <v>0</v>
      </c>
      <c r="K4117">
        <f t="shared" si="243"/>
        <v>0</v>
      </c>
      <c r="M4117" t="str" cm="1">
        <f t="array" ref="M4117">IFERROR(INDEX($I$2:$K$2,0,MATCH(TRUE,I4117:K4117,0)),E4117)</f>
        <v>NEW Gas_CCGT</v>
      </c>
      <c r="O4117" t="str">
        <f t="shared" si="241"/>
        <v>NEW Gas_CCGT_2033</v>
      </c>
      <c r="P4117">
        <f t="shared" si="242"/>
        <v>1.3240000000000001</v>
      </c>
    </row>
    <row r="4118" spans="4:16" x14ac:dyDescent="0.25">
      <c r="D4118">
        <v>2034</v>
      </c>
      <c r="E4118" t="s">
        <v>128</v>
      </c>
      <c r="F4118" t="s">
        <v>445</v>
      </c>
      <c r="G4118">
        <v>1.3240000000000001</v>
      </c>
      <c r="I4118">
        <f t="shared" si="243"/>
        <v>0</v>
      </c>
      <c r="J4118">
        <f t="shared" si="243"/>
        <v>0</v>
      </c>
      <c r="K4118">
        <f t="shared" si="243"/>
        <v>0</v>
      </c>
      <c r="M4118" t="str" cm="1">
        <f t="array" ref="M4118">IFERROR(INDEX($I$2:$K$2,0,MATCH(TRUE,I4118:K4118,0)),E4118)</f>
        <v>NEW Gas_CCGT</v>
      </c>
      <c r="O4118" t="str">
        <f t="shared" si="241"/>
        <v>NEW Gas_CCGT_2034</v>
      </c>
      <c r="P4118">
        <f t="shared" si="242"/>
        <v>1.3240000000000001</v>
      </c>
    </row>
    <row r="4119" spans="4:16" x14ac:dyDescent="0.25">
      <c r="D4119">
        <v>2035</v>
      </c>
      <c r="E4119" t="s">
        <v>128</v>
      </c>
      <c r="F4119" t="s">
        <v>445</v>
      </c>
      <c r="G4119">
        <v>1.3240000000000001</v>
      </c>
      <c r="I4119">
        <f t="shared" si="243"/>
        <v>0</v>
      </c>
      <c r="J4119">
        <f t="shared" si="243"/>
        <v>0</v>
      </c>
      <c r="K4119">
        <f t="shared" si="243"/>
        <v>0</v>
      </c>
      <c r="M4119" t="str" cm="1">
        <f t="array" ref="M4119">IFERROR(INDEX($I$2:$K$2,0,MATCH(TRUE,I4119:K4119,0)),E4119)</f>
        <v>NEW Gas_CCGT</v>
      </c>
      <c r="O4119" t="str">
        <f t="shared" si="241"/>
        <v>NEW Gas_CCGT_2035</v>
      </c>
      <c r="P4119">
        <f t="shared" si="242"/>
        <v>1.3240000000000001</v>
      </c>
    </row>
    <row r="4120" spans="4:16" x14ac:dyDescent="0.25">
      <c r="D4120">
        <v>2036</v>
      </c>
      <c r="E4120" t="s">
        <v>128</v>
      </c>
      <c r="F4120" t="s">
        <v>445</v>
      </c>
      <c r="G4120">
        <v>1.3240000000000001</v>
      </c>
      <c r="I4120">
        <f t="shared" si="243"/>
        <v>0</v>
      </c>
      <c r="J4120">
        <f t="shared" si="243"/>
        <v>0</v>
      </c>
      <c r="K4120">
        <f t="shared" si="243"/>
        <v>0</v>
      </c>
      <c r="M4120" t="str" cm="1">
        <f t="array" ref="M4120">IFERROR(INDEX($I$2:$K$2,0,MATCH(TRUE,I4120:K4120,0)),E4120)</f>
        <v>NEW Gas_CCGT</v>
      </c>
      <c r="O4120" t="str">
        <f t="shared" si="241"/>
        <v>NEW Gas_CCGT_2036</v>
      </c>
      <c r="P4120">
        <f t="shared" si="242"/>
        <v>1.3240000000000001</v>
      </c>
    </row>
    <row r="4121" spans="4:16" x14ac:dyDescent="0.25">
      <c r="D4121">
        <v>2037</v>
      </c>
      <c r="E4121" t="s">
        <v>128</v>
      </c>
      <c r="F4121" t="s">
        <v>445</v>
      </c>
      <c r="G4121">
        <v>1.3240000000000001</v>
      </c>
      <c r="I4121">
        <f t="shared" si="243"/>
        <v>0</v>
      </c>
      <c r="J4121">
        <f t="shared" si="243"/>
        <v>0</v>
      </c>
      <c r="K4121">
        <f t="shared" si="243"/>
        <v>0</v>
      </c>
      <c r="M4121" t="str" cm="1">
        <f t="array" ref="M4121">IFERROR(INDEX($I$2:$K$2,0,MATCH(TRUE,I4121:K4121,0)),E4121)</f>
        <v>NEW Gas_CCGT</v>
      </c>
      <c r="O4121" t="str">
        <f t="shared" si="241"/>
        <v>NEW Gas_CCGT_2037</v>
      </c>
      <c r="P4121">
        <f t="shared" si="242"/>
        <v>1.3240000000000001</v>
      </c>
    </row>
    <row r="4122" spans="4:16" x14ac:dyDescent="0.25">
      <c r="D4122">
        <v>2038</v>
      </c>
      <c r="E4122" t="s">
        <v>128</v>
      </c>
      <c r="F4122" t="s">
        <v>445</v>
      </c>
      <c r="G4122">
        <v>1.3240000000000001</v>
      </c>
      <c r="I4122">
        <f t="shared" si="243"/>
        <v>0</v>
      </c>
      <c r="J4122">
        <f t="shared" si="243"/>
        <v>0</v>
      </c>
      <c r="K4122">
        <f t="shared" si="243"/>
        <v>0</v>
      </c>
      <c r="M4122" t="str" cm="1">
        <f t="array" ref="M4122">IFERROR(INDEX($I$2:$K$2,0,MATCH(TRUE,I4122:K4122,0)),E4122)</f>
        <v>NEW Gas_CCGT</v>
      </c>
      <c r="O4122" t="str">
        <f t="shared" si="241"/>
        <v>NEW Gas_CCGT_2038</v>
      </c>
      <c r="P4122">
        <f t="shared" si="242"/>
        <v>1.3240000000000001</v>
      </c>
    </row>
    <row r="4123" spans="4:16" x14ac:dyDescent="0.25">
      <c r="D4123">
        <v>2039</v>
      </c>
      <c r="E4123" t="s">
        <v>128</v>
      </c>
      <c r="F4123" t="s">
        <v>445</v>
      </c>
      <c r="G4123">
        <v>1.3240000000000001</v>
      </c>
      <c r="I4123">
        <f t="shared" si="243"/>
        <v>0</v>
      </c>
      <c r="J4123">
        <f t="shared" si="243"/>
        <v>0</v>
      </c>
      <c r="K4123">
        <f t="shared" si="243"/>
        <v>0</v>
      </c>
      <c r="M4123" t="str" cm="1">
        <f t="array" ref="M4123">IFERROR(INDEX($I$2:$K$2,0,MATCH(TRUE,I4123:K4123,0)),E4123)</f>
        <v>NEW Gas_CCGT</v>
      </c>
      <c r="O4123" t="str">
        <f t="shared" si="241"/>
        <v>NEW Gas_CCGT_2039</v>
      </c>
      <c r="P4123">
        <f t="shared" si="242"/>
        <v>1.3240000000000001</v>
      </c>
    </row>
    <row r="4124" spans="4:16" x14ac:dyDescent="0.25">
      <c r="D4124">
        <v>2040</v>
      </c>
      <c r="E4124" t="s">
        <v>128</v>
      </c>
      <c r="F4124" t="s">
        <v>445</v>
      </c>
      <c r="G4124">
        <v>1.3240000000000001</v>
      </c>
      <c r="I4124">
        <f t="shared" si="243"/>
        <v>0</v>
      </c>
      <c r="J4124">
        <f t="shared" si="243"/>
        <v>0</v>
      </c>
      <c r="K4124">
        <f t="shared" si="243"/>
        <v>0</v>
      </c>
      <c r="M4124" t="str" cm="1">
        <f t="array" ref="M4124">IFERROR(INDEX($I$2:$K$2,0,MATCH(TRUE,I4124:K4124,0)),E4124)</f>
        <v>NEW Gas_CCGT</v>
      </c>
      <c r="O4124" t="str">
        <f t="shared" si="241"/>
        <v>NEW Gas_CCGT_2040</v>
      </c>
      <c r="P4124">
        <f t="shared" si="242"/>
        <v>1.3240000000000001</v>
      </c>
    </row>
    <row r="4125" spans="4:16" x14ac:dyDescent="0.25">
      <c r="D4125">
        <v>2024</v>
      </c>
      <c r="E4125" t="s">
        <v>128</v>
      </c>
      <c r="F4125" t="s">
        <v>446</v>
      </c>
      <c r="G4125">
        <v>0</v>
      </c>
      <c r="I4125">
        <f t="shared" si="243"/>
        <v>0</v>
      </c>
      <c r="J4125">
        <f t="shared" si="243"/>
        <v>0</v>
      </c>
      <c r="K4125">
        <f t="shared" si="243"/>
        <v>0</v>
      </c>
      <c r="M4125" t="str" cm="1">
        <f t="array" ref="M4125">IFERROR(INDEX($I$2:$K$2,0,MATCH(TRUE,I4125:K4125,0)),E4125)</f>
        <v>NEW Gas_CCGT</v>
      </c>
      <c r="O4125" t="str">
        <f t="shared" si="241"/>
        <v>NEW Gas_CCGT_2024</v>
      </c>
      <c r="P4125">
        <f t="shared" si="242"/>
        <v>0</v>
      </c>
    </row>
    <row r="4126" spans="4:16" x14ac:dyDescent="0.25">
      <c r="D4126">
        <v>2025</v>
      </c>
      <c r="E4126" t="s">
        <v>128</v>
      </c>
      <c r="F4126" t="s">
        <v>446</v>
      </c>
      <c r="G4126">
        <v>1.3240000000000001</v>
      </c>
      <c r="I4126">
        <f t="shared" si="243"/>
        <v>0</v>
      </c>
      <c r="J4126">
        <f t="shared" si="243"/>
        <v>0</v>
      </c>
      <c r="K4126">
        <f t="shared" si="243"/>
        <v>0</v>
      </c>
      <c r="M4126" t="str" cm="1">
        <f t="array" ref="M4126">IFERROR(INDEX($I$2:$K$2,0,MATCH(TRUE,I4126:K4126,0)),E4126)</f>
        <v>NEW Gas_CCGT</v>
      </c>
      <c r="O4126" t="str">
        <f t="shared" si="241"/>
        <v>NEW Gas_CCGT_2025</v>
      </c>
      <c r="P4126">
        <f t="shared" si="242"/>
        <v>1.3240000000000001</v>
      </c>
    </row>
    <row r="4127" spans="4:16" x14ac:dyDescent="0.25">
      <c r="D4127">
        <v>2026</v>
      </c>
      <c r="E4127" t="s">
        <v>128</v>
      </c>
      <c r="F4127" t="s">
        <v>446</v>
      </c>
      <c r="G4127">
        <v>1.3240000000000001</v>
      </c>
      <c r="I4127">
        <f t="shared" si="243"/>
        <v>0</v>
      </c>
      <c r="J4127">
        <f t="shared" si="243"/>
        <v>0</v>
      </c>
      <c r="K4127">
        <f t="shared" si="243"/>
        <v>0</v>
      </c>
      <c r="M4127" t="str" cm="1">
        <f t="array" ref="M4127">IFERROR(INDEX($I$2:$K$2,0,MATCH(TRUE,I4127:K4127,0)),E4127)</f>
        <v>NEW Gas_CCGT</v>
      </c>
      <c r="O4127" t="str">
        <f t="shared" si="241"/>
        <v>NEW Gas_CCGT_2026</v>
      </c>
      <c r="P4127">
        <f t="shared" si="242"/>
        <v>1.3240000000000001</v>
      </c>
    </row>
    <row r="4128" spans="4:16" x14ac:dyDescent="0.25">
      <c r="D4128">
        <v>2027</v>
      </c>
      <c r="E4128" t="s">
        <v>128</v>
      </c>
      <c r="F4128" t="s">
        <v>446</v>
      </c>
      <c r="G4128">
        <v>1.3240000000000001</v>
      </c>
      <c r="I4128">
        <f t="shared" si="243"/>
        <v>0</v>
      </c>
      <c r="J4128">
        <f t="shared" si="243"/>
        <v>0</v>
      </c>
      <c r="K4128">
        <f t="shared" si="243"/>
        <v>0</v>
      </c>
      <c r="M4128" t="str" cm="1">
        <f t="array" ref="M4128">IFERROR(INDEX($I$2:$K$2,0,MATCH(TRUE,I4128:K4128,0)),E4128)</f>
        <v>NEW Gas_CCGT</v>
      </c>
      <c r="O4128" t="str">
        <f t="shared" si="241"/>
        <v>NEW Gas_CCGT_2027</v>
      </c>
      <c r="P4128">
        <f t="shared" si="242"/>
        <v>1.3240000000000001</v>
      </c>
    </row>
    <row r="4129" spans="4:16" x14ac:dyDescent="0.25">
      <c r="D4129">
        <v>2028</v>
      </c>
      <c r="E4129" t="s">
        <v>128</v>
      </c>
      <c r="F4129" t="s">
        <v>446</v>
      </c>
      <c r="G4129">
        <v>1.3240000000000001</v>
      </c>
      <c r="I4129">
        <f t="shared" si="243"/>
        <v>0</v>
      </c>
      <c r="J4129">
        <f t="shared" si="243"/>
        <v>0</v>
      </c>
      <c r="K4129">
        <f t="shared" si="243"/>
        <v>0</v>
      </c>
      <c r="M4129" t="str" cm="1">
        <f t="array" ref="M4129">IFERROR(INDEX($I$2:$K$2,0,MATCH(TRUE,I4129:K4129,0)),E4129)</f>
        <v>NEW Gas_CCGT</v>
      </c>
      <c r="O4129" t="str">
        <f t="shared" si="241"/>
        <v>NEW Gas_CCGT_2028</v>
      </c>
      <c r="P4129">
        <f t="shared" si="242"/>
        <v>1.3240000000000001</v>
      </c>
    </row>
    <row r="4130" spans="4:16" x14ac:dyDescent="0.25">
      <c r="D4130">
        <v>2029</v>
      </c>
      <c r="E4130" t="s">
        <v>128</v>
      </c>
      <c r="F4130" t="s">
        <v>446</v>
      </c>
      <c r="G4130">
        <v>1.3240000000000001</v>
      </c>
      <c r="I4130">
        <f t="shared" si="243"/>
        <v>0</v>
      </c>
      <c r="J4130">
        <f t="shared" si="243"/>
        <v>0</v>
      </c>
      <c r="K4130">
        <f t="shared" si="243"/>
        <v>0</v>
      </c>
      <c r="M4130" t="str" cm="1">
        <f t="array" ref="M4130">IFERROR(INDEX($I$2:$K$2,0,MATCH(TRUE,I4130:K4130,0)),E4130)</f>
        <v>NEW Gas_CCGT</v>
      </c>
      <c r="O4130" t="str">
        <f t="shared" si="241"/>
        <v>NEW Gas_CCGT_2029</v>
      </c>
      <c r="P4130">
        <f t="shared" si="242"/>
        <v>1.3240000000000001</v>
      </c>
    </row>
    <row r="4131" spans="4:16" x14ac:dyDescent="0.25">
      <c r="D4131">
        <v>2030</v>
      </c>
      <c r="E4131" t="s">
        <v>128</v>
      </c>
      <c r="F4131" t="s">
        <v>446</v>
      </c>
      <c r="G4131">
        <v>1.3240000000000001</v>
      </c>
      <c r="I4131">
        <f t="shared" si="243"/>
        <v>0</v>
      </c>
      <c r="J4131">
        <f t="shared" si="243"/>
        <v>0</v>
      </c>
      <c r="K4131">
        <f t="shared" si="243"/>
        <v>0</v>
      </c>
      <c r="M4131" t="str" cm="1">
        <f t="array" ref="M4131">IFERROR(INDEX($I$2:$K$2,0,MATCH(TRUE,I4131:K4131,0)),E4131)</f>
        <v>NEW Gas_CCGT</v>
      </c>
      <c r="O4131" t="str">
        <f t="shared" si="241"/>
        <v>NEW Gas_CCGT_2030</v>
      </c>
      <c r="P4131">
        <f t="shared" si="242"/>
        <v>1.3240000000000001</v>
      </c>
    </row>
    <row r="4132" spans="4:16" x14ac:dyDescent="0.25">
      <c r="D4132">
        <v>2031</v>
      </c>
      <c r="E4132" t="s">
        <v>128</v>
      </c>
      <c r="F4132" t="s">
        <v>446</v>
      </c>
      <c r="G4132">
        <v>662</v>
      </c>
      <c r="I4132">
        <f t="shared" si="243"/>
        <v>0</v>
      </c>
      <c r="J4132">
        <f t="shared" si="243"/>
        <v>0</v>
      </c>
      <c r="K4132">
        <f t="shared" si="243"/>
        <v>0</v>
      </c>
      <c r="M4132" t="str" cm="1">
        <f t="array" ref="M4132">IFERROR(INDEX($I$2:$K$2,0,MATCH(TRUE,I4132:K4132,0)),E4132)</f>
        <v>NEW Gas_CCGT</v>
      </c>
      <c r="O4132" t="str">
        <f t="shared" si="241"/>
        <v>NEW Gas_CCGT_2031</v>
      </c>
      <c r="P4132">
        <f t="shared" si="242"/>
        <v>662</v>
      </c>
    </row>
    <row r="4133" spans="4:16" x14ac:dyDescent="0.25">
      <c r="D4133">
        <v>2032</v>
      </c>
      <c r="E4133" t="s">
        <v>128</v>
      </c>
      <c r="F4133" t="s">
        <v>446</v>
      </c>
      <c r="G4133">
        <v>1324</v>
      </c>
      <c r="I4133">
        <f t="shared" si="243"/>
        <v>0</v>
      </c>
      <c r="J4133">
        <f t="shared" si="243"/>
        <v>0</v>
      </c>
      <c r="K4133">
        <f t="shared" si="243"/>
        <v>0</v>
      </c>
      <c r="M4133" t="str" cm="1">
        <f t="array" ref="M4133">IFERROR(INDEX($I$2:$K$2,0,MATCH(TRUE,I4133:K4133,0)),E4133)</f>
        <v>NEW Gas_CCGT</v>
      </c>
      <c r="O4133" t="str">
        <f t="shared" si="241"/>
        <v>NEW Gas_CCGT_2032</v>
      </c>
      <c r="P4133">
        <f t="shared" si="242"/>
        <v>1324</v>
      </c>
    </row>
    <row r="4134" spans="4:16" x14ac:dyDescent="0.25">
      <c r="D4134">
        <v>2033</v>
      </c>
      <c r="E4134" t="s">
        <v>128</v>
      </c>
      <c r="F4134" t="s">
        <v>446</v>
      </c>
      <c r="G4134">
        <v>1986</v>
      </c>
      <c r="I4134">
        <f t="shared" si="243"/>
        <v>0</v>
      </c>
      <c r="J4134">
        <f t="shared" si="243"/>
        <v>0</v>
      </c>
      <c r="K4134">
        <f t="shared" si="243"/>
        <v>0</v>
      </c>
      <c r="M4134" t="str" cm="1">
        <f t="array" ref="M4134">IFERROR(INDEX($I$2:$K$2,0,MATCH(TRUE,I4134:K4134,0)),E4134)</f>
        <v>NEW Gas_CCGT</v>
      </c>
      <c r="O4134" t="str">
        <f t="shared" si="241"/>
        <v>NEW Gas_CCGT_2033</v>
      </c>
      <c r="P4134">
        <f t="shared" si="242"/>
        <v>1986</v>
      </c>
    </row>
    <row r="4135" spans="4:16" x14ac:dyDescent="0.25">
      <c r="D4135">
        <v>2034</v>
      </c>
      <c r="E4135" t="s">
        <v>128</v>
      </c>
      <c r="F4135" t="s">
        <v>446</v>
      </c>
      <c r="G4135">
        <v>4634</v>
      </c>
      <c r="I4135">
        <f t="shared" si="243"/>
        <v>0</v>
      </c>
      <c r="J4135">
        <f t="shared" si="243"/>
        <v>0</v>
      </c>
      <c r="K4135">
        <f t="shared" si="243"/>
        <v>0</v>
      </c>
      <c r="M4135" t="str" cm="1">
        <f t="array" ref="M4135">IFERROR(INDEX($I$2:$K$2,0,MATCH(TRUE,I4135:K4135,0)),E4135)</f>
        <v>NEW Gas_CCGT</v>
      </c>
      <c r="O4135" t="str">
        <f t="shared" si="241"/>
        <v>NEW Gas_CCGT_2034</v>
      </c>
      <c r="P4135">
        <f t="shared" si="242"/>
        <v>4634</v>
      </c>
    </row>
    <row r="4136" spans="4:16" x14ac:dyDescent="0.25">
      <c r="D4136">
        <v>2035</v>
      </c>
      <c r="E4136" t="s">
        <v>128</v>
      </c>
      <c r="F4136" t="s">
        <v>446</v>
      </c>
      <c r="G4136">
        <v>6620</v>
      </c>
      <c r="I4136">
        <f t="shared" si="243"/>
        <v>0</v>
      </c>
      <c r="J4136">
        <f t="shared" si="243"/>
        <v>0</v>
      </c>
      <c r="K4136">
        <f t="shared" si="243"/>
        <v>0</v>
      </c>
      <c r="M4136" t="str" cm="1">
        <f t="array" ref="M4136">IFERROR(INDEX($I$2:$K$2,0,MATCH(TRUE,I4136:K4136,0)),E4136)</f>
        <v>NEW Gas_CCGT</v>
      </c>
      <c r="O4136" t="str">
        <f t="shared" si="241"/>
        <v>NEW Gas_CCGT_2035</v>
      </c>
      <c r="P4136">
        <f t="shared" si="242"/>
        <v>6620</v>
      </c>
    </row>
    <row r="4137" spans="4:16" x14ac:dyDescent="0.25">
      <c r="D4137">
        <v>2036</v>
      </c>
      <c r="E4137" t="s">
        <v>128</v>
      </c>
      <c r="F4137" t="s">
        <v>446</v>
      </c>
      <c r="G4137">
        <v>10592</v>
      </c>
      <c r="I4137">
        <f t="shared" si="243"/>
        <v>0</v>
      </c>
      <c r="J4137">
        <f t="shared" si="243"/>
        <v>0</v>
      </c>
      <c r="K4137">
        <f t="shared" si="243"/>
        <v>0</v>
      </c>
      <c r="M4137" t="str" cm="1">
        <f t="array" ref="M4137">IFERROR(INDEX($I$2:$K$2,0,MATCH(TRUE,I4137:K4137,0)),E4137)</f>
        <v>NEW Gas_CCGT</v>
      </c>
      <c r="O4137" t="str">
        <f t="shared" si="241"/>
        <v>NEW Gas_CCGT_2036</v>
      </c>
      <c r="P4137">
        <f t="shared" si="242"/>
        <v>10592</v>
      </c>
    </row>
    <row r="4138" spans="4:16" x14ac:dyDescent="0.25">
      <c r="D4138">
        <v>2037</v>
      </c>
      <c r="E4138" t="s">
        <v>128</v>
      </c>
      <c r="F4138" t="s">
        <v>446</v>
      </c>
      <c r="G4138">
        <v>11916</v>
      </c>
      <c r="I4138">
        <f t="shared" si="243"/>
        <v>0</v>
      </c>
      <c r="J4138">
        <f t="shared" si="243"/>
        <v>0</v>
      </c>
      <c r="K4138">
        <f t="shared" si="243"/>
        <v>0</v>
      </c>
      <c r="M4138" t="str" cm="1">
        <f t="array" ref="M4138">IFERROR(INDEX($I$2:$K$2,0,MATCH(TRUE,I4138:K4138,0)),E4138)</f>
        <v>NEW Gas_CCGT</v>
      </c>
      <c r="O4138" t="str">
        <f t="shared" si="241"/>
        <v>NEW Gas_CCGT_2037</v>
      </c>
      <c r="P4138">
        <f t="shared" si="242"/>
        <v>11916</v>
      </c>
    </row>
    <row r="4139" spans="4:16" x14ac:dyDescent="0.25">
      <c r="D4139">
        <v>2038</v>
      </c>
      <c r="E4139" t="s">
        <v>128</v>
      </c>
      <c r="F4139" t="s">
        <v>446</v>
      </c>
      <c r="G4139">
        <v>12578</v>
      </c>
      <c r="I4139">
        <f t="shared" si="243"/>
        <v>0</v>
      </c>
      <c r="J4139">
        <f t="shared" si="243"/>
        <v>0</v>
      </c>
      <c r="K4139">
        <f t="shared" si="243"/>
        <v>0</v>
      </c>
      <c r="M4139" t="str" cm="1">
        <f t="array" ref="M4139">IFERROR(INDEX($I$2:$K$2,0,MATCH(TRUE,I4139:K4139,0)),E4139)</f>
        <v>NEW Gas_CCGT</v>
      </c>
      <c r="O4139" t="str">
        <f t="shared" si="241"/>
        <v>NEW Gas_CCGT_2038</v>
      </c>
      <c r="P4139">
        <f t="shared" si="242"/>
        <v>12578</v>
      </c>
    </row>
    <row r="4140" spans="4:16" x14ac:dyDescent="0.25">
      <c r="D4140">
        <v>2039</v>
      </c>
      <c r="E4140" t="s">
        <v>128</v>
      </c>
      <c r="F4140" t="s">
        <v>446</v>
      </c>
      <c r="G4140">
        <v>15888</v>
      </c>
      <c r="I4140">
        <f t="shared" si="243"/>
        <v>0</v>
      </c>
      <c r="J4140">
        <f t="shared" si="243"/>
        <v>0</v>
      </c>
      <c r="K4140">
        <f t="shared" si="243"/>
        <v>0</v>
      </c>
      <c r="M4140" t="str" cm="1">
        <f t="array" ref="M4140">IFERROR(INDEX($I$2:$K$2,0,MATCH(TRUE,I4140:K4140,0)),E4140)</f>
        <v>NEW Gas_CCGT</v>
      </c>
      <c r="O4140" t="str">
        <f t="shared" si="241"/>
        <v>NEW Gas_CCGT_2039</v>
      </c>
      <c r="P4140">
        <f t="shared" si="242"/>
        <v>15888</v>
      </c>
    </row>
    <row r="4141" spans="4:16" x14ac:dyDescent="0.25">
      <c r="D4141">
        <v>2040</v>
      </c>
      <c r="E4141" t="s">
        <v>128</v>
      </c>
      <c r="F4141" t="s">
        <v>446</v>
      </c>
      <c r="G4141">
        <v>15888</v>
      </c>
      <c r="I4141">
        <f t="shared" si="243"/>
        <v>0</v>
      </c>
      <c r="J4141">
        <f t="shared" si="243"/>
        <v>0</v>
      </c>
      <c r="K4141">
        <f t="shared" si="243"/>
        <v>0</v>
      </c>
      <c r="M4141" t="str" cm="1">
        <f t="array" ref="M4141">IFERROR(INDEX($I$2:$K$2,0,MATCH(TRUE,I4141:K4141,0)),E4141)</f>
        <v>NEW Gas_CCGT</v>
      </c>
      <c r="O4141" t="str">
        <f t="shared" si="241"/>
        <v>NEW Gas_CCGT_2040</v>
      </c>
      <c r="P4141">
        <f t="shared" si="242"/>
        <v>15888</v>
      </c>
    </row>
    <row r="4142" spans="4:16" x14ac:dyDescent="0.25">
      <c r="D4142">
        <v>2024</v>
      </c>
      <c r="E4142" t="s">
        <v>129</v>
      </c>
      <c r="F4142" t="s">
        <v>447</v>
      </c>
      <c r="G4142">
        <v>0</v>
      </c>
      <c r="I4142">
        <f t="shared" si="243"/>
        <v>0</v>
      </c>
      <c r="J4142">
        <f t="shared" si="243"/>
        <v>0</v>
      </c>
      <c r="K4142">
        <f t="shared" si="243"/>
        <v>0</v>
      </c>
      <c r="M4142" t="str" cm="1">
        <f t="array" ref="M4142">IFERROR(INDEX($I$2:$K$2,0,MATCH(TRUE,I4142:K4142,0)),E4142)</f>
        <v>NEW Gas_GT</v>
      </c>
      <c r="O4142" t="str">
        <f t="shared" si="241"/>
        <v>NEW Gas_GT_2024</v>
      </c>
      <c r="P4142">
        <f t="shared" si="242"/>
        <v>0</v>
      </c>
    </row>
    <row r="4143" spans="4:16" x14ac:dyDescent="0.25">
      <c r="D4143">
        <v>2025</v>
      </c>
      <c r="E4143" t="s">
        <v>129</v>
      </c>
      <c r="F4143" t="s">
        <v>447</v>
      </c>
      <c r="G4143">
        <v>0.32900000000000001</v>
      </c>
      <c r="I4143">
        <f t="shared" si="243"/>
        <v>0</v>
      </c>
      <c r="J4143">
        <f t="shared" si="243"/>
        <v>0</v>
      </c>
      <c r="K4143">
        <f t="shared" si="243"/>
        <v>0</v>
      </c>
      <c r="M4143" t="str" cm="1">
        <f t="array" ref="M4143">IFERROR(INDEX($I$2:$K$2,0,MATCH(TRUE,I4143:K4143,0)),E4143)</f>
        <v>NEW Gas_GT</v>
      </c>
      <c r="O4143" t="str">
        <f t="shared" si="241"/>
        <v>NEW Gas_GT_2025</v>
      </c>
      <c r="P4143">
        <f t="shared" si="242"/>
        <v>0.32900000000000001</v>
      </c>
    </row>
    <row r="4144" spans="4:16" x14ac:dyDescent="0.25">
      <c r="D4144">
        <v>2026</v>
      </c>
      <c r="E4144" t="s">
        <v>129</v>
      </c>
      <c r="F4144" t="s">
        <v>447</v>
      </c>
      <c r="G4144">
        <v>0.32900000000000001</v>
      </c>
      <c r="I4144">
        <f t="shared" si="243"/>
        <v>0</v>
      </c>
      <c r="J4144">
        <f t="shared" si="243"/>
        <v>0</v>
      </c>
      <c r="K4144">
        <f t="shared" si="243"/>
        <v>0</v>
      </c>
      <c r="M4144" t="str" cm="1">
        <f t="array" ref="M4144">IFERROR(INDEX($I$2:$K$2,0,MATCH(TRUE,I4144:K4144,0)),E4144)</f>
        <v>NEW Gas_GT</v>
      </c>
      <c r="O4144" t="str">
        <f t="shared" si="241"/>
        <v>NEW Gas_GT_2026</v>
      </c>
      <c r="P4144">
        <f t="shared" si="242"/>
        <v>0.32900000000000001</v>
      </c>
    </row>
    <row r="4145" spans="4:16" x14ac:dyDescent="0.25">
      <c r="D4145">
        <v>2027</v>
      </c>
      <c r="E4145" t="s">
        <v>129</v>
      </c>
      <c r="F4145" t="s">
        <v>447</v>
      </c>
      <c r="G4145">
        <v>0.32900000000000001</v>
      </c>
      <c r="I4145">
        <f t="shared" si="243"/>
        <v>0</v>
      </c>
      <c r="J4145">
        <f t="shared" si="243"/>
        <v>0</v>
      </c>
      <c r="K4145">
        <f t="shared" si="243"/>
        <v>0</v>
      </c>
      <c r="M4145" t="str" cm="1">
        <f t="array" ref="M4145">IFERROR(INDEX($I$2:$K$2,0,MATCH(TRUE,I4145:K4145,0)),E4145)</f>
        <v>NEW Gas_GT</v>
      </c>
      <c r="O4145" t="str">
        <f t="shared" si="241"/>
        <v>NEW Gas_GT_2027</v>
      </c>
      <c r="P4145">
        <f t="shared" si="242"/>
        <v>0.32900000000000001</v>
      </c>
    </row>
    <row r="4146" spans="4:16" x14ac:dyDescent="0.25">
      <c r="D4146">
        <v>2028</v>
      </c>
      <c r="E4146" t="s">
        <v>129</v>
      </c>
      <c r="F4146" t="s">
        <v>447</v>
      </c>
      <c r="G4146">
        <v>0.32900000000000001</v>
      </c>
      <c r="I4146">
        <f t="shared" si="243"/>
        <v>0</v>
      </c>
      <c r="J4146">
        <f t="shared" si="243"/>
        <v>0</v>
      </c>
      <c r="K4146">
        <f t="shared" si="243"/>
        <v>0</v>
      </c>
      <c r="M4146" t="str" cm="1">
        <f t="array" ref="M4146">IFERROR(INDEX($I$2:$K$2,0,MATCH(TRUE,I4146:K4146,0)),E4146)</f>
        <v>NEW Gas_GT</v>
      </c>
      <c r="O4146" t="str">
        <f t="shared" si="241"/>
        <v>NEW Gas_GT_2028</v>
      </c>
      <c r="P4146">
        <f t="shared" si="242"/>
        <v>0.32900000000000001</v>
      </c>
    </row>
    <row r="4147" spans="4:16" x14ac:dyDescent="0.25">
      <c r="D4147">
        <v>2029</v>
      </c>
      <c r="E4147" t="s">
        <v>129</v>
      </c>
      <c r="F4147" t="s">
        <v>447</v>
      </c>
      <c r="G4147">
        <v>0.32900000000000001</v>
      </c>
      <c r="I4147">
        <f t="shared" si="243"/>
        <v>0</v>
      </c>
      <c r="J4147">
        <f t="shared" si="243"/>
        <v>0</v>
      </c>
      <c r="K4147">
        <f t="shared" si="243"/>
        <v>0</v>
      </c>
      <c r="M4147" t="str" cm="1">
        <f t="array" ref="M4147">IFERROR(INDEX($I$2:$K$2,0,MATCH(TRUE,I4147:K4147,0)),E4147)</f>
        <v>NEW Gas_GT</v>
      </c>
      <c r="O4147" t="str">
        <f t="shared" si="241"/>
        <v>NEW Gas_GT_2029</v>
      </c>
      <c r="P4147">
        <f t="shared" si="242"/>
        <v>0.32900000000000001</v>
      </c>
    </row>
    <row r="4148" spans="4:16" x14ac:dyDescent="0.25">
      <c r="D4148">
        <v>2030</v>
      </c>
      <c r="E4148" t="s">
        <v>129</v>
      </c>
      <c r="F4148" t="s">
        <v>447</v>
      </c>
      <c r="G4148">
        <v>0.32900000000000001</v>
      </c>
      <c r="I4148">
        <f t="shared" si="243"/>
        <v>0</v>
      </c>
      <c r="J4148">
        <f t="shared" si="243"/>
        <v>0</v>
      </c>
      <c r="K4148">
        <f t="shared" si="243"/>
        <v>0</v>
      </c>
      <c r="M4148" t="str" cm="1">
        <f t="array" ref="M4148">IFERROR(INDEX($I$2:$K$2,0,MATCH(TRUE,I4148:K4148,0)),E4148)</f>
        <v>NEW Gas_GT</v>
      </c>
      <c r="O4148" t="str">
        <f t="shared" si="241"/>
        <v>NEW Gas_GT_2030</v>
      </c>
      <c r="P4148">
        <f t="shared" si="242"/>
        <v>0.32900000000000001</v>
      </c>
    </row>
    <row r="4149" spans="4:16" x14ac:dyDescent="0.25">
      <c r="D4149">
        <v>2031</v>
      </c>
      <c r="E4149" t="s">
        <v>129</v>
      </c>
      <c r="F4149" t="s">
        <v>447</v>
      </c>
      <c r="G4149">
        <v>0.32900000000000001</v>
      </c>
      <c r="I4149">
        <f t="shared" si="243"/>
        <v>0</v>
      </c>
      <c r="J4149">
        <f t="shared" si="243"/>
        <v>0</v>
      </c>
      <c r="K4149">
        <f t="shared" si="243"/>
        <v>0</v>
      </c>
      <c r="M4149" t="str" cm="1">
        <f t="array" ref="M4149">IFERROR(INDEX($I$2:$K$2,0,MATCH(TRUE,I4149:K4149,0)),E4149)</f>
        <v>NEW Gas_GT</v>
      </c>
      <c r="O4149" t="str">
        <f t="shared" si="241"/>
        <v>NEW Gas_GT_2031</v>
      </c>
      <c r="P4149">
        <f t="shared" si="242"/>
        <v>0.32900000000000001</v>
      </c>
    </row>
    <row r="4150" spans="4:16" x14ac:dyDescent="0.25">
      <c r="D4150">
        <v>2032</v>
      </c>
      <c r="E4150" t="s">
        <v>129</v>
      </c>
      <c r="F4150" t="s">
        <v>447</v>
      </c>
      <c r="G4150">
        <v>0.32900000000000001</v>
      </c>
      <c r="I4150">
        <f t="shared" si="243"/>
        <v>0</v>
      </c>
      <c r="J4150">
        <f t="shared" si="243"/>
        <v>0</v>
      </c>
      <c r="K4150">
        <f t="shared" si="243"/>
        <v>0</v>
      </c>
      <c r="M4150" t="str" cm="1">
        <f t="array" ref="M4150">IFERROR(INDEX($I$2:$K$2,0,MATCH(TRUE,I4150:K4150,0)),E4150)</f>
        <v>NEW Gas_GT</v>
      </c>
      <c r="O4150" t="str">
        <f t="shared" si="241"/>
        <v>NEW Gas_GT_2032</v>
      </c>
      <c r="P4150">
        <f t="shared" si="242"/>
        <v>0.32900000000000001</v>
      </c>
    </row>
    <row r="4151" spans="4:16" x14ac:dyDescent="0.25">
      <c r="D4151">
        <v>2033</v>
      </c>
      <c r="E4151" t="s">
        <v>129</v>
      </c>
      <c r="F4151" t="s">
        <v>447</v>
      </c>
      <c r="G4151">
        <v>0.32900000000000001</v>
      </c>
      <c r="I4151">
        <f t="shared" si="243"/>
        <v>0</v>
      </c>
      <c r="J4151">
        <f t="shared" si="243"/>
        <v>0</v>
      </c>
      <c r="K4151">
        <f t="shared" si="243"/>
        <v>0</v>
      </c>
      <c r="M4151" t="str" cm="1">
        <f t="array" ref="M4151">IFERROR(INDEX($I$2:$K$2,0,MATCH(TRUE,I4151:K4151,0)),E4151)</f>
        <v>NEW Gas_GT</v>
      </c>
      <c r="O4151" t="str">
        <f t="shared" si="241"/>
        <v>NEW Gas_GT_2033</v>
      </c>
      <c r="P4151">
        <f t="shared" si="242"/>
        <v>0.32900000000000001</v>
      </c>
    </row>
    <row r="4152" spans="4:16" x14ac:dyDescent="0.25">
      <c r="D4152">
        <v>2034</v>
      </c>
      <c r="E4152" t="s">
        <v>129</v>
      </c>
      <c r="F4152" t="s">
        <v>447</v>
      </c>
      <c r="G4152">
        <v>0.32900000000000001</v>
      </c>
      <c r="I4152">
        <f t="shared" si="243"/>
        <v>0</v>
      </c>
      <c r="J4152">
        <f t="shared" si="243"/>
        <v>0</v>
      </c>
      <c r="K4152">
        <f t="shared" si="243"/>
        <v>0</v>
      </c>
      <c r="M4152" t="str" cm="1">
        <f t="array" ref="M4152">IFERROR(INDEX($I$2:$K$2,0,MATCH(TRUE,I4152:K4152,0)),E4152)</f>
        <v>NEW Gas_GT</v>
      </c>
      <c r="O4152" t="str">
        <f t="shared" si="241"/>
        <v>NEW Gas_GT_2034</v>
      </c>
      <c r="P4152">
        <f t="shared" si="242"/>
        <v>0.32900000000000001</v>
      </c>
    </row>
    <row r="4153" spans="4:16" x14ac:dyDescent="0.25">
      <c r="D4153">
        <v>2035</v>
      </c>
      <c r="E4153" t="s">
        <v>129</v>
      </c>
      <c r="F4153" t="s">
        <v>447</v>
      </c>
      <c r="G4153">
        <v>0.32900000000000001</v>
      </c>
      <c r="I4153">
        <f t="shared" si="243"/>
        <v>0</v>
      </c>
      <c r="J4153">
        <f t="shared" si="243"/>
        <v>0</v>
      </c>
      <c r="K4153">
        <f t="shared" si="243"/>
        <v>0</v>
      </c>
      <c r="M4153" t="str" cm="1">
        <f t="array" ref="M4153">IFERROR(INDEX($I$2:$K$2,0,MATCH(TRUE,I4153:K4153,0)),E4153)</f>
        <v>NEW Gas_GT</v>
      </c>
      <c r="O4153" t="str">
        <f t="shared" si="241"/>
        <v>NEW Gas_GT_2035</v>
      </c>
      <c r="P4153">
        <f t="shared" si="242"/>
        <v>0.32900000000000001</v>
      </c>
    </row>
    <row r="4154" spans="4:16" x14ac:dyDescent="0.25">
      <c r="D4154">
        <v>2036</v>
      </c>
      <c r="E4154" t="s">
        <v>129</v>
      </c>
      <c r="F4154" t="s">
        <v>447</v>
      </c>
      <c r="G4154">
        <v>0.32900000000000001</v>
      </c>
      <c r="I4154">
        <f t="shared" si="243"/>
        <v>0</v>
      </c>
      <c r="J4154">
        <f t="shared" si="243"/>
        <v>0</v>
      </c>
      <c r="K4154">
        <f t="shared" si="243"/>
        <v>0</v>
      </c>
      <c r="M4154" t="str" cm="1">
        <f t="array" ref="M4154">IFERROR(INDEX($I$2:$K$2,0,MATCH(TRUE,I4154:K4154,0)),E4154)</f>
        <v>NEW Gas_GT</v>
      </c>
      <c r="O4154" t="str">
        <f t="shared" si="241"/>
        <v>NEW Gas_GT_2036</v>
      </c>
      <c r="P4154">
        <f t="shared" si="242"/>
        <v>0.32900000000000001</v>
      </c>
    </row>
    <row r="4155" spans="4:16" x14ac:dyDescent="0.25">
      <c r="D4155">
        <v>2037</v>
      </c>
      <c r="E4155" t="s">
        <v>129</v>
      </c>
      <c r="F4155" t="s">
        <v>447</v>
      </c>
      <c r="G4155">
        <v>0.32900000000000001</v>
      </c>
      <c r="I4155">
        <f t="shared" si="243"/>
        <v>0</v>
      </c>
      <c r="J4155">
        <f t="shared" si="243"/>
        <v>0</v>
      </c>
      <c r="K4155">
        <f t="shared" si="243"/>
        <v>0</v>
      </c>
      <c r="M4155" t="str" cm="1">
        <f t="array" ref="M4155">IFERROR(INDEX($I$2:$K$2,0,MATCH(TRUE,I4155:K4155,0)),E4155)</f>
        <v>NEW Gas_GT</v>
      </c>
      <c r="O4155" t="str">
        <f t="shared" si="241"/>
        <v>NEW Gas_GT_2037</v>
      </c>
      <c r="P4155">
        <f t="shared" si="242"/>
        <v>0.32900000000000001</v>
      </c>
    </row>
    <row r="4156" spans="4:16" x14ac:dyDescent="0.25">
      <c r="D4156">
        <v>2038</v>
      </c>
      <c r="E4156" t="s">
        <v>129</v>
      </c>
      <c r="F4156" t="s">
        <v>447</v>
      </c>
      <c r="G4156">
        <v>0.32900000000000001</v>
      </c>
      <c r="I4156">
        <f t="shared" si="243"/>
        <v>0</v>
      </c>
      <c r="J4156">
        <f t="shared" si="243"/>
        <v>0</v>
      </c>
      <c r="K4156">
        <f t="shared" si="243"/>
        <v>0</v>
      </c>
      <c r="M4156" t="str" cm="1">
        <f t="array" ref="M4156">IFERROR(INDEX($I$2:$K$2,0,MATCH(TRUE,I4156:K4156,0)),E4156)</f>
        <v>NEW Gas_GT</v>
      </c>
      <c r="O4156" t="str">
        <f t="shared" si="241"/>
        <v>NEW Gas_GT_2038</v>
      </c>
      <c r="P4156">
        <f t="shared" si="242"/>
        <v>0.32900000000000001</v>
      </c>
    </row>
    <row r="4157" spans="4:16" x14ac:dyDescent="0.25">
      <c r="D4157">
        <v>2039</v>
      </c>
      <c r="E4157" t="s">
        <v>129</v>
      </c>
      <c r="F4157" t="s">
        <v>447</v>
      </c>
      <c r="G4157">
        <v>0.32900000000000001</v>
      </c>
      <c r="I4157">
        <f t="shared" si="243"/>
        <v>0</v>
      </c>
      <c r="J4157">
        <f t="shared" si="243"/>
        <v>0</v>
      </c>
      <c r="K4157">
        <f t="shared" si="243"/>
        <v>0</v>
      </c>
      <c r="M4157" t="str" cm="1">
        <f t="array" ref="M4157">IFERROR(INDEX($I$2:$K$2,0,MATCH(TRUE,I4157:K4157,0)),E4157)</f>
        <v>NEW Gas_GT</v>
      </c>
      <c r="O4157" t="str">
        <f t="shared" si="241"/>
        <v>NEW Gas_GT_2039</v>
      </c>
      <c r="P4157">
        <f t="shared" si="242"/>
        <v>0.32900000000000001</v>
      </c>
    </row>
    <row r="4158" spans="4:16" x14ac:dyDescent="0.25">
      <c r="D4158">
        <v>2040</v>
      </c>
      <c r="E4158" t="s">
        <v>129</v>
      </c>
      <c r="F4158" t="s">
        <v>447</v>
      </c>
      <c r="G4158">
        <v>0.32900000000000001</v>
      </c>
      <c r="I4158">
        <f t="shared" si="243"/>
        <v>0</v>
      </c>
      <c r="J4158">
        <f t="shared" si="243"/>
        <v>0</v>
      </c>
      <c r="K4158">
        <f t="shared" si="243"/>
        <v>0</v>
      </c>
      <c r="M4158" t="str" cm="1">
        <f t="array" ref="M4158">IFERROR(INDEX($I$2:$K$2,0,MATCH(TRUE,I4158:K4158,0)),E4158)</f>
        <v>NEW Gas_GT</v>
      </c>
      <c r="O4158" t="str">
        <f t="shared" si="241"/>
        <v>NEW Gas_GT_2040</v>
      </c>
      <c r="P4158">
        <f t="shared" si="242"/>
        <v>0.32900000000000001</v>
      </c>
    </row>
    <row r="4159" spans="4:16" x14ac:dyDescent="0.25">
      <c r="D4159">
        <v>2024</v>
      </c>
      <c r="E4159" t="s">
        <v>129</v>
      </c>
      <c r="F4159" t="s">
        <v>448</v>
      </c>
      <c r="G4159">
        <v>0</v>
      </c>
      <c r="I4159">
        <f t="shared" si="243"/>
        <v>0</v>
      </c>
      <c r="J4159">
        <f t="shared" si="243"/>
        <v>0</v>
      </c>
      <c r="K4159">
        <f t="shared" si="243"/>
        <v>0</v>
      </c>
      <c r="M4159" t="str" cm="1">
        <f t="array" ref="M4159">IFERROR(INDEX($I$2:$K$2,0,MATCH(TRUE,I4159:K4159,0)),E4159)</f>
        <v>NEW Gas_GT</v>
      </c>
      <c r="O4159" t="str">
        <f t="shared" si="241"/>
        <v>NEW Gas_GT_2024</v>
      </c>
      <c r="P4159">
        <f t="shared" si="242"/>
        <v>0</v>
      </c>
    </row>
    <row r="4160" spans="4:16" x14ac:dyDescent="0.25">
      <c r="D4160">
        <v>2025</v>
      </c>
      <c r="E4160" t="s">
        <v>129</v>
      </c>
      <c r="F4160" t="s">
        <v>448</v>
      </c>
      <c r="G4160">
        <v>0.32900000000000001</v>
      </c>
      <c r="I4160">
        <f t="shared" si="243"/>
        <v>0</v>
      </c>
      <c r="J4160">
        <f t="shared" si="243"/>
        <v>0</v>
      </c>
      <c r="K4160">
        <f t="shared" si="243"/>
        <v>0</v>
      </c>
      <c r="M4160" t="str" cm="1">
        <f t="array" ref="M4160">IFERROR(INDEX($I$2:$K$2,0,MATCH(TRUE,I4160:K4160,0)),E4160)</f>
        <v>NEW Gas_GT</v>
      </c>
      <c r="O4160" t="str">
        <f t="shared" si="241"/>
        <v>NEW Gas_GT_2025</v>
      </c>
      <c r="P4160">
        <f t="shared" si="242"/>
        <v>0.32900000000000001</v>
      </c>
    </row>
    <row r="4161" spans="4:16" x14ac:dyDescent="0.25">
      <c r="D4161">
        <v>2026</v>
      </c>
      <c r="E4161" t="s">
        <v>129</v>
      </c>
      <c r="F4161" t="s">
        <v>448</v>
      </c>
      <c r="G4161">
        <v>0.32900000000000001</v>
      </c>
      <c r="I4161">
        <f t="shared" si="243"/>
        <v>0</v>
      </c>
      <c r="J4161">
        <f t="shared" si="243"/>
        <v>0</v>
      </c>
      <c r="K4161">
        <f t="shared" si="243"/>
        <v>0</v>
      </c>
      <c r="M4161" t="str" cm="1">
        <f t="array" ref="M4161">IFERROR(INDEX($I$2:$K$2,0,MATCH(TRUE,I4161:K4161,0)),E4161)</f>
        <v>NEW Gas_GT</v>
      </c>
      <c r="O4161" t="str">
        <f t="shared" si="241"/>
        <v>NEW Gas_GT_2026</v>
      </c>
      <c r="P4161">
        <f t="shared" si="242"/>
        <v>0.32900000000000001</v>
      </c>
    </row>
    <row r="4162" spans="4:16" x14ac:dyDescent="0.25">
      <c r="D4162">
        <v>2027</v>
      </c>
      <c r="E4162" t="s">
        <v>129</v>
      </c>
      <c r="F4162" t="s">
        <v>448</v>
      </c>
      <c r="G4162">
        <v>0.32900000000000001</v>
      </c>
      <c r="I4162">
        <f t="shared" si="243"/>
        <v>0</v>
      </c>
      <c r="J4162">
        <f t="shared" si="243"/>
        <v>0</v>
      </c>
      <c r="K4162">
        <f t="shared" si="243"/>
        <v>0</v>
      </c>
      <c r="M4162" t="str" cm="1">
        <f t="array" ref="M4162">IFERROR(INDEX($I$2:$K$2,0,MATCH(TRUE,I4162:K4162,0)),E4162)</f>
        <v>NEW Gas_GT</v>
      </c>
      <c r="O4162" t="str">
        <f t="shared" si="241"/>
        <v>NEW Gas_GT_2027</v>
      </c>
      <c r="P4162">
        <f t="shared" si="242"/>
        <v>0.32900000000000001</v>
      </c>
    </row>
    <row r="4163" spans="4:16" x14ac:dyDescent="0.25">
      <c r="D4163">
        <v>2028</v>
      </c>
      <c r="E4163" t="s">
        <v>129</v>
      </c>
      <c r="F4163" t="s">
        <v>448</v>
      </c>
      <c r="G4163">
        <v>0.32900000000000001</v>
      </c>
      <c r="I4163">
        <f t="shared" si="243"/>
        <v>0</v>
      </c>
      <c r="J4163">
        <f t="shared" si="243"/>
        <v>0</v>
      </c>
      <c r="K4163">
        <f t="shared" si="243"/>
        <v>0</v>
      </c>
      <c r="M4163" t="str" cm="1">
        <f t="array" ref="M4163">IFERROR(INDEX($I$2:$K$2,0,MATCH(TRUE,I4163:K4163,0)),E4163)</f>
        <v>NEW Gas_GT</v>
      </c>
      <c r="O4163" t="str">
        <f t="shared" si="241"/>
        <v>NEW Gas_GT_2028</v>
      </c>
      <c r="P4163">
        <f t="shared" si="242"/>
        <v>0.32900000000000001</v>
      </c>
    </row>
    <row r="4164" spans="4:16" x14ac:dyDescent="0.25">
      <c r="D4164">
        <v>2029</v>
      </c>
      <c r="E4164" t="s">
        <v>129</v>
      </c>
      <c r="F4164" t="s">
        <v>448</v>
      </c>
      <c r="G4164">
        <v>0.32900000000000001</v>
      </c>
      <c r="I4164">
        <f t="shared" si="243"/>
        <v>0</v>
      </c>
      <c r="J4164">
        <f t="shared" si="243"/>
        <v>0</v>
      </c>
      <c r="K4164">
        <f t="shared" si="243"/>
        <v>0</v>
      </c>
      <c r="M4164" t="str" cm="1">
        <f t="array" ref="M4164">IFERROR(INDEX($I$2:$K$2,0,MATCH(TRUE,I4164:K4164,0)),E4164)</f>
        <v>NEW Gas_GT</v>
      </c>
      <c r="O4164" t="str">
        <f t="shared" si="241"/>
        <v>NEW Gas_GT_2029</v>
      </c>
      <c r="P4164">
        <f t="shared" si="242"/>
        <v>0.32900000000000001</v>
      </c>
    </row>
    <row r="4165" spans="4:16" x14ac:dyDescent="0.25">
      <c r="D4165">
        <v>2030</v>
      </c>
      <c r="E4165" t="s">
        <v>129</v>
      </c>
      <c r="F4165" t="s">
        <v>448</v>
      </c>
      <c r="G4165">
        <v>0.32900000000000001</v>
      </c>
      <c r="I4165">
        <f t="shared" si="243"/>
        <v>0</v>
      </c>
      <c r="J4165">
        <f t="shared" si="243"/>
        <v>0</v>
      </c>
      <c r="K4165">
        <f t="shared" si="243"/>
        <v>0</v>
      </c>
      <c r="M4165" t="str" cm="1">
        <f t="array" ref="M4165">IFERROR(INDEX($I$2:$K$2,0,MATCH(TRUE,I4165:K4165,0)),E4165)</f>
        <v>NEW Gas_GT</v>
      </c>
      <c r="O4165" t="str">
        <f t="shared" si="241"/>
        <v>NEW Gas_GT_2030</v>
      </c>
      <c r="P4165">
        <f t="shared" si="242"/>
        <v>0.32900000000000001</v>
      </c>
    </row>
    <row r="4166" spans="4:16" x14ac:dyDescent="0.25">
      <c r="D4166">
        <v>2031</v>
      </c>
      <c r="E4166" t="s">
        <v>129</v>
      </c>
      <c r="F4166" t="s">
        <v>448</v>
      </c>
      <c r="G4166">
        <v>0.32900000000000001</v>
      </c>
      <c r="I4166">
        <f t="shared" si="243"/>
        <v>0</v>
      </c>
      <c r="J4166">
        <f t="shared" si="243"/>
        <v>0</v>
      </c>
      <c r="K4166">
        <f t="shared" si="243"/>
        <v>0</v>
      </c>
      <c r="M4166" t="str" cm="1">
        <f t="array" ref="M4166">IFERROR(INDEX($I$2:$K$2,0,MATCH(TRUE,I4166:K4166,0)),E4166)</f>
        <v>NEW Gas_GT</v>
      </c>
      <c r="O4166" t="str">
        <f t="shared" si="241"/>
        <v>NEW Gas_GT_2031</v>
      </c>
      <c r="P4166">
        <f t="shared" si="242"/>
        <v>0.32900000000000001</v>
      </c>
    </row>
    <row r="4167" spans="4:16" x14ac:dyDescent="0.25">
      <c r="D4167">
        <v>2032</v>
      </c>
      <c r="E4167" t="s">
        <v>129</v>
      </c>
      <c r="F4167" t="s">
        <v>448</v>
      </c>
      <c r="G4167">
        <v>0.32900000000000001</v>
      </c>
      <c r="I4167">
        <f t="shared" si="243"/>
        <v>0</v>
      </c>
      <c r="J4167">
        <f t="shared" si="243"/>
        <v>0</v>
      </c>
      <c r="K4167">
        <f t="shared" si="243"/>
        <v>0</v>
      </c>
      <c r="M4167" t="str" cm="1">
        <f t="array" ref="M4167">IFERROR(INDEX($I$2:$K$2,0,MATCH(TRUE,I4167:K4167,0)),E4167)</f>
        <v>NEW Gas_GT</v>
      </c>
      <c r="O4167" t="str">
        <f t="shared" si="241"/>
        <v>NEW Gas_GT_2032</v>
      </c>
      <c r="P4167">
        <f t="shared" si="242"/>
        <v>0.32900000000000001</v>
      </c>
    </row>
    <row r="4168" spans="4:16" x14ac:dyDescent="0.25">
      <c r="D4168">
        <v>2033</v>
      </c>
      <c r="E4168" t="s">
        <v>129</v>
      </c>
      <c r="F4168" t="s">
        <v>448</v>
      </c>
      <c r="G4168">
        <v>0.32900000000000001</v>
      </c>
      <c r="I4168">
        <f t="shared" si="243"/>
        <v>0</v>
      </c>
      <c r="J4168">
        <f t="shared" si="243"/>
        <v>0</v>
      </c>
      <c r="K4168">
        <f t="shared" si="243"/>
        <v>0</v>
      </c>
      <c r="M4168" t="str" cm="1">
        <f t="array" ref="M4168">IFERROR(INDEX($I$2:$K$2,0,MATCH(TRUE,I4168:K4168,0)),E4168)</f>
        <v>NEW Gas_GT</v>
      </c>
      <c r="O4168" t="str">
        <f t="shared" si="241"/>
        <v>NEW Gas_GT_2033</v>
      </c>
      <c r="P4168">
        <f t="shared" si="242"/>
        <v>0.32900000000000001</v>
      </c>
    </row>
    <row r="4169" spans="4:16" x14ac:dyDescent="0.25">
      <c r="D4169">
        <v>2034</v>
      </c>
      <c r="E4169" t="s">
        <v>129</v>
      </c>
      <c r="F4169" t="s">
        <v>448</v>
      </c>
      <c r="G4169">
        <v>0.32900000000000001</v>
      </c>
      <c r="I4169">
        <f t="shared" si="243"/>
        <v>0</v>
      </c>
      <c r="J4169">
        <f t="shared" si="243"/>
        <v>0</v>
      </c>
      <c r="K4169">
        <f t="shared" si="243"/>
        <v>0</v>
      </c>
      <c r="M4169" t="str" cm="1">
        <f t="array" ref="M4169">IFERROR(INDEX($I$2:$K$2,0,MATCH(TRUE,I4169:K4169,0)),E4169)</f>
        <v>NEW Gas_GT</v>
      </c>
      <c r="O4169" t="str">
        <f t="shared" si="241"/>
        <v>NEW Gas_GT_2034</v>
      </c>
      <c r="P4169">
        <f t="shared" si="242"/>
        <v>0.32900000000000001</v>
      </c>
    </row>
    <row r="4170" spans="4:16" x14ac:dyDescent="0.25">
      <c r="D4170">
        <v>2035</v>
      </c>
      <c r="E4170" t="s">
        <v>129</v>
      </c>
      <c r="F4170" t="s">
        <v>448</v>
      </c>
      <c r="G4170">
        <v>0.32900000000000001</v>
      </c>
      <c r="I4170">
        <f t="shared" si="243"/>
        <v>0</v>
      </c>
      <c r="J4170">
        <f t="shared" si="243"/>
        <v>0</v>
      </c>
      <c r="K4170">
        <f t="shared" si="243"/>
        <v>0</v>
      </c>
      <c r="M4170" t="str" cm="1">
        <f t="array" ref="M4170">IFERROR(INDEX($I$2:$K$2,0,MATCH(TRUE,I4170:K4170,0)),E4170)</f>
        <v>NEW Gas_GT</v>
      </c>
      <c r="O4170" t="str">
        <f t="shared" si="241"/>
        <v>NEW Gas_GT_2035</v>
      </c>
      <c r="P4170">
        <f t="shared" si="242"/>
        <v>0.32900000000000001</v>
      </c>
    </row>
    <row r="4171" spans="4:16" x14ac:dyDescent="0.25">
      <c r="D4171">
        <v>2036</v>
      </c>
      <c r="E4171" t="s">
        <v>129</v>
      </c>
      <c r="F4171" t="s">
        <v>448</v>
      </c>
      <c r="G4171">
        <v>0.32900000000000001</v>
      </c>
      <c r="I4171">
        <f t="shared" si="243"/>
        <v>0</v>
      </c>
      <c r="J4171">
        <f t="shared" si="243"/>
        <v>0</v>
      </c>
      <c r="K4171">
        <f t="shared" si="243"/>
        <v>0</v>
      </c>
      <c r="M4171" t="str" cm="1">
        <f t="array" ref="M4171">IFERROR(INDEX($I$2:$K$2,0,MATCH(TRUE,I4171:K4171,0)),E4171)</f>
        <v>NEW Gas_GT</v>
      </c>
      <c r="O4171" t="str">
        <f t="shared" si="241"/>
        <v>NEW Gas_GT_2036</v>
      </c>
      <c r="P4171">
        <f t="shared" si="242"/>
        <v>0.32900000000000001</v>
      </c>
    </row>
    <row r="4172" spans="4:16" x14ac:dyDescent="0.25">
      <c r="D4172">
        <v>2037</v>
      </c>
      <c r="E4172" t="s">
        <v>129</v>
      </c>
      <c r="F4172" t="s">
        <v>448</v>
      </c>
      <c r="G4172">
        <v>0.32900000000000001</v>
      </c>
      <c r="I4172">
        <f t="shared" si="243"/>
        <v>0</v>
      </c>
      <c r="J4172">
        <f t="shared" si="243"/>
        <v>0</v>
      </c>
      <c r="K4172">
        <f t="shared" si="243"/>
        <v>0</v>
      </c>
      <c r="M4172" t="str" cm="1">
        <f t="array" ref="M4172">IFERROR(INDEX($I$2:$K$2,0,MATCH(TRUE,I4172:K4172,0)),E4172)</f>
        <v>NEW Gas_GT</v>
      </c>
      <c r="O4172" t="str">
        <f t="shared" si="241"/>
        <v>NEW Gas_GT_2037</v>
      </c>
      <c r="P4172">
        <f t="shared" si="242"/>
        <v>0.32900000000000001</v>
      </c>
    </row>
    <row r="4173" spans="4:16" x14ac:dyDescent="0.25">
      <c r="D4173">
        <v>2038</v>
      </c>
      <c r="E4173" t="s">
        <v>129</v>
      </c>
      <c r="F4173" t="s">
        <v>448</v>
      </c>
      <c r="G4173">
        <v>0.32900000000000001</v>
      </c>
      <c r="I4173">
        <f t="shared" si="243"/>
        <v>0</v>
      </c>
      <c r="J4173">
        <f t="shared" si="243"/>
        <v>0</v>
      </c>
      <c r="K4173">
        <f t="shared" si="243"/>
        <v>0</v>
      </c>
      <c r="M4173" t="str" cm="1">
        <f t="array" ref="M4173">IFERROR(INDEX($I$2:$K$2,0,MATCH(TRUE,I4173:K4173,0)),E4173)</f>
        <v>NEW Gas_GT</v>
      </c>
      <c r="O4173" t="str">
        <f t="shared" si="241"/>
        <v>NEW Gas_GT_2038</v>
      </c>
      <c r="P4173">
        <f t="shared" si="242"/>
        <v>0.32900000000000001</v>
      </c>
    </row>
    <row r="4174" spans="4:16" x14ac:dyDescent="0.25">
      <c r="D4174">
        <v>2039</v>
      </c>
      <c r="E4174" t="s">
        <v>129</v>
      </c>
      <c r="F4174" t="s">
        <v>448</v>
      </c>
      <c r="G4174">
        <v>0.32900000000000001</v>
      </c>
      <c r="I4174">
        <f t="shared" si="243"/>
        <v>0</v>
      </c>
      <c r="J4174">
        <f t="shared" si="243"/>
        <v>0</v>
      </c>
      <c r="K4174">
        <f t="shared" si="243"/>
        <v>0</v>
      </c>
      <c r="M4174" t="str" cm="1">
        <f t="array" ref="M4174">IFERROR(INDEX($I$2:$K$2,0,MATCH(TRUE,I4174:K4174,0)),E4174)</f>
        <v>NEW Gas_GT</v>
      </c>
      <c r="O4174" t="str">
        <f t="shared" si="241"/>
        <v>NEW Gas_GT_2039</v>
      </c>
      <c r="P4174">
        <f t="shared" si="242"/>
        <v>0.32900000000000001</v>
      </c>
    </row>
    <row r="4175" spans="4:16" x14ac:dyDescent="0.25">
      <c r="D4175">
        <v>2040</v>
      </c>
      <c r="E4175" t="s">
        <v>129</v>
      </c>
      <c r="F4175" t="s">
        <v>448</v>
      </c>
      <c r="G4175">
        <v>0.32900000000000001</v>
      </c>
      <c r="I4175">
        <f t="shared" si="243"/>
        <v>0</v>
      </c>
      <c r="J4175">
        <f t="shared" si="243"/>
        <v>0</v>
      </c>
      <c r="K4175">
        <f t="shared" si="243"/>
        <v>0</v>
      </c>
      <c r="M4175" t="str" cm="1">
        <f t="array" ref="M4175">IFERROR(INDEX($I$2:$K$2,0,MATCH(TRUE,I4175:K4175,0)),E4175)</f>
        <v>NEW Gas_GT</v>
      </c>
      <c r="O4175" t="str">
        <f t="shared" si="241"/>
        <v>NEW Gas_GT_2040</v>
      </c>
      <c r="P4175">
        <f t="shared" si="242"/>
        <v>0.32900000000000001</v>
      </c>
    </row>
    <row r="4176" spans="4:16" x14ac:dyDescent="0.25">
      <c r="D4176">
        <v>2024</v>
      </c>
      <c r="E4176" t="s">
        <v>129</v>
      </c>
      <c r="F4176" t="s">
        <v>449</v>
      </c>
      <c r="G4176">
        <v>0</v>
      </c>
      <c r="I4176">
        <f t="shared" si="243"/>
        <v>0</v>
      </c>
      <c r="J4176">
        <f t="shared" si="243"/>
        <v>0</v>
      </c>
      <c r="K4176">
        <f t="shared" si="243"/>
        <v>0</v>
      </c>
      <c r="M4176" t="str" cm="1">
        <f t="array" ref="M4176">IFERROR(INDEX($I$2:$K$2,0,MATCH(TRUE,I4176:K4176,0)),E4176)</f>
        <v>NEW Gas_GT</v>
      </c>
      <c r="O4176" t="str">
        <f t="shared" si="241"/>
        <v>NEW Gas_GT_2024</v>
      </c>
      <c r="P4176">
        <f t="shared" si="242"/>
        <v>0</v>
      </c>
    </row>
    <row r="4177" spans="4:16" x14ac:dyDescent="0.25">
      <c r="D4177">
        <v>2025</v>
      </c>
      <c r="E4177" t="s">
        <v>129</v>
      </c>
      <c r="F4177" t="s">
        <v>449</v>
      </c>
      <c r="G4177">
        <v>0.32900000000000001</v>
      </c>
      <c r="I4177">
        <f t="shared" si="243"/>
        <v>0</v>
      </c>
      <c r="J4177">
        <f t="shared" si="243"/>
        <v>0</v>
      </c>
      <c r="K4177">
        <f t="shared" si="243"/>
        <v>0</v>
      </c>
      <c r="M4177" t="str" cm="1">
        <f t="array" ref="M4177">IFERROR(INDEX($I$2:$K$2,0,MATCH(TRUE,I4177:K4177,0)),E4177)</f>
        <v>NEW Gas_GT</v>
      </c>
      <c r="O4177" t="str">
        <f t="shared" si="241"/>
        <v>NEW Gas_GT_2025</v>
      </c>
      <c r="P4177">
        <f t="shared" si="242"/>
        <v>0.32900000000000001</v>
      </c>
    </row>
    <row r="4178" spans="4:16" x14ac:dyDescent="0.25">
      <c r="D4178">
        <v>2026</v>
      </c>
      <c r="E4178" t="s">
        <v>129</v>
      </c>
      <c r="F4178" t="s">
        <v>449</v>
      </c>
      <c r="G4178">
        <v>0.32900000000000001</v>
      </c>
      <c r="I4178">
        <f t="shared" si="243"/>
        <v>0</v>
      </c>
      <c r="J4178">
        <f t="shared" si="243"/>
        <v>0</v>
      </c>
      <c r="K4178">
        <f t="shared" si="243"/>
        <v>0</v>
      </c>
      <c r="M4178" t="str" cm="1">
        <f t="array" ref="M4178">IFERROR(INDEX($I$2:$K$2,0,MATCH(TRUE,I4178:K4178,0)),E4178)</f>
        <v>NEW Gas_GT</v>
      </c>
      <c r="O4178" t="str">
        <f t="shared" si="241"/>
        <v>NEW Gas_GT_2026</v>
      </c>
      <c r="P4178">
        <f t="shared" si="242"/>
        <v>0.32900000000000001</v>
      </c>
    </row>
    <row r="4179" spans="4:16" x14ac:dyDescent="0.25">
      <c r="D4179">
        <v>2027</v>
      </c>
      <c r="E4179" t="s">
        <v>129</v>
      </c>
      <c r="F4179" t="s">
        <v>449</v>
      </c>
      <c r="G4179">
        <v>0.32900000000000001</v>
      </c>
      <c r="I4179">
        <f t="shared" si="243"/>
        <v>0</v>
      </c>
      <c r="J4179">
        <f t="shared" si="243"/>
        <v>0</v>
      </c>
      <c r="K4179">
        <f t="shared" si="243"/>
        <v>0</v>
      </c>
      <c r="M4179" t="str" cm="1">
        <f t="array" ref="M4179">IFERROR(INDEX($I$2:$K$2,0,MATCH(TRUE,I4179:K4179,0)),E4179)</f>
        <v>NEW Gas_GT</v>
      </c>
      <c r="O4179" t="str">
        <f t="shared" ref="O4179:O4242" si="244">M4179&amp;"_"&amp;D4179</f>
        <v>NEW Gas_GT_2027</v>
      </c>
      <c r="P4179">
        <f t="shared" ref="P4179:P4242" si="245">G4179</f>
        <v>0.32900000000000001</v>
      </c>
    </row>
    <row r="4180" spans="4:16" x14ac:dyDescent="0.25">
      <c r="D4180">
        <v>2028</v>
      </c>
      <c r="E4180" t="s">
        <v>129</v>
      </c>
      <c r="F4180" t="s">
        <v>449</v>
      </c>
      <c r="G4180">
        <v>0.32900000000000001</v>
      </c>
      <c r="I4180">
        <f t="shared" si="243"/>
        <v>0</v>
      </c>
      <c r="J4180">
        <f t="shared" si="243"/>
        <v>0</v>
      </c>
      <c r="K4180">
        <f t="shared" si="243"/>
        <v>0</v>
      </c>
      <c r="M4180" t="str" cm="1">
        <f t="array" ref="M4180">IFERROR(INDEX($I$2:$K$2,0,MATCH(TRUE,I4180:K4180,0)),E4180)</f>
        <v>NEW Gas_GT</v>
      </c>
      <c r="O4180" t="str">
        <f t="shared" si="244"/>
        <v>NEW Gas_GT_2028</v>
      </c>
      <c r="P4180">
        <f t="shared" si="245"/>
        <v>0.32900000000000001</v>
      </c>
    </row>
    <row r="4181" spans="4:16" x14ac:dyDescent="0.25">
      <c r="D4181">
        <v>2029</v>
      </c>
      <c r="E4181" t="s">
        <v>129</v>
      </c>
      <c r="F4181" t="s">
        <v>449</v>
      </c>
      <c r="G4181">
        <v>0.32900000000000001</v>
      </c>
      <c r="I4181">
        <f t="shared" ref="I4181:K4244" si="246">IFERROR(FIND(I$2,$E4181,1)&gt;0,0)</f>
        <v>0</v>
      </c>
      <c r="J4181">
        <f t="shared" si="246"/>
        <v>0</v>
      </c>
      <c r="K4181">
        <f t="shared" si="246"/>
        <v>0</v>
      </c>
      <c r="M4181" t="str" cm="1">
        <f t="array" ref="M4181">IFERROR(INDEX($I$2:$K$2,0,MATCH(TRUE,I4181:K4181,0)),E4181)</f>
        <v>NEW Gas_GT</v>
      </c>
      <c r="O4181" t="str">
        <f t="shared" si="244"/>
        <v>NEW Gas_GT_2029</v>
      </c>
      <c r="P4181">
        <f t="shared" si="245"/>
        <v>0.32900000000000001</v>
      </c>
    </row>
    <row r="4182" spans="4:16" x14ac:dyDescent="0.25">
      <c r="D4182">
        <v>2030</v>
      </c>
      <c r="E4182" t="s">
        <v>129</v>
      </c>
      <c r="F4182" t="s">
        <v>449</v>
      </c>
      <c r="G4182">
        <v>0.32900000000000001</v>
      </c>
      <c r="I4182">
        <f t="shared" si="246"/>
        <v>0</v>
      </c>
      <c r="J4182">
        <f t="shared" si="246"/>
        <v>0</v>
      </c>
      <c r="K4182">
        <f t="shared" si="246"/>
        <v>0</v>
      </c>
      <c r="M4182" t="str" cm="1">
        <f t="array" ref="M4182">IFERROR(INDEX($I$2:$K$2,0,MATCH(TRUE,I4182:K4182,0)),E4182)</f>
        <v>NEW Gas_GT</v>
      </c>
      <c r="O4182" t="str">
        <f t="shared" si="244"/>
        <v>NEW Gas_GT_2030</v>
      </c>
      <c r="P4182">
        <f t="shared" si="245"/>
        <v>0.32900000000000001</v>
      </c>
    </row>
    <row r="4183" spans="4:16" x14ac:dyDescent="0.25">
      <c r="D4183">
        <v>2031</v>
      </c>
      <c r="E4183" t="s">
        <v>129</v>
      </c>
      <c r="F4183" t="s">
        <v>449</v>
      </c>
      <c r="G4183">
        <v>0.32900000000000001</v>
      </c>
      <c r="I4183">
        <f t="shared" si="246"/>
        <v>0</v>
      </c>
      <c r="J4183">
        <f t="shared" si="246"/>
        <v>0</v>
      </c>
      <c r="K4183">
        <f t="shared" si="246"/>
        <v>0</v>
      </c>
      <c r="M4183" t="str" cm="1">
        <f t="array" ref="M4183">IFERROR(INDEX($I$2:$K$2,0,MATCH(TRUE,I4183:K4183,0)),E4183)</f>
        <v>NEW Gas_GT</v>
      </c>
      <c r="O4183" t="str">
        <f t="shared" si="244"/>
        <v>NEW Gas_GT_2031</v>
      </c>
      <c r="P4183">
        <f t="shared" si="245"/>
        <v>0.32900000000000001</v>
      </c>
    </row>
    <row r="4184" spans="4:16" x14ac:dyDescent="0.25">
      <c r="D4184">
        <v>2032</v>
      </c>
      <c r="E4184" t="s">
        <v>129</v>
      </c>
      <c r="F4184" t="s">
        <v>449</v>
      </c>
      <c r="G4184">
        <v>0.32900000000000001</v>
      </c>
      <c r="I4184">
        <f t="shared" si="246"/>
        <v>0</v>
      </c>
      <c r="J4184">
        <f t="shared" si="246"/>
        <v>0</v>
      </c>
      <c r="K4184">
        <f t="shared" si="246"/>
        <v>0</v>
      </c>
      <c r="M4184" t="str" cm="1">
        <f t="array" ref="M4184">IFERROR(INDEX($I$2:$K$2,0,MATCH(TRUE,I4184:K4184,0)),E4184)</f>
        <v>NEW Gas_GT</v>
      </c>
      <c r="O4184" t="str">
        <f t="shared" si="244"/>
        <v>NEW Gas_GT_2032</v>
      </c>
      <c r="P4184">
        <f t="shared" si="245"/>
        <v>0.32900000000000001</v>
      </c>
    </row>
    <row r="4185" spans="4:16" x14ac:dyDescent="0.25">
      <c r="D4185">
        <v>2033</v>
      </c>
      <c r="E4185" t="s">
        <v>129</v>
      </c>
      <c r="F4185" t="s">
        <v>449</v>
      </c>
      <c r="G4185">
        <v>0.32900000000000001</v>
      </c>
      <c r="I4185">
        <f t="shared" si="246"/>
        <v>0</v>
      </c>
      <c r="J4185">
        <f t="shared" si="246"/>
        <v>0</v>
      </c>
      <c r="K4185">
        <f t="shared" si="246"/>
        <v>0</v>
      </c>
      <c r="M4185" t="str" cm="1">
        <f t="array" ref="M4185">IFERROR(INDEX($I$2:$K$2,0,MATCH(TRUE,I4185:K4185,0)),E4185)</f>
        <v>NEW Gas_GT</v>
      </c>
      <c r="O4185" t="str">
        <f t="shared" si="244"/>
        <v>NEW Gas_GT_2033</v>
      </c>
      <c r="P4185">
        <f t="shared" si="245"/>
        <v>0.32900000000000001</v>
      </c>
    </row>
    <row r="4186" spans="4:16" x14ac:dyDescent="0.25">
      <c r="D4186">
        <v>2034</v>
      </c>
      <c r="E4186" t="s">
        <v>129</v>
      </c>
      <c r="F4186" t="s">
        <v>449</v>
      </c>
      <c r="G4186">
        <v>0.32900000000000001</v>
      </c>
      <c r="I4186">
        <f t="shared" si="246"/>
        <v>0</v>
      </c>
      <c r="J4186">
        <f t="shared" si="246"/>
        <v>0</v>
      </c>
      <c r="K4186">
        <f t="shared" si="246"/>
        <v>0</v>
      </c>
      <c r="M4186" t="str" cm="1">
        <f t="array" ref="M4186">IFERROR(INDEX($I$2:$K$2,0,MATCH(TRUE,I4186:K4186,0)),E4186)</f>
        <v>NEW Gas_GT</v>
      </c>
      <c r="O4186" t="str">
        <f t="shared" si="244"/>
        <v>NEW Gas_GT_2034</v>
      </c>
      <c r="P4186">
        <f t="shared" si="245"/>
        <v>0.32900000000000001</v>
      </c>
    </row>
    <row r="4187" spans="4:16" x14ac:dyDescent="0.25">
      <c r="D4187">
        <v>2035</v>
      </c>
      <c r="E4187" t="s">
        <v>129</v>
      </c>
      <c r="F4187" t="s">
        <v>449</v>
      </c>
      <c r="G4187">
        <v>0.32900000000000001</v>
      </c>
      <c r="I4187">
        <f t="shared" si="246"/>
        <v>0</v>
      </c>
      <c r="J4187">
        <f t="shared" si="246"/>
        <v>0</v>
      </c>
      <c r="K4187">
        <f t="shared" si="246"/>
        <v>0</v>
      </c>
      <c r="M4187" t="str" cm="1">
        <f t="array" ref="M4187">IFERROR(INDEX($I$2:$K$2,0,MATCH(TRUE,I4187:K4187,0)),E4187)</f>
        <v>NEW Gas_GT</v>
      </c>
      <c r="O4187" t="str">
        <f t="shared" si="244"/>
        <v>NEW Gas_GT_2035</v>
      </c>
      <c r="P4187">
        <f t="shared" si="245"/>
        <v>0.32900000000000001</v>
      </c>
    </row>
    <row r="4188" spans="4:16" x14ac:dyDescent="0.25">
      <c r="D4188">
        <v>2036</v>
      </c>
      <c r="E4188" t="s">
        <v>129</v>
      </c>
      <c r="F4188" t="s">
        <v>449</v>
      </c>
      <c r="G4188">
        <v>493.5</v>
      </c>
      <c r="I4188">
        <f t="shared" si="246"/>
        <v>0</v>
      </c>
      <c r="J4188">
        <f t="shared" si="246"/>
        <v>0</v>
      </c>
      <c r="K4188">
        <f t="shared" si="246"/>
        <v>0</v>
      </c>
      <c r="M4188" t="str" cm="1">
        <f t="array" ref="M4188">IFERROR(INDEX($I$2:$K$2,0,MATCH(TRUE,I4188:K4188,0)),E4188)</f>
        <v>NEW Gas_GT</v>
      </c>
      <c r="O4188" t="str">
        <f t="shared" si="244"/>
        <v>NEW Gas_GT_2036</v>
      </c>
      <c r="P4188">
        <f t="shared" si="245"/>
        <v>493.5</v>
      </c>
    </row>
    <row r="4189" spans="4:16" x14ac:dyDescent="0.25">
      <c r="D4189">
        <v>2037</v>
      </c>
      <c r="E4189" t="s">
        <v>129</v>
      </c>
      <c r="F4189" t="s">
        <v>449</v>
      </c>
      <c r="G4189">
        <v>822.5</v>
      </c>
      <c r="I4189">
        <f t="shared" si="246"/>
        <v>0</v>
      </c>
      <c r="J4189">
        <f t="shared" si="246"/>
        <v>0</v>
      </c>
      <c r="K4189">
        <f t="shared" si="246"/>
        <v>0</v>
      </c>
      <c r="M4189" t="str" cm="1">
        <f t="array" ref="M4189">IFERROR(INDEX($I$2:$K$2,0,MATCH(TRUE,I4189:K4189,0)),E4189)</f>
        <v>NEW Gas_GT</v>
      </c>
      <c r="O4189" t="str">
        <f t="shared" si="244"/>
        <v>NEW Gas_GT_2037</v>
      </c>
      <c r="P4189">
        <f t="shared" si="245"/>
        <v>822.5</v>
      </c>
    </row>
    <row r="4190" spans="4:16" x14ac:dyDescent="0.25">
      <c r="D4190">
        <v>2038</v>
      </c>
      <c r="E4190" t="s">
        <v>129</v>
      </c>
      <c r="F4190" t="s">
        <v>449</v>
      </c>
      <c r="G4190">
        <v>822.5</v>
      </c>
      <c r="I4190">
        <f t="shared" si="246"/>
        <v>0</v>
      </c>
      <c r="J4190">
        <f t="shared" si="246"/>
        <v>0</v>
      </c>
      <c r="K4190">
        <f t="shared" si="246"/>
        <v>0</v>
      </c>
      <c r="M4190" t="str" cm="1">
        <f t="array" ref="M4190">IFERROR(INDEX($I$2:$K$2,0,MATCH(TRUE,I4190:K4190,0)),E4190)</f>
        <v>NEW Gas_GT</v>
      </c>
      <c r="O4190" t="str">
        <f t="shared" si="244"/>
        <v>NEW Gas_GT_2038</v>
      </c>
      <c r="P4190">
        <f t="shared" si="245"/>
        <v>822.5</v>
      </c>
    </row>
    <row r="4191" spans="4:16" x14ac:dyDescent="0.25">
      <c r="D4191">
        <v>2039</v>
      </c>
      <c r="E4191" t="s">
        <v>129</v>
      </c>
      <c r="F4191" t="s">
        <v>449</v>
      </c>
      <c r="G4191">
        <v>1645</v>
      </c>
      <c r="I4191">
        <f t="shared" si="246"/>
        <v>0</v>
      </c>
      <c r="J4191">
        <f t="shared" si="246"/>
        <v>0</v>
      </c>
      <c r="K4191">
        <f t="shared" si="246"/>
        <v>0</v>
      </c>
      <c r="M4191" t="str" cm="1">
        <f t="array" ref="M4191">IFERROR(INDEX($I$2:$K$2,0,MATCH(TRUE,I4191:K4191,0)),E4191)</f>
        <v>NEW Gas_GT</v>
      </c>
      <c r="O4191" t="str">
        <f t="shared" si="244"/>
        <v>NEW Gas_GT_2039</v>
      </c>
      <c r="P4191">
        <f t="shared" si="245"/>
        <v>1645</v>
      </c>
    </row>
    <row r="4192" spans="4:16" x14ac:dyDescent="0.25">
      <c r="D4192">
        <v>2040</v>
      </c>
      <c r="E4192" t="s">
        <v>129</v>
      </c>
      <c r="F4192" t="s">
        <v>449</v>
      </c>
      <c r="G4192">
        <v>2138.5</v>
      </c>
      <c r="I4192">
        <f t="shared" si="246"/>
        <v>0</v>
      </c>
      <c r="J4192">
        <f t="shared" si="246"/>
        <v>0</v>
      </c>
      <c r="K4192">
        <f t="shared" si="246"/>
        <v>0</v>
      </c>
      <c r="M4192" t="str" cm="1">
        <f t="array" ref="M4192">IFERROR(INDEX($I$2:$K$2,0,MATCH(TRUE,I4192:K4192,0)),E4192)</f>
        <v>NEW Gas_GT</v>
      </c>
      <c r="O4192" t="str">
        <f t="shared" si="244"/>
        <v>NEW Gas_GT_2040</v>
      </c>
      <c r="P4192">
        <f t="shared" si="245"/>
        <v>2138.5</v>
      </c>
    </row>
    <row r="4193" spans="4:16" x14ac:dyDescent="0.25">
      <c r="D4193">
        <v>2021</v>
      </c>
      <c r="E4193" t="s">
        <v>450</v>
      </c>
      <c r="F4193" t="s">
        <v>451</v>
      </c>
      <c r="G4193">
        <v>1410</v>
      </c>
      <c r="I4193">
        <f t="shared" si="246"/>
        <v>0</v>
      </c>
      <c r="J4193">
        <f t="shared" si="246"/>
        <v>0</v>
      </c>
      <c r="K4193">
        <f t="shared" si="246"/>
        <v>0</v>
      </c>
      <c r="M4193" t="str" cm="1">
        <f t="array" ref="M4193">IFERROR(INDEX($I$2:$K$2,0,MATCH(TRUE,I4193:K4193,0)),E4193)</f>
        <v>Nuclear</v>
      </c>
      <c r="O4193" t="str">
        <f t="shared" si="244"/>
        <v>Nuclear_2021</v>
      </c>
      <c r="P4193">
        <f t="shared" si="245"/>
        <v>1410</v>
      </c>
    </row>
    <row r="4194" spans="4:16" x14ac:dyDescent="0.25">
      <c r="D4194">
        <v>2021</v>
      </c>
      <c r="E4194" t="s">
        <v>450</v>
      </c>
      <c r="F4194" t="s">
        <v>452</v>
      </c>
      <c r="G4194">
        <v>1329</v>
      </c>
      <c r="I4194">
        <f t="shared" si="246"/>
        <v>0</v>
      </c>
      <c r="J4194">
        <f t="shared" si="246"/>
        <v>0</v>
      </c>
      <c r="K4194">
        <f t="shared" si="246"/>
        <v>0</v>
      </c>
      <c r="M4194" t="str" cm="1">
        <f t="array" ref="M4194">IFERROR(INDEX($I$2:$K$2,0,MATCH(TRUE,I4194:K4194,0)),E4194)</f>
        <v>Nuclear</v>
      </c>
      <c r="O4194" t="str">
        <f t="shared" si="244"/>
        <v>Nuclear_2021</v>
      </c>
      <c r="P4194">
        <f t="shared" si="245"/>
        <v>1329</v>
      </c>
    </row>
    <row r="4195" spans="4:16" x14ac:dyDescent="0.25">
      <c r="D4195">
        <v>2022</v>
      </c>
      <c r="E4195" t="s">
        <v>450</v>
      </c>
      <c r="F4195" t="s">
        <v>452</v>
      </c>
      <c r="G4195">
        <v>1329</v>
      </c>
      <c r="I4195">
        <f t="shared" si="246"/>
        <v>0</v>
      </c>
      <c r="J4195">
        <f t="shared" si="246"/>
        <v>0</v>
      </c>
      <c r="K4195">
        <f t="shared" si="246"/>
        <v>0</v>
      </c>
      <c r="M4195" t="str" cm="1">
        <f t="array" ref="M4195">IFERROR(INDEX($I$2:$K$2,0,MATCH(TRUE,I4195:K4195,0)),E4195)</f>
        <v>Nuclear</v>
      </c>
      <c r="O4195" t="str">
        <f t="shared" si="244"/>
        <v>Nuclear_2022</v>
      </c>
      <c r="P4195">
        <f t="shared" si="245"/>
        <v>1329</v>
      </c>
    </row>
    <row r="4196" spans="4:16" x14ac:dyDescent="0.25">
      <c r="D4196">
        <v>2021</v>
      </c>
      <c r="E4196" t="s">
        <v>450</v>
      </c>
      <c r="F4196" t="s">
        <v>453</v>
      </c>
      <c r="G4196">
        <v>1360</v>
      </c>
      <c r="I4196">
        <f t="shared" si="246"/>
        <v>0</v>
      </c>
      <c r="J4196">
        <f t="shared" si="246"/>
        <v>0</v>
      </c>
      <c r="K4196">
        <f t="shared" si="246"/>
        <v>0</v>
      </c>
      <c r="M4196" t="str" cm="1">
        <f t="array" ref="M4196">IFERROR(INDEX($I$2:$K$2,0,MATCH(TRUE,I4196:K4196,0)),E4196)</f>
        <v>Nuclear</v>
      </c>
      <c r="O4196" t="str">
        <f t="shared" si="244"/>
        <v>Nuclear_2021</v>
      </c>
      <c r="P4196">
        <f t="shared" si="245"/>
        <v>1360</v>
      </c>
    </row>
    <row r="4197" spans="4:16" x14ac:dyDescent="0.25">
      <c r="D4197">
        <v>2021</v>
      </c>
      <c r="E4197" t="s">
        <v>450</v>
      </c>
      <c r="F4197" t="s">
        <v>454</v>
      </c>
      <c r="G4197">
        <v>1288</v>
      </c>
      <c r="I4197">
        <f t="shared" si="246"/>
        <v>0</v>
      </c>
      <c r="J4197">
        <f t="shared" si="246"/>
        <v>0</v>
      </c>
      <c r="K4197">
        <f t="shared" si="246"/>
        <v>0</v>
      </c>
      <c r="M4197" t="str" cm="1">
        <f t="array" ref="M4197">IFERROR(INDEX($I$2:$K$2,0,MATCH(TRUE,I4197:K4197,0)),E4197)</f>
        <v>Nuclear</v>
      </c>
      <c r="O4197" t="str">
        <f t="shared" si="244"/>
        <v>Nuclear_2021</v>
      </c>
      <c r="P4197">
        <f t="shared" si="245"/>
        <v>1288</v>
      </c>
    </row>
    <row r="4198" spans="4:16" x14ac:dyDescent="0.25">
      <c r="D4198">
        <v>2021</v>
      </c>
      <c r="E4198" t="s">
        <v>450</v>
      </c>
      <c r="F4198" t="s">
        <v>455</v>
      </c>
      <c r="G4198">
        <v>1410</v>
      </c>
      <c r="I4198">
        <f t="shared" si="246"/>
        <v>0</v>
      </c>
      <c r="J4198">
        <f t="shared" si="246"/>
        <v>0</v>
      </c>
      <c r="K4198">
        <f t="shared" si="246"/>
        <v>0</v>
      </c>
      <c r="M4198" t="str" cm="1">
        <f t="array" ref="M4198">IFERROR(INDEX($I$2:$K$2,0,MATCH(TRUE,I4198:K4198,0)),E4198)</f>
        <v>Nuclear</v>
      </c>
      <c r="O4198" t="str">
        <f t="shared" si="244"/>
        <v>Nuclear_2021</v>
      </c>
      <c r="P4198">
        <f t="shared" si="245"/>
        <v>1410</v>
      </c>
    </row>
    <row r="4199" spans="4:16" x14ac:dyDescent="0.25">
      <c r="D4199">
        <v>2022</v>
      </c>
      <c r="E4199" t="s">
        <v>450</v>
      </c>
      <c r="F4199" t="s">
        <v>455</v>
      </c>
      <c r="G4199">
        <v>1410</v>
      </c>
      <c r="I4199">
        <f t="shared" si="246"/>
        <v>0</v>
      </c>
      <c r="J4199">
        <f t="shared" si="246"/>
        <v>0</v>
      </c>
      <c r="K4199">
        <f t="shared" si="246"/>
        <v>0</v>
      </c>
      <c r="M4199" t="str" cm="1">
        <f t="array" ref="M4199">IFERROR(INDEX($I$2:$K$2,0,MATCH(TRUE,I4199:K4199,0)),E4199)</f>
        <v>Nuclear</v>
      </c>
      <c r="O4199" t="str">
        <f t="shared" si="244"/>
        <v>Nuclear_2022</v>
      </c>
      <c r="P4199">
        <f t="shared" si="245"/>
        <v>1410</v>
      </c>
    </row>
    <row r="4200" spans="4:16" x14ac:dyDescent="0.25">
      <c r="D4200">
        <v>2021</v>
      </c>
      <c r="E4200" t="s">
        <v>450</v>
      </c>
      <c r="F4200" t="s">
        <v>456</v>
      </c>
      <c r="G4200">
        <v>1310</v>
      </c>
      <c r="I4200">
        <f t="shared" si="246"/>
        <v>0</v>
      </c>
      <c r="J4200">
        <f t="shared" si="246"/>
        <v>0</v>
      </c>
      <c r="K4200">
        <f t="shared" si="246"/>
        <v>0</v>
      </c>
      <c r="M4200" t="str" cm="1">
        <f t="array" ref="M4200">IFERROR(INDEX($I$2:$K$2,0,MATCH(TRUE,I4200:K4200,0)),E4200)</f>
        <v>Nuclear</v>
      </c>
      <c r="O4200" t="str">
        <f t="shared" si="244"/>
        <v>Nuclear_2021</v>
      </c>
      <c r="P4200">
        <f t="shared" si="245"/>
        <v>1310</v>
      </c>
    </row>
    <row r="4201" spans="4:16" x14ac:dyDescent="0.25">
      <c r="D4201">
        <v>2022</v>
      </c>
      <c r="E4201" t="s">
        <v>450</v>
      </c>
      <c r="F4201" t="s">
        <v>456</v>
      </c>
      <c r="G4201">
        <v>1310</v>
      </c>
      <c r="I4201">
        <f t="shared" si="246"/>
        <v>0</v>
      </c>
      <c r="J4201">
        <f t="shared" si="246"/>
        <v>0</v>
      </c>
      <c r="K4201">
        <f t="shared" si="246"/>
        <v>0</v>
      </c>
      <c r="M4201" t="str" cm="1">
        <f t="array" ref="M4201">IFERROR(INDEX($I$2:$K$2,0,MATCH(TRUE,I4201:K4201,0)),E4201)</f>
        <v>Nuclear</v>
      </c>
      <c r="O4201" t="str">
        <f t="shared" si="244"/>
        <v>Nuclear_2022</v>
      </c>
      <c r="P4201">
        <f t="shared" si="245"/>
        <v>1310</v>
      </c>
    </row>
    <row r="4202" spans="4:16" x14ac:dyDescent="0.25">
      <c r="D4202">
        <v>2021</v>
      </c>
      <c r="E4202" t="s">
        <v>130</v>
      </c>
      <c r="F4202" t="s">
        <v>457</v>
      </c>
      <c r="G4202">
        <v>28.75</v>
      </c>
      <c r="I4202">
        <f t="shared" si="246"/>
        <v>0</v>
      </c>
      <c r="J4202">
        <f t="shared" si="246"/>
        <v>0</v>
      </c>
      <c r="K4202">
        <f t="shared" si="246"/>
        <v>0</v>
      </c>
      <c r="M4202" t="str" cm="1">
        <f t="array" ref="M4202">IFERROR(INDEX($I$2:$K$2,0,MATCH(TRUE,I4202:K4202,0)),E4202)</f>
        <v>OCGT</v>
      </c>
      <c r="O4202" t="str">
        <f t="shared" si="244"/>
        <v>OCGT_2021</v>
      </c>
      <c r="P4202">
        <f t="shared" si="245"/>
        <v>28.75</v>
      </c>
    </row>
    <row r="4203" spans="4:16" x14ac:dyDescent="0.25">
      <c r="D4203">
        <v>2022</v>
      </c>
      <c r="E4203" t="s">
        <v>130</v>
      </c>
      <c r="F4203" t="s">
        <v>457</v>
      </c>
      <c r="G4203">
        <v>28.75</v>
      </c>
      <c r="I4203">
        <f t="shared" si="246"/>
        <v>0</v>
      </c>
      <c r="J4203">
        <f t="shared" si="246"/>
        <v>0</v>
      </c>
      <c r="K4203">
        <f t="shared" si="246"/>
        <v>0</v>
      </c>
      <c r="M4203" t="str" cm="1">
        <f t="array" ref="M4203">IFERROR(INDEX($I$2:$K$2,0,MATCH(TRUE,I4203:K4203,0)),E4203)</f>
        <v>OCGT</v>
      </c>
      <c r="O4203" t="str">
        <f t="shared" si="244"/>
        <v>OCGT_2022</v>
      </c>
      <c r="P4203">
        <f t="shared" si="245"/>
        <v>28.75</v>
      </c>
    </row>
    <row r="4204" spans="4:16" x14ac:dyDescent="0.25">
      <c r="D4204">
        <v>2023</v>
      </c>
      <c r="E4204" t="s">
        <v>130</v>
      </c>
      <c r="F4204" t="s">
        <v>457</v>
      </c>
      <c r="G4204">
        <v>28.75</v>
      </c>
      <c r="I4204">
        <f t="shared" si="246"/>
        <v>0</v>
      </c>
      <c r="J4204">
        <f t="shared" si="246"/>
        <v>0</v>
      </c>
      <c r="K4204">
        <f t="shared" si="246"/>
        <v>0</v>
      </c>
      <c r="M4204" t="str" cm="1">
        <f t="array" ref="M4204">IFERROR(INDEX($I$2:$K$2,0,MATCH(TRUE,I4204:K4204,0)),E4204)</f>
        <v>OCGT</v>
      </c>
      <c r="O4204" t="str">
        <f t="shared" si="244"/>
        <v>OCGT_2023</v>
      </c>
      <c r="P4204">
        <f t="shared" si="245"/>
        <v>28.75</v>
      </c>
    </row>
    <row r="4205" spans="4:16" x14ac:dyDescent="0.25">
      <c r="D4205">
        <v>2024</v>
      </c>
      <c r="E4205" t="s">
        <v>130</v>
      </c>
      <c r="F4205" t="s">
        <v>457</v>
      </c>
      <c r="G4205">
        <v>28.75</v>
      </c>
      <c r="I4205">
        <f t="shared" si="246"/>
        <v>0</v>
      </c>
      <c r="J4205">
        <f t="shared" si="246"/>
        <v>0</v>
      </c>
      <c r="K4205">
        <f t="shared" si="246"/>
        <v>0</v>
      </c>
      <c r="M4205" t="str" cm="1">
        <f t="array" ref="M4205">IFERROR(INDEX($I$2:$K$2,0,MATCH(TRUE,I4205:K4205,0)),E4205)</f>
        <v>OCGT</v>
      </c>
      <c r="O4205" t="str">
        <f t="shared" si="244"/>
        <v>OCGT_2024</v>
      </c>
      <c r="P4205">
        <f t="shared" si="245"/>
        <v>28.75</v>
      </c>
    </row>
    <row r="4206" spans="4:16" x14ac:dyDescent="0.25">
      <c r="D4206">
        <v>2025</v>
      </c>
      <c r="E4206" t="s">
        <v>130</v>
      </c>
      <c r="F4206" t="s">
        <v>457</v>
      </c>
      <c r="G4206">
        <v>28.75</v>
      </c>
      <c r="I4206">
        <f t="shared" si="246"/>
        <v>0</v>
      </c>
      <c r="J4206">
        <f t="shared" si="246"/>
        <v>0</v>
      </c>
      <c r="K4206">
        <f t="shared" si="246"/>
        <v>0</v>
      </c>
      <c r="M4206" t="str" cm="1">
        <f t="array" ref="M4206">IFERROR(INDEX($I$2:$K$2,0,MATCH(TRUE,I4206:K4206,0)),E4206)</f>
        <v>OCGT</v>
      </c>
      <c r="O4206" t="str">
        <f t="shared" si="244"/>
        <v>OCGT_2025</v>
      </c>
      <c r="P4206">
        <f t="shared" si="245"/>
        <v>28.75</v>
      </c>
    </row>
    <row r="4207" spans="4:16" x14ac:dyDescent="0.25">
      <c r="D4207">
        <v>2026</v>
      </c>
      <c r="E4207" t="s">
        <v>130</v>
      </c>
      <c r="F4207" t="s">
        <v>457</v>
      </c>
      <c r="G4207">
        <v>28.75</v>
      </c>
      <c r="I4207">
        <f t="shared" si="246"/>
        <v>0</v>
      </c>
      <c r="J4207">
        <f t="shared" si="246"/>
        <v>0</v>
      </c>
      <c r="K4207">
        <f t="shared" si="246"/>
        <v>0</v>
      </c>
      <c r="M4207" t="str" cm="1">
        <f t="array" ref="M4207">IFERROR(INDEX($I$2:$K$2,0,MATCH(TRUE,I4207:K4207,0)),E4207)</f>
        <v>OCGT</v>
      </c>
      <c r="O4207" t="str">
        <f t="shared" si="244"/>
        <v>OCGT_2026</v>
      </c>
      <c r="P4207">
        <f t="shared" si="245"/>
        <v>28.75</v>
      </c>
    </row>
    <row r="4208" spans="4:16" x14ac:dyDescent="0.25">
      <c r="D4208">
        <v>2027</v>
      </c>
      <c r="E4208" t="s">
        <v>130</v>
      </c>
      <c r="F4208" t="s">
        <v>457</v>
      </c>
      <c r="G4208">
        <v>28.75</v>
      </c>
      <c r="I4208">
        <f t="shared" si="246"/>
        <v>0</v>
      </c>
      <c r="J4208">
        <f t="shared" si="246"/>
        <v>0</v>
      </c>
      <c r="K4208">
        <f t="shared" si="246"/>
        <v>0</v>
      </c>
      <c r="M4208" t="str" cm="1">
        <f t="array" ref="M4208">IFERROR(INDEX($I$2:$K$2,0,MATCH(TRUE,I4208:K4208,0)),E4208)</f>
        <v>OCGT</v>
      </c>
      <c r="O4208" t="str">
        <f t="shared" si="244"/>
        <v>OCGT_2027</v>
      </c>
      <c r="P4208">
        <f t="shared" si="245"/>
        <v>28.75</v>
      </c>
    </row>
    <row r="4209" spans="4:16" x14ac:dyDescent="0.25">
      <c r="D4209">
        <v>2028</v>
      </c>
      <c r="E4209" t="s">
        <v>130</v>
      </c>
      <c r="F4209" t="s">
        <v>457</v>
      </c>
      <c r="G4209">
        <v>28.75</v>
      </c>
      <c r="I4209">
        <f t="shared" si="246"/>
        <v>0</v>
      </c>
      <c r="J4209">
        <f t="shared" si="246"/>
        <v>0</v>
      </c>
      <c r="K4209">
        <f t="shared" si="246"/>
        <v>0</v>
      </c>
      <c r="M4209" t="str" cm="1">
        <f t="array" ref="M4209">IFERROR(INDEX($I$2:$K$2,0,MATCH(TRUE,I4209:K4209,0)),E4209)</f>
        <v>OCGT</v>
      </c>
      <c r="O4209" t="str">
        <f t="shared" si="244"/>
        <v>OCGT_2028</v>
      </c>
      <c r="P4209">
        <f t="shared" si="245"/>
        <v>28.75</v>
      </c>
    </row>
    <row r="4210" spans="4:16" x14ac:dyDescent="0.25">
      <c r="D4210">
        <v>2029</v>
      </c>
      <c r="E4210" t="s">
        <v>130</v>
      </c>
      <c r="F4210" t="s">
        <v>457</v>
      </c>
      <c r="G4210">
        <v>28.75</v>
      </c>
      <c r="I4210">
        <f t="shared" si="246"/>
        <v>0</v>
      </c>
      <c r="J4210">
        <f t="shared" si="246"/>
        <v>0</v>
      </c>
      <c r="K4210">
        <f t="shared" si="246"/>
        <v>0</v>
      </c>
      <c r="M4210" t="str" cm="1">
        <f t="array" ref="M4210">IFERROR(INDEX($I$2:$K$2,0,MATCH(TRUE,I4210:K4210,0)),E4210)</f>
        <v>OCGT</v>
      </c>
      <c r="O4210" t="str">
        <f t="shared" si="244"/>
        <v>OCGT_2029</v>
      </c>
      <c r="P4210">
        <f t="shared" si="245"/>
        <v>28.75</v>
      </c>
    </row>
    <row r="4211" spans="4:16" x14ac:dyDescent="0.25">
      <c r="D4211">
        <v>2030</v>
      </c>
      <c r="E4211" t="s">
        <v>130</v>
      </c>
      <c r="F4211" t="s">
        <v>457</v>
      </c>
      <c r="G4211">
        <v>28.75</v>
      </c>
      <c r="I4211">
        <f t="shared" si="246"/>
        <v>0</v>
      </c>
      <c r="J4211">
        <f t="shared" si="246"/>
        <v>0</v>
      </c>
      <c r="K4211">
        <f t="shared" si="246"/>
        <v>0</v>
      </c>
      <c r="M4211" t="str" cm="1">
        <f t="array" ref="M4211">IFERROR(INDEX($I$2:$K$2,0,MATCH(TRUE,I4211:K4211,0)),E4211)</f>
        <v>OCGT</v>
      </c>
      <c r="O4211" t="str">
        <f t="shared" si="244"/>
        <v>OCGT_2030</v>
      </c>
      <c r="P4211">
        <f t="shared" si="245"/>
        <v>28.75</v>
      </c>
    </row>
    <row r="4212" spans="4:16" x14ac:dyDescent="0.25">
      <c r="D4212">
        <v>2031</v>
      </c>
      <c r="E4212" t="s">
        <v>130</v>
      </c>
      <c r="F4212" t="s">
        <v>457</v>
      </c>
      <c r="G4212">
        <v>28.75</v>
      </c>
      <c r="I4212">
        <f t="shared" si="246"/>
        <v>0</v>
      </c>
      <c r="J4212">
        <f t="shared" si="246"/>
        <v>0</v>
      </c>
      <c r="K4212">
        <f t="shared" si="246"/>
        <v>0</v>
      </c>
      <c r="M4212" t="str" cm="1">
        <f t="array" ref="M4212">IFERROR(INDEX($I$2:$K$2,0,MATCH(TRUE,I4212:K4212,0)),E4212)</f>
        <v>OCGT</v>
      </c>
      <c r="O4212" t="str">
        <f t="shared" si="244"/>
        <v>OCGT_2031</v>
      </c>
      <c r="P4212">
        <f t="shared" si="245"/>
        <v>28.75</v>
      </c>
    </row>
    <row r="4213" spans="4:16" x14ac:dyDescent="0.25">
      <c r="D4213">
        <v>2032</v>
      </c>
      <c r="E4213" t="s">
        <v>130</v>
      </c>
      <c r="F4213" t="s">
        <v>457</v>
      </c>
      <c r="G4213">
        <v>28.75</v>
      </c>
      <c r="I4213">
        <f t="shared" si="246"/>
        <v>0</v>
      </c>
      <c r="J4213">
        <f t="shared" si="246"/>
        <v>0</v>
      </c>
      <c r="K4213">
        <f t="shared" si="246"/>
        <v>0</v>
      </c>
      <c r="M4213" t="str" cm="1">
        <f t="array" ref="M4213">IFERROR(INDEX($I$2:$K$2,0,MATCH(TRUE,I4213:K4213,0)),E4213)</f>
        <v>OCGT</v>
      </c>
      <c r="O4213" t="str">
        <f t="shared" si="244"/>
        <v>OCGT_2032</v>
      </c>
      <c r="P4213">
        <f t="shared" si="245"/>
        <v>28.75</v>
      </c>
    </row>
    <row r="4214" spans="4:16" x14ac:dyDescent="0.25">
      <c r="D4214">
        <v>2033</v>
      </c>
      <c r="E4214" t="s">
        <v>130</v>
      </c>
      <c r="F4214" t="s">
        <v>457</v>
      </c>
      <c r="G4214">
        <v>28.75</v>
      </c>
      <c r="I4214">
        <f t="shared" si="246"/>
        <v>0</v>
      </c>
      <c r="J4214">
        <f t="shared" si="246"/>
        <v>0</v>
      </c>
      <c r="K4214">
        <f t="shared" si="246"/>
        <v>0</v>
      </c>
      <c r="M4214" t="str" cm="1">
        <f t="array" ref="M4214">IFERROR(INDEX($I$2:$K$2,0,MATCH(TRUE,I4214:K4214,0)),E4214)</f>
        <v>OCGT</v>
      </c>
      <c r="O4214" t="str">
        <f t="shared" si="244"/>
        <v>OCGT_2033</v>
      </c>
      <c r="P4214">
        <f t="shared" si="245"/>
        <v>28.75</v>
      </c>
    </row>
    <row r="4215" spans="4:16" x14ac:dyDescent="0.25">
      <c r="D4215">
        <v>2034</v>
      </c>
      <c r="E4215" t="s">
        <v>130</v>
      </c>
      <c r="F4215" t="s">
        <v>457</v>
      </c>
      <c r="G4215">
        <v>28.75</v>
      </c>
      <c r="I4215">
        <f t="shared" si="246"/>
        <v>0</v>
      </c>
      <c r="J4215">
        <f t="shared" si="246"/>
        <v>0</v>
      </c>
      <c r="K4215">
        <f t="shared" si="246"/>
        <v>0</v>
      </c>
      <c r="M4215" t="str" cm="1">
        <f t="array" ref="M4215">IFERROR(INDEX($I$2:$K$2,0,MATCH(TRUE,I4215:K4215,0)),E4215)</f>
        <v>OCGT</v>
      </c>
      <c r="O4215" t="str">
        <f t="shared" si="244"/>
        <v>OCGT_2034</v>
      </c>
      <c r="P4215">
        <f t="shared" si="245"/>
        <v>28.75</v>
      </c>
    </row>
    <row r="4216" spans="4:16" x14ac:dyDescent="0.25">
      <c r="D4216">
        <v>2035</v>
      </c>
      <c r="E4216" t="s">
        <v>130</v>
      </c>
      <c r="F4216" t="s">
        <v>457</v>
      </c>
      <c r="G4216">
        <v>28.75</v>
      </c>
      <c r="I4216">
        <f t="shared" si="246"/>
        <v>0</v>
      </c>
      <c r="J4216">
        <f t="shared" si="246"/>
        <v>0</v>
      </c>
      <c r="K4216">
        <f t="shared" si="246"/>
        <v>0</v>
      </c>
      <c r="M4216" t="str" cm="1">
        <f t="array" ref="M4216">IFERROR(INDEX($I$2:$K$2,0,MATCH(TRUE,I4216:K4216,0)),E4216)</f>
        <v>OCGT</v>
      </c>
      <c r="O4216" t="str">
        <f t="shared" si="244"/>
        <v>OCGT_2035</v>
      </c>
      <c r="P4216">
        <f t="shared" si="245"/>
        <v>28.75</v>
      </c>
    </row>
    <row r="4217" spans="4:16" x14ac:dyDescent="0.25">
      <c r="D4217">
        <v>2036</v>
      </c>
      <c r="E4217" t="s">
        <v>130</v>
      </c>
      <c r="F4217" t="s">
        <v>457</v>
      </c>
      <c r="G4217">
        <v>28.75</v>
      </c>
      <c r="I4217">
        <f t="shared" si="246"/>
        <v>0</v>
      </c>
      <c r="J4217">
        <f t="shared" si="246"/>
        <v>0</v>
      </c>
      <c r="K4217">
        <f t="shared" si="246"/>
        <v>0</v>
      </c>
      <c r="M4217" t="str" cm="1">
        <f t="array" ref="M4217">IFERROR(INDEX($I$2:$K$2,0,MATCH(TRUE,I4217:K4217,0)),E4217)</f>
        <v>OCGT</v>
      </c>
      <c r="O4217" t="str">
        <f t="shared" si="244"/>
        <v>OCGT_2036</v>
      </c>
      <c r="P4217">
        <f t="shared" si="245"/>
        <v>28.75</v>
      </c>
    </row>
    <row r="4218" spans="4:16" x14ac:dyDescent="0.25">
      <c r="D4218">
        <v>2037</v>
      </c>
      <c r="E4218" t="s">
        <v>130</v>
      </c>
      <c r="F4218" t="s">
        <v>457</v>
      </c>
      <c r="G4218">
        <v>28.75</v>
      </c>
      <c r="I4218">
        <f t="shared" si="246"/>
        <v>0</v>
      </c>
      <c r="J4218">
        <f t="shared" si="246"/>
        <v>0</v>
      </c>
      <c r="K4218">
        <f t="shared" si="246"/>
        <v>0</v>
      </c>
      <c r="M4218" t="str" cm="1">
        <f t="array" ref="M4218">IFERROR(INDEX($I$2:$K$2,0,MATCH(TRUE,I4218:K4218,0)),E4218)</f>
        <v>OCGT</v>
      </c>
      <c r="O4218" t="str">
        <f t="shared" si="244"/>
        <v>OCGT_2037</v>
      </c>
      <c r="P4218">
        <f t="shared" si="245"/>
        <v>28.75</v>
      </c>
    </row>
    <row r="4219" spans="4:16" x14ac:dyDescent="0.25">
      <c r="D4219">
        <v>2038</v>
      </c>
      <c r="E4219" t="s">
        <v>130</v>
      </c>
      <c r="F4219" t="s">
        <v>457</v>
      </c>
      <c r="G4219">
        <v>28.75</v>
      </c>
      <c r="I4219">
        <f t="shared" si="246"/>
        <v>0</v>
      </c>
      <c r="J4219">
        <f t="shared" si="246"/>
        <v>0</v>
      </c>
      <c r="K4219">
        <f t="shared" si="246"/>
        <v>0</v>
      </c>
      <c r="M4219" t="str" cm="1">
        <f t="array" ref="M4219">IFERROR(INDEX($I$2:$K$2,0,MATCH(TRUE,I4219:K4219,0)),E4219)</f>
        <v>OCGT</v>
      </c>
      <c r="O4219" t="str">
        <f t="shared" si="244"/>
        <v>OCGT_2038</v>
      </c>
      <c r="P4219">
        <f t="shared" si="245"/>
        <v>28.75</v>
      </c>
    </row>
    <row r="4220" spans="4:16" x14ac:dyDescent="0.25">
      <c r="D4220">
        <v>2039</v>
      </c>
      <c r="E4220" t="s">
        <v>130</v>
      </c>
      <c r="F4220" t="s">
        <v>457</v>
      </c>
      <c r="G4220">
        <v>28.75</v>
      </c>
      <c r="I4220">
        <f t="shared" si="246"/>
        <v>0</v>
      </c>
      <c r="J4220">
        <f t="shared" si="246"/>
        <v>0</v>
      </c>
      <c r="K4220">
        <f t="shared" si="246"/>
        <v>0</v>
      </c>
      <c r="M4220" t="str" cm="1">
        <f t="array" ref="M4220">IFERROR(INDEX($I$2:$K$2,0,MATCH(TRUE,I4220:K4220,0)),E4220)</f>
        <v>OCGT</v>
      </c>
      <c r="O4220" t="str">
        <f t="shared" si="244"/>
        <v>OCGT_2039</v>
      </c>
      <c r="P4220">
        <f t="shared" si="245"/>
        <v>28.75</v>
      </c>
    </row>
    <row r="4221" spans="4:16" x14ac:dyDescent="0.25">
      <c r="D4221">
        <v>2040</v>
      </c>
      <c r="E4221" t="s">
        <v>130</v>
      </c>
      <c r="F4221" t="s">
        <v>457</v>
      </c>
      <c r="G4221">
        <v>28.75</v>
      </c>
      <c r="I4221">
        <f t="shared" si="246"/>
        <v>0</v>
      </c>
      <c r="J4221">
        <f t="shared" si="246"/>
        <v>0</v>
      </c>
      <c r="K4221">
        <f t="shared" si="246"/>
        <v>0</v>
      </c>
      <c r="M4221" t="str" cm="1">
        <f t="array" ref="M4221">IFERROR(INDEX($I$2:$K$2,0,MATCH(TRUE,I4221:K4221,0)),E4221)</f>
        <v>OCGT</v>
      </c>
      <c r="O4221" t="str">
        <f t="shared" si="244"/>
        <v>OCGT_2040</v>
      </c>
      <c r="P4221">
        <f t="shared" si="245"/>
        <v>28.75</v>
      </c>
    </row>
    <row r="4222" spans="4:16" x14ac:dyDescent="0.25">
      <c r="D4222">
        <v>2021</v>
      </c>
      <c r="E4222" t="s">
        <v>130</v>
      </c>
      <c r="F4222" t="s">
        <v>458</v>
      </c>
      <c r="G4222">
        <v>70.3</v>
      </c>
      <c r="I4222">
        <f t="shared" si="246"/>
        <v>0</v>
      </c>
      <c r="J4222">
        <f t="shared" si="246"/>
        <v>0</v>
      </c>
      <c r="K4222">
        <f t="shared" si="246"/>
        <v>0</v>
      </c>
      <c r="M4222" t="str" cm="1">
        <f t="array" ref="M4222">IFERROR(INDEX($I$2:$K$2,0,MATCH(TRUE,I4222:K4222,0)),E4222)</f>
        <v>OCGT</v>
      </c>
      <c r="O4222" t="str">
        <f t="shared" si="244"/>
        <v>OCGT_2021</v>
      </c>
      <c r="P4222">
        <f t="shared" si="245"/>
        <v>70.3</v>
      </c>
    </row>
    <row r="4223" spans="4:16" x14ac:dyDescent="0.25">
      <c r="D4223">
        <v>2022</v>
      </c>
      <c r="E4223" t="s">
        <v>130</v>
      </c>
      <c r="F4223" t="s">
        <v>458</v>
      </c>
      <c r="G4223">
        <v>70.3</v>
      </c>
      <c r="I4223">
        <f t="shared" si="246"/>
        <v>0</v>
      </c>
      <c r="J4223">
        <f t="shared" si="246"/>
        <v>0</v>
      </c>
      <c r="K4223">
        <f t="shared" si="246"/>
        <v>0</v>
      </c>
      <c r="M4223" t="str" cm="1">
        <f t="array" ref="M4223">IFERROR(INDEX($I$2:$K$2,0,MATCH(TRUE,I4223:K4223,0)),E4223)</f>
        <v>OCGT</v>
      </c>
      <c r="O4223" t="str">
        <f t="shared" si="244"/>
        <v>OCGT_2022</v>
      </c>
      <c r="P4223">
        <f t="shared" si="245"/>
        <v>70.3</v>
      </c>
    </row>
    <row r="4224" spans="4:16" x14ac:dyDescent="0.25">
      <c r="D4224">
        <v>2023</v>
      </c>
      <c r="E4224" t="s">
        <v>130</v>
      </c>
      <c r="F4224" t="s">
        <v>458</v>
      </c>
      <c r="G4224">
        <v>70.3</v>
      </c>
      <c r="I4224">
        <f t="shared" si="246"/>
        <v>0</v>
      </c>
      <c r="J4224">
        <f t="shared" si="246"/>
        <v>0</v>
      </c>
      <c r="K4224">
        <f t="shared" si="246"/>
        <v>0</v>
      </c>
      <c r="M4224" t="str" cm="1">
        <f t="array" ref="M4224">IFERROR(INDEX($I$2:$K$2,0,MATCH(TRUE,I4224:K4224,0)),E4224)</f>
        <v>OCGT</v>
      </c>
      <c r="O4224" t="str">
        <f t="shared" si="244"/>
        <v>OCGT_2023</v>
      </c>
      <c r="P4224">
        <f t="shared" si="245"/>
        <v>70.3</v>
      </c>
    </row>
    <row r="4225" spans="4:16" x14ac:dyDescent="0.25">
      <c r="D4225">
        <v>2024</v>
      </c>
      <c r="E4225" t="s">
        <v>130</v>
      </c>
      <c r="F4225" t="s">
        <v>458</v>
      </c>
      <c r="G4225">
        <v>70.3</v>
      </c>
      <c r="I4225">
        <f t="shared" si="246"/>
        <v>0</v>
      </c>
      <c r="J4225">
        <f t="shared" si="246"/>
        <v>0</v>
      </c>
      <c r="K4225">
        <f t="shared" si="246"/>
        <v>0</v>
      </c>
      <c r="M4225" t="str" cm="1">
        <f t="array" ref="M4225">IFERROR(INDEX($I$2:$K$2,0,MATCH(TRUE,I4225:K4225,0)),E4225)</f>
        <v>OCGT</v>
      </c>
      <c r="O4225" t="str">
        <f t="shared" si="244"/>
        <v>OCGT_2024</v>
      </c>
      <c r="P4225">
        <f t="shared" si="245"/>
        <v>70.3</v>
      </c>
    </row>
    <row r="4226" spans="4:16" x14ac:dyDescent="0.25">
      <c r="D4226">
        <v>2021</v>
      </c>
      <c r="E4226" t="s">
        <v>130</v>
      </c>
      <c r="F4226" t="s">
        <v>459</v>
      </c>
      <c r="G4226">
        <v>70.3</v>
      </c>
      <c r="I4226">
        <f t="shared" si="246"/>
        <v>0</v>
      </c>
      <c r="J4226">
        <f t="shared" si="246"/>
        <v>0</v>
      </c>
      <c r="K4226">
        <f t="shared" si="246"/>
        <v>0</v>
      </c>
      <c r="M4226" t="str" cm="1">
        <f t="array" ref="M4226">IFERROR(INDEX($I$2:$K$2,0,MATCH(TRUE,I4226:K4226,0)),E4226)</f>
        <v>OCGT</v>
      </c>
      <c r="O4226" t="str">
        <f t="shared" si="244"/>
        <v>OCGT_2021</v>
      </c>
      <c r="P4226">
        <f t="shared" si="245"/>
        <v>70.3</v>
      </c>
    </row>
    <row r="4227" spans="4:16" x14ac:dyDescent="0.25">
      <c r="D4227">
        <v>2022</v>
      </c>
      <c r="E4227" t="s">
        <v>130</v>
      </c>
      <c r="F4227" t="s">
        <v>459</v>
      </c>
      <c r="G4227">
        <v>70.3</v>
      </c>
      <c r="I4227">
        <f t="shared" si="246"/>
        <v>0</v>
      </c>
      <c r="J4227">
        <f t="shared" si="246"/>
        <v>0</v>
      </c>
      <c r="K4227">
        <f t="shared" si="246"/>
        <v>0</v>
      </c>
      <c r="M4227" t="str" cm="1">
        <f t="array" ref="M4227">IFERROR(INDEX($I$2:$K$2,0,MATCH(TRUE,I4227:K4227,0)),E4227)</f>
        <v>OCGT</v>
      </c>
      <c r="O4227" t="str">
        <f t="shared" si="244"/>
        <v>OCGT_2022</v>
      </c>
      <c r="P4227">
        <f t="shared" si="245"/>
        <v>70.3</v>
      </c>
    </row>
    <row r="4228" spans="4:16" x14ac:dyDescent="0.25">
      <c r="D4228">
        <v>2023</v>
      </c>
      <c r="E4228" t="s">
        <v>130</v>
      </c>
      <c r="F4228" t="s">
        <v>459</v>
      </c>
      <c r="G4228">
        <v>70.3</v>
      </c>
      <c r="I4228">
        <f t="shared" si="246"/>
        <v>0</v>
      </c>
      <c r="J4228">
        <f t="shared" si="246"/>
        <v>0</v>
      </c>
      <c r="K4228">
        <f t="shared" si="246"/>
        <v>0</v>
      </c>
      <c r="M4228" t="str" cm="1">
        <f t="array" ref="M4228">IFERROR(INDEX($I$2:$K$2,0,MATCH(TRUE,I4228:K4228,0)),E4228)</f>
        <v>OCGT</v>
      </c>
      <c r="O4228" t="str">
        <f t="shared" si="244"/>
        <v>OCGT_2023</v>
      </c>
      <c r="P4228">
        <f t="shared" si="245"/>
        <v>70.3</v>
      </c>
    </row>
    <row r="4229" spans="4:16" x14ac:dyDescent="0.25">
      <c r="D4229">
        <v>2024</v>
      </c>
      <c r="E4229" t="s">
        <v>130</v>
      </c>
      <c r="F4229" t="s">
        <v>459</v>
      </c>
      <c r="G4229">
        <v>70.3</v>
      </c>
      <c r="I4229">
        <f t="shared" si="246"/>
        <v>0</v>
      </c>
      <c r="J4229">
        <f t="shared" si="246"/>
        <v>0</v>
      </c>
      <c r="K4229">
        <f t="shared" si="246"/>
        <v>0</v>
      </c>
      <c r="M4229" t="str" cm="1">
        <f t="array" ref="M4229">IFERROR(INDEX($I$2:$K$2,0,MATCH(TRUE,I4229:K4229,0)),E4229)</f>
        <v>OCGT</v>
      </c>
      <c r="O4229" t="str">
        <f t="shared" si="244"/>
        <v>OCGT_2024</v>
      </c>
      <c r="P4229">
        <f t="shared" si="245"/>
        <v>70.3</v>
      </c>
    </row>
    <row r="4230" spans="4:16" x14ac:dyDescent="0.25">
      <c r="D4230">
        <v>2021</v>
      </c>
      <c r="E4230" t="s">
        <v>130</v>
      </c>
      <c r="F4230" t="s">
        <v>460</v>
      </c>
      <c r="G4230">
        <v>25.4</v>
      </c>
      <c r="I4230">
        <f t="shared" si="246"/>
        <v>0</v>
      </c>
      <c r="J4230">
        <f t="shared" si="246"/>
        <v>0</v>
      </c>
      <c r="K4230">
        <f t="shared" si="246"/>
        <v>0</v>
      </c>
      <c r="M4230" t="str" cm="1">
        <f t="array" ref="M4230">IFERROR(INDEX($I$2:$K$2,0,MATCH(TRUE,I4230:K4230,0)),E4230)</f>
        <v>OCGT</v>
      </c>
      <c r="O4230" t="str">
        <f t="shared" si="244"/>
        <v>OCGT_2021</v>
      </c>
      <c r="P4230">
        <f t="shared" si="245"/>
        <v>25.4</v>
      </c>
    </row>
    <row r="4231" spans="4:16" x14ac:dyDescent="0.25">
      <c r="D4231">
        <v>2022</v>
      </c>
      <c r="E4231" t="s">
        <v>130</v>
      </c>
      <c r="F4231" t="s">
        <v>460</v>
      </c>
      <c r="G4231">
        <v>25.4</v>
      </c>
      <c r="I4231">
        <f t="shared" si="246"/>
        <v>0</v>
      </c>
      <c r="J4231">
        <f t="shared" si="246"/>
        <v>0</v>
      </c>
      <c r="K4231">
        <f t="shared" si="246"/>
        <v>0</v>
      </c>
      <c r="M4231" t="str" cm="1">
        <f t="array" ref="M4231">IFERROR(INDEX($I$2:$K$2,0,MATCH(TRUE,I4231:K4231,0)),E4231)</f>
        <v>OCGT</v>
      </c>
      <c r="O4231" t="str">
        <f t="shared" si="244"/>
        <v>OCGT_2022</v>
      </c>
      <c r="P4231">
        <f t="shared" si="245"/>
        <v>25.4</v>
      </c>
    </row>
    <row r="4232" spans="4:16" x14ac:dyDescent="0.25">
      <c r="D4232">
        <v>2023</v>
      </c>
      <c r="E4232" t="s">
        <v>130</v>
      </c>
      <c r="F4232" t="s">
        <v>460</v>
      </c>
      <c r="G4232">
        <v>25.4</v>
      </c>
      <c r="I4232">
        <f t="shared" si="246"/>
        <v>0</v>
      </c>
      <c r="J4232">
        <f t="shared" si="246"/>
        <v>0</v>
      </c>
      <c r="K4232">
        <f t="shared" si="246"/>
        <v>0</v>
      </c>
      <c r="M4232" t="str" cm="1">
        <f t="array" ref="M4232">IFERROR(INDEX($I$2:$K$2,0,MATCH(TRUE,I4232:K4232,0)),E4232)</f>
        <v>OCGT</v>
      </c>
      <c r="O4232" t="str">
        <f t="shared" si="244"/>
        <v>OCGT_2023</v>
      </c>
      <c r="P4232">
        <f t="shared" si="245"/>
        <v>25.4</v>
      </c>
    </row>
    <row r="4233" spans="4:16" x14ac:dyDescent="0.25">
      <c r="D4233">
        <v>2024</v>
      </c>
      <c r="E4233" t="s">
        <v>130</v>
      </c>
      <c r="F4233" t="s">
        <v>460</v>
      </c>
      <c r="G4233">
        <v>25.4</v>
      </c>
      <c r="I4233">
        <f t="shared" si="246"/>
        <v>0</v>
      </c>
      <c r="J4233">
        <f t="shared" si="246"/>
        <v>0</v>
      </c>
      <c r="K4233">
        <f t="shared" si="246"/>
        <v>0</v>
      </c>
      <c r="M4233" t="str" cm="1">
        <f t="array" ref="M4233">IFERROR(INDEX($I$2:$K$2,0,MATCH(TRUE,I4233:K4233,0)),E4233)</f>
        <v>OCGT</v>
      </c>
      <c r="O4233" t="str">
        <f t="shared" si="244"/>
        <v>OCGT_2024</v>
      </c>
      <c r="P4233">
        <f t="shared" si="245"/>
        <v>25.4</v>
      </c>
    </row>
    <row r="4234" spans="4:16" x14ac:dyDescent="0.25">
      <c r="D4234">
        <v>2025</v>
      </c>
      <c r="E4234" t="s">
        <v>130</v>
      </c>
      <c r="F4234" t="s">
        <v>460</v>
      </c>
      <c r="G4234">
        <v>25.4</v>
      </c>
      <c r="I4234">
        <f t="shared" si="246"/>
        <v>0</v>
      </c>
      <c r="J4234">
        <f t="shared" si="246"/>
        <v>0</v>
      </c>
      <c r="K4234">
        <f t="shared" si="246"/>
        <v>0</v>
      </c>
      <c r="M4234" t="str" cm="1">
        <f t="array" ref="M4234">IFERROR(INDEX($I$2:$K$2,0,MATCH(TRUE,I4234:K4234,0)),E4234)</f>
        <v>OCGT</v>
      </c>
      <c r="O4234" t="str">
        <f t="shared" si="244"/>
        <v>OCGT_2025</v>
      </c>
      <c r="P4234">
        <f t="shared" si="245"/>
        <v>25.4</v>
      </c>
    </row>
    <row r="4235" spans="4:16" x14ac:dyDescent="0.25">
      <c r="D4235">
        <v>2026</v>
      </c>
      <c r="E4235" t="s">
        <v>130</v>
      </c>
      <c r="F4235" t="s">
        <v>460</v>
      </c>
      <c r="G4235">
        <v>25.4</v>
      </c>
      <c r="I4235">
        <f t="shared" si="246"/>
        <v>0</v>
      </c>
      <c r="J4235">
        <f t="shared" si="246"/>
        <v>0</v>
      </c>
      <c r="K4235">
        <f t="shared" si="246"/>
        <v>0</v>
      </c>
      <c r="M4235" t="str" cm="1">
        <f t="array" ref="M4235">IFERROR(INDEX($I$2:$K$2,0,MATCH(TRUE,I4235:K4235,0)),E4235)</f>
        <v>OCGT</v>
      </c>
      <c r="O4235" t="str">
        <f t="shared" si="244"/>
        <v>OCGT_2026</v>
      </c>
      <c r="P4235">
        <f t="shared" si="245"/>
        <v>25.4</v>
      </c>
    </row>
    <row r="4236" spans="4:16" x14ac:dyDescent="0.25">
      <c r="D4236">
        <v>2027</v>
      </c>
      <c r="E4236" t="s">
        <v>130</v>
      </c>
      <c r="F4236" t="s">
        <v>460</v>
      </c>
      <c r="G4236">
        <v>25.4</v>
      </c>
      <c r="I4236">
        <f t="shared" si="246"/>
        <v>0</v>
      </c>
      <c r="J4236">
        <f t="shared" si="246"/>
        <v>0</v>
      </c>
      <c r="K4236">
        <f t="shared" si="246"/>
        <v>0</v>
      </c>
      <c r="M4236" t="str" cm="1">
        <f t="array" ref="M4236">IFERROR(INDEX($I$2:$K$2,0,MATCH(TRUE,I4236:K4236,0)),E4236)</f>
        <v>OCGT</v>
      </c>
      <c r="O4236" t="str">
        <f t="shared" si="244"/>
        <v>OCGT_2027</v>
      </c>
      <c r="P4236">
        <f t="shared" si="245"/>
        <v>25.4</v>
      </c>
    </row>
    <row r="4237" spans="4:16" x14ac:dyDescent="0.25">
      <c r="D4237">
        <v>2028</v>
      </c>
      <c r="E4237" t="s">
        <v>130</v>
      </c>
      <c r="F4237" t="s">
        <v>460</v>
      </c>
      <c r="G4237">
        <v>25.4</v>
      </c>
      <c r="I4237">
        <f t="shared" si="246"/>
        <v>0</v>
      </c>
      <c r="J4237">
        <f t="shared" si="246"/>
        <v>0</v>
      </c>
      <c r="K4237">
        <f t="shared" si="246"/>
        <v>0</v>
      </c>
      <c r="M4237" t="str" cm="1">
        <f t="array" ref="M4237">IFERROR(INDEX($I$2:$K$2,0,MATCH(TRUE,I4237:K4237,0)),E4237)</f>
        <v>OCGT</v>
      </c>
      <c r="O4237" t="str">
        <f t="shared" si="244"/>
        <v>OCGT_2028</v>
      </c>
      <c r="P4237">
        <f t="shared" si="245"/>
        <v>25.4</v>
      </c>
    </row>
    <row r="4238" spans="4:16" x14ac:dyDescent="0.25">
      <c r="D4238">
        <v>2029</v>
      </c>
      <c r="E4238" t="s">
        <v>130</v>
      </c>
      <c r="F4238" t="s">
        <v>460</v>
      </c>
      <c r="G4238">
        <v>25.4</v>
      </c>
      <c r="I4238">
        <f t="shared" si="246"/>
        <v>0</v>
      </c>
      <c r="J4238">
        <f t="shared" si="246"/>
        <v>0</v>
      </c>
      <c r="K4238">
        <f t="shared" si="246"/>
        <v>0</v>
      </c>
      <c r="M4238" t="str" cm="1">
        <f t="array" ref="M4238">IFERROR(INDEX($I$2:$K$2,0,MATCH(TRUE,I4238:K4238,0)),E4238)</f>
        <v>OCGT</v>
      </c>
      <c r="O4238" t="str">
        <f t="shared" si="244"/>
        <v>OCGT_2029</v>
      </c>
      <c r="P4238">
        <f t="shared" si="245"/>
        <v>25.4</v>
      </c>
    </row>
    <row r="4239" spans="4:16" x14ac:dyDescent="0.25">
      <c r="D4239">
        <v>2030</v>
      </c>
      <c r="E4239" t="s">
        <v>130</v>
      </c>
      <c r="F4239" t="s">
        <v>460</v>
      </c>
      <c r="G4239">
        <v>25.4</v>
      </c>
      <c r="I4239">
        <f t="shared" si="246"/>
        <v>0</v>
      </c>
      <c r="J4239">
        <f t="shared" si="246"/>
        <v>0</v>
      </c>
      <c r="K4239">
        <f t="shared" si="246"/>
        <v>0</v>
      </c>
      <c r="M4239" t="str" cm="1">
        <f t="array" ref="M4239">IFERROR(INDEX($I$2:$K$2,0,MATCH(TRUE,I4239:K4239,0)),E4239)</f>
        <v>OCGT</v>
      </c>
      <c r="O4239" t="str">
        <f t="shared" si="244"/>
        <v>OCGT_2030</v>
      </c>
      <c r="P4239">
        <f t="shared" si="245"/>
        <v>25.4</v>
      </c>
    </row>
    <row r="4240" spans="4:16" x14ac:dyDescent="0.25">
      <c r="D4240">
        <v>2031</v>
      </c>
      <c r="E4240" t="s">
        <v>130</v>
      </c>
      <c r="F4240" t="s">
        <v>460</v>
      </c>
      <c r="G4240">
        <v>25.4</v>
      </c>
      <c r="I4240">
        <f t="shared" si="246"/>
        <v>0</v>
      </c>
      <c r="J4240">
        <f t="shared" si="246"/>
        <v>0</v>
      </c>
      <c r="K4240">
        <f t="shared" si="246"/>
        <v>0</v>
      </c>
      <c r="M4240" t="str" cm="1">
        <f t="array" ref="M4240">IFERROR(INDEX($I$2:$K$2,0,MATCH(TRUE,I4240:K4240,0)),E4240)</f>
        <v>OCGT</v>
      </c>
      <c r="O4240" t="str">
        <f t="shared" si="244"/>
        <v>OCGT_2031</v>
      </c>
      <c r="P4240">
        <f t="shared" si="245"/>
        <v>25.4</v>
      </c>
    </row>
    <row r="4241" spans="4:16" x14ac:dyDescent="0.25">
      <c r="D4241">
        <v>2032</v>
      </c>
      <c r="E4241" t="s">
        <v>130</v>
      </c>
      <c r="F4241" t="s">
        <v>460</v>
      </c>
      <c r="G4241">
        <v>25.4</v>
      </c>
      <c r="I4241">
        <f t="shared" si="246"/>
        <v>0</v>
      </c>
      <c r="J4241">
        <f t="shared" si="246"/>
        <v>0</v>
      </c>
      <c r="K4241">
        <f t="shared" si="246"/>
        <v>0</v>
      </c>
      <c r="M4241" t="str" cm="1">
        <f t="array" ref="M4241">IFERROR(INDEX($I$2:$K$2,0,MATCH(TRUE,I4241:K4241,0)),E4241)</f>
        <v>OCGT</v>
      </c>
      <c r="O4241" t="str">
        <f t="shared" si="244"/>
        <v>OCGT_2032</v>
      </c>
      <c r="P4241">
        <f t="shared" si="245"/>
        <v>25.4</v>
      </c>
    </row>
    <row r="4242" spans="4:16" x14ac:dyDescent="0.25">
      <c r="D4242">
        <v>2033</v>
      </c>
      <c r="E4242" t="s">
        <v>130</v>
      </c>
      <c r="F4242" t="s">
        <v>460</v>
      </c>
      <c r="G4242">
        <v>25.4</v>
      </c>
      <c r="I4242">
        <f t="shared" si="246"/>
        <v>0</v>
      </c>
      <c r="J4242">
        <f t="shared" si="246"/>
        <v>0</v>
      </c>
      <c r="K4242">
        <f t="shared" si="246"/>
        <v>0</v>
      </c>
      <c r="M4242" t="str" cm="1">
        <f t="array" ref="M4242">IFERROR(INDEX($I$2:$K$2,0,MATCH(TRUE,I4242:K4242,0)),E4242)</f>
        <v>OCGT</v>
      </c>
      <c r="O4242" t="str">
        <f t="shared" si="244"/>
        <v>OCGT_2033</v>
      </c>
      <c r="P4242">
        <f t="shared" si="245"/>
        <v>25.4</v>
      </c>
    </row>
    <row r="4243" spans="4:16" x14ac:dyDescent="0.25">
      <c r="D4243">
        <v>2034</v>
      </c>
      <c r="E4243" t="s">
        <v>130</v>
      </c>
      <c r="F4243" t="s">
        <v>460</v>
      </c>
      <c r="G4243">
        <v>25.4</v>
      </c>
      <c r="I4243">
        <f t="shared" si="246"/>
        <v>0</v>
      </c>
      <c r="J4243">
        <f t="shared" si="246"/>
        <v>0</v>
      </c>
      <c r="K4243">
        <f t="shared" si="246"/>
        <v>0</v>
      </c>
      <c r="M4243" t="str" cm="1">
        <f t="array" ref="M4243">IFERROR(INDEX($I$2:$K$2,0,MATCH(TRUE,I4243:K4243,0)),E4243)</f>
        <v>OCGT</v>
      </c>
      <c r="O4243" t="str">
        <f t="shared" ref="O4243:O4306" si="247">M4243&amp;"_"&amp;D4243</f>
        <v>OCGT_2034</v>
      </c>
      <c r="P4243">
        <f t="shared" ref="P4243:P4306" si="248">G4243</f>
        <v>25.4</v>
      </c>
    </row>
    <row r="4244" spans="4:16" x14ac:dyDescent="0.25">
      <c r="D4244">
        <v>2035</v>
      </c>
      <c r="E4244" t="s">
        <v>130</v>
      </c>
      <c r="F4244" t="s">
        <v>460</v>
      </c>
      <c r="G4244">
        <v>25.4</v>
      </c>
      <c r="I4244">
        <f t="shared" si="246"/>
        <v>0</v>
      </c>
      <c r="J4244">
        <f t="shared" si="246"/>
        <v>0</v>
      </c>
      <c r="K4244">
        <f t="shared" si="246"/>
        <v>0</v>
      </c>
      <c r="M4244" t="str" cm="1">
        <f t="array" ref="M4244">IFERROR(INDEX($I$2:$K$2,0,MATCH(TRUE,I4244:K4244,0)),E4244)</f>
        <v>OCGT</v>
      </c>
      <c r="O4244" t="str">
        <f t="shared" si="247"/>
        <v>OCGT_2035</v>
      </c>
      <c r="P4244">
        <f t="shared" si="248"/>
        <v>25.4</v>
      </c>
    </row>
    <row r="4245" spans="4:16" x14ac:dyDescent="0.25">
      <c r="D4245">
        <v>2036</v>
      </c>
      <c r="E4245" t="s">
        <v>130</v>
      </c>
      <c r="F4245" t="s">
        <v>460</v>
      </c>
      <c r="G4245">
        <v>25.4</v>
      </c>
      <c r="I4245">
        <f t="shared" ref="I4245:K4308" si="249">IFERROR(FIND(I$2,$E4245,1)&gt;0,0)</f>
        <v>0</v>
      </c>
      <c r="J4245">
        <f t="shared" si="249"/>
        <v>0</v>
      </c>
      <c r="K4245">
        <f t="shared" si="249"/>
        <v>0</v>
      </c>
      <c r="M4245" t="str" cm="1">
        <f t="array" ref="M4245">IFERROR(INDEX($I$2:$K$2,0,MATCH(TRUE,I4245:K4245,0)),E4245)</f>
        <v>OCGT</v>
      </c>
      <c r="O4245" t="str">
        <f t="shared" si="247"/>
        <v>OCGT_2036</v>
      </c>
      <c r="P4245">
        <f t="shared" si="248"/>
        <v>25.4</v>
      </c>
    </row>
    <row r="4246" spans="4:16" x14ac:dyDescent="0.25">
      <c r="D4246">
        <v>2037</v>
      </c>
      <c r="E4246" t="s">
        <v>130</v>
      </c>
      <c r="F4246" t="s">
        <v>460</v>
      </c>
      <c r="G4246">
        <v>25.4</v>
      </c>
      <c r="I4246">
        <f t="shared" si="249"/>
        <v>0</v>
      </c>
      <c r="J4246">
        <f t="shared" si="249"/>
        <v>0</v>
      </c>
      <c r="K4246">
        <f t="shared" si="249"/>
        <v>0</v>
      </c>
      <c r="M4246" t="str" cm="1">
        <f t="array" ref="M4246">IFERROR(INDEX($I$2:$K$2,0,MATCH(TRUE,I4246:K4246,0)),E4246)</f>
        <v>OCGT</v>
      </c>
      <c r="O4246" t="str">
        <f t="shared" si="247"/>
        <v>OCGT_2037</v>
      </c>
      <c r="P4246">
        <f t="shared" si="248"/>
        <v>25.4</v>
      </c>
    </row>
    <row r="4247" spans="4:16" x14ac:dyDescent="0.25">
      <c r="D4247">
        <v>2038</v>
      </c>
      <c r="E4247" t="s">
        <v>130</v>
      </c>
      <c r="F4247" t="s">
        <v>460</v>
      </c>
      <c r="G4247">
        <v>25.4</v>
      </c>
      <c r="I4247">
        <f t="shared" si="249"/>
        <v>0</v>
      </c>
      <c r="J4247">
        <f t="shared" si="249"/>
        <v>0</v>
      </c>
      <c r="K4247">
        <f t="shared" si="249"/>
        <v>0</v>
      </c>
      <c r="M4247" t="str" cm="1">
        <f t="array" ref="M4247">IFERROR(INDEX($I$2:$K$2,0,MATCH(TRUE,I4247:K4247,0)),E4247)</f>
        <v>OCGT</v>
      </c>
      <c r="O4247" t="str">
        <f t="shared" si="247"/>
        <v>OCGT_2038</v>
      </c>
      <c r="P4247">
        <f t="shared" si="248"/>
        <v>25.4</v>
      </c>
    </row>
    <row r="4248" spans="4:16" x14ac:dyDescent="0.25">
      <c r="D4248">
        <v>2039</v>
      </c>
      <c r="E4248" t="s">
        <v>130</v>
      </c>
      <c r="F4248" t="s">
        <v>460</v>
      </c>
      <c r="G4248">
        <v>25.4</v>
      </c>
      <c r="I4248">
        <f t="shared" si="249"/>
        <v>0</v>
      </c>
      <c r="J4248">
        <f t="shared" si="249"/>
        <v>0</v>
      </c>
      <c r="K4248">
        <f t="shared" si="249"/>
        <v>0</v>
      </c>
      <c r="M4248" t="str" cm="1">
        <f t="array" ref="M4248">IFERROR(INDEX($I$2:$K$2,0,MATCH(TRUE,I4248:K4248,0)),E4248)</f>
        <v>OCGT</v>
      </c>
      <c r="O4248" t="str">
        <f t="shared" si="247"/>
        <v>OCGT_2039</v>
      </c>
      <c r="P4248">
        <f t="shared" si="248"/>
        <v>25.4</v>
      </c>
    </row>
    <row r="4249" spans="4:16" x14ac:dyDescent="0.25">
      <c r="D4249">
        <v>2040</v>
      </c>
      <c r="E4249" t="s">
        <v>130</v>
      </c>
      <c r="F4249" t="s">
        <v>460</v>
      </c>
      <c r="G4249">
        <v>25.4</v>
      </c>
      <c r="I4249">
        <f t="shared" si="249"/>
        <v>0</v>
      </c>
      <c r="J4249">
        <f t="shared" si="249"/>
        <v>0</v>
      </c>
      <c r="K4249">
        <f t="shared" si="249"/>
        <v>0</v>
      </c>
      <c r="M4249" t="str" cm="1">
        <f t="array" ref="M4249">IFERROR(INDEX($I$2:$K$2,0,MATCH(TRUE,I4249:K4249,0)),E4249)</f>
        <v>OCGT</v>
      </c>
      <c r="O4249" t="str">
        <f t="shared" si="247"/>
        <v>OCGT_2040</v>
      </c>
      <c r="P4249">
        <f t="shared" si="248"/>
        <v>25.4</v>
      </c>
    </row>
    <row r="4250" spans="4:16" x14ac:dyDescent="0.25">
      <c r="D4250">
        <v>2021</v>
      </c>
      <c r="E4250" t="s">
        <v>130</v>
      </c>
      <c r="F4250" t="s">
        <v>461</v>
      </c>
      <c r="G4250">
        <v>391.46</v>
      </c>
      <c r="I4250">
        <f t="shared" si="249"/>
        <v>0</v>
      </c>
      <c r="J4250">
        <f t="shared" si="249"/>
        <v>0</v>
      </c>
      <c r="K4250">
        <f t="shared" si="249"/>
        <v>0</v>
      </c>
      <c r="M4250" t="str" cm="1">
        <f t="array" ref="M4250">IFERROR(INDEX($I$2:$K$2,0,MATCH(TRUE,I4250:K4250,0)),E4250)</f>
        <v>OCGT</v>
      </c>
      <c r="O4250" t="str">
        <f t="shared" si="247"/>
        <v>OCGT_2021</v>
      </c>
      <c r="P4250">
        <f t="shared" si="248"/>
        <v>391.46</v>
      </c>
    </row>
    <row r="4251" spans="4:16" x14ac:dyDescent="0.25">
      <c r="D4251">
        <v>2022</v>
      </c>
      <c r="E4251" t="s">
        <v>130</v>
      </c>
      <c r="F4251" t="s">
        <v>461</v>
      </c>
      <c r="G4251">
        <v>391.46</v>
      </c>
      <c r="I4251">
        <f t="shared" si="249"/>
        <v>0</v>
      </c>
      <c r="J4251">
        <f t="shared" si="249"/>
        <v>0</v>
      </c>
      <c r="K4251">
        <f t="shared" si="249"/>
        <v>0</v>
      </c>
      <c r="M4251" t="str" cm="1">
        <f t="array" ref="M4251">IFERROR(INDEX($I$2:$K$2,0,MATCH(TRUE,I4251:K4251,0)),E4251)</f>
        <v>OCGT</v>
      </c>
      <c r="O4251" t="str">
        <f t="shared" si="247"/>
        <v>OCGT_2022</v>
      </c>
      <c r="P4251">
        <f t="shared" si="248"/>
        <v>391.46</v>
      </c>
    </row>
    <row r="4252" spans="4:16" x14ac:dyDescent="0.25">
      <c r="D4252">
        <v>2023</v>
      </c>
      <c r="E4252" t="s">
        <v>130</v>
      </c>
      <c r="F4252" t="s">
        <v>461</v>
      </c>
      <c r="G4252">
        <v>391.46</v>
      </c>
      <c r="I4252">
        <f t="shared" si="249"/>
        <v>0</v>
      </c>
      <c r="J4252">
        <f t="shared" si="249"/>
        <v>0</v>
      </c>
      <c r="K4252">
        <f t="shared" si="249"/>
        <v>0</v>
      </c>
      <c r="M4252" t="str" cm="1">
        <f t="array" ref="M4252">IFERROR(INDEX($I$2:$K$2,0,MATCH(TRUE,I4252:K4252,0)),E4252)</f>
        <v>OCGT</v>
      </c>
      <c r="O4252" t="str">
        <f t="shared" si="247"/>
        <v>OCGT_2023</v>
      </c>
      <c r="P4252">
        <f t="shared" si="248"/>
        <v>391.46</v>
      </c>
    </row>
    <row r="4253" spans="4:16" x14ac:dyDescent="0.25">
      <c r="D4253">
        <v>2024</v>
      </c>
      <c r="E4253" t="s">
        <v>130</v>
      </c>
      <c r="F4253" t="s">
        <v>461</v>
      </c>
      <c r="G4253">
        <v>391.46</v>
      </c>
      <c r="I4253">
        <f t="shared" si="249"/>
        <v>0</v>
      </c>
      <c r="J4253">
        <f t="shared" si="249"/>
        <v>0</v>
      </c>
      <c r="K4253">
        <f t="shared" si="249"/>
        <v>0</v>
      </c>
      <c r="M4253" t="str" cm="1">
        <f t="array" ref="M4253">IFERROR(INDEX($I$2:$K$2,0,MATCH(TRUE,I4253:K4253,0)),E4253)</f>
        <v>OCGT</v>
      </c>
      <c r="O4253" t="str">
        <f t="shared" si="247"/>
        <v>OCGT_2024</v>
      </c>
      <c r="P4253">
        <f t="shared" si="248"/>
        <v>391.46</v>
      </c>
    </row>
    <row r="4254" spans="4:16" x14ac:dyDescent="0.25">
      <c r="D4254">
        <v>2025</v>
      </c>
      <c r="E4254" t="s">
        <v>130</v>
      </c>
      <c r="F4254" t="s">
        <v>461</v>
      </c>
      <c r="G4254">
        <v>391.46</v>
      </c>
      <c r="I4254">
        <f t="shared" si="249"/>
        <v>0</v>
      </c>
      <c r="J4254">
        <f t="shared" si="249"/>
        <v>0</v>
      </c>
      <c r="K4254">
        <f t="shared" si="249"/>
        <v>0</v>
      </c>
      <c r="M4254" t="str" cm="1">
        <f t="array" ref="M4254">IFERROR(INDEX($I$2:$K$2,0,MATCH(TRUE,I4254:K4254,0)),E4254)</f>
        <v>OCGT</v>
      </c>
      <c r="O4254" t="str">
        <f t="shared" si="247"/>
        <v>OCGT_2025</v>
      </c>
      <c r="P4254">
        <f t="shared" si="248"/>
        <v>391.46</v>
      </c>
    </row>
    <row r="4255" spans="4:16" x14ac:dyDescent="0.25">
      <c r="D4255">
        <v>2026</v>
      </c>
      <c r="E4255" t="s">
        <v>130</v>
      </c>
      <c r="F4255" t="s">
        <v>461</v>
      </c>
      <c r="G4255">
        <v>391.46</v>
      </c>
      <c r="I4255">
        <f t="shared" si="249"/>
        <v>0</v>
      </c>
      <c r="J4255">
        <f t="shared" si="249"/>
        <v>0</v>
      </c>
      <c r="K4255">
        <f t="shared" si="249"/>
        <v>0</v>
      </c>
      <c r="M4255" t="str" cm="1">
        <f t="array" ref="M4255">IFERROR(INDEX($I$2:$K$2,0,MATCH(TRUE,I4255:K4255,0)),E4255)</f>
        <v>OCGT</v>
      </c>
      <c r="O4255" t="str">
        <f t="shared" si="247"/>
        <v>OCGT_2026</v>
      </c>
      <c r="P4255">
        <f t="shared" si="248"/>
        <v>391.46</v>
      </c>
    </row>
    <row r="4256" spans="4:16" x14ac:dyDescent="0.25">
      <c r="D4256">
        <v>2027</v>
      </c>
      <c r="E4256" t="s">
        <v>130</v>
      </c>
      <c r="F4256" t="s">
        <v>461</v>
      </c>
      <c r="G4256">
        <v>391.46</v>
      </c>
      <c r="I4256">
        <f t="shared" si="249"/>
        <v>0</v>
      </c>
      <c r="J4256">
        <f t="shared" si="249"/>
        <v>0</v>
      </c>
      <c r="K4256">
        <f t="shared" si="249"/>
        <v>0</v>
      </c>
      <c r="M4256" t="str" cm="1">
        <f t="array" ref="M4256">IFERROR(INDEX($I$2:$K$2,0,MATCH(TRUE,I4256:K4256,0)),E4256)</f>
        <v>OCGT</v>
      </c>
      <c r="O4256" t="str">
        <f t="shared" si="247"/>
        <v>OCGT_2027</v>
      </c>
      <c r="P4256">
        <f t="shared" si="248"/>
        <v>391.46</v>
      </c>
    </row>
    <row r="4257" spans="4:16" x14ac:dyDescent="0.25">
      <c r="D4257">
        <v>2028</v>
      </c>
      <c r="E4257" t="s">
        <v>130</v>
      </c>
      <c r="F4257" t="s">
        <v>461</v>
      </c>
      <c r="G4257">
        <v>391.46</v>
      </c>
      <c r="I4257">
        <f t="shared" si="249"/>
        <v>0</v>
      </c>
      <c r="J4257">
        <f t="shared" si="249"/>
        <v>0</v>
      </c>
      <c r="K4257">
        <f t="shared" si="249"/>
        <v>0</v>
      </c>
      <c r="M4257" t="str" cm="1">
        <f t="array" ref="M4257">IFERROR(INDEX($I$2:$K$2,0,MATCH(TRUE,I4257:K4257,0)),E4257)</f>
        <v>OCGT</v>
      </c>
      <c r="O4257" t="str">
        <f t="shared" si="247"/>
        <v>OCGT_2028</v>
      </c>
      <c r="P4257">
        <f t="shared" si="248"/>
        <v>391.46</v>
      </c>
    </row>
    <row r="4258" spans="4:16" x14ac:dyDescent="0.25">
      <c r="D4258">
        <v>2029</v>
      </c>
      <c r="E4258" t="s">
        <v>130</v>
      </c>
      <c r="F4258" t="s">
        <v>461</v>
      </c>
      <c r="G4258">
        <v>391.46</v>
      </c>
      <c r="I4258">
        <f t="shared" si="249"/>
        <v>0</v>
      </c>
      <c r="J4258">
        <f t="shared" si="249"/>
        <v>0</v>
      </c>
      <c r="K4258">
        <f t="shared" si="249"/>
        <v>0</v>
      </c>
      <c r="M4258" t="str" cm="1">
        <f t="array" ref="M4258">IFERROR(INDEX($I$2:$K$2,0,MATCH(TRUE,I4258:K4258,0)),E4258)</f>
        <v>OCGT</v>
      </c>
      <c r="O4258" t="str">
        <f t="shared" si="247"/>
        <v>OCGT_2029</v>
      </c>
      <c r="P4258">
        <f t="shared" si="248"/>
        <v>391.46</v>
      </c>
    </row>
    <row r="4259" spans="4:16" x14ac:dyDescent="0.25">
      <c r="D4259">
        <v>2030</v>
      </c>
      <c r="E4259" t="s">
        <v>130</v>
      </c>
      <c r="F4259" t="s">
        <v>461</v>
      </c>
      <c r="G4259">
        <v>391.46</v>
      </c>
      <c r="I4259">
        <f t="shared" si="249"/>
        <v>0</v>
      </c>
      <c r="J4259">
        <f t="shared" si="249"/>
        <v>0</v>
      </c>
      <c r="K4259">
        <f t="shared" si="249"/>
        <v>0</v>
      </c>
      <c r="M4259" t="str" cm="1">
        <f t="array" ref="M4259">IFERROR(INDEX($I$2:$K$2,0,MATCH(TRUE,I4259:K4259,0)),E4259)</f>
        <v>OCGT</v>
      </c>
      <c r="O4259" t="str">
        <f t="shared" si="247"/>
        <v>OCGT_2030</v>
      </c>
      <c r="P4259">
        <f t="shared" si="248"/>
        <v>391.46</v>
      </c>
    </row>
    <row r="4260" spans="4:16" x14ac:dyDescent="0.25">
      <c r="D4260">
        <v>2031</v>
      </c>
      <c r="E4260" t="s">
        <v>130</v>
      </c>
      <c r="F4260" t="s">
        <v>461</v>
      </c>
      <c r="G4260">
        <v>391.46</v>
      </c>
      <c r="I4260">
        <f t="shared" si="249"/>
        <v>0</v>
      </c>
      <c r="J4260">
        <f t="shared" si="249"/>
        <v>0</v>
      </c>
      <c r="K4260">
        <f t="shared" si="249"/>
        <v>0</v>
      </c>
      <c r="M4260" t="str" cm="1">
        <f t="array" ref="M4260">IFERROR(INDEX($I$2:$K$2,0,MATCH(TRUE,I4260:K4260,0)),E4260)</f>
        <v>OCGT</v>
      </c>
      <c r="O4260" t="str">
        <f t="shared" si="247"/>
        <v>OCGT_2031</v>
      </c>
      <c r="P4260">
        <f t="shared" si="248"/>
        <v>391.46</v>
      </c>
    </row>
    <row r="4261" spans="4:16" x14ac:dyDescent="0.25">
      <c r="D4261">
        <v>2032</v>
      </c>
      <c r="E4261" t="s">
        <v>130</v>
      </c>
      <c r="F4261" t="s">
        <v>461</v>
      </c>
      <c r="G4261">
        <v>391.46</v>
      </c>
      <c r="I4261">
        <f t="shared" si="249"/>
        <v>0</v>
      </c>
      <c r="J4261">
        <f t="shared" si="249"/>
        <v>0</v>
      </c>
      <c r="K4261">
        <f t="shared" si="249"/>
        <v>0</v>
      </c>
      <c r="M4261" t="str" cm="1">
        <f t="array" ref="M4261">IFERROR(INDEX($I$2:$K$2,0,MATCH(TRUE,I4261:K4261,0)),E4261)</f>
        <v>OCGT</v>
      </c>
      <c r="O4261" t="str">
        <f t="shared" si="247"/>
        <v>OCGT_2032</v>
      </c>
      <c r="P4261">
        <f t="shared" si="248"/>
        <v>391.46</v>
      </c>
    </row>
    <row r="4262" spans="4:16" x14ac:dyDescent="0.25">
      <c r="D4262">
        <v>2033</v>
      </c>
      <c r="E4262" t="s">
        <v>130</v>
      </c>
      <c r="F4262" t="s">
        <v>461</v>
      </c>
      <c r="G4262">
        <v>391.46</v>
      </c>
      <c r="I4262">
        <f t="shared" si="249"/>
        <v>0</v>
      </c>
      <c r="J4262">
        <f t="shared" si="249"/>
        <v>0</v>
      </c>
      <c r="K4262">
        <f t="shared" si="249"/>
        <v>0</v>
      </c>
      <c r="M4262" t="str" cm="1">
        <f t="array" ref="M4262">IFERROR(INDEX($I$2:$K$2,0,MATCH(TRUE,I4262:K4262,0)),E4262)</f>
        <v>OCGT</v>
      </c>
      <c r="O4262" t="str">
        <f t="shared" si="247"/>
        <v>OCGT_2033</v>
      </c>
      <c r="P4262">
        <f t="shared" si="248"/>
        <v>391.46</v>
      </c>
    </row>
    <row r="4263" spans="4:16" x14ac:dyDescent="0.25">
      <c r="D4263">
        <v>2034</v>
      </c>
      <c r="E4263" t="s">
        <v>130</v>
      </c>
      <c r="F4263" t="s">
        <v>461</v>
      </c>
      <c r="G4263">
        <v>391.46</v>
      </c>
      <c r="I4263">
        <f t="shared" si="249"/>
        <v>0</v>
      </c>
      <c r="J4263">
        <f t="shared" si="249"/>
        <v>0</v>
      </c>
      <c r="K4263">
        <f t="shared" si="249"/>
        <v>0</v>
      </c>
      <c r="M4263" t="str" cm="1">
        <f t="array" ref="M4263">IFERROR(INDEX($I$2:$K$2,0,MATCH(TRUE,I4263:K4263,0)),E4263)</f>
        <v>OCGT</v>
      </c>
      <c r="O4263" t="str">
        <f t="shared" si="247"/>
        <v>OCGT_2034</v>
      </c>
      <c r="P4263">
        <f t="shared" si="248"/>
        <v>391.46</v>
      </c>
    </row>
    <row r="4264" spans="4:16" x14ac:dyDescent="0.25">
      <c r="D4264">
        <v>2035</v>
      </c>
      <c r="E4264" t="s">
        <v>130</v>
      </c>
      <c r="F4264" t="s">
        <v>461</v>
      </c>
      <c r="G4264">
        <v>391.46</v>
      </c>
      <c r="I4264">
        <f t="shared" si="249"/>
        <v>0</v>
      </c>
      <c r="J4264">
        <f t="shared" si="249"/>
        <v>0</v>
      </c>
      <c r="K4264">
        <f t="shared" si="249"/>
        <v>0</v>
      </c>
      <c r="M4264" t="str" cm="1">
        <f t="array" ref="M4264">IFERROR(INDEX($I$2:$K$2,0,MATCH(TRUE,I4264:K4264,0)),E4264)</f>
        <v>OCGT</v>
      </c>
      <c r="O4264" t="str">
        <f t="shared" si="247"/>
        <v>OCGT_2035</v>
      </c>
      <c r="P4264">
        <f t="shared" si="248"/>
        <v>391.46</v>
      </c>
    </row>
    <row r="4265" spans="4:16" x14ac:dyDescent="0.25">
      <c r="D4265">
        <v>2021</v>
      </c>
      <c r="E4265" t="s">
        <v>130</v>
      </c>
      <c r="F4265" t="s">
        <v>462</v>
      </c>
      <c r="G4265">
        <v>55</v>
      </c>
      <c r="I4265">
        <f t="shared" si="249"/>
        <v>0</v>
      </c>
      <c r="J4265">
        <f t="shared" si="249"/>
        <v>0</v>
      </c>
      <c r="K4265">
        <f t="shared" si="249"/>
        <v>0</v>
      </c>
      <c r="M4265" t="str" cm="1">
        <f t="array" ref="M4265">IFERROR(INDEX($I$2:$K$2,0,MATCH(TRUE,I4265:K4265,0)),E4265)</f>
        <v>OCGT</v>
      </c>
      <c r="O4265" t="str">
        <f t="shared" si="247"/>
        <v>OCGT_2021</v>
      </c>
      <c r="P4265">
        <f t="shared" si="248"/>
        <v>55</v>
      </c>
    </row>
    <row r="4266" spans="4:16" x14ac:dyDescent="0.25">
      <c r="D4266">
        <v>2021</v>
      </c>
      <c r="E4266" t="s">
        <v>130</v>
      </c>
      <c r="F4266" t="s">
        <v>463</v>
      </c>
      <c r="G4266">
        <v>112</v>
      </c>
      <c r="I4266">
        <f t="shared" si="249"/>
        <v>0</v>
      </c>
      <c r="J4266">
        <f t="shared" si="249"/>
        <v>0</v>
      </c>
      <c r="K4266">
        <f t="shared" si="249"/>
        <v>0</v>
      </c>
      <c r="M4266" t="str" cm="1">
        <f t="array" ref="M4266">IFERROR(INDEX($I$2:$K$2,0,MATCH(TRUE,I4266:K4266,0)),E4266)</f>
        <v>OCGT</v>
      </c>
      <c r="O4266" t="str">
        <f t="shared" si="247"/>
        <v>OCGT_2021</v>
      </c>
      <c r="P4266">
        <f t="shared" si="248"/>
        <v>112</v>
      </c>
    </row>
    <row r="4267" spans="4:16" x14ac:dyDescent="0.25">
      <c r="D4267">
        <v>2022</v>
      </c>
      <c r="E4267" t="s">
        <v>130</v>
      </c>
      <c r="F4267" t="s">
        <v>463</v>
      </c>
      <c r="G4267">
        <v>112</v>
      </c>
      <c r="I4267">
        <f t="shared" si="249"/>
        <v>0</v>
      </c>
      <c r="J4267">
        <f t="shared" si="249"/>
        <v>0</v>
      </c>
      <c r="K4267">
        <f t="shared" si="249"/>
        <v>0</v>
      </c>
      <c r="M4267" t="str" cm="1">
        <f t="array" ref="M4267">IFERROR(INDEX($I$2:$K$2,0,MATCH(TRUE,I4267:K4267,0)),E4267)</f>
        <v>OCGT</v>
      </c>
      <c r="O4267" t="str">
        <f t="shared" si="247"/>
        <v>OCGT_2022</v>
      </c>
      <c r="P4267">
        <f t="shared" si="248"/>
        <v>112</v>
      </c>
    </row>
    <row r="4268" spans="4:16" x14ac:dyDescent="0.25">
      <c r="D4268">
        <v>2023</v>
      </c>
      <c r="E4268" t="s">
        <v>130</v>
      </c>
      <c r="F4268" t="s">
        <v>463</v>
      </c>
      <c r="G4268">
        <v>112</v>
      </c>
      <c r="I4268">
        <f t="shared" si="249"/>
        <v>0</v>
      </c>
      <c r="J4268">
        <f t="shared" si="249"/>
        <v>0</v>
      </c>
      <c r="K4268">
        <f t="shared" si="249"/>
        <v>0</v>
      </c>
      <c r="M4268" t="str" cm="1">
        <f t="array" ref="M4268">IFERROR(INDEX($I$2:$K$2,0,MATCH(TRUE,I4268:K4268,0)),E4268)</f>
        <v>OCGT</v>
      </c>
      <c r="O4268" t="str">
        <f t="shared" si="247"/>
        <v>OCGT_2023</v>
      </c>
      <c r="P4268">
        <f t="shared" si="248"/>
        <v>112</v>
      </c>
    </row>
    <row r="4269" spans="4:16" x14ac:dyDescent="0.25">
      <c r="D4269">
        <v>2024</v>
      </c>
      <c r="E4269" t="s">
        <v>130</v>
      </c>
      <c r="F4269" t="s">
        <v>463</v>
      </c>
      <c r="G4269">
        <v>112</v>
      </c>
      <c r="I4269">
        <f t="shared" si="249"/>
        <v>0</v>
      </c>
      <c r="J4269">
        <f t="shared" si="249"/>
        <v>0</v>
      </c>
      <c r="K4269">
        <f t="shared" si="249"/>
        <v>0</v>
      </c>
      <c r="M4269" t="str" cm="1">
        <f t="array" ref="M4269">IFERROR(INDEX($I$2:$K$2,0,MATCH(TRUE,I4269:K4269,0)),E4269)</f>
        <v>OCGT</v>
      </c>
      <c r="O4269" t="str">
        <f t="shared" si="247"/>
        <v>OCGT_2024</v>
      </c>
      <c r="P4269">
        <f t="shared" si="248"/>
        <v>112</v>
      </c>
    </row>
    <row r="4270" spans="4:16" x14ac:dyDescent="0.25">
      <c r="D4270">
        <v>2025</v>
      </c>
      <c r="E4270" t="s">
        <v>130</v>
      </c>
      <c r="F4270" t="s">
        <v>463</v>
      </c>
      <c r="G4270">
        <v>112</v>
      </c>
      <c r="I4270">
        <f t="shared" si="249"/>
        <v>0</v>
      </c>
      <c r="J4270">
        <f t="shared" si="249"/>
        <v>0</v>
      </c>
      <c r="K4270">
        <f t="shared" si="249"/>
        <v>0</v>
      </c>
      <c r="M4270" t="str" cm="1">
        <f t="array" ref="M4270">IFERROR(INDEX($I$2:$K$2,0,MATCH(TRUE,I4270:K4270,0)),E4270)</f>
        <v>OCGT</v>
      </c>
      <c r="O4270" t="str">
        <f t="shared" si="247"/>
        <v>OCGT_2025</v>
      </c>
      <c r="P4270">
        <f t="shared" si="248"/>
        <v>112</v>
      </c>
    </row>
    <row r="4271" spans="4:16" x14ac:dyDescent="0.25">
      <c r="D4271">
        <v>2026</v>
      </c>
      <c r="E4271" t="s">
        <v>130</v>
      </c>
      <c r="F4271" t="s">
        <v>463</v>
      </c>
      <c r="G4271">
        <v>112</v>
      </c>
      <c r="I4271">
        <f t="shared" si="249"/>
        <v>0</v>
      </c>
      <c r="J4271">
        <f t="shared" si="249"/>
        <v>0</v>
      </c>
      <c r="K4271">
        <f t="shared" si="249"/>
        <v>0</v>
      </c>
      <c r="M4271" t="str" cm="1">
        <f t="array" ref="M4271">IFERROR(INDEX($I$2:$K$2,0,MATCH(TRUE,I4271:K4271,0)),E4271)</f>
        <v>OCGT</v>
      </c>
      <c r="O4271" t="str">
        <f t="shared" si="247"/>
        <v>OCGT_2026</v>
      </c>
      <c r="P4271">
        <f t="shared" si="248"/>
        <v>112</v>
      </c>
    </row>
    <row r="4272" spans="4:16" x14ac:dyDescent="0.25">
      <c r="D4272">
        <v>2027</v>
      </c>
      <c r="E4272" t="s">
        <v>130</v>
      </c>
      <c r="F4272" t="s">
        <v>463</v>
      </c>
      <c r="G4272">
        <v>112</v>
      </c>
      <c r="I4272">
        <f t="shared" si="249"/>
        <v>0</v>
      </c>
      <c r="J4272">
        <f t="shared" si="249"/>
        <v>0</v>
      </c>
      <c r="K4272">
        <f t="shared" si="249"/>
        <v>0</v>
      </c>
      <c r="M4272" t="str" cm="1">
        <f t="array" ref="M4272">IFERROR(INDEX($I$2:$K$2,0,MATCH(TRUE,I4272:K4272,0)),E4272)</f>
        <v>OCGT</v>
      </c>
      <c r="O4272" t="str">
        <f t="shared" si="247"/>
        <v>OCGT_2027</v>
      </c>
      <c r="P4272">
        <f t="shared" si="248"/>
        <v>112</v>
      </c>
    </row>
    <row r="4273" spans="4:16" x14ac:dyDescent="0.25">
      <c r="D4273">
        <v>2028</v>
      </c>
      <c r="E4273" t="s">
        <v>130</v>
      </c>
      <c r="F4273" t="s">
        <v>463</v>
      </c>
      <c r="G4273">
        <v>112</v>
      </c>
      <c r="I4273">
        <f t="shared" si="249"/>
        <v>0</v>
      </c>
      <c r="J4273">
        <f t="shared" si="249"/>
        <v>0</v>
      </c>
      <c r="K4273">
        <f t="shared" si="249"/>
        <v>0</v>
      </c>
      <c r="M4273" t="str" cm="1">
        <f t="array" ref="M4273">IFERROR(INDEX($I$2:$K$2,0,MATCH(TRUE,I4273:K4273,0)),E4273)</f>
        <v>OCGT</v>
      </c>
      <c r="O4273" t="str">
        <f t="shared" si="247"/>
        <v>OCGT_2028</v>
      </c>
      <c r="P4273">
        <f t="shared" si="248"/>
        <v>112</v>
      </c>
    </row>
    <row r="4274" spans="4:16" x14ac:dyDescent="0.25">
      <c r="D4274">
        <v>2029</v>
      </c>
      <c r="E4274" t="s">
        <v>130</v>
      </c>
      <c r="F4274" t="s">
        <v>463</v>
      </c>
      <c r="G4274">
        <v>112</v>
      </c>
      <c r="I4274">
        <f t="shared" si="249"/>
        <v>0</v>
      </c>
      <c r="J4274">
        <f t="shared" si="249"/>
        <v>0</v>
      </c>
      <c r="K4274">
        <f t="shared" si="249"/>
        <v>0</v>
      </c>
      <c r="M4274" t="str" cm="1">
        <f t="array" ref="M4274">IFERROR(INDEX($I$2:$K$2,0,MATCH(TRUE,I4274:K4274,0)),E4274)</f>
        <v>OCGT</v>
      </c>
      <c r="O4274" t="str">
        <f t="shared" si="247"/>
        <v>OCGT_2029</v>
      </c>
      <c r="P4274">
        <f t="shared" si="248"/>
        <v>112</v>
      </c>
    </row>
    <row r="4275" spans="4:16" x14ac:dyDescent="0.25">
      <c r="D4275">
        <v>2030</v>
      </c>
      <c r="E4275" t="s">
        <v>130</v>
      </c>
      <c r="F4275" t="s">
        <v>463</v>
      </c>
      <c r="G4275">
        <v>112</v>
      </c>
      <c r="I4275">
        <f t="shared" si="249"/>
        <v>0</v>
      </c>
      <c r="J4275">
        <f t="shared" si="249"/>
        <v>0</v>
      </c>
      <c r="K4275">
        <f t="shared" si="249"/>
        <v>0</v>
      </c>
      <c r="M4275" t="str" cm="1">
        <f t="array" ref="M4275">IFERROR(INDEX($I$2:$K$2,0,MATCH(TRUE,I4275:K4275,0)),E4275)</f>
        <v>OCGT</v>
      </c>
      <c r="O4275" t="str">
        <f t="shared" si="247"/>
        <v>OCGT_2030</v>
      </c>
      <c r="P4275">
        <f t="shared" si="248"/>
        <v>112</v>
      </c>
    </row>
    <row r="4276" spans="4:16" x14ac:dyDescent="0.25">
      <c r="D4276">
        <v>2031</v>
      </c>
      <c r="E4276" t="s">
        <v>130</v>
      </c>
      <c r="F4276" t="s">
        <v>463</v>
      </c>
      <c r="G4276">
        <v>112</v>
      </c>
      <c r="I4276">
        <f t="shared" si="249"/>
        <v>0</v>
      </c>
      <c r="J4276">
        <f t="shared" si="249"/>
        <v>0</v>
      </c>
      <c r="K4276">
        <f t="shared" si="249"/>
        <v>0</v>
      </c>
      <c r="M4276" t="str" cm="1">
        <f t="array" ref="M4276">IFERROR(INDEX($I$2:$K$2,0,MATCH(TRUE,I4276:K4276,0)),E4276)</f>
        <v>OCGT</v>
      </c>
      <c r="O4276" t="str">
        <f t="shared" si="247"/>
        <v>OCGT_2031</v>
      </c>
      <c r="P4276">
        <f t="shared" si="248"/>
        <v>112</v>
      </c>
    </row>
    <row r="4277" spans="4:16" x14ac:dyDescent="0.25">
      <c r="D4277">
        <v>2032</v>
      </c>
      <c r="E4277" t="s">
        <v>130</v>
      </c>
      <c r="F4277" t="s">
        <v>463</v>
      </c>
      <c r="G4277">
        <v>112</v>
      </c>
      <c r="I4277">
        <f t="shared" si="249"/>
        <v>0</v>
      </c>
      <c r="J4277">
        <f t="shared" si="249"/>
        <v>0</v>
      </c>
      <c r="K4277">
        <f t="shared" si="249"/>
        <v>0</v>
      </c>
      <c r="M4277" t="str" cm="1">
        <f t="array" ref="M4277">IFERROR(INDEX($I$2:$K$2,0,MATCH(TRUE,I4277:K4277,0)),E4277)</f>
        <v>OCGT</v>
      </c>
      <c r="O4277" t="str">
        <f t="shared" si="247"/>
        <v>OCGT_2032</v>
      </c>
      <c r="P4277">
        <f t="shared" si="248"/>
        <v>112</v>
      </c>
    </row>
    <row r="4278" spans="4:16" x14ac:dyDescent="0.25">
      <c r="D4278">
        <v>2033</v>
      </c>
      <c r="E4278" t="s">
        <v>130</v>
      </c>
      <c r="F4278" t="s">
        <v>463</v>
      </c>
      <c r="G4278">
        <v>112</v>
      </c>
      <c r="I4278">
        <f t="shared" si="249"/>
        <v>0</v>
      </c>
      <c r="J4278">
        <f t="shared" si="249"/>
        <v>0</v>
      </c>
      <c r="K4278">
        <f t="shared" si="249"/>
        <v>0</v>
      </c>
      <c r="M4278" t="str" cm="1">
        <f t="array" ref="M4278">IFERROR(INDEX($I$2:$K$2,0,MATCH(TRUE,I4278:K4278,0)),E4278)</f>
        <v>OCGT</v>
      </c>
      <c r="O4278" t="str">
        <f t="shared" si="247"/>
        <v>OCGT_2033</v>
      </c>
      <c r="P4278">
        <f t="shared" si="248"/>
        <v>112</v>
      </c>
    </row>
    <row r="4279" spans="4:16" x14ac:dyDescent="0.25">
      <c r="D4279">
        <v>2021</v>
      </c>
      <c r="E4279" t="s">
        <v>130</v>
      </c>
      <c r="F4279" t="s">
        <v>464</v>
      </c>
      <c r="G4279">
        <v>50</v>
      </c>
      <c r="I4279">
        <f t="shared" si="249"/>
        <v>0</v>
      </c>
      <c r="J4279">
        <f t="shared" si="249"/>
        <v>0</v>
      </c>
      <c r="K4279">
        <f t="shared" si="249"/>
        <v>0</v>
      </c>
      <c r="M4279" t="str" cm="1">
        <f t="array" ref="M4279">IFERROR(INDEX($I$2:$K$2,0,MATCH(TRUE,I4279:K4279,0)),E4279)</f>
        <v>OCGT</v>
      </c>
      <c r="O4279" t="str">
        <f t="shared" si="247"/>
        <v>OCGT_2021</v>
      </c>
      <c r="P4279">
        <f t="shared" si="248"/>
        <v>50</v>
      </c>
    </row>
    <row r="4280" spans="4:16" x14ac:dyDescent="0.25">
      <c r="D4280">
        <v>2022</v>
      </c>
      <c r="E4280" t="s">
        <v>130</v>
      </c>
      <c r="F4280" t="s">
        <v>464</v>
      </c>
      <c r="G4280">
        <v>50</v>
      </c>
      <c r="I4280">
        <f t="shared" si="249"/>
        <v>0</v>
      </c>
      <c r="J4280">
        <f t="shared" si="249"/>
        <v>0</v>
      </c>
      <c r="K4280">
        <f t="shared" si="249"/>
        <v>0</v>
      </c>
      <c r="M4280" t="str" cm="1">
        <f t="array" ref="M4280">IFERROR(INDEX($I$2:$K$2,0,MATCH(TRUE,I4280:K4280,0)),E4280)</f>
        <v>OCGT</v>
      </c>
      <c r="O4280" t="str">
        <f t="shared" si="247"/>
        <v>OCGT_2022</v>
      </c>
      <c r="P4280">
        <f t="shared" si="248"/>
        <v>50</v>
      </c>
    </row>
    <row r="4281" spans="4:16" x14ac:dyDescent="0.25">
      <c r="D4281">
        <v>2023</v>
      </c>
      <c r="E4281" t="s">
        <v>130</v>
      </c>
      <c r="F4281" t="s">
        <v>464</v>
      </c>
      <c r="G4281">
        <v>50</v>
      </c>
      <c r="I4281">
        <f t="shared" si="249"/>
        <v>0</v>
      </c>
      <c r="J4281">
        <f t="shared" si="249"/>
        <v>0</v>
      </c>
      <c r="K4281">
        <f t="shared" si="249"/>
        <v>0</v>
      </c>
      <c r="M4281" t="str" cm="1">
        <f t="array" ref="M4281">IFERROR(INDEX($I$2:$K$2,0,MATCH(TRUE,I4281:K4281,0)),E4281)</f>
        <v>OCGT</v>
      </c>
      <c r="O4281" t="str">
        <f t="shared" si="247"/>
        <v>OCGT_2023</v>
      </c>
      <c r="P4281">
        <f t="shared" si="248"/>
        <v>50</v>
      </c>
    </row>
    <row r="4282" spans="4:16" x14ac:dyDescent="0.25">
      <c r="D4282">
        <v>2024</v>
      </c>
      <c r="E4282" t="s">
        <v>130</v>
      </c>
      <c r="F4282" t="s">
        <v>464</v>
      </c>
      <c r="G4282">
        <v>50</v>
      </c>
      <c r="I4282">
        <f t="shared" si="249"/>
        <v>0</v>
      </c>
      <c r="J4282">
        <f t="shared" si="249"/>
        <v>0</v>
      </c>
      <c r="K4282">
        <f t="shared" si="249"/>
        <v>0</v>
      </c>
      <c r="M4282" t="str" cm="1">
        <f t="array" ref="M4282">IFERROR(INDEX($I$2:$K$2,0,MATCH(TRUE,I4282:K4282,0)),E4282)</f>
        <v>OCGT</v>
      </c>
      <c r="O4282" t="str">
        <f t="shared" si="247"/>
        <v>OCGT_2024</v>
      </c>
      <c r="P4282">
        <f t="shared" si="248"/>
        <v>50</v>
      </c>
    </row>
    <row r="4283" spans="4:16" x14ac:dyDescent="0.25">
      <c r="D4283">
        <v>2025</v>
      </c>
      <c r="E4283" t="s">
        <v>130</v>
      </c>
      <c r="F4283" t="s">
        <v>464</v>
      </c>
      <c r="G4283">
        <v>50</v>
      </c>
      <c r="I4283">
        <f t="shared" si="249"/>
        <v>0</v>
      </c>
      <c r="J4283">
        <f t="shared" si="249"/>
        <v>0</v>
      </c>
      <c r="K4283">
        <f t="shared" si="249"/>
        <v>0</v>
      </c>
      <c r="M4283" t="str" cm="1">
        <f t="array" ref="M4283">IFERROR(INDEX($I$2:$K$2,0,MATCH(TRUE,I4283:K4283,0)),E4283)</f>
        <v>OCGT</v>
      </c>
      <c r="O4283" t="str">
        <f t="shared" si="247"/>
        <v>OCGT_2025</v>
      </c>
      <c r="P4283">
        <f t="shared" si="248"/>
        <v>50</v>
      </c>
    </row>
    <row r="4284" spans="4:16" x14ac:dyDescent="0.25">
      <c r="D4284">
        <v>2026</v>
      </c>
      <c r="E4284" t="s">
        <v>130</v>
      </c>
      <c r="F4284" t="s">
        <v>464</v>
      </c>
      <c r="G4284">
        <v>50</v>
      </c>
      <c r="I4284">
        <f t="shared" si="249"/>
        <v>0</v>
      </c>
      <c r="J4284">
        <f t="shared" si="249"/>
        <v>0</v>
      </c>
      <c r="K4284">
        <f t="shared" si="249"/>
        <v>0</v>
      </c>
      <c r="M4284" t="str" cm="1">
        <f t="array" ref="M4284">IFERROR(INDEX($I$2:$K$2,0,MATCH(TRUE,I4284:K4284,0)),E4284)</f>
        <v>OCGT</v>
      </c>
      <c r="O4284" t="str">
        <f t="shared" si="247"/>
        <v>OCGT_2026</v>
      </c>
      <c r="P4284">
        <f t="shared" si="248"/>
        <v>50</v>
      </c>
    </row>
    <row r="4285" spans="4:16" x14ac:dyDescent="0.25">
      <c r="D4285">
        <v>2027</v>
      </c>
      <c r="E4285" t="s">
        <v>130</v>
      </c>
      <c r="F4285" t="s">
        <v>464</v>
      </c>
      <c r="G4285">
        <v>50</v>
      </c>
      <c r="I4285">
        <f t="shared" si="249"/>
        <v>0</v>
      </c>
      <c r="J4285">
        <f t="shared" si="249"/>
        <v>0</v>
      </c>
      <c r="K4285">
        <f t="shared" si="249"/>
        <v>0</v>
      </c>
      <c r="M4285" t="str" cm="1">
        <f t="array" ref="M4285">IFERROR(INDEX($I$2:$K$2,0,MATCH(TRUE,I4285:K4285,0)),E4285)</f>
        <v>OCGT</v>
      </c>
      <c r="O4285" t="str">
        <f t="shared" si="247"/>
        <v>OCGT_2027</v>
      </c>
      <c r="P4285">
        <f t="shared" si="248"/>
        <v>50</v>
      </c>
    </row>
    <row r="4286" spans="4:16" x14ac:dyDescent="0.25">
      <c r="D4286">
        <v>2028</v>
      </c>
      <c r="E4286" t="s">
        <v>130</v>
      </c>
      <c r="F4286" t="s">
        <v>464</v>
      </c>
      <c r="G4286">
        <v>50</v>
      </c>
      <c r="I4286">
        <f t="shared" si="249"/>
        <v>0</v>
      </c>
      <c r="J4286">
        <f t="shared" si="249"/>
        <v>0</v>
      </c>
      <c r="K4286">
        <f t="shared" si="249"/>
        <v>0</v>
      </c>
      <c r="M4286" t="str" cm="1">
        <f t="array" ref="M4286">IFERROR(INDEX($I$2:$K$2,0,MATCH(TRUE,I4286:K4286,0)),E4286)</f>
        <v>OCGT</v>
      </c>
      <c r="O4286" t="str">
        <f t="shared" si="247"/>
        <v>OCGT_2028</v>
      </c>
      <c r="P4286">
        <f t="shared" si="248"/>
        <v>50</v>
      </c>
    </row>
    <row r="4287" spans="4:16" x14ac:dyDescent="0.25">
      <c r="D4287">
        <v>2029</v>
      </c>
      <c r="E4287" t="s">
        <v>130</v>
      </c>
      <c r="F4287" t="s">
        <v>464</v>
      </c>
      <c r="G4287">
        <v>50</v>
      </c>
      <c r="I4287">
        <f t="shared" si="249"/>
        <v>0</v>
      </c>
      <c r="J4287">
        <f t="shared" si="249"/>
        <v>0</v>
      </c>
      <c r="K4287">
        <f t="shared" si="249"/>
        <v>0</v>
      </c>
      <c r="M4287" t="str" cm="1">
        <f t="array" ref="M4287">IFERROR(INDEX($I$2:$K$2,0,MATCH(TRUE,I4287:K4287,0)),E4287)</f>
        <v>OCGT</v>
      </c>
      <c r="O4287" t="str">
        <f t="shared" si="247"/>
        <v>OCGT_2029</v>
      </c>
      <c r="P4287">
        <f t="shared" si="248"/>
        <v>50</v>
      </c>
    </row>
    <row r="4288" spans="4:16" x14ac:dyDescent="0.25">
      <c r="D4288">
        <v>2030</v>
      </c>
      <c r="E4288" t="s">
        <v>130</v>
      </c>
      <c r="F4288" t="s">
        <v>464</v>
      </c>
      <c r="G4288">
        <v>50</v>
      </c>
      <c r="I4288">
        <f t="shared" si="249"/>
        <v>0</v>
      </c>
      <c r="J4288">
        <f t="shared" si="249"/>
        <v>0</v>
      </c>
      <c r="K4288">
        <f t="shared" si="249"/>
        <v>0</v>
      </c>
      <c r="M4288" t="str" cm="1">
        <f t="array" ref="M4288">IFERROR(INDEX($I$2:$K$2,0,MATCH(TRUE,I4288:K4288,0)),E4288)</f>
        <v>OCGT</v>
      </c>
      <c r="O4288" t="str">
        <f t="shared" si="247"/>
        <v>OCGT_2030</v>
      </c>
      <c r="P4288">
        <f t="shared" si="248"/>
        <v>50</v>
      </c>
    </row>
    <row r="4289" spans="4:16" x14ac:dyDescent="0.25">
      <c r="D4289">
        <v>2031</v>
      </c>
      <c r="E4289" t="s">
        <v>130</v>
      </c>
      <c r="F4289" t="s">
        <v>464</v>
      </c>
      <c r="G4289">
        <v>50</v>
      </c>
      <c r="I4289">
        <f t="shared" si="249"/>
        <v>0</v>
      </c>
      <c r="J4289">
        <f t="shared" si="249"/>
        <v>0</v>
      </c>
      <c r="K4289">
        <f t="shared" si="249"/>
        <v>0</v>
      </c>
      <c r="M4289" t="str" cm="1">
        <f t="array" ref="M4289">IFERROR(INDEX($I$2:$K$2,0,MATCH(TRUE,I4289:K4289,0)),E4289)</f>
        <v>OCGT</v>
      </c>
      <c r="O4289" t="str">
        <f t="shared" si="247"/>
        <v>OCGT_2031</v>
      </c>
      <c r="P4289">
        <f t="shared" si="248"/>
        <v>50</v>
      </c>
    </row>
    <row r="4290" spans="4:16" x14ac:dyDescent="0.25">
      <c r="D4290">
        <v>2032</v>
      </c>
      <c r="E4290" t="s">
        <v>130</v>
      </c>
      <c r="F4290" t="s">
        <v>464</v>
      </c>
      <c r="G4290">
        <v>50</v>
      </c>
      <c r="I4290">
        <f t="shared" si="249"/>
        <v>0</v>
      </c>
      <c r="J4290">
        <f t="shared" si="249"/>
        <v>0</v>
      </c>
      <c r="K4290">
        <f t="shared" si="249"/>
        <v>0</v>
      </c>
      <c r="M4290" t="str" cm="1">
        <f t="array" ref="M4290">IFERROR(INDEX($I$2:$K$2,0,MATCH(TRUE,I4290:K4290,0)),E4290)</f>
        <v>OCGT</v>
      </c>
      <c r="O4290" t="str">
        <f t="shared" si="247"/>
        <v>OCGT_2032</v>
      </c>
      <c r="P4290">
        <f t="shared" si="248"/>
        <v>50</v>
      </c>
    </row>
    <row r="4291" spans="4:16" x14ac:dyDescent="0.25">
      <c r="D4291">
        <v>2033</v>
      </c>
      <c r="E4291" t="s">
        <v>130</v>
      </c>
      <c r="F4291" t="s">
        <v>464</v>
      </c>
      <c r="G4291">
        <v>50</v>
      </c>
      <c r="I4291">
        <f t="shared" si="249"/>
        <v>0</v>
      </c>
      <c r="J4291">
        <f t="shared" si="249"/>
        <v>0</v>
      </c>
      <c r="K4291">
        <f t="shared" si="249"/>
        <v>0</v>
      </c>
      <c r="M4291" t="str" cm="1">
        <f t="array" ref="M4291">IFERROR(INDEX($I$2:$K$2,0,MATCH(TRUE,I4291:K4291,0)),E4291)</f>
        <v>OCGT</v>
      </c>
      <c r="O4291" t="str">
        <f t="shared" si="247"/>
        <v>OCGT_2033</v>
      </c>
      <c r="P4291">
        <f t="shared" si="248"/>
        <v>50</v>
      </c>
    </row>
    <row r="4292" spans="4:16" x14ac:dyDescent="0.25">
      <c r="D4292">
        <v>2034</v>
      </c>
      <c r="E4292" t="s">
        <v>130</v>
      </c>
      <c r="F4292" t="s">
        <v>464</v>
      </c>
      <c r="G4292">
        <v>50</v>
      </c>
      <c r="I4292">
        <f t="shared" si="249"/>
        <v>0</v>
      </c>
      <c r="J4292">
        <f t="shared" si="249"/>
        <v>0</v>
      </c>
      <c r="K4292">
        <f t="shared" si="249"/>
        <v>0</v>
      </c>
      <c r="M4292" t="str" cm="1">
        <f t="array" ref="M4292">IFERROR(INDEX($I$2:$K$2,0,MATCH(TRUE,I4292:K4292,0)),E4292)</f>
        <v>OCGT</v>
      </c>
      <c r="O4292" t="str">
        <f t="shared" si="247"/>
        <v>OCGT_2034</v>
      </c>
      <c r="P4292">
        <f t="shared" si="248"/>
        <v>50</v>
      </c>
    </row>
    <row r="4293" spans="4:16" x14ac:dyDescent="0.25">
      <c r="D4293">
        <v>2035</v>
      </c>
      <c r="E4293" t="s">
        <v>130</v>
      </c>
      <c r="F4293" t="s">
        <v>464</v>
      </c>
      <c r="G4293">
        <v>50</v>
      </c>
      <c r="I4293">
        <f t="shared" si="249"/>
        <v>0</v>
      </c>
      <c r="J4293">
        <f t="shared" si="249"/>
        <v>0</v>
      </c>
      <c r="K4293">
        <f t="shared" si="249"/>
        <v>0</v>
      </c>
      <c r="M4293" t="str" cm="1">
        <f t="array" ref="M4293">IFERROR(INDEX($I$2:$K$2,0,MATCH(TRUE,I4293:K4293,0)),E4293)</f>
        <v>OCGT</v>
      </c>
      <c r="O4293" t="str">
        <f t="shared" si="247"/>
        <v>OCGT_2035</v>
      </c>
      <c r="P4293">
        <f t="shared" si="248"/>
        <v>50</v>
      </c>
    </row>
    <row r="4294" spans="4:16" x14ac:dyDescent="0.25">
      <c r="D4294">
        <v>2036</v>
      </c>
      <c r="E4294" t="s">
        <v>130</v>
      </c>
      <c r="F4294" t="s">
        <v>464</v>
      </c>
      <c r="G4294">
        <v>50</v>
      </c>
      <c r="I4294">
        <f t="shared" si="249"/>
        <v>0</v>
      </c>
      <c r="J4294">
        <f t="shared" si="249"/>
        <v>0</v>
      </c>
      <c r="K4294">
        <f t="shared" si="249"/>
        <v>0</v>
      </c>
      <c r="M4294" t="str" cm="1">
        <f t="array" ref="M4294">IFERROR(INDEX($I$2:$K$2,0,MATCH(TRUE,I4294:K4294,0)),E4294)</f>
        <v>OCGT</v>
      </c>
      <c r="O4294" t="str">
        <f t="shared" si="247"/>
        <v>OCGT_2036</v>
      </c>
      <c r="P4294">
        <f t="shared" si="248"/>
        <v>50</v>
      </c>
    </row>
    <row r="4295" spans="4:16" x14ac:dyDescent="0.25">
      <c r="D4295">
        <v>2037</v>
      </c>
      <c r="E4295" t="s">
        <v>130</v>
      </c>
      <c r="F4295" t="s">
        <v>464</v>
      </c>
      <c r="G4295">
        <v>50</v>
      </c>
      <c r="I4295">
        <f t="shared" si="249"/>
        <v>0</v>
      </c>
      <c r="J4295">
        <f t="shared" si="249"/>
        <v>0</v>
      </c>
      <c r="K4295">
        <f t="shared" si="249"/>
        <v>0</v>
      </c>
      <c r="M4295" t="str" cm="1">
        <f t="array" ref="M4295">IFERROR(INDEX($I$2:$K$2,0,MATCH(TRUE,I4295:K4295,0)),E4295)</f>
        <v>OCGT</v>
      </c>
      <c r="O4295" t="str">
        <f t="shared" si="247"/>
        <v>OCGT_2037</v>
      </c>
      <c r="P4295">
        <f t="shared" si="248"/>
        <v>50</v>
      </c>
    </row>
    <row r="4296" spans="4:16" x14ac:dyDescent="0.25">
      <c r="D4296">
        <v>2038</v>
      </c>
      <c r="E4296" t="s">
        <v>130</v>
      </c>
      <c r="F4296" t="s">
        <v>464</v>
      </c>
      <c r="G4296">
        <v>50</v>
      </c>
      <c r="I4296">
        <f t="shared" si="249"/>
        <v>0</v>
      </c>
      <c r="J4296">
        <f t="shared" si="249"/>
        <v>0</v>
      </c>
      <c r="K4296">
        <f t="shared" si="249"/>
        <v>0</v>
      </c>
      <c r="M4296" t="str" cm="1">
        <f t="array" ref="M4296">IFERROR(INDEX($I$2:$K$2,0,MATCH(TRUE,I4296:K4296,0)),E4296)</f>
        <v>OCGT</v>
      </c>
      <c r="O4296" t="str">
        <f t="shared" si="247"/>
        <v>OCGT_2038</v>
      </c>
      <c r="P4296">
        <f t="shared" si="248"/>
        <v>50</v>
      </c>
    </row>
    <row r="4297" spans="4:16" x14ac:dyDescent="0.25">
      <c r="D4297">
        <v>2039</v>
      </c>
      <c r="E4297" t="s">
        <v>130</v>
      </c>
      <c r="F4297" t="s">
        <v>464</v>
      </c>
      <c r="G4297">
        <v>50</v>
      </c>
      <c r="I4297">
        <f t="shared" si="249"/>
        <v>0</v>
      </c>
      <c r="J4297">
        <f t="shared" si="249"/>
        <v>0</v>
      </c>
      <c r="K4297">
        <f t="shared" si="249"/>
        <v>0</v>
      </c>
      <c r="M4297" t="str" cm="1">
        <f t="array" ref="M4297">IFERROR(INDEX($I$2:$K$2,0,MATCH(TRUE,I4297:K4297,0)),E4297)</f>
        <v>OCGT</v>
      </c>
      <c r="O4297" t="str">
        <f t="shared" si="247"/>
        <v>OCGT_2039</v>
      </c>
      <c r="P4297">
        <f t="shared" si="248"/>
        <v>50</v>
      </c>
    </row>
    <row r="4298" spans="4:16" x14ac:dyDescent="0.25">
      <c r="D4298">
        <v>2040</v>
      </c>
      <c r="E4298" t="s">
        <v>130</v>
      </c>
      <c r="F4298" t="s">
        <v>464</v>
      </c>
      <c r="G4298">
        <v>50</v>
      </c>
      <c r="I4298">
        <f t="shared" si="249"/>
        <v>0</v>
      </c>
      <c r="J4298">
        <f t="shared" si="249"/>
        <v>0</v>
      </c>
      <c r="K4298">
        <f t="shared" si="249"/>
        <v>0</v>
      </c>
      <c r="M4298" t="str" cm="1">
        <f t="array" ref="M4298">IFERROR(INDEX($I$2:$K$2,0,MATCH(TRUE,I4298:K4298,0)),E4298)</f>
        <v>OCGT</v>
      </c>
      <c r="O4298" t="str">
        <f t="shared" si="247"/>
        <v>OCGT_2040</v>
      </c>
      <c r="P4298">
        <f t="shared" si="248"/>
        <v>50</v>
      </c>
    </row>
    <row r="4299" spans="4:16" x14ac:dyDescent="0.25">
      <c r="D4299">
        <v>2021</v>
      </c>
      <c r="E4299" t="s">
        <v>130</v>
      </c>
      <c r="F4299" t="s">
        <v>465</v>
      </c>
      <c r="G4299">
        <v>57</v>
      </c>
      <c r="I4299">
        <f t="shared" si="249"/>
        <v>0</v>
      </c>
      <c r="J4299">
        <f t="shared" si="249"/>
        <v>0</v>
      </c>
      <c r="K4299">
        <f t="shared" si="249"/>
        <v>0</v>
      </c>
      <c r="M4299" t="str" cm="1">
        <f t="array" ref="M4299">IFERROR(INDEX($I$2:$K$2,0,MATCH(TRUE,I4299:K4299,0)),E4299)</f>
        <v>OCGT</v>
      </c>
      <c r="O4299" t="str">
        <f t="shared" si="247"/>
        <v>OCGT_2021</v>
      </c>
      <c r="P4299">
        <f t="shared" si="248"/>
        <v>57</v>
      </c>
    </row>
    <row r="4300" spans="4:16" x14ac:dyDescent="0.25">
      <c r="D4300">
        <v>2022</v>
      </c>
      <c r="E4300" t="s">
        <v>130</v>
      </c>
      <c r="F4300" t="s">
        <v>465</v>
      </c>
      <c r="G4300">
        <v>57</v>
      </c>
      <c r="I4300">
        <f t="shared" si="249"/>
        <v>0</v>
      </c>
      <c r="J4300">
        <f t="shared" si="249"/>
        <v>0</v>
      </c>
      <c r="K4300">
        <f t="shared" si="249"/>
        <v>0</v>
      </c>
      <c r="M4300" t="str" cm="1">
        <f t="array" ref="M4300">IFERROR(INDEX($I$2:$K$2,0,MATCH(TRUE,I4300:K4300,0)),E4300)</f>
        <v>OCGT</v>
      </c>
      <c r="O4300" t="str">
        <f t="shared" si="247"/>
        <v>OCGT_2022</v>
      </c>
      <c r="P4300">
        <f t="shared" si="248"/>
        <v>57</v>
      </c>
    </row>
    <row r="4301" spans="4:16" x14ac:dyDescent="0.25">
      <c r="D4301">
        <v>2021</v>
      </c>
      <c r="E4301" t="s">
        <v>130</v>
      </c>
      <c r="F4301" t="s">
        <v>466</v>
      </c>
      <c r="G4301">
        <v>81</v>
      </c>
      <c r="I4301">
        <f t="shared" si="249"/>
        <v>0</v>
      </c>
      <c r="J4301">
        <f t="shared" si="249"/>
        <v>0</v>
      </c>
      <c r="K4301">
        <f t="shared" si="249"/>
        <v>0</v>
      </c>
      <c r="M4301" t="str" cm="1">
        <f t="array" ref="M4301">IFERROR(INDEX($I$2:$K$2,0,MATCH(TRUE,I4301:K4301,0)),E4301)</f>
        <v>OCGT</v>
      </c>
      <c r="O4301" t="str">
        <f t="shared" si="247"/>
        <v>OCGT_2021</v>
      </c>
      <c r="P4301">
        <f t="shared" si="248"/>
        <v>81</v>
      </c>
    </row>
    <row r="4302" spans="4:16" x14ac:dyDescent="0.25">
      <c r="D4302">
        <v>2022</v>
      </c>
      <c r="E4302" t="s">
        <v>130</v>
      </c>
      <c r="F4302" t="s">
        <v>466</v>
      </c>
      <c r="G4302">
        <v>81</v>
      </c>
      <c r="I4302">
        <f t="shared" si="249"/>
        <v>0</v>
      </c>
      <c r="J4302">
        <f t="shared" si="249"/>
        <v>0</v>
      </c>
      <c r="K4302">
        <f t="shared" si="249"/>
        <v>0</v>
      </c>
      <c r="M4302" t="str" cm="1">
        <f t="array" ref="M4302">IFERROR(INDEX($I$2:$K$2,0,MATCH(TRUE,I4302:K4302,0)),E4302)</f>
        <v>OCGT</v>
      </c>
      <c r="O4302" t="str">
        <f t="shared" si="247"/>
        <v>OCGT_2022</v>
      </c>
      <c r="P4302">
        <f t="shared" si="248"/>
        <v>81</v>
      </c>
    </row>
    <row r="4303" spans="4:16" x14ac:dyDescent="0.25">
      <c r="D4303">
        <v>2023</v>
      </c>
      <c r="E4303" t="s">
        <v>130</v>
      </c>
      <c r="F4303" t="s">
        <v>466</v>
      </c>
      <c r="G4303">
        <v>81</v>
      </c>
      <c r="I4303">
        <f t="shared" si="249"/>
        <v>0</v>
      </c>
      <c r="J4303">
        <f t="shared" si="249"/>
        <v>0</v>
      </c>
      <c r="K4303">
        <f t="shared" si="249"/>
        <v>0</v>
      </c>
      <c r="M4303" t="str" cm="1">
        <f t="array" ref="M4303">IFERROR(INDEX($I$2:$K$2,0,MATCH(TRUE,I4303:K4303,0)),E4303)</f>
        <v>OCGT</v>
      </c>
      <c r="O4303" t="str">
        <f t="shared" si="247"/>
        <v>OCGT_2023</v>
      </c>
      <c r="P4303">
        <f t="shared" si="248"/>
        <v>81</v>
      </c>
    </row>
    <row r="4304" spans="4:16" x14ac:dyDescent="0.25">
      <c r="D4304">
        <v>2024</v>
      </c>
      <c r="E4304" t="s">
        <v>130</v>
      </c>
      <c r="F4304" t="s">
        <v>466</v>
      </c>
      <c r="G4304">
        <v>81</v>
      </c>
      <c r="I4304">
        <f t="shared" si="249"/>
        <v>0</v>
      </c>
      <c r="J4304">
        <f t="shared" si="249"/>
        <v>0</v>
      </c>
      <c r="K4304">
        <f t="shared" si="249"/>
        <v>0</v>
      </c>
      <c r="M4304" t="str" cm="1">
        <f t="array" ref="M4304">IFERROR(INDEX($I$2:$K$2,0,MATCH(TRUE,I4304:K4304,0)),E4304)</f>
        <v>OCGT</v>
      </c>
      <c r="O4304" t="str">
        <f t="shared" si="247"/>
        <v>OCGT_2024</v>
      </c>
      <c r="P4304">
        <f t="shared" si="248"/>
        <v>81</v>
      </c>
    </row>
    <row r="4305" spans="4:16" x14ac:dyDescent="0.25">
      <c r="D4305">
        <v>2021</v>
      </c>
      <c r="E4305" t="s">
        <v>130</v>
      </c>
      <c r="F4305" t="s">
        <v>467</v>
      </c>
      <c r="G4305">
        <v>124</v>
      </c>
      <c r="I4305">
        <f t="shared" si="249"/>
        <v>0</v>
      </c>
      <c r="J4305">
        <f t="shared" si="249"/>
        <v>0</v>
      </c>
      <c r="K4305">
        <f t="shared" si="249"/>
        <v>0</v>
      </c>
      <c r="M4305" t="str" cm="1">
        <f t="array" ref="M4305">IFERROR(INDEX($I$2:$K$2,0,MATCH(TRUE,I4305:K4305,0)),E4305)</f>
        <v>OCGT</v>
      </c>
      <c r="O4305" t="str">
        <f t="shared" si="247"/>
        <v>OCGT_2021</v>
      </c>
      <c r="P4305">
        <f t="shared" si="248"/>
        <v>124</v>
      </c>
    </row>
    <row r="4306" spans="4:16" x14ac:dyDescent="0.25">
      <c r="D4306">
        <v>2022</v>
      </c>
      <c r="E4306" t="s">
        <v>130</v>
      </c>
      <c r="F4306" t="s">
        <v>467</v>
      </c>
      <c r="G4306">
        <v>124</v>
      </c>
      <c r="I4306">
        <f t="shared" si="249"/>
        <v>0</v>
      </c>
      <c r="J4306">
        <f t="shared" si="249"/>
        <v>0</v>
      </c>
      <c r="K4306">
        <f t="shared" si="249"/>
        <v>0</v>
      </c>
      <c r="M4306" t="str" cm="1">
        <f t="array" ref="M4306">IFERROR(INDEX($I$2:$K$2,0,MATCH(TRUE,I4306:K4306,0)),E4306)</f>
        <v>OCGT</v>
      </c>
      <c r="O4306" t="str">
        <f t="shared" si="247"/>
        <v>OCGT_2022</v>
      </c>
      <c r="P4306">
        <f t="shared" si="248"/>
        <v>124</v>
      </c>
    </row>
    <row r="4307" spans="4:16" x14ac:dyDescent="0.25">
      <c r="D4307">
        <v>2023</v>
      </c>
      <c r="E4307" t="s">
        <v>130</v>
      </c>
      <c r="F4307" t="s">
        <v>467</v>
      </c>
      <c r="G4307">
        <v>124</v>
      </c>
      <c r="I4307">
        <f t="shared" si="249"/>
        <v>0</v>
      </c>
      <c r="J4307">
        <f t="shared" si="249"/>
        <v>0</v>
      </c>
      <c r="K4307">
        <f t="shared" si="249"/>
        <v>0</v>
      </c>
      <c r="M4307" t="str" cm="1">
        <f t="array" ref="M4307">IFERROR(INDEX($I$2:$K$2,0,MATCH(TRUE,I4307:K4307,0)),E4307)</f>
        <v>OCGT</v>
      </c>
      <c r="O4307" t="str">
        <f t="shared" ref="O4307:O4370" si="250">M4307&amp;"_"&amp;D4307</f>
        <v>OCGT_2023</v>
      </c>
      <c r="P4307">
        <f t="shared" ref="P4307:P4370" si="251">G4307</f>
        <v>124</v>
      </c>
    </row>
    <row r="4308" spans="4:16" x14ac:dyDescent="0.25">
      <c r="D4308">
        <v>2024</v>
      </c>
      <c r="E4308" t="s">
        <v>130</v>
      </c>
      <c r="F4308" t="s">
        <v>467</v>
      </c>
      <c r="G4308">
        <v>124</v>
      </c>
      <c r="I4308">
        <f t="shared" si="249"/>
        <v>0</v>
      </c>
      <c r="J4308">
        <f t="shared" si="249"/>
        <v>0</v>
      </c>
      <c r="K4308">
        <f t="shared" si="249"/>
        <v>0</v>
      </c>
      <c r="M4308" t="str" cm="1">
        <f t="array" ref="M4308">IFERROR(INDEX($I$2:$K$2,0,MATCH(TRUE,I4308:K4308,0)),E4308)</f>
        <v>OCGT</v>
      </c>
      <c r="O4308" t="str">
        <f t="shared" si="250"/>
        <v>OCGT_2024</v>
      </c>
      <c r="P4308">
        <f t="shared" si="251"/>
        <v>124</v>
      </c>
    </row>
    <row r="4309" spans="4:16" x14ac:dyDescent="0.25">
      <c r="D4309">
        <v>2025</v>
      </c>
      <c r="E4309" t="s">
        <v>130</v>
      </c>
      <c r="F4309" t="s">
        <v>467</v>
      </c>
      <c r="G4309">
        <v>124</v>
      </c>
      <c r="I4309">
        <f t="shared" ref="I4309:K4372" si="252">IFERROR(FIND(I$2,$E4309,1)&gt;0,0)</f>
        <v>0</v>
      </c>
      <c r="J4309">
        <f t="shared" si="252"/>
        <v>0</v>
      </c>
      <c r="K4309">
        <f t="shared" si="252"/>
        <v>0</v>
      </c>
      <c r="M4309" t="str" cm="1">
        <f t="array" ref="M4309">IFERROR(INDEX($I$2:$K$2,0,MATCH(TRUE,I4309:K4309,0)),E4309)</f>
        <v>OCGT</v>
      </c>
      <c r="O4309" t="str">
        <f t="shared" si="250"/>
        <v>OCGT_2025</v>
      </c>
      <c r="P4309">
        <f t="shared" si="251"/>
        <v>124</v>
      </c>
    </row>
    <row r="4310" spans="4:16" x14ac:dyDescent="0.25">
      <c r="D4310">
        <v>2026</v>
      </c>
      <c r="E4310" t="s">
        <v>130</v>
      </c>
      <c r="F4310" t="s">
        <v>467</v>
      </c>
      <c r="G4310">
        <v>124</v>
      </c>
      <c r="I4310">
        <f t="shared" si="252"/>
        <v>0</v>
      </c>
      <c r="J4310">
        <f t="shared" si="252"/>
        <v>0</v>
      </c>
      <c r="K4310">
        <f t="shared" si="252"/>
        <v>0</v>
      </c>
      <c r="M4310" t="str" cm="1">
        <f t="array" ref="M4310">IFERROR(INDEX($I$2:$K$2,0,MATCH(TRUE,I4310:K4310,0)),E4310)</f>
        <v>OCGT</v>
      </c>
      <c r="O4310" t="str">
        <f t="shared" si="250"/>
        <v>OCGT_2026</v>
      </c>
      <c r="P4310">
        <f t="shared" si="251"/>
        <v>124</v>
      </c>
    </row>
    <row r="4311" spans="4:16" x14ac:dyDescent="0.25">
      <c r="D4311">
        <v>2027</v>
      </c>
      <c r="E4311" t="s">
        <v>130</v>
      </c>
      <c r="F4311" t="s">
        <v>467</v>
      </c>
      <c r="G4311">
        <v>124</v>
      </c>
      <c r="I4311">
        <f t="shared" si="252"/>
        <v>0</v>
      </c>
      <c r="J4311">
        <f t="shared" si="252"/>
        <v>0</v>
      </c>
      <c r="K4311">
        <f t="shared" si="252"/>
        <v>0</v>
      </c>
      <c r="M4311" t="str" cm="1">
        <f t="array" ref="M4311">IFERROR(INDEX($I$2:$K$2,0,MATCH(TRUE,I4311:K4311,0)),E4311)</f>
        <v>OCGT</v>
      </c>
      <c r="O4311" t="str">
        <f t="shared" si="250"/>
        <v>OCGT_2027</v>
      </c>
      <c r="P4311">
        <f t="shared" si="251"/>
        <v>124</v>
      </c>
    </row>
    <row r="4312" spans="4:16" x14ac:dyDescent="0.25">
      <c r="D4312">
        <v>2028</v>
      </c>
      <c r="E4312" t="s">
        <v>130</v>
      </c>
      <c r="F4312" t="s">
        <v>467</v>
      </c>
      <c r="G4312">
        <v>124</v>
      </c>
      <c r="I4312">
        <f t="shared" si="252"/>
        <v>0</v>
      </c>
      <c r="J4312">
        <f t="shared" si="252"/>
        <v>0</v>
      </c>
      <c r="K4312">
        <f t="shared" si="252"/>
        <v>0</v>
      </c>
      <c r="M4312" t="str" cm="1">
        <f t="array" ref="M4312">IFERROR(INDEX($I$2:$K$2,0,MATCH(TRUE,I4312:K4312,0)),E4312)</f>
        <v>OCGT</v>
      </c>
      <c r="O4312" t="str">
        <f t="shared" si="250"/>
        <v>OCGT_2028</v>
      </c>
      <c r="P4312">
        <f t="shared" si="251"/>
        <v>124</v>
      </c>
    </row>
    <row r="4313" spans="4:16" x14ac:dyDescent="0.25">
      <c r="D4313">
        <v>2029</v>
      </c>
      <c r="E4313" t="s">
        <v>130</v>
      </c>
      <c r="F4313" t="s">
        <v>467</v>
      </c>
      <c r="G4313">
        <v>124</v>
      </c>
      <c r="I4313">
        <f t="shared" si="252"/>
        <v>0</v>
      </c>
      <c r="J4313">
        <f t="shared" si="252"/>
        <v>0</v>
      </c>
      <c r="K4313">
        <f t="shared" si="252"/>
        <v>0</v>
      </c>
      <c r="M4313" t="str" cm="1">
        <f t="array" ref="M4313">IFERROR(INDEX($I$2:$K$2,0,MATCH(TRUE,I4313:K4313,0)),E4313)</f>
        <v>OCGT</v>
      </c>
      <c r="O4313" t="str">
        <f t="shared" si="250"/>
        <v>OCGT_2029</v>
      </c>
      <c r="P4313">
        <f t="shared" si="251"/>
        <v>124</v>
      </c>
    </row>
    <row r="4314" spans="4:16" x14ac:dyDescent="0.25">
      <c r="D4314">
        <v>2030</v>
      </c>
      <c r="E4314" t="s">
        <v>130</v>
      </c>
      <c r="F4314" t="s">
        <v>467</v>
      </c>
      <c r="G4314">
        <v>124</v>
      </c>
      <c r="I4314">
        <f t="shared" si="252"/>
        <v>0</v>
      </c>
      <c r="J4314">
        <f t="shared" si="252"/>
        <v>0</v>
      </c>
      <c r="K4314">
        <f t="shared" si="252"/>
        <v>0</v>
      </c>
      <c r="M4314" t="str" cm="1">
        <f t="array" ref="M4314">IFERROR(INDEX($I$2:$K$2,0,MATCH(TRUE,I4314:K4314,0)),E4314)</f>
        <v>OCGT</v>
      </c>
      <c r="O4314" t="str">
        <f t="shared" si="250"/>
        <v>OCGT_2030</v>
      </c>
      <c r="P4314">
        <f t="shared" si="251"/>
        <v>124</v>
      </c>
    </row>
    <row r="4315" spans="4:16" x14ac:dyDescent="0.25">
      <c r="D4315">
        <v>2031</v>
      </c>
      <c r="E4315" t="s">
        <v>130</v>
      </c>
      <c r="F4315" t="s">
        <v>467</v>
      </c>
      <c r="G4315">
        <v>124</v>
      </c>
      <c r="I4315">
        <f t="shared" si="252"/>
        <v>0</v>
      </c>
      <c r="J4315">
        <f t="shared" si="252"/>
        <v>0</v>
      </c>
      <c r="K4315">
        <f t="shared" si="252"/>
        <v>0</v>
      </c>
      <c r="M4315" t="str" cm="1">
        <f t="array" ref="M4315">IFERROR(INDEX($I$2:$K$2,0,MATCH(TRUE,I4315:K4315,0)),E4315)</f>
        <v>OCGT</v>
      </c>
      <c r="O4315" t="str">
        <f t="shared" si="250"/>
        <v>OCGT_2031</v>
      </c>
      <c r="P4315">
        <f t="shared" si="251"/>
        <v>124</v>
      </c>
    </row>
    <row r="4316" spans="4:16" x14ac:dyDescent="0.25">
      <c r="D4316">
        <v>2032</v>
      </c>
      <c r="E4316" t="s">
        <v>130</v>
      </c>
      <c r="F4316" t="s">
        <v>467</v>
      </c>
      <c r="G4316">
        <v>124</v>
      </c>
      <c r="I4316">
        <f t="shared" si="252"/>
        <v>0</v>
      </c>
      <c r="J4316">
        <f t="shared" si="252"/>
        <v>0</v>
      </c>
      <c r="K4316">
        <f t="shared" si="252"/>
        <v>0</v>
      </c>
      <c r="M4316" t="str" cm="1">
        <f t="array" ref="M4316">IFERROR(INDEX($I$2:$K$2,0,MATCH(TRUE,I4316:K4316,0)),E4316)</f>
        <v>OCGT</v>
      </c>
      <c r="O4316" t="str">
        <f t="shared" si="250"/>
        <v>OCGT_2032</v>
      </c>
      <c r="P4316">
        <f t="shared" si="251"/>
        <v>124</v>
      </c>
    </row>
    <row r="4317" spans="4:16" x14ac:dyDescent="0.25">
      <c r="D4317">
        <v>2033</v>
      </c>
      <c r="E4317" t="s">
        <v>130</v>
      </c>
      <c r="F4317" t="s">
        <v>467</v>
      </c>
      <c r="G4317">
        <v>124</v>
      </c>
      <c r="I4317">
        <f t="shared" si="252"/>
        <v>0</v>
      </c>
      <c r="J4317">
        <f t="shared" si="252"/>
        <v>0</v>
      </c>
      <c r="K4317">
        <f t="shared" si="252"/>
        <v>0</v>
      </c>
      <c r="M4317" t="str" cm="1">
        <f t="array" ref="M4317">IFERROR(INDEX($I$2:$K$2,0,MATCH(TRUE,I4317:K4317,0)),E4317)</f>
        <v>OCGT</v>
      </c>
      <c r="O4317" t="str">
        <f t="shared" si="250"/>
        <v>OCGT_2033</v>
      </c>
      <c r="P4317">
        <f t="shared" si="251"/>
        <v>124</v>
      </c>
    </row>
    <row r="4318" spans="4:16" x14ac:dyDescent="0.25">
      <c r="D4318">
        <v>2034</v>
      </c>
      <c r="E4318" t="s">
        <v>130</v>
      </c>
      <c r="F4318" t="s">
        <v>467</v>
      </c>
      <c r="G4318">
        <v>124</v>
      </c>
      <c r="I4318">
        <f t="shared" si="252"/>
        <v>0</v>
      </c>
      <c r="J4318">
        <f t="shared" si="252"/>
        <v>0</v>
      </c>
      <c r="K4318">
        <f t="shared" si="252"/>
        <v>0</v>
      </c>
      <c r="M4318" t="str" cm="1">
        <f t="array" ref="M4318">IFERROR(INDEX($I$2:$K$2,0,MATCH(TRUE,I4318:K4318,0)),E4318)</f>
        <v>OCGT</v>
      </c>
      <c r="O4318" t="str">
        <f t="shared" si="250"/>
        <v>OCGT_2034</v>
      </c>
      <c r="P4318">
        <f t="shared" si="251"/>
        <v>124</v>
      </c>
    </row>
    <row r="4319" spans="4:16" x14ac:dyDescent="0.25">
      <c r="D4319">
        <v>2035</v>
      </c>
      <c r="E4319" t="s">
        <v>130</v>
      </c>
      <c r="F4319" t="s">
        <v>467</v>
      </c>
      <c r="G4319">
        <v>124</v>
      </c>
      <c r="I4319">
        <f t="shared" si="252"/>
        <v>0</v>
      </c>
      <c r="J4319">
        <f t="shared" si="252"/>
        <v>0</v>
      </c>
      <c r="K4319">
        <f t="shared" si="252"/>
        <v>0</v>
      </c>
      <c r="M4319" t="str" cm="1">
        <f t="array" ref="M4319">IFERROR(INDEX($I$2:$K$2,0,MATCH(TRUE,I4319:K4319,0)),E4319)</f>
        <v>OCGT</v>
      </c>
      <c r="O4319" t="str">
        <f t="shared" si="250"/>
        <v>OCGT_2035</v>
      </c>
      <c r="P4319">
        <f t="shared" si="251"/>
        <v>124</v>
      </c>
    </row>
    <row r="4320" spans="4:16" x14ac:dyDescent="0.25">
      <c r="D4320">
        <v>2036</v>
      </c>
      <c r="E4320" t="s">
        <v>130</v>
      </c>
      <c r="F4320" t="s">
        <v>467</v>
      </c>
      <c r="G4320">
        <v>124</v>
      </c>
      <c r="I4320">
        <f t="shared" si="252"/>
        <v>0</v>
      </c>
      <c r="J4320">
        <f t="shared" si="252"/>
        <v>0</v>
      </c>
      <c r="K4320">
        <f t="shared" si="252"/>
        <v>0</v>
      </c>
      <c r="M4320" t="str" cm="1">
        <f t="array" ref="M4320">IFERROR(INDEX($I$2:$K$2,0,MATCH(TRUE,I4320:K4320,0)),E4320)</f>
        <v>OCGT</v>
      </c>
      <c r="O4320" t="str">
        <f t="shared" si="250"/>
        <v>OCGT_2036</v>
      </c>
      <c r="P4320">
        <f t="shared" si="251"/>
        <v>124</v>
      </c>
    </row>
    <row r="4321" spans="4:16" x14ac:dyDescent="0.25">
      <c r="D4321">
        <v>2037</v>
      </c>
      <c r="E4321" t="s">
        <v>130</v>
      </c>
      <c r="F4321" t="s">
        <v>467</v>
      </c>
      <c r="G4321">
        <v>124</v>
      </c>
      <c r="I4321">
        <f t="shared" si="252"/>
        <v>0</v>
      </c>
      <c r="J4321">
        <f t="shared" si="252"/>
        <v>0</v>
      </c>
      <c r="K4321">
        <f t="shared" si="252"/>
        <v>0</v>
      </c>
      <c r="M4321" t="str" cm="1">
        <f t="array" ref="M4321">IFERROR(INDEX($I$2:$K$2,0,MATCH(TRUE,I4321:K4321,0)),E4321)</f>
        <v>OCGT</v>
      </c>
      <c r="O4321" t="str">
        <f t="shared" si="250"/>
        <v>OCGT_2037</v>
      </c>
      <c r="P4321">
        <f t="shared" si="251"/>
        <v>124</v>
      </c>
    </row>
    <row r="4322" spans="4:16" x14ac:dyDescent="0.25">
      <c r="D4322">
        <v>2038</v>
      </c>
      <c r="E4322" t="s">
        <v>130</v>
      </c>
      <c r="F4322" t="s">
        <v>467</v>
      </c>
      <c r="G4322">
        <v>124</v>
      </c>
      <c r="I4322">
        <f t="shared" si="252"/>
        <v>0</v>
      </c>
      <c r="J4322">
        <f t="shared" si="252"/>
        <v>0</v>
      </c>
      <c r="K4322">
        <f t="shared" si="252"/>
        <v>0</v>
      </c>
      <c r="M4322" t="str" cm="1">
        <f t="array" ref="M4322">IFERROR(INDEX($I$2:$K$2,0,MATCH(TRUE,I4322:K4322,0)),E4322)</f>
        <v>OCGT</v>
      </c>
      <c r="O4322" t="str">
        <f t="shared" si="250"/>
        <v>OCGT_2038</v>
      </c>
      <c r="P4322">
        <f t="shared" si="251"/>
        <v>124</v>
      </c>
    </row>
    <row r="4323" spans="4:16" x14ac:dyDescent="0.25">
      <c r="D4323">
        <v>2039</v>
      </c>
      <c r="E4323" t="s">
        <v>130</v>
      </c>
      <c r="F4323" t="s">
        <v>467</v>
      </c>
      <c r="G4323">
        <v>124</v>
      </c>
      <c r="I4323">
        <f t="shared" si="252"/>
        <v>0</v>
      </c>
      <c r="J4323">
        <f t="shared" si="252"/>
        <v>0</v>
      </c>
      <c r="K4323">
        <f t="shared" si="252"/>
        <v>0</v>
      </c>
      <c r="M4323" t="str" cm="1">
        <f t="array" ref="M4323">IFERROR(INDEX($I$2:$K$2,0,MATCH(TRUE,I4323:K4323,0)),E4323)</f>
        <v>OCGT</v>
      </c>
      <c r="O4323" t="str">
        <f t="shared" si="250"/>
        <v>OCGT_2039</v>
      </c>
      <c r="P4323">
        <f t="shared" si="251"/>
        <v>124</v>
      </c>
    </row>
    <row r="4324" spans="4:16" x14ac:dyDescent="0.25">
      <c r="D4324">
        <v>2040</v>
      </c>
      <c r="E4324" t="s">
        <v>130</v>
      </c>
      <c r="F4324" t="s">
        <v>467</v>
      </c>
      <c r="G4324">
        <v>124</v>
      </c>
      <c r="I4324">
        <f t="shared" si="252"/>
        <v>0</v>
      </c>
      <c r="J4324">
        <f t="shared" si="252"/>
        <v>0</v>
      </c>
      <c r="K4324">
        <f t="shared" si="252"/>
        <v>0</v>
      </c>
      <c r="M4324" t="str" cm="1">
        <f t="array" ref="M4324">IFERROR(INDEX($I$2:$K$2,0,MATCH(TRUE,I4324:K4324,0)),E4324)</f>
        <v>OCGT</v>
      </c>
      <c r="O4324" t="str">
        <f t="shared" si="250"/>
        <v>OCGT_2040</v>
      </c>
      <c r="P4324">
        <f t="shared" si="251"/>
        <v>124</v>
      </c>
    </row>
    <row r="4325" spans="4:16" x14ac:dyDescent="0.25">
      <c r="D4325">
        <v>2021</v>
      </c>
      <c r="E4325" t="s">
        <v>130</v>
      </c>
      <c r="F4325" t="s">
        <v>468</v>
      </c>
      <c r="G4325">
        <v>23.5</v>
      </c>
      <c r="I4325">
        <f t="shared" si="252"/>
        <v>0</v>
      </c>
      <c r="J4325">
        <f t="shared" si="252"/>
        <v>0</v>
      </c>
      <c r="K4325">
        <f t="shared" si="252"/>
        <v>0</v>
      </c>
      <c r="M4325" t="str" cm="1">
        <f t="array" ref="M4325">IFERROR(INDEX($I$2:$K$2,0,MATCH(TRUE,I4325:K4325,0)),E4325)</f>
        <v>OCGT</v>
      </c>
      <c r="O4325" t="str">
        <f t="shared" si="250"/>
        <v>OCGT_2021</v>
      </c>
      <c r="P4325">
        <f t="shared" si="251"/>
        <v>23.5</v>
      </c>
    </row>
    <row r="4326" spans="4:16" x14ac:dyDescent="0.25">
      <c r="D4326">
        <v>2022</v>
      </c>
      <c r="E4326" t="s">
        <v>130</v>
      </c>
      <c r="F4326" t="s">
        <v>468</v>
      </c>
      <c r="G4326">
        <v>23.5</v>
      </c>
      <c r="I4326">
        <f t="shared" si="252"/>
        <v>0</v>
      </c>
      <c r="J4326">
        <f t="shared" si="252"/>
        <v>0</v>
      </c>
      <c r="K4326">
        <f t="shared" si="252"/>
        <v>0</v>
      </c>
      <c r="M4326" t="str" cm="1">
        <f t="array" ref="M4326">IFERROR(INDEX($I$2:$K$2,0,MATCH(TRUE,I4326:K4326,0)),E4326)</f>
        <v>OCGT</v>
      </c>
      <c r="O4326" t="str">
        <f t="shared" si="250"/>
        <v>OCGT_2022</v>
      </c>
      <c r="P4326">
        <f t="shared" si="251"/>
        <v>23.5</v>
      </c>
    </row>
    <row r="4327" spans="4:16" x14ac:dyDescent="0.25">
      <c r="D4327">
        <v>2023</v>
      </c>
      <c r="E4327" t="s">
        <v>130</v>
      </c>
      <c r="F4327" t="s">
        <v>468</v>
      </c>
      <c r="G4327">
        <v>23.5</v>
      </c>
      <c r="I4327">
        <f t="shared" si="252"/>
        <v>0</v>
      </c>
      <c r="J4327">
        <f t="shared" si="252"/>
        <v>0</v>
      </c>
      <c r="K4327">
        <f t="shared" si="252"/>
        <v>0</v>
      </c>
      <c r="M4327" t="str" cm="1">
        <f t="array" ref="M4327">IFERROR(INDEX($I$2:$K$2,0,MATCH(TRUE,I4327:K4327,0)),E4327)</f>
        <v>OCGT</v>
      </c>
      <c r="O4327" t="str">
        <f t="shared" si="250"/>
        <v>OCGT_2023</v>
      </c>
      <c r="P4327">
        <f t="shared" si="251"/>
        <v>23.5</v>
      </c>
    </row>
    <row r="4328" spans="4:16" x14ac:dyDescent="0.25">
      <c r="D4328">
        <v>2024</v>
      </c>
      <c r="E4328" t="s">
        <v>130</v>
      </c>
      <c r="F4328" t="s">
        <v>468</v>
      </c>
      <c r="G4328">
        <v>23.5</v>
      </c>
      <c r="I4328">
        <f t="shared" si="252"/>
        <v>0</v>
      </c>
      <c r="J4328">
        <f t="shared" si="252"/>
        <v>0</v>
      </c>
      <c r="K4328">
        <f t="shared" si="252"/>
        <v>0</v>
      </c>
      <c r="M4328" t="str" cm="1">
        <f t="array" ref="M4328">IFERROR(INDEX($I$2:$K$2,0,MATCH(TRUE,I4328:K4328,0)),E4328)</f>
        <v>OCGT</v>
      </c>
      <c r="O4328" t="str">
        <f t="shared" si="250"/>
        <v>OCGT_2024</v>
      </c>
      <c r="P4328">
        <f t="shared" si="251"/>
        <v>23.5</v>
      </c>
    </row>
    <row r="4329" spans="4:16" x14ac:dyDescent="0.25">
      <c r="D4329">
        <v>2025</v>
      </c>
      <c r="E4329" t="s">
        <v>130</v>
      </c>
      <c r="F4329" t="s">
        <v>468</v>
      </c>
      <c r="G4329">
        <v>23.5</v>
      </c>
      <c r="I4329">
        <f t="shared" si="252"/>
        <v>0</v>
      </c>
      <c r="J4329">
        <f t="shared" si="252"/>
        <v>0</v>
      </c>
      <c r="K4329">
        <f t="shared" si="252"/>
        <v>0</v>
      </c>
      <c r="M4329" t="str" cm="1">
        <f t="array" ref="M4329">IFERROR(INDEX($I$2:$K$2,0,MATCH(TRUE,I4329:K4329,0)),E4329)</f>
        <v>OCGT</v>
      </c>
      <c r="O4329" t="str">
        <f t="shared" si="250"/>
        <v>OCGT_2025</v>
      </c>
      <c r="P4329">
        <f t="shared" si="251"/>
        <v>23.5</v>
      </c>
    </row>
    <row r="4330" spans="4:16" x14ac:dyDescent="0.25">
      <c r="D4330">
        <v>2026</v>
      </c>
      <c r="E4330" t="s">
        <v>130</v>
      </c>
      <c r="F4330" t="s">
        <v>468</v>
      </c>
      <c r="G4330">
        <v>23.5</v>
      </c>
      <c r="I4330">
        <f t="shared" si="252"/>
        <v>0</v>
      </c>
      <c r="J4330">
        <f t="shared" si="252"/>
        <v>0</v>
      </c>
      <c r="K4330">
        <f t="shared" si="252"/>
        <v>0</v>
      </c>
      <c r="M4330" t="str" cm="1">
        <f t="array" ref="M4330">IFERROR(INDEX($I$2:$K$2,0,MATCH(TRUE,I4330:K4330,0)),E4330)</f>
        <v>OCGT</v>
      </c>
      <c r="O4330" t="str">
        <f t="shared" si="250"/>
        <v>OCGT_2026</v>
      </c>
      <c r="P4330">
        <f t="shared" si="251"/>
        <v>23.5</v>
      </c>
    </row>
    <row r="4331" spans="4:16" x14ac:dyDescent="0.25">
      <c r="D4331">
        <v>2021</v>
      </c>
      <c r="E4331" t="s">
        <v>130</v>
      </c>
      <c r="F4331" t="s">
        <v>469</v>
      </c>
      <c r="G4331">
        <v>250</v>
      </c>
      <c r="I4331">
        <f t="shared" si="252"/>
        <v>0</v>
      </c>
      <c r="J4331">
        <f t="shared" si="252"/>
        <v>0</v>
      </c>
      <c r="K4331">
        <f t="shared" si="252"/>
        <v>0</v>
      </c>
      <c r="M4331" t="str" cm="1">
        <f t="array" ref="M4331">IFERROR(INDEX($I$2:$K$2,0,MATCH(TRUE,I4331:K4331,0)),E4331)</f>
        <v>OCGT</v>
      </c>
      <c r="O4331" t="str">
        <f t="shared" si="250"/>
        <v>OCGT_2021</v>
      </c>
      <c r="P4331">
        <f t="shared" si="251"/>
        <v>250</v>
      </c>
    </row>
    <row r="4332" spans="4:16" x14ac:dyDescent="0.25">
      <c r="D4332">
        <v>2022</v>
      </c>
      <c r="E4332" t="s">
        <v>130</v>
      </c>
      <c r="F4332" t="s">
        <v>469</v>
      </c>
      <c r="G4332">
        <v>250</v>
      </c>
      <c r="I4332">
        <f t="shared" si="252"/>
        <v>0</v>
      </c>
      <c r="J4332">
        <f t="shared" si="252"/>
        <v>0</v>
      </c>
      <c r="K4332">
        <f t="shared" si="252"/>
        <v>0</v>
      </c>
      <c r="M4332" t="str" cm="1">
        <f t="array" ref="M4332">IFERROR(INDEX($I$2:$K$2,0,MATCH(TRUE,I4332:K4332,0)),E4332)</f>
        <v>OCGT</v>
      </c>
      <c r="O4332" t="str">
        <f t="shared" si="250"/>
        <v>OCGT_2022</v>
      </c>
      <c r="P4332">
        <f t="shared" si="251"/>
        <v>250</v>
      </c>
    </row>
    <row r="4333" spans="4:16" x14ac:dyDescent="0.25">
      <c r="D4333">
        <v>2023</v>
      </c>
      <c r="E4333" t="s">
        <v>130</v>
      </c>
      <c r="F4333" t="s">
        <v>469</v>
      </c>
      <c r="G4333">
        <v>250</v>
      </c>
      <c r="I4333">
        <f t="shared" si="252"/>
        <v>0</v>
      </c>
      <c r="J4333">
        <f t="shared" si="252"/>
        <v>0</v>
      </c>
      <c r="K4333">
        <f t="shared" si="252"/>
        <v>0</v>
      </c>
      <c r="M4333" t="str" cm="1">
        <f t="array" ref="M4333">IFERROR(INDEX($I$2:$K$2,0,MATCH(TRUE,I4333:K4333,0)),E4333)</f>
        <v>OCGT</v>
      </c>
      <c r="O4333" t="str">
        <f t="shared" si="250"/>
        <v>OCGT_2023</v>
      </c>
      <c r="P4333">
        <f t="shared" si="251"/>
        <v>250</v>
      </c>
    </row>
    <row r="4334" spans="4:16" x14ac:dyDescent="0.25">
      <c r="D4334">
        <v>2024</v>
      </c>
      <c r="E4334" t="s">
        <v>130</v>
      </c>
      <c r="F4334" t="s">
        <v>469</v>
      </c>
      <c r="G4334">
        <v>250</v>
      </c>
      <c r="I4334">
        <f t="shared" si="252"/>
        <v>0</v>
      </c>
      <c r="J4334">
        <f t="shared" si="252"/>
        <v>0</v>
      </c>
      <c r="K4334">
        <f t="shared" si="252"/>
        <v>0</v>
      </c>
      <c r="M4334" t="str" cm="1">
        <f t="array" ref="M4334">IFERROR(INDEX($I$2:$K$2,0,MATCH(TRUE,I4334:K4334,0)),E4334)</f>
        <v>OCGT</v>
      </c>
      <c r="O4334" t="str">
        <f t="shared" si="250"/>
        <v>OCGT_2024</v>
      </c>
      <c r="P4334">
        <f t="shared" si="251"/>
        <v>250</v>
      </c>
    </row>
    <row r="4335" spans="4:16" x14ac:dyDescent="0.25">
      <c r="D4335">
        <v>2025</v>
      </c>
      <c r="E4335" t="s">
        <v>130</v>
      </c>
      <c r="F4335" t="s">
        <v>469</v>
      </c>
      <c r="G4335">
        <v>250</v>
      </c>
      <c r="I4335">
        <f t="shared" si="252"/>
        <v>0</v>
      </c>
      <c r="J4335">
        <f t="shared" si="252"/>
        <v>0</v>
      </c>
      <c r="K4335">
        <f t="shared" si="252"/>
        <v>0</v>
      </c>
      <c r="M4335" t="str" cm="1">
        <f t="array" ref="M4335">IFERROR(INDEX($I$2:$K$2,0,MATCH(TRUE,I4335:K4335,0)),E4335)</f>
        <v>OCGT</v>
      </c>
      <c r="O4335" t="str">
        <f t="shared" si="250"/>
        <v>OCGT_2025</v>
      </c>
      <c r="P4335">
        <f t="shared" si="251"/>
        <v>250</v>
      </c>
    </row>
    <row r="4336" spans="4:16" x14ac:dyDescent="0.25">
      <c r="D4336">
        <v>2026</v>
      </c>
      <c r="E4336" t="s">
        <v>130</v>
      </c>
      <c r="F4336" t="s">
        <v>469</v>
      </c>
      <c r="G4336">
        <v>250</v>
      </c>
      <c r="I4336">
        <f t="shared" si="252"/>
        <v>0</v>
      </c>
      <c r="J4336">
        <f t="shared" si="252"/>
        <v>0</v>
      </c>
      <c r="K4336">
        <f t="shared" si="252"/>
        <v>0</v>
      </c>
      <c r="M4336" t="str" cm="1">
        <f t="array" ref="M4336">IFERROR(INDEX($I$2:$K$2,0,MATCH(TRUE,I4336:K4336,0)),E4336)</f>
        <v>OCGT</v>
      </c>
      <c r="O4336" t="str">
        <f t="shared" si="250"/>
        <v>OCGT_2026</v>
      </c>
      <c r="P4336">
        <f t="shared" si="251"/>
        <v>250</v>
      </c>
    </row>
    <row r="4337" spans="4:16" x14ac:dyDescent="0.25">
      <c r="D4337">
        <v>2027</v>
      </c>
      <c r="E4337" t="s">
        <v>130</v>
      </c>
      <c r="F4337" t="s">
        <v>469</v>
      </c>
      <c r="G4337">
        <v>250</v>
      </c>
      <c r="I4337">
        <f t="shared" si="252"/>
        <v>0</v>
      </c>
      <c r="J4337">
        <f t="shared" si="252"/>
        <v>0</v>
      </c>
      <c r="K4337">
        <f t="shared" si="252"/>
        <v>0</v>
      </c>
      <c r="M4337" t="str" cm="1">
        <f t="array" ref="M4337">IFERROR(INDEX($I$2:$K$2,0,MATCH(TRUE,I4337:K4337,0)),E4337)</f>
        <v>OCGT</v>
      </c>
      <c r="O4337" t="str">
        <f t="shared" si="250"/>
        <v>OCGT_2027</v>
      </c>
      <c r="P4337">
        <f t="shared" si="251"/>
        <v>250</v>
      </c>
    </row>
    <row r="4338" spans="4:16" x14ac:dyDescent="0.25">
      <c r="D4338">
        <v>2028</v>
      </c>
      <c r="E4338" t="s">
        <v>130</v>
      </c>
      <c r="F4338" t="s">
        <v>469</v>
      </c>
      <c r="G4338">
        <v>250</v>
      </c>
      <c r="I4338">
        <f t="shared" si="252"/>
        <v>0</v>
      </c>
      <c r="J4338">
        <f t="shared" si="252"/>
        <v>0</v>
      </c>
      <c r="K4338">
        <f t="shared" si="252"/>
        <v>0</v>
      </c>
      <c r="M4338" t="str" cm="1">
        <f t="array" ref="M4338">IFERROR(INDEX($I$2:$K$2,0,MATCH(TRUE,I4338:K4338,0)),E4338)</f>
        <v>OCGT</v>
      </c>
      <c r="O4338" t="str">
        <f t="shared" si="250"/>
        <v>OCGT_2028</v>
      </c>
      <c r="P4338">
        <f t="shared" si="251"/>
        <v>250</v>
      </c>
    </row>
    <row r="4339" spans="4:16" x14ac:dyDescent="0.25">
      <c r="D4339">
        <v>2029</v>
      </c>
      <c r="E4339" t="s">
        <v>130</v>
      </c>
      <c r="F4339" t="s">
        <v>469</v>
      </c>
      <c r="G4339">
        <v>250</v>
      </c>
      <c r="I4339">
        <f t="shared" si="252"/>
        <v>0</v>
      </c>
      <c r="J4339">
        <f t="shared" si="252"/>
        <v>0</v>
      </c>
      <c r="K4339">
        <f t="shared" si="252"/>
        <v>0</v>
      </c>
      <c r="M4339" t="str" cm="1">
        <f t="array" ref="M4339">IFERROR(INDEX($I$2:$K$2,0,MATCH(TRUE,I4339:K4339,0)),E4339)</f>
        <v>OCGT</v>
      </c>
      <c r="O4339" t="str">
        <f t="shared" si="250"/>
        <v>OCGT_2029</v>
      </c>
      <c r="P4339">
        <f t="shared" si="251"/>
        <v>250</v>
      </c>
    </row>
    <row r="4340" spans="4:16" x14ac:dyDescent="0.25">
      <c r="D4340">
        <v>2030</v>
      </c>
      <c r="E4340" t="s">
        <v>130</v>
      </c>
      <c r="F4340" t="s">
        <v>469</v>
      </c>
      <c r="G4340">
        <v>250</v>
      </c>
      <c r="I4340">
        <f t="shared" si="252"/>
        <v>0</v>
      </c>
      <c r="J4340">
        <f t="shared" si="252"/>
        <v>0</v>
      </c>
      <c r="K4340">
        <f t="shared" si="252"/>
        <v>0</v>
      </c>
      <c r="M4340" t="str" cm="1">
        <f t="array" ref="M4340">IFERROR(INDEX($I$2:$K$2,0,MATCH(TRUE,I4340:K4340,0)),E4340)</f>
        <v>OCGT</v>
      </c>
      <c r="O4340" t="str">
        <f t="shared" si="250"/>
        <v>OCGT_2030</v>
      </c>
      <c r="P4340">
        <f t="shared" si="251"/>
        <v>250</v>
      </c>
    </row>
    <row r="4341" spans="4:16" x14ac:dyDescent="0.25">
      <c r="D4341">
        <v>2031</v>
      </c>
      <c r="E4341" t="s">
        <v>130</v>
      </c>
      <c r="F4341" t="s">
        <v>469</v>
      </c>
      <c r="G4341">
        <v>250</v>
      </c>
      <c r="I4341">
        <f t="shared" si="252"/>
        <v>0</v>
      </c>
      <c r="J4341">
        <f t="shared" si="252"/>
        <v>0</v>
      </c>
      <c r="K4341">
        <f t="shared" si="252"/>
        <v>0</v>
      </c>
      <c r="M4341" t="str" cm="1">
        <f t="array" ref="M4341">IFERROR(INDEX($I$2:$K$2,0,MATCH(TRUE,I4341:K4341,0)),E4341)</f>
        <v>OCGT</v>
      </c>
      <c r="O4341" t="str">
        <f t="shared" si="250"/>
        <v>OCGT_2031</v>
      </c>
      <c r="P4341">
        <f t="shared" si="251"/>
        <v>250</v>
      </c>
    </row>
    <row r="4342" spans="4:16" x14ac:dyDescent="0.25">
      <c r="D4342">
        <v>2032</v>
      </c>
      <c r="E4342" t="s">
        <v>130</v>
      </c>
      <c r="F4342" t="s">
        <v>469</v>
      </c>
      <c r="G4342">
        <v>250</v>
      </c>
      <c r="I4342">
        <f t="shared" si="252"/>
        <v>0</v>
      </c>
      <c r="J4342">
        <f t="shared" si="252"/>
        <v>0</v>
      </c>
      <c r="K4342">
        <f t="shared" si="252"/>
        <v>0</v>
      </c>
      <c r="M4342" t="str" cm="1">
        <f t="array" ref="M4342">IFERROR(INDEX($I$2:$K$2,0,MATCH(TRUE,I4342:K4342,0)),E4342)</f>
        <v>OCGT</v>
      </c>
      <c r="O4342" t="str">
        <f t="shared" si="250"/>
        <v>OCGT_2032</v>
      </c>
      <c r="P4342">
        <f t="shared" si="251"/>
        <v>250</v>
      </c>
    </row>
    <row r="4343" spans="4:16" x14ac:dyDescent="0.25">
      <c r="D4343">
        <v>2033</v>
      </c>
      <c r="E4343" t="s">
        <v>130</v>
      </c>
      <c r="F4343" t="s">
        <v>469</v>
      </c>
      <c r="G4343">
        <v>250</v>
      </c>
      <c r="I4343">
        <f t="shared" si="252"/>
        <v>0</v>
      </c>
      <c r="J4343">
        <f t="shared" si="252"/>
        <v>0</v>
      </c>
      <c r="K4343">
        <f t="shared" si="252"/>
        <v>0</v>
      </c>
      <c r="M4343" t="str" cm="1">
        <f t="array" ref="M4343">IFERROR(INDEX($I$2:$K$2,0,MATCH(TRUE,I4343:K4343,0)),E4343)</f>
        <v>OCGT</v>
      </c>
      <c r="O4343" t="str">
        <f t="shared" si="250"/>
        <v>OCGT_2033</v>
      </c>
      <c r="P4343">
        <f t="shared" si="251"/>
        <v>250</v>
      </c>
    </row>
    <row r="4344" spans="4:16" x14ac:dyDescent="0.25">
      <c r="D4344">
        <v>2034</v>
      </c>
      <c r="E4344" t="s">
        <v>130</v>
      </c>
      <c r="F4344" t="s">
        <v>469</v>
      </c>
      <c r="G4344">
        <v>250</v>
      </c>
      <c r="I4344">
        <f t="shared" si="252"/>
        <v>0</v>
      </c>
      <c r="J4344">
        <f t="shared" si="252"/>
        <v>0</v>
      </c>
      <c r="K4344">
        <f t="shared" si="252"/>
        <v>0</v>
      </c>
      <c r="M4344" t="str" cm="1">
        <f t="array" ref="M4344">IFERROR(INDEX($I$2:$K$2,0,MATCH(TRUE,I4344:K4344,0)),E4344)</f>
        <v>OCGT</v>
      </c>
      <c r="O4344" t="str">
        <f t="shared" si="250"/>
        <v>OCGT_2034</v>
      </c>
      <c r="P4344">
        <f t="shared" si="251"/>
        <v>250</v>
      </c>
    </row>
    <row r="4345" spans="4:16" x14ac:dyDescent="0.25">
      <c r="D4345">
        <v>2035</v>
      </c>
      <c r="E4345" t="s">
        <v>130</v>
      </c>
      <c r="F4345" t="s">
        <v>469</v>
      </c>
      <c r="G4345">
        <v>250</v>
      </c>
      <c r="I4345">
        <f t="shared" si="252"/>
        <v>0</v>
      </c>
      <c r="J4345">
        <f t="shared" si="252"/>
        <v>0</v>
      </c>
      <c r="K4345">
        <f t="shared" si="252"/>
        <v>0</v>
      </c>
      <c r="M4345" t="str" cm="1">
        <f t="array" ref="M4345">IFERROR(INDEX($I$2:$K$2,0,MATCH(TRUE,I4345:K4345,0)),E4345)</f>
        <v>OCGT</v>
      </c>
      <c r="O4345" t="str">
        <f t="shared" si="250"/>
        <v>OCGT_2035</v>
      </c>
      <c r="P4345">
        <f t="shared" si="251"/>
        <v>250</v>
      </c>
    </row>
    <row r="4346" spans="4:16" x14ac:dyDescent="0.25">
      <c r="D4346">
        <v>2036</v>
      </c>
      <c r="E4346" t="s">
        <v>130</v>
      </c>
      <c r="F4346" t="s">
        <v>469</v>
      </c>
      <c r="G4346">
        <v>250</v>
      </c>
      <c r="I4346">
        <f t="shared" si="252"/>
        <v>0</v>
      </c>
      <c r="J4346">
        <f t="shared" si="252"/>
        <v>0</v>
      </c>
      <c r="K4346">
        <f t="shared" si="252"/>
        <v>0</v>
      </c>
      <c r="M4346" t="str" cm="1">
        <f t="array" ref="M4346">IFERROR(INDEX($I$2:$K$2,0,MATCH(TRUE,I4346:K4346,0)),E4346)</f>
        <v>OCGT</v>
      </c>
      <c r="O4346" t="str">
        <f t="shared" si="250"/>
        <v>OCGT_2036</v>
      </c>
      <c r="P4346">
        <f t="shared" si="251"/>
        <v>250</v>
      </c>
    </row>
    <row r="4347" spans="4:16" x14ac:dyDescent="0.25">
      <c r="D4347">
        <v>2037</v>
      </c>
      <c r="E4347" t="s">
        <v>130</v>
      </c>
      <c r="F4347" t="s">
        <v>469</v>
      </c>
      <c r="G4347">
        <v>250</v>
      </c>
      <c r="I4347">
        <f t="shared" si="252"/>
        <v>0</v>
      </c>
      <c r="J4347">
        <f t="shared" si="252"/>
        <v>0</v>
      </c>
      <c r="K4347">
        <f t="shared" si="252"/>
        <v>0</v>
      </c>
      <c r="M4347" t="str" cm="1">
        <f t="array" ref="M4347">IFERROR(INDEX($I$2:$K$2,0,MATCH(TRUE,I4347:K4347,0)),E4347)</f>
        <v>OCGT</v>
      </c>
      <c r="O4347" t="str">
        <f t="shared" si="250"/>
        <v>OCGT_2037</v>
      </c>
      <c r="P4347">
        <f t="shared" si="251"/>
        <v>250</v>
      </c>
    </row>
    <row r="4348" spans="4:16" x14ac:dyDescent="0.25">
      <c r="D4348">
        <v>2038</v>
      </c>
      <c r="E4348" t="s">
        <v>130</v>
      </c>
      <c r="F4348" t="s">
        <v>469</v>
      </c>
      <c r="G4348">
        <v>250</v>
      </c>
      <c r="I4348">
        <f t="shared" si="252"/>
        <v>0</v>
      </c>
      <c r="J4348">
        <f t="shared" si="252"/>
        <v>0</v>
      </c>
      <c r="K4348">
        <f t="shared" si="252"/>
        <v>0</v>
      </c>
      <c r="M4348" t="str" cm="1">
        <f t="array" ref="M4348">IFERROR(INDEX($I$2:$K$2,0,MATCH(TRUE,I4348:K4348,0)),E4348)</f>
        <v>OCGT</v>
      </c>
      <c r="O4348" t="str">
        <f t="shared" si="250"/>
        <v>OCGT_2038</v>
      </c>
      <c r="P4348">
        <f t="shared" si="251"/>
        <v>250</v>
      </c>
    </row>
    <row r="4349" spans="4:16" x14ac:dyDescent="0.25">
      <c r="D4349">
        <v>2039</v>
      </c>
      <c r="E4349" t="s">
        <v>130</v>
      </c>
      <c r="F4349" t="s">
        <v>469</v>
      </c>
      <c r="G4349">
        <v>250</v>
      </c>
      <c r="I4349">
        <f t="shared" si="252"/>
        <v>0</v>
      </c>
      <c r="J4349">
        <f t="shared" si="252"/>
        <v>0</v>
      </c>
      <c r="K4349">
        <f t="shared" si="252"/>
        <v>0</v>
      </c>
      <c r="M4349" t="str" cm="1">
        <f t="array" ref="M4349">IFERROR(INDEX($I$2:$K$2,0,MATCH(TRUE,I4349:K4349,0)),E4349)</f>
        <v>OCGT</v>
      </c>
      <c r="O4349" t="str">
        <f t="shared" si="250"/>
        <v>OCGT_2039</v>
      </c>
      <c r="P4349">
        <f t="shared" si="251"/>
        <v>250</v>
      </c>
    </row>
    <row r="4350" spans="4:16" x14ac:dyDescent="0.25">
      <c r="D4350">
        <v>2040</v>
      </c>
      <c r="E4350" t="s">
        <v>130</v>
      </c>
      <c r="F4350" t="s">
        <v>469</v>
      </c>
      <c r="G4350">
        <v>250</v>
      </c>
      <c r="I4350">
        <f t="shared" si="252"/>
        <v>0</v>
      </c>
      <c r="J4350">
        <f t="shared" si="252"/>
        <v>0</v>
      </c>
      <c r="K4350">
        <f t="shared" si="252"/>
        <v>0</v>
      </c>
      <c r="M4350" t="str" cm="1">
        <f t="array" ref="M4350">IFERROR(INDEX($I$2:$K$2,0,MATCH(TRUE,I4350:K4350,0)),E4350)</f>
        <v>OCGT</v>
      </c>
      <c r="O4350" t="str">
        <f t="shared" si="250"/>
        <v>OCGT_2040</v>
      </c>
      <c r="P4350">
        <f t="shared" si="251"/>
        <v>250</v>
      </c>
    </row>
    <row r="4351" spans="4:16" x14ac:dyDescent="0.25">
      <c r="D4351">
        <v>2021</v>
      </c>
      <c r="E4351" t="s">
        <v>130</v>
      </c>
      <c r="F4351" t="s">
        <v>470</v>
      </c>
      <c r="G4351">
        <v>40</v>
      </c>
      <c r="I4351">
        <f t="shared" si="252"/>
        <v>0</v>
      </c>
      <c r="J4351">
        <f t="shared" si="252"/>
        <v>0</v>
      </c>
      <c r="K4351">
        <f t="shared" si="252"/>
        <v>0</v>
      </c>
      <c r="M4351" t="str" cm="1">
        <f t="array" ref="M4351">IFERROR(INDEX($I$2:$K$2,0,MATCH(TRUE,I4351:K4351,0)),E4351)</f>
        <v>OCGT</v>
      </c>
      <c r="O4351" t="str">
        <f t="shared" si="250"/>
        <v>OCGT_2021</v>
      </c>
      <c r="P4351">
        <f t="shared" si="251"/>
        <v>40</v>
      </c>
    </row>
    <row r="4352" spans="4:16" x14ac:dyDescent="0.25">
      <c r="D4352">
        <v>2022</v>
      </c>
      <c r="E4352" t="s">
        <v>130</v>
      </c>
      <c r="F4352" t="s">
        <v>470</v>
      </c>
      <c r="G4352">
        <v>40</v>
      </c>
      <c r="I4352">
        <f t="shared" si="252"/>
        <v>0</v>
      </c>
      <c r="J4352">
        <f t="shared" si="252"/>
        <v>0</v>
      </c>
      <c r="K4352">
        <f t="shared" si="252"/>
        <v>0</v>
      </c>
      <c r="M4352" t="str" cm="1">
        <f t="array" ref="M4352">IFERROR(INDEX($I$2:$K$2,0,MATCH(TRUE,I4352:K4352,0)),E4352)</f>
        <v>OCGT</v>
      </c>
      <c r="O4352" t="str">
        <f t="shared" si="250"/>
        <v>OCGT_2022</v>
      </c>
      <c r="P4352">
        <f t="shared" si="251"/>
        <v>40</v>
      </c>
    </row>
    <row r="4353" spans="4:16" x14ac:dyDescent="0.25">
      <c r="D4353">
        <v>2023</v>
      </c>
      <c r="E4353" t="s">
        <v>130</v>
      </c>
      <c r="F4353" t="s">
        <v>470</v>
      </c>
      <c r="G4353">
        <v>40</v>
      </c>
      <c r="I4353">
        <f t="shared" si="252"/>
        <v>0</v>
      </c>
      <c r="J4353">
        <f t="shared" si="252"/>
        <v>0</v>
      </c>
      <c r="K4353">
        <f t="shared" si="252"/>
        <v>0</v>
      </c>
      <c r="M4353" t="str" cm="1">
        <f t="array" ref="M4353">IFERROR(INDEX($I$2:$K$2,0,MATCH(TRUE,I4353:K4353,0)),E4353)</f>
        <v>OCGT</v>
      </c>
      <c r="O4353" t="str">
        <f t="shared" si="250"/>
        <v>OCGT_2023</v>
      </c>
      <c r="P4353">
        <f t="shared" si="251"/>
        <v>40</v>
      </c>
    </row>
    <row r="4354" spans="4:16" x14ac:dyDescent="0.25">
      <c r="D4354">
        <v>2024</v>
      </c>
      <c r="E4354" t="s">
        <v>130</v>
      </c>
      <c r="F4354" t="s">
        <v>470</v>
      </c>
      <c r="G4354">
        <v>40</v>
      </c>
      <c r="I4354">
        <f t="shared" si="252"/>
        <v>0</v>
      </c>
      <c r="J4354">
        <f t="shared" si="252"/>
        <v>0</v>
      </c>
      <c r="K4354">
        <f t="shared" si="252"/>
        <v>0</v>
      </c>
      <c r="M4354" t="str" cm="1">
        <f t="array" ref="M4354">IFERROR(INDEX($I$2:$K$2,0,MATCH(TRUE,I4354:K4354,0)),E4354)</f>
        <v>OCGT</v>
      </c>
      <c r="O4354" t="str">
        <f t="shared" si="250"/>
        <v>OCGT_2024</v>
      </c>
      <c r="P4354">
        <f t="shared" si="251"/>
        <v>40</v>
      </c>
    </row>
    <row r="4355" spans="4:16" x14ac:dyDescent="0.25">
      <c r="D4355">
        <v>2025</v>
      </c>
      <c r="E4355" t="s">
        <v>130</v>
      </c>
      <c r="F4355" t="s">
        <v>470</v>
      </c>
      <c r="G4355">
        <v>40</v>
      </c>
      <c r="I4355">
        <f t="shared" si="252"/>
        <v>0</v>
      </c>
      <c r="J4355">
        <f t="shared" si="252"/>
        <v>0</v>
      </c>
      <c r="K4355">
        <f t="shared" si="252"/>
        <v>0</v>
      </c>
      <c r="M4355" t="str" cm="1">
        <f t="array" ref="M4355">IFERROR(INDEX($I$2:$K$2,0,MATCH(TRUE,I4355:K4355,0)),E4355)</f>
        <v>OCGT</v>
      </c>
      <c r="O4355" t="str">
        <f t="shared" si="250"/>
        <v>OCGT_2025</v>
      </c>
      <c r="P4355">
        <f t="shared" si="251"/>
        <v>40</v>
      </c>
    </row>
    <row r="4356" spans="4:16" x14ac:dyDescent="0.25">
      <c r="D4356">
        <v>2026</v>
      </c>
      <c r="E4356" t="s">
        <v>130</v>
      </c>
      <c r="F4356" t="s">
        <v>470</v>
      </c>
      <c r="G4356">
        <v>40</v>
      </c>
      <c r="I4356">
        <f t="shared" si="252"/>
        <v>0</v>
      </c>
      <c r="J4356">
        <f t="shared" si="252"/>
        <v>0</v>
      </c>
      <c r="K4356">
        <f t="shared" si="252"/>
        <v>0</v>
      </c>
      <c r="M4356" t="str" cm="1">
        <f t="array" ref="M4356">IFERROR(INDEX($I$2:$K$2,0,MATCH(TRUE,I4356:K4356,0)),E4356)</f>
        <v>OCGT</v>
      </c>
      <c r="O4356" t="str">
        <f t="shared" si="250"/>
        <v>OCGT_2026</v>
      </c>
      <c r="P4356">
        <f t="shared" si="251"/>
        <v>40</v>
      </c>
    </row>
    <row r="4357" spans="4:16" x14ac:dyDescent="0.25">
      <c r="D4357">
        <v>2027</v>
      </c>
      <c r="E4357" t="s">
        <v>130</v>
      </c>
      <c r="F4357" t="s">
        <v>470</v>
      </c>
      <c r="G4357">
        <v>40</v>
      </c>
      <c r="I4357">
        <f t="shared" si="252"/>
        <v>0</v>
      </c>
      <c r="J4357">
        <f t="shared" si="252"/>
        <v>0</v>
      </c>
      <c r="K4357">
        <f t="shared" si="252"/>
        <v>0</v>
      </c>
      <c r="M4357" t="str" cm="1">
        <f t="array" ref="M4357">IFERROR(INDEX($I$2:$K$2,0,MATCH(TRUE,I4357:K4357,0)),E4357)</f>
        <v>OCGT</v>
      </c>
      <c r="O4357" t="str">
        <f t="shared" si="250"/>
        <v>OCGT_2027</v>
      </c>
      <c r="P4357">
        <f t="shared" si="251"/>
        <v>40</v>
      </c>
    </row>
    <row r="4358" spans="4:16" x14ac:dyDescent="0.25">
      <c r="D4358">
        <v>2028</v>
      </c>
      <c r="E4358" t="s">
        <v>130</v>
      </c>
      <c r="F4358" t="s">
        <v>470</v>
      </c>
      <c r="G4358">
        <v>40</v>
      </c>
      <c r="I4358">
        <f t="shared" si="252"/>
        <v>0</v>
      </c>
      <c r="J4358">
        <f t="shared" si="252"/>
        <v>0</v>
      </c>
      <c r="K4358">
        <f t="shared" si="252"/>
        <v>0</v>
      </c>
      <c r="M4358" t="str" cm="1">
        <f t="array" ref="M4358">IFERROR(INDEX($I$2:$K$2,0,MATCH(TRUE,I4358:K4358,0)),E4358)</f>
        <v>OCGT</v>
      </c>
      <c r="O4358" t="str">
        <f t="shared" si="250"/>
        <v>OCGT_2028</v>
      </c>
      <c r="P4358">
        <f t="shared" si="251"/>
        <v>40</v>
      </c>
    </row>
    <row r="4359" spans="4:16" x14ac:dyDescent="0.25">
      <c r="D4359">
        <v>2029</v>
      </c>
      <c r="E4359" t="s">
        <v>130</v>
      </c>
      <c r="F4359" t="s">
        <v>470</v>
      </c>
      <c r="G4359">
        <v>40</v>
      </c>
      <c r="I4359">
        <f t="shared" si="252"/>
        <v>0</v>
      </c>
      <c r="J4359">
        <f t="shared" si="252"/>
        <v>0</v>
      </c>
      <c r="K4359">
        <f t="shared" si="252"/>
        <v>0</v>
      </c>
      <c r="M4359" t="str" cm="1">
        <f t="array" ref="M4359">IFERROR(INDEX($I$2:$K$2,0,MATCH(TRUE,I4359:K4359,0)),E4359)</f>
        <v>OCGT</v>
      </c>
      <c r="O4359" t="str">
        <f t="shared" si="250"/>
        <v>OCGT_2029</v>
      </c>
      <c r="P4359">
        <f t="shared" si="251"/>
        <v>40</v>
      </c>
    </row>
    <row r="4360" spans="4:16" x14ac:dyDescent="0.25">
      <c r="D4360">
        <v>2030</v>
      </c>
      <c r="E4360" t="s">
        <v>130</v>
      </c>
      <c r="F4360" t="s">
        <v>470</v>
      </c>
      <c r="G4360">
        <v>40</v>
      </c>
      <c r="I4360">
        <f t="shared" si="252"/>
        <v>0</v>
      </c>
      <c r="J4360">
        <f t="shared" si="252"/>
        <v>0</v>
      </c>
      <c r="K4360">
        <f t="shared" si="252"/>
        <v>0</v>
      </c>
      <c r="M4360" t="str" cm="1">
        <f t="array" ref="M4360">IFERROR(INDEX($I$2:$K$2,0,MATCH(TRUE,I4360:K4360,0)),E4360)</f>
        <v>OCGT</v>
      </c>
      <c r="O4360" t="str">
        <f t="shared" si="250"/>
        <v>OCGT_2030</v>
      </c>
      <c r="P4360">
        <f t="shared" si="251"/>
        <v>40</v>
      </c>
    </row>
    <row r="4361" spans="4:16" x14ac:dyDescent="0.25">
      <c r="D4361">
        <v>2031</v>
      </c>
      <c r="E4361" t="s">
        <v>130</v>
      </c>
      <c r="F4361" t="s">
        <v>470</v>
      </c>
      <c r="G4361">
        <v>40</v>
      </c>
      <c r="I4361">
        <f t="shared" si="252"/>
        <v>0</v>
      </c>
      <c r="J4361">
        <f t="shared" si="252"/>
        <v>0</v>
      </c>
      <c r="K4361">
        <f t="shared" si="252"/>
        <v>0</v>
      </c>
      <c r="M4361" t="str" cm="1">
        <f t="array" ref="M4361">IFERROR(INDEX($I$2:$K$2,0,MATCH(TRUE,I4361:K4361,0)),E4361)</f>
        <v>OCGT</v>
      </c>
      <c r="O4361" t="str">
        <f t="shared" si="250"/>
        <v>OCGT_2031</v>
      </c>
      <c r="P4361">
        <f t="shared" si="251"/>
        <v>40</v>
      </c>
    </row>
    <row r="4362" spans="4:16" x14ac:dyDescent="0.25">
      <c r="D4362">
        <v>2032</v>
      </c>
      <c r="E4362" t="s">
        <v>130</v>
      </c>
      <c r="F4362" t="s">
        <v>470</v>
      </c>
      <c r="G4362">
        <v>40</v>
      </c>
      <c r="I4362">
        <f t="shared" si="252"/>
        <v>0</v>
      </c>
      <c r="J4362">
        <f t="shared" si="252"/>
        <v>0</v>
      </c>
      <c r="K4362">
        <f t="shared" si="252"/>
        <v>0</v>
      </c>
      <c r="M4362" t="str" cm="1">
        <f t="array" ref="M4362">IFERROR(INDEX($I$2:$K$2,0,MATCH(TRUE,I4362:K4362,0)),E4362)</f>
        <v>OCGT</v>
      </c>
      <c r="O4362" t="str">
        <f t="shared" si="250"/>
        <v>OCGT_2032</v>
      </c>
      <c r="P4362">
        <f t="shared" si="251"/>
        <v>40</v>
      </c>
    </row>
    <row r="4363" spans="4:16" x14ac:dyDescent="0.25">
      <c r="D4363">
        <v>2033</v>
      </c>
      <c r="E4363" t="s">
        <v>130</v>
      </c>
      <c r="F4363" t="s">
        <v>470</v>
      </c>
      <c r="G4363">
        <v>40</v>
      </c>
      <c r="I4363">
        <f t="shared" si="252"/>
        <v>0</v>
      </c>
      <c r="J4363">
        <f t="shared" si="252"/>
        <v>0</v>
      </c>
      <c r="K4363">
        <f t="shared" si="252"/>
        <v>0</v>
      </c>
      <c r="M4363" t="str" cm="1">
        <f t="array" ref="M4363">IFERROR(INDEX($I$2:$K$2,0,MATCH(TRUE,I4363:K4363,0)),E4363)</f>
        <v>OCGT</v>
      </c>
      <c r="O4363" t="str">
        <f t="shared" si="250"/>
        <v>OCGT_2033</v>
      </c>
      <c r="P4363">
        <f t="shared" si="251"/>
        <v>40</v>
      </c>
    </row>
    <row r="4364" spans="4:16" x14ac:dyDescent="0.25">
      <c r="D4364">
        <v>2034</v>
      </c>
      <c r="E4364" t="s">
        <v>130</v>
      </c>
      <c r="F4364" t="s">
        <v>470</v>
      </c>
      <c r="G4364">
        <v>40</v>
      </c>
      <c r="I4364">
        <f t="shared" si="252"/>
        <v>0</v>
      </c>
      <c r="J4364">
        <f t="shared" si="252"/>
        <v>0</v>
      </c>
      <c r="K4364">
        <f t="shared" si="252"/>
        <v>0</v>
      </c>
      <c r="M4364" t="str" cm="1">
        <f t="array" ref="M4364">IFERROR(INDEX($I$2:$K$2,0,MATCH(TRUE,I4364:K4364,0)),E4364)</f>
        <v>OCGT</v>
      </c>
      <c r="O4364" t="str">
        <f t="shared" si="250"/>
        <v>OCGT_2034</v>
      </c>
      <c r="P4364">
        <f t="shared" si="251"/>
        <v>40</v>
      </c>
    </row>
    <row r="4365" spans="4:16" x14ac:dyDescent="0.25">
      <c r="D4365">
        <v>2035</v>
      </c>
      <c r="E4365" t="s">
        <v>130</v>
      </c>
      <c r="F4365" t="s">
        <v>470</v>
      </c>
      <c r="G4365">
        <v>40</v>
      </c>
      <c r="I4365">
        <f t="shared" si="252"/>
        <v>0</v>
      </c>
      <c r="J4365">
        <f t="shared" si="252"/>
        <v>0</v>
      </c>
      <c r="K4365">
        <f t="shared" si="252"/>
        <v>0</v>
      </c>
      <c r="M4365" t="str" cm="1">
        <f t="array" ref="M4365">IFERROR(INDEX($I$2:$K$2,0,MATCH(TRUE,I4365:K4365,0)),E4365)</f>
        <v>OCGT</v>
      </c>
      <c r="O4365" t="str">
        <f t="shared" si="250"/>
        <v>OCGT_2035</v>
      </c>
      <c r="P4365">
        <f t="shared" si="251"/>
        <v>40</v>
      </c>
    </row>
    <row r="4366" spans="4:16" x14ac:dyDescent="0.25">
      <c r="D4366">
        <v>2036</v>
      </c>
      <c r="E4366" t="s">
        <v>130</v>
      </c>
      <c r="F4366" t="s">
        <v>470</v>
      </c>
      <c r="G4366">
        <v>40</v>
      </c>
      <c r="I4366">
        <f t="shared" si="252"/>
        <v>0</v>
      </c>
      <c r="J4366">
        <f t="shared" si="252"/>
        <v>0</v>
      </c>
      <c r="K4366">
        <f t="shared" si="252"/>
        <v>0</v>
      </c>
      <c r="M4366" t="str" cm="1">
        <f t="array" ref="M4366">IFERROR(INDEX($I$2:$K$2,0,MATCH(TRUE,I4366:K4366,0)),E4366)</f>
        <v>OCGT</v>
      </c>
      <c r="O4366" t="str">
        <f t="shared" si="250"/>
        <v>OCGT_2036</v>
      </c>
      <c r="P4366">
        <f t="shared" si="251"/>
        <v>40</v>
      </c>
    </row>
    <row r="4367" spans="4:16" x14ac:dyDescent="0.25">
      <c r="D4367">
        <v>2037</v>
      </c>
      <c r="E4367" t="s">
        <v>130</v>
      </c>
      <c r="F4367" t="s">
        <v>470</v>
      </c>
      <c r="G4367">
        <v>40</v>
      </c>
      <c r="I4367">
        <f t="shared" si="252"/>
        <v>0</v>
      </c>
      <c r="J4367">
        <f t="shared" si="252"/>
        <v>0</v>
      </c>
      <c r="K4367">
        <f t="shared" si="252"/>
        <v>0</v>
      </c>
      <c r="M4367" t="str" cm="1">
        <f t="array" ref="M4367">IFERROR(INDEX($I$2:$K$2,0,MATCH(TRUE,I4367:K4367,0)),E4367)</f>
        <v>OCGT</v>
      </c>
      <c r="O4367" t="str">
        <f t="shared" si="250"/>
        <v>OCGT_2037</v>
      </c>
      <c r="P4367">
        <f t="shared" si="251"/>
        <v>40</v>
      </c>
    </row>
    <row r="4368" spans="4:16" x14ac:dyDescent="0.25">
      <c r="D4368">
        <v>2038</v>
      </c>
      <c r="E4368" t="s">
        <v>130</v>
      </c>
      <c r="F4368" t="s">
        <v>470</v>
      </c>
      <c r="G4368">
        <v>40</v>
      </c>
      <c r="I4368">
        <f t="shared" si="252"/>
        <v>0</v>
      </c>
      <c r="J4368">
        <f t="shared" si="252"/>
        <v>0</v>
      </c>
      <c r="K4368">
        <f t="shared" si="252"/>
        <v>0</v>
      </c>
      <c r="M4368" t="str" cm="1">
        <f t="array" ref="M4368">IFERROR(INDEX($I$2:$K$2,0,MATCH(TRUE,I4368:K4368,0)),E4368)</f>
        <v>OCGT</v>
      </c>
      <c r="O4368" t="str">
        <f t="shared" si="250"/>
        <v>OCGT_2038</v>
      </c>
      <c r="P4368">
        <f t="shared" si="251"/>
        <v>40</v>
      </c>
    </row>
    <row r="4369" spans="4:16" x14ac:dyDescent="0.25">
      <c r="D4369">
        <v>2039</v>
      </c>
      <c r="E4369" t="s">
        <v>130</v>
      </c>
      <c r="F4369" t="s">
        <v>470</v>
      </c>
      <c r="G4369">
        <v>40</v>
      </c>
      <c r="I4369">
        <f t="shared" si="252"/>
        <v>0</v>
      </c>
      <c r="J4369">
        <f t="shared" si="252"/>
        <v>0</v>
      </c>
      <c r="K4369">
        <f t="shared" si="252"/>
        <v>0</v>
      </c>
      <c r="M4369" t="str" cm="1">
        <f t="array" ref="M4369">IFERROR(INDEX($I$2:$K$2,0,MATCH(TRUE,I4369:K4369,0)),E4369)</f>
        <v>OCGT</v>
      </c>
      <c r="O4369" t="str">
        <f t="shared" si="250"/>
        <v>OCGT_2039</v>
      </c>
      <c r="P4369">
        <f t="shared" si="251"/>
        <v>40</v>
      </c>
    </row>
    <row r="4370" spans="4:16" x14ac:dyDescent="0.25">
      <c r="D4370">
        <v>2040</v>
      </c>
      <c r="E4370" t="s">
        <v>130</v>
      </c>
      <c r="F4370" t="s">
        <v>470</v>
      </c>
      <c r="G4370">
        <v>40</v>
      </c>
      <c r="I4370">
        <f t="shared" si="252"/>
        <v>0</v>
      </c>
      <c r="J4370">
        <f t="shared" si="252"/>
        <v>0</v>
      </c>
      <c r="K4370">
        <f t="shared" si="252"/>
        <v>0</v>
      </c>
      <c r="M4370" t="str" cm="1">
        <f t="array" ref="M4370">IFERROR(INDEX($I$2:$K$2,0,MATCH(TRUE,I4370:K4370,0)),E4370)</f>
        <v>OCGT</v>
      </c>
      <c r="O4370" t="str">
        <f t="shared" si="250"/>
        <v>OCGT_2040</v>
      </c>
      <c r="P4370">
        <f t="shared" si="251"/>
        <v>40</v>
      </c>
    </row>
    <row r="4371" spans="4:16" x14ac:dyDescent="0.25">
      <c r="D4371">
        <v>2021</v>
      </c>
      <c r="E4371" t="s">
        <v>130</v>
      </c>
      <c r="F4371" t="s">
        <v>471</v>
      </c>
      <c r="G4371">
        <v>54</v>
      </c>
      <c r="I4371">
        <f t="shared" si="252"/>
        <v>0</v>
      </c>
      <c r="J4371">
        <f t="shared" si="252"/>
        <v>0</v>
      </c>
      <c r="K4371">
        <f t="shared" si="252"/>
        <v>0</v>
      </c>
      <c r="M4371" t="str" cm="1">
        <f t="array" ref="M4371">IFERROR(INDEX($I$2:$K$2,0,MATCH(TRUE,I4371:K4371,0)),E4371)</f>
        <v>OCGT</v>
      </c>
      <c r="O4371" t="str">
        <f t="shared" ref="O4371:O4434" si="253">M4371&amp;"_"&amp;D4371</f>
        <v>OCGT_2021</v>
      </c>
      <c r="P4371">
        <f t="shared" ref="P4371:P4434" si="254">G4371</f>
        <v>54</v>
      </c>
    </row>
    <row r="4372" spans="4:16" x14ac:dyDescent="0.25">
      <c r="D4372">
        <v>2022</v>
      </c>
      <c r="E4372" t="s">
        <v>130</v>
      </c>
      <c r="F4372" t="s">
        <v>471</v>
      </c>
      <c r="G4372">
        <v>54</v>
      </c>
      <c r="I4372">
        <f t="shared" si="252"/>
        <v>0</v>
      </c>
      <c r="J4372">
        <f t="shared" si="252"/>
        <v>0</v>
      </c>
      <c r="K4372">
        <f t="shared" si="252"/>
        <v>0</v>
      </c>
      <c r="M4372" t="str" cm="1">
        <f t="array" ref="M4372">IFERROR(INDEX($I$2:$K$2,0,MATCH(TRUE,I4372:K4372,0)),E4372)</f>
        <v>OCGT</v>
      </c>
      <c r="O4372" t="str">
        <f t="shared" si="253"/>
        <v>OCGT_2022</v>
      </c>
      <c r="P4372">
        <f t="shared" si="254"/>
        <v>54</v>
      </c>
    </row>
    <row r="4373" spans="4:16" x14ac:dyDescent="0.25">
      <c r="D4373">
        <v>2023</v>
      </c>
      <c r="E4373" t="s">
        <v>130</v>
      </c>
      <c r="F4373" t="s">
        <v>471</v>
      </c>
      <c r="G4373">
        <v>54</v>
      </c>
      <c r="I4373">
        <f t="shared" ref="I4373:K4436" si="255">IFERROR(FIND(I$2,$E4373,1)&gt;0,0)</f>
        <v>0</v>
      </c>
      <c r="J4373">
        <f t="shared" si="255"/>
        <v>0</v>
      </c>
      <c r="K4373">
        <f t="shared" si="255"/>
        <v>0</v>
      </c>
      <c r="M4373" t="str" cm="1">
        <f t="array" ref="M4373">IFERROR(INDEX($I$2:$K$2,0,MATCH(TRUE,I4373:K4373,0)),E4373)</f>
        <v>OCGT</v>
      </c>
      <c r="O4373" t="str">
        <f t="shared" si="253"/>
        <v>OCGT_2023</v>
      </c>
      <c r="P4373">
        <f t="shared" si="254"/>
        <v>54</v>
      </c>
    </row>
    <row r="4374" spans="4:16" x14ac:dyDescent="0.25">
      <c r="D4374">
        <v>2024</v>
      </c>
      <c r="E4374" t="s">
        <v>130</v>
      </c>
      <c r="F4374" t="s">
        <v>471</v>
      </c>
      <c r="G4374">
        <v>54</v>
      </c>
      <c r="I4374">
        <f t="shared" si="255"/>
        <v>0</v>
      </c>
      <c r="J4374">
        <f t="shared" si="255"/>
        <v>0</v>
      </c>
      <c r="K4374">
        <f t="shared" si="255"/>
        <v>0</v>
      </c>
      <c r="M4374" t="str" cm="1">
        <f t="array" ref="M4374">IFERROR(INDEX($I$2:$K$2,0,MATCH(TRUE,I4374:K4374,0)),E4374)</f>
        <v>OCGT</v>
      </c>
      <c r="O4374" t="str">
        <f t="shared" si="253"/>
        <v>OCGT_2024</v>
      </c>
      <c r="P4374">
        <f t="shared" si="254"/>
        <v>54</v>
      </c>
    </row>
    <row r="4375" spans="4:16" x14ac:dyDescent="0.25">
      <c r="D4375">
        <v>2025</v>
      </c>
      <c r="E4375" t="s">
        <v>130</v>
      </c>
      <c r="F4375" t="s">
        <v>471</v>
      </c>
      <c r="G4375">
        <v>54</v>
      </c>
      <c r="I4375">
        <f t="shared" si="255"/>
        <v>0</v>
      </c>
      <c r="J4375">
        <f t="shared" si="255"/>
        <v>0</v>
      </c>
      <c r="K4375">
        <f t="shared" si="255"/>
        <v>0</v>
      </c>
      <c r="M4375" t="str" cm="1">
        <f t="array" ref="M4375">IFERROR(INDEX($I$2:$K$2,0,MATCH(TRUE,I4375:K4375,0)),E4375)</f>
        <v>OCGT</v>
      </c>
      <c r="O4375" t="str">
        <f t="shared" si="253"/>
        <v>OCGT_2025</v>
      </c>
      <c r="P4375">
        <f t="shared" si="254"/>
        <v>54</v>
      </c>
    </row>
    <row r="4376" spans="4:16" x14ac:dyDescent="0.25">
      <c r="D4376">
        <v>2026</v>
      </c>
      <c r="E4376" t="s">
        <v>130</v>
      </c>
      <c r="F4376" t="s">
        <v>471</v>
      </c>
      <c r="G4376">
        <v>54</v>
      </c>
      <c r="I4376">
        <f t="shared" si="255"/>
        <v>0</v>
      </c>
      <c r="J4376">
        <f t="shared" si="255"/>
        <v>0</v>
      </c>
      <c r="K4376">
        <f t="shared" si="255"/>
        <v>0</v>
      </c>
      <c r="M4376" t="str" cm="1">
        <f t="array" ref="M4376">IFERROR(INDEX($I$2:$K$2,0,MATCH(TRUE,I4376:K4376,0)),E4376)</f>
        <v>OCGT</v>
      </c>
      <c r="O4376" t="str">
        <f t="shared" si="253"/>
        <v>OCGT_2026</v>
      </c>
      <c r="P4376">
        <f t="shared" si="254"/>
        <v>54</v>
      </c>
    </row>
    <row r="4377" spans="4:16" x14ac:dyDescent="0.25">
      <c r="D4377">
        <v>2027</v>
      </c>
      <c r="E4377" t="s">
        <v>130</v>
      </c>
      <c r="F4377" t="s">
        <v>471</v>
      </c>
      <c r="G4377">
        <v>54</v>
      </c>
      <c r="I4377">
        <f t="shared" si="255"/>
        <v>0</v>
      </c>
      <c r="J4377">
        <f t="shared" si="255"/>
        <v>0</v>
      </c>
      <c r="K4377">
        <f t="shared" si="255"/>
        <v>0</v>
      </c>
      <c r="M4377" t="str" cm="1">
        <f t="array" ref="M4377">IFERROR(INDEX($I$2:$K$2,0,MATCH(TRUE,I4377:K4377,0)),E4377)</f>
        <v>OCGT</v>
      </c>
      <c r="O4377" t="str">
        <f t="shared" si="253"/>
        <v>OCGT_2027</v>
      </c>
      <c r="P4377">
        <f t="shared" si="254"/>
        <v>54</v>
      </c>
    </row>
    <row r="4378" spans="4:16" x14ac:dyDescent="0.25">
      <c r="D4378">
        <v>2028</v>
      </c>
      <c r="E4378" t="s">
        <v>130</v>
      </c>
      <c r="F4378" t="s">
        <v>471</v>
      </c>
      <c r="G4378">
        <v>54</v>
      </c>
      <c r="I4378">
        <f t="shared" si="255"/>
        <v>0</v>
      </c>
      <c r="J4378">
        <f t="shared" si="255"/>
        <v>0</v>
      </c>
      <c r="K4378">
        <f t="shared" si="255"/>
        <v>0</v>
      </c>
      <c r="M4378" t="str" cm="1">
        <f t="array" ref="M4378">IFERROR(INDEX($I$2:$K$2,0,MATCH(TRUE,I4378:K4378,0)),E4378)</f>
        <v>OCGT</v>
      </c>
      <c r="O4378" t="str">
        <f t="shared" si="253"/>
        <v>OCGT_2028</v>
      </c>
      <c r="P4378">
        <f t="shared" si="254"/>
        <v>54</v>
      </c>
    </row>
    <row r="4379" spans="4:16" x14ac:dyDescent="0.25">
      <c r="D4379">
        <v>2029</v>
      </c>
      <c r="E4379" t="s">
        <v>130</v>
      </c>
      <c r="F4379" t="s">
        <v>471</v>
      </c>
      <c r="G4379">
        <v>54</v>
      </c>
      <c r="I4379">
        <f t="shared" si="255"/>
        <v>0</v>
      </c>
      <c r="J4379">
        <f t="shared" si="255"/>
        <v>0</v>
      </c>
      <c r="K4379">
        <f t="shared" si="255"/>
        <v>0</v>
      </c>
      <c r="M4379" t="str" cm="1">
        <f t="array" ref="M4379">IFERROR(INDEX($I$2:$K$2,0,MATCH(TRUE,I4379:K4379,0)),E4379)</f>
        <v>OCGT</v>
      </c>
      <c r="O4379" t="str">
        <f t="shared" si="253"/>
        <v>OCGT_2029</v>
      </c>
      <c r="P4379">
        <f t="shared" si="254"/>
        <v>54</v>
      </c>
    </row>
    <row r="4380" spans="4:16" x14ac:dyDescent="0.25">
      <c r="D4380">
        <v>2030</v>
      </c>
      <c r="E4380" t="s">
        <v>130</v>
      </c>
      <c r="F4380" t="s">
        <v>471</v>
      </c>
      <c r="G4380">
        <v>54</v>
      </c>
      <c r="I4380">
        <f t="shared" si="255"/>
        <v>0</v>
      </c>
      <c r="J4380">
        <f t="shared" si="255"/>
        <v>0</v>
      </c>
      <c r="K4380">
        <f t="shared" si="255"/>
        <v>0</v>
      </c>
      <c r="M4380" t="str" cm="1">
        <f t="array" ref="M4380">IFERROR(INDEX($I$2:$K$2,0,MATCH(TRUE,I4380:K4380,0)),E4380)</f>
        <v>OCGT</v>
      </c>
      <c r="O4380" t="str">
        <f t="shared" si="253"/>
        <v>OCGT_2030</v>
      </c>
      <c r="P4380">
        <f t="shared" si="254"/>
        <v>54</v>
      </c>
    </row>
    <row r="4381" spans="4:16" x14ac:dyDescent="0.25">
      <c r="D4381">
        <v>2031</v>
      </c>
      <c r="E4381" t="s">
        <v>130</v>
      </c>
      <c r="F4381" t="s">
        <v>471</v>
      </c>
      <c r="G4381">
        <v>54</v>
      </c>
      <c r="I4381">
        <f t="shared" si="255"/>
        <v>0</v>
      </c>
      <c r="J4381">
        <f t="shared" si="255"/>
        <v>0</v>
      </c>
      <c r="K4381">
        <f t="shared" si="255"/>
        <v>0</v>
      </c>
      <c r="M4381" t="str" cm="1">
        <f t="array" ref="M4381">IFERROR(INDEX($I$2:$K$2,0,MATCH(TRUE,I4381:K4381,0)),E4381)</f>
        <v>OCGT</v>
      </c>
      <c r="O4381" t="str">
        <f t="shared" si="253"/>
        <v>OCGT_2031</v>
      </c>
      <c r="P4381">
        <f t="shared" si="254"/>
        <v>54</v>
      </c>
    </row>
    <row r="4382" spans="4:16" x14ac:dyDescent="0.25">
      <c r="D4382">
        <v>2032</v>
      </c>
      <c r="E4382" t="s">
        <v>130</v>
      </c>
      <c r="F4382" t="s">
        <v>471</v>
      </c>
      <c r="G4382">
        <v>54</v>
      </c>
      <c r="I4382">
        <f t="shared" si="255"/>
        <v>0</v>
      </c>
      <c r="J4382">
        <f t="shared" si="255"/>
        <v>0</v>
      </c>
      <c r="K4382">
        <f t="shared" si="255"/>
        <v>0</v>
      </c>
      <c r="M4382" t="str" cm="1">
        <f t="array" ref="M4382">IFERROR(INDEX($I$2:$K$2,0,MATCH(TRUE,I4382:K4382,0)),E4382)</f>
        <v>OCGT</v>
      </c>
      <c r="O4382" t="str">
        <f t="shared" si="253"/>
        <v>OCGT_2032</v>
      </c>
      <c r="P4382">
        <f t="shared" si="254"/>
        <v>54</v>
      </c>
    </row>
    <row r="4383" spans="4:16" x14ac:dyDescent="0.25">
      <c r="D4383">
        <v>2033</v>
      </c>
      <c r="E4383" t="s">
        <v>130</v>
      </c>
      <c r="F4383" t="s">
        <v>471</v>
      </c>
      <c r="G4383">
        <v>54</v>
      </c>
      <c r="I4383">
        <f t="shared" si="255"/>
        <v>0</v>
      </c>
      <c r="J4383">
        <f t="shared" si="255"/>
        <v>0</v>
      </c>
      <c r="K4383">
        <f t="shared" si="255"/>
        <v>0</v>
      </c>
      <c r="M4383" t="str" cm="1">
        <f t="array" ref="M4383">IFERROR(INDEX($I$2:$K$2,0,MATCH(TRUE,I4383:K4383,0)),E4383)</f>
        <v>OCGT</v>
      </c>
      <c r="O4383" t="str">
        <f t="shared" si="253"/>
        <v>OCGT_2033</v>
      </c>
      <c r="P4383">
        <f t="shared" si="254"/>
        <v>54</v>
      </c>
    </row>
    <row r="4384" spans="4:16" x14ac:dyDescent="0.25">
      <c r="D4384">
        <v>2034</v>
      </c>
      <c r="E4384" t="s">
        <v>130</v>
      </c>
      <c r="F4384" t="s">
        <v>471</v>
      </c>
      <c r="G4384">
        <v>54</v>
      </c>
      <c r="I4384">
        <f t="shared" si="255"/>
        <v>0</v>
      </c>
      <c r="J4384">
        <f t="shared" si="255"/>
        <v>0</v>
      </c>
      <c r="K4384">
        <f t="shared" si="255"/>
        <v>0</v>
      </c>
      <c r="M4384" t="str" cm="1">
        <f t="array" ref="M4384">IFERROR(INDEX($I$2:$K$2,0,MATCH(TRUE,I4384:K4384,0)),E4384)</f>
        <v>OCGT</v>
      </c>
      <c r="O4384" t="str">
        <f t="shared" si="253"/>
        <v>OCGT_2034</v>
      </c>
      <c r="P4384">
        <f t="shared" si="254"/>
        <v>54</v>
      </c>
    </row>
    <row r="4385" spans="4:16" x14ac:dyDescent="0.25">
      <c r="D4385">
        <v>2035</v>
      </c>
      <c r="E4385" t="s">
        <v>130</v>
      </c>
      <c r="F4385" t="s">
        <v>471</v>
      </c>
      <c r="G4385">
        <v>54</v>
      </c>
      <c r="I4385">
        <f t="shared" si="255"/>
        <v>0</v>
      </c>
      <c r="J4385">
        <f t="shared" si="255"/>
        <v>0</v>
      </c>
      <c r="K4385">
        <f t="shared" si="255"/>
        <v>0</v>
      </c>
      <c r="M4385" t="str" cm="1">
        <f t="array" ref="M4385">IFERROR(INDEX($I$2:$K$2,0,MATCH(TRUE,I4385:K4385,0)),E4385)</f>
        <v>OCGT</v>
      </c>
      <c r="O4385" t="str">
        <f t="shared" si="253"/>
        <v>OCGT_2035</v>
      </c>
      <c r="P4385">
        <f t="shared" si="254"/>
        <v>54</v>
      </c>
    </row>
    <row r="4386" spans="4:16" x14ac:dyDescent="0.25">
      <c r="D4386">
        <v>2036</v>
      </c>
      <c r="E4386" t="s">
        <v>130</v>
      </c>
      <c r="F4386" t="s">
        <v>471</v>
      </c>
      <c r="G4386">
        <v>54</v>
      </c>
      <c r="I4386">
        <f t="shared" si="255"/>
        <v>0</v>
      </c>
      <c r="J4386">
        <f t="shared" si="255"/>
        <v>0</v>
      </c>
      <c r="K4386">
        <f t="shared" si="255"/>
        <v>0</v>
      </c>
      <c r="M4386" t="str" cm="1">
        <f t="array" ref="M4386">IFERROR(INDEX($I$2:$K$2,0,MATCH(TRUE,I4386:K4386,0)),E4386)</f>
        <v>OCGT</v>
      </c>
      <c r="O4386" t="str">
        <f t="shared" si="253"/>
        <v>OCGT_2036</v>
      </c>
      <c r="P4386">
        <f t="shared" si="254"/>
        <v>54</v>
      </c>
    </row>
    <row r="4387" spans="4:16" x14ac:dyDescent="0.25">
      <c r="D4387">
        <v>2037</v>
      </c>
      <c r="E4387" t="s">
        <v>130</v>
      </c>
      <c r="F4387" t="s">
        <v>471</v>
      </c>
      <c r="G4387">
        <v>54</v>
      </c>
      <c r="I4387">
        <f t="shared" si="255"/>
        <v>0</v>
      </c>
      <c r="J4387">
        <f t="shared" si="255"/>
        <v>0</v>
      </c>
      <c r="K4387">
        <f t="shared" si="255"/>
        <v>0</v>
      </c>
      <c r="M4387" t="str" cm="1">
        <f t="array" ref="M4387">IFERROR(INDEX($I$2:$K$2,0,MATCH(TRUE,I4387:K4387,0)),E4387)</f>
        <v>OCGT</v>
      </c>
      <c r="O4387" t="str">
        <f t="shared" si="253"/>
        <v>OCGT_2037</v>
      </c>
      <c r="P4387">
        <f t="shared" si="254"/>
        <v>54</v>
      </c>
    </row>
    <row r="4388" spans="4:16" x14ac:dyDescent="0.25">
      <c r="D4388">
        <v>2038</v>
      </c>
      <c r="E4388" t="s">
        <v>130</v>
      </c>
      <c r="F4388" t="s">
        <v>471</v>
      </c>
      <c r="G4388">
        <v>54</v>
      </c>
      <c r="I4388">
        <f t="shared" si="255"/>
        <v>0</v>
      </c>
      <c r="J4388">
        <f t="shared" si="255"/>
        <v>0</v>
      </c>
      <c r="K4388">
        <f t="shared" si="255"/>
        <v>0</v>
      </c>
      <c r="M4388" t="str" cm="1">
        <f t="array" ref="M4388">IFERROR(INDEX($I$2:$K$2,0,MATCH(TRUE,I4388:K4388,0)),E4388)</f>
        <v>OCGT</v>
      </c>
      <c r="O4388" t="str">
        <f t="shared" si="253"/>
        <v>OCGT_2038</v>
      </c>
      <c r="P4388">
        <f t="shared" si="254"/>
        <v>54</v>
      </c>
    </row>
    <row r="4389" spans="4:16" x14ac:dyDescent="0.25">
      <c r="D4389">
        <v>2039</v>
      </c>
      <c r="E4389" t="s">
        <v>130</v>
      </c>
      <c r="F4389" t="s">
        <v>471</v>
      </c>
      <c r="G4389">
        <v>54</v>
      </c>
      <c r="I4389">
        <f t="shared" si="255"/>
        <v>0</v>
      </c>
      <c r="J4389">
        <f t="shared" si="255"/>
        <v>0</v>
      </c>
      <c r="K4389">
        <f t="shared" si="255"/>
        <v>0</v>
      </c>
      <c r="M4389" t="str" cm="1">
        <f t="array" ref="M4389">IFERROR(INDEX($I$2:$K$2,0,MATCH(TRUE,I4389:K4389,0)),E4389)</f>
        <v>OCGT</v>
      </c>
      <c r="O4389" t="str">
        <f t="shared" si="253"/>
        <v>OCGT_2039</v>
      </c>
      <c r="P4389">
        <f t="shared" si="254"/>
        <v>54</v>
      </c>
    </row>
    <row r="4390" spans="4:16" x14ac:dyDescent="0.25">
      <c r="D4390">
        <v>2040</v>
      </c>
      <c r="E4390" t="s">
        <v>130</v>
      </c>
      <c r="F4390" t="s">
        <v>471</v>
      </c>
      <c r="G4390">
        <v>54</v>
      </c>
      <c r="I4390">
        <f t="shared" si="255"/>
        <v>0</v>
      </c>
      <c r="J4390">
        <f t="shared" si="255"/>
        <v>0</v>
      </c>
      <c r="K4390">
        <f t="shared" si="255"/>
        <v>0</v>
      </c>
      <c r="M4390" t="str" cm="1">
        <f t="array" ref="M4390">IFERROR(INDEX($I$2:$K$2,0,MATCH(TRUE,I4390:K4390,0)),E4390)</f>
        <v>OCGT</v>
      </c>
      <c r="O4390" t="str">
        <f t="shared" si="253"/>
        <v>OCGT_2040</v>
      </c>
      <c r="P4390">
        <f t="shared" si="254"/>
        <v>54</v>
      </c>
    </row>
    <row r="4391" spans="4:16" x14ac:dyDescent="0.25">
      <c r="D4391">
        <v>2021</v>
      </c>
      <c r="E4391" t="s">
        <v>130</v>
      </c>
      <c r="F4391" t="s">
        <v>472</v>
      </c>
      <c r="G4391">
        <v>21.6</v>
      </c>
      <c r="I4391">
        <f t="shared" si="255"/>
        <v>0</v>
      </c>
      <c r="J4391">
        <f t="shared" si="255"/>
        <v>0</v>
      </c>
      <c r="K4391">
        <f t="shared" si="255"/>
        <v>0</v>
      </c>
      <c r="M4391" t="str" cm="1">
        <f t="array" ref="M4391">IFERROR(INDEX($I$2:$K$2,0,MATCH(TRUE,I4391:K4391,0)),E4391)</f>
        <v>OCGT</v>
      </c>
      <c r="O4391" t="str">
        <f t="shared" si="253"/>
        <v>OCGT_2021</v>
      </c>
      <c r="P4391">
        <f t="shared" si="254"/>
        <v>21.6</v>
      </c>
    </row>
    <row r="4392" spans="4:16" x14ac:dyDescent="0.25">
      <c r="D4392">
        <v>2021</v>
      </c>
      <c r="E4392" t="s">
        <v>130</v>
      </c>
      <c r="F4392" t="s">
        <v>473</v>
      </c>
      <c r="G4392">
        <v>99</v>
      </c>
      <c r="I4392">
        <f t="shared" si="255"/>
        <v>0</v>
      </c>
      <c r="J4392">
        <f t="shared" si="255"/>
        <v>0</v>
      </c>
      <c r="K4392">
        <f t="shared" si="255"/>
        <v>0</v>
      </c>
      <c r="M4392" t="str" cm="1">
        <f t="array" ref="M4392">IFERROR(INDEX($I$2:$K$2,0,MATCH(TRUE,I4392:K4392,0)),E4392)</f>
        <v>OCGT</v>
      </c>
      <c r="O4392" t="str">
        <f t="shared" si="253"/>
        <v>OCGT_2021</v>
      </c>
      <c r="P4392">
        <f t="shared" si="254"/>
        <v>99</v>
      </c>
    </row>
    <row r="4393" spans="4:16" x14ac:dyDescent="0.25">
      <c r="D4393">
        <v>2022</v>
      </c>
      <c r="E4393" t="s">
        <v>130</v>
      </c>
      <c r="F4393" t="s">
        <v>473</v>
      </c>
      <c r="G4393">
        <v>99</v>
      </c>
      <c r="I4393">
        <f t="shared" si="255"/>
        <v>0</v>
      </c>
      <c r="J4393">
        <f t="shared" si="255"/>
        <v>0</v>
      </c>
      <c r="K4393">
        <f t="shared" si="255"/>
        <v>0</v>
      </c>
      <c r="M4393" t="str" cm="1">
        <f t="array" ref="M4393">IFERROR(INDEX($I$2:$K$2,0,MATCH(TRUE,I4393:K4393,0)),E4393)</f>
        <v>OCGT</v>
      </c>
      <c r="O4393" t="str">
        <f t="shared" si="253"/>
        <v>OCGT_2022</v>
      </c>
      <c r="P4393">
        <f t="shared" si="254"/>
        <v>99</v>
      </c>
    </row>
    <row r="4394" spans="4:16" x14ac:dyDescent="0.25">
      <c r="D4394">
        <v>2023</v>
      </c>
      <c r="E4394" t="s">
        <v>130</v>
      </c>
      <c r="F4394" t="s">
        <v>473</v>
      </c>
      <c r="G4394">
        <v>99</v>
      </c>
      <c r="I4394">
        <f t="shared" si="255"/>
        <v>0</v>
      </c>
      <c r="J4394">
        <f t="shared" si="255"/>
        <v>0</v>
      </c>
      <c r="K4394">
        <f t="shared" si="255"/>
        <v>0</v>
      </c>
      <c r="M4394" t="str" cm="1">
        <f t="array" ref="M4394">IFERROR(INDEX($I$2:$K$2,0,MATCH(TRUE,I4394:K4394,0)),E4394)</f>
        <v>OCGT</v>
      </c>
      <c r="O4394" t="str">
        <f t="shared" si="253"/>
        <v>OCGT_2023</v>
      </c>
      <c r="P4394">
        <f t="shared" si="254"/>
        <v>99</v>
      </c>
    </row>
    <row r="4395" spans="4:16" x14ac:dyDescent="0.25">
      <c r="D4395">
        <v>2024</v>
      </c>
      <c r="E4395" t="s">
        <v>130</v>
      </c>
      <c r="F4395" t="s">
        <v>473</v>
      </c>
      <c r="G4395">
        <v>99</v>
      </c>
      <c r="I4395">
        <f t="shared" si="255"/>
        <v>0</v>
      </c>
      <c r="J4395">
        <f t="shared" si="255"/>
        <v>0</v>
      </c>
      <c r="K4395">
        <f t="shared" si="255"/>
        <v>0</v>
      </c>
      <c r="M4395" t="str" cm="1">
        <f t="array" ref="M4395">IFERROR(INDEX($I$2:$K$2,0,MATCH(TRUE,I4395:K4395,0)),E4395)</f>
        <v>OCGT</v>
      </c>
      <c r="O4395" t="str">
        <f t="shared" si="253"/>
        <v>OCGT_2024</v>
      </c>
      <c r="P4395">
        <f t="shared" si="254"/>
        <v>99</v>
      </c>
    </row>
    <row r="4396" spans="4:16" x14ac:dyDescent="0.25">
      <c r="D4396">
        <v>2025</v>
      </c>
      <c r="E4396" t="s">
        <v>130</v>
      </c>
      <c r="F4396" t="s">
        <v>473</v>
      </c>
      <c r="G4396">
        <v>99</v>
      </c>
      <c r="I4396">
        <f t="shared" si="255"/>
        <v>0</v>
      </c>
      <c r="J4396">
        <f t="shared" si="255"/>
        <v>0</v>
      </c>
      <c r="K4396">
        <f t="shared" si="255"/>
        <v>0</v>
      </c>
      <c r="M4396" t="str" cm="1">
        <f t="array" ref="M4396">IFERROR(INDEX($I$2:$K$2,0,MATCH(TRUE,I4396:K4396,0)),E4396)</f>
        <v>OCGT</v>
      </c>
      <c r="O4396" t="str">
        <f t="shared" si="253"/>
        <v>OCGT_2025</v>
      </c>
      <c r="P4396">
        <f t="shared" si="254"/>
        <v>99</v>
      </c>
    </row>
    <row r="4397" spans="4:16" x14ac:dyDescent="0.25">
      <c r="D4397">
        <v>2026</v>
      </c>
      <c r="E4397" t="s">
        <v>130</v>
      </c>
      <c r="F4397" t="s">
        <v>473</v>
      </c>
      <c r="G4397">
        <v>99</v>
      </c>
      <c r="I4397">
        <f t="shared" si="255"/>
        <v>0</v>
      </c>
      <c r="J4397">
        <f t="shared" si="255"/>
        <v>0</v>
      </c>
      <c r="K4397">
        <f t="shared" si="255"/>
        <v>0</v>
      </c>
      <c r="M4397" t="str" cm="1">
        <f t="array" ref="M4397">IFERROR(INDEX($I$2:$K$2,0,MATCH(TRUE,I4397:K4397,0)),E4397)</f>
        <v>OCGT</v>
      </c>
      <c r="O4397" t="str">
        <f t="shared" si="253"/>
        <v>OCGT_2026</v>
      </c>
      <c r="P4397">
        <f t="shared" si="254"/>
        <v>99</v>
      </c>
    </row>
    <row r="4398" spans="4:16" x14ac:dyDescent="0.25">
      <c r="D4398">
        <v>2027</v>
      </c>
      <c r="E4398" t="s">
        <v>130</v>
      </c>
      <c r="F4398" t="s">
        <v>473</v>
      </c>
      <c r="G4398">
        <v>99</v>
      </c>
      <c r="I4398">
        <f t="shared" si="255"/>
        <v>0</v>
      </c>
      <c r="J4398">
        <f t="shared" si="255"/>
        <v>0</v>
      </c>
      <c r="K4398">
        <f t="shared" si="255"/>
        <v>0</v>
      </c>
      <c r="M4398" t="str" cm="1">
        <f t="array" ref="M4398">IFERROR(INDEX($I$2:$K$2,0,MATCH(TRUE,I4398:K4398,0)),E4398)</f>
        <v>OCGT</v>
      </c>
      <c r="O4398" t="str">
        <f t="shared" si="253"/>
        <v>OCGT_2027</v>
      </c>
      <c r="P4398">
        <f t="shared" si="254"/>
        <v>99</v>
      </c>
    </row>
    <row r="4399" spans="4:16" x14ac:dyDescent="0.25">
      <c r="D4399">
        <v>2028</v>
      </c>
      <c r="E4399" t="s">
        <v>130</v>
      </c>
      <c r="F4399" t="s">
        <v>473</v>
      </c>
      <c r="G4399">
        <v>99</v>
      </c>
      <c r="I4399">
        <f t="shared" si="255"/>
        <v>0</v>
      </c>
      <c r="J4399">
        <f t="shared" si="255"/>
        <v>0</v>
      </c>
      <c r="K4399">
        <f t="shared" si="255"/>
        <v>0</v>
      </c>
      <c r="M4399" t="str" cm="1">
        <f t="array" ref="M4399">IFERROR(INDEX($I$2:$K$2,0,MATCH(TRUE,I4399:K4399,0)),E4399)</f>
        <v>OCGT</v>
      </c>
      <c r="O4399" t="str">
        <f t="shared" si="253"/>
        <v>OCGT_2028</v>
      </c>
      <c r="P4399">
        <f t="shared" si="254"/>
        <v>99</v>
      </c>
    </row>
    <row r="4400" spans="4:16" x14ac:dyDescent="0.25">
      <c r="D4400">
        <v>2029</v>
      </c>
      <c r="E4400" t="s">
        <v>130</v>
      </c>
      <c r="F4400" t="s">
        <v>473</v>
      </c>
      <c r="G4400">
        <v>99</v>
      </c>
      <c r="I4400">
        <f t="shared" si="255"/>
        <v>0</v>
      </c>
      <c r="J4400">
        <f t="shared" si="255"/>
        <v>0</v>
      </c>
      <c r="K4400">
        <f t="shared" si="255"/>
        <v>0</v>
      </c>
      <c r="M4400" t="str" cm="1">
        <f t="array" ref="M4400">IFERROR(INDEX($I$2:$K$2,0,MATCH(TRUE,I4400:K4400,0)),E4400)</f>
        <v>OCGT</v>
      </c>
      <c r="O4400" t="str">
        <f t="shared" si="253"/>
        <v>OCGT_2029</v>
      </c>
      <c r="P4400">
        <f t="shared" si="254"/>
        <v>99</v>
      </c>
    </row>
    <row r="4401" spans="4:16" x14ac:dyDescent="0.25">
      <c r="D4401">
        <v>2030</v>
      </c>
      <c r="E4401" t="s">
        <v>130</v>
      </c>
      <c r="F4401" t="s">
        <v>473</v>
      </c>
      <c r="G4401">
        <v>99</v>
      </c>
      <c r="I4401">
        <f t="shared" si="255"/>
        <v>0</v>
      </c>
      <c r="J4401">
        <f t="shared" si="255"/>
        <v>0</v>
      </c>
      <c r="K4401">
        <f t="shared" si="255"/>
        <v>0</v>
      </c>
      <c r="M4401" t="str" cm="1">
        <f t="array" ref="M4401">IFERROR(INDEX($I$2:$K$2,0,MATCH(TRUE,I4401:K4401,0)),E4401)</f>
        <v>OCGT</v>
      </c>
      <c r="O4401" t="str">
        <f t="shared" si="253"/>
        <v>OCGT_2030</v>
      </c>
      <c r="P4401">
        <f t="shared" si="254"/>
        <v>99</v>
      </c>
    </row>
    <row r="4402" spans="4:16" x14ac:dyDescent="0.25">
      <c r="D4402">
        <v>2031</v>
      </c>
      <c r="E4402" t="s">
        <v>130</v>
      </c>
      <c r="F4402" t="s">
        <v>473</v>
      </c>
      <c r="G4402">
        <v>99</v>
      </c>
      <c r="I4402">
        <f t="shared" si="255"/>
        <v>0</v>
      </c>
      <c r="J4402">
        <f t="shared" si="255"/>
        <v>0</v>
      </c>
      <c r="K4402">
        <f t="shared" si="255"/>
        <v>0</v>
      </c>
      <c r="M4402" t="str" cm="1">
        <f t="array" ref="M4402">IFERROR(INDEX($I$2:$K$2,0,MATCH(TRUE,I4402:K4402,0)),E4402)</f>
        <v>OCGT</v>
      </c>
      <c r="O4402" t="str">
        <f t="shared" si="253"/>
        <v>OCGT_2031</v>
      </c>
      <c r="P4402">
        <f t="shared" si="254"/>
        <v>99</v>
      </c>
    </row>
    <row r="4403" spans="4:16" x14ac:dyDescent="0.25">
      <c r="D4403">
        <v>2032</v>
      </c>
      <c r="E4403" t="s">
        <v>130</v>
      </c>
      <c r="F4403" t="s">
        <v>473</v>
      </c>
      <c r="G4403">
        <v>99</v>
      </c>
      <c r="I4403">
        <f t="shared" si="255"/>
        <v>0</v>
      </c>
      <c r="J4403">
        <f t="shared" si="255"/>
        <v>0</v>
      </c>
      <c r="K4403">
        <f t="shared" si="255"/>
        <v>0</v>
      </c>
      <c r="M4403" t="str" cm="1">
        <f t="array" ref="M4403">IFERROR(INDEX($I$2:$K$2,0,MATCH(TRUE,I4403:K4403,0)),E4403)</f>
        <v>OCGT</v>
      </c>
      <c r="O4403" t="str">
        <f t="shared" si="253"/>
        <v>OCGT_2032</v>
      </c>
      <c r="P4403">
        <f t="shared" si="254"/>
        <v>99</v>
      </c>
    </row>
    <row r="4404" spans="4:16" x14ac:dyDescent="0.25">
      <c r="D4404">
        <v>2033</v>
      </c>
      <c r="E4404" t="s">
        <v>130</v>
      </c>
      <c r="F4404" t="s">
        <v>473</v>
      </c>
      <c r="G4404">
        <v>99</v>
      </c>
      <c r="I4404">
        <f t="shared" si="255"/>
        <v>0</v>
      </c>
      <c r="J4404">
        <f t="shared" si="255"/>
        <v>0</v>
      </c>
      <c r="K4404">
        <f t="shared" si="255"/>
        <v>0</v>
      </c>
      <c r="M4404" t="str" cm="1">
        <f t="array" ref="M4404">IFERROR(INDEX($I$2:$K$2,0,MATCH(TRUE,I4404:K4404,0)),E4404)</f>
        <v>OCGT</v>
      </c>
      <c r="O4404" t="str">
        <f t="shared" si="253"/>
        <v>OCGT_2033</v>
      </c>
      <c r="P4404">
        <f t="shared" si="254"/>
        <v>99</v>
      </c>
    </row>
    <row r="4405" spans="4:16" x14ac:dyDescent="0.25">
      <c r="D4405">
        <v>2034</v>
      </c>
      <c r="E4405" t="s">
        <v>130</v>
      </c>
      <c r="F4405" t="s">
        <v>473</v>
      </c>
      <c r="G4405">
        <v>99</v>
      </c>
      <c r="I4405">
        <f t="shared" si="255"/>
        <v>0</v>
      </c>
      <c r="J4405">
        <f t="shared" si="255"/>
        <v>0</v>
      </c>
      <c r="K4405">
        <f t="shared" si="255"/>
        <v>0</v>
      </c>
      <c r="M4405" t="str" cm="1">
        <f t="array" ref="M4405">IFERROR(INDEX($I$2:$K$2,0,MATCH(TRUE,I4405:K4405,0)),E4405)</f>
        <v>OCGT</v>
      </c>
      <c r="O4405" t="str">
        <f t="shared" si="253"/>
        <v>OCGT_2034</v>
      </c>
      <c r="P4405">
        <f t="shared" si="254"/>
        <v>99</v>
      </c>
    </row>
    <row r="4406" spans="4:16" x14ac:dyDescent="0.25">
      <c r="D4406">
        <v>2035</v>
      </c>
      <c r="E4406" t="s">
        <v>130</v>
      </c>
      <c r="F4406" t="s">
        <v>473</v>
      </c>
      <c r="G4406">
        <v>99</v>
      </c>
      <c r="I4406">
        <f t="shared" si="255"/>
        <v>0</v>
      </c>
      <c r="J4406">
        <f t="shared" si="255"/>
        <v>0</v>
      </c>
      <c r="K4406">
        <f t="shared" si="255"/>
        <v>0</v>
      </c>
      <c r="M4406" t="str" cm="1">
        <f t="array" ref="M4406">IFERROR(INDEX($I$2:$K$2,0,MATCH(TRUE,I4406:K4406,0)),E4406)</f>
        <v>OCGT</v>
      </c>
      <c r="O4406" t="str">
        <f t="shared" si="253"/>
        <v>OCGT_2035</v>
      </c>
      <c r="P4406">
        <f t="shared" si="254"/>
        <v>99</v>
      </c>
    </row>
    <row r="4407" spans="4:16" x14ac:dyDescent="0.25">
      <c r="D4407">
        <v>2036</v>
      </c>
      <c r="E4407" t="s">
        <v>130</v>
      </c>
      <c r="F4407" t="s">
        <v>473</v>
      </c>
      <c r="G4407">
        <v>99</v>
      </c>
      <c r="I4407">
        <f t="shared" si="255"/>
        <v>0</v>
      </c>
      <c r="J4407">
        <f t="shared" si="255"/>
        <v>0</v>
      </c>
      <c r="K4407">
        <f t="shared" si="255"/>
        <v>0</v>
      </c>
      <c r="M4407" t="str" cm="1">
        <f t="array" ref="M4407">IFERROR(INDEX($I$2:$K$2,0,MATCH(TRUE,I4407:K4407,0)),E4407)</f>
        <v>OCGT</v>
      </c>
      <c r="O4407" t="str">
        <f t="shared" si="253"/>
        <v>OCGT_2036</v>
      </c>
      <c r="P4407">
        <f t="shared" si="254"/>
        <v>99</v>
      </c>
    </row>
    <row r="4408" spans="4:16" x14ac:dyDescent="0.25">
      <c r="D4408">
        <v>2037</v>
      </c>
      <c r="E4408" t="s">
        <v>130</v>
      </c>
      <c r="F4408" t="s">
        <v>473</v>
      </c>
      <c r="G4408">
        <v>99</v>
      </c>
      <c r="I4408">
        <f t="shared" si="255"/>
        <v>0</v>
      </c>
      <c r="J4408">
        <f t="shared" si="255"/>
        <v>0</v>
      </c>
      <c r="K4408">
        <f t="shared" si="255"/>
        <v>0</v>
      </c>
      <c r="M4408" t="str" cm="1">
        <f t="array" ref="M4408">IFERROR(INDEX($I$2:$K$2,0,MATCH(TRUE,I4408:K4408,0)),E4408)</f>
        <v>OCGT</v>
      </c>
      <c r="O4408" t="str">
        <f t="shared" si="253"/>
        <v>OCGT_2037</v>
      </c>
      <c r="P4408">
        <f t="shared" si="254"/>
        <v>99</v>
      </c>
    </row>
    <row r="4409" spans="4:16" x14ac:dyDescent="0.25">
      <c r="D4409">
        <v>2038</v>
      </c>
      <c r="E4409" t="s">
        <v>130</v>
      </c>
      <c r="F4409" t="s">
        <v>473</v>
      </c>
      <c r="G4409">
        <v>99</v>
      </c>
      <c r="I4409">
        <f t="shared" si="255"/>
        <v>0</v>
      </c>
      <c r="J4409">
        <f t="shared" si="255"/>
        <v>0</v>
      </c>
      <c r="K4409">
        <f t="shared" si="255"/>
        <v>0</v>
      </c>
      <c r="M4409" t="str" cm="1">
        <f t="array" ref="M4409">IFERROR(INDEX($I$2:$K$2,0,MATCH(TRUE,I4409:K4409,0)),E4409)</f>
        <v>OCGT</v>
      </c>
      <c r="O4409" t="str">
        <f t="shared" si="253"/>
        <v>OCGT_2038</v>
      </c>
      <c r="P4409">
        <f t="shared" si="254"/>
        <v>99</v>
      </c>
    </row>
    <row r="4410" spans="4:16" x14ac:dyDescent="0.25">
      <c r="D4410">
        <v>2039</v>
      </c>
      <c r="E4410" t="s">
        <v>130</v>
      </c>
      <c r="F4410" t="s">
        <v>473</v>
      </c>
      <c r="G4410">
        <v>99</v>
      </c>
      <c r="I4410">
        <f t="shared" si="255"/>
        <v>0</v>
      </c>
      <c r="J4410">
        <f t="shared" si="255"/>
        <v>0</v>
      </c>
      <c r="K4410">
        <f t="shared" si="255"/>
        <v>0</v>
      </c>
      <c r="M4410" t="str" cm="1">
        <f t="array" ref="M4410">IFERROR(INDEX($I$2:$K$2,0,MATCH(TRUE,I4410:K4410,0)),E4410)</f>
        <v>OCGT</v>
      </c>
      <c r="O4410" t="str">
        <f t="shared" si="253"/>
        <v>OCGT_2039</v>
      </c>
      <c r="P4410">
        <f t="shared" si="254"/>
        <v>99</v>
      </c>
    </row>
    <row r="4411" spans="4:16" x14ac:dyDescent="0.25">
      <c r="D4411">
        <v>2040</v>
      </c>
      <c r="E4411" t="s">
        <v>130</v>
      </c>
      <c r="F4411" t="s">
        <v>473</v>
      </c>
      <c r="G4411">
        <v>99</v>
      </c>
      <c r="I4411">
        <f t="shared" si="255"/>
        <v>0</v>
      </c>
      <c r="J4411">
        <f t="shared" si="255"/>
        <v>0</v>
      </c>
      <c r="K4411">
        <f t="shared" si="255"/>
        <v>0</v>
      </c>
      <c r="M4411" t="str" cm="1">
        <f t="array" ref="M4411">IFERROR(INDEX($I$2:$K$2,0,MATCH(TRUE,I4411:K4411,0)),E4411)</f>
        <v>OCGT</v>
      </c>
      <c r="O4411" t="str">
        <f t="shared" si="253"/>
        <v>OCGT_2040</v>
      </c>
      <c r="P4411">
        <f t="shared" si="254"/>
        <v>99</v>
      </c>
    </row>
    <row r="4412" spans="4:16" x14ac:dyDescent="0.25">
      <c r="D4412">
        <v>2021</v>
      </c>
      <c r="E4412" t="s">
        <v>130</v>
      </c>
      <c r="F4412" t="s">
        <v>474</v>
      </c>
      <c r="G4412">
        <v>21.9</v>
      </c>
      <c r="I4412">
        <f t="shared" si="255"/>
        <v>0</v>
      </c>
      <c r="J4412">
        <f t="shared" si="255"/>
        <v>0</v>
      </c>
      <c r="K4412">
        <f t="shared" si="255"/>
        <v>0</v>
      </c>
      <c r="M4412" t="str" cm="1">
        <f t="array" ref="M4412">IFERROR(INDEX($I$2:$K$2,0,MATCH(TRUE,I4412:K4412,0)),E4412)</f>
        <v>OCGT</v>
      </c>
      <c r="O4412" t="str">
        <f t="shared" si="253"/>
        <v>OCGT_2021</v>
      </c>
      <c r="P4412">
        <f t="shared" si="254"/>
        <v>21.9</v>
      </c>
    </row>
    <row r="4413" spans="4:16" x14ac:dyDescent="0.25">
      <c r="D4413">
        <v>2022</v>
      </c>
      <c r="E4413" t="s">
        <v>130</v>
      </c>
      <c r="F4413" t="s">
        <v>474</v>
      </c>
      <c r="G4413">
        <v>21.9</v>
      </c>
      <c r="I4413">
        <f t="shared" si="255"/>
        <v>0</v>
      </c>
      <c r="J4413">
        <f t="shared" si="255"/>
        <v>0</v>
      </c>
      <c r="K4413">
        <f t="shared" si="255"/>
        <v>0</v>
      </c>
      <c r="M4413" t="str" cm="1">
        <f t="array" ref="M4413">IFERROR(INDEX($I$2:$K$2,0,MATCH(TRUE,I4413:K4413,0)),E4413)</f>
        <v>OCGT</v>
      </c>
      <c r="O4413" t="str">
        <f t="shared" si="253"/>
        <v>OCGT_2022</v>
      </c>
      <c r="P4413">
        <f t="shared" si="254"/>
        <v>21.9</v>
      </c>
    </row>
    <row r="4414" spans="4:16" x14ac:dyDescent="0.25">
      <c r="D4414">
        <v>2023</v>
      </c>
      <c r="E4414" t="s">
        <v>130</v>
      </c>
      <c r="F4414" t="s">
        <v>474</v>
      </c>
      <c r="G4414">
        <v>21.9</v>
      </c>
      <c r="I4414">
        <f t="shared" si="255"/>
        <v>0</v>
      </c>
      <c r="J4414">
        <f t="shared" si="255"/>
        <v>0</v>
      </c>
      <c r="K4414">
        <f t="shared" si="255"/>
        <v>0</v>
      </c>
      <c r="M4414" t="str" cm="1">
        <f t="array" ref="M4414">IFERROR(INDEX($I$2:$K$2,0,MATCH(TRUE,I4414:K4414,0)),E4414)</f>
        <v>OCGT</v>
      </c>
      <c r="O4414" t="str">
        <f t="shared" si="253"/>
        <v>OCGT_2023</v>
      </c>
      <c r="P4414">
        <f t="shared" si="254"/>
        <v>21.9</v>
      </c>
    </row>
    <row r="4415" spans="4:16" x14ac:dyDescent="0.25">
      <c r="D4415">
        <v>2024</v>
      </c>
      <c r="E4415" t="s">
        <v>130</v>
      </c>
      <c r="F4415" t="s">
        <v>474</v>
      </c>
      <c r="G4415">
        <v>21.9</v>
      </c>
      <c r="I4415">
        <f t="shared" si="255"/>
        <v>0</v>
      </c>
      <c r="J4415">
        <f t="shared" si="255"/>
        <v>0</v>
      </c>
      <c r="K4415">
        <f t="shared" si="255"/>
        <v>0</v>
      </c>
      <c r="M4415" t="str" cm="1">
        <f t="array" ref="M4415">IFERROR(INDEX($I$2:$K$2,0,MATCH(TRUE,I4415:K4415,0)),E4415)</f>
        <v>OCGT</v>
      </c>
      <c r="O4415" t="str">
        <f t="shared" si="253"/>
        <v>OCGT_2024</v>
      </c>
      <c r="P4415">
        <f t="shared" si="254"/>
        <v>21.9</v>
      </c>
    </row>
    <row r="4416" spans="4:16" x14ac:dyDescent="0.25">
      <c r="D4416">
        <v>2025</v>
      </c>
      <c r="E4416" t="s">
        <v>130</v>
      </c>
      <c r="F4416" t="s">
        <v>474</v>
      </c>
      <c r="G4416">
        <v>21.9</v>
      </c>
      <c r="I4416">
        <f t="shared" si="255"/>
        <v>0</v>
      </c>
      <c r="J4416">
        <f t="shared" si="255"/>
        <v>0</v>
      </c>
      <c r="K4416">
        <f t="shared" si="255"/>
        <v>0</v>
      </c>
      <c r="M4416" t="str" cm="1">
        <f t="array" ref="M4416">IFERROR(INDEX($I$2:$K$2,0,MATCH(TRUE,I4416:K4416,0)),E4416)</f>
        <v>OCGT</v>
      </c>
      <c r="O4416" t="str">
        <f t="shared" si="253"/>
        <v>OCGT_2025</v>
      </c>
      <c r="P4416">
        <f t="shared" si="254"/>
        <v>21.9</v>
      </c>
    </row>
    <row r="4417" spans="4:16" x14ac:dyDescent="0.25">
      <c r="D4417">
        <v>2026</v>
      </c>
      <c r="E4417" t="s">
        <v>130</v>
      </c>
      <c r="F4417" t="s">
        <v>474</v>
      </c>
      <c r="G4417">
        <v>21.9</v>
      </c>
      <c r="I4417">
        <f t="shared" si="255"/>
        <v>0</v>
      </c>
      <c r="J4417">
        <f t="shared" si="255"/>
        <v>0</v>
      </c>
      <c r="K4417">
        <f t="shared" si="255"/>
        <v>0</v>
      </c>
      <c r="M4417" t="str" cm="1">
        <f t="array" ref="M4417">IFERROR(INDEX($I$2:$K$2,0,MATCH(TRUE,I4417:K4417,0)),E4417)</f>
        <v>OCGT</v>
      </c>
      <c r="O4417" t="str">
        <f t="shared" si="253"/>
        <v>OCGT_2026</v>
      </c>
      <c r="P4417">
        <f t="shared" si="254"/>
        <v>21.9</v>
      </c>
    </row>
    <row r="4418" spans="4:16" x14ac:dyDescent="0.25">
      <c r="D4418">
        <v>2027</v>
      </c>
      <c r="E4418" t="s">
        <v>130</v>
      </c>
      <c r="F4418" t="s">
        <v>474</v>
      </c>
      <c r="G4418">
        <v>21.9</v>
      </c>
      <c r="I4418">
        <f t="shared" si="255"/>
        <v>0</v>
      </c>
      <c r="J4418">
        <f t="shared" si="255"/>
        <v>0</v>
      </c>
      <c r="K4418">
        <f t="shared" si="255"/>
        <v>0</v>
      </c>
      <c r="M4418" t="str" cm="1">
        <f t="array" ref="M4418">IFERROR(INDEX($I$2:$K$2,0,MATCH(TRUE,I4418:K4418,0)),E4418)</f>
        <v>OCGT</v>
      </c>
      <c r="O4418" t="str">
        <f t="shared" si="253"/>
        <v>OCGT_2027</v>
      </c>
      <c r="P4418">
        <f t="shared" si="254"/>
        <v>21.9</v>
      </c>
    </row>
    <row r="4419" spans="4:16" x14ac:dyDescent="0.25">
      <c r="D4419">
        <v>2028</v>
      </c>
      <c r="E4419" t="s">
        <v>130</v>
      </c>
      <c r="F4419" t="s">
        <v>474</v>
      </c>
      <c r="G4419">
        <v>21.9</v>
      </c>
      <c r="I4419">
        <f t="shared" si="255"/>
        <v>0</v>
      </c>
      <c r="J4419">
        <f t="shared" si="255"/>
        <v>0</v>
      </c>
      <c r="K4419">
        <f t="shared" si="255"/>
        <v>0</v>
      </c>
      <c r="M4419" t="str" cm="1">
        <f t="array" ref="M4419">IFERROR(INDEX($I$2:$K$2,0,MATCH(TRUE,I4419:K4419,0)),E4419)</f>
        <v>OCGT</v>
      </c>
      <c r="O4419" t="str">
        <f t="shared" si="253"/>
        <v>OCGT_2028</v>
      </c>
      <c r="P4419">
        <f t="shared" si="254"/>
        <v>21.9</v>
      </c>
    </row>
    <row r="4420" spans="4:16" x14ac:dyDescent="0.25">
      <c r="D4420">
        <v>2029</v>
      </c>
      <c r="E4420" t="s">
        <v>130</v>
      </c>
      <c r="F4420" t="s">
        <v>474</v>
      </c>
      <c r="G4420">
        <v>21.9</v>
      </c>
      <c r="I4420">
        <f t="shared" si="255"/>
        <v>0</v>
      </c>
      <c r="J4420">
        <f t="shared" si="255"/>
        <v>0</v>
      </c>
      <c r="K4420">
        <f t="shared" si="255"/>
        <v>0</v>
      </c>
      <c r="M4420" t="str" cm="1">
        <f t="array" ref="M4420">IFERROR(INDEX($I$2:$K$2,0,MATCH(TRUE,I4420:K4420,0)),E4420)</f>
        <v>OCGT</v>
      </c>
      <c r="O4420" t="str">
        <f t="shared" si="253"/>
        <v>OCGT_2029</v>
      </c>
      <c r="P4420">
        <f t="shared" si="254"/>
        <v>21.9</v>
      </c>
    </row>
    <row r="4421" spans="4:16" x14ac:dyDescent="0.25">
      <c r="D4421">
        <v>2030</v>
      </c>
      <c r="E4421" t="s">
        <v>130</v>
      </c>
      <c r="F4421" t="s">
        <v>474</v>
      </c>
      <c r="G4421">
        <v>21.9</v>
      </c>
      <c r="I4421">
        <f t="shared" si="255"/>
        <v>0</v>
      </c>
      <c r="J4421">
        <f t="shared" si="255"/>
        <v>0</v>
      </c>
      <c r="K4421">
        <f t="shared" si="255"/>
        <v>0</v>
      </c>
      <c r="M4421" t="str" cm="1">
        <f t="array" ref="M4421">IFERROR(INDEX($I$2:$K$2,0,MATCH(TRUE,I4421:K4421,0)),E4421)</f>
        <v>OCGT</v>
      </c>
      <c r="O4421" t="str">
        <f t="shared" si="253"/>
        <v>OCGT_2030</v>
      </c>
      <c r="P4421">
        <f t="shared" si="254"/>
        <v>21.9</v>
      </c>
    </row>
    <row r="4422" spans="4:16" x14ac:dyDescent="0.25">
      <c r="D4422">
        <v>2031</v>
      </c>
      <c r="E4422" t="s">
        <v>130</v>
      </c>
      <c r="F4422" t="s">
        <v>474</v>
      </c>
      <c r="G4422">
        <v>21.9</v>
      </c>
      <c r="I4422">
        <f t="shared" si="255"/>
        <v>0</v>
      </c>
      <c r="J4422">
        <f t="shared" si="255"/>
        <v>0</v>
      </c>
      <c r="K4422">
        <f t="shared" si="255"/>
        <v>0</v>
      </c>
      <c r="M4422" t="str" cm="1">
        <f t="array" ref="M4422">IFERROR(INDEX($I$2:$K$2,0,MATCH(TRUE,I4422:K4422,0)),E4422)</f>
        <v>OCGT</v>
      </c>
      <c r="O4422" t="str">
        <f t="shared" si="253"/>
        <v>OCGT_2031</v>
      </c>
      <c r="P4422">
        <f t="shared" si="254"/>
        <v>21.9</v>
      </c>
    </row>
    <row r="4423" spans="4:16" x14ac:dyDescent="0.25">
      <c r="D4423">
        <v>2032</v>
      </c>
      <c r="E4423" t="s">
        <v>130</v>
      </c>
      <c r="F4423" t="s">
        <v>474</v>
      </c>
      <c r="G4423">
        <v>21.9</v>
      </c>
      <c r="I4423">
        <f t="shared" si="255"/>
        <v>0</v>
      </c>
      <c r="J4423">
        <f t="shared" si="255"/>
        <v>0</v>
      </c>
      <c r="K4423">
        <f t="shared" si="255"/>
        <v>0</v>
      </c>
      <c r="M4423" t="str" cm="1">
        <f t="array" ref="M4423">IFERROR(INDEX($I$2:$K$2,0,MATCH(TRUE,I4423:K4423,0)),E4423)</f>
        <v>OCGT</v>
      </c>
      <c r="O4423" t="str">
        <f t="shared" si="253"/>
        <v>OCGT_2032</v>
      </c>
      <c r="P4423">
        <f t="shared" si="254"/>
        <v>21.9</v>
      </c>
    </row>
    <row r="4424" spans="4:16" x14ac:dyDescent="0.25">
      <c r="D4424">
        <v>2033</v>
      </c>
      <c r="E4424" t="s">
        <v>130</v>
      </c>
      <c r="F4424" t="s">
        <v>474</v>
      </c>
      <c r="G4424">
        <v>21.9</v>
      </c>
      <c r="I4424">
        <f t="shared" si="255"/>
        <v>0</v>
      </c>
      <c r="J4424">
        <f t="shared" si="255"/>
        <v>0</v>
      </c>
      <c r="K4424">
        <f t="shared" si="255"/>
        <v>0</v>
      </c>
      <c r="M4424" t="str" cm="1">
        <f t="array" ref="M4424">IFERROR(INDEX($I$2:$K$2,0,MATCH(TRUE,I4424:K4424,0)),E4424)</f>
        <v>OCGT</v>
      </c>
      <c r="O4424" t="str">
        <f t="shared" si="253"/>
        <v>OCGT_2033</v>
      </c>
      <c r="P4424">
        <f t="shared" si="254"/>
        <v>21.9</v>
      </c>
    </row>
    <row r="4425" spans="4:16" x14ac:dyDescent="0.25">
      <c r="D4425">
        <v>2034</v>
      </c>
      <c r="E4425" t="s">
        <v>130</v>
      </c>
      <c r="F4425" t="s">
        <v>474</v>
      </c>
      <c r="G4425">
        <v>21.9</v>
      </c>
      <c r="I4425">
        <f t="shared" si="255"/>
        <v>0</v>
      </c>
      <c r="J4425">
        <f t="shared" si="255"/>
        <v>0</v>
      </c>
      <c r="K4425">
        <f t="shared" si="255"/>
        <v>0</v>
      </c>
      <c r="M4425" t="str" cm="1">
        <f t="array" ref="M4425">IFERROR(INDEX($I$2:$K$2,0,MATCH(TRUE,I4425:K4425,0)),E4425)</f>
        <v>OCGT</v>
      </c>
      <c r="O4425" t="str">
        <f t="shared" si="253"/>
        <v>OCGT_2034</v>
      </c>
      <c r="P4425">
        <f t="shared" si="254"/>
        <v>21.9</v>
      </c>
    </row>
    <row r="4426" spans="4:16" x14ac:dyDescent="0.25">
      <c r="D4426">
        <v>2035</v>
      </c>
      <c r="E4426" t="s">
        <v>130</v>
      </c>
      <c r="F4426" t="s">
        <v>474</v>
      </c>
      <c r="G4426">
        <v>21.9</v>
      </c>
      <c r="I4426">
        <f t="shared" si="255"/>
        <v>0</v>
      </c>
      <c r="J4426">
        <f t="shared" si="255"/>
        <v>0</v>
      </c>
      <c r="K4426">
        <f t="shared" si="255"/>
        <v>0</v>
      </c>
      <c r="M4426" t="str" cm="1">
        <f t="array" ref="M4426">IFERROR(INDEX($I$2:$K$2,0,MATCH(TRUE,I4426:K4426,0)),E4426)</f>
        <v>OCGT</v>
      </c>
      <c r="O4426" t="str">
        <f t="shared" si="253"/>
        <v>OCGT_2035</v>
      </c>
      <c r="P4426">
        <f t="shared" si="254"/>
        <v>21.9</v>
      </c>
    </row>
    <row r="4427" spans="4:16" x14ac:dyDescent="0.25">
      <c r="D4427">
        <v>2036</v>
      </c>
      <c r="E4427" t="s">
        <v>130</v>
      </c>
      <c r="F4427" t="s">
        <v>474</v>
      </c>
      <c r="G4427">
        <v>21.9</v>
      </c>
      <c r="I4427">
        <f t="shared" si="255"/>
        <v>0</v>
      </c>
      <c r="J4427">
        <f t="shared" si="255"/>
        <v>0</v>
      </c>
      <c r="K4427">
        <f t="shared" si="255"/>
        <v>0</v>
      </c>
      <c r="M4427" t="str" cm="1">
        <f t="array" ref="M4427">IFERROR(INDEX($I$2:$K$2,0,MATCH(TRUE,I4427:K4427,0)),E4427)</f>
        <v>OCGT</v>
      </c>
      <c r="O4427" t="str">
        <f t="shared" si="253"/>
        <v>OCGT_2036</v>
      </c>
      <c r="P4427">
        <f t="shared" si="254"/>
        <v>21.9</v>
      </c>
    </row>
    <row r="4428" spans="4:16" x14ac:dyDescent="0.25">
      <c r="D4428">
        <v>2037</v>
      </c>
      <c r="E4428" t="s">
        <v>130</v>
      </c>
      <c r="F4428" t="s">
        <v>474</v>
      </c>
      <c r="G4428">
        <v>21.9</v>
      </c>
      <c r="I4428">
        <f t="shared" si="255"/>
        <v>0</v>
      </c>
      <c r="J4428">
        <f t="shared" si="255"/>
        <v>0</v>
      </c>
      <c r="K4428">
        <f t="shared" si="255"/>
        <v>0</v>
      </c>
      <c r="M4428" t="str" cm="1">
        <f t="array" ref="M4428">IFERROR(INDEX($I$2:$K$2,0,MATCH(TRUE,I4428:K4428,0)),E4428)</f>
        <v>OCGT</v>
      </c>
      <c r="O4428" t="str">
        <f t="shared" si="253"/>
        <v>OCGT_2037</v>
      </c>
      <c r="P4428">
        <f t="shared" si="254"/>
        <v>21.9</v>
      </c>
    </row>
    <row r="4429" spans="4:16" x14ac:dyDescent="0.25">
      <c r="D4429">
        <v>2038</v>
      </c>
      <c r="E4429" t="s">
        <v>130</v>
      </c>
      <c r="F4429" t="s">
        <v>474</v>
      </c>
      <c r="G4429">
        <v>21.9</v>
      </c>
      <c r="I4429">
        <f t="shared" si="255"/>
        <v>0</v>
      </c>
      <c r="J4429">
        <f t="shared" si="255"/>
        <v>0</v>
      </c>
      <c r="K4429">
        <f t="shared" si="255"/>
        <v>0</v>
      </c>
      <c r="M4429" t="str" cm="1">
        <f t="array" ref="M4429">IFERROR(INDEX($I$2:$K$2,0,MATCH(TRUE,I4429:K4429,0)),E4429)</f>
        <v>OCGT</v>
      </c>
      <c r="O4429" t="str">
        <f t="shared" si="253"/>
        <v>OCGT_2038</v>
      </c>
      <c r="P4429">
        <f t="shared" si="254"/>
        <v>21.9</v>
      </c>
    </row>
    <row r="4430" spans="4:16" x14ac:dyDescent="0.25">
      <c r="D4430">
        <v>2039</v>
      </c>
      <c r="E4430" t="s">
        <v>130</v>
      </c>
      <c r="F4430" t="s">
        <v>474</v>
      </c>
      <c r="G4430">
        <v>21.9</v>
      </c>
      <c r="I4430">
        <f t="shared" si="255"/>
        <v>0</v>
      </c>
      <c r="J4430">
        <f t="shared" si="255"/>
        <v>0</v>
      </c>
      <c r="K4430">
        <f t="shared" si="255"/>
        <v>0</v>
      </c>
      <c r="M4430" t="str" cm="1">
        <f t="array" ref="M4430">IFERROR(INDEX($I$2:$K$2,0,MATCH(TRUE,I4430:K4430,0)),E4430)</f>
        <v>OCGT</v>
      </c>
      <c r="O4430" t="str">
        <f t="shared" si="253"/>
        <v>OCGT_2039</v>
      </c>
      <c r="P4430">
        <f t="shared" si="254"/>
        <v>21.9</v>
      </c>
    </row>
    <row r="4431" spans="4:16" x14ac:dyDescent="0.25">
      <c r="D4431">
        <v>2040</v>
      </c>
      <c r="E4431" t="s">
        <v>130</v>
      </c>
      <c r="F4431" t="s">
        <v>474</v>
      </c>
      <c r="G4431">
        <v>21.9</v>
      </c>
      <c r="I4431">
        <f t="shared" si="255"/>
        <v>0</v>
      </c>
      <c r="J4431">
        <f t="shared" si="255"/>
        <v>0</v>
      </c>
      <c r="K4431">
        <f t="shared" si="255"/>
        <v>0</v>
      </c>
      <c r="M4431" t="str" cm="1">
        <f t="array" ref="M4431">IFERROR(INDEX($I$2:$K$2,0,MATCH(TRUE,I4431:K4431,0)),E4431)</f>
        <v>OCGT</v>
      </c>
      <c r="O4431" t="str">
        <f t="shared" si="253"/>
        <v>OCGT_2040</v>
      </c>
      <c r="P4431">
        <f t="shared" si="254"/>
        <v>21.9</v>
      </c>
    </row>
    <row r="4432" spans="4:16" x14ac:dyDescent="0.25">
      <c r="D4432">
        <v>2021</v>
      </c>
      <c r="E4432" t="s">
        <v>130</v>
      </c>
      <c r="F4432" t="s">
        <v>475</v>
      </c>
      <c r="G4432">
        <v>30.3</v>
      </c>
      <c r="I4432">
        <f t="shared" si="255"/>
        <v>0</v>
      </c>
      <c r="J4432">
        <f t="shared" si="255"/>
        <v>0</v>
      </c>
      <c r="K4432">
        <f t="shared" si="255"/>
        <v>0</v>
      </c>
      <c r="M4432" t="str" cm="1">
        <f t="array" ref="M4432">IFERROR(INDEX($I$2:$K$2,0,MATCH(TRUE,I4432:K4432,0)),E4432)</f>
        <v>OCGT</v>
      </c>
      <c r="O4432" t="str">
        <f t="shared" si="253"/>
        <v>OCGT_2021</v>
      </c>
      <c r="P4432">
        <f t="shared" si="254"/>
        <v>30.3</v>
      </c>
    </row>
    <row r="4433" spans="4:16" x14ac:dyDescent="0.25">
      <c r="D4433">
        <v>2022</v>
      </c>
      <c r="E4433" t="s">
        <v>130</v>
      </c>
      <c r="F4433" t="s">
        <v>475</v>
      </c>
      <c r="G4433">
        <v>30.3</v>
      </c>
      <c r="I4433">
        <f t="shared" si="255"/>
        <v>0</v>
      </c>
      <c r="J4433">
        <f t="shared" si="255"/>
        <v>0</v>
      </c>
      <c r="K4433">
        <f t="shared" si="255"/>
        <v>0</v>
      </c>
      <c r="M4433" t="str" cm="1">
        <f t="array" ref="M4433">IFERROR(INDEX($I$2:$K$2,0,MATCH(TRUE,I4433:K4433,0)),E4433)</f>
        <v>OCGT</v>
      </c>
      <c r="O4433" t="str">
        <f t="shared" si="253"/>
        <v>OCGT_2022</v>
      </c>
      <c r="P4433">
        <f t="shared" si="254"/>
        <v>30.3</v>
      </c>
    </row>
    <row r="4434" spans="4:16" x14ac:dyDescent="0.25">
      <c r="D4434">
        <v>2023</v>
      </c>
      <c r="E4434" t="s">
        <v>130</v>
      </c>
      <c r="F4434" t="s">
        <v>475</v>
      </c>
      <c r="G4434">
        <v>30.3</v>
      </c>
      <c r="I4434">
        <f t="shared" si="255"/>
        <v>0</v>
      </c>
      <c r="J4434">
        <f t="shared" si="255"/>
        <v>0</v>
      </c>
      <c r="K4434">
        <f t="shared" si="255"/>
        <v>0</v>
      </c>
      <c r="M4434" t="str" cm="1">
        <f t="array" ref="M4434">IFERROR(INDEX($I$2:$K$2,0,MATCH(TRUE,I4434:K4434,0)),E4434)</f>
        <v>OCGT</v>
      </c>
      <c r="O4434" t="str">
        <f t="shared" si="253"/>
        <v>OCGT_2023</v>
      </c>
      <c r="P4434">
        <f t="shared" si="254"/>
        <v>30.3</v>
      </c>
    </row>
    <row r="4435" spans="4:16" x14ac:dyDescent="0.25">
      <c r="D4435">
        <v>2024</v>
      </c>
      <c r="E4435" t="s">
        <v>130</v>
      </c>
      <c r="F4435" t="s">
        <v>475</v>
      </c>
      <c r="G4435">
        <v>30.3</v>
      </c>
      <c r="I4435">
        <f t="shared" si="255"/>
        <v>0</v>
      </c>
      <c r="J4435">
        <f t="shared" si="255"/>
        <v>0</v>
      </c>
      <c r="K4435">
        <f t="shared" si="255"/>
        <v>0</v>
      </c>
      <c r="M4435" t="str" cm="1">
        <f t="array" ref="M4435">IFERROR(INDEX($I$2:$K$2,0,MATCH(TRUE,I4435:K4435,0)),E4435)</f>
        <v>OCGT</v>
      </c>
      <c r="O4435" t="str">
        <f t="shared" ref="O4435:O4498" si="256">M4435&amp;"_"&amp;D4435</f>
        <v>OCGT_2024</v>
      </c>
      <c r="P4435">
        <f t="shared" ref="P4435:P4498" si="257">G4435</f>
        <v>30.3</v>
      </c>
    </row>
    <row r="4436" spans="4:16" x14ac:dyDescent="0.25">
      <c r="D4436">
        <v>2025</v>
      </c>
      <c r="E4436" t="s">
        <v>130</v>
      </c>
      <c r="F4436" t="s">
        <v>475</v>
      </c>
      <c r="G4436">
        <v>30.3</v>
      </c>
      <c r="I4436">
        <f t="shared" si="255"/>
        <v>0</v>
      </c>
      <c r="J4436">
        <f t="shared" si="255"/>
        <v>0</v>
      </c>
      <c r="K4436">
        <f t="shared" si="255"/>
        <v>0</v>
      </c>
      <c r="M4436" t="str" cm="1">
        <f t="array" ref="M4436">IFERROR(INDEX($I$2:$K$2,0,MATCH(TRUE,I4436:K4436,0)),E4436)</f>
        <v>OCGT</v>
      </c>
      <c r="O4436" t="str">
        <f t="shared" si="256"/>
        <v>OCGT_2025</v>
      </c>
      <c r="P4436">
        <f t="shared" si="257"/>
        <v>30.3</v>
      </c>
    </row>
    <row r="4437" spans="4:16" x14ac:dyDescent="0.25">
      <c r="D4437">
        <v>2026</v>
      </c>
      <c r="E4437" t="s">
        <v>130</v>
      </c>
      <c r="F4437" t="s">
        <v>475</v>
      </c>
      <c r="G4437">
        <v>30.3</v>
      </c>
      <c r="I4437">
        <f t="shared" ref="I4437:K4500" si="258">IFERROR(FIND(I$2,$E4437,1)&gt;0,0)</f>
        <v>0</v>
      </c>
      <c r="J4437">
        <f t="shared" si="258"/>
        <v>0</v>
      </c>
      <c r="K4437">
        <f t="shared" si="258"/>
        <v>0</v>
      </c>
      <c r="M4437" t="str" cm="1">
        <f t="array" ref="M4437">IFERROR(INDEX($I$2:$K$2,0,MATCH(TRUE,I4437:K4437,0)),E4437)</f>
        <v>OCGT</v>
      </c>
      <c r="O4437" t="str">
        <f t="shared" si="256"/>
        <v>OCGT_2026</v>
      </c>
      <c r="P4437">
        <f t="shared" si="257"/>
        <v>30.3</v>
      </c>
    </row>
    <row r="4438" spans="4:16" x14ac:dyDescent="0.25">
      <c r="D4438">
        <v>2027</v>
      </c>
      <c r="E4438" t="s">
        <v>130</v>
      </c>
      <c r="F4438" t="s">
        <v>475</v>
      </c>
      <c r="G4438">
        <v>30.3</v>
      </c>
      <c r="I4438">
        <f t="shared" si="258"/>
        <v>0</v>
      </c>
      <c r="J4438">
        <f t="shared" si="258"/>
        <v>0</v>
      </c>
      <c r="K4438">
        <f t="shared" si="258"/>
        <v>0</v>
      </c>
      <c r="M4438" t="str" cm="1">
        <f t="array" ref="M4438">IFERROR(INDEX($I$2:$K$2,0,MATCH(TRUE,I4438:K4438,0)),E4438)</f>
        <v>OCGT</v>
      </c>
      <c r="O4438" t="str">
        <f t="shared" si="256"/>
        <v>OCGT_2027</v>
      </c>
      <c r="P4438">
        <f t="shared" si="257"/>
        <v>30.3</v>
      </c>
    </row>
    <row r="4439" spans="4:16" x14ac:dyDescent="0.25">
      <c r="D4439">
        <v>2028</v>
      </c>
      <c r="E4439" t="s">
        <v>130</v>
      </c>
      <c r="F4439" t="s">
        <v>475</v>
      </c>
      <c r="G4439">
        <v>30.3</v>
      </c>
      <c r="I4439">
        <f t="shared" si="258"/>
        <v>0</v>
      </c>
      <c r="J4439">
        <f t="shared" si="258"/>
        <v>0</v>
      </c>
      <c r="K4439">
        <f t="shared" si="258"/>
        <v>0</v>
      </c>
      <c r="M4439" t="str" cm="1">
        <f t="array" ref="M4439">IFERROR(INDEX($I$2:$K$2,0,MATCH(TRUE,I4439:K4439,0)),E4439)</f>
        <v>OCGT</v>
      </c>
      <c r="O4439" t="str">
        <f t="shared" si="256"/>
        <v>OCGT_2028</v>
      </c>
      <c r="P4439">
        <f t="shared" si="257"/>
        <v>30.3</v>
      </c>
    </row>
    <row r="4440" spans="4:16" x14ac:dyDescent="0.25">
      <c r="D4440">
        <v>2029</v>
      </c>
      <c r="E4440" t="s">
        <v>130</v>
      </c>
      <c r="F4440" t="s">
        <v>475</v>
      </c>
      <c r="G4440">
        <v>30.3</v>
      </c>
      <c r="I4440">
        <f t="shared" si="258"/>
        <v>0</v>
      </c>
      <c r="J4440">
        <f t="shared" si="258"/>
        <v>0</v>
      </c>
      <c r="K4440">
        <f t="shared" si="258"/>
        <v>0</v>
      </c>
      <c r="M4440" t="str" cm="1">
        <f t="array" ref="M4440">IFERROR(INDEX($I$2:$K$2,0,MATCH(TRUE,I4440:K4440,0)),E4440)</f>
        <v>OCGT</v>
      </c>
      <c r="O4440" t="str">
        <f t="shared" si="256"/>
        <v>OCGT_2029</v>
      </c>
      <c r="P4440">
        <f t="shared" si="257"/>
        <v>30.3</v>
      </c>
    </row>
    <row r="4441" spans="4:16" x14ac:dyDescent="0.25">
      <c r="D4441">
        <v>2030</v>
      </c>
      <c r="E4441" t="s">
        <v>130</v>
      </c>
      <c r="F4441" t="s">
        <v>475</v>
      </c>
      <c r="G4441">
        <v>30.3</v>
      </c>
      <c r="I4441">
        <f t="shared" si="258"/>
        <v>0</v>
      </c>
      <c r="J4441">
        <f t="shared" si="258"/>
        <v>0</v>
      </c>
      <c r="K4441">
        <f t="shared" si="258"/>
        <v>0</v>
      </c>
      <c r="M4441" t="str" cm="1">
        <f t="array" ref="M4441">IFERROR(INDEX($I$2:$K$2,0,MATCH(TRUE,I4441:K4441,0)),E4441)</f>
        <v>OCGT</v>
      </c>
      <c r="O4441" t="str">
        <f t="shared" si="256"/>
        <v>OCGT_2030</v>
      </c>
      <c r="P4441">
        <f t="shared" si="257"/>
        <v>30.3</v>
      </c>
    </row>
    <row r="4442" spans="4:16" x14ac:dyDescent="0.25">
      <c r="D4442">
        <v>2031</v>
      </c>
      <c r="E4442" t="s">
        <v>130</v>
      </c>
      <c r="F4442" t="s">
        <v>475</v>
      </c>
      <c r="G4442">
        <v>30.3</v>
      </c>
      <c r="I4442">
        <f t="shared" si="258"/>
        <v>0</v>
      </c>
      <c r="J4442">
        <f t="shared" si="258"/>
        <v>0</v>
      </c>
      <c r="K4442">
        <f t="shared" si="258"/>
        <v>0</v>
      </c>
      <c r="M4442" t="str" cm="1">
        <f t="array" ref="M4442">IFERROR(INDEX($I$2:$K$2,0,MATCH(TRUE,I4442:K4442,0)),E4442)</f>
        <v>OCGT</v>
      </c>
      <c r="O4442" t="str">
        <f t="shared" si="256"/>
        <v>OCGT_2031</v>
      </c>
      <c r="P4442">
        <f t="shared" si="257"/>
        <v>30.3</v>
      </c>
    </row>
    <row r="4443" spans="4:16" x14ac:dyDescent="0.25">
      <c r="D4443">
        <v>2032</v>
      </c>
      <c r="E4443" t="s">
        <v>130</v>
      </c>
      <c r="F4443" t="s">
        <v>475</v>
      </c>
      <c r="G4443">
        <v>30.3</v>
      </c>
      <c r="I4443">
        <f t="shared" si="258"/>
        <v>0</v>
      </c>
      <c r="J4443">
        <f t="shared" si="258"/>
        <v>0</v>
      </c>
      <c r="K4443">
        <f t="shared" si="258"/>
        <v>0</v>
      </c>
      <c r="M4443" t="str" cm="1">
        <f t="array" ref="M4443">IFERROR(INDEX($I$2:$K$2,0,MATCH(TRUE,I4443:K4443,0)),E4443)</f>
        <v>OCGT</v>
      </c>
      <c r="O4443" t="str">
        <f t="shared" si="256"/>
        <v>OCGT_2032</v>
      </c>
      <c r="P4443">
        <f t="shared" si="257"/>
        <v>30.3</v>
      </c>
    </row>
    <row r="4444" spans="4:16" x14ac:dyDescent="0.25">
      <c r="D4444">
        <v>2033</v>
      </c>
      <c r="E4444" t="s">
        <v>130</v>
      </c>
      <c r="F4444" t="s">
        <v>475</v>
      </c>
      <c r="G4444">
        <v>30.3</v>
      </c>
      <c r="I4444">
        <f t="shared" si="258"/>
        <v>0</v>
      </c>
      <c r="J4444">
        <f t="shared" si="258"/>
        <v>0</v>
      </c>
      <c r="K4444">
        <f t="shared" si="258"/>
        <v>0</v>
      </c>
      <c r="M4444" t="str" cm="1">
        <f t="array" ref="M4444">IFERROR(INDEX($I$2:$K$2,0,MATCH(TRUE,I4444:K4444,0)),E4444)</f>
        <v>OCGT</v>
      </c>
      <c r="O4444" t="str">
        <f t="shared" si="256"/>
        <v>OCGT_2033</v>
      </c>
      <c r="P4444">
        <f t="shared" si="257"/>
        <v>30.3</v>
      </c>
    </row>
    <row r="4445" spans="4:16" x14ac:dyDescent="0.25">
      <c r="D4445">
        <v>2034</v>
      </c>
      <c r="E4445" t="s">
        <v>130</v>
      </c>
      <c r="F4445" t="s">
        <v>475</v>
      </c>
      <c r="G4445">
        <v>30.3</v>
      </c>
      <c r="I4445">
        <f t="shared" si="258"/>
        <v>0</v>
      </c>
      <c r="J4445">
        <f t="shared" si="258"/>
        <v>0</v>
      </c>
      <c r="K4445">
        <f t="shared" si="258"/>
        <v>0</v>
      </c>
      <c r="M4445" t="str" cm="1">
        <f t="array" ref="M4445">IFERROR(INDEX($I$2:$K$2,0,MATCH(TRUE,I4445:K4445,0)),E4445)</f>
        <v>OCGT</v>
      </c>
      <c r="O4445" t="str">
        <f t="shared" si="256"/>
        <v>OCGT_2034</v>
      </c>
      <c r="P4445">
        <f t="shared" si="257"/>
        <v>30.3</v>
      </c>
    </row>
    <row r="4446" spans="4:16" x14ac:dyDescent="0.25">
      <c r="D4446">
        <v>2035</v>
      </c>
      <c r="E4446" t="s">
        <v>130</v>
      </c>
      <c r="F4446" t="s">
        <v>475</v>
      </c>
      <c r="G4446">
        <v>30.3</v>
      </c>
      <c r="I4446">
        <f t="shared" si="258"/>
        <v>0</v>
      </c>
      <c r="J4446">
        <f t="shared" si="258"/>
        <v>0</v>
      </c>
      <c r="K4446">
        <f t="shared" si="258"/>
        <v>0</v>
      </c>
      <c r="M4446" t="str" cm="1">
        <f t="array" ref="M4446">IFERROR(INDEX($I$2:$K$2,0,MATCH(TRUE,I4446:K4446,0)),E4446)</f>
        <v>OCGT</v>
      </c>
      <c r="O4446" t="str">
        <f t="shared" si="256"/>
        <v>OCGT_2035</v>
      </c>
      <c r="P4446">
        <f t="shared" si="257"/>
        <v>30.3</v>
      </c>
    </row>
    <row r="4447" spans="4:16" x14ac:dyDescent="0.25">
      <c r="D4447">
        <v>2036</v>
      </c>
      <c r="E4447" t="s">
        <v>130</v>
      </c>
      <c r="F4447" t="s">
        <v>475</v>
      </c>
      <c r="G4447">
        <v>30.3</v>
      </c>
      <c r="I4447">
        <f t="shared" si="258"/>
        <v>0</v>
      </c>
      <c r="J4447">
        <f t="shared" si="258"/>
        <v>0</v>
      </c>
      <c r="K4447">
        <f t="shared" si="258"/>
        <v>0</v>
      </c>
      <c r="M4447" t="str" cm="1">
        <f t="array" ref="M4447">IFERROR(INDEX($I$2:$K$2,0,MATCH(TRUE,I4447:K4447,0)),E4447)</f>
        <v>OCGT</v>
      </c>
      <c r="O4447" t="str">
        <f t="shared" si="256"/>
        <v>OCGT_2036</v>
      </c>
      <c r="P4447">
        <f t="shared" si="257"/>
        <v>30.3</v>
      </c>
    </row>
    <row r="4448" spans="4:16" x14ac:dyDescent="0.25">
      <c r="D4448">
        <v>2037</v>
      </c>
      <c r="E4448" t="s">
        <v>130</v>
      </c>
      <c r="F4448" t="s">
        <v>475</v>
      </c>
      <c r="G4448">
        <v>30.3</v>
      </c>
      <c r="I4448">
        <f t="shared" si="258"/>
        <v>0</v>
      </c>
      <c r="J4448">
        <f t="shared" si="258"/>
        <v>0</v>
      </c>
      <c r="K4448">
        <f t="shared" si="258"/>
        <v>0</v>
      </c>
      <c r="M4448" t="str" cm="1">
        <f t="array" ref="M4448">IFERROR(INDEX($I$2:$K$2,0,MATCH(TRUE,I4448:K4448,0)),E4448)</f>
        <v>OCGT</v>
      </c>
      <c r="O4448" t="str">
        <f t="shared" si="256"/>
        <v>OCGT_2037</v>
      </c>
      <c r="P4448">
        <f t="shared" si="257"/>
        <v>30.3</v>
      </c>
    </row>
    <row r="4449" spans="4:16" x14ac:dyDescent="0.25">
      <c r="D4449">
        <v>2038</v>
      </c>
      <c r="E4449" t="s">
        <v>130</v>
      </c>
      <c r="F4449" t="s">
        <v>475</v>
      </c>
      <c r="G4449">
        <v>30.3</v>
      </c>
      <c r="I4449">
        <f t="shared" si="258"/>
        <v>0</v>
      </c>
      <c r="J4449">
        <f t="shared" si="258"/>
        <v>0</v>
      </c>
      <c r="K4449">
        <f t="shared" si="258"/>
        <v>0</v>
      </c>
      <c r="M4449" t="str" cm="1">
        <f t="array" ref="M4449">IFERROR(INDEX($I$2:$K$2,0,MATCH(TRUE,I4449:K4449,0)),E4449)</f>
        <v>OCGT</v>
      </c>
      <c r="O4449" t="str">
        <f t="shared" si="256"/>
        <v>OCGT_2038</v>
      </c>
      <c r="P4449">
        <f t="shared" si="257"/>
        <v>30.3</v>
      </c>
    </row>
    <row r="4450" spans="4:16" x14ac:dyDescent="0.25">
      <c r="D4450">
        <v>2039</v>
      </c>
      <c r="E4450" t="s">
        <v>130</v>
      </c>
      <c r="F4450" t="s">
        <v>475</v>
      </c>
      <c r="G4450">
        <v>30.3</v>
      </c>
      <c r="I4450">
        <f t="shared" si="258"/>
        <v>0</v>
      </c>
      <c r="J4450">
        <f t="shared" si="258"/>
        <v>0</v>
      </c>
      <c r="K4450">
        <f t="shared" si="258"/>
        <v>0</v>
      </c>
      <c r="M4450" t="str" cm="1">
        <f t="array" ref="M4450">IFERROR(INDEX($I$2:$K$2,0,MATCH(TRUE,I4450:K4450,0)),E4450)</f>
        <v>OCGT</v>
      </c>
      <c r="O4450" t="str">
        <f t="shared" si="256"/>
        <v>OCGT_2039</v>
      </c>
      <c r="P4450">
        <f t="shared" si="257"/>
        <v>30.3</v>
      </c>
    </row>
    <row r="4451" spans="4:16" x14ac:dyDescent="0.25">
      <c r="D4451">
        <v>2040</v>
      </c>
      <c r="E4451" t="s">
        <v>130</v>
      </c>
      <c r="F4451" t="s">
        <v>475</v>
      </c>
      <c r="G4451">
        <v>30.3</v>
      </c>
      <c r="I4451">
        <f t="shared" si="258"/>
        <v>0</v>
      </c>
      <c r="J4451">
        <f t="shared" si="258"/>
        <v>0</v>
      </c>
      <c r="K4451">
        <f t="shared" si="258"/>
        <v>0</v>
      </c>
      <c r="M4451" t="str" cm="1">
        <f t="array" ref="M4451">IFERROR(INDEX($I$2:$K$2,0,MATCH(TRUE,I4451:K4451,0)),E4451)</f>
        <v>OCGT</v>
      </c>
      <c r="O4451" t="str">
        <f t="shared" si="256"/>
        <v>OCGT_2040</v>
      </c>
      <c r="P4451">
        <f t="shared" si="257"/>
        <v>30.3</v>
      </c>
    </row>
    <row r="4452" spans="4:16" x14ac:dyDescent="0.25">
      <c r="D4452">
        <v>2021</v>
      </c>
      <c r="E4452" t="s">
        <v>130</v>
      </c>
      <c r="F4452" t="s">
        <v>476</v>
      </c>
      <c r="G4452">
        <v>96.5</v>
      </c>
      <c r="I4452">
        <f t="shared" si="258"/>
        <v>0</v>
      </c>
      <c r="J4452">
        <f t="shared" si="258"/>
        <v>0</v>
      </c>
      <c r="K4452">
        <f t="shared" si="258"/>
        <v>0</v>
      </c>
      <c r="M4452" t="str" cm="1">
        <f t="array" ref="M4452">IFERROR(INDEX($I$2:$K$2,0,MATCH(TRUE,I4452:K4452,0)),E4452)</f>
        <v>OCGT</v>
      </c>
      <c r="O4452" t="str">
        <f t="shared" si="256"/>
        <v>OCGT_2021</v>
      </c>
      <c r="P4452">
        <f t="shared" si="257"/>
        <v>96.5</v>
      </c>
    </row>
    <row r="4453" spans="4:16" x14ac:dyDescent="0.25">
      <c r="D4453">
        <v>2022</v>
      </c>
      <c r="E4453" t="s">
        <v>130</v>
      </c>
      <c r="F4453" t="s">
        <v>476</v>
      </c>
      <c r="G4453">
        <v>96.5</v>
      </c>
      <c r="I4453">
        <f t="shared" si="258"/>
        <v>0</v>
      </c>
      <c r="J4453">
        <f t="shared" si="258"/>
        <v>0</v>
      </c>
      <c r="K4453">
        <f t="shared" si="258"/>
        <v>0</v>
      </c>
      <c r="M4453" t="str" cm="1">
        <f t="array" ref="M4453">IFERROR(INDEX($I$2:$K$2,0,MATCH(TRUE,I4453:K4453,0)),E4453)</f>
        <v>OCGT</v>
      </c>
      <c r="O4453" t="str">
        <f t="shared" si="256"/>
        <v>OCGT_2022</v>
      </c>
      <c r="P4453">
        <f t="shared" si="257"/>
        <v>96.5</v>
      </c>
    </row>
    <row r="4454" spans="4:16" x14ac:dyDescent="0.25">
      <c r="D4454">
        <v>2023</v>
      </c>
      <c r="E4454" t="s">
        <v>130</v>
      </c>
      <c r="F4454" t="s">
        <v>476</v>
      </c>
      <c r="G4454">
        <v>96.5</v>
      </c>
      <c r="I4454">
        <f t="shared" si="258"/>
        <v>0</v>
      </c>
      <c r="J4454">
        <f t="shared" si="258"/>
        <v>0</v>
      </c>
      <c r="K4454">
        <f t="shared" si="258"/>
        <v>0</v>
      </c>
      <c r="M4454" t="str" cm="1">
        <f t="array" ref="M4454">IFERROR(INDEX($I$2:$K$2,0,MATCH(TRUE,I4454:K4454,0)),E4454)</f>
        <v>OCGT</v>
      </c>
      <c r="O4454" t="str">
        <f t="shared" si="256"/>
        <v>OCGT_2023</v>
      </c>
      <c r="P4454">
        <f t="shared" si="257"/>
        <v>96.5</v>
      </c>
    </row>
    <row r="4455" spans="4:16" x14ac:dyDescent="0.25">
      <c r="D4455">
        <v>2024</v>
      </c>
      <c r="E4455" t="s">
        <v>130</v>
      </c>
      <c r="F4455" t="s">
        <v>476</v>
      </c>
      <c r="G4455">
        <v>96.5</v>
      </c>
      <c r="I4455">
        <f t="shared" si="258"/>
        <v>0</v>
      </c>
      <c r="J4455">
        <f t="shared" si="258"/>
        <v>0</v>
      </c>
      <c r="K4455">
        <f t="shared" si="258"/>
        <v>0</v>
      </c>
      <c r="M4455" t="str" cm="1">
        <f t="array" ref="M4455">IFERROR(INDEX($I$2:$K$2,0,MATCH(TRUE,I4455:K4455,0)),E4455)</f>
        <v>OCGT</v>
      </c>
      <c r="O4455" t="str">
        <f t="shared" si="256"/>
        <v>OCGT_2024</v>
      </c>
      <c r="P4455">
        <f t="shared" si="257"/>
        <v>96.5</v>
      </c>
    </row>
    <row r="4456" spans="4:16" x14ac:dyDescent="0.25">
      <c r="D4456">
        <v>2025</v>
      </c>
      <c r="E4456" t="s">
        <v>130</v>
      </c>
      <c r="F4456" t="s">
        <v>476</v>
      </c>
      <c r="G4456">
        <v>96.5</v>
      </c>
      <c r="I4456">
        <f t="shared" si="258"/>
        <v>0</v>
      </c>
      <c r="J4456">
        <f t="shared" si="258"/>
        <v>0</v>
      </c>
      <c r="K4456">
        <f t="shared" si="258"/>
        <v>0</v>
      </c>
      <c r="M4456" t="str" cm="1">
        <f t="array" ref="M4456">IFERROR(INDEX($I$2:$K$2,0,MATCH(TRUE,I4456:K4456,0)),E4456)</f>
        <v>OCGT</v>
      </c>
      <c r="O4456" t="str">
        <f t="shared" si="256"/>
        <v>OCGT_2025</v>
      </c>
      <c r="P4456">
        <f t="shared" si="257"/>
        <v>96.5</v>
      </c>
    </row>
    <row r="4457" spans="4:16" x14ac:dyDescent="0.25">
      <c r="D4457">
        <v>2026</v>
      </c>
      <c r="E4457" t="s">
        <v>130</v>
      </c>
      <c r="F4457" t="s">
        <v>476</v>
      </c>
      <c r="G4457">
        <v>96.5</v>
      </c>
      <c r="I4457">
        <f t="shared" si="258"/>
        <v>0</v>
      </c>
      <c r="J4457">
        <f t="shared" si="258"/>
        <v>0</v>
      </c>
      <c r="K4457">
        <f t="shared" si="258"/>
        <v>0</v>
      </c>
      <c r="M4457" t="str" cm="1">
        <f t="array" ref="M4457">IFERROR(INDEX($I$2:$K$2,0,MATCH(TRUE,I4457:K4457,0)),E4457)</f>
        <v>OCGT</v>
      </c>
      <c r="O4457" t="str">
        <f t="shared" si="256"/>
        <v>OCGT_2026</v>
      </c>
      <c r="P4457">
        <f t="shared" si="257"/>
        <v>96.5</v>
      </c>
    </row>
    <row r="4458" spans="4:16" x14ac:dyDescent="0.25">
      <c r="D4458">
        <v>2027</v>
      </c>
      <c r="E4458" t="s">
        <v>130</v>
      </c>
      <c r="F4458" t="s">
        <v>476</v>
      </c>
      <c r="G4458">
        <v>96.5</v>
      </c>
      <c r="I4458">
        <f t="shared" si="258"/>
        <v>0</v>
      </c>
      <c r="J4458">
        <f t="shared" si="258"/>
        <v>0</v>
      </c>
      <c r="K4458">
        <f t="shared" si="258"/>
        <v>0</v>
      </c>
      <c r="M4458" t="str" cm="1">
        <f t="array" ref="M4458">IFERROR(INDEX($I$2:$K$2,0,MATCH(TRUE,I4458:K4458,0)),E4458)</f>
        <v>OCGT</v>
      </c>
      <c r="O4458" t="str">
        <f t="shared" si="256"/>
        <v>OCGT_2027</v>
      </c>
      <c r="P4458">
        <f t="shared" si="257"/>
        <v>96.5</v>
      </c>
    </row>
    <row r="4459" spans="4:16" x14ac:dyDescent="0.25">
      <c r="D4459">
        <v>2028</v>
      </c>
      <c r="E4459" t="s">
        <v>130</v>
      </c>
      <c r="F4459" t="s">
        <v>476</v>
      </c>
      <c r="G4459">
        <v>96.5</v>
      </c>
      <c r="I4459">
        <f t="shared" si="258"/>
        <v>0</v>
      </c>
      <c r="J4459">
        <f t="shared" si="258"/>
        <v>0</v>
      </c>
      <c r="K4459">
        <f t="shared" si="258"/>
        <v>0</v>
      </c>
      <c r="M4459" t="str" cm="1">
        <f t="array" ref="M4459">IFERROR(INDEX($I$2:$K$2,0,MATCH(TRUE,I4459:K4459,0)),E4459)</f>
        <v>OCGT</v>
      </c>
      <c r="O4459" t="str">
        <f t="shared" si="256"/>
        <v>OCGT_2028</v>
      </c>
      <c r="P4459">
        <f t="shared" si="257"/>
        <v>96.5</v>
      </c>
    </row>
    <row r="4460" spans="4:16" x14ac:dyDescent="0.25">
      <c r="D4460">
        <v>2029</v>
      </c>
      <c r="E4460" t="s">
        <v>130</v>
      </c>
      <c r="F4460" t="s">
        <v>476</v>
      </c>
      <c r="G4460">
        <v>96.5</v>
      </c>
      <c r="I4460">
        <f t="shared" si="258"/>
        <v>0</v>
      </c>
      <c r="J4460">
        <f t="shared" si="258"/>
        <v>0</v>
      </c>
      <c r="K4460">
        <f t="shared" si="258"/>
        <v>0</v>
      </c>
      <c r="M4460" t="str" cm="1">
        <f t="array" ref="M4460">IFERROR(INDEX($I$2:$K$2,0,MATCH(TRUE,I4460:K4460,0)),E4460)</f>
        <v>OCGT</v>
      </c>
      <c r="O4460" t="str">
        <f t="shared" si="256"/>
        <v>OCGT_2029</v>
      </c>
      <c r="P4460">
        <f t="shared" si="257"/>
        <v>96.5</v>
      </c>
    </row>
    <row r="4461" spans="4:16" x14ac:dyDescent="0.25">
      <c r="D4461">
        <v>2030</v>
      </c>
      <c r="E4461" t="s">
        <v>130</v>
      </c>
      <c r="F4461" t="s">
        <v>476</v>
      </c>
      <c r="G4461">
        <v>96.5</v>
      </c>
      <c r="I4461">
        <f t="shared" si="258"/>
        <v>0</v>
      </c>
      <c r="J4461">
        <f t="shared" si="258"/>
        <v>0</v>
      </c>
      <c r="K4461">
        <f t="shared" si="258"/>
        <v>0</v>
      </c>
      <c r="M4461" t="str" cm="1">
        <f t="array" ref="M4461">IFERROR(INDEX($I$2:$K$2,0,MATCH(TRUE,I4461:K4461,0)),E4461)</f>
        <v>OCGT</v>
      </c>
      <c r="O4461" t="str">
        <f t="shared" si="256"/>
        <v>OCGT_2030</v>
      </c>
      <c r="P4461">
        <f t="shared" si="257"/>
        <v>96.5</v>
      </c>
    </row>
    <row r="4462" spans="4:16" x14ac:dyDescent="0.25">
      <c r="D4462">
        <v>2031</v>
      </c>
      <c r="E4462" t="s">
        <v>130</v>
      </c>
      <c r="F4462" t="s">
        <v>476</v>
      </c>
      <c r="G4462">
        <v>96.5</v>
      </c>
      <c r="I4462">
        <f t="shared" si="258"/>
        <v>0</v>
      </c>
      <c r="J4462">
        <f t="shared" si="258"/>
        <v>0</v>
      </c>
      <c r="K4462">
        <f t="shared" si="258"/>
        <v>0</v>
      </c>
      <c r="M4462" t="str" cm="1">
        <f t="array" ref="M4462">IFERROR(INDEX($I$2:$K$2,0,MATCH(TRUE,I4462:K4462,0)),E4462)</f>
        <v>OCGT</v>
      </c>
      <c r="O4462" t="str">
        <f t="shared" si="256"/>
        <v>OCGT_2031</v>
      </c>
      <c r="P4462">
        <f t="shared" si="257"/>
        <v>96.5</v>
      </c>
    </row>
    <row r="4463" spans="4:16" x14ac:dyDescent="0.25">
      <c r="D4463">
        <v>2032</v>
      </c>
      <c r="E4463" t="s">
        <v>130</v>
      </c>
      <c r="F4463" t="s">
        <v>476</v>
      </c>
      <c r="G4463">
        <v>96.5</v>
      </c>
      <c r="I4463">
        <f t="shared" si="258"/>
        <v>0</v>
      </c>
      <c r="J4463">
        <f t="shared" si="258"/>
        <v>0</v>
      </c>
      <c r="K4463">
        <f t="shared" si="258"/>
        <v>0</v>
      </c>
      <c r="M4463" t="str" cm="1">
        <f t="array" ref="M4463">IFERROR(INDEX($I$2:$K$2,0,MATCH(TRUE,I4463:K4463,0)),E4463)</f>
        <v>OCGT</v>
      </c>
      <c r="O4463" t="str">
        <f t="shared" si="256"/>
        <v>OCGT_2032</v>
      </c>
      <c r="P4463">
        <f t="shared" si="257"/>
        <v>96.5</v>
      </c>
    </row>
    <row r="4464" spans="4:16" x14ac:dyDescent="0.25">
      <c r="D4464">
        <v>2033</v>
      </c>
      <c r="E4464" t="s">
        <v>130</v>
      </c>
      <c r="F4464" t="s">
        <v>476</v>
      </c>
      <c r="G4464">
        <v>96.5</v>
      </c>
      <c r="I4464">
        <f t="shared" si="258"/>
        <v>0</v>
      </c>
      <c r="J4464">
        <f t="shared" si="258"/>
        <v>0</v>
      </c>
      <c r="K4464">
        <f t="shared" si="258"/>
        <v>0</v>
      </c>
      <c r="M4464" t="str" cm="1">
        <f t="array" ref="M4464">IFERROR(INDEX($I$2:$K$2,0,MATCH(TRUE,I4464:K4464,0)),E4464)</f>
        <v>OCGT</v>
      </c>
      <c r="O4464" t="str">
        <f t="shared" si="256"/>
        <v>OCGT_2033</v>
      </c>
      <c r="P4464">
        <f t="shared" si="257"/>
        <v>96.5</v>
      </c>
    </row>
    <row r="4465" spans="4:16" x14ac:dyDescent="0.25">
      <c r="D4465">
        <v>2034</v>
      </c>
      <c r="E4465" t="s">
        <v>130</v>
      </c>
      <c r="F4465" t="s">
        <v>476</v>
      </c>
      <c r="G4465">
        <v>96.5</v>
      </c>
      <c r="I4465">
        <f t="shared" si="258"/>
        <v>0</v>
      </c>
      <c r="J4465">
        <f t="shared" si="258"/>
        <v>0</v>
      </c>
      <c r="K4465">
        <f t="shared" si="258"/>
        <v>0</v>
      </c>
      <c r="M4465" t="str" cm="1">
        <f t="array" ref="M4465">IFERROR(INDEX($I$2:$K$2,0,MATCH(TRUE,I4465:K4465,0)),E4465)</f>
        <v>OCGT</v>
      </c>
      <c r="O4465" t="str">
        <f t="shared" si="256"/>
        <v>OCGT_2034</v>
      </c>
      <c r="P4465">
        <f t="shared" si="257"/>
        <v>96.5</v>
      </c>
    </row>
    <row r="4466" spans="4:16" x14ac:dyDescent="0.25">
      <c r="D4466">
        <v>2035</v>
      </c>
      <c r="E4466" t="s">
        <v>130</v>
      </c>
      <c r="F4466" t="s">
        <v>476</v>
      </c>
      <c r="G4466">
        <v>96.5</v>
      </c>
      <c r="I4466">
        <f t="shared" si="258"/>
        <v>0</v>
      </c>
      <c r="J4466">
        <f t="shared" si="258"/>
        <v>0</v>
      </c>
      <c r="K4466">
        <f t="shared" si="258"/>
        <v>0</v>
      </c>
      <c r="M4466" t="str" cm="1">
        <f t="array" ref="M4466">IFERROR(INDEX($I$2:$K$2,0,MATCH(TRUE,I4466:K4466,0)),E4466)</f>
        <v>OCGT</v>
      </c>
      <c r="O4466" t="str">
        <f t="shared" si="256"/>
        <v>OCGT_2035</v>
      </c>
      <c r="P4466">
        <f t="shared" si="257"/>
        <v>96.5</v>
      </c>
    </row>
    <row r="4467" spans="4:16" x14ac:dyDescent="0.25">
      <c r="D4467">
        <v>2036</v>
      </c>
      <c r="E4467" t="s">
        <v>130</v>
      </c>
      <c r="F4467" t="s">
        <v>476</v>
      </c>
      <c r="G4467">
        <v>96.5</v>
      </c>
      <c r="I4467">
        <f t="shared" si="258"/>
        <v>0</v>
      </c>
      <c r="J4467">
        <f t="shared" si="258"/>
        <v>0</v>
      </c>
      <c r="K4467">
        <f t="shared" si="258"/>
        <v>0</v>
      </c>
      <c r="M4467" t="str" cm="1">
        <f t="array" ref="M4467">IFERROR(INDEX($I$2:$K$2,0,MATCH(TRUE,I4467:K4467,0)),E4467)</f>
        <v>OCGT</v>
      </c>
      <c r="O4467" t="str">
        <f t="shared" si="256"/>
        <v>OCGT_2036</v>
      </c>
      <c r="P4467">
        <f t="shared" si="257"/>
        <v>96.5</v>
      </c>
    </row>
    <row r="4468" spans="4:16" x14ac:dyDescent="0.25">
      <c r="D4468">
        <v>2037</v>
      </c>
      <c r="E4468" t="s">
        <v>130</v>
      </c>
      <c r="F4468" t="s">
        <v>476</v>
      </c>
      <c r="G4468">
        <v>96.5</v>
      </c>
      <c r="I4468">
        <f t="shared" si="258"/>
        <v>0</v>
      </c>
      <c r="J4468">
        <f t="shared" si="258"/>
        <v>0</v>
      </c>
      <c r="K4468">
        <f t="shared" si="258"/>
        <v>0</v>
      </c>
      <c r="M4468" t="str" cm="1">
        <f t="array" ref="M4468">IFERROR(INDEX($I$2:$K$2,0,MATCH(TRUE,I4468:K4468,0)),E4468)</f>
        <v>OCGT</v>
      </c>
      <c r="O4468" t="str">
        <f t="shared" si="256"/>
        <v>OCGT_2037</v>
      </c>
      <c r="P4468">
        <f t="shared" si="257"/>
        <v>96.5</v>
      </c>
    </row>
    <row r="4469" spans="4:16" x14ac:dyDescent="0.25">
      <c r="D4469">
        <v>2038</v>
      </c>
      <c r="E4469" t="s">
        <v>130</v>
      </c>
      <c r="F4469" t="s">
        <v>476</v>
      </c>
      <c r="G4469">
        <v>96.5</v>
      </c>
      <c r="I4469">
        <f t="shared" si="258"/>
        <v>0</v>
      </c>
      <c r="J4469">
        <f t="shared" si="258"/>
        <v>0</v>
      </c>
      <c r="K4469">
        <f t="shared" si="258"/>
        <v>0</v>
      </c>
      <c r="M4469" t="str" cm="1">
        <f t="array" ref="M4469">IFERROR(INDEX($I$2:$K$2,0,MATCH(TRUE,I4469:K4469,0)),E4469)</f>
        <v>OCGT</v>
      </c>
      <c r="O4469" t="str">
        <f t="shared" si="256"/>
        <v>OCGT_2038</v>
      </c>
      <c r="P4469">
        <f t="shared" si="257"/>
        <v>96.5</v>
      </c>
    </row>
    <row r="4470" spans="4:16" x14ac:dyDescent="0.25">
      <c r="D4470">
        <v>2039</v>
      </c>
      <c r="E4470" t="s">
        <v>130</v>
      </c>
      <c r="F4470" t="s">
        <v>476</v>
      </c>
      <c r="G4470">
        <v>96.5</v>
      </c>
      <c r="I4470">
        <f t="shared" si="258"/>
        <v>0</v>
      </c>
      <c r="J4470">
        <f t="shared" si="258"/>
        <v>0</v>
      </c>
      <c r="K4470">
        <f t="shared" si="258"/>
        <v>0</v>
      </c>
      <c r="M4470" t="str" cm="1">
        <f t="array" ref="M4470">IFERROR(INDEX($I$2:$K$2,0,MATCH(TRUE,I4470:K4470,0)),E4470)</f>
        <v>OCGT</v>
      </c>
      <c r="O4470" t="str">
        <f t="shared" si="256"/>
        <v>OCGT_2039</v>
      </c>
      <c r="P4470">
        <f t="shared" si="257"/>
        <v>96.5</v>
      </c>
    </row>
    <row r="4471" spans="4:16" x14ac:dyDescent="0.25">
      <c r="D4471">
        <v>2040</v>
      </c>
      <c r="E4471" t="s">
        <v>130</v>
      </c>
      <c r="F4471" t="s">
        <v>476</v>
      </c>
      <c r="G4471">
        <v>96.5</v>
      </c>
      <c r="I4471">
        <f t="shared" si="258"/>
        <v>0</v>
      </c>
      <c r="J4471">
        <f t="shared" si="258"/>
        <v>0</v>
      </c>
      <c r="K4471">
        <f t="shared" si="258"/>
        <v>0</v>
      </c>
      <c r="M4471" t="str" cm="1">
        <f t="array" ref="M4471">IFERROR(INDEX($I$2:$K$2,0,MATCH(TRUE,I4471:K4471,0)),E4471)</f>
        <v>OCGT</v>
      </c>
      <c r="O4471" t="str">
        <f t="shared" si="256"/>
        <v>OCGT_2040</v>
      </c>
      <c r="P4471">
        <f t="shared" si="257"/>
        <v>96.5</v>
      </c>
    </row>
    <row r="4472" spans="4:16" x14ac:dyDescent="0.25">
      <c r="D4472">
        <v>2021</v>
      </c>
      <c r="E4472" t="s">
        <v>130</v>
      </c>
      <c r="F4472" t="s">
        <v>477</v>
      </c>
      <c r="G4472">
        <v>23.1</v>
      </c>
      <c r="I4472">
        <f t="shared" si="258"/>
        <v>0</v>
      </c>
      <c r="J4472">
        <f t="shared" si="258"/>
        <v>0</v>
      </c>
      <c r="K4472">
        <f t="shared" si="258"/>
        <v>0</v>
      </c>
      <c r="M4472" t="str" cm="1">
        <f t="array" ref="M4472">IFERROR(INDEX($I$2:$K$2,0,MATCH(TRUE,I4472:K4472,0)),E4472)</f>
        <v>OCGT</v>
      </c>
      <c r="O4472" t="str">
        <f t="shared" si="256"/>
        <v>OCGT_2021</v>
      </c>
      <c r="P4472">
        <f t="shared" si="257"/>
        <v>23.1</v>
      </c>
    </row>
    <row r="4473" spans="4:16" x14ac:dyDescent="0.25">
      <c r="D4473">
        <v>2021</v>
      </c>
      <c r="E4473" t="s">
        <v>130</v>
      </c>
      <c r="F4473" t="s">
        <v>478</v>
      </c>
      <c r="G4473">
        <v>25</v>
      </c>
      <c r="I4473">
        <f t="shared" si="258"/>
        <v>0</v>
      </c>
      <c r="J4473">
        <f t="shared" si="258"/>
        <v>0</v>
      </c>
      <c r="K4473">
        <f t="shared" si="258"/>
        <v>0</v>
      </c>
      <c r="M4473" t="str" cm="1">
        <f t="array" ref="M4473">IFERROR(INDEX($I$2:$K$2,0,MATCH(TRUE,I4473:K4473,0)),E4473)</f>
        <v>OCGT</v>
      </c>
      <c r="O4473" t="str">
        <f t="shared" si="256"/>
        <v>OCGT_2021</v>
      </c>
      <c r="P4473">
        <f t="shared" si="257"/>
        <v>25</v>
      </c>
    </row>
    <row r="4474" spans="4:16" x14ac:dyDescent="0.25">
      <c r="D4474">
        <v>2022</v>
      </c>
      <c r="E4474" t="s">
        <v>130</v>
      </c>
      <c r="F4474" t="s">
        <v>478</v>
      </c>
      <c r="G4474">
        <v>25</v>
      </c>
      <c r="I4474">
        <f t="shared" si="258"/>
        <v>0</v>
      </c>
      <c r="J4474">
        <f t="shared" si="258"/>
        <v>0</v>
      </c>
      <c r="K4474">
        <f t="shared" si="258"/>
        <v>0</v>
      </c>
      <c r="M4474" t="str" cm="1">
        <f t="array" ref="M4474">IFERROR(INDEX($I$2:$K$2,0,MATCH(TRUE,I4474:K4474,0)),E4474)</f>
        <v>OCGT</v>
      </c>
      <c r="O4474" t="str">
        <f t="shared" si="256"/>
        <v>OCGT_2022</v>
      </c>
      <c r="P4474">
        <f t="shared" si="257"/>
        <v>25</v>
      </c>
    </row>
    <row r="4475" spans="4:16" x14ac:dyDescent="0.25">
      <c r="D4475">
        <v>2023</v>
      </c>
      <c r="E4475" t="s">
        <v>130</v>
      </c>
      <c r="F4475" t="s">
        <v>478</v>
      </c>
      <c r="G4475">
        <v>25</v>
      </c>
      <c r="I4475">
        <f t="shared" si="258"/>
        <v>0</v>
      </c>
      <c r="J4475">
        <f t="shared" si="258"/>
        <v>0</v>
      </c>
      <c r="K4475">
        <f t="shared" si="258"/>
        <v>0</v>
      </c>
      <c r="M4475" t="str" cm="1">
        <f t="array" ref="M4475">IFERROR(INDEX($I$2:$K$2,0,MATCH(TRUE,I4475:K4475,0)),E4475)</f>
        <v>OCGT</v>
      </c>
      <c r="O4475" t="str">
        <f t="shared" si="256"/>
        <v>OCGT_2023</v>
      </c>
      <c r="P4475">
        <f t="shared" si="257"/>
        <v>25</v>
      </c>
    </row>
    <row r="4476" spans="4:16" x14ac:dyDescent="0.25">
      <c r="D4476">
        <v>2024</v>
      </c>
      <c r="E4476" t="s">
        <v>130</v>
      </c>
      <c r="F4476" t="s">
        <v>478</v>
      </c>
      <c r="G4476">
        <v>25</v>
      </c>
      <c r="I4476">
        <f t="shared" si="258"/>
        <v>0</v>
      </c>
      <c r="J4476">
        <f t="shared" si="258"/>
        <v>0</v>
      </c>
      <c r="K4476">
        <f t="shared" si="258"/>
        <v>0</v>
      </c>
      <c r="M4476" t="str" cm="1">
        <f t="array" ref="M4476">IFERROR(INDEX($I$2:$K$2,0,MATCH(TRUE,I4476:K4476,0)),E4476)</f>
        <v>OCGT</v>
      </c>
      <c r="O4476" t="str">
        <f t="shared" si="256"/>
        <v>OCGT_2024</v>
      </c>
      <c r="P4476">
        <f t="shared" si="257"/>
        <v>25</v>
      </c>
    </row>
    <row r="4477" spans="4:16" x14ac:dyDescent="0.25">
      <c r="D4477">
        <v>2025</v>
      </c>
      <c r="E4477" t="s">
        <v>130</v>
      </c>
      <c r="F4477" t="s">
        <v>478</v>
      </c>
      <c r="G4477">
        <v>25</v>
      </c>
      <c r="I4477">
        <f t="shared" si="258"/>
        <v>0</v>
      </c>
      <c r="J4477">
        <f t="shared" si="258"/>
        <v>0</v>
      </c>
      <c r="K4477">
        <f t="shared" si="258"/>
        <v>0</v>
      </c>
      <c r="M4477" t="str" cm="1">
        <f t="array" ref="M4477">IFERROR(INDEX($I$2:$K$2,0,MATCH(TRUE,I4477:K4477,0)),E4477)</f>
        <v>OCGT</v>
      </c>
      <c r="O4477" t="str">
        <f t="shared" si="256"/>
        <v>OCGT_2025</v>
      </c>
      <c r="P4477">
        <f t="shared" si="257"/>
        <v>25</v>
      </c>
    </row>
    <row r="4478" spans="4:16" x14ac:dyDescent="0.25">
      <c r="D4478">
        <v>2026</v>
      </c>
      <c r="E4478" t="s">
        <v>130</v>
      </c>
      <c r="F4478" t="s">
        <v>478</v>
      </c>
      <c r="G4478">
        <v>25</v>
      </c>
      <c r="I4478">
        <f t="shared" si="258"/>
        <v>0</v>
      </c>
      <c r="J4478">
        <f t="shared" si="258"/>
        <v>0</v>
      </c>
      <c r="K4478">
        <f t="shared" si="258"/>
        <v>0</v>
      </c>
      <c r="M4478" t="str" cm="1">
        <f t="array" ref="M4478">IFERROR(INDEX($I$2:$K$2,0,MATCH(TRUE,I4478:K4478,0)),E4478)</f>
        <v>OCGT</v>
      </c>
      <c r="O4478" t="str">
        <f t="shared" si="256"/>
        <v>OCGT_2026</v>
      </c>
      <c r="P4478">
        <f t="shared" si="257"/>
        <v>25</v>
      </c>
    </row>
    <row r="4479" spans="4:16" x14ac:dyDescent="0.25">
      <c r="D4479">
        <v>2027</v>
      </c>
      <c r="E4479" t="s">
        <v>130</v>
      </c>
      <c r="F4479" t="s">
        <v>478</v>
      </c>
      <c r="G4479">
        <v>25</v>
      </c>
      <c r="I4479">
        <f t="shared" si="258"/>
        <v>0</v>
      </c>
      <c r="J4479">
        <f t="shared" si="258"/>
        <v>0</v>
      </c>
      <c r="K4479">
        <f t="shared" si="258"/>
        <v>0</v>
      </c>
      <c r="M4479" t="str" cm="1">
        <f t="array" ref="M4479">IFERROR(INDEX($I$2:$K$2,0,MATCH(TRUE,I4479:K4479,0)),E4479)</f>
        <v>OCGT</v>
      </c>
      <c r="O4479" t="str">
        <f t="shared" si="256"/>
        <v>OCGT_2027</v>
      </c>
      <c r="P4479">
        <f t="shared" si="257"/>
        <v>25</v>
      </c>
    </row>
    <row r="4480" spans="4:16" x14ac:dyDescent="0.25">
      <c r="D4480">
        <v>2028</v>
      </c>
      <c r="E4480" t="s">
        <v>130</v>
      </c>
      <c r="F4480" t="s">
        <v>478</v>
      </c>
      <c r="G4480">
        <v>25</v>
      </c>
      <c r="I4480">
        <f t="shared" si="258"/>
        <v>0</v>
      </c>
      <c r="J4480">
        <f t="shared" si="258"/>
        <v>0</v>
      </c>
      <c r="K4480">
        <f t="shared" si="258"/>
        <v>0</v>
      </c>
      <c r="M4480" t="str" cm="1">
        <f t="array" ref="M4480">IFERROR(INDEX($I$2:$K$2,0,MATCH(TRUE,I4480:K4480,0)),E4480)</f>
        <v>OCGT</v>
      </c>
      <c r="O4480" t="str">
        <f t="shared" si="256"/>
        <v>OCGT_2028</v>
      </c>
      <c r="P4480">
        <f t="shared" si="257"/>
        <v>25</v>
      </c>
    </row>
    <row r="4481" spans="4:16" x14ac:dyDescent="0.25">
      <c r="D4481">
        <v>2029</v>
      </c>
      <c r="E4481" t="s">
        <v>130</v>
      </c>
      <c r="F4481" t="s">
        <v>478</v>
      </c>
      <c r="G4481">
        <v>25</v>
      </c>
      <c r="I4481">
        <f t="shared" si="258"/>
        <v>0</v>
      </c>
      <c r="J4481">
        <f t="shared" si="258"/>
        <v>0</v>
      </c>
      <c r="K4481">
        <f t="shared" si="258"/>
        <v>0</v>
      </c>
      <c r="M4481" t="str" cm="1">
        <f t="array" ref="M4481">IFERROR(INDEX($I$2:$K$2,0,MATCH(TRUE,I4481:K4481,0)),E4481)</f>
        <v>OCGT</v>
      </c>
      <c r="O4481" t="str">
        <f t="shared" si="256"/>
        <v>OCGT_2029</v>
      </c>
      <c r="P4481">
        <f t="shared" si="257"/>
        <v>25</v>
      </c>
    </row>
    <row r="4482" spans="4:16" x14ac:dyDescent="0.25">
      <c r="D4482">
        <v>2030</v>
      </c>
      <c r="E4482" t="s">
        <v>130</v>
      </c>
      <c r="F4482" t="s">
        <v>478</v>
      </c>
      <c r="G4482">
        <v>25</v>
      </c>
      <c r="I4482">
        <f t="shared" si="258"/>
        <v>0</v>
      </c>
      <c r="J4482">
        <f t="shared" si="258"/>
        <v>0</v>
      </c>
      <c r="K4482">
        <f t="shared" si="258"/>
        <v>0</v>
      </c>
      <c r="M4482" t="str" cm="1">
        <f t="array" ref="M4482">IFERROR(INDEX($I$2:$K$2,0,MATCH(TRUE,I4482:K4482,0)),E4482)</f>
        <v>OCGT</v>
      </c>
      <c r="O4482" t="str">
        <f t="shared" si="256"/>
        <v>OCGT_2030</v>
      </c>
      <c r="P4482">
        <f t="shared" si="257"/>
        <v>25</v>
      </c>
    </row>
    <row r="4483" spans="4:16" x14ac:dyDescent="0.25">
      <c r="D4483">
        <v>2031</v>
      </c>
      <c r="E4483" t="s">
        <v>130</v>
      </c>
      <c r="F4483" t="s">
        <v>478</v>
      </c>
      <c r="G4483">
        <v>25</v>
      </c>
      <c r="I4483">
        <f t="shared" si="258"/>
        <v>0</v>
      </c>
      <c r="J4483">
        <f t="shared" si="258"/>
        <v>0</v>
      </c>
      <c r="K4483">
        <f t="shared" si="258"/>
        <v>0</v>
      </c>
      <c r="M4483" t="str" cm="1">
        <f t="array" ref="M4483">IFERROR(INDEX($I$2:$K$2,0,MATCH(TRUE,I4483:K4483,0)),E4483)</f>
        <v>OCGT</v>
      </c>
      <c r="O4483" t="str">
        <f t="shared" si="256"/>
        <v>OCGT_2031</v>
      </c>
      <c r="P4483">
        <f t="shared" si="257"/>
        <v>25</v>
      </c>
    </row>
    <row r="4484" spans="4:16" x14ac:dyDescent="0.25">
      <c r="D4484">
        <v>2032</v>
      </c>
      <c r="E4484" t="s">
        <v>130</v>
      </c>
      <c r="F4484" t="s">
        <v>478</v>
      </c>
      <c r="G4484">
        <v>25</v>
      </c>
      <c r="I4484">
        <f t="shared" si="258"/>
        <v>0</v>
      </c>
      <c r="J4484">
        <f t="shared" si="258"/>
        <v>0</v>
      </c>
      <c r="K4484">
        <f t="shared" si="258"/>
        <v>0</v>
      </c>
      <c r="M4484" t="str" cm="1">
        <f t="array" ref="M4484">IFERROR(INDEX($I$2:$K$2,0,MATCH(TRUE,I4484:K4484,0)),E4484)</f>
        <v>OCGT</v>
      </c>
      <c r="O4484" t="str">
        <f t="shared" si="256"/>
        <v>OCGT_2032</v>
      </c>
      <c r="P4484">
        <f t="shared" si="257"/>
        <v>25</v>
      </c>
    </row>
    <row r="4485" spans="4:16" x14ac:dyDescent="0.25">
      <c r="D4485">
        <v>2033</v>
      </c>
      <c r="E4485" t="s">
        <v>130</v>
      </c>
      <c r="F4485" t="s">
        <v>478</v>
      </c>
      <c r="G4485">
        <v>25</v>
      </c>
      <c r="I4485">
        <f t="shared" si="258"/>
        <v>0</v>
      </c>
      <c r="J4485">
        <f t="shared" si="258"/>
        <v>0</v>
      </c>
      <c r="K4485">
        <f t="shared" si="258"/>
        <v>0</v>
      </c>
      <c r="M4485" t="str" cm="1">
        <f t="array" ref="M4485">IFERROR(INDEX($I$2:$K$2,0,MATCH(TRUE,I4485:K4485,0)),E4485)</f>
        <v>OCGT</v>
      </c>
      <c r="O4485" t="str">
        <f t="shared" si="256"/>
        <v>OCGT_2033</v>
      </c>
      <c r="P4485">
        <f t="shared" si="257"/>
        <v>25</v>
      </c>
    </row>
    <row r="4486" spans="4:16" x14ac:dyDescent="0.25">
      <c r="D4486">
        <v>2034</v>
      </c>
      <c r="E4486" t="s">
        <v>130</v>
      </c>
      <c r="F4486" t="s">
        <v>478</v>
      </c>
      <c r="G4486">
        <v>25</v>
      </c>
      <c r="I4486">
        <f t="shared" si="258"/>
        <v>0</v>
      </c>
      <c r="J4486">
        <f t="shared" si="258"/>
        <v>0</v>
      </c>
      <c r="K4486">
        <f t="shared" si="258"/>
        <v>0</v>
      </c>
      <c r="M4486" t="str" cm="1">
        <f t="array" ref="M4486">IFERROR(INDEX($I$2:$K$2,0,MATCH(TRUE,I4486:K4486,0)),E4486)</f>
        <v>OCGT</v>
      </c>
      <c r="O4486" t="str">
        <f t="shared" si="256"/>
        <v>OCGT_2034</v>
      </c>
      <c r="P4486">
        <f t="shared" si="257"/>
        <v>25</v>
      </c>
    </row>
    <row r="4487" spans="4:16" x14ac:dyDescent="0.25">
      <c r="D4487">
        <v>2035</v>
      </c>
      <c r="E4487" t="s">
        <v>130</v>
      </c>
      <c r="F4487" t="s">
        <v>478</v>
      </c>
      <c r="G4487">
        <v>25</v>
      </c>
      <c r="I4487">
        <f t="shared" si="258"/>
        <v>0</v>
      </c>
      <c r="J4487">
        <f t="shared" si="258"/>
        <v>0</v>
      </c>
      <c r="K4487">
        <f t="shared" si="258"/>
        <v>0</v>
      </c>
      <c r="M4487" t="str" cm="1">
        <f t="array" ref="M4487">IFERROR(INDEX($I$2:$K$2,0,MATCH(TRUE,I4487:K4487,0)),E4487)</f>
        <v>OCGT</v>
      </c>
      <c r="O4487" t="str">
        <f t="shared" si="256"/>
        <v>OCGT_2035</v>
      </c>
      <c r="P4487">
        <f t="shared" si="257"/>
        <v>25</v>
      </c>
    </row>
    <row r="4488" spans="4:16" x14ac:dyDescent="0.25">
      <c r="D4488">
        <v>2036</v>
      </c>
      <c r="E4488" t="s">
        <v>130</v>
      </c>
      <c r="F4488" t="s">
        <v>478</v>
      </c>
      <c r="G4488">
        <v>25</v>
      </c>
      <c r="I4488">
        <f t="shared" si="258"/>
        <v>0</v>
      </c>
      <c r="J4488">
        <f t="shared" si="258"/>
        <v>0</v>
      </c>
      <c r="K4488">
        <f t="shared" si="258"/>
        <v>0</v>
      </c>
      <c r="M4488" t="str" cm="1">
        <f t="array" ref="M4488">IFERROR(INDEX($I$2:$K$2,0,MATCH(TRUE,I4488:K4488,0)),E4488)</f>
        <v>OCGT</v>
      </c>
      <c r="O4488" t="str">
        <f t="shared" si="256"/>
        <v>OCGT_2036</v>
      </c>
      <c r="P4488">
        <f t="shared" si="257"/>
        <v>25</v>
      </c>
    </row>
    <row r="4489" spans="4:16" x14ac:dyDescent="0.25">
      <c r="D4489">
        <v>2037</v>
      </c>
      <c r="E4489" t="s">
        <v>130</v>
      </c>
      <c r="F4489" t="s">
        <v>478</v>
      </c>
      <c r="G4489">
        <v>25</v>
      </c>
      <c r="I4489">
        <f t="shared" si="258"/>
        <v>0</v>
      </c>
      <c r="J4489">
        <f t="shared" si="258"/>
        <v>0</v>
      </c>
      <c r="K4489">
        <f t="shared" si="258"/>
        <v>0</v>
      </c>
      <c r="M4489" t="str" cm="1">
        <f t="array" ref="M4489">IFERROR(INDEX($I$2:$K$2,0,MATCH(TRUE,I4489:K4489,0)),E4489)</f>
        <v>OCGT</v>
      </c>
      <c r="O4489" t="str">
        <f t="shared" si="256"/>
        <v>OCGT_2037</v>
      </c>
      <c r="P4489">
        <f t="shared" si="257"/>
        <v>25</v>
      </c>
    </row>
    <row r="4490" spans="4:16" x14ac:dyDescent="0.25">
      <c r="D4490">
        <v>2038</v>
      </c>
      <c r="E4490" t="s">
        <v>130</v>
      </c>
      <c r="F4490" t="s">
        <v>478</v>
      </c>
      <c r="G4490">
        <v>25</v>
      </c>
      <c r="I4490">
        <f t="shared" si="258"/>
        <v>0</v>
      </c>
      <c r="J4490">
        <f t="shared" si="258"/>
        <v>0</v>
      </c>
      <c r="K4490">
        <f t="shared" si="258"/>
        <v>0</v>
      </c>
      <c r="M4490" t="str" cm="1">
        <f t="array" ref="M4490">IFERROR(INDEX($I$2:$K$2,0,MATCH(TRUE,I4490:K4490,0)),E4490)</f>
        <v>OCGT</v>
      </c>
      <c r="O4490" t="str">
        <f t="shared" si="256"/>
        <v>OCGT_2038</v>
      </c>
      <c r="P4490">
        <f t="shared" si="257"/>
        <v>25</v>
      </c>
    </row>
    <row r="4491" spans="4:16" x14ac:dyDescent="0.25">
      <c r="D4491">
        <v>2039</v>
      </c>
      <c r="E4491" t="s">
        <v>130</v>
      </c>
      <c r="F4491" t="s">
        <v>478</v>
      </c>
      <c r="G4491">
        <v>25</v>
      </c>
      <c r="I4491">
        <f t="shared" si="258"/>
        <v>0</v>
      </c>
      <c r="J4491">
        <f t="shared" si="258"/>
        <v>0</v>
      </c>
      <c r="K4491">
        <f t="shared" si="258"/>
        <v>0</v>
      </c>
      <c r="M4491" t="str" cm="1">
        <f t="array" ref="M4491">IFERROR(INDEX($I$2:$K$2,0,MATCH(TRUE,I4491:K4491,0)),E4491)</f>
        <v>OCGT</v>
      </c>
      <c r="O4491" t="str">
        <f t="shared" si="256"/>
        <v>OCGT_2039</v>
      </c>
      <c r="P4491">
        <f t="shared" si="257"/>
        <v>25</v>
      </c>
    </row>
    <row r="4492" spans="4:16" x14ac:dyDescent="0.25">
      <c r="D4492">
        <v>2040</v>
      </c>
      <c r="E4492" t="s">
        <v>130</v>
      </c>
      <c r="F4492" t="s">
        <v>478</v>
      </c>
      <c r="G4492">
        <v>25</v>
      </c>
      <c r="I4492">
        <f t="shared" si="258"/>
        <v>0</v>
      </c>
      <c r="J4492">
        <f t="shared" si="258"/>
        <v>0</v>
      </c>
      <c r="K4492">
        <f t="shared" si="258"/>
        <v>0</v>
      </c>
      <c r="M4492" t="str" cm="1">
        <f t="array" ref="M4492">IFERROR(INDEX($I$2:$K$2,0,MATCH(TRUE,I4492:K4492,0)),E4492)</f>
        <v>OCGT</v>
      </c>
      <c r="O4492" t="str">
        <f t="shared" si="256"/>
        <v>OCGT_2040</v>
      </c>
      <c r="P4492">
        <f t="shared" si="257"/>
        <v>25</v>
      </c>
    </row>
    <row r="4493" spans="4:16" x14ac:dyDescent="0.25">
      <c r="D4493">
        <v>2021</v>
      </c>
      <c r="E4493" t="s">
        <v>130</v>
      </c>
      <c r="F4493" t="s">
        <v>479</v>
      </c>
      <c r="G4493">
        <v>40</v>
      </c>
      <c r="I4493">
        <f t="shared" si="258"/>
        <v>0</v>
      </c>
      <c r="J4493">
        <f t="shared" si="258"/>
        <v>0</v>
      </c>
      <c r="K4493">
        <f t="shared" si="258"/>
        <v>0</v>
      </c>
      <c r="M4493" t="str" cm="1">
        <f t="array" ref="M4493">IFERROR(INDEX($I$2:$K$2,0,MATCH(TRUE,I4493:K4493,0)),E4493)</f>
        <v>OCGT</v>
      </c>
      <c r="O4493" t="str">
        <f t="shared" si="256"/>
        <v>OCGT_2021</v>
      </c>
      <c r="P4493">
        <f t="shared" si="257"/>
        <v>40</v>
      </c>
    </row>
    <row r="4494" spans="4:16" x14ac:dyDescent="0.25">
      <c r="D4494">
        <v>2022</v>
      </c>
      <c r="E4494" t="s">
        <v>130</v>
      </c>
      <c r="F4494" t="s">
        <v>479</v>
      </c>
      <c r="G4494">
        <v>40</v>
      </c>
      <c r="I4494">
        <f t="shared" si="258"/>
        <v>0</v>
      </c>
      <c r="J4494">
        <f t="shared" si="258"/>
        <v>0</v>
      </c>
      <c r="K4494">
        <f t="shared" si="258"/>
        <v>0</v>
      </c>
      <c r="M4494" t="str" cm="1">
        <f t="array" ref="M4494">IFERROR(INDEX($I$2:$K$2,0,MATCH(TRUE,I4494:K4494,0)),E4494)</f>
        <v>OCGT</v>
      </c>
      <c r="O4494" t="str">
        <f t="shared" si="256"/>
        <v>OCGT_2022</v>
      </c>
      <c r="P4494">
        <f t="shared" si="257"/>
        <v>40</v>
      </c>
    </row>
    <row r="4495" spans="4:16" x14ac:dyDescent="0.25">
      <c r="D4495">
        <v>2023</v>
      </c>
      <c r="E4495" t="s">
        <v>130</v>
      </c>
      <c r="F4495" t="s">
        <v>479</v>
      </c>
      <c r="G4495">
        <v>40</v>
      </c>
      <c r="I4495">
        <f t="shared" si="258"/>
        <v>0</v>
      </c>
      <c r="J4495">
        <f t="shared" si="258"/>
        <v>0</v>
      </c>
      <c r="K4495">
        <f t="shared" si="258"/>
        <v>0</v>
      </c>
      <c r="M4495" t="str" cm="1">
        <f t="array" ref="M4495">IFERROR(INDEX($I$2:$K$2,0,MATCH(TRUE,I4495:K4495,0)),E4495)</f>
        <v>OCGT</v>
      </c>
      <c r="O4495" t="str">
        <f t="shared" si="256"/>
        <v>OCGT_2023</v>
      </c>
      <c r="P4495">
        <f t="shared" si="257"/>
        <v>40</v>
      </c>
    </row>
    <row r="4496" spans="4:16" x14ac:dyDescent="0.25">
      <c r="D4496">
        <v>2024</v>
      </c>
      <c r="E4496" t="s">
        <v>130</v>
      </c>
      <c r="F4496" t="s">
        <v>479</v>
      </c>
      <c r="G4496">
        <v>40</v>
      </c>
      <c r="I4496">
        <f t="shared" si="258"/>
        <v>0</v>
      </c>
      <c r="J4496">
        <f t="shared" si="258"/>
        <v>0</v>
      </c>
      <c r="K4496">
        <f t="shared" si="258"/>
        <v>0</v>
      </c>
      <c r="M4496" t="str" cm="1">
        <f t="array" ref="M4496">IFERROR(INDEX($I$2:$K$2,0,MATCH(TRUE,I4496:K4496,0)),E4496)</f>
        <v>OCGT</v>
      </c>
      <c r="O4496" t="str">
        <f t="shared" si="256"/>
        <v>OCGT_2024</v>
      </c>
      <c r="P4496">
        <f t="shared" si="257"/>
        <v>40</v>
      </c>
    </row>
    <row r="4497" spans="4:16" x14ac:dyDescent="0.25">
      <c r="D4497">
        <v>2025</v>
      </c>
      <c r="E4497" t="s">
        <v>130</v>
      </c>
      <c r="F4497" t="s">
        <v>479</v>
      </c>
      <c r="G4497">
        <v>40</v>
      </c>
      <c r="I4497">
        <f t="shared" si="258"/>
        <v>0</v>
      </c>
      <c r="J4497">
        <f t="shared" si="258"/>
        <v>0</v>
      </c>
      <c r="K4497">
        <f t="shared" si="258"/>
        <v>0</v>
      </c>
      <c r="M4497" t="str" cm="1">
        <f t="array" ref="M4497">IFERROR(INDEX($I$2:$K$2,0,MATCH(TRUE,I4497:K4497,0)),E4497)</f>
        <v>OCGT</v>
      </c>
      <c r="O4497" t="str">
        <f t="shared" si="256"/>
        <v>OCGT_2025</v>
      </c>
      <c r="P4497">
        <f t="shared" si="257"/>
        <v>40</v>
      </c>
    </row>
    <row r="4498" spans="4:16" x14ac:dyDescent="0.25">
      <c r="D4498">
        <v>2026</v>
      </c>
      <c r="E4498" t="s">
        <v>130</v>
      </c>
      <c r="F4498" t="s">
        <v>479</v>
      </c>
      <c r="G4498">
        <v>40</v>
      </c>
      <c r="I4498">
        <f t="shared" si="258"/>
        <v>0</v>
      </c>
      <c r="J4498">
        <f t="shared" si="258"/>
        <v>0</v>
      </c>
      <c r="K4498">
        <f t="shared" si="258"/>
        <v>0</v>
      </c>
      <c r="M4498" t="str" cm="1">
        <f t="array" ref="M4498">IFERROR(INDEX($I$2:$K$2,0,MATCH(TRUE,I4498:K4498,0)),E4498)</f>
        <v>OCGT</v>
      </c>
      <c r="O4498" t="str">
        <f t="shared" si="256"/>
        <v>OCGT_2026</v>
      </c>
      <c r="P4498">
        <f t="shared" si="257"/>
        <v>40</v>
      </c>
    </row>
    <row r="4499" spans="4:16" x14ac:dyDescent="0.25">
      <c r="D4499">
        <v>2027</v>
      </c>
      <c r="E4499" t="s">
        <v>130</v>
      </c>
      <c r="F4499" t="s">
        <v>479</v>
      </c>
      <c r="G4499">
        <v>40</v>
      </c>
      <c r="I4499">
        <f t="shared" si="258"/>
        <v>0</v>
      </c>
      <c r="J4499">
        <f t="shared" si="258"/>
        <v>0</v>
      </c>
      <c r="K4499">
        <f t="shared" si="258"/>
        <v>0</v>
      </c>
      <c r="M4499" t="str" cm="1">
        <f t="array" ref="M4499">IFERROR(INDEX($I$2:$K$2,0,MATCH(TRUE,I4499:K4499,0)),E4499)</f>
        <v>OCGT</v>
      </c>
      <c r="O4499" t="str">
        <f t="shared" ref="O4499:O4562" si="259">M4499&amp;"_"&amp;D4499</f>
        <v>OCGT_2027</v>
      </c>
      <c r="P4499">
        <f t="shared" ref="P4499:P4562" si="260">G4499</f>
        <v>40</v>
      </c>
    </row>
    <row r="4500" spans="4:16" x14ac:dyDescent="0.25">
      <c r="D4500">
        <v>2028</v>
      </c>
      <c r="E4500" t="s">
        <v>130</v>
      </c>
      <c r="F4500" t="s">
        <v>479</v>
      </c>
      <c r="G4500">
        <v>40</v>
      </c>
      <c r="I4500">
        <f t="shared" si="258"/>
        <v>0</v>
      </c>
      <c r="J4500">
        <f t="shared" si="258"/>
        <v>0</v>
      </c>
      <c r="K4500">
        <f t="shared" si="258"/>
        <v>0</v>
      </c>
      <c r="M4500" t="str" cm="1">
        <f t="array" ref="M4500">IFERROR(INDEX($I$2:$K$2,0,MATCH(TRUE,I4500:K4500,0)),E4500)</f>
        <v>OCGT</v>
      </c>
      <c r="O4500" t="str">
        <f t="shared" si="259"/>
        <v>OCGT_2028</v>
      </c>
      <c r="P4500">
        <f t="shared" si="260"/>
        <v>40</v>
      </c>
    </row>
    <row r="4501" spans="4:16" x14ac:dyDescent="0.25">
      <c r="D4501">
        <v>2029</v>
      </c>
      <c r="E4501" t="s">
        <v>130</v>
      </c>
      <c r="F4501" t="s">
        <v>479</v>
      </c>
      <c r="G4501">
        <v>40</v>
      </c>
      <c r="I4501">
        <f t="shared" ref="I4501:K4564" si="261">IFERROR(FIND(I$2,$E4501,1)&gt;0,0)</f>
        <v>0</v>
      </c>
      <c r="J4501">
        <f t="shared" si="261"/>
        <v>0</v>
      </c>
      <c r="K4501">
        <f t="shared" si="261"/>
        <v>0</v>
      </c>
      <c r="M4501" t="str" cm="1">
        <f t="array" ref="M4501">IFERROR(INDEX($I$2:$K$2,0,MATCH(TRUE,I4501:K4501,0)),E4501)</f>
        <v>OCGT</v>
      </c>
      <c r="O4501" t="str">
        <f t="shared" si="259"/>
        <v>OCGT_2029</v>
      </c>
      <c r="P4501">
        <f t="shared" si="260"/>
        <v>40</v>
      </c>
    </row>
    <row r="4502" spans="4:16" x14ac:dyDescent="0.25">
      <c r="D4502">
        <v>2030</v>
      </c>
      <c r="E4502" t="s">
        <v>130</v>
      </c>
      <c r="F4502" t="s">
        <v>479</v>
      </c>
      <c r="G4502">
        <v>40</v>
      </c>
      <c r="I4502">
        <f t="shared" si="261"/>
        <v>0</v>
      </c>
      <c r="J4502">
        <f t="shared" si="261"/>
        <v>0</v>
      </c>
      <c r="K4502">
        <f t="shared" si="261"/>
        <v>0</v>
      </c>
      <c r="M4502" t="str" cm="1">
        <f t="array" ref="M4502">IFERROR(INDEX($I$2:$K$2,0,MATCH(TRUE,I4502:K4502,0)),E4502)</f>
        <v>OCGT</v>
      </c>
      <c r="O4502" t="str">
        <f t="shared" si="259"/>
        <v>OCGT_2030</v>
      </c>
      <c r="P4502">
        <f t="shared" si="260"/>
        <v>40</v>
      </c>
    </row>
    <row r="4503" spans="4:16" x14ac:dyDescent="0.25">
      <c r="D4503">
        <v>2031</v>
      </c>
      <c r="E4503" t="s">
        <v>130</v>
      </c>
      <c r="F4503" t="s">
        <v>479</v>
      </c>
      <c r="G4503">
        <v>40</v>
      </c>
      <c r="I4503">
        <f t="shared" si="261"/>
        <v>0</v>
      </c>
      <c r="J4503">
        <f t="shared" si="261"/>
        <v>0</v>
      </c>
      <c r="K4503">
        <f t="shared" si="261"/>
        <v>0</v>
      </c>
      <c r="M4503" t="str" cm="1">
        <f t="array" ref="M4503">IFERROR(INDEX($I$2:$K$2,0,MATCH(TRUE,I4503:K4503,0)),E4503)</f>
        <v>OCGT</v>
      </c>
      <c r="O4503" t="str">
        <f t="shared" si="259"/>
        <v>OCGT_2031</v>
      </c>
      <c r="P4503">
        <f t="shared" si="260"/>
        <v>40</v>
      </c>
    </row>
    <row r="4504" spans="4:16" x14ac:dyDescent="0.25">
      <c r="D4504">
        <v>2032</v>
      </c>
      <c r="E4504" t="s">
        <v>130</v>
      </c>
      <c r="F4504" t="s">
        <v>479</v>
      </c>
      <c r="G4504">
        <v>40</v>
      </c>
      <c r="I4504">
        <f t="shared" si="261"/>
        <v>0</v>
      </c>
      <c r="J4504">
        <f t="shared" si="261"/>
        <v>0</v>
      </c>
      <c r="K4504">
        <f t="shared" si="261"/>
        <v>0</v>
      </c>
      <c r="M4504" t="str" cm="1">
        <f t="array" ref="M4504">IFERROR(INDEX($I$2:$K$2,0,MATCH(TRUE,I4504:K4504,0)),E4504)</f>
        <v>OCGT</v>
      </c>
      <c r="O4504" t="str">
        <f t="shared" si="259"/>
        <v>OCGT_2032</v>
      </c>
      <c r="P4504">
        <f t="shared" si="260"/>
        <v>40</v>
      </c>
    </row>
    <row r="4505" spans="4:16" x14ac:dyDescent="0.25">
      <c r="D4505">
        <v>2033</v>
      </c>
      <c r="E4505" t="s">
        <v>130</v>
      </c>
      <c r="F4505" t="s">
        <v>479</v>
      </c>
      <c r="G4505">
        <v>40</v>
      </c>
      <c r="I4505">
        <f t="shared" si="261"/>
        <v>0</v>
      </c>
      <c r="J4505">
        <f t="shared" si="261"/>
        <v>0</v>
      </c>
      <c r="K4505">
        <f t="shared" si="261"/>
        <v>0</v>
      </c>
      <c r="M4505" t="str" cm="1">
        <f t="array" ref="M4505">IFERROR(INDEX($I$2:$K$2,0,MATCH(TRUE,I4505:K4505,0)),E4505)</f>
        <v>OCGT</v>
      </c>
      <c r="O4505" t="str">
        <f t="shared" si="259"/>
        <v>OCGT_2033</v>
      </c>
      <c r="P4505">
        <f t="shared" si="260"/>
        <v>40</v>
      </c>
    </row>
    <row r="4506" spans="4:16" x14ac:dyDescent="0.25">
      <c r="D4506">
        <v>2021</v>
      </c>
      <c r="E4506" t="s">
        <v>130</v>
      </c>
      <c r="F4506" t="s">
        <v>480</v>
      </c>
      <c r="G4506">
        <v>20.399999999999999</v>
      </c>
      <c r="I4506">
        <f t="shared" si="261"/>
        <v>0</v>
      </c>
      <c r="J4506">
        <f t="shared" si="261"/>
        <v>0</v>
      </c>
      <c r="K4506">
        <f t="shared" si="261"/>
        <v>0</v>
      </c>
      <c r="M4506" t="str" cm="1">
        <f t="array" ref="M4506">IFERROR(INDEX($I$2:$K$2,0,MATCH(TRUE,I4506:K4506,0)),E4506)</f>
        <v>OCGT</v>
      </c>
      <c r="O4506" t="str">
        <f t="shared" si="259"/>
        <v>OCGT_2021</v>
      </c>
      <c r="P4506">
        <f t="shared" si="260"/>
        <v>20.399999999999999</v>
      </c>
    </row>
    <row r="4507" spans="4:16" x14ac:dyDescent="0.25">
      <c r="D4507">
        <v>2022</v>
      </c>
      <c r="E4507" t="s">
        <v>130</v>
      </c>
      <c r="F4507" t="s">
        <v>480</v>
      </c>
      <c r="G4507">
        <v>20.399999999999999</v>
      </c>
      <c r="I4507">
        <f t="shared" si="261"/>
        <v>0</v>
      </c>
      <c r="J4507">
        <f t="shared" si="261"/>
        <v>0</v>
      </c>
      <c r="K4507">
        <f t="shared" si="261"/>
        <v>0</v>
      </c>
      <c r="M4507" t="str" cm="1">
        <f t="array" ref="M4507">IFERROR(INDEX($I$2:$K$2,0,MATCH(TRUE,I4507:K4507,0)),E4507)</f>
        <v>OCGT</v>
      </c>
      <c r="O4507" t="str">
        <f t="shared" si="259"/>
        <v>OCGT_2022</v>
      </c>
      <c r="P4507">
        <f t="shared" si="260"/>
        <v>20.399999999999999</v>
      </c>
    </row>
    <row r="4508" spans="4:16" x14ac:dyDescent="0.25">
      <c r="D4508">
        <v>2023</v>
      </c>
      <c r="E4508" t="s">
        <v>130</v>
      </c>
      <c r="F4508" t="s">
        <v>480</v>
      </c>
      <c r="G4508">
        <v>20.399999999999999</v>
      </c>
      <c r="I4508">
        <f t="shared" si="261"/>
        <v>0</v>
      </c>
      <c r="J4508">
        <f t="shared" si="261"/>
        <v>0</v>
      </c>
      <c r="K4508">
        <f t="shared" si="261"/>
        <v>0</v>
      </c>
      <c r="M4508" t="str" cm="1">
        <f t="array" ref="M4508">IFERROR(INDEX($I$2:$K$2,0,MATCH(TRUE,I4508:K4508,0)),E4508)</f>
        <v>OCGT</v>
      </c>
      <c r="O4508" t="str">
        <f t="shared" si="259"/>
        <v>OCGT_2023</v>
      </c>
      <c r="P4508">
        <f t="shared" si="260"/>
        <v>20.399999999999999</v>
      </c>
    </row>
    <row r="4509" spans="4:16" x14ac:dyDescent="0.25">
      <c r="D4509">
        <v>2024</v>
      </c>
      <c r="E4509" t="s">
        <v>130</v>
      </c>
      <c r="F4509" t="s">
        <v>480</v>
      </c>
      <c r="G4509">
        <v>20.399999999999999</v>
      </c>
      <c r="I4509">
        <f t="shared" si="261"/>
        <v>0</v>
      </c>
      <c r="J4509">
        <f t="shared" si="261"/>
        <v>0</v>
      </c>
      <c r="K4509">
        <f t="shared" si="261"/>
        <v>0</v>
      </c>
      <c r="M4509" t="str" cm="1">
        <f t="array" ref="M4509">IFERROR(INDEX($I$2:$K$2,0,MATCH(TRUE,I4509:K4509,0)),E4509)</f>
        <v>OCGT</v>
      </c>
      <c r="O4509" t="str">
        <f t="shared" si="259"/>
        <v>OCGT_2024</v>
      </c>
      <c r="P4509">
        <f t="shared" si="260"/>
        <v>20.399999999999999</v>
      </c>
    </row>
    <row r="4510" spans="4:16" x14ac:dyDescent="0.25">
      <c r="D4510">
        <v>2025</v>
      </c>
      <c r="E4510" t="s">
        <v>130</v>
      </c>
      <c r="F4510" t="s">
        <v>480</v>
      </c>
      <c r="G4510">
        <v>20.399999999999999</v>
      </c>
      <c r="I4510">
        <f t="shared" si="261"/>
        <v>0</v>
      </c>
      <c r="J4510">
        <f t="shared" si="261"/>
        <v>0</v>
      </c>
      <c r="K4510">
        <f t="shared" si="261"/>
        <v>0</v>
      </c>
      <c r="M4510" t="str" cm="1">
        <f t="array" ref="M4510">IFERROR(INDEX($I$2:$K$2,0,MATCH(TRUE,I4510:K4510,0)),E4510)</f>
        <v>OCGT</v>
      </c>
      <c r="O4510" t="str">
        <f t="shared" si="259"/>
        <v>OCGT_2025</v>
      </c>
      <c r="P4510">
        <f t="shared" si="260"/>
        <v>20.399999999999999</v>
      </c>
    </row>
    <row r="4511" spans="4:16" x14ac:dyDescent="0.25">
      <c r="D4511">
        <v>2026</v>
      </c>
      <c r="E4511" t="s">
        <v>130</v>
      </c>
      <c r="F4511" t="s">
        <v>480</v>
      </c>
      <c r="G4511">
        <v>20.399999999999999</v>
      </c>
      <c r="I4511">
        <f t="shared" si="261"/>
        <v>0</v>
      </c>
      <c r="J4511">
        <f t="shared" si="261"/>
        <v>0</v>
      </c>
      <c r="K4511">
        <f t="shared" si="261"/>
        <v>0</v>
      </c>
      <c r="M4511" t="str" cm="1">
        <f t="array" ref="M4511">IFERROR(INDEX($I$2:$K$2,0,MATCH(TRUE,I4511:K4511,0)),E4511)</f>
        <v>OCGT</v>
      </c>
      <c r="O4511" t="str">
        <f t="shared" si="259"/>
        <v>OCGT_2026</v>
      </c>
      <c r="P4511">
        <f t="shared" si="260"/>
        <v>20.399999999999999</v>
      </c>
    </row>
    <row r="4512" spans="4:16" x14ac:dyDescent="0.25">
      <c r="D4512">
        <v>2027</v>
      </c>
      <c r="E4512" t="s">
        <v>130</v>
      </c>
      <c r="F4512" t="s">
        <v>480</v>
      </c>
      <c r="G4512">
        <v>20.399999999999999</v>
      </c>
      <c r="I4512">
        <f t="shared" si="261"/>
        <v>0</v>
      </c>
      <c r="J4512">
        <f t="shared" si="261"/>
        <v>0</v>
      </c>
      <c r="K4512">
        <f t="shared" si="261"/>
        <v>0</v>
      </c>
      <c r="M4512" t="str" cm="1">
        <f t="array" ref="M4512">IFERROR(INDEX($I$2:$K$2,0,MATCH(TRUE,I4512:K4512,0)),E4512)</f>
        <v>OCGT</v>
      </c>
      <c r="O4512" t="str">
        <f t="shared" si="259"/>
        <v>OCGT_2027</v>
      </c>
      <c r="P4512">
        <f t="shared" si="260"/>
        <v>20.399999999999999</v>
      </c>
    </row>
    <row r="4513" spans="4:16" x14ac:dyDescent="0.25">
      <c r="D4513">
        <v>2028</v>
      </c>
      <c r="E4513" t="s">
        <v>130</v>
      </c>
      <c r="F4513" t="s">
        <v>480</v>
      </c>
      <c r="G4513">
        <v>20.399999999999999</v>
      </c>
      <c r="I4513">
        <f t="shared" si="261"/>
        <v>0</v>
      </c>
      <c r="J4513">
        <f t="shared" si="261"/>
        <v>0</v>
      </c>
      <c r="K4513">
        <f t="shared" si="261"/>
        <v>0</v>
      </c>
      <c r="M4513" t="str" cm="1">
        <f t="array" ref="M4513">IFERROR(INDEX($I$2:$K$2,0,MATCH(TRUE,I4513:K4513,0)),E4513)</f>
        <v>OCGT</v>
      </c>
      <c r="O4513" t="str">
        <f t="shared" si="259"/>
        <v>OCGT_2028</v>
      </c>
      <c r="P4513">
        <f t="shared" si="260"/>
        <v>20.399999999999999</v>
      </c>
    </row>
    <row r="4514" spans="4:16" x14ac:dyDescent="0.25">
      <c r="D4514">
        <v>2029</v>
      </c>
      <c r="E4514" t="s">
        <v>130</v>
      </c>
      <c r="F4514" t="s">
        <v>480</v>
      </c>
      <c r="G4514">
        <v>20.399999999999999</v>
      </c>
      <c r="I4514">
        <f t="shared" si="261"/>
        <v>0</v>
      </c>
      <c r="J4514">
        <f t="shared" si="261"/>
        <v>0</v>
      </c>
      <c r="K4514">
        <f t="shared" si="261"/>
        <v>0</v>
      </c>
      <c r="M4514" t="str" cm="1">
        <f t="array" ref="M4514">IFERROR(INDEX($I$2:$K$2,0,MATCH(TRUE,I4514:K4514,0)),E4514)</f>
        <v>OCGT</v>
      </c>
      <c r="O4514" t="str">
        <f t="shared" si="259"/>
        <v>OCGT_2029</v>
      </c>
      <c r="P4514">
        <f t="shared" si="260"/>
        <v>20.399999999999999</v>
      </c>
    </row>
    <row r="4515" spans="4:16" x14ac:dyDescent="0.25">
      <c r="D4515">
        <v>2030</v>
      </c>
      <c r="E4515" t="s">
        <v>130</v>
      </c>
      <c r="F4515" t="s">
        <v>480</v>
      </c>
      <c r="G4515">
        <v>20.399999999999999</v>
      </c>
      <c r="I4515">
        <f t="shared" si="261"/>
        <v>0</v>
      </c>
      <c r="J4515">
        <f t="shared" si="261"/>
        <v>0</v>
      </c>
      <c r="K4515">
        <f t="shared" si="261"/>
        <v>0</v>
      </c>
      <c r="M4515" t="str" cm="1">
        <f t="array" ref="M4515">IFERROR(INDEX($I$2:$K$2,0,MATCH(TRUE,I4515:K4515,0)),E4515)</f>
        <v>OCGT</v>
      </c>
      <c r="O4515" t="str">
        <f t="shared" si="259"/>
        <v>OCGT_2030</v>
      </c>
      <c r="P4515">
        <f t="shared" si="260"/>
        <v>20.399999999999999</v>
      </c>
    </row>
    <row r="4516" spans="4:16" x14ac:dyDescent="0.25">
      <c r="D4516">
        <v>2031</v>
      </c>
      <c r="E4516" t="s">
        <v>130</v>
      </c>
      <c r="F4516" t="s">
        <v>480</v>
      </c>
      <c r="G4516">
        <v>20.399999999999999</v>
      </c>
      <c r="I4516">
        <f t="shared" si="261"/>
        <v>0</v>
      </c>
      <c r="J4516">
        <f t="shared" si="261"/>
        <v>0</v>
      </c>
      <c r="K4516">
        <f t="shared" si="261"/>
        <v>0</v>
      </c>
      <c r="M4516" t="str" cm="1">
        <f t="array" ref="M4516">IFERROR(INDEX($I$2:$K$2,0,MATCH(TRUE,I4516:K4516,0)),E4516)</f>
        <v>OCGT</v>
      </c>
      <c r="O4516" t="str">
        <f t="shared" si="259"/>
        <v>OCGT_2031</v>
      </c>
      <c r="P4516">
        <f t="shared" si="260"/>
        <v>20.399999999999999</v>
      </c>
    </row>
    <row r="4517" spans="4:16" x14ac:dyDescent="0.25">
      <c r="D4517">
        <v>2032</v>
      </c>
      <c r="E4517" t="s">
        <v>130</v>
      </c>
      <c r="F4517" t="s">
        <v>480</v>
      </c>
      <c r="G4517">
        <v>20.399999999999999</v>
      </c>
      <c r="I4517">
        <f t="shared" si="261"/>
        <v>0</v>
      </c>
      <c r="J4517">
        <f t="shared" si="261"/>
        <v>0</v>
      </c>
      <c r="K4517">
        <f t="shared" si="261"/>
        <v>0</v>
      </c>
      <c r="M4517" t="str" cm="1">
        <f t="array" ref="M4517">IFERROR(INDEX($I$2:$K$2,0,MATCH(TRUE,I4517:K4517,0)),E4517)</f>
        <v>OCGT</v>
      </c>
      <c r="O4517" t="str">
        <f t="shared" si="259"/>
        <v>OCGT_2032</v>
      </c>
      <c r="P4517">
        <f t="shared" si="260"/>
        <v>20.399999999999999</v>
      </c>
    </row>
    <row r="4518" spans="4:16" x14ac:dyDescent="0.25">
      <c r="D4518">
        <v>2033</v>
      </c>
      <c r="E4518" t="s">
        <v>130</v>
      </c>
      <c r="F4518" t="s">
        <v>480</v>
      </c>
      <c r="G4518">
        <v>20.399999999999999</v>
      </c>
      <c r="I4518">
        <f t="shared" si="261"/>
        <v>0</v>
      </c>
      <c r="J4518">
        <f t="shared" si="261"/>
        <v>0</v>
      </c>
      <c r="K4518">
        <f t="shared" si="261"/>
        <v>0</v>
      </c>
      <c r="M4518" t="str" cm="1">
        <f t="array" ref="M4518">IFERROR(INDEX($I$2:$K$2,0,MATCH(TRUE,I4518:K4518,0)),E4518)</f>
        <v>OCGT</v>
      </c>
      <c r="O4518" t="str">
        <f t="shared" si="259"/>
        <v>OCGT_2033</v>
      </c>
      <c r="P4518">
        <f t="shared" si="260"/>
        <v>20.399999999999999</v>
      </c>
    </row>
    <row r="4519" spans="4:16" x14ac:dyDescent="0.25">
      <c r="D4519">
        <v>2034</v>
      </c>
      <c r="E4519" t="s">
        <v>130</v>
      </c>
      <c r="F4519" t="s">
        <v>480</v>
      </c>
      <c r="G4519">
        <v>20.399999999999999</v>
      </c>
      <c r="I4519">
        <f t="shared" si="261"/>
        <v>0</v>
      </c>
      <c r="J4519">
        <f t="shared" si="261"/>
        <v>0</v>
      </c>
      <c r="K4519">
        <f t="shared" si="261"/>
        <v>0</v>
      </c>
      <c r="M4519" t="str" cm="1">
        <f t="array" ref="M4519">IFERROR(INDEX($I$2:$K$2,0,MATCH(TRUE,I4519:K4519,0)),E4519)</f>
        <v>OCGT</v>
      </c>
      <c r="O4519" t="str">
        <f t="shared" si="259"/>
        <v>OCGT_2034</v>
      </c>
      <c r="P4519">
        <f t="shared" si="260"/>
        <v>20.399999999999999</v>
      </c>
    </row>
    <row r="4520" spans="4:16" x14ac:dyDescent="0.25">
      <c r="D4520">
        <v>2035</v>
      </c>
      <c r="E4520" t="s">
        <v>130</v>
      </c>
      <c r="F4520" t="s">
        <v>480</v>
      </c>
      <c r="G4520">
        <v>20.399999999999999</v>
      </c>
      <c r="I4520">
        <f t="shared" si="261"/>
        <v>0</v>
      </c>
      <c r="J4520">
        <f t="shared" si="261"/>
        <v>0</v>
      </c>
      <c r="K4520">
        <f t="shared" si="261"/>
        <v>0</v>
      </c>
      <c r="M4520" t="str" cm="1">
        <f t="array" ref="M4520">IFERROR(INDEX($I$2:$K$2,0,MATCH(TRUE,I4520:K4520,0)),E4520)</f>
        <v>OCGT</v>
      </c>
      <c r="O4520" t="str">
        <f t="shared" si="259"/>
        <v>OCGT_2035</v>
      </c>
      <c r="P4520">
        <f t="shared" si="260"/>
        <v>20.399999999999999</v>
      </c>
    </row>
    <row r="4521" spans="4:16" x14ac:dyDescent="0.25">
      <c r="D4521">
        <v>2036</v>
      </c>
      <c r="E4521" t="s">
        <v>130</v>
      </c>
      <c r="F4521" t="s">
        <v>480</v>
      </c>
      <c r="G4521">
        <v>20.399999999999999</v>
      </c>
      <c r="I4521">
        <f t="shared" si="261"/>
        <v>0</v>
      </c>
      <c r="J4521">
        <f t="shared" si="261"/>
        <v>0</v>
      </c>
      <c r="K4521">
        <f t="shared" si="261"/>
        <v>0</v>
      </c>
      <c r="M4521" t="str" cm="1">
        <f t="array" ref="M4521">IFERROR(INDEX($I$2:$K$2,0,MATCH(TRUE,I4521:K4521,0)),E4521)</f>
        <v>OCGT</v>
      </c>
      <c r="O4521" t="str">
        <f t="shared" si="259"/>
        <v>OCGT_2036</v>
      </c>
      <c r="P4521">
        <f t="shared" si="260"/>
        <v>20.399999999999999</v>
      </c>
    </row>
    <row r="4522" spans="4:16" x14ac:dyDescent="0.25">
      <c r="D4522">
        <v>2037</v>
      </c>
      <c r="E4522" t="s">
        <v>130</v>
      </c>
      <c r="F4522" t="s">
        <v>480</v>
      </c>
      <c r="G4522">
        <v>20.399999999999999</v>
      </c>
      <c r="I4522">
        <f t="shared" si="261"/>
        <v>0</v>
      </c>
      <c r="J4522">
        <f t="shared" si="261"/>
        <v>0</v>
      </c>
      <c r="K4522">
        <f t="shared" si="261"/>
        <v>0</v>
      </c>
      <c r="M4522" t="str" cm="1">
        <f t="array" ref="M4522">IFERROR(INDEX($I$2:$K$2,0,MATCH(TRUE,I4522:K4522,0)),E4522)</f>
        <v>OCGT</v>
      </c>
      <c r="O4522" t="str">
        <f t="shared" si="259"/>
        <v>OCGT_2037</v>
      </c>
      <c r="P4522">
        <f t="shared" si="260"/>
        <v>20.399999999999999</v>
      </c>
    </row>
    <row r="4523" spans="4:16" x14ac:dyDescent="0.25">
      <c r="D4523">
        <v>2038</v>
      </c>
      <c r="E4523" t="s">
        <v>130</v>
      </c>
      <c r="F4523" t="s">
        <v>480</v>
      </c>
      <c r="G4523">
        <v>20.399999999999999</v>
      </c>
      <c r="I4523">
        <f t="shared" si="261"/>
        <v>0</v>
      </c>
      <c r="J4523">
        <f t="shared" si="261"/>
        <v>0</v>
      </c>
      <c r="K4523">
        <f t="shared" si="261"/>
        <v>0</v>
      </c>
      <c r="M4523" t="str" cm="1">
        <f t="array" ref="M4523">IFERROR(INDEX($I$2:$K$2,0,MATCH(TRUE,I4523:K4523,0)),E4523)</f>
        <v>OCGT</v>
      </c>
      <c r="O4523" t="str">
        <f t="shared" si="259"/>
        <v>OCGT_2038</v>
      </c>
      <c r="P4523">
        <f t="shared" si="260"/>
        <v>20.399999999999999</v>
      </c>
    </row>
    <row r="4524" spans="4:16" x14ac:dyDescent="0.25">
      <c r="D4524">
        <v>2039</v>
      </c>
      <c r="E4524" t="s">
        <v>130</v>
      </c>
      <c r="F4524" t="s">
        <v>480</v>
      </c>
      <c r="G4524">
        <v>20.399999999999999</v>
      </c>
      <c r="I4524">
        <f t="shared" si="261"/>
        <v>0</v>
      </c>
      <c r="J4524">
        <f t="shared" si="261"/>
        <v>0</v>
      </c>
      <c r="K4524">
        <f t="shared" si="261"/>
        <v>0</v>
      </c>
      <c r="M4524" t="str" cm="1">
        <f t="array" ref="M4524">IFERROR(INDEX($I$2:$K$2,0,MATCH(TRUE,I4524:K4524,0)),E4524)</f>
        <v>OCGT</v>
      </c>
      <c r="O4524" t="str">
        <f t="shared" si="259"/>
        <v>OCGT_2039</v>
      </c>
      <c r="P4524">
        <f t="shared" si="260"/>
        <v>20.399999999999999</v>
      </c>
    </row>
    <row r="4525" spans="4:16" x14ac:dyDescent="0.25">
      <c r="D4525">
        <v>2040</v>
      </c>
      <c r="E4525" t="s">
        <v>130</v>
      </c>
      <c r="F4525" t="s">
        <v>480</v>
      </c>
      <c r="G4525">
        <v>20.399999999999999</v>
      </c>
      <c r="I4525">
        <f t="shared" si="261"/>
        <v>0</v>
      </c>
      <c r="J4525">
        <f t="shared" si="261"/>
        <v>0</v>
      </c>
      <c r="K4525">
        <f t="shared" si="261"/>
        <v>0</v>
      </c>
      <c r="M4525" t="str" cm="1">
        <f t="array" ref="M4525">IFERROR(INDEX($I$2:$K$2,0,MATCH(TRUE,I4525:K4525,0)),E4525)</f>
        <v>OCGT</v>
      </c>
      <c r="O4525" t="str">
        <f t="shared" si="259"/>
        <v>OCGT_2040</v>
      </c>
      <c r="P4525">
        <f t="shared" si="260"/>
        <v>20.399999999999999</v>
      </c>
    </row>
    <row r="4526" spans="4:16" x14ac:dyDescent="0.25">
      <c r="D4526">
        <v>2021</v>
      </c>
      <c r="E4526" t="s">
        <v>130</v>
      </c>
      <c r="F4526" t="s">
        <v>481</v>
      </c>
      <c r="G4526">
        <v>23</v>
      </c>
      <c r="I4526">
        <f t="shared" si="261"/>
        <v>0</v>
      </c>
      <c r="J4526">
        <f t="shared" si="261"/>
        <v>0</v>
      </c>
      <c r="K4526">
        <f t="shared" si="261"/>
        <v>0</v>
      </c>
      <c r="M4526" t="str" cm="1">
        <f t="array" ref="M4526">IFERROR(INDEX($I$2:$K$2,0,MATCH(TRUE,I4526:K4526,0)),E4526)</f>
        <v>OCGT</v>
      </c>
      <c r="O4526" t="str">
        <f t="shared" si="259"/>
        <v>OCGT_2021</v>
      </c>
      <c r="P4526">
        <f t="shared" si="260"/>
        <v>23</v>
      </c>
    </row>
    <row r="4527" spans="4:16" x14ac:dyDescent="0.25">
      <c r="D4527">
        <v>2022</v>
      </c>
      <c r="E4527" t="s">
        <v>130</v>
      </c>
      <c r="F4527" t="s">
        <v>481</v>
      </c>
      <c r="G4527">
        <v>23</v>
      </c>
      <c r="I4527">
        <f t="shared" si="261"/>
        <v>0</v>
      </c>
      <c r="J4527">
        <f t="shared" si="261"/>
        <v>0</v>
      </c>
      <c r="K4527">
        <f t="shared" si="261"/>
        <v>0</v>
      </c>
      <c r="M4527" t="str" cm="1">
        <f t="array" ref="M4527">IFERROR(INDEX($I$2:$K$2,0,MATCH(TRUE,I4527:K4527,0)),E4527)</f>
        <v>OCGT</v>
      </c>
      <c r="O4527" t="str">
        <f t="shared" si="259"/>
        <v>OCGT_2022</v>
      </c>
      <c r="P4527">
        <f t="shared" si="260"/>
        <v>23</v>
      </c>
    </row>
    <row r="4528" spans="4:16" x14ac:dyDescent="0.25">
      <c r="D4528">
        <v>2023</v>
      </c>
      <c r="E4528" t="s">
        <v>130</v>
      </c>
      <c r="F4528" t="s">
        <v>481</v>
      </c>
      <c r="G4528">
        <v>23</v>
      </c>
      <c r="I4528">
        <f t="shared" si="261"/>
        <v>0</v>
      </c>
      <c r="J4528">
        <f t="shared" si="261"/>
        <v>0</v>
      </c>
      <c r="K4528">
        <f t="shared" si="261"/>
        <v>0</v>
      </c>
      <c r="M4528" t="str" cm="1">
        <f t="array" ref="M4528">IFERROR(INDEX($I$2:$K$2,0,MATCH(TRUE,I4528:K4528,0)),E4528)</f>
        <v>OCGT</v>
      </c>
      <c r="O4528" t="str">
        <f t="shared" si="259"/>
        <v>OCGT_2023</v>
      </c>
      <c r="P4528">
        <f t="shared" si="260"/>
        <v>23</v>
      </c>
    </row>
    <row r="4529" spans="4:16" x14ac:dyDescent="0.25">
      <c r="D4529">
        <v>2024</v>
      </c>
      <c r="E4529" t="s">
        <v>130</v>
      </c>
      <c r="F4529" t="s">
        <v>481</v>
      </c>
      <c r="G4529">
        <v>23</v>
      </c>
      <c r="I4529">
        <f t="shared" si="261"/>
        <v>0</v>
      </c>
      <c r="J4529">
        <f t="shared" si="261"/>
        <v>0</v>
      </c>
      <c r="K4529">
        <f t="shared" si="261"/>
        <v>0</v>
      </c>
      <c r="M4529" t="str" cm="1">
        <f t="array" ref="M4529">IFERROR(INDEX($I$2:$K$2,0,MATCH(TRUE,I4529:K4529,0)),E4529)</f>
        <v>OCGT</v>
      </c>
      <c r="O4529" t="str">
        <f t="shared" si="259"/>
        <v>OCGT_2024</v>
      </c>
      <c r="P4529">
        <f t="shared" si="260"/>
        <v>23</v>
      </c>
    </row>
    <row r="4530" spans="4:16" x14ac:dyDescent="0.25">
      <c r="D4530">
        <v>2025</v>
      </c>
      <c r="E4530" t="s">
        <v>130</v>
      </c>
      <c r="F4530" t="s">
        <v>481</v>
      </c>
      <c r="G4530">
        <v>23</v>
      </c>
      <c r="I4530">
        <f t="shared" si="261"/>
        <v>0</v>
      </c>
      <c r="J4530">
        <f t="shared" si="261"/>
        <v>0</v>
      </c>
      <c r="K4530">
        <f t="shared" si="261"/>
        <v>0</v>
      </c>
      <c r="M4530" t="str" cm="1">
        <f t="array" ref="M4530">IFERROR(INDEX($I$2:$K$2,0,MATCH(TRUE,I4530:K4530,0)),E4530)</f>
        <v>OCGT</v>
      </c>
      <c r="O4530" t="str">
        <f t="shared" si="259"/>
        <v>OCGT_2025</v>
      </c>
      <c r="P4530">
        <f t="shared" si="260"/>
        <v>23</v>
      </c>
    </row>
    <row r="4531" spans="4:16" x14ac:dyDescent="0.25">
      <c r="D4531">
        <v>2026</v>
      </c>
      <c r="E4531" t="s">
        <v>130</v>
      </c>
      <c r="F4531" t="s">
        <v>481</v>
      </c>
      <c r="G4531">
        <v>23</v>
      </c>
      <c r="I4531">
        <f t="shared" si="261"/>
        <v>0</v>
      </c>
      <c r="J4531">
        <f t="shared" si="261"/>
        <v>0</v>
      </c>
      <c r="K4531">
        <f t="shared" si="261"/>
        <v>0</v>
      </c>
      <c r="M4531" t="str" cm="1">
        <f t="array" ref="M4531">IFERROR(INDEX($I$2:$K$2,0,MATCH(TRUE,I4531:K4531,0)),E4531)</f>
        <v>OCGT</v>
      </c>
      <c r="O4531" t="str">
        <f t="shared" si="259"/>
        <v>OCGT_2026</v>
      </c>
      <c r="P4531">
        <f t="shared" si="260"/>
        <v>23</v>
      </c>
    </row>
    <row r="4532" spans="4:16" x14ac:dyDescent="0.25">
      <c r="D4532">
        <v>2027</v>
      </c>
      <c r="E4532" t="s">
        <v>130</v>
      </c>
      <c r="F4532" t="s">
        <v>481</v>
      </c>
      <c r="G4532">
        <v>23</v>
      </c>
      <c r="I4532">
        <f t="shared" si="261"/>
        <v>0</v>
      </c>
      <c r="J4532">
        <f t="shared" si="261"/>
        <v>0</v>
      </c>
      <c r="K4532">
        <f t="shared" si="261"/>
        <v>0</v>
      </c>
      <c r="M4532" t="str" cm="1">
        <f t="array" ref="M4532">IFERROR(INDEX($I$2:$K$2,0,MATCH(TRUE,I4532:K4532,0)),E4532)</f>
        <v>OCGT</v>
      </c>
      <c r="O4532" t="str">
        <f t="shared" si="259"/>
        <v>OCGT_2027</v>
      </c>
      <c r="P4532">
        <f t="shared" si="260"/>
        <v>23</v>
      </c>
    </row>
    <row r="4533" spans="4:16" x14ac:dyDescent="0.25">
      <c r="D4533">
        <v>2028</v>
      </c>
      <c r="E4533" t="s">
        <v>130</v>
      </c>
      <c r="F4533" t="s">
        <v>481</v>
      </c>
      <c r="G4533">
        <v>23</v>
      </c>
      <c r="I4533">
        <f t="shared" si="261"/>
        <v>0</v>
      </c>
      <c r="J4533">
        <f t="shared" si="261"/>
        <v>0</v>
      </c>
      <c r="K4533">
        <f t="shared" si="261"/>
        <v>0</v>
      </c>
      <c r="M4533" t="str" cm="1">
        <f t="array" ref="M4533">IFERROR(INDEX($I$2:$K$2,0,MATCH(TRUE,I4533:K4533,0)),E4533)</f>
        <v>OCGT</v>
      </c>
      <c r="O4533" t="str">
        <f t="shared" si="259"/>
        <v>OCGT_2028</v>
      </c>
      <c r="P4533">
        <f t="shared" si="260"/>
        <v>23</v>
      </c>
    </row>
    <row r="4534" spans="4:16" x14ac:dyDescent="0.25">
      <c r="D4534">
        <v>2029</v>
      </c>
      <c r="E4534" t="s">
        <v>130</v>
      </c>
      <c r="F4534" t="s">
        <v>481</v>
      </c>
      <c r="G4534">
        <v>23</v>
      </c>
      <c r="I4534">
        <f t="shared" si="261"/>
        <v>0</v>
      </c>
      <c r="J4534">
        <f t="shared" si="261"/>
        <v>0</v>
      </c>
      <c r="K4534">
        <f t="shared" si="261"/>
        <v>0</v>
      </c>
      <c r="M4534" t="str" cm="1">
        <f t="array" ref="M4534">IFERROR(INDEX($I$2:$K$2,0,MATCH(TRUE,I4534:K4534,0)),E4534)</f>
        <v>OCGT</v>
      </c>
      <c r="O4534" t="str">
        <f t="shared" si="259"/>
        <v>OCGT_2029</v>
      </c>
      <c r="P4534">
        <f t="shared" si="260"/>
        <v>23</v>
      </c>
    </row>
    <row r="4535" spans="4:16" x14ac:dyDescent="0.25">
      <c r="D4535">
        <v>2030</v>
      </c>
      <c r="E4535" t="s">
        <v>130</v>
      </c>
      <c r="F4535" t="s">
        <v>481</v>
      </c>
      <c r="G4535">
        <v>23</v>
      </c>
      <c r="I4535">
        <f t="shared" si="261"/>
        <v>0</v>
      </c>
      <c r="J4535">
        <f t="shared" si="261"/>
        <v>0</v>
      </c>
      <c r="K4535">
        <f t="shared" si="261"/>
        <v>0</v>
      </c>
      <c r="M4535" t="str" cm="1">
        <f t="array" ref="M4535">IFERROR(INDEX($I$2:$K$2,0,MATCH(TRUE,I4535:K4535,0)),E4535)</f>
        <v>OCGT</v>
      </c>
      <c r="O4535" t="str">
        <f t="shared" si="259"/>
        <v>OCGT_2030</v>
      </c>
      <c r="P4535">
        <f t="shared" si="260"/>
        <v>23</v>
      </c>
    </row>
    <row r="4536" spans="4:16" x14ac:dyDescent="0.25">
      <c r="D4536">
        <v>2031</v>
      </c>
      <c r="E4536" t="s">
        <v>130</v>
      </c>
      <c r="F4536" t="s">
        <v>481</v>
      </c>
      <c r="G4536">
        <v>23</v>
      </c>
      <c r="I4536">
        <f t="shared" si="261"/>
        <v>0</v>
      </c>
      <c r="J4536">
        <f t="shared" si="261"/>
        <v>0</v>
      </c>
      <c r="K4536">
        <f t="shared" si="261"/>
        <v>0</v>
      </c>
      <c r="M4536" t="str" cm="1">
        <f t="array" ref="M4536">IFERROR(INDEX($I$2:$K$2,0,MATCH(TRUE,I4536:K4536,0)),E4536)</f>
        <v>OCGT</v>
      </c>
      <c r="O4536" t="str">
        <f t="shared" si="259"/>
        <v>OCGT_2031</v>
      </c>
      <c r="P4536">
        <f t="shared" si="260"/>
        <v>23</v>
      </c>
    </row>
    <row r="4537" spans="4:16" x14ac:dyDescent="0.25">
      <c r="D4537">
        <v>2032</v>
      </c>
      <c r="E4537" t="s">
        <v>130</v>
      </c>
      <c r="F4537" t="s">
        <v>481</v>
      </c>
      <c r="G4537">
        <v>23</v>
      </c>
      <c r="I4537">
        <f t="shared" si="261"/>
        <v>0</v>
      </c>
      <c r="J4537">
        <f t="shared" si="261"/>
        <v>0</v>
      </c>
      <c r="K4537">
        <f t="shared" si="261"/>
        <v>0</v>
      </c>
      <c r="M4537" t="str" cm="1">
        <f t="array" ref="M4537">IFERROR(INDEX($I$2:$K$2,0,MATCH(TRUE,I4537:K4537,0)),E4537)</f>
        <v>OCGT</v>
      </c>
      <c r="O4537" t="str">
        <f t="shared" si="259"/>
        <v>OCGT_2032</v>
      </c>
      <c r="P4537">
        <f t="shared" si="260"/>
        <v>23</v>
      </c>
    </row>
    <row r="4538" spans="4:16" x14ac:dyDescent="0.25">
      <c r="D4538">
        <v>2033</v>
      </c>
      <c r="E4538" t="s">
        <v>130</v>
      </c>
      <c r="F4538" t="s">
        <v>481</v>
      </c>
      <c r="G4538">
        <v>23</v>
      </c>
      <c r="I4538">
        <f t="shared" si="261"/>
        <v>0</v>
      </c>
      <c r="J4538">
        <f t="shared" si="261"/>
        <v>0</v>
      </c>
      <c r="K4538">
        <f t="shared" si="261"/>
        <v>0</v>
      </c>
      <c r="M4538" t="str" cm="1">
        <f t="array" ref="M4538">IFERROR(INDEX($I$2:$K$2,0,MATCH(TRUE,I4538:K4538,0)),E4538)</f>
        <v>OCGT</v>
      </c>
      <c r="O4538" t="str">
        <f t="shared" si="259"/>
        <v>OCGT_2033</v>
      </c>
      <c r="P4538">
        <f t="shared" si="260"/>
        <v>23</v>
      </c>
    </row>
    <row r="4539" spans="4:16" x14ac:dyDescent="0.25">
      <c r="D4539">
        <v>2034</v>
      </c>
      <c r="E4539" t="s">
        <v>130</v>
      </c>
      <c r="F4539" t="s">
        <v>481</v>
      </c>
      <c r="G4539">
        <v>23</v>
      </c>
      <c r="I4539">
        <f t="shared" si="261"/>
        <v>0</v>
      </c>
      <c r="J4539">
        <f t="shared" si="261"/>
        <v>0</v>
      </c>
      <c r="K4539">
        <f t="shared" si="261"/>
        <v>0</v>
      </c>
      <c r="M4539" t="str" cm="1">
        <f t="array" ref="M4539">IFERROR(INDEX($I$2:$K$2,0,MATCH(TRUE,I4539:K4539,0)),E4539)</f>
        <v>OCGT</v>
      </c>
      <c r="O4539" t="str">
        <f t="shared" si="259"/>
        <v>OCGT_2034</v>
      </c>
      <c r="P4539">
        <f t="shared" si="260"/>
        <v>23</v>
      </c>
    </row>
    <row r="4540" spans="4:16" x14ac:dyDescent="0.25">
      <c r="D4540">
        <v>2035</v>
      </c>
      <c r="E4540" t="s">
        <v>130</v>
      </c>
      <c r="F4540" t="s">
        <v>481</v>
      </c>
      <c r="G4540">
        <v>23</v>
      </c>
      <c r="I4540">
        <f t="shared" si="261"/>
        <v>0</v>
      </c>
      <c r="J4540">
        <f t="shared" si="261"/>
        <v>0</v>
      </c>
      <c r="K4540">
        <f t="shared" si="261"/>
        <v>0</v>
      </c>
      <c r="M4540" t="str" cm="1">
        <f t="array" ref="M4540">IFERROR(INDEX($I$2:$K$2,0,MATCH(TRUE,I4540:K4540,0)),E4540)</f>
        <v>OCGT</v>
      </c>
      <c r="O4540" t="str">
        <f t="shared" si="259"/>
        <v>OCGT_2035</v>
      </c>
      <c r="P4540">
        <f t="shared" si="260"/>
        <v>23</v>
      </c>
    </row>
    <row r="4541" spans="4:16" x14ac:dyDescent="0.25">
      <c r="D4541">
        <v>2036</v>
      </c>
      <c r="E4541" t="s">
        <v>130</v>
      </c>
      <c r="F4541" t="s">
        <v>481</v>
      </c>
      <c r="G4541">
        <v>23</v>
      </c>
      <c r="I4541">
        <f t="shared" si="261"/>
        <v>0</v>
      </c>
      <c r="J4541">
        <f t="shared" si="261"/>
        <v>0</v>
      </c>
      <c r="K4541">
        <f t="shared" si="261"/>
        <v>0</v>
      </c>
      <c r="M4541" t="str" cm="1">
        <f t="array" ref="M4541">IFERROR(INDEX($I$2:$K$2,0,MATCH(TRUE,I4541:K4541,0)),E4541)</f>
        <v>OCGT</v>
      </c>
      <c r="O4541" t="str">
        <f t="shared" si="259"/>
        <v>OCGT_2036</v>
      </c>
      <c r="P4541">
        <f t="shared" si="260"/>
        <v>23</v>
      </c>
    </row>
    <row r="4542" spans="4:16" x14ac:dyDescent="0.25">
      <c r="D4542">
        <v>2037</v>
      </c>
      <c r="E4542" t="s">
        <v>130</v>
      </c>
      <c r="F4542" t="s">
        <v>481</v>
      </c>
      <c r="G4542">
        <v>23</v>
      </c>
      <c r="I4542">
        <f t="shared" si="261"/>
        <v>0</v>
      </c>
      <c r="J4542">
        <f t="shared" si="261"/>
        <v>0</v>
      </c>
      <c r="K4542">
        <f t="shared" si="261"/>
        <v>0</v>
      </c>
      <c r="M4542" t="str" cm="1">
        <f t="array" ref="M4542">IFERROR(INDEX($I$2:$K$2,0,MATCH(TRUE,I4542:K4542,0)),E4542)</f>
        <v>OCGT</v>
      </c>
      <c r="O4542" t="str">
        <f t="shared" si="259"/>
        <v>OCGT_2037</v>
      </c>
      <c r="P4542">
        <f t="shared" si="260"/>
        <v>23</v>
      </c>
    </row>
    <row r="4543" spans="4:16" x14ac:dyDescent="0.25">
      <c r="D4543">
        <v>2038</v>
      </c>
      <c r="E4543" t="s">
        <v>130</v>
      </c>
      <c r="F4543" t="s">
        <v>481</v>
      </c>
      <c r="G4543">
        <v>23</v>
      </c>
      <c r="I4543">
        <f t="shared" si="261"/>
        <v>0</v>
      </c>
      <c r="J4543">
        <f t="shared" si="261"/>
        <v>0</v>
      </c>
      <c r="K4543">
        <f t="shared" si="261"/>
        <v>0</v>
      </c>
      <c r="M4543" t="str" cm="1">
        <f t="array" ref="M4543">IFERROR(INDEX($I$2:$K$2,0,MATCH(TRUE,I4543:K4543,0)),E4543)</f>
        <v>OCGT</v>
      </c>
      <c r="O4543" t="str">
        <f t="shared" si="259"/>
        <v>OCGT_2038</v>
      </c>
      <c r="P4543">
        <f t="shared" si="260"/>
        <v>23</v>
      </c>
    </row>
    <row r="4544" spans="4:16" x14ac:dyDescent="0.25">
      <c r="D4544">
        <v>2039</v>
      </c>
      <c r="E4544" t="s">
        <v>130</v>
      </c>
      <c r="F4544" t="s">
        <v>481</v>
      </c>
      <c r="G4544">
        <v>23</v>
      </c>
      <c r="I4544">
        <f t="shared" si="261"/>
        <v>0</v>
      </c>
      <c r="J4544">
        <f t="shared" si="261"/>
        <v>0</v>
      </c>
      <c r="K4544">
        <f t="shared" si="261"/>
        <v>0</v>
      </c>
      <c r="M4544" t="str" cm="1">
        <f t="array" ref="M4544">IFERROR(INDEX($I$2:$K$2,0,MATCH(TRUE,I4544:K4544,0)),E4544)</f>
        <v>OCGT</v>
      </c>
      <c r="O4544" t="str">
        <f t="shared" si="259"/>
        <v>OCGT_2039</v>
      </c>
      <c r="P4544">
        <f t="shared" si="260"/>
        <v>23</v>
      </c>
    </row>
    <row r="4545" spans="4:16" x14ac:dyDescent="0.25">
      <c r="D4545">
        <v>2040</v>
      </c>
      <c r="E4545" t="s">
        <v>130</v>
      </c>
      <c r="F4545" t="s">
        <v>481</v>
      </c>
      <c r="G4545">
        <v>23</v>
      </c>
      <c r="I4545">
        <f t="shared" si="261"/>
        <v>0</v>
      </c>
      <c r="J4545">
        <f t="shared" si="261"/>
        <v>0</v>
      </c>
      <c r="K4545">
        <f t="shared" si="261"/>
        <v>0</v>
      </c>
      <c r="M4545" t="str" cm="1">
        <f t="array" ref="M4545">IFERROR(INDEX($I$2:$K$2,0,MATCH(TRUE,I4545:K4545,0)),E4545)</f>
        <v>OCGT</v>
      </c>
      <c r="O4545" t="str">
        <f t="shared" si="259"/>
        <v>OCGT_2040</v>
      </c>
      <c r="P4545">
        <f t="shared" si="260"/>
        <v>23</v>
      </c>
    </row>
    <row r="4546" spans="4:16" x14ac:dyDescent="0.25">
      <c r="D4546">
        <v>2021</v>
      </c>
      <c r="E4546" t="s">
        <v>130</v>
      </c>
      <c r="F4546" t="s">
        <v>482</v>
      </c>
      <c r="G4546">
        <v>52</v>
      </c>
      <c r="I4546">
        <f t="shared" si="261"/>
        <v>0</v>
      </c>
      <c r="J4546">
        <f t="shared" si="261"/>
        <v>0</v>
      </c>
      <c r="K4546">
        <f t="shared" si="261"/>
        <v>0</v>
      </c>
      <c r="M4546" t="str" cm="1">
        <f t="array" ref="M4546">IFERROR(INDEX($I$2:$K$2,0,MATCH(TRUE,I4546:K4546,0)),E4546)</f>
        <v>OCGT</v>
      </c>
      <c r="O4546" t="str">
        <f t="shared" si="259"/>
        <v>OCGT_2021</v>
      </c>
      <c r="P4546">
        <f t="shared" si="260"/>
        <v>52</v>
      </c>
    </row>
    <row r="4547" spans="4:16" x14ac:dyDescent="0.25">
      <c r="D4547">
        <v>2022</v>
      </c>
      <c r="E4547" t="s">
        <v>130</v>
      </c>
      <c r="F4547" t="s">
        <v>482</v>
      </c>
      <c r="G4547">
        <v>52</v>
      </c>
      <c r="I4547">
        <f t="shared" si="261"/>
        <v>0</v>
      </c>
      <c r="J4547">
        <f t="shared" si="261"/>
        <v>0</v>
      </c>
      <c r="K4547">
        <f t="shared" si="261"/>
        <v>0</v>
      </c>
      <c r="M4547" t="str" cm="1">
        <f t="array" ref="M4547">IFERROR(INDEX($I$2:$K$2,0,MATCH(TRUE,I4547:K4547,0)),E4547)</f>
        <v>OCGT</v>
      </c>
      <c r="O4547" t="str">
        <f t="shared" si="259"/>
        <v>OCGT_2022</v>
      </c>
      <c r="P4547">
        <f t="shared" si="260"/>
        <v>52</v>
      </c>
    </row>
    <row r="4548" spans="4:16" x14ac:dyDescent="0.25">
      <c r="D4548">
        <v>2023</v>
      </c>
      <c r="E4548" t="s">
        <v>130</v>
      </c>
      <c r="F4548" t="s">
        <v>482</v>
      </c>
      <c r="G4548">
        <v>52</v>
      </c>
      <c r="I4548">
        <f t="shared" si="261"/>
        <v>0</v>
      </c>
      <c r="J4548">
        <f t="shared" si="261"/>
        <v>0</v>
      </c>
      <c r="K4548">
        <f t="shared" si="261"/>
        <v>0</v>
      </c>
      <c r="M4548" t="str" cm="1">
        <f t="array" ref="M4548">IFERROR(INDEX($I$2:$K$2,0,MATCH(TRUE,I4548:K4548,0)),E4548)</f>
        <v>OCGT</v>
      </c>
      <c r="O4548" t="str">
        <f t="shared" si="259"/>
        <v>OCGT_2023</v>
      </c>
      <c r="P4548">
        <f t="shared" si="260"/>
        <v>52</v>
      </c>
    </row>
    <row r="4549" spans="4:16" x14ac:dyDescent="0.25">
      <c r="D4549">
        <v>2024</v>
      </c>
      <c r="E4549" t="s">
        <v>130</v>
      </c>
      <c r="F4549" t="s">
        <v>482</v>
      </c>
      <c r="G4549">
        <v>52</v>
      </c>
      <c r="I4549">
        <f t="shared" si="261"/>
        <v>0</v>
      </c>
      <c r="J4549">
        <f t="shared" si="261"/>
        <v>0</v>
      </c>
      <c r="K4549">
        <f t="shared" si="261"/>
        <v>0</v>
      </c>
      <c r="M4549" t="str" cm="1">
        <f t="array" ref="M4549">IFERROR(INDEX($I$2:$K$2,0,MATCH(TRUE,I4549:K4549,0)),E4549)</f>
        <v>OCGT</v>
      </c>
      <c r="O4549" t="str">
        <f t="shared" si="259"/>
        <v>OCGT_2024</v>
      </c>
      <c r="P4549">
        <f t="shared" si="260"/>
        <v>52</v>
      </c>
    </row>
    <row r="4550" spans="4:16" x14ac:dyDescent="0.25">
      <c r="D4550">
        <v>2025</v>
      </c>
      <c r="E4550" t="s">
        <v>130</v>
      </c>
      <c r="F4550" t="s">
        <v>482</v>
      </c>
      <c r="G4550">
        <v>52</v>
      </c>
      <c r="I4550">
        <f t="shared" si="261"/>
        <v>0</v>
      </c>
      <c r="J4550">
        <f t="shared" si="261"/>
        <v>0</v>
      </c>
      <c r="K4550">
        <f t="shared" si="261"/>
        <v>0</v>
      </c>
      <c r="M4550" t="str" cm="1">
        <f t="array" ref="M4550">IFERROR(INDEX($I$2:$K$2,0,MATCH(TRUE,I4550:K4550,0)),E4550)</f>
        <v>OCGT</v>
      </c>
      <c r="O4550" t="str">
        <f t="shared" si="259"/>
        <v>OCGT_2025</v>
      </c>
      <c r="P4550">
        <f t="shared" si="260"/>
        <v>52</v>
      </c>
    </row>
    <row r="4551" spans="4:16" x14ac:dyDescent="0.25">
      <c r="D4551">
        <v>2026</v>
      </c>
      <c r="E4551" t="s">
        <v>130</v>
      </c>
      <c r="F4551" t="s">
        <v>482</v>
      </c>
      <c r="G4551">
        <v>52</v>
      </c>
      <c r="I4551">
        <f t="shared" si="261"/>
        <v>0</v>
      </c>
      <c r="J4551">
        <f t="shared" si="261"/>
        <v>0</v>
      </c>
      <c r="K4551">
        <f t="shared" si="261"/>
        <v>0</v>
      </c>
      <c r="M4551" t="str" cm="1">
        <f t="array" ref="M4551">IFERROR(INDEX($I$2:$K$2,0,MATCH(TRUE,I4551:K4551,0)),E4551)</f>
        <v>OCGT</v>
      </c>
      <c r="O4551" t="str">
        <f t="shared" si="259"/>
        <v>OCGT_2026</v>
      </c>
      <c r="P4551">
        <f t="shared" si="260"/>
        <v>52</v>
      </c>
    </row>
    <row r="4552" spans="4:16" x14ac:dyDescent="0.25">
      <c r="D4552">
        <v>2027</v>
      </c>
      <c r="E4552" t="s">
        <v>130</v>
      </c>
      <c r="F4552" t="s">
        <v>482</v>
      </c>
      <c r="G4552">
        <v>52</v>
      </c>
      <c r="I4552">
        <f t="shared" si="261"/>
        <v>0</v>
      </c>
      <c r="J4552">
        <f t="shared" si="261"/>
        <v>0</v>
      </c>
      <c r="K4552">
        <f t="shared" si="261"/>
        <v>0</v>
      </c>
      <c r="M4552" t="str" cm="1">
        <f t="array" ref="M4552">IFERROR(INDEX($I$2:$K$2,0,MATCH(TRUE,I4552:K4552,0)),E4552)</f>
        <v>OCGT</v>
      </c>
      <c r="O4552" t="str">
        <f t="shared" si="259"/>
        <v>OCGT_2027</v>
      </c>
      <c r="P4552">
        <f t="shared" si="260"/>
        <v>52</v>
      </c>
    </row>
    <row r="4553" spans="4:16" x14ac:dyDescent="0.25">
      <c r="D4553">
        <v>2028</v>
      </c>
      <c r="E4553" t="s">
        <v>130</v>
      </c>
      <c r="F4553" t="s">
        <v>482</v>
      </c>
      <c r="G4553">
        <v>52</v>
      </c>
      <c r="I4553">
        <f t="shared" si="261"/>
        <v>0</v>
      </c>
      <c r="J4553">
        <f t="shared" si="261"/>
        <v>0</v>
      </c>
      <c r="K4553">
        <f t="shared" si="261"/>
        <v>0</v>
      </c>
      <c r="M4553" t="str" cm="1">
        <f t="array" ref="M4553">IFERROR(INDEX($I$2:$K$2,0,MATCH(TRUE,I4553:K4553,0)),E4553)</f>
        <v>OCGT</v>
      </c>
      <c r="O4553" t="str">
        <f t="shared" si="259"/>
        <v>OCGT_2028</v>
      </c>
      <c r="P4553">
        <f t="shared" si="260"/>
        <v>52</v>
      </c>
    </row>
    <row r="4554" spans="4:16" x14ac:dyDescent="0.25">
      <c r="D4554">
        <v>2029</v>
      </c>
      <c r="E4554" t="s">
        <v>130</v>
      </c>
      <c r="F4554" t="s">
        <v>482</v>
      </c>
      <c r="G4554">
        <v>52</v>
      </c>
      <c r="I4554">
        <f t="shared" si="261"/>
        <v>0</v>
      </c>
      <c r="J4554">
        <f t="shared" si="261"/>
        <v>0</v>
      </c>
      <c r="K4554">
        <f t="shared" si="261"/>
        <v>0</v>
      </c>
      <c r="M4554" t="str" cm="1">
        <f t="array" ref="M4554">IFERROR(INDEX($I$2:$K$2,0,MATCH(TRUE,I4554:K4554,0)),E4554)</f>
        <v>OCGT</v>
      </c>
      <c r="O4554" t="str">
        <f t="shared" si="259"/>
        <v>OCGT_2029</v>
      </c>
      <c r="P4554">
        <f t="shared" si="260"/>
        <v>52</v>
      </c>
    </row>
    <row r="4555" spans="4:16" x14ac:dyDescent="0.25">
      <c r="D4555">
        <v>2030</v>
      </c>
      <c r="E4555" t="s">
        <v>130</v>
      </c>
      <c r="F4555" t="s">
        <v>482</v>
      </c>
      <c r="G4555">
        <v>52</v>
      </c>
      <c r="I4555">
        <f t="shared" si="261"/>
        <v>0</v>
      </c>
      <c r="J4555">
        <f t="shared" si="261"/>
        <v>0</v>
      </c>
      <c r="K4555">
        <f t="shared" si="261"/>
        <v>0</v>
      </c>
      <c r="M4555" t="str" cm="1">
        <f t="array" ref="M4555">IFERROR(INDEX($I$2:$K$2,0,MATCH(TRUE,I4555:K4555,0)),E4555)</f>
        <v>OCGT</v>
      </c>
      <c r="O4555" t="str">
        <f t="shared" si="259"/>
        <v>OCGT_2030</v>
      </c>
      <c r="P4555">
        <f t="shared" si="260"/>
        <v>52</v>
      </c>
    </row>
    <row r="4556" spans="4:16" x14ac:dyDescent="0.25">
      <c r="D4556">
        <v>2031</v>
      </c>
      <c r="E4556" t="s">
        <v>130</v>
      </c>
      <c r="F4556" t="s">
        <v>482</v>
      </c>
      <c r="G4556">
        <v>52</v>
      </c>
      <c r="I4556">
        <f t="shared" si="261"/>
        <v>0</v>
      </c>
      <c r="J4556">
        <f t="shared" si="261"/>
        <v>0</v>
      </c>
      <c r="K4556">
        <f t="shared" si="261"/>
        <v>0</v>
      </c>
      <c r="M4556" t="str" cm="1">
        <f t="array" ref="M4556">IFERROR(INDEX($I$2:$K$2,0,MATCH(TRUE,I4556:K4556,0)),E4556)</f>
        <v>OCGT</v>
      </c>
      <c r="O4556" t="str">
        <f t="shared" si="259"/>
        <v>OCGT_2031</v>
      </c>
      <c r="P4556">
        <f t="shared" si="260"/>
        <v>52</v>
      </c>
    </row>
    <row r="4557" spans="4:16" x14ac:dyDescent="0.25">
      <c r="D4557">
        <v>2032</v>
      </c>
      <c r="E4557" t="s">
        <v>130</v>
      </c>
      <c r="F4557" t="s">
        <v>482</v>
      </c>
      <c r="G4557">
        <v>52</v>
      </c>
      <c r="I4557">
        <f t="shared" si="261"/>
        <v>0</v>
      </c>
      <c r="J4557">
        <f t="shared" si="261"/>
        <v>0</v>
      </c>
      <c r="K4557">
        <f t="shared" si="261"/>
        <v>0</v>
      </c>
      <c r="M4557" t="str" cm="1">
        <f t="array" ref="M4557">IFERROR(INDEX($I$2:$K$2,0,MATCH(TRUE,I4557:K4557,0)),E4557)</f>
        <v>OCGT</v>
      </c>
      <c r="O4557" t="str">
        <f t="shared" si="259"/>
        <v>OCGT_2032</v>
      </c>
      <c r="P4557">
        <f t="shared" si="260"/>
        <v>52</v>
      </c>
    </row>
    <row r="4558" spans="4:16" x14ac:dyDescent="0.25">
      <c r="D4558">
        <v>2033</v>
      </c>
      <c r="E4558" t="s">
        <v>130</v>
      </c>
      <c r="F4558" t="s">
        <v>482</v>
      </c>
      <c r="G4558">
        <v>52</v>
      </c>
      <c r="I4558">
        <f t="shared" si="261"/>
        <v>0</v>
      </c>
      <c r="J4558">
        <f t="shared" si="261"/>
        <v>0</v>
      </c>
      <c r="K4558">
        <f t="shared" si="261"/>
        <v>0</v>
      </c>
      <c r="M4558" t="str" cm="1">
        <f t="array" ref="M4558">IFERROR(INDEX($I$2:$K$2,0,MATCH(TRUE,I4558:K4558,0)),E4558)</f>
        <v>OCGT</v>
      </c>
      <c r="O4558" t="str">
        <f t="shared" si="259"/>
        <v>OCGT_2033</v>
      </c>
      <c r="P4558">
        <f t="shared" si="260"/>
        <v>52</v>
      </c>
    </row>
    <row r="4559" spans="4:16" x14ac:dyDescent="0.25">
      <c r="D4559">
        <v>2034</v>
      </c>
      <c r="E4559" t="s">
        <v>130</v>
      </c>
      <c r="F4559" t="s">
        <v>482</v>
      </c>
      <c r="G4559">
        <v>52</v>
      </c>
      <c r="I4559">
        <f t="shared" si="261"/>
        <v>0</v>
      </c>
      <c r="J4559">
        <f t="shared" si="261"/>
        <v>0</v>
      </c>
      <c r="K4559">
        <f t="shared" si="261"/>
        <v>0</v>
      </c>
      <c r="M4559" t="str" cm="1">
        <f t="array" ref="M4559">IFERROR(INDEX($I$2:$K$2,0,MATCH(TRUE,I4559:K4559,0)),E4559)</f>
        <v>OCGT</v>
      </c>
      <c r="O4559" t="str">
        <f t="shared" si="259"/>
        <v>OCGT_2034</v>
      </c>
      <c r="P4559">
        <f t="shared" si="260"/>
        <v>52</v>
      </c>
    </row>
    <row r="4560" spans="4:16" x14ac:dyDescent="0.25">
      <c r="D4560">
        <v>2035</v>
      </c>
      <c r="E4560" t="s">
        <v>130</v>
      </c>
      <c r="F4560" t="s">
        <v>482</v>
      </c>
      <c r="G4560">
        <v>52</v>
      </c>
      <c r="I4560">
        <f t="shared" si="261"/>
        <v>0</v>
      </c>
      <c r="J4560">
        <f t="shared" si="261"/>
        <v>0</v>
      </c>
      <c r="K4560">
        <f t="shared" si="261"/>
        <v>0</v>
      </c>
      <c r="M4560" t="str" cm="1">
        <f t="array" ref="M4560">IFERROR(INDEX($I$2:$K$2,0,MATCH(TRUE,I4560:K4560,0)),E4560)</f>
        <v>OCGT</v>
      </c>
      <c r="O4560" t="str">
        <f t="shared" si="259"/>
        <v>OCGT_2035</v>
      </c>
      <c r="P4560">
        <f t="shared" si="260"/>
        <v>52</v>
      </c>
    </row>
    <row r="4561" spans="4:16" x14ac:dyDescent="0.25">
      <c r="D4561">
        <v>2036</v>
      </c>
      <c r="E4561" t="s">
        <v>130</v>
      </c>
      <c r="F4561" t="s">
        <v>482</v>
      </c>
      <c r="G4561">
        <v>52</v>
      </c>
      <c r="I4561">
        <f t="shared" si="261"/>
        <v>0</v>
      </c>
      <c r="J4561">
        <f t="shared" si="261"/>
        <v>0</v>
      </c>
      <c r="K4561">
        <f t="shared" si="261"/>
        <v>0</v>
      </c>
      <c r="M4561" t="str" cm="1">
        <f t="array" ref="M4561">IFERROR(INDEX($I$2:$K$2,0,MATCH(TRUE,I4561:K4561,0)),E4561)</f>
        <v>OCGT</v>
      </c>
      <c r="O4561" t="str">
        <f t="shared" si="259"/>
        <v>OCGT_2036</v>
      </c>
      <c r="P4561">
        <f t="shared" si="260"/>
        <v>52</v>
      </c>
    </row>
    <row r="4562" spans="4:16" x14ac:dyDescent="0.25">
      <c r="D4562">
        <v>2037</v>
      </c>
      <c r="E4562" t="s">
        <v>130</v>
      </c>
      <c r="F4562" t="s">
        <v>482</v>
      </c>
      <c r="G4562">
        <v>52</v>
      </c>
      <c r="I4562">
        <f t="shared" si="261"/>
        <v>0</v>
      </c>
      <c r="J4562">
        <f t="shared" si="261"/>
        <v>0</v>
      </c>
      <c r="K4562">
        <f t="shared" si="261"/>
        <v>0</v>
      </c>
      <c r="M4562" t="str" cm="1">
        <f t="array" ref="M4562">IFERROR(INDEX($I$2:$K$2,0,MATCH(TRUE,I4562:K4562,0)),E4562)</f>
        <v>OCGT</v>
      </c>
      <c r="O4562" t="str">
        <f t="shared" si="259"/>
        <v>OCGT_2037</v>
      </c>
      <c r="P4562">
        <f t="shared" si="260"/>
        <v>52</v>
      </c>
    </row>
    <row r="4563" spans="4:16" x14ac:dyDescent="0.25">
      <c r="D4563">
        <v>2038</v>
      </c>
      <c r="E4563" t="s">
        <v>130</v>
      </c>
      <c r="F4563" t="s">
        <v>482</v>
      </c>
      <c r="G4563">
        <v>52</v>
      </c>
      <c r="I4563">
        <f t="shared" si="261"/>
        <v>0</v>
      </c>
      <c r="J4563">
        <f t="shared" si="261"/>
        <v>0</v>
      </c>
      <c r="K4563">
        <f t="shared" si="261"/>
        <v>0</v>
      </c>
      <c r="M4563" t="str" cm="1">
        <f t="array" ref="M4563">IFERROR(INDEX($I$2:$K$2,0,MATCH(TRUE,I4563:K4563,0)),E4563)</f>
        <v>OCGT</v>
      </c>
      <c r="O4563" t="str">
        <f t="shared" ref="O4563:O4626" si="262">M4563&amp;"_"&amp;D4563</f>
        <v>OCGT_2038</v>
      </c>
      <c r="P4563">
        <f t="shared" ref="P4563:P4626" si="263">G4563</f>
        <v>52</v>
      </c>
    </row>
    <row r="4564" spans="4:16" x14ac:dyDescent="0.25">
      <c r="D4564">
        <v>2039</v>
      </c>
      <c r="E4564" t="s">
        <v>130</v>
      </c>
      <c r="F4564" t="s">
        <v>482</v>
      </c>
      <c r="G4564">
        <v>52</v>
      </c>
      <c r="I4564">
        <f t="shared" si="261"/>
        <v>0</v>
      </c>
      <c r="J4564">
        <f t="shared" si="261"/>
        <v>0</v>
      </c>
      <c r="K4564">
        <f t="shared" si="261"/>
        <v>0</v>
      </c>
      <c r="M4564" t="str" cm="1">
        <f t="array" ref="M4564">IFERROR(INDEX($I$2:$K$2,0,MATCH(TRUE,I4564:K4564,0)),E4564)</f>
        <v>OCGT</v>
      </c>
      <c r="O4564" t="str">
        <f t="shared" si="262"/>
        <v>OCGT_2039</v>
      </c>
      <c r="P4564">
        <f t="shared" si="263"/>
        <v>52</v>
      </c>
    </row>
    <row r="4565" spans="4:16" x14ac:dyDescent="0.25">
      <c r="D4565">
        <v>2040</v>
      </c>
      <c r="E4565" t="s">
        <v>130</v>
      </c>
      <c r="F4565" t="s">
        <v>482</v>
      </c>
      <c r="G4565">
        <v>52</v>
      </c>
      <c r="I4565">
        <f t="shared" ref="I4565:K4628" si="264">IFERROR(FIND(I$2,$E4565,1)&gt;0,0)</f>
        <v>0</v>
      </c>
      <c r="J4565">
        <f t="shared" si="264"/>
        <v>0</v>
      </c>
      <c r="K4565">
        <f t="shared" si="264"/>
        <v>0</v>
      </c>
      <c r="M4565" t="str" cm="1">
        <f t="array" ref="M4565">IFERROR(INDEX($I$2:$K$2,0,MATCH(TRUE,I4565:K4565,0)),E4565)</f>
        <v>OCGT</v>
      </c>
      <c r="O4565" t="str">
        <f t="shared" si="262"/>
        <v>OCGT_2040</v>
      </c>
      <c r="P4565">
        <f t="shared" si="263"/>
        <v>52</v>
      </c>
    </row>
    <row r="4566" spans="4:16" x14ac:dyDescent="0.25">
      <c r="D4566">
        <v>2021</v>
      </c>
      <c r="E4566" t="s">
        <v>130</v>
      </c>
      <c r="F4566" t="s">
        <v>483</v>
      </c>
      <c r="G4566">
        <v>36</v>
      </c>
      <c r="I4566">
        <f t="shared" si="264"/>
        <v>0</v>
      </c>
      <c r="J4566">
        <f t="shared" si="264"/>
        <v>0</v>
      </c>
      <c r="K4566">
        <f t="shared" si="264"/>
        <v>0</v>
      </c>
      <c r="M4566" t="str" cm="1">
        <f t="array" ref="M4566">IFERROR(INDEX($I$2:$K$2,0,MATCH(TRUE,I4566:K4566,0)),E4566)</f>
        <v>OCGT</v>
      </c>
      <c r="O4566" t="str">
        <f t="shared" si="262"/>
        <v>OCGT_2021</v>
      </c>
      <c r="P4566">
        <f t="shared" si="263"/>
        <v>36</v>
      </c>
    </row>
    <row r="4567" spans="4:16" x14ac:dyDescent="0.25">
      <c r="D4567">
        <v>2022</v>
      </c>
      <c r="E4567" t="s">
        <v>130</v>
      </c>
      <c r="F4567" t="s">
        <v>483</v>
      </c>
      <c r="G4567">
        <v>36</v>
      </c>
      <c r="I4567">
        <f t="shared" si="264"/>
        <v>0</v>
      </c>
      <c r="J4567">
        <f t="shared" si="264"/>
        <v>0</v>
      </c>
      <c r="K4567">
        <f t="shared" si="264"/>
        <v>0</v>
      </c>
      <c r="M4567" t="str" cm="1">
        <f t="array" ref="M4567">IFERROR(INDEX($I$2:$K$2,0,MATCH(TRUE,I4567:K4567,0)),E4567)</f>
        <v>OCGT</v>
      </c>
      <c r="O4567" t="str">
        <f t="shared" si="262"/>
        <v>OCGT_2022</v>
      </c>
      <c r="P4567">
        <f t="shared" si="263"/>
        <v>36</v>
      </c>
    </row>
    <row r="4568" spans="4:16" x14ac:dyDescent="0.25">
      <c r="D4568">
        <v>2023</v>
      </c>
      <c r="E4568" t="s">
        <v>130</v>
      </c>
      <c r="F4568" t="s">
        <v>483</v>
      </c>
      <c r="G4568">
        <v>36</v>
      </c>
      <c r="I4568">
        <f t="shared" si="264"/>
        <v>0</v>
      </c>
      <c r="J4568">
        <f t="shared" si="264"/>
        <v>0</v>
      </c>
      <c r="K4568">
        <f t="shared" si="264"/>
        <v>0</v>
      </c>
      <c r="M4568" t="str" cm="1">
        <f t="array" ref="M4568">IFERROR(INDEX($I$2:$K$2,0,MATCH(TRUE,I4568:K4568,0)),E4568)</f>
        <v>OCGT</v>
      </c>
      <c r="O4568" t="str">
        <f t="shared" si="262"/>
        <v>OCGT_2023</v>
      </c>
      <c r="P4568">
        <f t="shared" si="263"/>
        <v>36</v>
      </c>
    </row>
    <row r="4569" spans="4:16" x14ac:dyDescent="0.25">
      <c r="D4569">
        <v>2024</v>
      </c>
      <c r="E4569" t="s">
        <v>130</v>
      </c>
      <c r="F4569" t="s">
        <v>483</v>
      </c>
      <c r="G4569">
        <v>36</v>
      </c>
      <c r="I4569">
        <f t="shared" si="264"/>
        <v>0</v>
      </c>
      <c r="J4569">
        <f t="shared" si="264"/>
        <v>0</v>
      </c>
      <c r="K4569">
        <f t="shared" si="264"/>
        <v>0</v>
      </c>
      <c r="M4569" t="str" cm="1">
        <f t="array" ref="M4569">IFERROR(INDEX($I$2:$K$2,0,MATCH(TRUE,I4569:K4569,0)),E4569)</f>
        <v>OCGT</v>
      </c>
      <c r="O4569" t="str">
        <f t="shared" si="262"/>
        <v>OCGT_2024</v>
      </c>
      <c r="P4569">
        <f t="shared" si="263"/>
        <v>36</v>
      </c>
    </row>
    <row r="4570" spans="4:16" x14ac:dyDescent="0.25">
      <c r="D4570">
        <v>2025</v>
      </c>
      <c r="E4570" t="s">
        <v>130</v>
      </c>
      <c r="F4570" t="s">
        <v>483</v>
      </c>
      <c r="G4570">
        <v>36</v>
      </c>
      <c r="I4570">
        <f t="shared" si="264"/>
        <v>0</v>
      </c>
      <c r="J4570">
        <f t="shared" si="264"/>
        <v>0</v>
      </c>
      <c r="K4570">
        <f t="shared" si="264"/>
        <v>0</v>
      </c>
      <c r="M4570" t="str" cm="1">
        <f t="array" ref="M4570">IFERROR(INDEX($I$2:$K$2,0,MATCH(TRUE,I4570:K4570,0)),E4570)</f>
        <v>OCGT</v>
      </c>
      <c r="O4570" t="str">
        <f t="shared" si="262"/>
        <v>OCGT_2025</v>
      </c>
      <c r="P4570">
        <f t="shared" si="263"/>
        <v>36</v>
      </c>
    </row>
    <row r="4571" spans="4:16" x14ac:dyDescent="0.25">
      <c r="D4571">
        <v>2026</v>
      </c>
      <c r="E4571" t="s">
        <v>130</v>
      </c>
      <c r="F4571" t="s">
        <v>483</v>
      </c>
      <c r="G4571">
        <v>36</v>
      </c>
      <c r="I4571">
        <f t="shared" si="264"/>
        <v>0</v>
      </c>
      <c r="J4571">
        <f t="shared" si="264"/>
        <v>0</v>
      </c>
      <c r="K4571">
        <f t="shared" si="264"/>
        <v>0</v>
      </c>
      <c r="M4571" t="str" cm="1">
        <f t="array" ref="M4571">IFERROR(INDEX($I$2:$K$2,0,MATCH(TRUE,I4571:K4571,0)),E4571)</f>
        <v>OCGT</v>
      </c>
      <c r="O4571" t="str">
        <f t="shared" si="262"/>
        <v>OCGT_2026</v>
      </c>
      <c r="P4571">
        <f t="shared" si="263"/>
        <v>36</v>
      </c>
    </row>
    <row r="4572" spans="4:16" x14ac:dyDescent="0.25">
      <c r="D4572">
        <v>2027</v>
      </c>
      <c r="E4572" t="s">
        <v>130</v>
      </c>
      <c r="F4572" t="s">
        <v>483</v>
      </c>
      <c r="G4572">
        <v>36</v>
      </c>
      <c r="I4572">
        <f t="shared" si="264"/>
        <v>0</v>
      </c>
      <c r="J4572">
        <f t="shared" si="264"/>
        <v>0</v>
      </c>
      <c r="K4572">
        <f t="shared" si="264"/>
        <v>0</v>
      </c>
      <c r="M4572" t="str" cm="1">
        <f t="array" ref="M4572">IFERROR(INDEX($I$2:$K$2,0,MATCH(TRUE,I4572:K4572,0)),E4572)</f>
        <v>OCGT</v>
      </c>
      <c r="O4572" t="str">
        <f t="shared" si="262"/>
        <v>OCGT_2027</v>
      </c>
      <c r="P4572">
        <f t="shared" si="263"/>
        <v>36</v>
      </c>
    </row>
    <row r="4573" spans="4:16" x14ac:dyDescent="0.25">
      <c r="D4573">
        <v>2028</v>
      </c>
      <c r="E4573" t="s">
        <v>130</v>
      </c>
      <c r="F4573" t="s">
        <v>483</v>
      </c>
      <c r="G4573">
        <v>36</v>
      </c>
      <c r="I4573">
        <f t="shared" si="264"/>
        <v>0</v>
      </c>
      <c r="J4573">
        <f t="shared" si="264"/>
        <v>0</v>
      </c>
      <c r="K4573">
        <f t="shared" si="264"/>
        <v>0</v>
      </c>
      <c r="M4573" t="str" cm="1">
        <f t="array" ref="M4573">IFERROR(INDEX($I$2:$K$2,0,MATCH(TRUE,I4573:K4573,0)),E4573)</f>
        <v>OCGT</v>
      </c>
      <c r="O4573" t="str">
        <f t="shared" si="262"/>
        <v>OCGT_2028</v>
      </c>
      <c r="P4573">
        <f t="shared" si="263"/>
        <v>36</v>
      </c>
    </row>
    <row r="4574" spans="4:16" x14ac:dyDescent="0.25">
      <c r="D4574">
        <v>2029</v>
      </c>
      <c r="E4574" t="s">
        <v>130</v>
      </c>
      <c r="F4574" t="s">
        <v>483</v>
      </c>
      <c r="G4574">
        <v>36</v>
      </c>
      <c r="I4574">
        <f t="shared" si="264"/>
        <v>0</v>
      </c>
      <c r="J4574">
        <f t="shared" si="264"/>
        <v>0</v>
      </c>
      <c r="K4574">
        <f t="shared" si="264"/>
        <v>0</v>
      </c>
      <c r="M4574" t="str" cm="1">
        <f t="array" ref="M4574">IFERROR(INDEX($I$2:$K$2,0,MATCH(TRUE,I4574:K4574,0)),E4574)</f>
        <v>OCGT</v>
      </c>
      <c r="O4574" t="str">
        <f t="shared" si="262"/>
        <v>OCGT_2029</v>
      </c>
      <c r="P4574">
        <f t="shared" si="263"/>
        <v>36</v>
      </c>
    </row>
    <row r="4575" spans="4:16" x14ac:dyDescent="0.25">
      <c r="D4575">
        <v>2030</v>
      </c>
      <c r="E4575" t="s">
        <v>130</v>
      </c>
      <c r="F4575" t="s">
        <v>483</v>
      </c>
      <c r="G4575">
        <v>36</v>
      </c>
      <c r="I4575">
        <f t="shared" si="264"/>
        <v>0</v>
      </c>
      <c r="J4575">
        <f t="shared" si="264"/>
        <v>0</v>
      </c>
      <c r="K4575">
        <f t="shared" si="264"/>
        <v>0</v>
      </c>
      <c r="M4575" t="str" cm="1">
        <f t="array" ref="M4575">IFERROR(INDEX($I$2:$K$2,0,MATCH(TRUE,I4575:K4575,0)),E4575)</f>
        <v>OCGT</v>
      </c>
      <c r="O4575" t="str">
        <f t="shared" si="262"/>
        <v>OCGT_2030</v>
      </c>
      <c r="P4575">
        <f t="shared" si="263"/>
        <v>36</v>
      </c>
    </row>
    <row r="4576" spans="4:16" x14ac:dyDescent="0.25">
      <c r="D4576">
        <v>2031</v>
      </c>
      <c r="E4576" t="s">
        <v>130</v>
      </c>
      <c r="F4576" t="s">
        <v>483</v>
      </c>
      <c r="G4576">
        <v>36</v>
      </c>
      <c r="I4576">
        <f t="shared" si="264"/>
        <v>0</v>
      </c>
      <c r="J4576">
        <f t="shared" si="264"/>
        <v>0</v>
      </c>
      <c r="K4576">
        <f t="shared" si="264"/>
        <v>0</v>
      </c>
      <c r="M4576" t="str" cm="1">
        <f t="array" ref="M4576">IFERROR(INDEX($I$2:$K$2,0,MATCH(TRUE,I4576:K4576,0)),E4576)</f>
        <v>OCGT</v>
      </c>
      <c r="O4576" t="str">
        <f t="shared" si="262"/>
        <v>OCGT_2031</v>
      </c>
      <c r="P4576">
        <f t="shared" si="263"/>
        <v>36</v>
      </c>
    </row>
    <row r="4577" spans="4:16" x14ac:dyDescent="0.25">
      <c r="D4577">
        <v>2032</v>
      </c>
      <c r="E4577" t="s">
        <v>130</v>
      </c>
      <c r="F4577" t="s">
        <v>483</v>
      </c>
      <c r="G4577">
        <v>36</v>
      </c>
      <c r="I4577">
        <f t="shared" si="264"/>
        <v>0</v>
      </c>
      <c r="J4577">
        <f t="shared" si="264"/>
        <v>0</v>
      </c>
      <c r="K4577">
        <f t="shared" si="264"/>
        <v>0</v>
      </c>
      <c r="M4577" t="str" cm="1">
        <f t="array" ref="M4577">IFERROR(INDEX($I$2:$K$2,0,MATCH(TRUE,I4577:K4577,0)),E4577)</f>
        <v>OCGT</v>
      </c>
      <c r="O4577" t="str">
        <f t="shared" si="262"/>
        <v>OCGT_2032</v>
      </c>
      <c r="P4577">
        <f t="shared" si="263"/>
        <v>36</v>
      </c>
    </row>
    <row r="4578" spans="4:16" x14ac:dyDescent="0.25">
      <c r="D4578">
        <v>2033</v>
      </c>
      <c r="E4578" t="s">
        <v>130</v>
      </c>
      <c r="F4578" t="s">
        <v>483</v>
      </c>
      <c r="G4578">
        <v>36</v>
      </c>
      <c r="I4578">
        <f t="shared" si="264"/>
        <v>0</v>
      </c>
      <c r="J4578">
        <f t="shared" si="264"/>
        <v>0</v>
      </c>
      <c r="K4578">
        <f t="shared" si="264"/>
        <v>0</v>
      </c>
      <c r="M4578" t="str" cm="1">
        <f t="array" ref="M4578">IFERROR(INDEX($I$2:$K$2,0,MATCH(TRUE,I4578:K4578,0)),E4578)</f>
        <v>OCGT</v>
      </c>
      <c r="O4578" t="str">
        <f t="shared" si="262"/>
        <v>OCGT_2033</v>
      </c>
      <c r="P4578">
        <f t="shared" si="263"/>
        <v>36</v>
      </c>
    </row>
    <row r="4579" spans="4:16" x14ac:dyDescent="0.25">
      <c r="D4579">
        <v>2034</v>
      </c>
      <c r="E4579" t="s">
        <v>130</v>
      </c>
      <c r="F4579" t="s">
        <v>483</v>
      </c>
      <c r="G4579">
        <v>36</v>
      </c>
      <c r="I4579">
        <f t="shared" si="264"/>
        <v>0</v>
      </c>
      <c r="J4579">
        <f t="shared" si="264"/>
        <v>0</v>
      </c>
      <c r="K4579">
        <f t="shared" si="264"/>
        <v>0</v>
      </c>
      <c r="M4579" t="str" cm="1">
        <f t="array" ref="M4579">IFERROR(INDEX($I$2:$K$2,0,MATCH(TRUE,I4579:K4579,0)),E4579)</f>
        <v>OCGT</v>
      </c>
      <c r="O4579" t="str">
        <f t="shared" si="262"/>
        <v>OCGT_2034</v>
      </c>
      <c r="P4579">
        <f t="shared" si="263"/>
        <v>36</v>
      </c>
    </row>
    <row r="4580" spans="4:16" x14ac:dyDescent="0.25">
      <c r="D4580">
        <v>2035</v>
      </c>
      <c r="E4580" t="s">
        <v>130</v>
      </c>
      <c r="F4580" t="s">
        <v>483</v>
      </c>
      <c r="G4580">
        <v>36</v>
      </c>
      <c r="I4580">
        <f t="shared" si="264"/>
        <v>0</v>
      </c>
      <c r="J4580">
        <f t="shared" si="264"/>
        <v>0</v>
      </c>
      <c r="K4580">
        <f t="shared" si="264"/>
        <v>0</v>
      </c>
      <c r="M4580" t="str" cm="1">
        <f t="array" ref="M4580">IFERROR(INDEX($I$2:$K$2,0,MATCH(TRUE,I4580:K4580,0)),E4580)</f>
        <v>OCGT</v>
      </c>
      <c r="O4580" t="str">
        <f t="shared" si="262"/>
        <v>OCGT_2035</v>
      </c>
      <c r="P4580">
        <f t="shared" si="263"/>
        <v>36</v>
      </c>
    </row>
    <row r="4581" spans="4:16" x14ac:dyDescent="0.25">
      <c r="D4581">
        <v>2036</v>
      </c>
      <c r="E4581" t="s">
        <v>130</v>
      </c>
      <c r="F4581" t="s">
        <v>483</v>
      </c>
      <c r="G4581">
        <v>36</v>
      </c>
      <c r="I4581">
        <f t="shared" si="264"/>
        <v>0</v>
      </c>
      <c r="J4581">
        <f t="shared" si="264"/>
        <v>0</v>
      </c>
      <c r="K4581">
        <f t="shared" si="264"/>
        <v>0</v>
      </c>
      <c r="M4581" t="str" cm="1">
        <f t="array" ref="M4581">IFERROR(INDEX($I$2:$K$2,0,MATCH(TRUE,I4581:K4581,0)),E4581)</f>
        <v>OCGT</v>
      </c>
      <c r="O4581" t="str">
        <f t="shared" si="262"/>
        <v>OCGT_2036</v>
      </c>
      <c r="P4581">
        <f t="shared" si="263"/>
        <v>36</v>
      </c>
    </row>
    <row r="4582" spans="4:16" x14ac:dyDescent="0.25">
      <c r="D4582">
        <v>2037</v>
      </c>
      <c r="E4582" t="s">
        <v>130</v>
      </c>
      <c r="F4582" t="s">
        <v>483</v>
      </c>
      <c r="G4582">
        <v>36</v>
      </c>
      <c r="I4582">
        <f t="shared" si="264"/>
        <v>0</v>
      </c>
      <c r="J4582">
        <f t="shared" si="264"/>
        <v>0</v>
      </c>
      <c r="K4582">
        <f t="shared" si="264"/>
        <v>0</v>
      </c>
      <c r="M4582" t="str" cm="1">
        <f t="array" ref="M4582">IFERROR(INDEX($I$2:$K$2,0,MATCH(TRUE,I4582:K4582,0)),E4582)</f>
        <v>OCGT</v>
      </c>
      <c r="O4582" t="str">
        <f t="shared" si="262"/>
        <v>OCGT_2037</v>
      </c>
      <c r="P4582">
        <f t="shared" si="263"/>
        <v>36</v>
      </c>
    </row>
    <row r="4583" spans="4:16" x14ac:dyDescent="0.25">
      <c r="D4583">
        <v>2038</v>
      </c>
      <c r="E4583" t="s">
        <v>130</v>
      </c>
      <c r="F4583" t="s">
        <v>483</v>
      </c>
      <c r="G4583">
        <v>36</v>
      </c>
      <c r="I4583">
        <f t="shared" si="264"/>
        <v>0</v>
      </c>
      <c r="J4583">
        <f t="shared" si="264"/>
        <v>0</v>
      </c>
      <c r="K4583">
        <f t="shared" si="264"/>
        <v>0</v>
      </c>
      <c r="M4583" t="str" cm="1">
        <f t="array" ref="M4583">IFERROR(INDEX($I$2:$K$2,0,MATCH(TRUE,I4583:K4583,0)),E4583)</f>
        <v>OCGT</v>
      </c>
      <c r="O4583" t="str">
        <f t="shared" si="262"/>
        <v>OCGT_2038</v>
      </c>
      <c r="P4583">
        <f t="shared" si="263"/>
        <v>36</v>
      </c>
    </row>
    <row r="4584" spans="4:16" x14ac:dyDescent="0.25">
      <c r="D4584">
        <v>2039</v>
      </c>
      <c r="E4584" t="s">
        <v>130</v>
      </c>
      <c r="F4584" t="s">
        <v>483</v>
      </c>
      <c r="G4584">
        <v>36</v>
      </c>
      <c r="I4584">
        <f t="shared" si="264"/>
        <v>0</v>
      </c>
      <c r="J4584">
        <f t="shared" si="264"/>
        <v>0</v>
      </c>
      <c r="K4584">
        <f t="shared" si="264"/>
        <v>0</v>
      </c>
      <c r="M4584" t="str" cm="1">
        <f t="array" ref="M4584">IFERROR(INDEX($I$2:$K$2,0,MATCH(TRUE,I4584:K4584,0)),E4584)</f>
        <v>OCGT</v>
      </c>
      <c r="O4584" t="str">
        <f t="shared" si="262"/>
        <v>OCGT_2039</v>
      </c>
      <c r="P4584">
        <f t="shared" si="263"/>
        <v>36</v>
      </c>
    </row>
    <row r="4585" spans="4:16" x14ac:dyDescent="0.25">
      <c r="D4585">
        <v>2040</v>
      </c>
      <c r="E4585" t="s">
        <v>130</v>
      </c>
      <c r="F4585" t="s">
        <v>483</v>
      </c>
      <c r="G4585">
        <v>36</v>
      </c>
      <c r="I4585">
        <f t="shared" si="264"/>
        <v>0</v>
      </c>
      <c r="J4585">
        <f t="shared" si="264"/>
        <v>0</v>
      </c>
      <c r="K4585">
        <f t="shared" si="264"/>
        <v>0</v>
      </c>
      <c r="M4585" t="str" cm="1">
        <f t="array" ref="M4585">IFERROR(INDEX($I$2:$K$2,0,MATCH(TRUE,I4585:K4585,0)),E4585)</f>
        <v>OCGT</v>
      </c>
      <c r="O4585" t="str">
        <f t="shared" si="262"/>
        <v>OCGT_2040</v>
      </c>
      <c r="P4585">
        <f t="shared" si="263"/>
        <v>36</v>
      </c>
    </row>
    <row r="4586" spans="4:16" x14ac:dyDescent="0.25">
      <c r="D4586">
        <v>2021</v>
      </c>
      <c r="E4586" t="s">
        <v>130</v>
      </c>
      <c r="F4586" t="s">
        <v>484</v>
      </c>
      <c r="G4586">
        <v>59</v>
      </c>
      <c r="I4586">
        <f t="shared" si="264"/>
        <v>0</v>
      </c>
      <c r="J4586">
        <f t="shared" si="264"/>
        <v>0</v>
      </c>
      <c r="K4586">
        <f t="shared" si="264"/>
        <v>0</v>
      </c>
      <c r="M4586" t="str" cm="1">
        <f t="array" ref="M4586">IFERROR(INDEX($I$2:$K$2,0,MATCH(TRUE,I4586:K4586,0)),E4586)</f>
        <v>OCGT</v>
      </c>
      <c r="O4586" t="str">
        <f t="shared" si="262"/>
        <v>OCGT_2021</v>
      </c>
      <c r="P4586">
        <f t="shared" si="263"/>
        <v>59</v>
      </c>
    </row>
    <row r="4587" spans="4:16" x14ac:dyDescent="0.25">
      <c r="D4587">
        <v>2022</v>
      </c>
      <c r="E4587" t="s">
        <v>130</v>
      </c>
      <c r="F4587" t="s">
        <v>484</v>
      </c>
      <c r="G4587">
        <v>59</v>
      </c>
      <c r="I4587">
        <f t="shared" si="264"/>
        <v>0</v>
      </c>
      <c r="J4587">
        <f t="shared" si="264"/>
        <v>0</v>
      </c>
      <c r="K4587">
        <f t="shared" si="264"/>
        <v>0</v>
      </c>
      <c r="M4587" t="str" cm="1">
        <f t="array" ref="M4587">IFERROR(INDEX($I$2:$K$2,0,MATCH(TRUE,I4587:K4587,0)),E4587)</f>
        <v>OCGT</v>
      </c>
      <c r="O4587" t="str">
        <f t="shared" si="262"/>
        <v>OCGT_2022</v>
      </c>
      <c r="P4587">
        <f t="shared" si="263"/>
        <v>59</v>
      </c>
    </row>
    <row r="4588" spans="4:16" x14ac:dyDescent="0.25">
      <c r="D4588">
        <v>2023</v>
      </c>
      <c r="E4588" t="s">
        <v>130</v>
      </c>
      <c r="F4588" t="s">
        <v>484</v>
      </c>
      <c r="G4588">
        <v>59</v>
      </c>
      <c r="I4588">
        <f t="shared" si="264"/>
        <v>0</v>
      </c>
      <c r="J4588">
        <f t="shared" si="264"/>
        <v>0</v>
      </c>
      <c r="K4588">
        <f t="shared" si="264"/>
        <v>0</v>
      </c>
      <c r="M4588" t="str" cm="1">
        <f t="array" ref="M4588">IFERROR(INDEX($I$2:$K$2,0,MATCH(TRUE,I4588:K4588,0)),E4588)</f>
        <v>OCGT</v>
      </c>
      <c r="O4588" t="str">
        <f t="shared" si="262"/>
        <v>OCGT_2023</v>
      </c>
      <c r="P4588">
        <f t="shared" si="263"/>
        <v>59</v>
      </c>
    </row>
    <row r="4589" spans="4:16" x14ac:dyDescent="0.25">
      <c r="D4589">
        <v>2024</v>
      </c>
      <c r="E4589" t="s">
        <v>130</v>
      </c>
      <c r="F4589" t="s">
        <v>484</v>
      </c>
      <c r="G4589">
        <v>59</v>
      </c>
      <c r="I4589">
        <f t="shared" si="264"/>
        <v>0</v>
      </c>
      <c r="J4589">
        <f t="shared" si="264"/>
        <v>0</v>
      </c>
      <c r="K4589">
        <f t="shared" si="264"/>
        <v>0</v>
      </c>
      <c r="M4589" t="str" cm="1">
        <f t="array" ref="M4589">IFERROR(INDEX($I$2:$K$2,0,MATCH(TRUE,I4589:K4589,0)),E4589)</f>
        <v>OCGT</v>
      </c>
      <c r="O4589" t="str">
        <f t="shared" si="262"/>
        <v>OCGT_2024</v>
      </c>
      <c r="P4589">
        <f t="shared" si="263"/>
        <v>59</v>
      </c>
    </row>
    <row r="4590" spans="4:16" x14ac:dyDescent="0.25">
      <c r="D4590">
        <v>2025</v>
      </c>
      <c r="E4590" t="s">
        <v>130</v>
      </c>
      <c r="F4590" t="s">
        <v>484</v>
      </c>
      <c r="G4590">
        <v>59</v>
      </c>
      <c r="I4590">
        <f t="shared" si="264"/>
        <v>0</v>
      </c>
      <c r="J4590">
        <f t="shared" si="264"/>
        <v>0</v>
      </c>
      <c r="K4590">
        <f t="shared" si="264"/>
        <v>0</v>
      </c>
      <c r="M4590" t="str" cm="1">
        <f t="array" ref="M4590">IFERROR(INDEX($I$2:$K$2,0,MATCH(TRUE,I4590:K4590,0)),E4590)</f>
        <v>OCGT</v>
      </c>
      <c r="O4590" t="str">
        <f t="shared" si="262"/>
        <v>OCGT_2025</v>
      </c>
      <c r="P4590">
        <f t="shared" si="263"/>
        <v>59</v>
      </c>
    </row>
    <row r="4591" spans="4:16" x14ac:dyDescent="0.25">
      <c r="D4591">
        <v>2026</v>
      </c>
      <c r="E4591" t="s">
        <v>130</v>
      </c>
      <c r="F4591" t="s">
        <v>484</v>
      </c>
      <c r="G4591">
        <v>59</v>
      </c>
      <c r="I4591">
        <f t="shared" si="264"/>
        <v>0</v>
      </c>
      <c r="J4591">
        <f t="shared" si="264"/>
        <v>0</v>
      </c>
      <c r="K4591">
        <f t="shared" si="264"/>
        <v>0</v>
      </c>
      <c r="M4591" t="str" cm="1">
        <f t="array" ref="M4591">IFERROR(INDEX($I$2:$K$2,0,MATCH(TRUE,I4591:K4591,0)),E4591)</f>
        <v>OCGT</v>
      </c>
      <c r="O4591" t="str">
        <f t="shared" si="262"/>
        <v>OCGT_2026</v>
      </c>
      <c r="P4591">
        <f t="shared" si="263"/>
        <v>59</v>
      </c>
    </row>
    <row r="4592" spans="4:16" x14ac:dyDescent="0.25">
      <c r="D4592">
        <v>2027</v>
      </c>
      <c r="E4592" t="s">
        <v>130</v>
      </c>
      <c r="F4592" t="s">
        <v>484</v>
      </c>
      <c r="G4592">
        <v>59</v>
      </c>
      <c r="I4592">
        <f t="shared" si="264"/>
        <v>0</v>
      </c>
      <c r="J4592">
        <f t="shared" si="264"/>
        <v>0</v>
      </c>
      <c r="K4592">
        <f t="shared" si="264"/>
        <v>0</v>
      </c>
      <c r="M4592" t="str" cm="1">
        <f t="array" ref="M4592">IFERROR(INDEX($I$2:$K$2,0,MATCH(TRUE,I4592:K4592,0)),E4592)</f>
        <v>OCGT</v>
      </c>
      <c r="O4592" t="str">
        <f t="shared" si="262"/>
        <v>OCGT_2027</v>
      </c>
      <c r="P4592">
        <f t="shared" si="263"/>
        <v>59</v>
      </c>
    </row>
    <row r="4593" spans="4:16" x14ac:dyDescent="0.25">
      <c r="D4593">
        <v>2028</v>
      </c>
      <c r="E4593" t="s">
        <v>130</v>
      </c>
      <c r="F4593" t="s">
        <v>484</v>
      </c>
      <c r="G4593">
        <v>59</v>
      </c>
      <c r="I4593">
        <f t="shared" si="264"/>
        <v>0</v>
      </c>
      <c r="J4593">
        <f t="shared" si="264"/>
        <v>0</v>
      </c>
      <c r="K4593">
        <f t="shared" si="264"/>
        <v>0</v>
      </c>
      <c r="M4593" t="str" cm="1">
        <f t="array" ref="M4593">IFERROR(INDEX($I$2:$K$2,0,MATCH(TRUE,I4593:K4593,0)),E4593)</f>
        <v>OCGT</v>
      </c>
      <c r="O4593" t="str">
        <f t="shared" si="262"/>
        <v>OCGT_2028</v>
      </c>
      <c r="P4593">
        <f t="shared" si="263"/>
        <v>59</v>
      </c>
    </row>
    <row r="4594" spans="4:16" x14ac:dyDescent="0.25">
      <c r="D4594">
        <v>2029</v>
      </c>
      <c r="E4594" t="s">
        <v>130</v>
      </c>
      <c r="F4594" t="s">
        <v>484</v>
      </c>
      <c r="G4594">
        <v>59</v>
      </c>
      <c r="I4594">
        <f t="shared" si="264"/>
        <v>0</v>
      </c>
      <c r="J4594">
        <f t="shared" si="264"/>
        <v>0</v>
      </c>
      <c r="K4594">
        <f t="shared" si="264"/>
        <v>0</v>
      </c>
      <c r="M4594" t="str" cm="1">
        <f t="array" ref="M4594">IFERROR(INDEX($I$2:$K$2,0,MATCH(TRUE,I4594:K4594,0)),E4594)</f>
        <v>OCGT</v>
      </c>
      <c r="O4594" t="str">
        <f t="shared" si="262"/>
        <v>OCGT_2029</v>
      </c>
      <c r="P4594">
        <f t="shared" si="263"/>
        <v>59</v>
      </c>
    </row>
    <row r="4595" spans="4:16" x14ac:dyDescent="0.25">
      <c r="D4595">
        <v>2030</v>
      </c>
      <c r="E4595" t="s">
        <v>130</v>
      </c>
      <c r="F4595" t="s">
        <v>484</v>
      </c>
      <c r="G4595">
        <v>59</v>
      </c>
      <c r="I4595">
        <f t="shared" si="264"/>
        <v>0</v>
      </c>
      <c r="J4595">
        <f t="shared" si="264"/>
        <v>0</v>
      </c>
      <c r="K4595">
        <f t="shared" si="264"/>
        <v>0</v>
      </c>
      <c r="M4595" t="str" cm="1">
        <f t="array" ref="M4595">IFERROR(INDEX($I$2:$K$2,0,MATCH(TRUE,I4595:K4595,0)),E4595)</f>
        <v>OCGT</v>
      </c>
      <c r="O4595" t="str">
        <f t="shared" si="262"/>
        <v>OCGT_2030</v>
      </c>
      <c r="P4595">
        <f t="shared" si="263"/>
        <v>59</v>
      </c>
    </row>
    <row r="4596" spans="4:16" x14ac:dyDescent="0.25">
      <c r="D4596">
        <v>2031</v>
      </c>
      <c r="E4596" t="s">
        <v>130</v>
      </c>
      <c r="F4596" t="s">
        <v>484</v>
      </c>
      <c r="G4596">
        <v>59</v>
      </c>
      <c r="I4596">
        <f t="shared" si="264"/>
        <v>0</v>
      </c>
      <c r="J4596">
        <f t="shared" si="264"/>
        <v>0</v>
      </c>
      <c r="K4596">
        <f t="shared" si="264"/>
        <v>0</v>
      </c>
      <c r="M4596" t="str" cm="1">
        <f t="array" ref="M4596">IFERROR(INDEX($I$2:$K$2,0,MATCH(TRUE,I4596:K4596,0)),E4596)</f>
        <v>OCGT</v>
      </c>
      <c r="O4596" t="str">
        <f t="shared" si="262"/>
        <v>OCGT_2031</v>
      </c>
      <c r="P4596">
        <f t="shared" si="263"/>
        <v>59</v>
      </c>
    </row>
    <row r="4597" spans="4:16" x14ac:dyDescent="0.25">
      <c r="D4597">
        <v>2032</v>
      </c>
      <c r="E4597" t="s">
        <v>130</v>
      </c>
      <c r="F4597" t="s">
        <v>484</v>
      </c>
      <c r="G4597">
        <v>59</v>
      </c>
      <c r="I4597">
        <f t="shared" si="264"/>
        <v>0</v>
      </c>
      <c r="J4597">
        <f t="shared" si="264"/>
        <v>0</v>
      </c>
      <c r="K4597">
        <f t="shared" si="264"/>
        <v>0</v>
      </c>
      <c r="M4597" t="str" cm="1">
        <f t="array" ref="M4597">IFERROR(INDEX($I$2:$K$2,0,MATCH(TRUE,I4597:K4597,0)),E4597)</f>
        <v>OCGT</v>
      </c>
      <c r="O4597" t="str">
        <f t="shared" si="262"/>
        <v>OCGT_2032</v>
      </c>
      <c r="P4597">
        <f t="shared" si="263"/>
        <v>59</v>
      </c>
    </row>
    <row r="4598" spans="4:16" x14ac:dyDescent="0.25">
      <c r="D4598">
        <v>2033</v>
      </c>
      <c r="E4598" t="s">
        <v>130</v>
      </c>
      <c r="F4598" t="s">
        <v>484</v>
      </c>
      <c r="G4598">
        <v>59</v>
      </c>
      <c r="I4598">
        <f t="shared" si="264"/>
        <v>0</v>
      </c>
      <c r="J4598">
        <f t="shared" si="264"/>
        <v>0</v>
      </c>
      <c r="K4598">
        <f t="shared" si="264"/>
        <v>0</v>
      </c>
      <c r="M4598" t="str" cm="1">
        <f t="array" ref="M4598">IFERROR(INDEX($I$2:$K$2,0,MATCH(TRUE,I4598:K4598,0)),E4598)</f>
        <v>OCGT</v>
      </c>
      <c r="O4598" t="str">
        <f t="shared" si="262"/>
        <v>OCGT_2033</v>
      </c>
      <c r="P4598">
        <f t="shared" si="263"/>
        <v>59</v>
      </c>
    </row>
    <row r="4599" spans="4:16" x14ac:dyDescent="0.25">
      <c r="D4599">
        <v>2034</v>
      </c>
      <c r="E4599" t="s">
        <v>130</v>
      </c>
      <c r="F4599" t="s">
        <v>484</v>
      </c>
      <c r="G4599">
        <v>59</v>
      </c>
      <c r="I4599">
        <f t="shared" si="264"/>
        <v>0</v>
      </c>
      <c r="J4599">
        <f t="shared" si="264"/>
        <v>0</v>
      </c>
      <c r="K4599">
        <f t="shared" si="264"/>
        <v>0</v>
      </c>
      <c r="M4599" t="str" cm="1">
        <f t="array" ref="M4599">IFERROR(INDEX($I$2:$K$2,0,MATCH(TRUE,I4599:K4599,0)),E4599)</f>
        <v>OCGT</v>
      </c>
      <c r="O4599" t="str">
        <f t="shared" si="262"/>
        <v>OCGT_2034</v>
      </c>
      <c r="P4599">
        <f t="shared" si="263"/>
        <v>59</v>
      </c>
    </row>
    <row r="4600" spans="4:16" x14ac:dyDescent="0.25">
      <c r="D4600">
        <v>2035</v>
      </c>
      <c r="E4600" t="s">
        <v>130</v>
      </c>
      <c r="F4600" t="s">
        <v>484</v>
      </c>
      <c r="G4600">
        <v>59</v>
      </c>
      <c r="I4600">
        <f t="shared" si="264"/>
        <v>0</v>
      </c>
      <c r="J4600">
        <f t="shared" si="264"/>
        <v>0</v>
      </c>
      <c r="K4600">
        <f t="shared" si="264"/>
        <v>0</v>
      </c>
      <c r="M4600" t="str" cm="1">
        <f t="array" ref="M4600">IFERROR(INDEX($I$2:$K$2,0,MATCH(TRUE,I4600:K4600,0)),E4600)</f>
        <v>OCGT</v>
      </c>
      <c r="O4600" t="str">
        <f t="shared" si="262"/>
        <v>OCGT_2035</v>
      </c>
      <c r="P4600">
        <f t="shared" si="263"/>
        <v>59</v>
      </c>
    </row>
    <row r="4601" spans="4:16" x14ac:dyDescent="0.25">
      <c r="D4601">
        <v>2036</v>
      </c>
      <c r="E4601" t="s">
        <v>130</v>
      </c>
      <c r="F4601" t="s">
        <v>484</v>
      </c>
      <c r="G4601">
        <v>59</v>
      </c>
      <c r="I4601">
        <f t="shared" si="264"/>
        <v>0</v>
      </c>
      <c r="J4601">
        <f t="shared" si="264"/>
        <v>0</v>
      </c>
      <c r="K4601">
        <f t="shared" si="264"/>
        <v>0</v>
      </c>
      <c r="M4601" t="str" cm="1">
        <f t="array" ref="M4601">IFERROR(INDEX($I$2:$K$2,0,MATCH(TRUE,I4601:K4601,0)),E4601)</f>
        <v>OCGT</v>
      </c>
      <c r="O4601" t="str">
        <f t="shared" si="262"/>
        <v>OCGT_2036</v>
      </c>
      <c r="P4601">
        <f t="shared" si="263"/>
        <v>59</v>
      </c>
    </row>
    <row r="4602" spans="4:16" x14ac:dyDescent="0.25">
      <c r="D4602">
        <v>2037</v>
      </c>
      <c r="E4602" t="s">
        <v>130</v>
      </c>
      <c r="F4602" t="s">
        <v>484</v>
      </c>
      <c r="G4602">
        <v>59</v>
      </c>
      <c r="I4602">
        <f t="shared" si="264"/>
        <v>0</v>
      </c>
      <c r="J4602">
        <f t="shared" si="264"/>
        <v>0</v>
      </c>
      <c r="K4602">
        <f t="shared" si="264"/>
        <v>0</v>
      </c>
      <c r="M4602" t="str" cm="1">
        <f t="array" ref="M4602">IFERROR(INDEX($I$2:$K$2,0,MATCH(TRUE,I4602:K4602,0)),E4602)</f>
        <v>OCGT</v>
      </c>
      <c r="O4602" t="str">
        <f t="shared" si="262"/>
        <v>OCGT_2037</v>
      </c>
      <c r="P4602">
        <f t="shared" si="263"/>
        <v>59</v>
      </c>
    </row>
    <row r="4603" spans="4:16" x14ac:dyDescent="0.25">
      <c r="D4603">
        <v>2038</v>
      </c>
      <c r="E4603" t="s">
        <v>130</v>
      </c>
      <c r="F4603" t="s">
        <v>484</v>
      </c>
      <c r="G4603">
        <v>59</v>
      </c>
      <c r="I4603">
        <f t="shared" si="264"/>
        <v>0</v>
      </c>
      <c r="J4603">
        <f t="shared" si="264"/>
        <v>0</v>
      </c>
      <c r="K4603">
        <f t="shared" si="264"/>
        <v>0</v>
      </c>
      <c r="M4603" t="str" cm="1">
        <f t="array" ref="M4603">IFERROR(INDEX($I$2:$K$2,0,MATCH(TRUE,I4603:K4603,0)),E4603)</f>
        <v>OCGT</v>
      </c>
      <c r="O4603" t="str">
        <f t="shared" si="262"/>
        <v>OCGT_2038</v>
      </c>
      <c r="P4603">
        <f t="shared" si="263"/>
        <v>59</v>
      </c>
    </row>
    <row r="4604" spans="4:16" x14ac:dyDescent="0.25">
      <c r="D4604">
        <v>2039</v>
      </c>
      <c r="E4604" t="s">
        <v>130</v>
      </c>
      <c r="F4604" t="s">
        <v>484</v>
      </c>
      <c r="G4604">
        <v>59</v>
      </c>
      <c r="I4604">
        <f t="shared" si="264"/>
        <v>0</v>
      </c>
      <c r="J4604">
        <f t="shared" si="264"/>
        <v>0</v>
      </c>
      <c r="K4604">
        <f t="shared" si="264"/>
        <v>0</v>
      </c>
      <c r="M4604" t="str" cm="1">
        <f t="array" ref="M4604">IFERROR(INDEX($I$2:$K$2,0,MATCH(TRUE,I4604:K4604,0)),E4604)</f>
        <v>OCGT</v>
      </c>
      <c r="O4604" t="str">
        <f t="shared" si="262"/>
        <v>OCGT_2039</v>
      </c>
      <c r="P4604">
        <f t="shared" si="263"/>
        <v>59</v>
      </c>
    </row>
    <row r="4605" spans="4:16" x14ac:dyDescent="0.25">
      <c r="D4605">
        <v>2040</v>
      </c>
      <c r="E4605" t="s">
        <v>130</v>
      </c>
      <c r="F4605" t="s">
        <v>484</v>
      </c>
      <c r="G4605">
        <v>59</v>
      </c>
      <c r="I4605">
        <f t="shared" si="264"/>
        <v>0</v>
      </c>
      <c r="J4605">
        <f t="shared" si="264"/>
        <v>0</v>
      </c>
      <c r="K4605">
        <f t="shared" si="264"/>
        <v>0</v>
      </c>
      <c r="M4605" t="str" cm="1">
        <f t="array" ref="M4605">IFERROR(INDEX($I$2:$K$2,0,MATCH(TRUE,I4605:K4605,0)),E4605)</f>
        <v>OCGT</v>
      </c>
      <c r="O4605" t="str">
        <f t="shared" si="262"/>
        <v>OCGT_2040</v>
      </c>
      <c r="P4605">
        <f t="shared" si="263"/>
        <v>59</v>
      </c>
    </row>
    <row r="4606" spans="4:16" x14ac:dyDescent="0.25">
      <c r="D4606">
        <v>2021</v>
      </c>
      <c r="E4606" t="s">
        <v>130</v>
      </c>
      <c r="F4606" t="s">
        <v>485</v>
      </c>
      <c r="G4606">
        <v>321</v>
      </c>
      <c r="I4606">
        <f t="shared" si="264"/>
        <v>0</v>
      </c>
      <c r="J4606">
        <f t="shared" si="264"/>
        <v>0</v>
      </c>
      <c r="K4606">
        <f t="shared" si="264"/>
        <v>0</v>
      </c>
      <c r="M4606" t="str" cm="1">
        <f t="array" ref="M4606">IFERROR(INDEX($I$2:$K$2,0,MATCH(TRUE,I4606:K4606,0)),E4606)</f>
        <v>OCGT</v>
      </c>
      <c r="O4606" t="str">
        <f t="shared" si="262"/>
        <v>OCGT_2021</v>
      </c>
      <c r="P4606">
        <f t="shared" si="263"/>
        <v>321</v>
      </c>
    </row>
    <row r="4607" spans="4:16" x14ac:dyDescent="0.25">
      <c r="D4607">
        <v>2022</v>
      </c>
      <c r="E4607" t="s">
        <v>130</v>
      </c>
      <c r="F4607" t="s">
        <v>485</v>
      </c>
      <c r="G4607">
        <v>321</v>
      </c>
      <c r="I4607">
        <f t="shared" si="264"/>
        <v>0</v>
      </c>
      <c r="J4607">
        <f t="shared" si="264"/>
        <v>0</v>
      </c>
      <c r="K4607">
        <f t="shared" si="264"/>
        <v>0</v>
      </c>
      <c r="M4607" t="str" cm="1">
        <f t="array" ref="M4607">IFERROR(INDEX($I$2:$K$2,0,MATCH(TRUE,I4607:K4607,0)),E4607)</f>
        <v>OCGT</v>
      </c>
      <c r="O4607" t="str">
        <f t="shared" si="262"/>
        <v>OCGT_2022</v>
      </c>
      <c r="P4607">
        <f t="shared" si="263"/>
        <v>321</v>
      </c>
    </row>
    <row r="4608" spans="4:16" x14ac:dyDescent="0.25">
      <c r="D4608">
        <v>2023</v>
      </c>
      <c r="E4608" t="s">
        <v>130</v>
      </c>
      <c r="F4608" t="s">
        <v>485</v>
      </c>
      <c r="G4608">
        <v>321</v>
      </c>
      <c r="I4608">
        <f t="shared" si="264"/>
        <v>0</v>
      </c>
      <c r="J4608">
        <f t="shared" si="264"/>
        <v>0</v>
      </c>
      <c r="K4608">
        <f t="shared" si="264"/>
        <v>0</v>
      </c>
      <c r="M4608" t="str" cm="1">
        <f t="array" ref="M4608">IFERROR(INDEX($I$2:$K$2,0,MATCH(TRUE,I4608:K4608,0)),E4608)</f>
        <v>OCGT</v>
      </c>
      <c r="O4608" t="str">
        <f t="shared" si="262"/>
        <v>OCGT_2023</v>
      </c>
      <c r="P4608">
        <f t="shared" si="263"/>
        <v>321</v>
      </c>
    </row>
    <row r="4609" spans="4:16" x14ac:dyDescent="0.25">
      <c r="D4609">
        <v>2024</v>
      </c>
      <c r="E4609" t="s">
        <v>130</v>
      </c>
      <c r="F4609" t="s">
        <v>485</v>
      </c>
      <c r="G4609">
        <v>321</v>
      </c>
      <c r="I4609">
        <f t="shared" si="264"/>
        <v>0</v>
      </c>
      <c r="J4609">
        <f t="shared" si="264"/>
        <v>0</v>
      </c>
      <c r="K4609">
        <f t="shared" si="264"/>
        <v>0</v>
      </c>
      <c r="M4609" t="str" cm="1">
        <f t="array" ref="M4609">IFERROR(INDEX($I$2:$K$2,0,MATCH(TRUE,I4609:K4609,0)),E4609)</f>
        <v>OCGT</v>
      </c>
      <c r="O4609" t="str">
        <f t="shared" si="262"/>
        <v>OCGT_2024</v>
      </c>
      <c r="P4609">
        <f t="shared" si="263"/>
        <v>321</v>
      </c>
    </row>
    <row r="4610" spans="4:16" x14ac:dyDescent="0.25">
      <c r="D4610">
        <v>2025</v>
      </c>
      <c r="E4610" t="s">
        <v>130</v>
      </c>
      <c r="F4610" t="s">
        <v>485</v>
      </c>
      <c r="G4610">
        <v>321</v>
      </c>
      <c r="I4610">
        <f t="shared" si="264"/>
        <v>0</v>
      </c>
      <c r="J4610">
        <f t="shared" si="264"/>
        <v>0</v>
      </c>
      <c r="K4610">
        <f t="shared" si="264"/>
        <v>0</v>
      </c>
      <c r="M4610" t="str" cm="1">
        <f t="array" ref="M4610">IFERROR(INDEX($I$2:$K$2,0,MATCH(TRUE,I4610:K4610,0)),E4610)</f>
        <v>OCGT</v>
      </c>
      <c r="O4610" t="str">
        <f t="shared" si="262"/>
        <v>OCGT_2025</v>
      </c>
      <c r="P4610">
        <f t="shared" si="263"/>
        <v>321</v>
      </c>
    </row>
    <row r="4611" spans="4:16" x14ac:dyDescent="0.25">
      <c r="D4611">
        <v>2026</v>
      </c>
      <c r="E4611" t="s">
        <v>130</v>
      </c>
      <c r="F4611" t="s">
        <v>485</v>
      </c>
      <c r="G4611">
        <v>321</v>
      </c>
      <c r="I4611">
        <f t="shared" si="264"/>
        <v>0</v>
      </c>
      <c r="J4611">
        <f t="shared" si="264"/>
        <v>0</v>
      </c>
      <c r="K4611">
        <f t="shared" si="264"/>
        <v>0</v>
      </c>
      <c r="M4611" t="str" cm="1">
        <f t="array" ref="M4611">IFERROR(INDEX($I$2:$K$2,0,MATCH(TRUE,I4611:K4611,0)),E4611)</f>
        <v>OCGT</v>
      </c>
      <c r="O4611" t="str">
        <f t="shared" si="262"/>
        <v>OCGT_2026</v>
      </c>
      <c r="P4611">
        <f t="shared" si="263"/>
        <v>321</v>
      </c>
    </row>
    <row r="4612" spans="4:16" x14ac:dyDescent="0.25">
      <c r="D4612">
        <v>2027</v>
      </c>
      <c r="E4612" t="s">
        <v>130</v>
      </c>
      <c r="F4612" t="s">
        <v>485</v>
      </c>
      <c r="G4612">
        <v>321</v>
      </c>
      <c r="I4612">
        <f t="shared" si="264"/>
        <v>0</v>
      </c>
      <c r="J4612">
        <f t="shared" si="264"/>
        <v>0</v>
      </c>
      <c r="K4612">
        <f t="shared" si="264"/>
        <v>0</v>
      </c>
      <c r="M4612" t="str" cm="1">
        <f t="array" ref="M4612">IFERROR(INDEX($I$2:$K$2,0,MATCH(TRUE,I4612:K4612,0)),E4612)</f>
        <v>OCGT</v>
      </c>
      <c r="O4612" t="str">
        <f t="shared" si="262"/>
        <v>OCGT_2027</v>
      </c>
      <c r="P4612">
        <f t="shared" si="263"/>
        <v>321</v>
      </c>
    </row>
    <row r="4613" spans="4:16" x14ac:dyDescent="0.25">
      <c r="D4613">
        <v>2021</v>
      </c>
      <c r="E4613" t="s">
        <v>130</v>
      </c>
      <c r="F4613" t="s">
        <v>486</v>
      </c>
      <c r="G4613">
        <v>48</v>
      </c>
      <c r="I4613">
        <f t="shared" si="264"/>
        <v>0</v>
      </c>
      <c r="J4613">
        <f t="shared" si="264"/>
        <v>0</v>
      </c>
      <c r="K4613">
        <f t="shared" si="264"/>
        <v>0</v>
      </c>
      <c r="M4613" t="str" cm="1">
        <f t="array" ref="M4613">IFERROR(INDEX($I$2:$K$2,0,MATCH(TRUE,I4613:K4613,0)),E4613)</f>
        <v>OCGT</v>
      </c>
      <c r="O4613" t="str">
        <f t="shared" si="262"/>
        <v>OCGT_2021</v>
      </c>
      <c r="P4613">
        <f t="shared" si="263"/>
        <v>48</v>
      </c>
    </row>
    <row r="4614" spans="4:16" x14ac:dyDescent="0.25">
      <c r="D4614">
        <v>2022</v>
      </c>
      <c r="E4614" t="s">
        <v>130</v>
      </c>
      <c r="F4614" t="s">
        <v>486</v>
      </c>
      <c r="G4614">
        <v>48</v>
      </c>
      <c r="I4614">
        <f t="shared" si="264"/>
        <v>0</v>
      </c>
      <c r="J4614">
        <f t="shared" si="264"/>
        <v>0</v>
      </c>
      <c r="K4614">
        <f t="shared" si="264"/>
        <v>0</v>
      </c>
      <c r="M4614" t="str" cm="1">
        <f t="array" ref="M4614">IFERROR(INDEX($I$2:$K$2,0,MATCH(TRUE,I4614:K4614,0)),E4614)</f>
        <v>OCGT</v>
      </c>
      <c r="O4614" t="str">
        <f t="shared" si="262"/>
        <v>OCGT_2022</v>
      </c>
      <c r="P4614">
        <f t="shared" si="263"/>
        <v>48</v>
      </c>
    </row>
    <row r="4615" spans="4:16" x14ac:dyDescent="0.25">
      <c r="D4615">
        <v>2023</v>
      </c>
      <c r="E4615" t="s">
        <v>130</v>
      </c>
      <c r="F4615" t="s">
        <v>486</v>
      </c>
      <c r="G4615">
        <v>48</v>
      </c>
      <c r="I4615">
        <f t="shared" si="264"/>
        <v>0</v>
      </c>
      <c r="J4615">
        <f t="shared" si="264"/>
        <v>0</v>
      </c>
      <c r="K4615">
        <f t="shared" si="264"/>
        <v>0</v>
      </c>
      <c r="M4615" t="str" cm="1">
        <f t="array" ref="M4615">IFERROR(INDEX($I$2:$K$2,0,MATCH(TRUE,I4615:K4615,0)),E4615)</f>
        <v>OCGT</v>
      </c>
      <c r="O4615" t="str">
        <f t="shared" si="262"/>
        <v>OCGT_2023</v>
      </c>
      <c r="P4615">
        <f t="shared" si="263"/>
        <v>48</v>
      </c>
    </row>
    <row r="4616" spans="4:16" x14ac:dyDescent="0.25">
      <c r="D4616">
        <v>2024</v>
      </c>
      <c r="E4616" t="s">
        <v>130</v>
      </c>
      <c r="F4616" t="s">
        <v>486</v>
      </c>
      <c r="G4616">
        <v>48</v>
      </c>
      <c r="I4616">
        <f t="shared" si="264"/>
        <v>0</v>
      </c>
      <c r="J4616">
        <f t="shared" si="264"/>
        <v>0</v>
      </c>
      <c r="K4616">
        <f t="shared" si="264"/>
        <v>0</v>
      </c>
      <c r="M4616" t="str" cm="1">
        <f t="array" ref="M4616">IFERROR(INDEX($I$2:$K$2,0,MATCH(TRUE,I4616:K4616,0)),E4616)</f>
        <v>OCGT</v>
      </c>
      <c r="O4616" t="str">
        <f t="shared" si="262"/>
        <v>OCGT_2024</v>
      </c>
      <c r="P4616">
        <f t="shared" si="263"/>
        <v>48</v>
      </c>
    </row>
    <row r="4617" spans="4:16" x14ac:dyDescent="0.25">
      <c r="D4617">
        <v>2025</v>
      </c>
      <c r="E4617" t="s">
        <v>130</v>
      </c>
      <c r="F4617" t="s">
        <v>486</v>
      </c>
      <c r="G4617">
        <v>48</v>
      </c>
      <c r="I4617">
        <f t="shared" si="264"/>
        <v>0</v>
      </c>
      <c r="J4617">
        <f t="shared" si="264"/>
        <v>0</v>
      </c>
      <c r="K4617">
        <f t="shared" si="264"/>
        <v>0</v>
      </c>
      <c r="M4617" t="str" cm="1">
        <f t="array" ref="M4617">IFERROR(INDEX($I$2:$K$2,0,MATCH(TRUE,I4617:K4617,0)),E4617)</f>
        <v>OCGT</v>
      </c>
      <c r="O4617" t="str">
        <f t="shared" si="262"/>
        <v>OCGT_2025</v>
      </c>
      <c r="P4617">
        <f t="shared" si="263"/>
        <v>48</v>
      </c>
    </row>
    <row r="4618" spans="4:16" x14ac:dyDescent="0.25">
      <c r="D4618">
        <v>2026</v>
      </c>
      <c r="E4618" t="s">
        <v>130</v>
      </c>
      <c r="F4618" t="s">
        <v>486</v>
      </c>
      <c r="G4618">
        <v>48</v>
      </c>
      <c r="I4618">
        <f t="shared" si="264"/>
        <v>0</v>
      </c>
      <c r="J4618">
        <f t="shared" si="264"/>
        <v>0</v>
      </c>
      <c r="K4618">
        <f t="shared" si="264"/>
        <v>0</v>
      </c>
      <c r="M4618" t="str" cm="1">
        <f t="array" ref="M4618">IFERROR(INDEX($I$2:$K$2,0,MATCH(TRUE,I4618:K4618,0)),E4618)</f>
        <v>OCGT</v>
      </c>
      <c r="O4618" t="str">
        <f t="shared" si="262"/>
        <v>OCGT_2026</v>
      </c>
      <c r="P4618">
        <f t="shared" si="263"/>
        <v>48</v>
      </c>
    </row>
    <row r="4619" spans="4:16" x14ac:dyDescent="0.25">
      <c r="D4619">
        <v>2027</v>
      </c>
      <c r="E4619" t="s">
        <v>130</v>
      </c>
      <c r="F4619" t="s">
        <v>486</v>
      </c>
      <c r="G4619">
        <v>48</v>
      </c>
      <c r="I4619">
        <f t="shared" si="264"/>
        <v>0</v>
      </c>
      <c r="J4619">
        <f t="shared" si="264"/>
        <v>0</v>
      </c>
      <c r="K4619">
        <f t="shared" si="264"/>
        <v>0</v>
      </c>
      <c r="M4619" t="str" cm="1">
        <f t="array" ref="M4619">IFERROR(INDEX($I$2:$K$2,0,MATCH(TRUE,I4619:K4619,0)),E4619)</f>
        <v>OCGT</v>
      </c>
      <c r="O4619" t="str">
        <f t="shared" si="262"/>
        <v>OCGT_2027</v>
      </c>
      <c r="P4619">
        <f t="shared" si="263"/>
        <v>48</v>
      </c>
    </row>
    <row r="4620" spans="4:16" x14ac:dyDescent="0.25">
      <c r="D4620">
        <v>2028</v>
      </c>
      <c r="E4620" t="s">
        <v>130</v>
      </c>
      <c r="F4620" t="s">
        <v>486</v>
      </c>
      <c r="G4620">
        <v>48</v>
      </c>
      <c r="I4620">
        <f t="shared" si="264"/>
        <v>0</v>
      </c>
      <c r="J4620">
        <f t="shared" si="264"/>
        <v>0</v>
      </c>
      <c r="K4620">
        <f t="shared" si="264"/>
        <v>0</v>
      </c>
      <c r="M4620" t="str" cm="1">
        <f t="array" ref="M4620">IFERROR(INDEX($I$2:$K$2,0,MATCH(TRUE,I4620:K4620,0)),E4620)</f>
        <v>OCGT</v>
      </c>
      <c r="O4620" t="str">
        <f t="shared" si="262"/>
        <v>OCGT_2028</v>
      </c>
      <c r="P4620">
        <f t="shared" si="263"/>
        <v>48</v>
      </c>
    </row>
    <row r="4621" spans="4:16" x14ac:dyDescent="0.25">
      <c r="D4621">
        <v>2029</v>
      </c>
      <c r="E4621" t="s">
        <v>130</v>
      </c>
      <c r="F4621" t="s">
        <v>486</v>
      </c>
      <c r="G4621">
        <v>48</v>
      </c>
      <c r="I4621">
        <f t="shared" si="264"/>
        <v>0</v>
      </c>
      <c r="J4621">
        <f t="shared" si="264"/>
        <v>0</v>
      </c>
      <c r="K4621">
        <f t="shared" si="264"/>
        <v>0</v>
      </c>
      <c r="M4621" t="str" cm="1">
        <f t="array" ref="M4621">IFERROR(INDEX($I$2:$K$2,0,MATCH(TRUE,I4621:K4621,0)),E4621)</f>
        <v>OCGT</v>
      </c>
      <c r="O4621" t="str">
        <f t="shared" si="262"/>
        <v>OCGT_2029</v>
      </c>
      <c r="P4621">
        <f t="shared" si="263"/>
        <v>48</v>
      </c>
    </row>
    <row r="4622" spans="4:16" x14ac:dyDescent="0.25">
      <c r="D4622">
        <v>2030</v>
      </c>
      <c r="E4622" t="s">
        <v>130</v>
      </c>
      <c r="F4622" t="s">
        <v>486</v>
      </c>
      <c r="G4622">
        <v>48</v>
      </c>
      <c r="I4622">
        <f t="shared" si="264"/>
        <v>0</v>
      </c>
      <c r="J4622">
        <f t="shared" si="264"/>
        <v>0</v>
      </c>
      <c r="K4622">
        <f t="shared" si="264"/>
        <v>0</v>
      </c>
      <c r="M4622" t="str" cm="1">
        <f t="array" ref="M4622">IFERROR(INDEX($I$2:$K$2,0,MATCH(TRUE,I4622:K4622,0)),E4622)</f>
        <v>OCGT</v>
      </c>
      <c r="O4622" t="str">
        <f t="shared" si="262"/>
        <v>OCGT_2030</v>
      </c>
      <c r="P4622">
        <f t="shared" si="263"/>
        <v>48</v>
      </c>
    </row>
    <row r="4623" spans="4:16" x14ac:dyDescent="0.25">
      <c r="D4623">
        <v>2031</v>
      </c>
      <c r="E4623" t="s">
        <v>130</v>
      </c>
      <c r="F4623" t="s">
        <v>486</v>
      </c>
      <c r="G4623">
        <v>48</v>
      </c>
      <c r="I4623">
        <f t="shared" si="264"/>
        <v>0</v>
      </c>
      <c r="J4623">
        <f t="shared" si="264"/>
        <v>0</v>
      </c>
      <c r="K4623">
        <f t="shared" si="264"/>
        <v>0</v>
      </c>
      <c r="M4623" t="str" cm="1">
        <f t="array" ref="M4623">IFERROR(INDEX($I$2:$K$2,0,MATCH(TRUE,I4623:K4623,0)),E4623)</f>
        <v>OCGT</v>
      </c>
      <c r="O4623" t="str">
        <f t="shared" si="262"/>
        <v>OCGT_2031</v>
      </c>
      <c r="P4623">
        <f t="shared" si="263"/>
        <v>48</v>
      </c>
    </row>
    <row r="4624" spans="4:16" x14ac:dyDescent="0.25">
      <c r="D4624">
        <v>2032</v>
      </c>
      <c r="E4624" t="s">
        <v>130</v>
      </c>
      <c r="F4624" t="s">
        <v>486</v>
      </c>
      <c r="G4624">
        <v>48</v>
      </c>
      <c r="I4624">
        <f t="shared" si="264"/>
        <v>0</v>
      </c>
      <c r="J4624">
        <f t="shared" si="264"/>
        <v>0</v>
      </c>
      <c r="K4624">
        <f t="shared" si="264"/>
        <v>0</v>
      </c>
      <c r="M4624" t="str" cm="1">
        <f t="array" ref="M4624">IFERROR(INDEX($I$2:$K$2,0,MATCH(TRUE,I4624:K4624,0)),E4624)</f>
        <v>OCGT</v>
      </c>
      <c r="O4624" t="str">
        <f t="shared" si="262"/>
        <v>OCGT_2032</v>
      </c>
      <c r="P4624">
        <f t="shared" si="263"/>
        <v>48</v>
      </c>
    </row>
    <row r="4625" spans="4:16" x14ac:dyDescent="0.25">
      <c r="D4625">
        <v>2033</v>
      </c>
      <c r="E4625" t="s">
        <v>130</v>
      </c>
      <c r="F4625" t="s">
        <v>486</v>
      </c>
      <c r="G4625">
        <v>48</v>
      </c>
      <c r="I4625">
        <f t="shared" si="264"/>
        <v>0</v>
      </c>
      <c r="J4625">
        <f t="shared" si="264"/>
        <v>0</v>
      </c>
      <c r="K4625">
        <f t="shared" si="264"/>
        <v>0</v>
      </c>
      <c r="M4625" t="str" cm="1">
        <f t="array" ref="M4625">IFERROR(INDEX($I$2:$K$2,0,MATCH(TRUE,I4625:K4625,0)),E4625)</f>
        <v>OCGT</v>
      </c>
      <c r="O4625" t="str">
        <f t="shared" si="262"/>
        <v>OCGT_2033</v>
      </c>
      <c r="P4625">
        <f t="shared" si="263"/>
        <v>48</v>
      </c>
    </row>
    <row r="4626" spans="4:16" x14ac:dyDescent="0.25">
      <c r="D4626">
        <v>2034</v>
      </c>
      <c r="E4626" t="s">
        <v>130</v>
      </c>
      <c r="F4626" t="s">
        <v>486</v>
      </c>
      <c r="G4626">
        <v>48</v>
      </c>
      <c r="I4626">
        <f t="shared" si="264"/>
        <v>0</v>
      </c>
      <c r="J4626">
        <f t="shared" si="264"/>
        <v>0</v>
      </c>
      <c r="K4626">
        <f t="shared" si="264"/>
        <v>0</v>
      </c>
      <c r="M4626" t="str" cm="1">
        <f t="array" ref="M4626">IFERROR(INDEX($I$2:$K$2,0,MATCH(TRUE,I4626:K4626,0)),E4626)</f>
        <v>OCGT</v>
      </c>
      <c r="O4626" t="str">
        <f t="shared" si="262"/>
        <v>OCGT_2034</v>
      </c>
      <c r="P4626">
        <f t="shared" si="263"/>
        <v>48</v>
      </c>
    </row>
    <row r="4627" spans="4:16" x14ac:dyDescent="0.25">
      <c r="D4627">
        <v>2035</v>
      </c>
      <c r="E4627" t="s">
        <v>130</v>
      </c>
      <c r="F4627" t="s">
        <v>486</v>
      </c>
      <c r="G4627">
        <v>48</v>
      </c>
      <c r="I4627">
        <f t="shared" si="264"/>
        <v>0</v>
      </c>
      <c r="J4627">
        <f t="shared" si="264"/>
        <v>0</v>
      </c>
      <c r="K4627">
        <f t="shared" si="264"/>
        <v>0</v>
      </c>
      <c r="M4627" t="str" cm="1">
        <f t="array" ref="M4627">IFERROR(INDEX($I$2:$K$2,0,MATCH(TRUE,I4627:K4627,0)),E4627)</f>
        <v>OCGT</v>
      </c>
      <c r="O4627" t="str">
        <f t="shared" ref="O4627:O4690" si="265">M4627&amp;"_"&amp;D4627</f>
        <v>OCGT_2035</v>
      </c>
      <c r="P4627">
        <f t="shared" ref="P4627:P4690" si="266">G4627</f>
        <v>48</v>
      </c>
    </row>
    <row r="4628" spans="4:16" x14ac:dyDescent="0.25">
      <c r="D4628">
        <v>2036</v>
      </c>
      <c r="E4628" t="s">
        <v>130</v>
      </c>
      <c r="F4628" t="s">
        <v>486</v>
      </c>
      <c r="G4628">
        <v>48</v>
      </c>
      <c r="I4628">
        <f t="shared" si="264"/>
        <v>0</v>
      </c>
      <c r="J4628">
        <f t="shared" si="264"/>
        <v>0</v>
      </c>
      <c r="K4628">
        <f t="shared" si="264"/>
        <v>0</v>
      </c>
      <c r="M4628" t="str" cm="1">
        <f t="array" ref="M4628">IFERROR(INDEX($I$2:$K$2,0,MATCH(TRUE,I4628:K4628,0)),E4628)</f>
        <v>OCGT</v>
      </c>
      <c r="O4628" t="str">
        <f t="shared" si="265"/>
        <v>OCGT_2036</v>
      </c>
      <c r="P4628">
        <f t="shared" si="266"/>
        <v>48</v>
      </c>
    </row>
    <row r="4629" spans="4:16" x14ac:dyDescent="0.25">
      <c r="D4629">
        <v>2037</v>
      </c>
      <c r="E4629" t="s">
        <v>130</v>
      </c>
      <c r="F4629" t="s">
        <v>486</v>
      </c>
      <c r="G4629">
        <v>48</v>
      </c>
      <c r="I4629">
        <f t="shared" ref="I4629:K4692" si="267">IFERROR(FIND(I$2,$E4629,1)&gt;0,0)</f>
        <v>0</v>
      </c>
      <c r="J4629">
        <f t="shared" si="267"/>
        <v>0</v>
      </c>
      <c r="K4629">
        <f t="shared" si="267"/>
        <v>0</v>
      </c>
      <c r="M4629" t="str" cm="1">
        <f t="array" ref="M4629">IFERROR(INDEX($I$2:$K$2,0,MATCH(TRUE,I4629:K4629,0)),E4629)</f>
        <v>OCGT</v>
      </c>
      <c r="O4629" t="str">
        <f t="shared" si="265"/>
        <v>OCGT_2037</v>
      </c>
      <c r="P4629">
        <f t="shared" si="266"/>
        <v>48</v>
      </c>
    </row>
    <row r="4630" spans="4:16" x14ac:dyDescent="0.25">
      <c r="D4630">
        <v>2038</v>
      </c>
      <c r="E4630" t="s">
        <v>130</v>
      </c>
      <c r="F4630" t="s">
        <v>486</v>
      </c>
      <c r="G4630">
        <v>48</v>
      </c>
      <c r="I4630">
        <f t="shared" si="267"/>
        <v>0</v>
      </c>
      <c r="J4630">
        <f t="shared" si="267"/>
        <v>0</v>
      </c>
      <c r="K4630">
        <f t="shared" si="267"/>
        <v>0</v>
      </c>
      <c r="M4630" t="str" cm="1">
        <f t="array" ref="M4630">IFERROR(INDEX($I$2:$K$2,0,MATCH(TRUE,I4630:K4630,0)),E4630)</f>
        <v>OCGT</v>
      </c>
      <c r="O4630" t="str">
        <f t="shared" si="265"/>
        <v>OCGT_2038</v>
      </c>
      <c r="P4630">
        <f t="shared" si="266"/>
        <v>48</v>
      </c>
    </row>
    <row r="4631" spans="4:16" x14ac:dyDescent="0.25">
      <c r="D4631">
        <v>2039</v>
      </c>
      <c r="E4631" t="s">
        <v>130</v>
      </c>
      <c r="F4631" t="s">
        <v>486</v>
      </c>
      <c r="G4631">
        <v>48</v>
      </c>
      <c r="I4631">
        <f t="shared" si="267"/>
        <v>0</v>
      </c>
      <c r="J4631">
        <f t="shared" si="267"/>
        <v>0</v>
      </c>
      <c r="K4631">
        <f t="shared" si="267"/>
        <v>0</v>
      </c>
      <c r="M4631" t="str" cm="1">
        <f t="array" ref="M4631">IFERROR(INDEX($I$2:$K$2,0,MATCH(TRUE,I4631:K4631,0)),E4631)</f>
        <v>OCGT</v>
      </c>
      <c r="O4631" t="str">
        <f t="shared" si="265"/>
        <v>OCGT_2039</v>
      </c>
      <c r="P4631">
        <f t="shared" si="266"/>
        <v>48</v>
      </c>
    </row>
    <row r="4632" spans="4:16" x14ac:dyDescent="0.25">
      <c r="D4632">
        <v>2040</v>
      </c>
      <c r="E4632" t="s">
        <v>130</v>
      </c>
      <c r="F4632" t="s">
        <v>486</v>
      </c>
      <c r="G4632">
        <v>48</v>
      </c>
      <c r="I4632">
        <f t="shared" si="267"/>
        <v>0</v>
      </c>
      <c r="J4632">
        <f t="shared" si="267"/>
        <v>0</v>
      </c>
      <c r="K4632">
        <f t="shared" si="267"/>
        <v>0</v>
      </c>
      <c r="M4632" t="str" cm="1">
        <f t="array" ref="M4632">IFERROR(INDEX($I$2:$K$2,0,MATCH(TRUE,I4632:K4632,0)),E4632)</f>
        <v>OCGT</v>
      </c>
      <c r="O4632" t="str">
        <f t="shared" si="265"/>
        <v>OCGT_2040</v>
      </c>
      <c r="P4632">
        <f t="shared" si="266"/>
        <v>48</v>
      </c>
    </row>
    <row r="4633" spans="4:16" x14ac:dyDescent="0.25">
      <c r="D4633">
        <v>2021</v>
      </c>
      <c r="E4633" t="s">
        <v>130</v>
      </c>
      <c r="F4633" t="s">
        <v>487</v>
      </c>
      <c r="G4633">
        <v>48</v>
      </c>
      <c r="I4633">
        <f t="shared" si="267"/>
        <v>0</v>
      </c>
      <c r="J4633">
        <f t="shared" si="267"/>
        <v>0</v>
      </c>
      <c r="K4633">
        <f t="shared" si="267"/>
        <v>0</v>
      </c>
      <c r="M4633" t="str" cm="1">
        <f t="array" ref="M4633">IFERROR(INDEX($I$2:$K$2,0,MATCH(TRUE,I4633:K4633,0)),E4633)</f>
        <v>OCGT</v>
      </c>
      <c r="O4633" t="str">
        <f t="shared" si="265"/>
        <v>OCGT_2021</v>
      </c>
      <c r="P4633">
        <f t="shared" si="266"/>
        <v>48</v>
      </c>
    </row>
    <row r="4634" spans="4:16" x14ac:dyDescent="0.25">
      <c r="D4634">
        <v>2022</v>
      </c>
      <c r="E4634" t="s">
        <v>130</v>
      </c>
      <c r="F4634" t="s">
        <v>487</v>
      </c>
      <c r="G4634">
        <v>48</v>
      </c>
      <c r="I4634">
        <f t="shared" si="267"/>
        <v>0</v>
      </c>
      <c r="J4634">
        <f t="shared" si="267"/>
        <v>0</v>
      </c>
      <c r="K4634">
        <f t="shared" si="267"/>
        <v>0</v>
      </c>
      <c r="M4634" t="str" cm="1">
        <f t="array" ref="M4634">IFERROR(INDEX($I$2:$K$2,0,MATCH(TRUE,I4634:K4634,0)),E4634)</f>
        <v>OCGT</v>
      </c>
      <c r="O4634" t="str">
        <f t="shared" si="265"/>
        <v>OCGT_2022</v>
      </c>
      <c r="P4634">
        <f t="shared" si="266"/>
        <v>48</v>
      </c>
    </row>
    <row r="4635" spans="4:16" x14ac:dyDescent="0.25">
      <c r="D4635">
        <v>2023</v>
      </c>
      <c r="E4635" t="s">
        <v>130</v>
      </c>
      <c r="F4635" t="s">
        <v>487</v>
      </c>
      <c r="G4635">
        <v>48</v>
      </c>
      <c r="I4635">
        <f t="shared" si="267"/>
        <v>0</v>
      </c>
      <c r="J4635">
        <f t="shared" si="267"/>
        <v>0</v>
      </c>
      <c r="K4635">
        <f t="shared" si="267"/>
        <v>0</v>
      </c>
      <c r="M4635" t="str" cm="1">
        <f t="array" ref="M4635">IFERROR(INDEX($I$2:$K$2,0,MATCH(TRUE,I4635:K4635,0)),E4635)</f>
        <v>OCGT</v>
      </c>
      <c r="O4635" t="str">
        <f t="shared" si="265"/>
        <v>OCGT_2023</v>
      </c>
      <c r="P4635">
        <f t="shared" si="266"/>
        <v>48</v>
      </c>
    </row>
    <row r="4636" spans="4:16" x14ac:dyDescent="0.25">
      <c r="D4636">
        <v>2024</v>
      </c>
      <c r="E4636" t="s">
        <v>130</v>
      </c>
      <c r="F4636" t="s">
        <v>487</v>
      </c>
      <c r="G4636">
        <v>48</v>
      </c>
      <c r="I4636">
        <f t="shared" si="267"/>
        <v>0</v>
      </c>
      <c r="J4636">
        <f t="shared" si="267"/>
        <v>0</v>
      </c>
      <c r="K4636">
        <f t="shared" si="267"/>
        <v>0</v>
      </c>
      <c r="M4636" t="str" cm="1">
        <f t="array" ref="M4636">IFERROR(INDEX($I$2:$K$2,0,MATCH(TRUE,I4636:K4636,0)),E4636)</f>
        <v>OCGT</v>
      </c>
      <c r="O4636" t="str">
        <f t="shared" si="265"/>
        <v>OCGT_2024</v>
      </c>
      <c r="P4636">
        <f t="shared" si="266"/>
        <v>48</v>
      </c>
    </row>
    <row r="4637" spans="4:16" x14ac:dyDescent="0.25">
      <c r="D4637">
        <v>2025</v>
      </c>
      <c r="E4637" t="s">
        <v>130</v>
      </c>
      <c r="F4637" t="s">
        <v>487</v>
      </c>
      <c r="G4637">
        <v>48</v>
      </c>
      <c r="I4637">
        <f t="shared" si="267"/>
        <v>0</v>
      </c>
      <c r="J4637">
        <f t="shared" si="267"/>
        <v>0</v>
      </c>
      <c r="K4637">
        <f t="shared" si="267"/>
        <v>0</v>
      </c>
      <c r="M4637" t="str" cm="1">
        <f t="array" ref="M4637">IFERROR(INDEX($I$2:$K$2,0,MATCH(TRUE,I4637:K4637,0)),E4637)</f>
        <v>OCGT</v>
      </c>
      <c r="O4637" t="str">
        <f t="shared" si="265"/>
        <v>OCGT_2025</v>
      </c>
      <c r="P4637">
        <f t="shared" si="266"/>
        <v>48</v>
      </c>
    </row>
    <row r="4638" spans="4:16" x14ac:dyDescent="0.25">
      <c r="D4638">
        <v>2026</v>
      </c>
      <c r="E4638" t="s">
        <v>130</v>
      </c>
      <c r="F4638" t="s">
        <v>487</v>
      </c>
      <c r="G4638">
        <v>48</v>
      </c>
      <c r="I4638">
        <f t="shared" si="267"/>
        <v>0</v>
      </c>
      <c r="J4638">
        <f t="shared" si="267"/>
        <v>0</v>
      </c>
      <c r="K4638">
        <f t="shared" si="267"/>
        <v>0</v>
      </c>
      <c r="M4638" t="str" cm="1">
        <f t="array" ref="M4638">IFERROR(INDEX($I$2:$K$2,0,MATCH(TRUE,I4638:K4638,0)),E4638)</f>
        <v>OCGT</v>
      </c>
      <c r="O4638" t="str">
        <f t="shared" si="265"/>
        <v>OCGT_2026</v>
      </c>
      <c r="P4638">
        <f t="shared" si="266"/>
        <v>48</v>
      </c>
    </row>
    <row r="4639" spans="4:16" x14ac:dyDescent="0.25">
      <c r="D4639">
        <v>2027</v>
      </c>
      <c r="E4639" t="s">
        <v>130</v>
      </c>
      <c r="F4639" t="s">
        <v>487</v>
      </c>
      <c r="G4639">
        <v>48</v>
      </c>
      <c r="I4639">
        <f t="shared" si="267"/>
        <v>0</v>
      </c>
      <c r="J4639">
        <f t="shared" si="267"/>
        <v>0</v>
      </c>
      <c r="K4639">
        <f t="shared" si="267"/>
        <v>0</v>
      </c>
      <c r="M4639" t="str" cm="1">
        <f t="array" ref="M4639">IFERROR(INDEX($I$2:$K$2,0,MATCH(TRUE,I4639:K4639,0)),E4639)</f>
        <v>OCGT</v>
      </c>
      <c r="O4639" t="str">
        <f t="shared" si="265"/>
        <v>OCGT_2027</v>
      </c>
      <c r="P4639">
        <f t="shared" si="266"/>
        <v>48</v>
      </c>
    </row>
    <row r="4640" spans="4:16" x14ac:dyDescent="0.25">
      <c r="D4640">
        <v>2028</v>
      </c>
      <c r="E4640" t="s">
        <v>130</v>
      </c>
      <c r="F4640" t="s">
        <v>487</v>
      </c>
      <c r="G4640">
        <v>48</v>
      </c>
      <c r="I4640">
        <f t="shared" si="267"/>
        <v>0</v>
      </c>
      <c r="J4640">
        <f t="shared" si="267"/>
        <v>0</v>
      </c>
      <c r="K4640">
        <f t="shared" si="267"/>
        <v>0</v>
      </c>
      <c r="M4640" t="str" cm="1">
        <f t="array" ref="M4640">IFERROR(INDEX($I$2:$K$2,0,MATCH(TRUE,I4640:K4640,0)),E4640)</f>
        <v>OCGT</v>
      </c>
      <c r="O4640" t="str">
        <f t="shared" si="265"/>
        <v>OCGT_2028</v>
      </c>
      <c r="P4640">
        <f t="shared" si="266"/>
        <v>48</v>
      </c>
    </row>
    <row r="4641" spans="4:16" x14ac:dyDescent="0.25">
      <c r="D4641">
        <v>2029</v>
      </c>
      <c r="E4641" t="s">
        <v>130</v>
      </c>
      <c r="F4641" t="s">
        <v>487</v>
      </c>
      <c r="G4641">
        <v>48</v>
      </c>
      <c r="I4641">
        <f t="shared" si="267"/>
        <v>0</v>
      </c>
      <c r="J4641">
        <f t="shared" si="267"/>
        <v>0</v>
      </c>
      <c r="K4641">
        <f t="shared" si="267"/>
        <v>0</v>
      </c>
      <c r="M4641" t="str" cm="1">
        <f t="array" ref="M4641">IFERROR(INDEX($I$2:$K$2,0,MATCH(TRUE,I4641:K4641,0)),E4641)</f>
        <v>OCGT</v>
      </c>
      <c r="O4641" t="str">
        <f t="shared" si="265"/>
        <v>OCGT_2029</v>
      </c>
      <c r="P4641">
        <f t="shared" si="266"/>
        <v>48</v>
      </c>
    </row>
    <row r="4642" spans="4:16" x14ac:dyDescent="0.25">
      <c r="D4642">
        <v>2030</v>
      </c>
      <c r="E4642" t="s">
        <v>130</v>
      </c>
      <c r="F4642" t="s">
        <v>487</v>
      </c>
      <c r="G4642">
        <v>48</v>
      </c>
      <c r="I4642">
        <f t="shared" si="267"/>
        <v>0</v>
      </c>
      <c r="J4642">
        <f t="shared" si="267"/>
        <v>0</v>
      </c>
      <c r="K4642">
        <f t="shared" si="267"/>
        <v>0</v>
      </c>
      <c r="M4642" t="str" cm="1">
        <f t="array" ref="M4642">IFERROR(INDEX($I$2:$K$2,0,MATCH(TRUE,I4642:K4642,0)),E4642)</f>
        <v>OCGT</v>
      </c>
      <c r="O4642" t="str">
        <f t="shared" si="265"/>
        <v>OCGT_2030</v>
      </c>
      <c r="P4642">
        <f t="shared" si="266"/>
        <v>48</v>
      </c>
    </row>
    <row r="4643" spans="4:16" x14ac:dyDescent="0.25">
      <c r="D4643">
        <v>2031</v>
      </c>
      <c r="E4643" t="s">
        <v>130</v>
      </c>
      <c r="F4643" t="s">
        <v>487</v>
      </c>
      <c r="G4643">
        <v>48</v>
      </c>
      <c r="I4643">
        <f t="shared" si="267"/>
        <v>0</v>
      </c>
      <c r="J4643">
        <f t="shared" si="267"/>
        <v>0</v>
      </c>
      <c r="K4643">
        <f t="shared" si="267"/>
        <v>0</v>
      </c>
      <c r="M4643" t="str" cm="1">
        <f t="array" ref="M4643">IFERROR(INDEX($I$2:$K$2,0,MATCH(TRUE,I4643:K4643,0)),E4643)</f>
        <v>OCGT</v>
      </c>
      <c r="O4643" t="str">
        <f t="shared" si="265"/>
        <v>OCGT_2031</v>
      </c>
      <c r="P4643">
        <f t="shared" si="266"/>
        <v>48</v>
      </c>
    </row>
    <row r="4644" spans="4:16" x14ac:dyDescent="0.25">
      <c r="D4644">
        <v>2032</v>
      </c>
      <c r="E4644" t="s">
        <v>130</v>
      </c>
      <c r="F4644" t="s">
        <v>487</v>
      </c>
      <c r="G4644">
        <v>48</v>
      </c>
      <c r="I4644">
        <f t="shared" si="267"/>
        <v>0</v>
      </c>
      <c r="J4644">
        <f t="shared" si="267"/>
        <v>0</v>
      </c>
      <c r="K4644">
        <f t="shared" si="267"/>
        <v>0</v>
      </c>
      <c r="M4644" t="str" cm="1">
        <f t="array" ref="M4644">IFERROR(INDEX($I$2:$K$2,0,MATCH(TRUE,I4644:K4644,0)),E4644)</f>
        <v>OCGT</v>
      </c>
      <c r="O4644" t="str">
        <f t="shared" si="265"/>
        <v>OCGT_2032</v>
      </c>
      <c r="P4644">
        <f t="shared" si="266"/>
        <v>48</v>
      </c>
    </row>
    <row r="4645" spans="4:16" x14ac:dyDescent="0.25">
      <c r="D4645">
        <v>2033</v>
      </c>
      <c r="E4645" t="s">
        <v>130</v>
      </c>
      <c r="F4645" t="s">
        <v>487</v>
      </c>
      <c r="G4645">
        <v>48</v>
      </c>
      <c r="I4645">
        <f t="shared" si="267"/>
        <v>0</v>
      </c>
      <c r="J4645">
        <f t="shared" si="267"/>
        <v>0</v>
      </c>
      <c r="K4645">
        <f t="shared" si="267"/>
        <v>0</v>
      </c>
      <c r="M4645" t="str" cm="1">
        <f t="array" ref="M4645">IFERROR(INDEX($I$2:$K$2,0,MATCH(TRUE,I4645:K4645,0)),E4645)</f>
        <v>OCGT</v>
      </c>
      <c r="O4645" t="str">
        <f t="shared" si="265"/>
        <v>OCGT_2033</v>
      </c>
      <c r="P4645">
        <f t="shared" si="266"/>
        <v>48</v>
      </c>
    </row>
    <row r="4646" spans="4:16" x14ac:dyDescent="0.25">
      <c r="D4646">
        <v>2034</v>
      </c>
      <c r="E4646" t="s">
        <v>130</v>
      </c>
      <c r="F4646" t="s">
        <v>487</v>
      </c>
      <c r="G4646">
        <v>48</v>
      </c>
      <c r="I4646">
        <f t="shared" si="267"/>
        <v>0</v>
      </c>
      <c r="J4646">
        <f t="shared" si="267"/>
        <v>0</v>
      </c>
      <c r="K4646">
        <f t="shared" si="267"/>
        <v>0</v>
      </c>
      <c r="M4646" t="str" cm="1">
        <f t="array" ref="M4646">IFERROR(INDEX($I$2:$K$2,0,MATCH(TRUE,I4646:K4646,0)),E4646)</f>
        <v>OCGT</v>
      </c>
      <c r="O4646" t="str">
        <f t="shared" si="265"/>
        <v>OCGT_2034</v>
      </c>
      <c r="P4646">
        <f t="shared" si="266"/>
        <v>48</v>
      </c>
    </row>
    <row r="4647" spans="4:16" x14ac:dyDescent="0.25">
      <c r="D4647">
        <v>2035</v>
      </c>
      <c r="E4647" t="s">
        <v>130</v>
      </c>
      <c r="F4647" t="s">
        <v>487</v>
      </c>
      <c r="G4647">
        <v>48</v>
      </c>
      <c r="I4647">
        <f t="shared" si="267"/>
        <v>0</v>
      </c>
      <c r="J4647">
        <f t="shared" si="267"/>
        <v>0</v>
      </c>
      <c r="K4647">
        <f t="shared" si="267"/>
        <v>0</v>
      </c>
      <c r="M4647" t="str" cm="1">
        <f t="array" ref="M4647">IFERROR(INDEX($I$2:$K$2,0,MATCH(TRUE,I4647:K4647,0)),E4647)</f>
        <v>OCGT</v>
      </c>
      <c r="O4647" t="str">
        <f t="shared" si="265"/>
        <v>OCGT_2035</v>
      </c>
      <c r="P4647">
        <f t="shared" si="266"/>
        <v>48</v>
      </c>
    </row>
    <row r="4648" spans="4:16" x14ac:dyDescent="0.25">
      <c r="D4648">
        <v>2036</v>
      </c>
      <c r="E4648" t="s">
        <v>130</v>
      </c>
      <c r="F4648" t="s">
        <v>487</v>
      </c>
      <c r="G4648">
        <v>48</v>
      </c>
      <c r="I4648">
        <f t="shared" si="267"/>
        <v>0</v>
      </c>
      <c r="J4648">
        <f t="shared" si="267"/>
        <v>0</v>
      </c>
      <c r="K4648">
        <f t="shared" si="267"/>
        <v>0</v>
      </c>
      <c r="M4648" t="str" cm="1">
        <f t="array" ref="M4648">IFERROR(INDEX($I$2:$K$2,0,MATCH(TRUE,I4648:K4648,0)),E4648)</f>
        <v>OCGT</v>
      </c>
      <c r="O4648" t="str">
        <f t="shared" si="265"/>
        <v>OCGT_2036</v>
      </c>
      <c r="P4648">
        <f t="shared" si="266"/>
        <v>48</v>
      </c>
    </row>
    <row r="4649" spans="4:16" x14ac:dyDescent="0.25">
      <c r="D4649">
        <v>2037</v>
      </c>
      <c r="E4649" t="s">
        <v>130</v>
      </c>
      <c r="F4649" t="s">
        <v>487</v>
      </c>
      <c r="G4649">
        <v>48</v>
      </c>
      <c r="I4649">
        <f t="shared" si="267"/>
        <v>0</v>
      </c>
      <c r="J4649">
        <f t="shared" si="267"/>
        <v>0</v>
      </c>
      <c r="K4649">
        <f t="shared" si="267"/>
        <v>0</v>
      </c>
      <c r="M4649" t="str" cm="1">
        <f t="array" ref="M4649">IFERROR(INDEX($I$2:$K$2,0,MATCH(TRUE,I4649:K4649,0)),E4649)</f>
        <v>OCGT</v>
      </c>
      <c r="O4649" t="str">
        <f t="shared" si="265"/>
        <v>OCGT_2037</v>
      </c>
      <c r="P4649">
        <f t="shared" si="266"/>
        <v>48</v>
      </c>
    </row>
    <row r="4650" spans="4:16" x14ac:dyDescent="0.25">
      <c r="D4650">
        <v>2038</v>
      </c>
      <c r="E4650" t="s">
        <v>130</v>
      </c>
      <c r="F4650" t="s">
        <v>487</v>
      </c>
      <c r="G4650">
        <v>48</v>
      </c>
      <c r="I4650">
        <f t="shared" si="267"/>
        <v>0</v>
      </c>
      <c r="J4650">
        <f t="shared" si="267"/>
        <v>0</v>
      </c>
      <c r="K4650">
        <f t="shared" si="267"/>
        <v>0</v>
      </c>
      <c r="M4650" t="str" cm="1">
        <f t="array" ref="M4650">IFERROR(INDEX($I$2:$K$2,0,MATCH(TRUE,I4650:K4650,0)),E4650)</f>
        <v>OCGT</v>
      </c>
      <c r="O4650" t="str">
        <f t="shared" si="265"/>
        <v>OCGT_2038</v>
      </c>
      <c r="P4650">
        <f t="shared" si="266"/>
        <v>48</v>
      </c>
    </row>
    <row r="4651" spans="4:16" x14ac:dyDescent="0.25">
      <c r="D4651">
        <v>2039</v>
      </c>
      <c r="E4651" t="s">
        <v>130</v>
      </c>
      <c r="F4651" t="s">
        <v>487</v>
      </c>
      <c r="G4651">
        <v>48</v>
      </c>
      <c r="I4651">
        <f t="shared" si="267"/>
        <v>0</v>
      </c>
      <c r="J4651">
        <f t="shared" si="267"/>
        <v>0</v>
      </c>
      <c r="K4651">
        <f t="shared" si="267"/>
        <v>0</v>
      </c>
      <c r="M4651" t="str" cm="1">
        <f t="array" ref="M4651">IFERROR(INDEX($I$2:$K$2,0,MATCH(TRUE,I4651:K4651,0)),E4651)</f>
        <v>OCGT</v>
      </c>
      <c r="O4651" t="str">
        <f t="shared" si="265"/>
        <v>OCGT_2039</v>
      </c>
      <c r="P4651">
        <f t="shared" si="266"/>
        <v>48</v>
      </c>
    </row>
    <row r="4652" spans="4:16" x14ac:dyDescent="0.25">
      <c r="D4652">
        <v>2040</v>
      </c>
      <c r="E4652" t="s">
        <v>130</v>
      </c>
      <c r="F4652" t="s">
        <v>487</v>
      </c>
      <c r="G4652">
        <v>48</v>
      </c>
      <c r="I4652">
        <f t="shared" si="267"/>
        <v>0</v>
      </c>
      <c r="J4652">
        <f t="shared" si="267"/>
        <v>0</v>
      </c>
      <c r="K4652">
        <f t="shared" si="267"/>
        <v>0</v>
      </c>
      <c r="M4652" t="str" cm="1">
        <f t="array" ref="M4652">IFERROR(INDEX($I$2:$K$2,0,MATCH(TRUE,I4652:K4652,0)),E4652)</f>
        <v>OCGT</v>
      </c>
      <c r="O4652" t="str">
        <f t="shared" si="265"/>
        <v>OCGT_2040</v>
      </c>
      <c r="P4652">
        <f t="shared" si="266"/>
        <v>48</v>
      </c>
    </row>
    <row r="4653" spans="4:16" x14ac:dyDescent="0.25">
      <c r="D4653">
        <v>2021</v>
      </c>
      <c r="E4653" t="s">
        <v>130</v>
      </c>
      <c r="F4653" t="s">
        <v>488</v>
      </c>
      <c r="G4653">
        <v>65</v>
      </c>
      <c r="I4653">
        <f t="shared" si="267"/>
        <v>0</v>
      </c>
      <c r="J4653">
        <f t="shared" si="267"/>
        <v>0</v>
      </c>
      <c r="K4653">
        <f t="shared" si="267"/>
        <v>0</v>
      </c>
      <c r="M4653" t="str" cm="1">
        <f t="array" ref="M4653">IFERROR(INDEX($I$2:$K$2,0,MATCH(TRUE,I4653:K4653,0)),E4653)</f>
        <v>OCGT</v>
      </c>
      <c r="O4653" t="str">
        <f t="shared" si="265"/>
        <v>OCGT_2021</v>
      </c>
      <c r="P4653">
        <f t="shared" si="266"/>
        <v>65</v>
      </c>
    </row>
    <row r="4654" spans="4:16" x14ac:dyDescent="0.25">
      <c r="D4654">
        <v>2021</v>
      </c>
      <c r="E4654" t="s">
        <v>130</v>
      </c>
      <c r="F4654" t="s">
        <v>489</v>
      </c>
      <c r="G4654">
        <v>65</v>
      </c>
      <c r="I4654">
        <f t="shared" si="267"/>
        <v>0</v>
      </c>
      <c r="J4654">
        <f t="shared" si="267"/>
        <v>0</v>
      </c>
      <c r="K4654">
        <f t="shared" si="267"/>
        <v>0</v>
      </c>
      <c r="M4654" t="str" cm="1">
        <f t="array" ref="M4654">IFERROR(INDEX($I$2:$K$2,0,MATCH(TRUE,I4654:K4654,0)),E4654)</f>
        <v>OCGT</v>
      </c>
      <c r="O4654" t="str">
        <f t="shared" si="265"/>
        <v>OCGT_2021</v>
      </c>
      <c r="P4654">
        <f t="shared" si="266"/>
        <v>65</v>
      </c>
    </row>
    <row r="4655" spans="4:16" x14ac:dyDescent="0.25">
      <c r="D4655">
        <v>2021</v>
      </c>
      <c r="E4655" t="s">
        <v>130</v>
      </c>
      <c r="F4655" t="s">
        <v>490</v>
      </c>
      <c r="G4655">
        <v>58.1</v>
      </c>
      <c r="I4655">
        <f t="shared" si="267"/>
        <v>0</v>
      </c>
      <c r="J4655">
        <f t="shared" si="267"/>
        <v>0</v>
      </c>
      <c r="K4655">
        <f t="shared" si="267"/>
        <v>0</v>
      </c>
      <c r="M4655" t="str" cm="1">
        <f t="array" ref="M4655">IFERROR(INDEX($I$2:$K$2,0,MATCH(TRUE,I4655:K4655,0)),E4655)</f>
        <v>OCGT</v>
      </c>
      <c r="O4655" t="str">
        <f t="shared" si="265"/>
        <v>OCGT_2021</v>
      </c>
      <c r="P4655">
        <f t="shared" si="266"/>
        <v>58.1</v>
      </c>
    </row>
    <row r="4656" spans="4:16" x14ac:dyDescent="0.25">
      <c r="D4656">
        <v>2022</v>
      </c>
      <c r="E4656" t="s">
        <v>130</v>
      </c>
      <c r="F4656" t="s">
        <v>490</v>
      </c>
      <c r="G4656">
        <v>58.1</v>
      </c>
      <c r="I4656">
        <f t="shared" si="267"/>
        <v>0</v>
      </c>
      <c r="J4656">
        <f t="shared" si="267"/>
        <v>0</v>
      </c>
      <c r="K4656">
        <f t="shared" si="267"/>
        <v>0</v>
      </c>
      <c r="M4656" t="str" cm="1">
        <f t="array" ref="M4656">IFERROR(INDEX($I$2:$K$2,0,MATCH(TRUE,I4656:K4656,0)),E4656)</f>
        <v>OCGT</v>
      </c>
      <c r="O4656" t="str">
        <f t="shared" si="265"/>
        <v>OCGT_2022</v>
      </c>
      <c r="P4656">
        <f t="shared" si="266"/>
        <v>58.1</v>
      </c>
    </row>
    <row r="4657" spans="4:16" x14ac:dyDescent="0.25">
      <c r="D4657">
        <v>2023</v>
      </c>
      <c r="E4657" t="s">
        <v>130</v>
      </c>
      <c r="F4657" t="s">
        <v>490</v>
      </c>
      <c r="G4657">
        <v>58.1</v>
      </c>
      <c r="I4657">
        <f t="shared" si="267"/>
        <v>0</v>
      </c>
      <c r="J4657">
        <f t="shared" si="267"/>
        <v>0</v>
      </c>
      <c r="K4657">
        <f t="shared" si="267"/>
        <v>0</v>
      </c>
      <c r="M4657" t="str" cm="1">
        <f t="array" ref="M4657">IFERROR(INDEX($I$2:$K$2,0,MATCH(TRUE,I4657:K4657,0)),E4657)</f>
        <v>OCGT</v>
      </c>
      <c r="O4657" t="str">
        <f t="shared" si="265"/>
        <v>OCGT_2023</v>
      </c>
      <c r="P4657">
        <f t="shared" si="266"/>
        <v>58.1</v>
      </c>
    </row>
    <row r="4658" spans="4:16" x14ac:dyDescent="0.25">
      <c r="D4658">
        <v>2024</v>
      </c>
      <c r="E4658" t="s">
        <v>130</v>
      </c>
      <c r="F4658" t="s">
        <v>490</v>
      </c>
      <c r="G4658">
        <v>58.1</v>
      </c>
      <c r="I4658">
        <f t="shared" si="267"/>
        <v>0</v>
      </c>
      <c r="J4658">
        <f t="shared" si="267"/>
        <v>0</v>
      </c>
      <c r="K4658">
        <f t="shared" si="267"/>
        <v>0</v>
      </c>
      <c r="M4658" t="str" cm="1">
        <f t="array" ref="M4658">IFERROR(INDEX($I$2:$K$2,0,MATCH(TRUE,I4658:K4658,0)),E4658)</f>
        <v>OCGT</v>
      </c>
      <c r="O4658" t="str">
        <f t="shared" si="265"/>
        <v>OCGT_2024</v>
      </c>
      <c r="P4658">
        <f t="shared" si="266"/>
        <v>58.1</v>
      </c>
    </row>
    <row r="4659" spans="4:16" x14ac:dyDescent="0.25">
      <c r="D4659">
        <v>2025</v>
      </c>
      <c r="E4659" t="s">
        <v>130</v>
      </c>
      <c r="F4659" t="s">
        <v>490</v>
      </c>
      <c r="G4659">
        <v>58.1</v>
      </c>
      <c r="I4659">
        <f t="shared" si="267"/>
        <v>0</v>
      </c>
      <c r="J4659">
        <f t="shared" si="267"/>
        <v>0</v>
      </c>
      <c r="K4659">
        <f t="shared" si="267"/>
        <v>0</v>
      </c>
      <c r="M4659" t="str" cm="1">
        <f t="array" ref="M4659">IFERROR(INDEX($I$2:$K$2,0,MATCH(TRUE,I4659:K4659,0)),E4659)</f>
        <v>OCGT</v>
      </c>
      <c r="O4659" t="str">
        <f t="shared" si="265"/>
        <v>OCGT_2025</v>
      </c>
      <c r="P4659">
        <f t="shared" si="266"/>
        <v>58.1</v>
      </c>
    </row>
    <row r="4660" spans="4:16" x14ac:dyDescent="0.25">
      <c r="D4660">
        <v>2026</v>
      </c>
      <c r="E4660" t="s">
        <v>130</v>
      </c>
      <c r="F4660" t="s">
        <v>490</v>
      </c>
      <c r="G4660">
        <v>58.1</v>
      </c>
      <c r="I4660">
        <f t="shared" si="267"/>
        <v>0</v>
      </c>
      <c r="J4660">
        <f t="shared" si="267"/>
        <v>0</v>
      </c>
      <c r="K4660">
        <f t="shared" si="267"/>
        <v>0</v>
      </c>
      <c r="M4660" t="str" cm="1">
        <f t="array" ref="M4660">IFERROR(INDEX($I$2:$K$2,0,MATCH(TRUE,I4660:K4660,0)),E4660)</f>
        <v>OCGT</v>
      </c>
      <c r="O4660" t="str">
        <f t="shared" si="265"/>
        <v>OCGT_2026</v>
      </c>
      <c r="P4660">
        <f t="shared" si="266"/>
        <v>58.1</v>
      </c>
    </row>
    <row r="4661" spans="4:16" x14ac:dyDescent="0.25">
      <c r="D4661">
        <v>2027</v>
      </c>
      <c r="E4661" t="s">
        <v>130</v>
      </c>
      <c r="F4661" t="s">
        <v>490</v>
      </c>
      <c r="G4661">
        <v>58.1</v>
      </c>
      <c r="I4661">
        <f t="shared" si="267"/>
        <v>0</v>
      </c>
      <c r="J4661">
        <f t="shared" si="267"/>
        <v>0</v>
      </c>
      <c r="K4661">
        <f t="shared" si="267"/>
        <v>0</v>
      </c>
      <c r="M4661" t="str" cm="1">
        <f t="array" ref="M4661">IFERROR(INDEX($I$2:$K$2,0,MATCH(TRUE,I4661:K4661,0)),E4661)</f>
        <v>OCGT</v>
      </c>
      <c r="O4661" t="str">
        <f t="shared" si="265"/>
        <v>OCGT_2027</v>
      </c>
      <c r="P4661">
        <f t="shared" si="266"/>
        <v>58.1</v>
      </c>
    </row>
    <row r="4662" spans="4:16" x14ac:dyDescent="0.25">
      <c r="D4662">
        <v>2028</v>
      </c>
      <c r="E4662" t="s">
        <v>130</v>
      </c>
      <c r="F4662" t="s">
        <v>490</v>
      </c>
      <c r="G4662">
        <v>58.1</v>
      </c>
      <c r="I4662">
        <f t="shared" si="267"/>
        <v>0</v>
      </c>
      <c r="J4662">
        <f t="shared" si="267"/>
        <v>0</v>
      </c>
      <c r="K4662">
        <f t="shared" si="267"/>
        <v>0</v>
      </c>
      <c r="M4662" t="str" cm="1">
        <f t="array" ref="M4662">IFERROR(INDEX($I$2:$K$2,0,MATCH(TRUE,I4662:K4662,0)),E4662)</f>
        <v>OCGT</v>
      </c>
      <c r="O4662" t="str">
        <f t="shared" si="265"/>
        <v>OCGT_2028</v>
      </c>
      <c r="P4662">
        <f t="shared" si="266"/>
        <v>58.1</v>
      </c>
    </row>
    <row r="4663" spans="4:16" x14ac:dyDescent="0.25">
      <c r="D4663">
        <v>2029</v>
      </c>
      <c r="E4663" t="s">
        <v>130</v>
      </c>
      <c r="F4663" t="s">
        <v>490</v>
      </c>
      <c r="G4663">
        <v>58.1</v>
      </c>
      <c r="I4663">
        <f t="shared" si="267"/>
        <v>0</v>
      </c>
      <c r="J4663">
        <f t="shared" si="267"/>
        <v>0</v>
      </c>
      <c r="K4663">
        <f t="shared" si="267"/>
        <v>0</v>
      </c>
      <c r="M4663" t="str" cm="1">
        <f t="array" ref="M4663">IFERROR(INDEX($I$2:$K$2,0,MATCH(TRUE,I4663:K4663,0)),E4663)</f>
        <v>OCGT</v>
      </c>
      <c r="O4663" t="str">
        <f t="shared" si="265"/>
        <v>OCGT_2029</v>
      </c>
      <c r="P4663">
        <f t="shared" si="266"/>
        <v>58.1</v>
      </c>
    </row>
    <row r="4664" spans="4:16" x14ac:dyDescent="0.25">
      <c r="D4664">
        <v>2030</v>
      </c>
      <c r="E4664" t="s">
        <v>130</v>
      </c>
      <c r="F4664" t="s">
        <v>490</v>
      </c>
      <c r="G4664">
        <v>58.1</v>
      </c>
      <c r="I4664">
        <f t="shared" si="267"/>
        <v>0</v>
      </c>
      <c r="J4664">
        <f t="shared" si="267"/>
        <v>0</v>
      </c>
      <c r="K4664">
        <f t="shared" si="267"/>
        <v>0</v>
      </c>
      <c r="M4664" t="str" cm="1">
        <f t="array" ref="M4664">IFERROR(INDEX($I$2:$K$2,0,MATCH(TRUE,I4664:K4664,0)),E4664)</f>
        <v>OCGT</v>
      </c>
      <c r="O4664" t="str">
        <f t="shared" si="265"/>
        <v>OCGT_2030</v>
      </c>
      <c r="P4664">
        <f t="shared" si="266"/>
        <v>58.1</v>
      </c>
    </row>
    <row r="4665" spans="4:16" x14ac:dyDescent="0.25">
      <c r="D4665">
        <v>2031</v>
      </c>
      <c r="E4665" t="s">
        <v>130</v>
      </c>
      <c r="F4665" t="s">
        <v>490</v>
      </c>
      <c r="G4665">
        <v>58.1</v>
      </c>
      <c r="I4665">
        <f t="shared" si="267"/>
        <v>0</v>
      </c>
      <c r="J4665">
        <f t="shared" si="267"/>
        <v>0</v>
      </c>
      <c r="K4665">
        <f t="shared" si="267"/>
        <v>0</v>
      </c>
      <c r="M4665" t="str" cm="1">
        <f t="array" ref="M4665">IFERROR(INDEX($I$2:$K$2,0,MATCH(TRUE,I4665:K4665,0)),E4665)</f>
        <v>OCGT</v>
      </c>
      <c r="O4665" t="str">
        <f t="shared" si="265"/>
        <v>OCGT_2031</v>
      </c>
      <c r="P4665">
        <f t="shared" si="266"/>
        <v>58.1</v>
      </c>
    </row>
    <row r="4666" spans="4:16" x14ac:dyDescent="0.25">
      <c r="D4666">
        <v>2032</v>
      </c>
      <c r="E4666" t="s">
        <v>130</v>
      </c>
      <c r="F4666" t="s">
        <v>490</v>
      </c>
      <c r="G4666">
        <v>58.1</v>
      </c>
      <c r="I4666">
        <f t="shared" si="267"/>
        <v>0</v>
      </c>
      <c r="J4666">
        <f t="shared" si="267"/>
        <v>0</v>
      </c>
      <c r="K4666">
        <f t="shared" si="267"/>
        <v>0</v>
      </c>
      <c r="M4666" t="str" cm="1">
        <f t="array" ref="M4666">IFERROR(INDEX($I$2:$K$2,0,MATCH(TRUE,I4666:K4666,0)),E4666)</f>
        <v>OCGT</v>
      </c>
      <c r="O4666" t="str">
        <f t="shared" si="265"/>
        <v>OCGT_2032</v>
      </c>
      <c r="P4666">
        <f t="shared" si="266"/>
        <v>58.1</v>
      </c>
    </row>
    <row r="4667" spans="4:16" x14ac:dyDescent="0.25">
      <c r="D4667">
        <v>2033</v>
      </c>
      <c r="E4667" t="s">
        <v>130</v>
      </c>
      <c r="F4667" t="s">
        <v>490</v>
      </c>
      <c r="G4667">
        <v>58.1</v>
      </c>
      <c r="I4667">
        <f t="shared" si="267"/>
        <v>0</v>
      </c>
      <c r="J4667">
        <f t="shared" si="267"/>
        <v>0</v>
      </c>
      <c r="K4667">
        <f t="shared" si="267"/>
        <v>0</v>
      </c>
      <c r="M4667" t="str" cm="1">
        <f t="array" ref="M4667">IFERROR(INDEX($I$2:$K$2,0,MATCH(TRUE,I4667:K4667,0)),E4667)</f>
        <v>OCGT</v>
      </c>
      <c r="O4667" t="str">
        <f t="shared" si="265"/>
        <v>OCGT_2033</v>
      </c>
      <c r="P4667">
        <f t="shared" si="266"/>
        <v>58.1</v>
      </c>
    </row>
    <row r="4668" spans="4:16" x14ac:dyDescent="0.25">
      <c r="D4668">
        <v>2034</v>
      </c>
      <c r="E4668" t="s">
        <v>130</v>
      </c>
      <c r="F4668" t="s">
        <v>490</v>
      </c>
      <c r="G4668">
        <v>58.1</v>
      </c>
      <c r="I4668">
        <f t="shared" si="267"/>
        <v>0</v>
      </c>
      <c r="J4668">
        <f t="shared" si="267"/>
        <v>0</v>
      </c>
      <c r="K4668">
        <f t="shared" si="267"/>
        <v>0</v>
      </c>
      <c r="M4668" t="str" cm="1">
        <f t="array" ref="M4668">IFERROR(INDEX($I$2:$K$2,0,MATCH(TRUE,I4668:K4668,0)),E4668)</f>
        <v>OCGT</v>
      </c>
      <c r="O4668" t="str">
        <f t="shared" si="265"/>
        <v>OCGT_2034</v>
      </c>
      <c r="P4668">
        <f t="shared" si="266"/>
        <v>58.1</v>
      </c>
    </row>
    <row r="4669" spans="4:16" x14ac:dyDescent="0.25">
      <c r="D4669">
        <v>2035</v>
      </c>
      <c r="E4669" t="s">
        <v>130</v>
      </c>
      <c r="F4669" t="s">
        <v>490</v>
      </c>
      <c r="G4669">
        <v>58.1</v>
      </c>
      <c r="I4669">
        <f t="shared" si="267"/>
        <v>0</v>
      </c>
      <c r="J4669">
        <f t="shared" si="267"/>
        <v>0</v>
      </c>
      <c r="K4669">
        <f t="shared" si="267"/>
        <v>0</v>
      </c>
      <c r="M4669" t="str" cm="1">
        <f t="array" ref="M4669">IFERROR(INDEX($I$2:$K$2,0,MATCH(TRUE,I4669:K4669,0)),E4669)</f>
        <v>OCGT</v>
      </c>
      <c r="O4669" t="str">
        <f t="shared" si="265"/>
        <v>OCGT_2035</v>
      </c>
      <c r="P4669">
        <f t="shared" si="266"/>
        <v>58.1</v>
      </c>
    </row>
    <row r="4670" spans="4:16" x14ac:dyDescent="0.25">
      <c r="D4670">
        <v>2036</v>
      </c>
      <c r="E4670" t="s">
        <v>130</v>
      </c>
      <c r="F4670" t="s">
        <v>490</v>
      </c>
      <c r="G4670">
        <v>58.1</v>
      </c>
      <c r="I4670">
        <f t="shared" si="267"/>
        <v>0</v>
      </c>
      <c r="J4670">
        <f t="shared" si="267"/>
        <v>0</v>
      </c>
      <c r="K4670">
        <f t="shared" si="267"/>
        <v>0</v>
      </c>
      <c r="M4670" t="str" cm="1">
        <f t="array" ref="M4670">IFERROR(INDEX($I$2:$K$2,0,MATCH(TRUE,I4670:K4670,0)),E4670)</f>
        <v>OCGT</v>
      </c>
      <c r="O4670" t="str">
        <f t="shared" si="265"/>
        <v>OCGT_2036</v>
      </c>
      <c r="P4670">
        <f t="shared" si="266"/>
        <v>58.1</v>
      </c>
    </row>
    <row r="4671" spans="4:16" x14ac:dyDescent="0.25">
      <c r="D4671">
        <v>2037</v>
      </c>
      <c r="E4671" t="s">
        <v>130</v>
      </c>
      <c r="F4671" t="s">
        <v>490</v>
      </c>
      <c r="G4671">
        <v>58.1</v>
      </c>
      <c r="I4671">
        <f t="shared" si="267"/>
        <v>0</v>
      </c>
      <c r="J4671">
        <f t="shared" si="267"/>
        <v>0</v>
      </c>
      <c r="K4671">
        <f t="shared" si="267"/>
        <v>0</v>
      </c>
      <c r="M4671" t="str" cm="1">
        <f t="array" ref="M4671">IFERROR(INDEX($I$2:$K$2,0,MATCH(TRUE,I4671:K4671,0)),E4671)</f>
        <v>OCGT</v>
      </c>
      <c r="O4671" t="str">
        <f t="shared" si="265"/>
        <v>OCGT_2037</v>
      </c>
      <c r="P4671">
        <f t="shared" si="266"/>
        <v>58.1</v>
      </c>
    </row>
    <row r="4672" spans="4:16" x14ac:dyDescent="0.25">
      <c r="D4672">
        <v>2038</v>
      </c>
      <c r="E4672" t="s">
        <v>130</v>
      </c>
      <c r="F4672" t="s">
        <v>490</v>
      </c>
      <c r="G4672">
        <v>58.1</v>
      </c>
      <c r="I4672">
        <f t="shared" si="267"/>
        <v>0</v>
      </c>
      <c r="J4672">
        <f t="shared" si="267"/>
        <v>0</v>
      </c>
      <c r="K4672">
        <f t="shared" si="267"/>
        <v>0</v>
      </c>
      <c r="M4672" t="str" cm="1">
        <f t="array" ref="M4672">IFERROR(INDEX($I$2:$K$2,0,MATCH(TRUE,I4672:K4672,0)),E4672)</f>
        <v>OCGT</v>
      </c>
      <c r="O4672" t="str">
        <f t="shared" si="265"/>
        <v>OCGT_2038</v>
      </c>
      <c r="P4672">
        <f t="shared" si="266"/>
        <v>58.1</v>
      </c>
    </row>
    <row r="4673" spans="4:16" x14ac:dyDescent="0.25">
      <c r="D4673">
        <v>2021</v>
      </c>
      <c r="E4673" t="s">
        <v>130</v>
      </c>
      <c r="F4673" t="s">
        <v>491</v>
      </c>
      <c r="G4673">
        <v>340</v>
      </c>
      <c r="I4673">
        <f t="shared" si="267"/>
        <v>0</v>
      </c>
      <c r="J4673">
        <f t="shared" si="267"/>
        <v>0</v>
      </c>
      <c r="K4673">
        <f t="shared" si="267"/>
        <v>0</v>
      </c>
      <c r="M4673" t="str" cm="1">
        <f t="array" ref="M4673">IFERROR(INDEX($I$2:$K$2,0,MATCH(TRUE,I4673:K4673,0)),E4673)</f>
        <v>OCGT</v>
      </c>
      <c r="O4673" t="str">
        <f t="shared" si="265"/>
        <v>OCGT_2021</v>
      </c>
      <c r="P4673">
        <f t="shared" si="266"/>
        <v>340</v>
      </c>
    </row>
    <row r="4674" spans="4:16" x14ac:dyDescent="0.25">
      <c r="D4674">
        <v>2022</v>
      </c>
      <c r="E4674" t="s">
        <v>130</v>
      </c>
      <c r="F4674" t="s">
        <v>491</v>
      </c>
      <c r="G4674">
        <v>340</v>
      </c>
      <c r="I4674">
        <f t="shared" si="267"/>
        <v>0</v>
      </c>
      <c r="J4674">
        <f t="shared" si="267"/>
        <v>0</v>
      </c>
      <c r="K4674">
        <f t="shared" si="267"/>
        <v>0</v>
      </c>
      <c r="M4674" t="str" cm="1">
        <f t="array" ref="M4674">IFERROR(INDEX($I$2:$K$2,0,MATCH(TRUE,I4674:K4674,0)),E4674)</f>
        <v>OCGT</v>
      </c>
      <c r="O4674" t="str">
        <f t="shared" si="265"/>
        <v>OCGT_2022</v>
      </c>
      <c r="P4674">
        <f t="shared" si="266"/>
        <v>340</v>
      </c>
    </row>
    <row r="4675" spans="4:16" x14ac:dyDescent="0.25">
      <c r="D4675">
        <v>2023</v>
      </c>
      <c r="E4675" t="s">
        <v>130</v>
      </c>
      <c r="F4675" t="s">
        <v>491</v>
      </c>
      <c r="G4675">
        <v>340</v>
      </c>
      <c r="I4675">
        <f t="shared" si="267"/>
        <v>0</v>
      </c>
      <c r="J4675">
        <f t="shared" si="267"/>
        <v>0</v>
      </c>
      <c r="K4675">
        <f t="shared" si="267"/>
        <v>0</v>
      </c>
      <c r="M4675" t="str" cm="1">
        <f t="array" ref="M4675">IFERROR(INDEX($I$2:$K$2,0,MATCH(TRUE,I4675:K4675,0)),E4675)</f>
        <v>OCGT</v>
      </c>
      <c r="O4675" t="str">
        <f t="shared" si="265"/>
        <v>OCGT_2023</v>
      </c>
      <c r="P4675">
        <f t="shared" si="266"/>
        <v>340</v>
      </c>
    </row>
    <row r="4676" spans="4:16" x14ac:dyDescent="0.25">
      <c r="D4676">
        <v>2024</v>
      </c>
      <c r="E4676" t="s">
        <v>130</v>
      </c>
      <c r="F4676" t="s">
        <v>491</v>
      </c>
      <c r="G4676">
        <v>340</v>
      </c>
      <c r="I4676">
        <f t="shared" si="267"/>
        <v>0</v>
      </c>
      <c r="J4676">
        <f t="shared" si="267"/>
        <v>0</v>
      </c>
      <c r="K4676">
        <f t="shared" si="267"/>
        <v>0</v>
      </c>
      <c r="M4676" t="str" cm="1">
        <f t="array" ref="M4676">IFERROR(INDEX($I$2:$K$2,0,MATCH(TRUE,I4676:K4676,0)),E4676)</f>
        <v>OCGT</v>
      </c>
      <c r="O4676" t="str">
        <f t="shared" si="265"/>
        <v>OCGT_2024</v>
      </c>
      <c r="P4676">
        <f t="shared" si="266"/>
        <v>340</v>
      </c>
    </row>
    <row r="4677" spans="4:16" x14ac:dyDescent="0.25">
      <c r="D4677">
        <v>2025</v>
      </c>
      <c r="E4677" t="s">
        <v>130</v>
      </c>
      <c r="F4677" t="s">
        <v>491</v>
      </c>
      <c r="G4677">
        <v>340</v>
      </c>
      <c r="I4677">
        <f t="shared" si="267"/>
        <v>0</v>
      </c>
      <c r="J4677">
        <f t="shared" si="267"/>
        <v>0</v>
      </c>
      <c r="K4677">
        <f t="shared" si="267"/>
        <v>0</v>
      </c>
      <c r="M4677" t="str" cm="1">
        <f t="array" ref="M4677">IFERROR(INDEX($I$2:$K$2,0,MATCH(TRUE,I4677:K4677,0)),E4677)</f>
        <v>OCGT</v>
      </c>
      <c r="O4677" t="str">
        <f t="shared" si="265"/>
        <v>OCGT_2025</v>
      </c>
      <c r="P4677">
        <f t="shared" si="266"/>
        <v>340</v>
      </c>
    </row>
    <row r="4678" spans="4:16" x14ac:dyDescent="0.25">
      <c r="D4678">
        <v>2026</v>
      </c>
      <c r="E4678" t="s">
        <v>130</v>
      </c>
      <c r="F4678" t="s">
        <v>491</v>
      </c>
      <c r="G4678">
        <v>340</v>
      </c>
      <c r="I4678">
        <f t="shared" si="267"/>
        <v>0</v>
      </c>
      <c r="J4678">
        <f t="shared" si="267"/>
        <v>0</v>
      </c>
      <c r="K4678">
        <f t="shared" si="267"/>
        <v>0</v>
      </c>
      <c r="M4678" t="str" cm="1">
        <f t="array" ref="M4678">IFERROR(INDEX($I$2:$K$2,0,MATCH(TRUE,I4678:K4678,0)),E4678)</f>
        <v>OCGT</v>
      </c>
      <c r="O4678" t="str">
        <f t="shared" si="265"/>
        <v>OCGT_2026</v>
      </c>
      <c r="P4678">
        <f t="shared" si="266"/>
        <v>340</v>
      </c>
    </row>
    <row r="4679" spans="4:16" x14ac:dyDescent="0.25">
      <c r="D4679">
        <v>2027</v>
      </c>
      <c r="E4679" t="s">
        <v>130</v>
      </c>
      <c r="F4679" t="s">
        <v>491</v>
      </c>
      <c r="G4679">
        <v>340</v>
      </c>
      <c r="I4679">
        <f t="shared" si="267"/>
        <v>0</v>
      </c>
      <c r="J4679">
        <f t="shared" si="267"/>
        <v>0</v>
      </c>
      <c r="K4679">
        <f t="shared" si="267"/>
        <v>0</v>
      </c>
      <c r="M4679" t="str" cm="1">
        <f t="array" ref="M4679">IFERROR(INDEX($I$2:$K$2,0,MATCH(TRUE,I4679:K4679,0)),E4679)</f>
        <v>OCGT</v>
      </c>
      <c r="O4679" t="str">
        <f t="shared" si="265"/>
        <v>OCGT_2027</v>
      </c>
      <c r="P4679">
        <f t="shared" si="266"/>
        <v>340</v>
      </c>
    </row>
    <row r="4680" spans="4:16" x14ac:dyDescent="0.25">
      <c r="D4680">
        <v>2028</v>
      </c>
      <c r="E4680" t="s">
        <v>130</v>
      </c>
      <c r="F4680" t="s">
        <v>491</v>
      </c>
      <c r="G4680">
        <v>340</v>
      </c>
      <c r="I4680">
        <f t="shared" si="267"/>
        <v>0</v>
      </c>
      <c r="J4680">
        <f t="shared" si="267"/>
        <v>0</v>
      </c>
      <c r="K4680">
        <f t="shared" si="267"/>
        <v>0</v>
      </c>
      <c r="M4680" t="str" cm="1">
        <f t="array" ref="M4680">IFERROR(INDEX($I$2:$K$2,0,MATCH(TRUE,I4680:K4680,0)),E4680)</f>
        <v>OCGT</v>
      </c>
      <c r="O4680" t="str">
        <f t="shared" si="265"/>
        <v>OCGT_2028</v>
      </c>
      <c r="P4680">
        <f t="shared" si="266"/>
        <v>340</v>
      </c>
    </row>
    <row r="4681" spans="4:16" x14ac:dyDescent="0.25">
      <c r="D4681">
        <v>2029</v>
      </c>
      <c r="E4681" t="s">
        <v>130</v>
      </c>
      <c r="F4681" t="s">
        <v>491</v>
      </c>
      <c r="G4681">
        <v>340</v>
      </c>
      <c r="I4681">
        <f t="shared" si="267"/>
        <v>0</v>
      </c>
      <c r="J4681">
        <f t="shared" si="267"/>
        <v>0</v>
      </c>
      <c r="K4681">
        <f t="shared" si="267"/>
        <v>0</v>
      </c>
      <c r="M4681" t="str" cm="1">
        <f t="array" ref="M4681">IFERROR(INDEX($I$2:$K$2,0,MATCH(TRUE,I4681:K4681,0)),E4681)</f>
        <v>OCGT</v>
      </c>
      <c r="O4681" t="str">
        <f t="shared" si="265"/>
        <v>OCGT_2029</v>
      </c>
      <c r="P4681">
        <f t="shared" si="266"/>
        <v>340</v>
      </c>
    </row>
    <row r="4682" spans="4:16" x14ac:dyDescent="0.25">
      <c r="D4682">
        <v>2030</v>
      </c>
      <c r="E4682" t="s">
        <v>130</v>
      </c>
      <c r="F4682" t="s">
        <v>491</v>
      </c>
      <c r="G4682">
        <v>340</v>
      </c>
      <c r="I4682">
        <f t="shared" si="267"/>
        <v>0</v>
      </c>
      <c r="J4682">
        <f t="shared" si="267"/>
        <v>0</v>
      </c>
      <c r="K4682">
        <f t="shared" si="267"/>
        <v>0</v>
      </c>
      <c r="M4682" t="str" cm="1">
        <f t="array" ref="M4682">IFERROR(INDEX($I$2:$K$2,0,MATCH(TRUE,I4682:K4682,0)),E4682)</f>
        <v>OCGT</v>
      </c>
      <c r="O4682" t="str">
        <f t="shared" si="265"/>
        <v>OCGT_2030</v>
      </c>
      <c r="P4682">
        <f t="shared" si="266"/>
        <v>340</v>
      </c>
    </row>
    <row r="4683" spans="4:16" x14ac:dyDescent="0.25">
      <c r="D4683">
        <v>2031</v>
      </c>
      <c r="E4683" t="s">
        <v>130</v>
      </c>
      <c r="F4683" t="s">
        <v>491</v>
      </c>
      <c r="G4683">
        <v>340</v>
      </c>
      <c r="I4683">
        <f t="shared" si="267"/>
        <v>0</v>
      </c>
      <c r="J4683">
        <f t="shared" si="267"/>
        <v>0</v>
      </c>
      <c r="K4683">
        <f t="shared" si="267"/>
        <v>0</v>
      </c>
      <c r="M4683" t="str" cm="1">
        <f t="array" ref="M4683">IFERROR(INDEX($I$2:$K$2,0,MATCH(TRUE,I4683:K4683,0)),E4683)</f>
        <v>OCGT</v>
      </c>
      <c r="O4683" t="str">
        <f t="shared" si="265"/>
        <v>OCGT_2031</v>
      </c>
      <c r="P4683">
        <f t="shared" si="266"/>
        <v>340</v>
      </c>
    </row>
    <row r="4684" spans="4:16" x14ac:dyDescent="0.25">
      <c r="D4684">
        <v>2032</v>
      </c>
      <c r="E4684" t="s">
        <v>130</v>
      </c>
      <c r="F4684" t="s">
        <v>491</v>
      </c>
      <c r="G4684">
        <v>340</v>
      </c>
      <c r="I4684">
        <f t="shared" si="267"/>
        <v>0</v>
      </c>
      <c r="J4684">
        <f t="shared" si="267"/>
        <v>0</v>
      </c>
      <c r="K4684">
        <f t="shared" si="267"/>
        <v>0</v>
      </c>
      <c r="M4684" t="str" cm="1">
        <f t="array" ref="M4684">IFERROR(INDEX($I$2:$K$2,0,MATCH(TRUE,I4684:K4684,0)),E4684)</f>
        <v>OCGT</v>
      </c>
      <c r="O4684" t="str">
        <f t="shared" si="265"/>
        <v>OCGT_2032</v>
      </c>
      <c r="P4684">
        <f t="shared" si="266"/>
        <v>340</v>
      </c>
    </row>
    <row r="4685" spans="4:16" x14ac:dyDescent="0.25">
      <c r="D4685">
        <v>2033</v>
      </c>
      <c r="E4685" t="s">
        <v>130</v>
      </c>
      <c r="F4685" t="s">
        <v>491</v>
      </c>
      <c r="G4685">
        <v>340</v>
      </c>
      <c r="I4685">
        <f t="shared" si="267"/>
        <v>0</v>
      </c>
      <c r="J4685">
        <f t="shared" si="267"/>
        <v>0</v>
      </c>
      <c r="K4685">
        <f t="shared" si="267"/>
        <v>0</v>
      </c>
      <c r="M4685" t="str" cm="1">
        <f t="array" ref="M4685">IFERROR(INDEX($I$2:$K$2,0,MATCH(TRUE,I4685:K4685,0)),E4685)</f>
        <v>OCGT</v>
      </c>
      <c r="O4685" t="str">
        <f t="shared" si="265"/>
        <v>OCGT_2033</v>
      </c>
      <c r="P4685">
        <f t="shared" si="266"/>
        <v>340</v>
      </c>
    </row>
    <row r="4686" spans="4:16" x14ac:dyDescent="0.25">
      <c r="D4686">
        <v>2034</v>
      </c>
      <c r="E4686" t="s">
        <v>130</v>
      </c>
      <c r="F4686" t="s">
        <v>491</v>
      </c>
      <c r="G4686">
        <v>340</v>
      </c>
      <c r="I4686">
        <f t="shared" si="267"/>
        <v>0</v>
      </c>
      <c r="J4686">
        <f t="shared" si="267"/>
        <v>0</v>
      </c>
      <c r="K4686">
        <f t="shared" si="267"/>
        <v>0</v>
      </c>
      <c r="M4686" t="str" cm="1">
        <f t="array" ref="M4686">IFERROR(INDEX($I$2:$K$2,0,MATCH(TRUE,I4686:K4686,0)),E4686)</f>
        <v>OCGT</v>
      </c>
      <c r="O4686" t="str">
        <f t="shared" si="265"/>
        <v>OCGT_2034</v>
      </c>
      <c r="P4686">
        <f t="shared" si="266"/>
        <v>340</v>
      </c>
    </row>
    <row r="4687" spans="4:16" x14ac:dyDescent="0.25">
      <c r="D4687">
        <v>2035</v>
      </c>
      <c r="E4687" t="s">
        <v>130</v>
      </c>
      <c r="F4687" t="s">
        <v>491</v>
      </c>
      <c r="G4687">
        <v>340</v>
      </c>
      <c r="I4687">
        <f t="shared" si="267"/>
        <v>0</v>
      </c>
      <c r="J4687">
        <f t="shared" si="267"/>
        <v>0</v>
      </c>
      <c r="K4687">
        <f t="shared" si="267"/>
        <v>0</v>
      </c>
      <c r="M4687" t="str" cm="1">
        <f t="array" ref="M4687">IFERROR(INDEX($I$2:$K$2,0,MATCH(TRUE,I4687:K4687,0)),E4687)</f>
        <v>OCGT</v>
      </c>
      <c r="O4687" t="str">
        <f t="shared" si="265"/>
        <v>OCGT_2035</v>
      </c>
      <c r="P4687">
        <f t="shared" si="266"/>
        <v>340</v>
      </c>
    </row>
    <row r="4688" spans="4:16" x14ac:dyDescent="0.25">
      <c r="D4688">
        <v>2021</v>
      </c>
      <c r="E4688" t="s">
        <v>130</v>
      </c>
      <c r="F4688" t="s">
        <v>492</v>
      </c>
      <c r="G4688">
        <v>340</v>
      </c>
      <c r="I4688">
        <f t="shared" si="267"/>
        <v>0</v>
      </c>
      <c r="J4688">
        <f t="shared" si="267"/>
        <v>0</v>
      </c>
      <c r="K4688">
        <f t="shared" si="267"/>
        <v>0</v>
      </c>
      <c r="M4688" t="str" cm="1">
        <f t="array" ref="M4688">IFERROR(INDEX($I$2:$K$2,0,MATCH(TRUE,I4688:K4688,0)),E4688)</f>
        <v>OCGT</v>
      </c>
      <c r="O4688" t="str">
        <f t="shared" si="265"/>
        <v>OCGT_2021</v>
      </c>
      <c r="P4688">
        <f t="shared" si="266"/>
        <v>340</v>
      </c>
    </row>
    <row r="4689" spans="4:16" x14ac:dyDescent="0.25">
      <c r="D4689">
        <v>2022</v>
      </c>
      <c r="E4689" t="s">
        <v>130</v>
      </c>
      <c r="F4689" t="s">
        <v>492</v>
      </c>
      <c r="G4689">
        <v>340</v>
      </c>
      <c r="I4689">
        <f t="shared" si="267"/>
        <v>0</v>
      </c>
      <c r="J4689">
        <f t="shared" si="267"/>
        <v>0</v>
      </c>
      <c r="K4689">
        <f t="shared" si="267"/>
        <v>0</v>
      </c>
      <c r="M4689" t="str" cm="1">
        <f t="array" ref="M4689">IFERROR(INDEX($I$2:$K$2,0,MATCH(TRUE,I4689:K4689,0)),E4689)</f>
        <v>OCGT</v>
      </c>
      <c r="O4689" t="str">
        <f t="shared" si="265"/>
        <v>OCGT_2022</v>
      </c>
      <c r="P4689">
        <f t="shared" si="266"/>
        <v>340</v>
      </c>
    </row>
    <row r="4690" spans="4:16" x14ac:dyDescent="0.25">
      <c r="D4690">
        <v>2023</v>
      </c>
      <c r="E4690" t="s">
        <v>130</v>
      </c>
      <c r="F4690" t="s">
        <v>492</v>
      </c>
      <c r="G4690">
        <v>340</v>
      </c>
      <c r="I4690">
        <f t="shared" si="267"/>
        <v>0</v>
      </c>
      <c r="J4690">
        <f t="shared" si="267"/>
        <v>0</v>
      </c>
      <c r="K4690">
        <f t="shared" si="267"/>
        <v>0</v>
      </c>
      <c r="M4690" t="str" cm="1">
        <f t="array" ref="M4690">IFERROR(INDEX($I$2:$K$2,0,MATCH(TRUE,I4690:K4690,0)),E4690)</f>
        <v>OCGT</v>
      </c>
      <c r="O4690" t="str">
        <f t="shared" si="265"/>
        <v>OCGT_2023</v>
      </c>
      <c r="P4690">
        <f t="shared" si="266"/>
        <v>340</v>
      </c>
    </row>
    <row r="4691" spans="4:16" x14ac:dyDescent="0.25">
      <c r="D4691">
        <v>2024</v>
      </c>
      <c r="E4691" t="s">
        <v>130</v>
      </c>
      <c r="F4691" t="s">
        <v>492</v>
      </c>
      <c r="G4691">
        <v>340</v>
      </c>
      <c r="I4691">
        <f t="shared" si="267"/>
        <v>0</v>
      </c>
      <c r="J4691">
        <f t="shared" si="267"/>
        <v>0</v>
      </c>
      <c r="K4691">
        <f t="shared" si="267"/>
        <v>0</v>
      </c>
      <c r="M4691" t="str" cm="1">
        <f t="array" ref="M4691">IFERROR(INDEX($I$2:$K$2,0,MATCH(TRUE,I4691:K4691,0)),E4691)</f>
        <v>OCGT</v>
      </c>
      <c r="O4691" t="str">
        <f t="shared" ref="O4691:O4754" si="268">M4691&amp;"_"&amp;D4691</f>
        <v>OCGT_2024</v>
      </c>
      <c r="P4691">
        <f t="shared" ref="P4691:P4754" si="269">G4691</f>
        <v>340</v>
      </c>
    </row>
    <row r="4692" spans="4:16" x14ac:dyDescent="0.25">
      <c r="D4692">
        <v>2025</v>
      </c>
      <c r="E4692" t="s">
        <v>130</v>
      </c>
      <c r="F4692" t="s">
        <v>492</v>
      </c>
      <c r="G4692">
        <v>340</v>
      </c>
      <c r="I4692">
        <f t="shared" si="267"/>
        <v>0</v>
      </c>
      <c r="J4692">
        <f t="shared" si="267"/>
        <v>0</v>
      </c>
      <c r="K4692">
        <f t="shared" si="267"/>
        <v>0</v>
      </c>
      <c r="M4692" t="str" cm="1">
        <f t="array" ref="M4692">IFERROR(INDEX($I$2:$K$2,0,MATCH(TRUE,I4692:K4692,0)),E4692)</f>
        <v>OCGT</v>
      </c>
      <c r="O4692" t="str">
        <f t="shared" si="268"/>
        <v>OCGT_2025</v>
      </c>
      <c r="P4692">
        <f t="shared" si="269"/>
        <v>340</v>
      </c>
    </row>
    <row r="4693" spans="4:16" x14ac:dyDescent="0.25">
      <c r="D4693">
        <v>2026</v>
      </c>
      <c r="E4693" t="s">
        <v>130</v>
      </c>
      <c r="F4693" t="s">
        <v>492</v>
      </c>
      <c r="G4693">
        <v>340</v>
      </c>
      <c r="I4693">
        <f t="shared" ref="I4693:K4756" si="270">IFERROR(FIND(I$2,$E4693,1)&gt;0,0)</f>
        <v>0</v>
      </c>
      <c r="J4693">
        <f t="shared" si="270"/>
        <v>0</v>
      </c>
      <c r="K4693">
        <f t="shared" si="270"/>
        <v>0</v>
      </c>
      <c r="M4693" t="str" cm="1">
        <f t="array" ref="M4693">IFERROR(INDEX($I$2:$K$2,0,MATCH(TRUE,I4693:K4693,0)),E4693)</f>
        <v>OCGT</v>
      </c>
      <c r="O4693" t="str">
        <f t="shared" si="268"/>
        <v>OCGT_2026</v>
      </c>
      <c r="P4693">
        <f t="shared" si="269"/>
        <v>340</v>
      </c>
    </row>
    <row r="4694" spans="4:16" x14ac:dyDescent="0.25">
      <c r="D4694">
        <v>2027</v>
      </c>
      <c r="E4694" t="s">
        <v>130</v>
      </c>
      <c r="F4694" t="s">
        <v>492</v>
      </c>
      <c r="G4694">
        <v>340</v>
      </c>
      <c r="I4694">
        <f t="shared" si="270"/>
        <v>0</v>
      </c>
      <c r="J4694">
        <f t="shared" si="270"/>
        <v>0</v>
      </c>
      <c r="K4694">
        <f t="shared" si="270"/>
        <v>0</v>
      </c>
      <c r="M4694" t="str" cm="1">
        <f t="array" ref="M4694">IFERROR(INDEX($I$2:$K$2,0,MATCH(TRUE,I4694:K4694,0)),E4694)</f>
        <v>OCGT</v>
      </c>
      <c r="O4694" t="str">
        <f t="shared" si="268"/>
        <v>OCGT_2027</v>
      </c>
      <c r="P4694">
        <f t="shared" si="269"/>
        <v>340</v>
      </c>
    </row>
    <row r="4695" spans="4:16" x14ac:dyDescent="0.25">
      <c r="D4695">
        <v>2028</v>
      </c>
      <c r="E4695" t="s">
        <v>130</v>
      </c>
      <c r="F4695" t="s">
        <v>492</v>
      </c>
      <c r="G4695">
        <v>340</v>
      </c>
      <c r="I4695">
        <f t="shared" si="270"/>
        <v>0</v>
      </c>
      <c r="J4695">
        <f t="shared" si="270"/>
        <v>0</v>
      </c>
      <c r="K4695">
        <f t="shared" si="270"/>
        <v>0</v>
      </c>
      <c r="M4695" t="str" cm="1">
        <f t="array" ref="M4695">IFERROR(INDEX($I$2:$K$2,0,MATCH(TRUE,I4695:K4695,0)),E4695)</f>
        <v>OCGT</v>
      </c>
      <c r="O4695" t="str">
        <f t="shared" si="268"/>
        <v>OCGT_2028</v>
      </c>
      <c r="P4695">
        <f t="shared" si="269"/>
        <v>340</v>
      </c>
    </row>
    <row r="4696" spans="4:16" x14ac:dyDescent="0.25">
      <c r="D4696">
        <v>2029</v>
      </c>
      <c r="E4696" t="s">
        <v>130</v>
      </c>
      <c r="F4696" t="s">
        <v>492</v>
      </c>
      <c r="G4696">
        <v>340</v>
      </c>
      <c r="I4696">
        <f t="shared" si="270"/>
        <v>0</v>
      </c>
      <c r="J4696">
        <f t="shared" si="270"/>
        <v>0</v>
      </c>
      <c r="K4696">
        <f t="shared" si="270"/>
        <v>0</v>
      </c>
      <c r="M4696" t="str" cm="1">
        <f t="array" ref="M4696">IFERROR(INDEX($I$2:$K$2,0,MATCH(TRUE,I4696:K4696,0)),E4696)</f>
        <v>OCGT</v>
      </c>
      <c r="O4696" t="str">
        <f t="shared" si="268"/>
        <v>OCGT_2029</v>
      </c>
      <c r="P4696">
        <f t="shared" si="269"/>
        <v>340</v>
      </c>
    </row>
    <row r="4697" spans="4:16" x14ac:dyDescent="0.25">
      <c r="D4697">
        <v>2030</v>
      </c>
      <c r="E4697" t="s">
        <v>130</v>
      </c>
      <c r="F4697" t="s">
        <v>492</v>
      </c>
      <c r="G4697">
        <v>340</v>
      </c>
      <c r="I4697">
        <f t="shared" si="270"/>
        <v>0</v>
      </c>
      <c r="J4697">
        <f t="shared" si="270"/>
        <v>0</v>
      </c>
      <c r="K4697">
        <f t="shared" si="270"/>
        <v>0</v>
      </c>
      <c r="M4697" t="str" cm="1">
        <f t="array" ref="M4697">IFERROR(INDEX($I$2:$K$2,0,MATCH(TRUE,I4697:K4697,0)),E4697)</f>
        <v>OCGT</v>
      </c>
      <c r="O4697" t="str">
        <f t="shared" si="268"/>
        <v>OCGT_2030</v>
      </c>
      <c r="P4697">
        <f t="shared" si="269"/>
        <v>340</v>
      </c>
    </row>
    <row r="4698" spans="4:16" x14ac:dyDescent="0.25">
      <c r="D4698">
        <v>2031</v>
      </c>
      <c r="E4698" t="s">
        <v>130</v>
      </c>
      <c r="F4698" t="s">
        <v>492</v>
      </c>
      <c r="G4698">
        <v>340</v>
      </c>
      <c r="I4698">
        <f t="shared" si="270"/>
        <v>0</v>
      </c>
      <c r="J4698">
        <f t="shared" si="270"/>
        <v>0</v>
      </c>
      <c r="K4698">
        <f t="shared" si="270"/>
        <v>0</v>
      </c>
      <c r="M4698" t="str" cm="1">
        <f t="array" ref="M4698">IFERROR(INDEX($I$2:$K$2,0,MATCH(TRUE,I4698:K4698,0)),E4698)</f>
        <v>OCGT</v>
      </c>
      <c r="O4698" t="str">
        <f t="shared" si="268"/>
        <v>OCGT_2031</v>
      </c>
      <c r="P4698">
        <f t="shared" si="269"/>
        <v>340</v>
      </c>
    </row>
    <row r="4699" spans="4:16" x14ac:dyDescent="0.25">
      <c r="D4699">
        <v>2032</v>
      </c>
      <c r="E4699" t="s">
        <v>130</v>
      </c>
      <c r="F4699" t="s">
        <v>492</v>
      </c>
      <c r="G4699">
        <v>340</v>
      </c>
      <c r="I4699">
        <f t="shared" si="270"/>
        <v>0</v>
      </c>
      <c r="J4699">
        <f t="shared" si="270"/>
        <v>0</v>
      </c>
      <c r="K4699">
        <f t="shared" si="270"/>
        <v>0</v>
      </c>
      <c r="M4699" t="str" cm="1">
        <f t="array" ref="M4699">IFERROR(INDEX($I$2:$K$2,0,MATCH(TRUE,I4699:K4699,0)),E4699)</f>
        <v>OCGT</v>
      </c>
      <c r="O4699" t="str">
        <f t="shared" si="268"/>
        <v>OCGT_2032</v>
      </c>
      <c r="P4699">
        <f t="shared" si="269"/>
        <v>340</v>
      </c>
    </row>
    <row r="4700" spans="4:16" x14ac:dyDescent="0.25">
      <c r="D4700">
        <v>2033</v>
      </c>
      <c r="E4700" t="s">
        <v>130</v>
      </c>
      <c r="F4700" t="s">
        <v>492</v>
      </c>
      <c r="G4700">
        <v>340</v>
      </c>
      <c r="I4700">
        <f t="shared" si="270"/>
        <v>0</v>
      </c>
      <c r="J4700">
        <f t="shared" si="270"/>
        <v>0</v>
      </c>
      <c r="K4700">
        <f t="shared" si="270"/>
        <v>0</v>
      </c>
      <c r="M4700" t="str" cm="1">
        <f t="array" ref="M4700">IFERROR(INDEX($I$2:$K$2,0,MATCH(TRUE,I4700:K4700,0)),E4700)</f>
        <v>OCGT</v>
      </c>
      <c r="O4700" t="str">
        <f t="shared" si="268"/>
        <v>OCGT_2033</v>
      </c>
      <c r="P4700">
        <f t="shared" si="269"/>
        <v>340</v>
      </c>
    </row>
    <row r="4701" spans="4:16" x14ac:dyDescent="0.25">
      <c r="D4701">
        <v>2034</v>
      </c>
      <c r="E4701" t="s">
        <v>130</v>
      </c>
      <c r="F4701" t="s">
        <v>492</v>
      </c>
      <c r="G4701">
        <v>340</v>
      </c>
      <c r="I4701">
        <f t="shared" si="270"/>
        <v>0</v>
      </c>
      <c r="J4701">
        <f t="shared" si="270"/>
        <v>0</v>
      </c>
      <c r="K4701">
        <f t="shared" si="270"/>
        <v>0</v>
      </c>
      <c r="M4701" t="str" cm="1">
        <f t="array" ref="M4701">IFERROR(INDEX($I$2:$K$2,0,MATCH(TRUE,I4701:K4701,0)),E4701)</f>
        <v>OCGT</v>
      </c>
      <c r="O4701" t="str">
        <f t="shared" si="268"/>
        <v>OCGT_2034</v>
      </c>
      <c r="P4701">
        <f t="shared" si="269"/>
        <v>340</v>
      </c>
    </row>
    <row r="4702" spans="4:16" x14ac:dyDescent="0.25">
      <c r="D4702">
        <v>2035</v>
      </c>
      <c r="E4702" t="s">
        <v>130</v>
      </c>
      <c r="F4702" t="s">
        <v>492</v>
      </c>
      <c r="G4702">
        <v>340</v>
      </c>
      <c r="I4702">
        <f t="shared" si="270"/>
        <v>0</v>
      </c>
      <c r="J4702">
        <f t="shared" si="270"/>
        <v>0</v>
      </c>
      <c r="K4702">
        <f t="shared" si="270"/>
        <v>0</v>
      </c>
      <c r="M4702" t="str" cm="1">
        <f t="array" ref="M4702">IFERROR(INDEX($I$2:$K$2,0,MATCH(TRUE,I4702:K4702,0)),E4702)</f>
        <v>OCGT</v>
      </c>
      <c r="O4702" t="str">
        <f t="shared" si="268"/>
        <v>OCGT_2035</v>
      </c>
      <c r="P4702">
        <f t="shared" si="269"/>
        <v>340</v>
      </c>
    </row>
    <row r="4703" spans="4:16" x14ac:dyDescent="0.25">
      <c r="D4703">
        <v>2021</v>
      </c>
      <c r="E4703" t="s">
        <v>130</v>
      </c>
      <c r="F4703" t="s">
        <v>493</v>
      </c>
      <c r="G4703">
        <v>340</v>
      </c>
      <c r="I4703">
        <f t="shared" si="270"/>
        <v>0</v>
      </c>
      <c r="J4703">
        <f t="shared" si="270"/>
        <v>0</v>
      </c>
      <c r="K4703">
        <f t="shared" si="270"/>
        <v>0</v>
      </c>
      <c r="M4703" t="str" cm="1">
        <f t="array" ref="M4703">IFERROR(INDEX($I$2:$K$2,0,MATCH(TRUE,I4703:K4703,0)),E4703)</f>
        <v>OCGT</v>
      </c>
      <c r="O4703" t="str">
        <f t="shared" si="268"/>
        <v>OCGT_2021</v>
      </c>
      <c r="P4703">
        <f t="shared" si="269"/>
        <v>340</v>
      </c>
    </row>
    <row r="4704" spans="4:16" x14ac:dyDescent="0.25">
      <c r="D4704">
        <v>2022</v>
      </c>
      <c r="E4704" t="s">
        <v>130</v>
      </c>
      <c r="F4704" t="s">
        <v>493</v>
      </c>
      <c r="G4704">
        <v>340</v>
      </c>
      <c r="I4704">
        <f t="shared" si="270"/>
        <v>0</v>
      </c>
      <c r="J4704">
        <f t="shared" si="270"/>
        <v>0</v>
      </c>
      <c r="K4704">
        <f t="shared" si="270"/>
        <v>0</v>
      </c>
      <c r="M4704" t="str" cm="1">
        <f t="array" ref="M4704">IFERROR(INDEX($I$2:$K$2,0,MATCH(TRUE,I4704:K4704,0)),E4704)</f>
        <v>OCGT</v>
      </c>
      <c r="O4704" t="str">
        <f t="shared" si="268"/>
        <v>OCGT_2022</v>
      </c>
      <c r="P4704">
        <f t="shared" si="269"/>
        <v>340</v>
      </c>
    </row>
    <row r="4705" spans="4:16" x14ac:dyDescent="0.25">
      <c r="D4705">
        <v>2023</v>
      </c>
      <c r="E4705" t="s">
        <v>130</v>
      </c>
      <c r="F4705" t="s">
        <v>493</v>
      </c>
      <c r="G4705">
        <v>340</v>
      </c>
      <c r="I4705">
        <f t="shared" si="270"/>
        <v>0</v>
      </c>
      <c r="J4705">
        <f t="shared" si="270"/>
        <v>0</v>
      </c>
      <c r="K4705">
        <f t="shared" si="270"/>
        <v>0</v>
      </c>
      <c r="M4705" t="str" cm="1">
        <f t="array" ref="M4705">IFERROR(INDEX($I$2:$K$2,0,MATCH(TRUE,I4705:K4705,0)),E4705)</f>
        <v>OCGT</v>
      </c>
      <c r="O4705" t="str">
        <f t="shared" si="268"/>
        <v>OCGT_2023</v>
      </c>
      <c r="P4705">
        <f t="shared" si="269"/>
        <v>340</v>
      </c>
    </row>
    <row r="4706" spans="4:16" x14ac:dyDescent="0.25">
      <c r="D4706">
        <v>2024</v>
      </c>
      <c r="E4706" t="s">
        <v>130</v>
      </c>
      <c r="F4706" t="s">
        <v>493</v>
      </c>
      <c r="G4706">
        <v>340</v>
      </c>
      <c r="I4706">
        <f t="shared" si="270"/>
        <v>0</v>
      </c>
      <c r="J4706">
        <f t="shared" si="270"/>
        <v>0</v>
      </c>
      <c r="K4706">
        <f t="shared" si="270"/>
        <v>0</v>
      </c>
      <c r="M4706" t="str" cm="1">
        <f t="array" ref="M4706">IFERROR(INDEX($I$2:$K$2,0,MATCH(TRUE,I4706:K4706,0)),E4706)</f>
        <v>OCGT</v>
      </c>
      <c r="O4706" t="str">
        <f t="shared" si="268"/>
        <v>OCGT_2024</v>
      </c>
      <c r="P4706">
        <f t="shared" si="269"/>
        <v>340</v>
      </c>
    </row>
    <row r="4707" spans="4:16" x14ac:dyDescent="0.25">
      <c r="D4707">
        <v>2025</v>
      </c>
      <c r="E4707" t="s">
        <v>130</v>
      </c>
      <c r="F4707" t="s">
        <v>493</v>
      </c>
      <c r="G4707">
        <v>340</v>
      </c>
      <c r="I4707">
        <f t="shared" si="270"/>
        <v>0</v>
      </c>
      <c r="J4707">
        <f t="shared" si="270"/>
        <v>0</v>
      </c>
      <c r="K4707">
        <f t="shared" si="270"/>
        <v>0</v>
      </c>
      <c r="M4707" t="str" cm="1">
        <f t="array" ref="M4707">IFERROR(INDEX($I$2:$K$2,0,MATCH(TRUE,I4707:K4707,0)),E4707)</f>
        <v>OCGT</v>
      </c>
      <c r="O4707" t="str">
        <f t="shared" si="268"/>
        <v>OCGT_2025</v>
      </c>
      <c r="P4707">
        <f t="shared" si="269"/>
        <v>340</v>
      </c>
    </row>
    <row r="4708" spans="4:16" x14ac:dyDescent="0.25">
      <c r="D4708">
        <v>2026</v>
      </c>
      <c r="E4708" t="s">
        <v>130</v>
      </c>
      <c r="F4708" t="s">
        <v>493</v>
      </c>
      <c r="G4708">
        <v>340</v>
      </c>
      <c r="I4708">
        <f t="shared" si="270"/>
        <v>0</v>
      </c>
      <c r="J4708">
        <f t="shared" si="270"/>
        <v>0</v>
      </c>
      <c r="K4708">
        <f t="shared" si="270"/>
        <v>0</v>
      </c>
      <c r="M4708" t="str" cm="1">
        <f t="array" ref="M4708">IFERROR(INDEX($I$2:$K$2,0,MATCH(TRUE,I4708:K4708,0)),E4708)</f>
        <v>OCGT</v>
      </c>
      <c r="O4708" t="str">
        <f t="shared" si="268"/>
        <v>OCGT_2026</v>
      </c>
      <c r="P4708">
        <f t="shared" si="269"/>
        <v>340</v>
      </c>
    </row>
    <row r="4709" spans="4:16" x14ac:dyDescent="0.25">
      <c r="D4709">
        <v>2027</v>
      </c>
      <c r="E4709" t="s">
        <v>130</v>
      </c>
      <c r="F4709" t="s">
        <v>493</v>
      </c>
      <c r="G4709">
        <v>340</v>
      </c>
      <c r="I4709">
        <f t="shared" si="270"/>
        <v>0</v>
      </c>
      <c r="J4709">
        <f t="shared" si="270"/>
        <v>0</v>
      </c>
      <c r="K4709">
        <f t="shared" si="270"/>
        <v>0</v>
      </c>
      <c r="M4709" t="str" cm="1">
        <f t="array" ref="M4709">IFERROR(INDEX($I$2:$K$2,0,MATCH(TRUE,I4709:K4709,0)),E4709)</f>
        <v>OCGT</v>
      </c>
      <c r="O4709" t="str">
        <f t="shared" si="268"/>
        <v>OCGT_2027</v>
      </c>
      <c r="P4709">
        <f t="shared" si="269"/>
        <v>340</v>
      </c>
    </row>
    <row r="4710" spans="4:16" x14ac:dyDescent="0.25">
      <c r="D4710">
        <v>2028</v>
      </c>
      <c r="E4710" t="s">
        <v>130</v>
      </c>
      <c r="F4710" t="s">
        <v>493</v>
      </c>
      <c r="G4710">
        <v>340</v>
      </c>
      <c r="I4710">
        <f t="shared" si="270"/>
        <v>0</v>
      </c>
      <c r="J4710">
        <f t="shared" si="270"/>
        <v>0</v>
      </c>
      <c r="K4710">
        <f t="shared" si="270"/>
        <v>0</v>
      </c>
      <c r="M4710" t="str" cm="1">
        <f t="array" ref="M4710">IFERROR(INDEX($I$2:$K$2,0,MATCH(TRUE,I4710:K4710,0)),E4710)</f>
        <v>OCGT</v>
      </c>
      <c r="O4710" t="str">
        <f t="shared" si="268"/>
        <v>OCGT_2028</v>
      </c>
      <c r="P4710">
        <f t="shared" si="269"/>
        <v>340</v>
      </c>
    </row>
    <row r="4711" spans="4:16" x14ac:dyDescent="0.25">
      <c r="D4711">
        <v>2029</v>
      </c>
      <c r="E4711" t="s">
        <v>130</v>
      </c>
      <c r="F4711" t="s">
        <v>493</v>
      </c>
      <c r="G4711">
        <v>340</v>
      </c>
      <c r="I4711">
        <f t="shared" si="270"/>
        <v>0</v>
      </c>
      <c r="J4711">
        <f t="shared" si="270"/>
        <v>0</v>
      </c>
      <c r="K4711">
        <f t="shared" si="270"/>
        <v>0</v>
      </c>
      <c r="M4711" t="str" cm="1">
        <f t="array" ref="M4711">IFERROR(INDEX($I$2:$K$2,0,MATCH(TRUE,I4711:K4711,0)),E4711)</f>
        <v>OCGT</v>
      </c>
      <c r="O4711" t="str">
        <f t="shared" si="268"/>
        <v>OCGT_2029</v>
      </c>
      <c r="P4711">
        <f t="shared" si="269"/>
        <v>340</v>
      </c>
    </row>
    <row r="4712" spans="4:16" x14ac:dyDescent="0.25">
      <c r="D4712">
        <v>2030</v>
      </c>
      <c r="E4712" t="s">
        <v>130</v>
      </c>
      <c r="F4712" t="s">
        <v>493</v>
      </c>
      <c r="G4712">
        <v>340</v>
      </c>
      <c r="I4712">
        <f t="shared" si="270"/>
        <v>0</v>
      </c>
      <c r="J4712">
        <f t="shared" si="270"/>
        <v>0</v>
      </c>
      <c r="K4712">
        <f t="shared" si="270"/>
        <v>0</v>
      </c>
      <c r="M4712" t="str" cm="1">
        <f t="array" ref="M4712">IFERROR(INDEX($I$2:$K$2,0,MATCH(TRUE,I4712:K4712,0)),E4712)</f>
        <v>OCGT</v>
      </c>
      <c r="O4712" t="str">
        <f t="shared" si="268"/>
        <v>OCGT_2030</v>
      </c>
      <c r="P4712">
        <f t="shared" si="269"/>
        <v>340</v>
      </c>
    </row>
    <row r="4713" spans="4:16" x14ac:dyDescent="0.25">
      <c r="D4713">
        <v>2031</v>
      </c>
      <c r="E4713" t="s">
        <v>130</v>
      </c>
      <c r="F4713" t="s">
        <v>493</v>
      </c>
      <c r="G4713">
        <v>340</v>
      </c>
      <c r="I4713">
        <f t="shared" si="270"/>
        <v>0</v>
      </c>
      <c r="J4713">
        <f t="shared" si="270"/>
        <v>0</v>
      </c>
      <c r="K4713">
        <f t="shared" si="270"/>
        <v>0</v>
      </c>
      <c r="M4713" t="str" cm="1">
        <f t="array" ref="M4713">IFERROR(INDEX($I$2:$K$2,0,MATCH(TRUE,I4713:K4713,0)),E4713)</f>
        <v>OCGT</v>
      </c>
      <c r="O4713" t="str">
        <f t="shared" si="268"/>
        <v>OCGT_2031</v>
      </c>
      <c r="P4713">
        <f t="shared" si="269"/>
        <v>340</v>
      </c>
    </row>
    <row r="4714" spans="4:16" x14ac:dyDescent="0.25">
      <c r="D4714">
        <v>2032</v>
      </c>
      <c r="E4714" t="s">
        <v>130</v>
      </c>
      <c r="F4714" t="s">
        <v>493</v>
      </c>
      <c r="G4714">
        <v>340</v>
      </c>
      <c r="I4714">
        <f t="shared" si="270"/>
        <v>0</v>
      </c>
      <c r="J4714">
        <f t="shared" si="270"/>
        <v>0</v>
      </c>
      <c r="K4714">
        <f t="shared" si="270"/>
        <v>0</v>
      </c>
      <c r="M4714" t="str" cm="1">
        <f t="array" ref="M4714">IFERROR(INDEX($I$2:$K$2,0,MATCH(TRUE,I4714:K4714,0)),E4714)</f>
        <v>OCGT</v>
      </c>
      <c r="O4714" t="str">
        <f t="shared" si="268"/>
        <v>OCGT_2032</v>
      </c>
      <c r="P4714">
        <f t="shared" si="269"/>
        <v>340</v>
      </c>
    </row>
    <row r="4715" spans="4:16" x14ac:dyDescent="0.25">
      <c r="D4715">
        <v>2033</v>
      </c>
      <c r="E4715" t="s">
        <v>130</v>
      </c>
      <c r="F4715" t="s">
        <v>493</v>
      </c>
      <c r="G4715">
        <v>340</v>
      </c>
      <c r="I4715">
        <f t="shared" si="270"/>
        <v>0</v>
      </c>
      <c r="J4715">
        <f t="shared" si="270"/>
        <v>0</v>
      </c>
      <c r="K4715">
        <f t="shared" si="270"/>
        <v>0</v>
      </c>
      <c r="M4715" t="str" cm="1">
        <f t="array" ref="M4715">IFERROR(INDEX($I$2:$K$2,0,MATCH(TRUE,I4715:K4715,0)),E4715)</f>
        <v>OCGT</v>
      </c>
      <c r="O4715" t="str">
        <f t="shared" si="268"/>
        <v>OCGT_2033</v>
      </c>
      <c r="P4715">
        <f t="shared" si="269"/>
        <v>340</v>
      </c>
    </row>
    <row r="4716" spans="4:16" x14ac:dyDescent="0.25">
      <c r="D4716">
        <v>2034</v>
      </c>
      <c r="E4716" t="s">
        <v>130</v>
      </c>
      <c r="F4716" t="s">
        <v>493</v>
      </c>
      <c r="G4716">
        <v>340</v>
      </c>
      <c r="I4716">
        <f t="shared" si="270"/>
        <v>0</v>
      </c>
      <c r="J4716">
        <f t="shared" si="270"/>
        <v>0</v>
      </c>
      <c r="K4716">
        <f t="shared" si="270"/>
        <v>0</v>
      </c>
      <c r="M4716" t="str" cm="1">
        <f t="array" ref="M4716">IFERROR(INDEX($I$2:$K$2,0,MATCH(TRUE,I4716:K4716,0)),E4716)</f>
        <v>OCGT</v>
      </c>
      <c r="O4716" t="str">
        <f t="shared" si="268"/>
        <v>OCGT_2034</v>
      </c>
      <c r="P4716">
        <f t="shared" si="269"/>
        <v>340</v>
      </c>
    </row>
    <row r="4717" spans="4:16" x14ac:dyDescent="0.25">
      <c r="D4717">
        <v>2035</v>
      </c>
      <c r="E4717" t="s">
        <v>130</v>
      </c>
      <c r="F4717" t="s">
        <v>493</v>
      </c>
      <c r="G4717">
        <v>340</v>
      </c>
      <c r="I4717">
        <f t="shared" si="270"/>
        <v>0</v>
      </c>
      <c r="J4717">
        <f t="shared" si="270"/>
        <v>0</v>
      </c>
      <c r="K4717">
        <f t="shared" si="270"/>
        <v>0</v>
      </c>
      <c r="M4717" t="str" cm="1">
        <f t="array" ref="M4717">IFERROR(INDEX($I$2:$K$2,0,MATCH(TRUE,I4717:K4717,0)),E4717)</f>
        <v>OCGT</v>
      </c>
      <c r="O4717" t="str">
        <f t="shared" si="268"/>
        <v>OCGT_2035</v>
      </c>
      <c r="P4717">
        <f t="shared" si="269"/>
        <v>340</v>
      </c>
    </row>
    <row r="4718" spans="4:16" x14ac:dyDescent="0.25">
      <c r="D4718">
        <v>2021</v>
      </c>
      <c r="E4718" t="s">
        <v>130</v>
      </c>
      <c r="F4718" t="s">
        <v>494</v>
      </c>
      <c r="G4718">
        <v>340</v>
      </c>
      <c r="I4718">
        <f t="shared" si="270"/>
        <v>0</v>
      </c>
      <c r="J4718">
        <f t="shared" si="270"/>
        <v>0</v>
      </c>
      <c r="K4718">
        <f t="shared" si="270"/>
        <v>0</v>
      </c>
      <c r="M4718" t="str" cm="1">
        <f t="array" ref="M4718">IFERROR(INDEX($I$2:$K$2,0,MATCH(TRUE,I4718:K4718,0)),E4718)</f>
        <v>OCGT</v>
      </c>
      <c r="O4718" t="str">
        <f t="shared" si="268"/>
        <v>OCGT_2021</v>
      </c>
      <c r="P4718">
        <f t="shared" si="269"/>
        <v>340</v>
      </c>
    </row>
    <row r="4719" spans="4:16" x14ac:dyDescent="0.25">
      <c r="D4719">
        <v>2022</v>
      </c>
      <c r="E4719" t="s">
        <v>130</v>
      </c>
      <c r="F4719" t="s">
        <v>494</v>
      </c>
      <c r="G4719">
        <v>340</v>
      </c>
      <c r="I4719">
        <f t="shared" si="270"/>
        <v>0</v>
      </c>
      <c r="J4719">
        <f t="shared" si="270"/>
        <v>0</v>
      </c>
      <c r="K4719">
        <f t="shared" si="270"/>
        <v>0</v>
      </c>
      <c r="M4719" t="str" cm="1">
        <f t="array" ref="M4719">IFERROR(INDEX($I$2:$K$2,0,MATCH(TRUE,I4719:K4719,0)),E4719)</f>
        <v>OCGT</v>
      </c>
      <c r="O4719" t="str">
        <f t="shared" si="268"/>
        <v>OCGT_2022</v>
      </c>
      <c r="P4719">
        <f t="shared" si="269"/>
        <v>340</v>
      </c>
    </row>
    <row r="4720" spans="4:16" x14ac:dyDescent="0.25">
      <c r="D4720">
        <v>2023</v>
      </c>
      <c r="E4720" t="s">
        <v>130</v>
      </c>
      <c r="F4720" t="s">
        <v>494</v>
      </c>
      <c r="G4720">
        <v>340</v>
      </c>
      <c r="I4720">
        <f t="shared" si="270"/>
        <v>0</v>
      </c>
      <c r="J4720">
        <f t="shared" si="270"/>
        <v>0</v>
      </c>
      <c r="K4720">
        <f t="shared" si="270"/>
        <v>0</v>
      </c>
      <c r="M4720" t="str" cm="1">
        <f t="array" ref="M4720">IFERROR(INDEX($I$2:$K$2,0,MATCH(TRUE,I4720:K4720,0)),E4720)</f>
        <v>OCGT</v>
      </c>
      <c r="O4720" t="str">
        <f t="shared" si="268"/>
        <v>OCGT_2023</v>
      </c>
      <c r="P4720">
        <f t="shared" si="269"/>
        <v>340</v>
      </c>
    </row>
    <row r="4721" spans="4:16" x14ac:dyDescent="0.25">
      <c r="D4721">
        <v>2024</v>
      </c>
      <c r="E4721" t="s">
        <v>130</v>
      </c>
      <c r="F4721" t="s">
        <v>494</v>
      </c>
      <c r="G4721">
        <v>340</v>
      </c>
      <c r="I4721">
        <f t="shared" si="270"/>
        <v>0</v>
      </c>
      <c r="J4721">
        <f t="shared" si="270"/>
        <v>0</v>
      </c>
      <c r="K4721">
        <f t="shared" si="270"/>
        <v>0</v>
      </c>
      <c r="M4721" t="str" cm="1">
        <f t="array" ref="M4721">IFERROR(INDEX($I$2:$K$2,0,MATCH(TRUE,I4721:K4721,0)),E4721)</f>
        <v>OCGT</v>
      </c>
      <c r="O4721" t="str">
        <f t="shared" si="268"/>
        <v>OCGT_2024</v>
      </c>
      <c r="P4721">
        <f t="shared" si="269"/>
        <v>340</v>
      </c>
    </row>
    <row r="4722" spans="4:16" x14ac:dyDescent="0.25">
      <c r="D4722">
        <v>2025</v>
      </c>
      <c r="E4722" t="s">
        <v>130</v>
      </c>
      <c r="F4722" t="s">
        <v>494</v>
      </c>
      <c r="G4722">
        <v>340</v>
      </c>
      <c r="I4722">
        <f t="shared" si="270"/>
        <v>0</v>
      </c>
      <c r="J4722">
        <f t="shared" si="270"/>
        <v>0</v>
      </c>
      <c r="K4722">
        <f t="shared" si="270"/>
        <v>0</v>
      </c>
      <c r="M4722" t="str" cm="1">
        <f t="array" ref="M4722">IFERROR(INDEX($I$2:$K$2,0,MATCH(TRUE,I4722:K4722,0)),E4722)</f>
        <v>OCGT</v>
      </c>
      <c r="O4722" t="str">
        <f t="shared" si="268"/>
        <v>OCGT_2025</v>
      </c>
      <c r="P4722">
        <f t="shared" si="269"/>
        <v>340</v>
      </c>
    </row>
    <row r="4723" spans="4:16" x14ac:dyDescent="0.25">
      <c r="D4723">
        <v>2026</v>
      </c>
      <c r="E4723" t="s">
        <v>130</v>
      </c>
      <c r="F4723" t="s">
        <v>494</v>
      </c>
      <c r="G4723">
        <v>340</v>
      </c>
      <c r="I4723">
        <f t="shared" si="270"/>
        <v>0</v>
      </c>
      <c r="J4723">
        <f t="shared" si="270"/>
        <v>0</v>
      </c>
      <c r="K4723">
        <f t="shared" si="270"/>
        <v>0</v>
      </c>
      <c r="M4723" t="str" cm="1">
        <f t="array" ref="M4723">IFERROR(INDEX($I$2:$K$2,0,MATCH(TRUE,I4723:K4723,0)),E4723)</f>
        <v>OCGT</v>
      </c>
      <c r="O4723" t="str">
        <f t="shared" si="268"/>
        <v>OCGT_2026</v>
      </c>
      <c r="P4723">
        <f t="shared" si="269"/>
        <v>340</v>
      </c>
    </row>
    <row r="4724" spans="4:16" x14ac:dyDescent="0.25">
      <c r="D4724">
        <v>2027</v>
      </c>
      <c r="E4724" t="s">
        <v>130</v>
      </c>
      <c r="F4724" t="s">
        <v>494</v>
      </c>
      <c r="G4724">
        <v>340</v>
      </c>
      <c r="I4724">
        <f t="shared" si="270"/>
        <v>0</v>
      </c>
      <c r="J4724">
        <f t="shared" si="270"/>
        <v>0</v>
      </c>
      <c r="K4724">
        <f t="shared" si="270"/>
        <v>0</v>
      </c>
      <c r="M4724" t="str" cm="1">
        <f t="array" ref="M4724">IFERROR(INDEX($I$2:$K$2,0,MATCH(TRUE,I4724:K4724,0)),E4724)</f>
        <v>OCGT</v>
      </c>
      <c r="O4724" t="str">
        <f t="shared" si="268"/>
        <v>OCGT_2027</v>
      </c>
      <c r="P4724">
        <f t="shared" si="269"/>
        <v>340</v>
      </c>
    </row>
    <row r="4725" spans="4:16" x14ac:dyDescent="0.25">
      <c r="D4725">
        <v>2028</v>
      </c>
      <c r="E4725" t="s">
        <v>130</v>
      </c>
      <c r="F4725" t="s">
        <v>494</v>
      </c>
      <c r="G4725">
        <v>340</v>
      </c>
      <c r="I4725">
        <f t="shared" si="270"/>
        <v>0</v>
      </c>
      <c r="J4725">
        <f t="shared" si="270"/>
        <v>0</v>
      </c>
      <c r="K4725">
        <f t="shared" si="270"/>
        <v>0</v>
      </c>
      <c r="M4725" t="str" cm="1">
        <f t="array" ref="M4725">IFERROR(INDEX($I$2:$K$2,0,MATCH(TRUE,I4725:K4725,0)),E4725)</f>
        <v>OCGT</v>
      </c>
      <c r="O4725" t="str">
        <f t="shared" si="268"/>
        <v>OCGT_2028</v>
      </c>
      <c r="P4725">
        <f t="shared" si="269"/>
        <v>340</v>
      </c>
    </row>
    <row r="4726" spans="4:16" x14ac:dyDescent="0.25">
      <c r="D4726">
        <v>2029</v>
      </c>
      <c r="E4726" t="s">
        <v>130</v>
      </c>
      <c r="F4726" t="s">
        <v>494</v>
      </c>
      <c r="G4726">
        <v>340</v>
      </c>
      <c r="I4726">
        <f t="shared" si="270"/>
        <v>0</v>
      </c>
      <c r="J4726">
        <f t="shared" si="270"/>
        <v>0</v>
      </c>
      <c r="K4726">
        <f t="shared" si="270"/>
        <v>0</v>
      </c>
      <c r="M4726" t="str" cm="1">
        <f t="array" ref="M4726">IFERROR(INDEX($I$2:$K$2,0,MATCH(TRUE,I4726:K4726,0)),E4726)</f>
        <v>OCGT</v>
      </c>
      <c r="O4726" t="str">
        <f t="shared" si="268"/>
        <v>OCGT_2029</v>
      </c>
      <c r="P4726">
        <f t="shared" si="269"/>
        <v>340</v>
      </c>
    </row>
    <row r="4727" spans="4:16" x14ac:dyDescent="0.25">
      <c r="D4727">
        <v>2030</v>
      </c>
      <c r="E4727" t="s">
        <v>130</v>
      </c>
      <c r="F4727" t="s">
        <v>494</v>
      </c>
      <c r="G4727">
        <v>340</v>
      </c>
      <c r="I4727">
        <f t="shared" si="270"/>
        <v>0</v>
      </c>
      <c r="J4727">
        <f t="shared" si="270"/>
        <v>0</v>
      </c>
      <c r="K4727">
        <f t="shared" si="270"/>
        <v>0</v>
      </c>
      <c r="M4727" t="str" cm="1">
        <f t="array" ref="M4727">IFERROR(INDEX($I$2:$K$2,0,MATCH(TRUE,I4727:K4727,0)),E4727)</f>
        <v>OCGT</v>
      </c>
      <c r="O4727" t="str">
        <f t="shared" si="268"/>
        <v>OCGT_2030</v>
      </c>
      <c r="P4727">
        <f t="shared" si="269"/>
        <v>340</v>
      </c>
    </row>
    <row r="4728" spans="4:16" x14ac:dyDescent="0.25">
      <c r="D4728">
        <v>2031</v>
      </c>
      <c r="E4728" t="s">
        <v>130</v>
      </c>
      <c r="F4728" t="s">
        <v>494</v>
      </c>
      <c r="G4728">
        <v>340</v>
      </c>
      <c r="I4728">
        <f t="shared" si="270"/>
        <v>0</v>
      </c>
      <c r="J4728">
        <f t="shared" si="270"/>
        <v>0</v>
      </c>
      <c r="K4728">
        <f t="shared" si="270"/>
        <v>0</v>
      </c>
      <c r="M4728" t="str" cm="1">
        <f t="array" ref="M4728">IFERROR(INDEX($I$2:$K$2,0,MATCH(TRUE,I4728:K4728,0)),E4728)</f>
        <v>OCGT</v>
      </c>
      <c r="O4728" t="str">
        <f t="shared" si="268"/>
        <v>OCGT_2031</v>
      </c>
      <c r="P4728">
        <f t="shared" si="269"/>
        <v>340</v>
      </c>
    </row>
    <row r="4729" spans="4:16" x14ac:dyDescent="0.25">
      <c r="D4729">
        <v>2032</v>
      </c>
      <c r="E4729" t="s">
        <v>130</v>
      </c>
      <c r="F4729" t="s">
        <v>494</v>
      </c>
      <c r="G4729">
        <v>340</v>
      </c>
      <c r="I4729">
        <f t="shared" si="270"/>
        <v>0</v>
      </c>
      <c r="J4729">
        <f t="shared" si="270"/>
        <v>0</v>
      </c>
      <c r="K4729">
        <f t="shared" si="270"/>
        <v>0</v>
      </c>
      <c r="M4729" t="str" cm="1">
        <f t="array" ref="M4729">IFERROR(INDEX($I$2:$K$2,0,MATCH(TRUE,I4729:K4729,0)),E4729)</f>
        <v>OCGT</v>
      </c>
      <c r="O4729" t="str">
        <f t="shared" si="268"/>
        <v>OCGT_2032</v>
      </c>
      <c r="P4729">
        <f t="shared" si="269"/>
        <v>340</v>
      </c>
    </row>
    <row r="4730" spans="4:16" x14ac:dyDescent="0.25">
      <c r="D4730">
        <v>2033</v>
      </c>
      <c r="E4730" t="s">
        <v>130</v>
      </c>
      <c r="F4730" t="s">
        <v>494</v>
      </c>
      <c r="G4730">
        <v>340</v>
      </c>
      <c r="I4730">
        <f t="shared" si="270"/>
        <v>0</v>
      </c>
      <c r="J4730">
        <f t="shared" si="270"/>
        <v>0</v>
      </c>
      <c r="K4730">
        <f t="shared" si="270"/>
        <v>0</v>
      </c>
      <c r="M4730" t="str" cm="1">
        <f t="array" ref="M4730">IFERROR(INDEX($I$2:$K$2,0,MATCH(TRUE,I4730:K4730,0)),E4730)</f>
        <v>OCGT</v>
      </c>
      <c r="O4730" t="str">
        <f t="shared" si="268"/>
        <v>OCGT_2033</v>
      </c>
      <c r="P4730">
        <f t="shared" si="269"/>
        <v>340</v>
      </c>
    </row>
    <row r="4731" spans="4:16" x14ac:dyDescent="0.25">
      <c r="D4731">
        <v>2034</v>
      </c>
      <c r="E4731" t="s">
        <v>130</v>
      </c>
      <c r="F4731" t="s">
        <v>494</v>
      </c>
      <c r="G4731">
        <v>340</v>
      </c>
      <c r="I4731">
        <f t="shared" si="270"/>
        <v>0</v>
      </c>
      <c r="J4731">
        <f t="shared" si="270"/>
        <v>0</v>
      </c>
      <c r="K4731">
        <f t="shared" si="270"/>
        <v>0</v>
      </c>
      <c r="M4731" t="str" cm="1">
        <f t="array" ref="M4731">IFERROR(INDEX($I$2:$K$2,0,MATCH(TRUE,I4731:K4731,0)),E4731)</f>
        <v>OCGT</v>
      </c>
      <c r="O4731" t="str">
        <f t="shared" si="268"/>
        <v>OCGT_2034</v>
      </c>
      <c r="P4731">
        <f t="shared" si="269"/>
        <v>340</v>
      </c>
    </row>
    <row r="4732" spans="4:16" x14ac:dyDescent="0.25">
      <c r="D4732">
        <v>2035</v>
      </c>
      <c r="E4732" t="s">
        <v>130</v>
      </c>
      <c r="F4732" t="s">
        <v>494</v>
      </c>
      <c r="G4732">
        <v>340</v>
      </c>
      <c r="I4732">
        <f t="shared" si="270"/>
        <v>0</v>
      </c>
      <c r="J4732">
        <f t="shared" si="270"/>
        <v>0</v>
      </c>
      <c r="K4732">
        <f t="shared" si="270"/>
        <v>0</v>
      </c>
      <c r="M4732" t="str" cm="1">
        <f t="array" ref="M4732">IFERROR(INDEX($I$2:$K$2,0,MATCH(TRUE,I4732:K4732,0)),E4732)</f>
        <v>OCGT</v>
      </c>
      <c r="O4732" t="str">
        <f t="shared" si="268"/>
        <v>OCGT_2035</v>
      </c>
      <c r="P4732">
        <f t="shared" si="269"/>
        <v>340</v>
      </c>
    </row>
    <row r="4733" spans="4:16" x14ac:dyDescent="0.25">
      <c r="D4733">
        <v>2021</v>
      </c>
      <c r="E4733" t="s">
        <v>130</v>
      </c>
      <c r="F4733" t="s">
        <v>495</v>
      </c>
      <c r="G4733">
        <v>22.3</v>
      </c>
      <c r="I4733">
        <f t="shared" si="270"/>
        <v>0</v>
      </c>
      <c r="J4733">
        <f t="shared" si="270"/>
        <v>0</v>
      </c>
      <c r="K4733">
        <f t="shared" si="270"/>
        <v>0</v>
      </c>
      <c r="M4733" t="str" cm="1">
        <f t="array" ref="M4733">IFERROR(INDEX($I$2:$K$2,0,MATCH(TRUE,I4733:K4733,0)),E4733)</f>
        <v>OCGT</v>
      </c>
      <c r="O4733" t="str">
        <f t="shared" si="268"/>
        <v>OCGT_2021</v>
      </c>
      <c r="P4733">
        <f t="shared" si="269"/>
        <v>22.3</v>
      </c>
    </row>
    <row r="4734" spans="4:16" x14ac:dyDescent="0.25">
      <c r="D4734">
        <v>2022</v>
      </c>
      <c r="E4734" t="s">
        <v>130</v>
      </c>
      <c r="F4734" t="s">
        <v>495</v>
      </c>
      <c r="G4734">
        <v>22.3</v>
      </c>
      <c r="I4734">
        <f t="shared" si="270"/>
        <v>0</v>
      </c>
      <c r="J4734">
        <f t="shared" si="270"/>
        <v>0</v>
      </c>
      <c r="K4734">
        <f t="shared" si="270"/>
        <v>0</v>
      </c>
      <c r="M4734" t="str" cm="1">
        <f t="array" ref="M4734">IFERROR(INDEX($I$2:$K$2,0,MATCH(TRUE,I4734:K4734,0)),E4734)</f>
        <v>OCGT</v>
      </c>
      <c r="O4734" t="str">
        <f t="shared" si="268"/>
        <v>OCGT_2022</v>
      </c>
      <c r="P4734">
        <f t="shared" si="269"/>
        <v>22.3</v>
      </c>
    </row>
    <row r="4735" spans="4:16" x14ac:dyDescent="0.25">
      <c r="D4735">
        <v>2023</v>
      </c>
      <c r="E4735" t="s">
        <v>130</v>
      </c>
      <c r="F4735" t="s">
        <v>495</v>
      </c>
      <c r="G4735">
        <v>22.3</v>
      </c>
      <c r="I4735">
        <f t="shared" si="270"/>
        <v>0</v>
      </c>
      <c r="J4735">
        <f t="shared" si="270"/>
        <v>0</v>
      </c>
      <c r="K4735">
        <f t="shared" si="270"/>
        <v>0</v>
      </c>
      <c r="M4735" t="str" cm="1">
        <f t="array" ref="M4735">IFERROR(INDEX($I$2:$K$2,0,MATCH(TRUE,I4735:K4735,0)),E4735)</f>
        <v>OCGT</v>
      </c>
      <c r="O4735" t="str">
        <f t="shared" si="268"/>
        <v>OCGT_2023</v>
      </c>
      <c r="P4735">
        <f t="shared" si="269"/>
        <v>22.3</v>
      </c>
    </row>
    <row r="4736" spans="4:16" x14ac:dyDescent="0.25">
      <c r="D4736">
        <v>2024</v>
      </c>
      <c r="E4736" t="s">
        <v>130</v>
      </c>
      <c r="F4736" t="s">
        <v>495</v>
      </c>
      <c r="G4736">
        <v>22.3</v>
      </c>
      <c r="I4736">
        <f t="shared" si="270"/>
        <v>0</v>
      </c>
      <c r="J4736">
        <f t="shared" si="270"/>
        <v>0</v>
      </c>
      <c r="K4736">
        <f t="shared" si="270"/>
        <v>0</v>
      </c>
      <c r="M4736" t="str" cm="1">
        <f t="array" ref="M4736">IFERROR(INDEX($I$2:$K$2,0,MATCH(TRUE,I4736:K4736,0)),E4736)</f>
        <v>OCGT</v>
      </c>
      <c r="O4736" t="str">
        <f t="shared" si="268"/>
        <v>OCGT_2024</v>
      </c>
      <c r="P4736">
        <f t="shared" si="269"/>
        <v>22.3</v>
      </c>
    </row>
    <row r="4737" spans="4:16" x14ac:dyDescent="0.25">
      <c r="D4737">
        <v>2025</v>
      </c>
      <c r="E4737" t="s">
        <v>130</v>
      </c>
      <c r="F4737" t="s">
        <v>495</v>
      </c>
      <c r="G4737">
        <v>22.3</v>
      </c>
      <c r="I4737">
        <f t="shared" si="270"/>
        <v>0</v>
      </c>
      <c r="J4737">
        <f t="shared" si="270"/>
        <v>0</v>
      </c>
      <c r="K4737">
        <f t="shared" si="270"/>
        <v>0</v>
      </c>
      <c r="M4737" t="str" cm="1">
        <f t="array" ref="M4737">IFERROR(INDEX($I$2:$K$2,0,MATCH(TRUE,I4737:K4737,0)),E4737)</f>
        <v>OCGT</v>
      </c>
      <c r="O4737" t="str">
        <f t="shared" si="268"/>
        <v>OCGT_2025</v>
      </c>
      <c r="P4737">
        <f t="shared" si="269"/>
        <v>22.3</v>
      </c>
    </row>
    <row r="4738" spans="4:16" x14ac:dyDescent="0.25">
      <c r="D4738">
        <v>2026</v>
      </c>
      <c r="E4738" t="s">
        <v>130</v>
      </c>
      <c r="F4738" t="s">
        <v>495</v>
      </c>
      <c r="G4738">
        <v>22.3</v>
      </c>
      <c r="I4738">
        <f t="shared" si="270"/>
        <v>0</v>
      </c>
      <c r="J4738">
        <f t="shared" si="270"/>
        <v>0</v>
      </c>
      <c r="K4738">
        <f t="shared" si="270"/>
        <v>0</v>
      </c>
      <c r="M4738" t="str" cm="1">
        <f t="array" ref="M4738">IFERROR(INDEX($I$2:$K$2,0,MATCH(TRUE,I4738:K4738,0)),E4738)</f>
        <v>OCGT</v>
      </c>
      <c r="O4738" t="str">
        <f t="shared" si="268"/>
        <v>OCGT_2026</v>
      </c>
      <c r="P4738">
        <f t="shared" si="269"/>
        <v>22.3</v>
      </c>
    </row>
    <row r="4739" spans="4:16" x14ac:dyDescent="0.25">
      <c r="D4739">
        <v>2027</v>
      </c>
      <c r="E4739" t="s">
        <v>130</v>
      </c>
      <c r="F4739" t="s">
        <v>495</v>
      </c>
      <c r="G4739">
        <v>22.3</v>
      </c>
      <c r="I4739">
        <f t="shared" si="270"/>
        <v>0</v>
      </c>
      <c r="J4739">
        <f t="shared" si="270"/>
        <v>0</v>
      </c>
      <c r="K4739">
        <f t="shared" si="270"/>
        <v>0</v>
      </c>
      <c r="M4739" t="str" cm="1">
        <f t="array" ref="M4739">IFERROR(INDEX($I$2:$K$2,0,MATCH(TRUE,I4739:K4739,0)),E4739)</f>
        <v>OCGT</v>
      </c>
      <c r="O4739" t="str">
        <f t="shared" si="268"/>
        <v>OCGT_2027</v>
      </c>
      <c r="P4739">
        <f t="shared" si="269"/>
        <v>22.3</v>
      </c>
    </row>
    <row r="4740" spans="4:16" x14ac:dyDescent="0.25">
      <c r="D4740">
        <v>2028</v>
      </c>
      <c r="E4740" t="s">
        <v>130</v>
      </c>
      <c r="F4740" t="s">
        <v>495</v>
      </c>
      <c r="G4740">
        <v>22.3</v>
      </c>
      <c r="I4740">
        <f t="shared" si="270"/>
        <v>0</v>
      </c>
      <c r="J4740">
        <f t="shared" si="270"/>
        <v>0</v>
      </c>
      <c r="K4740">
        <f t="shared" si="270"/>
        <v>0</v>
      </c>
      <c r="M4740" t="str" cm="1">
        <f t="array" ref="M4740">IFERROR(INDEX($I$2:$K$2,0,MATCH(TRUE,I4740:K4740,0)),E4740)</f>
        <v>OCGT</v>
      </c>
      <c r="O4740" t="str">
        <f t="shared" si="268"/>
        <v>OCGT_2028</v>
      </c>
      <c r="P4740">
        <f t="shared" si="269"/>
        <v>22.3</v>
      </c>
    </row>
    <row r="4741" spans="4:16" x14ac:dyDescent="0.25">
      <c r="D4741">
        <v>2029</v>
      </c>
      <c r="E4741" t="s">
        <v>130</v>
      </c>
      <c r="F4741" t="s">
        <v>495</v>
      </c>
      <c r="G4741">
        <v>22.3</v>
      </c>
      <c r="I4741">
        <f t="shared" si="270"/>
        <v>0</v>
      </c>
      <c r="J4741">
        <f t="shared" si="270"/>
        <v>0</v>
      </c>
      <c r="K4741">
        <f t="shared" si="270"/>
        <v>0</v>
      </c>
      <c r="M4741" t="str" cm="1">
        <f t="array" ref="M4741">IFERROR(INDEX($I$2:$K$2,0,MATCH(TRUE,I4741:K4741,0)),E4741)</f>
        <v>OCGT</v>
      </c>
      <c r="O4741" t="str">
        <f t="shared" si="268"/>
        <v>OCGT_2029</v>
      </c>
      <c r="P4741">
        <f t="shared" si="269"/>
        <v>22.3</v>
      </c>
    </row>
    <row r="4742" spans="4:16" x14ac:dyDescent="0.25">
      <c r="D4742">
        <v>2030</v>
      </c>
      <c r="E4742" t="s">
        <v>130</v>
      </c>
      <c r="F4742" t="s">
        <v>495</v>
      </c>
      <c r="G4742">
        <v>22.3</v>
      </c>
      <c r="I4742">
        <f t="shared" si="270"/>
        <v>0</v>
      </c>
      <c r="J4742">
        <f t="shared" si="270"/>
        <v>0</v>
      </c>
      <c r="K4742">
        <f t="shared" si="270"/>
        <v>0</v>
      </c>
      <c r="M4742" t="str" cm="1">
        <f t="array" ref="M4742">IFERROR(INDEX($I$2:$K$2,0,MATCH(TRUE,I4742:K4742,0)),E4742)</f>
        <v>OCGT</v>
      </c>
      <c r="O4742" t="str">
        <f t="shared" si="268"/>
        <v>OCGT_2030</v>
      </c>
      <c r="P4742">
        <f t="shared" si="269"/>
        <v>22.3</v>
      </c>
    </row>
    <row r="4743" spans="4:16" x14ac:dyDescent="0.25">
      <c r="D4743">
        <v>2031</v>
      </c>
      <c r="E4743" t="s">
        <v>130</v>
      </c>
      <c r="F4743" t="s">
        <v>495</v>
      </c>
      <c r="G4743">
        <v>22.3</v>
      </c>
      <c r="I4743">
        <f t="shared" si="270"/>
        <v>0</v>
      </c>
      <c r="J4743">
        <f t="shared" si="270"/>
        <v>0</v>
      </c>
      <c r="K4743">
        <f t="shared" si="270"/>
        <v>0</v>
      </c>
      <c r="M4743" t="str" cm="1">
        <f t="array" ref="M4743">IFERROR(INDEX($I$2:$K$2,0,MATCH(TRUE,I4743:K4743,0)),E4743)</f>
        <v>OCGT</v>
      </c>
      <c r="O4743" t="str">
        <f t="shared" si="268"/>
        <v>OCGT_2031</v>
      </c>
      <c r="P4743">
        <f t="shared" si="269"/>
        <v>22.3</v>
      </c>
    </row>
    <row r="4744" spans="4:16" x14ac:dyDescent="0.25">
      <c r="D4744">
        <v>2032</v>
      </c>
      <c r="E4744" t="s">
        <v>130</v>
      </c>
      <c r="F4744" t="s">
        <v>495</v>
      </c>
      <c r="G4744">
        <v>22.3</v>
      </c>
      <c r="I4744">
        <f t="shared" si="270"/>
        <v>0</v>
      </c>
      <c r="J4744">
        <f t="shared" si="270"/>
        <v>0</v>
      </c>
      <c r="K4744">
        <f t="shared" si="270"/>
        <v>0</v>
      </c>
      <c r="M4744" t="str" cm="1">
        <f t="array" ref="M4744">IFERROR(INDEX($I$2:$K$2,0,MATCH(TRUE,I4744:K4744,0)),E4744)</f>
        <v>OCGT</v>
      </c>
      <c r="O4744" t="str">
        <f t="shared" si="268"/>
        <v>OCGT_2032</v>
      </c>
      <c r="P4744">
        <f t="shared" si="269"/>
        <v>22.3</v>
      </c>
    </row>
    <row r="4745" spans="4:16" x14ac:dyDescent="0.25">
      <c r="D4745">
        <v>2033</v>
      </c>
      <c r="E4745" t="s">
        <v>130</v>
      </c>
      <c r="F4745" t="s">
        <v>495</v>
      </c>
      <c r="G4745">
        <v>22.3</v>
      </c>
      <c r="I4745">
        <f t="shared" si="270"/>
        <v>0</v>
      </c>
      <c r="J4745">
        <f t="shared" si="270"/>
        <v>0</v>
      </c>
      <c r="K4745">
        <f t="shared" si="270"/>
        <v>0</v>
      </c>
      <c r="M4745" t="str" cm="1">
        <f t="array" ref="M4745">IFERROR(INDEX($I$2:$K$2,0,MATCH(TRUE,I4745:K4745,0)),E4745)</f>
        <v>OCGT</v>
      </c>
      <c r="O4745" t="str">
        <f t="shared" si="268"/>
        <v>OCGT_2033</v>
      </c>
      <c r="P4745">
        <f t="shared" si="269"/>
        <v>22.3</v>
      </c>
    </row>
    <row r="4746" spans="4:16" x14ac:dyDescent="0.25">
      <c r="D4746">
        <v>2034</v>
      </c>
      <c r="E4746" t="s">
        <v>130</v>
      </c>
      <c r="F4746" t="s">
        <v>495</v>
      </c>
      <c r="G4746">
        <v>22.3</v>
      </c>
      <c r="I4746">
        <f t="shared" si="270"/>
        <v>0</v>
      </c>
      <c r="J4746">
        <f t="shared" si="270"/>
        <v>0</v>
      </c>
      <c r="K4746">
        <f t="shared" si="270"/>
        <v>0</v>
      </c>
      <c r="M4746" t="str" cm="1">
        <f t="array" ref="M4746">IFERROR(INDEX($I$2:$K$2,0,MATCH(TRUE,I4746:K4746,0)),E4746)</f>
        <v>OCGT</v>
      </c>
      <c r="O4746" t="str">
        <f t="shared" si="268"/>
        <v>OCGT_2034</v>
      </c>
      <c r="P4746">
        <f t="shared" si="269"/>
        <v>22.3</v>
      </c>
    </row>
    <row r="4747" spans="4:16" x14ac:dyDescent="0.25">
      <c r="D4747">
        <v>2035</v>
      </c>
      <c r="E4747" t="s">
        <v>130</v>
      </c>
      <c r="F4747" t="s">
        <v>495</v>
      </c>
      <c r="G4747">
        <v>22.3</v>
      </c>
      <c r="I4747">
        <f t="shared" si="270"/>
        <v>0</v>
      </c>
      <c r="J4747">
        <f t="shared" si="270"/>
        <v>0</v>
      </c>
      <c r="K4747">
        <f t="shared" si="270"/>
        <v>0</v>
      </c>
      <c r="M4747" t="str" cm="1">
        <f t="array" ref="M4747">IFERROR(INDEX($I$2:$K$2,0,MATCH(TRUE,I4747:K4747,0)),E4747)</f>
        <v>OCGT</v>
      </c>
      <c r="O4747" t="str">
        <f t="shared" si="268"/>
        <v>OCGT_2035</v>
      </c>
      <c r="P4747">
        <f t="shared" si="269"/>
        <v>22.3</v>
      </c>
    </row>
    <row r="4748" spans="4:16" x14ac:dyDescent="0.25">
      <c r="D4748">
        <v>2036</v>
      </c>
      <c r="E4748" t="s">
        <v>130</v>
      </c>
      <c r="F4748" t="s">
        <v>495</v>
      </c>
      <c r="G4748">
        <v>22.3</v>
      </c>
      <c r="I4748">
        <f t="shared" si="270"/>
        <v>0</v>
      </c>
      <c r="J4748">
        <f t="shared" si="270"/>
        <v>0</v>
      </c>
      <c r="K4748">
        <f t="shared" si="270"/>
        <v>0</v>
      </c>
      <c r="M4748" t="str" cm="1">
        <f t="array" ref="M4748">IFERROR(INDEX($I$2:$K$2,0,MATCH(TRUE,I4748:K4748,0)),E4748)</f>
        <v>OCGT</v>
      </c>
      <c r="O4748" t="str">
        <f t="shared" si="268"/>
        <v>OCGT_2036</v>
      </c>
      <c r="P4748">
        <f t="shared" si="269"/>
        <v>22.3</v>
      </c>
    </row>
    <row r="4749" spans="4:16" x14ac:dyDescent="0.25">
      <c r="D4749">
        <v>2037</v>
      </c>
      <c r="E4749" t="s">
        <v>130</v>
      </c>
      <c r="F4749" t="s">
        <v>495</v>
      </c>
      <c r="G4749">
        <v>22.3</v>
      </c>
      <c r="I4749">
        <f t="shared" si="270"/>
        <v>0</v>
      </c>
      <c r="J4749">
        <f t="shared" si="270"/>
        <v>0</v>
      </c>
      <c r="K4749">
        <f t="shared" si="270"/>
        <v>0</v>
      </c>
      <c r="M4749" t="str" cm="1">
        <f t="array" ref="M4749">IFERROR(INDEX($I$2:$K$2,0,MATCH(TRUE,I4749:K4749,0)),E4749)</f>
        <v>OCGT</v>
      </c>
      <c r="O4749" t="str">
        <f t="shared" si="268"/>
        <v>OCGT_2037</v>
      </c>
      <c r="P4749">
        <f t="shared" si="269"/>
        <v>22.3</v>
      </c>
    </row>
    <row r="4750" spans="4:16" x14ac:dyDescent="0.25">
      <c r="D4750">
        <v>2038</v>
      </c>
      <c r="E4750" t="s">
        <v>130</v>
      </c>
      <c r="F4750" t="s">
        <v>495</v>
      </c>
      <c r="G4750">
        <v>22.3</v>
      </c>
      <c r="I4750">
        <f t="shared" si="270"/>
        <v>0</v>
      </c>
      <c r="J4750">
        <f t="shared" si="270"/>
        <v>0</v>
      </c>
      <c r="K4750">
        <f t="shared" si="270"/>
        <v>0</v>
      </c>
      <c r="M4750" t="str" cm="1">
        <f t="array" ref="M4750">IFERROR(INDEX($I$2:$K$2,0,MATCH(TRUE,I4750:K4750,0)),E4750)</f>
        <v>OCGT</v>
      </c>
      <c r="O4750" t="str">
        <f t="shared" si="268"/>
        <v>OCGT_2038</v>
      </c>
      <c r="P4750">
        <f t="shared" si="269"/>
        <v>22.3</v>
      </c>
    </row>
    <row r="4751" spans="4:16" x14ac:dyDescent="0.25">
      <c r="D4751">
        <v>2039</v>
      </c>
      <c r="E4751" t="s">
        <v>130</v>
      </c>
      <c r="F4751" t="s">
        <v>495</v>
      </c>
      <c r="G4751">
        <v>22.3</v>
      </c>
      <c r="I4751">
        <f t="shared" si="270"/>
        <v>0</v>
      </c>
      <c r="J4751">
        <f t="shared" si="270"/>
        <v>0</v>
      </c>
      <c r="K4751">
        <f t="shared" si="270"/>
        <v>0</v>
      </c>
      <c r="M4751" t="str" cm="1">
        <f t="array" ref="M4751">IFERROR(INDEX($I$2:$K$2,0,MATCH(TRUE,I4751:K4751,0)),E4751)</f>
        <v>OCGT</v>
      </c>
      <c r="O4751" t="str">
        <f t="shared" si="268"/>
        <v>OCGT_2039</v>
      </c>
      <c r="P4751">
        <f t="shared" si="269"/>
        <v>22.3</v>
      </c>
    </row>
    <row r="4752" spans="4:16" x14ac:dyDescent="0.25">
      <c r="D4752">
        <v>2040</v>
      </c>
      <c r="E4752" t="s">
        <v>130</v>
      </c>
      <c r="F4752" t="s">
        <v>495</v>
      </c>
      <c r="G4752">
        <v>22.3</v>
      </c>
      <c r="I4752">
        <f t="shared" si="270"/>
        <v>0</v>
      </c>
      <c r="J4752">
        <f t="shared" si="270"/>
        <v>0</v>
      </c>
      <c r="K4752">
        <f t="shared" si="270"/>
        <v>0</v>
      </c>
      <c r="M4752" t="str" cm="1">
        <f t="array" ref="M4752">IFERROR(INDEX($I$2:$K$2,0,MATCH(TRUE,I4752:K4752,0)),E4752)</f>
        <v>OCGT</v>
      </c>
      <c r="O4752" t="str">
        <f t="shared" si="268"/>
        <v>OCGT_2040</v>
      </c>
      <c r="P4752">
        <f t="shared" si="269"/>
        <v>22.3</v>
      </c>
    </row>
    <row r="4753" spans="4:16" x14ac:dyDescent="0.25">
      <c r="D4753">
        <v>2021</v>
      </c>
      <c r="E4753" t="s">
        <v>130</v>
      </c>
      <c r="F4753" t="s">
        <v>496</v>
      </c>
      <c r="G4753">
        <v>253</v>
      </c>
      <c r="I4753">
        <f t="shared" si="270"/>
        <v>0</v>
      </c>
      <c r="J4753">
        <f t="shared" si="270"/>
        <v>0</v>
      </c>
      <c r="K4753">
        <f t="shared" si="270"/>
        <v>0</v>
      </c>
      <c r="M4753" t="str" cm="1">
        <f t="array" ref="M4753">IFERROR(INDEX($I$2:$K$2,0,MATCH(TRUE,I4753:K4753,0)),E4753)</f>
        <v>OCGT</v>
      </c>
      <c r="O4753" t="str">
        <f t="shared" si="268"/>
        <v>OCGT_2021</v>
      </c>
      <c r="P4753">
        <f t="shared" si="269"/>
        <v>253</v>
      </c>
    </row>
    <row r="4754" spans="4:16" x14ac:dyDescent="0.25">
      <c r="D4754">
        <v>2022</v>
      </c>
      <c r="E4754" t="s">
        <v>130</v>
      </c>
      <c r="F4754" t="s">
        <v>496</v>
      </c>
      <c r="G4754">
        <v>253</v>
      </c>
      <c r="I4754">
        <f t="shared" si="270"/>
        <v>0</v>
      </c>
      <c r="J4754">
        <f t="shared" si="270"/>
        <v>0</v>
      </c>
      <c r="K4754">
        <f t="shared" si="270"/>
        <v>0</v>
      </c>
      <c r="M4754" t="str" cm="1">
        <f t="array" ref="M4754">IFERROR(INDEX($I$2:$K$2,0,MATCH(TRUE,I4754:K4754,0)),E4754)</f>
        <v>OCGT</v>
      </c>
      <c r="O4754" t="str">
        <f t="shared" si="268"/>
        <v>OCGT_2022</v>
      </c>
      <c r="P4754">
        <f t="shared" si="269"/>
        <v>253</v>
      </c>
    </row>
    <row r="4755" spans="4:16" x14ac:dyDescent="0.25">
      <c r="D4755">
        <v>2023</v>
      </c>
      <c r="E4755" t="s">
        <v>130</v>
      </c>
      <c r="F4755" t="s">
        <v>496</v>
      </c>
      <c r="G4755">
        <v>253</v>
      </c>
      <c r="I4755">
        <f t="shared" si="270"/>
        <v>0</v>
      </c>
      <c r="J4755">
        <f t="shared" si="270"/>
        <v>0</v>
      </c>
      <c r="K4755">
        <f t="shared" si="270"/>
        <v>0</v>
      </c>
      <c r="M4755" t="str" cm="1">
        <f t="array" ref="M4755">IFERROR(INDEX($I$2:$K$2,0,MATCH(TRUE,I4755:K4755,0)),E4755)</f>
        <v>OCGT</v>
      </c>
      <c r="O4755" t="str">
        <f t="shared" ref="O4755:O4818" si="271">M4755&amp;"_"&amp;D4755</f>
        <v>OCGT_2023</v>
      </c>
      <c r="P4755">
        <f t="shared" ref="P4755:P4818" si="272">G4755</f>
        <v>253</v>
      </c>
    </row>
    <row r="4756" spans="4:16" x14ac:dyDescent="0.25">
      <c r="D4756">
        <v>2024</v>
      </c>
      <c r="E4756" t="s">
        <v>130</v>
      </c>
      <c r="F4756" t="s">
        <v>496</v>
      </c>
      <c r="G4756">
        <v>253</v>
      </c>
      <c r="I4756">
        <f t="shared" si="270"/>
        <v>0</v>
      </c>
      <c r="J4756">
        <f t="shared" si="270"/>
        <v>0</v>
      </c>
      <c r="K4756">
        <f t="shared" si="270"/>
        <v>0</v>
      </c>
      <c r="M4756" t="str" cm="1">
        <f t="array" ref="M4756">IFERROR(INDEX($I$2:$K$2,0,MATCH(TRUE,I4756:K4756,0)),E4756)</f>
        <v>OCGT</v>
      </c>
      <c r="O4756" t="str">
        <f t="shared" si="271"/>
        <v>OCGT_2024</v>
      </c>
      <c r="P4756">
        <f t="shared" si="272"/>
        <v>253</v>
      </c>
    </row>
    <row r="4757" spans="4:16" x14ac:dyDescent="0.25">
      <c r="D4757">
        <v>2025</v>
      </c>
      <c r="E4757" t="s">
        <v>130</v>
      </c>
      <c r="F4757" t="s">
        <v>496</v>
      </c>
      <c r="G4757">
        <v>253</v>
      </c>
      <c r="I4757">
        <f t="shared" ref="I4757:K4820" si="273">IFERROR(FIND(I$2,$E4757,1)&gt;0,0)</f>
        <v>0</v>
      </c>
      <c r="J4757">
        <f t="shared" si="273"/>
        <v>0</v>
      </c>
      <c r="K4757">
        <f t="shared" si="273"/>
        <v>0</v>
      </c>
      <c r="M4757" t="str" cm="1">
        <f t="array" ref="M4757">IFERROR(INDEX($I$2:$K$2,0,MATCH(TRUE,I4757:K4757,0)),E4757)</f>
        <v>OCGT</v>
      </c>
      <c r="O4757" t="str">
        <f t="shared" si="271"/>
        <v>OCGT_2025</v>
      </c>
      <c r="P4757">
        <f t="shared" si="272"/>
        <v>253</v>
      </c>
    </row>
    <row r="4758" spans="4:16" x14ac:dyDescent="0.25">
      <c r="D4758">
        <v>2026</v>
      </c>
      <c r="E4758" t="s">
        <v>130</v>
      </c>
      <c r="F4758" t="s">
        <v>496</v>
      </c>
      <c r="G4758">
        <v>253</v>
      </c>
      <c r="I4758">
        <f t="shared" si="273"/>
        <v>0</v>
      </c>
      <c r="J4758">
        <f t="shared" si="273"/>
        <v>0</v>
      </c>
      <c r="K4758">
        <f t="shared" si="273"/>
        <v>0</v>
      </c>
      <c r="M4758" t="str" cm="1">
        <f t="array" ref="M4758">IFERROR(INDEX($I$2:$K$2,0,MATCH(TRUE,I4758:K4758,0)),E4758)</f>
        <v>OCGT</v>
      </c>
      <c r="O4758" t="str">
        <f t="shared" si="271"/>
        <v>OCGT_2026</v>
      </c>
      <c r="P4758">
        <f t="shared" si="272"/>
        <v>253</v>
      </c>
    </row>
    <row r="4759" spans="4:16" x14ac:dyDescent="0.25">
      <c r="D4759">
        <v>2027</v>
      </c>
      <c r="E4759" t="s">
        <v>130</v>
      </c>
      <c r="F4759" t="s">
        <v>496</v>
      </c>
      <c r="G4759">
        <v>253</v>
      </c>
      <c r="I4759">
        <f t="shared" si="273"/>
        <v>0</v>
      </c>
      <c r="J4759">
        <f t="shared" si="273"/>
        <v>0</v>
      </c>
      <c r="K4759">
        <f t="shared" si="273"/>
        <v>0</v>
      </c>
      <c r="M4759" t="str" cm="1">
        <f t="array" ref="M4759">IFERROR(INDEX($I$2:$K$2,0,MATCH(TRUE,I4759:K4759,0)),E4759)</f>
        <v>OCGT</v>
      </c>
      <c r="O4759" t="str">
        <f t="shared" si="271"/>
        <v>OCGT_2027</v>
      </c>
      <c r="P4759">
        <f t="shared" si="272"/>
        <v>253</v>
      </c>
    </row>
    <row r="4760" spans="4:16" x14ac:dyDescent="0.25">
      <c r="D4760">
        <v>2028</v>
      </c>
      <c r="E4760" t="s">
        <v>130</v>
      </c>
      <c r="F4760" t="s">
        <v>496</v>
      </c>
      <c r="G4760">
        <v>253</v>
      </c>
      <c r="I4760">
        <f t="shared" si="273"/>
        <v>0</v>
      </c>
      <c r="J4760">
        <f t="shared" si="273"/>
        <v>0</v>
      </c>
      <c r="K4760">
        <f t="shared" si="273"/>
        <v>0</v>
      </c>
      <c r="M4760" t="str" cm="1">
        <f t="array" ref="M4760">IFERROR(INDEX($I$2:$K$2,0,MATCH(TRUE,I4760:K4760,0)),E4760)</f>
        <v>OCGT</v>
      </c>
      <c r="O4760" t="str">
        <f t="shared" si="271"/>
        <v>OCGT_2028</v>
      </c>
      <c r="P4760">
        <f t="shared" si="272"/>
        <v>253</v>
      </c>
    </row>
    <row r="4761" spans="4:16" x14ac:dyDescent="0.25">
      <c r="D4761">
        <v>2029</v>
      </c>
      <c r="E4761" t="s">
        <v>130</v>
      </c>
      <c r="F4761" t="s">
        <v>496</v>
      </c>
      <c r="G4761">
        <v>253</v>
      </c>
      <c r="I4761">
        <f t="shared" si="273"/>
        <v>0</v>
      </c>
      <c r="J4761">
        <f t="shared" si="273"/>
        <v>0</v>
      </c>
      <c r="K4761">
        <f t="shared" si="273"/>
        <v>0</v>
      </c>
      <c r="M4761" t="str" cm="1">
        <f t="array" ref="M4761">IFERROR(INDEX($I$2:$K$2,0,MATCH(TRUE,I4761:K4761,0)),E4761)</f>
        <v>OCGT</v>
      </c>
      <c r="O4761" t="str">
        <f t="shared" si="271"/>
        <v>OCGT_2029</v>
      </c>
      <c r="P4761">
        <f t="shared" si="272"/>
        <v>253</v>
      </c>
    </row>
    <row r="4762" spans="4:16" x14ac:dyDescent="0.25">
      <c r="D4762">
        <v>2030</v>
      </c>
      <c r="E4762" t="s">
        <v>130</v>
      </c>
      <c r="F4762" t="s">
        <v>496</v>
      </c>
      <c r="G4762">
        <v>253</v>
      </c>
      <c r="I4762">
        <f t="shared" si="273"/>
        <v>0</v>
      </c>
      <c r="J4762">
        <f t="shared" si="273"/>
        <v>0</v>
      </c>
      <c r="K4762">
        <f t="shared" si="273"/>
        <v>0</v>
      </c>
      <c r="M4762" t="str" cm="1">
        <f t="array" ref="M4762">IFERROR(INDEX($I$2:$K$2,0,MATCH(TRUE,I4762:K4762,0)),E4762)</f>
        <v>OCGT</v>
      </c>
      <c r="O4762" t="str">
        <f t="shared" si="271"/>
        <v>OCGT_2030</v>
      </c>
      <c r="P4762">
        <f t="shared" si="272"/>
        <v>253</v>
      </c>
    </row>
    <row r="4763" spans="4:16" x14ac:dyDescent="0.25">
      <c r="D4763">
        <v>2031</v>
      </c>
      <c r="E4763" t="s">
        <v>130</v>
      </c>
      <c r="F4763" t="s">
        <v>496</v>
      </c>
      <c r="G4763">
        <v>253</v>
      </c>
      <c r="I4763">
        <f t="shared" si="273"/>
        <v>0</v>
      </c>
      <c r="J4763">
        <f t="shared" si="273"/>
        <v>0</v>
      </c>
      <c r="K4763">
        <f t="shared" si="273"/>
        <v>0</v>
      </c>
      <c r="M4763" t="str" cm="1">
        <f t="array" ref="M4763">IFERROR(INDEX($I$2:$K$2,0,MATCH(TRUE,I4763:K4763,0)),E4763)</f>
        <v>OCGT</v>
      </c>
      <c r="O4763" t="str">
        <f t="shared" si="271"/>
        <v>OCGT_2031</v>
      </c>
      <c r="P4763">
        <f t="shared" si="272"/>
        <v>253</v>
      </c>
    </row>
    <row r="4764" spans="4:16" x14ac:dyDescent="0.25">
      <c r="D4764">
        <v>2032</v>
      </c>
      <c r="E4764" t="s">
        <v>130</v>
      </c>
      <c r="F4764" t="s">
        <v>496</v>
      </c>
      <c r="G4764">
        <v>253</v>
      </c>
      <c r="I4764">
        <f t="shared" si="273"/>
        <v>0</v>
      </c>
      <c r="J4764">
        <f t="shared" si="273"/>
        <v>0</v>
      </c>
      <c r="K4764">
        <f t="shared" si="273"/>
        <v>0</v>
      </c>
      <c r="M4764" t="str" cm="1">
        <f t="array" ref="M4764">IFERROR(INDEX($I$2:$K$2,0,MATCH(TRUE,I4764:K4764,0)),E4764)</f>
        <v>OCGT</v>
      </c>
      <c r="O4764" t="str">
        <f t="shared" si="271"/>
        <v>OCGT_2032</v>
      </c>
      <c r="P4764">
        <f t="shared" si="272"/>
        <v>253</v>
      </c>
    </row>
    <row r="4765" spans="4:16" x14ac:dyDescent="0.25">
      <c r="D4765">
        <v>2033</v>
      </c>
      <c r="E4765" t="s">
        <v>130</v>
      </c>
      <c r="F4765" t="s">
        <v>496</v>
      </c>
      <c r="G4765">
        <v>253</v>
      </c>
      <c r="I4765">
        <f t="shared" si="273"/>
        <v>0</v>
      </c>
      <c r="J4765">
        <f t="shared" si="273"/>
        <v>0</v>
      </c>
      <c r="K4765">
        <f t="shared" si="273"/>
        <v>0</v>
      </c>
      <c r="M4765" t="str" cm="1">
        <f t="array" ref="M4765">IFERROR(INDEX($I$2:$K$2,0,MATCH(TRUE,I4765:K4765,0)),E4765)</f>
        <v>OCGT</v>
      </c>
      <c r="O4765" t="str">
        <f t="shared" si="271"/>
        <v>OCGT_2033</v>
      </c>
      <c r="P4765">
        <f t="shared" si="272"/>
        <v>253</v>
      </c>
    </row>
    <row r="4766" spans="4:16" x14ac:dyDescent="0.25">
      <c r="D4766">
        <v>2034</v>
      </c>
      <c r="E4766" t="s">
        <v>130</v>
      </c>
      <c r="F4766" t="s">
        <v>496</v>
      </c>
      <c r="G4766">
        <v>253</v>
      </c>
      <c r="I4766">
        <f t="shared" si="273"/>
        <v>0</v>
      </c>
      <c r="J4766">
        <f t="shared" si="273"/>
        <v>0</v>
      </c>
      <c r="K4766">
        <f t="shared" si="273"/>
        <v>0</v>
      </c>
      <c r="M4766" t="str" cm="1">
        <f t="array" ref="M4766">IFERROR(INDEX($I$2:$K$2,0,MATCH(TRUE,I4766:K4766,0)),E4766)</f>
        <v>OCGT</v>
      </c>
      <c r="O4766" t="str">
        <f t="shared" si="271"/>
        <v>OCGT_2034</v>
      </c>
      <c r="P4766">
        <f t="shared" si="272"/>
        <v>253</v>
      </c>
    </row>
    <row r="4767" spans="4:16" x14ac:dyDescent="0.25">
      <c r="D4767">
        <v>2035</v>
      </c>
      <c r="E4767" t="s">
        <v>130</v>
      </c>
      <c r="F4767" t="s">
        <v>496</v>
      </c>
      <c r="G4767">
        <v>253</v>
      </c>
      <c r="I4767">
        <f t="shared" si="273"/>
        <v>0</v>
      </c>
      <c r="J4767">
        <f t="shared" si="273"/>
        <v>0</v>
      </c>
      <c r="K4767">
        <f t="shared" si="273"/>
        <v>0</v>
      </c>
      <c r="M4767" t="str" cm="1">
        <f t="array" ref="M4767">IFERROR(INDEX($I$2:$K$2,0,MATCH(TRUE,I4767:K4767,0)),E4767)</f>
        <v>OCGT</v>
      </c>
      <c r="O4767" t="str">
        <f t="shared" si="271"/>
        <v>OCGT_2035</v>
      </c>
      <c r="P4767">
        <f t="shared" si="272"/>
        <v>253</v>
      </c>
    </row>
    <row r="4768" spans="4:16" x14ac:dyDescent="0.25">
      <c r="D4768">
        <v>2036</v>
      </c>
      <c r="E4768" t="s">
        <v>130</v>
      </c>
      <c r="F4768" t="s">
        <v>496</v>
      </c>
      <c r="G4768">
        <v>253</v>
      </c>
      <c r="I4768">
        <f t="shared" si="273"/>
        <v>0</v>
      </c>
      <c r="J4768">
        <f t="shared" si="273"/>
        <v>0</v>
      </c>
      <c r="K4768">
        <f t="shared" si="273"/>
        <v>0</v>
      </c>
      <c r="M4768" t="str" cm="1">
        <f t="array" ref="M4768">IFERROR(INDEX($I$2:$K$2,0,MATCH(TRUE,I4768:K4768,0)),E4768)</f>
        <v>OCGT</v>
      </c>
      <c r="O4768" t="str">
        <f t="shared" si="271"/>
        <v>OCGT_2036</v>
      </c>
      <c r="P4768">
        <f t="shared" si="272"/>
        <v>253</v>
      </c>
    </row>
    <row r="4769" spans="4:16" x14ac:dyDescent="0.25">
      <c r="D4769">
        <v>2037</v>
      </c>
      <c r="E4769" t="s">
        <v>130</v>
      </c>
      <c r="F4769" t="s">
        <v>496</v>
      </c>
      <c r="G4769">
        <v>253</v>
      </c>
      <c r="I4769">
        <f t="shared" si="273"/>
        <v>0</v>
      </c>
      <c r="J4769">
        <f t="shared" si="273"/>
        <v>0</v>
      </c>
      <c r="K4769">
        <f t="shared" si="273"/>
        <v>0</v>
      </c>
      <c r="M4769" t="str" cm="1">
        <f t="array" ref="M4769">IFERROR(INDEX($I$2:$K$2,0,MATCH(TRUE,I4769:K4769,0)),E4769)</f>
        <v>OCGT</v>
      </c>
      <c r="O4769" t="str">
        <f t="shared" si="271"/>
        <v>OCGT_2037</v>
      </c>
      <c r="P4769">
        <f t="shared" si="272"/>
        <v>253</v>
      </c>
    </row>
    <row r="4770" spans="4:16" x14ac:dyDescent="0.25">
      <c r="D4770">
        <v>2038</v>
      </c>
      <c r="E4770" t="s">
        <v>130</v>
      </c>
      <c r="F4770" t="s">
        <v>496</v>
      </c>
      <c r="G4770">
        <v>253</v>
      </c>
      <c r="I4770">
        <f t="shared" si="273"/>
        <v>0</v>
      </c>
      <c r="J4770">
        <f t="shared" si="273"/>
        <v>0</v>
      </c>
      <c r="K4770">
        <f t="shared" si="273"/>
        <v>0</v>
      </c>
      <c r="M4770" t="str" cm="1">
        <f t="array" ref="M4770">IFERROR(INDEX($I$2:$K$2,0,MATCH(TRUE,I4770:K4770,0)),E4770)</f>
        <v>OCGT</v>
      </c>
      <c r="O4770" t="str">
        <f t="shared" si="271"/>
        <v>OCGT_2038</v>
      </c>
      <c r="P4770">
        <f t="shared" si="272"/>
        <v>253</v>
      </c>
    </row>
    <row r="4771" spans="4:16" x14ac:dyDescent="0.25">
      <c r="D4771">
        <v>2039</v>
      </c>
      <c r="E4771" t="s">
        <v>130</v>
      </c>
      <c r="F4771" t="s">
        <v>496</v>
      </c>
      <c r="G4771">
        <v>253</v>
      </c>
      <c r="I4771">
        <f t="shared" si="273"/>
        <v>0</v>
      </c>
      <c r="J4771">
        <f t="shared" si="273"/>
        <v>0</v>
      </c>
      <c r="K4771">
        <f t="shared" si="273"/>
        <v>0</v>
      </c>
      <c r="M4771" t="str" cm="1">
        <f t="array" ref="M4771">IFERROR(INDEX($I$2:$K$2,0,MATCH(TRUE,I4771:K4771,0)),E4771)</f>
        <v>OCGT</v>
      </c>
      <c r="O4771" t="str">
        <f t="shared" si="271"/>
        <v>OCGT_2039</v>
      </c>
      <c r="P4771">
        <f t="shared" si="272"/>
        <v>253</v>
      </c>
    </row>
    <row r="4772" spans="4:16" x14ac:dyDescent="0.25">
      <c r="D4772">
        <v>2040</v>
      </c>
      <c r="E4772" t="s">
        <v>130</v>
      </c>
      <c r="F4772" t="s">
        <v>496</v>
      </c>
      <c r="G4772">
        <v>253</v>
      </c>
      <c r="I4772">
        <f t="shared" si="273"/>
        <v>0</v>
      </c>
      <c r="J4772">
        <f t="shared" si="273"/>
        <v>0</v>
      </c>
      <c r="K4772">
        <f t="shared" si="273"/>
        <v>0</v>
      </c>
      <c r="M4772" t="str" cm="1">
        <f t="array" ref="M4772">IFERROR(INDEX($I$2:$K$2,0,MATCH(TRUE,I4772:K4772,0)),E4772)</f>
        <v>OCGT</v>
      </c>
      <c r="O4772" t="str">
        <f t="shared" si="271"/>
        <v>OCGT_2040</v>
      </c>
      <c r="P4772">
        <f t="shared" si="272"/>
        <v>253</v>
      </c>
    </row>
    <row r="4773" spans="4:16" x14ac:dyDescent="0.25">
      <c r="D4773">
        <v>2021</v>
      </c>
      <c r="E4773" t="s">
        <v>130</v>
      </c>
      <c r="F4773" t="s">
        <v>497</v>
      </c>
      <c r="G4773">
        <v>253</v>
      </c>
      <c r="I4773">
        <f t="shared" si="273"/>
        <v>0</v>
      </c>
      <c r="J4773">
        <f t="shared" si="273"/>
        <v>0</v>
      </c>
      <c r="K4773">
        <f t="shared" si="273"/>
        <v>0</v>
      </c>
      <c r="M4773" t="str" cm="1">
        <f t="array" ref="M4773">IFERROR(INDEX($I$2:$K$2,0,MATCH(TRUE,I4773:K4773,0)),E4773)</f>
        <v>OCGT</v>
      </c>
      <c r="O4773" t="str">
        <f t="shared" si="271"/>
        <v>OCGT_2021</v>
      </c>
      <c r="P4773">
        <f t="shared" si="272"/>
        <v>253</v>
      </c>
    </row>
    <row r="4774" spans="4:16" x14ac:dyDescent="0.25">
      <c r="D4774">
        <v>2022</v>
      </c>
      <c r="E4774" t="s">
        <v>130</v>
      </c>
      <c r="F4774" t="s">
        <v>497</v>
      </c>
      <c r="G4774">
        <v>253</v>
      </c>
      <c r="I4774">
        <f t="shared" si="273"/>
        <v>0</v>
      </c>
      <c r="J4774">
        <f t="shared" si="273"/>
        <v>0</v>
      </c>
      <c r="K4774">
        <f t="shared" si="273"/>
        <v>0</v>
      </c>
      <c r="M4774" t="str" cm="1">
        <f t="array" ref="M4774">IFERROR(INDEX($I$2:$K$2,0,MATCH(TRUE,I4774:K4774,0)),E4774)</f>
        <v>OCGT</v>
      </c>
      <c r="O4774" t="str">
        <f t="shared" si="271"/>
        <v>OCGT_2022</v>
      </c>
      <c r="P4774">
        <f t="shared" si="272"/>
        <v>253</v>
      </c>
    </row>
    <row r="4775" spans="4:16" x14ac:dyDescent="0.25">
      <c r="D4775">
        <v>2023</v>
      </c>
      <c r="E4775" t="s">
        <v>130</v>
      </c>
      <c r="F4775" t="s">
        <v>497</v>
      </c>
      <c r="G4775">
        <v>253</v>
      </c>
      <c r="I4775">
        <f t="shared" si="273"/>
        <v>0</v>
      </c>
      <c r="J4775">
        <f t="shared" si="273"/>
        <v>0</v>
      </c>
      <c r="K4775">
        <f t="shared" si="273"/>
        <v>0</v>
      </c>
      <c r="M4775" t="str" cm="1">
        <f t="array" ref="M4775">IFERROR(INDEX($I$2:$K$2,0,MATCH(TRUE,I4775:K4775,0)),E4775)</f>
        <v>OCGT</v>
      </c>
      <c r="O4775" t="str">
        <f t="shared" si="271"/>
        <v>OCGT_2023</v>
      </c>
      <c r="P4775">
        <f t="shared" si="272"/>
        <v>253</v>
      </c>
    </row>
    <row r="4776" spans="4:16" x14ac:dyDescent="0.25">
      <c r="D4776">
        <v>2024</v>
      </c>
      <c r="E4776" t="s">
        <v>130</v>
      </c>
      <c r="F4776" t="s">
        <v>497</v>
      </c>
      <c r="G4776">
        <v>253</v>
      </c>
      <c r="I4776">
        <f t="shared" si="273"/>
        <v>0</v>
      </c>
      <c r="J4776">
        <f t="shared" si="273"/>
        <v>0</v>
      </c>
      <c r="K4776">
        <f t="shared" si="273"/>
        <v>0</v>
      </c>
      <c r="M4776" t="str" cm="1">
        <f t="array" ref="M4776">IFERROR(INDEX($I$2:$K$2,0,MATCH(TRUE,I4776:K4776,0)),E4776)</f>
        <v>OCGT</v>
      </c>
      <c r="O4776" t="str">
        <f t="shared" si="271"/>
        <v>OCGT_2024</v>
      </c>
      <c r="P4776">
        <f t="shared" si="272"/>
        <v>253</v>
      </c>
    </row>
    <row r="4777" spans="4:16" x14ac:dyDescent="0.25">
      <c r="D4777">
        <v>2025</v>
      </c>
      <c r="E4777" t="s">
        <v>130</v>
      </c>
      <c r="F4777" t="s">
        <v>497</v>
      </c>
      <c r="G4777">
        <v>253</v>
      </c>
      <c r="I4777">
        <f t="shared" si="273"/>
        <v>0</v>
      </c>
      <c r="J4777">
        <f t="shared" si="273"/>
        <v>0</v>
      </c>
      <c r="K4777">
        <f t="shared" si="273"/>
        <v>0</v>
      </c>
      <c r="M4777" t="str" cm="1">
        <f t="array" ref="M4777">IFERROR(INDEX($I$2:$K$2,0,MATCH(TRUE,I4777:K4777,0)),E4777)</f>
        <v>OCGT</v>
      </c>
      <c r="O4777" t="str">
        <f t="shared" si="271"/>
        <v>OCGT_2025</v>
      </c>
      <c r="P4777">
        <f t="shared" si="272"/>
        <v>253</v>
      </c>
    </row>
    <row r="4778" spans="4:16" x14ac:dyDescent="0.25">
      <c r="D4778">
        <v>2026</v>
      </c>
      <c r="E4778" t="s">
        <v>130</v>
      </c>
      <c r="F4778" t="s">
        <v>497</v>
      </c>
      <c r="G4778">
        <v>253</v>
      </c>
      <c r="I4778">
        <f t="shared" si="273"/>
        <v>0</v>
      </c>
      <c r="J4778">
        <f t="shared" si="273"/>
        <v>0</v>
      </c>
      <c r="K4778">
        <f t="shared" si="273"/>
        <v>0</v>
      </c>
      <c r="M4778" t="str" cm="1">
        <f t="array" ref="M4778">IFERROR(INDEX($I$2:$K$2,0,MATCH(TRUE,I4778:K4778,0)),E4778)</f>
        <v>OCGT</v>
      </c>
      <c r="O4778" t="str">
        <f t="shared" si="271"/>
        <v>OCGT_2026</v>
      </c>
      <c r="P4778">
        <f t="shared" si="272"/>
        <v>253</v>
      </c>
    </row>
    <row r="4779" spans="4:16" x14ac:dyDescent="0.25">
      <c r="D4779">
        <v>2027</v>
      </c>
      <c r="E4779" t="s">
        <v>130</v>
      </c>
      <c r="F4779" t="s">
        <v>497</v>
      </c>
      <c r="G4779">
        <v>253</v>
      </c>
      <c r="I4779">
        <f t="shared" si="273"/>
        <v>0</v>
      </c>
      <c r="J4779">
        <f t="shared" si="273"/>
        <v>0</v>
      </c>
      <c r="K4779">
        <f t="shared" si="273"/>
        <v>0</v>
      </c>
      <c r="M4779" t="str" cm="1">
        <f t="array" ref="M4779">IFERROR(INDEX($I$2:$K$2,0,MATCH(TRUE,I4779:K4779,0)),E4779)</f>
        <v>OCGT</v>
      </c>
      <c r="O4779" t="str">
        <f t="shared" si="271"/>
        <v>OCGT_2027</v>
      </c>
      <c r="P4779">
        <f t="shared" si="272"/>
        <v>253</v>
      </c>
    </row>
    <row r="4780" spans="4:16" x14ac:dyDescent="0.25">
      <c r="D4780">
        <v>2028</v>
      </c>
      <c r="E4780" t="s">
        <v>130</v>
      </c>
      <c r="F4780" t="s">
        <v>497</v>
      </c>
      <c r="G4780">
        <v>253</v>
      </c>
      <c r="I4780">
        <f t="shared" si="273"/>
        <v>0</v>
      </c>
      <c r="J4780">
        <f t="shared" si="273"/>
        <v>0</v>
      </c>
      <c r="K4780">
        <f t="shared" si="273"/>
        <v>0</v>
      </c>
      <c r="M4780" t="str" cm="1">
        <f t="array" ref="M4780">IFERROR(INDEX($I$2:$K$2,0,MATCH(TRUE,I4780:K4780,0)),E4780)</f>
        <v>OCGT</v>
      </c>
      <c r="O4780" t="str">
        <f t="shared" si="271"/>
        <v>OCGT_2028</v>
      </c>
      <c r="P4780">
        <f t="shared" si="272"/>
        <v>253</v>
      </c>
    </row>
    <row r="4781" spans="4:16" x14ac:dyDescent="0.25">
      <c r="D4781">
        <v>2029</v>
      </c>
      <c r="E4781" t="s">
        <v>130</v>
      </c>
      <c r="F4781" t="s">
        <v>497</v>
      </c>
      <c r="G4781">
        <v>253</v>
      </c>
      <c r="I4781">
        <f t="shared" si="273"/>
        <v>0</v>
      </c>
      <c r="J4781">
        <f t="shared" si="273"/>
        <v>0</v>
      </c>
      <c r="K4781">
        <f t="shared" si="273"/>
        <v>0</v>
      </c>
      <c r="M4781" t="str" cm="1">
        <f t="array" ref="M4781">IFERROR(INDEX($I$2:$K$2,0,MATCH(TRUE,I4781:K4781,0)),E4781)</f>
        <v>OCGT</v>
      </c>
      <c r="O4781" t="str">
        <f t="shared" si="271"/>
        <v>OCGT_2029</v>
      </c>
      <c r="P4781">
        <f t="shared" si="272"/>
        <v>253</v>
      </c>
    </row>
    <row r="4782" spans="4:16" x14ac:dyDescent="0.25">
      <c r="D4782">
        <v>2030</v>
      </c>
      <c r="E4782" t="s">
        <v>130</v>
      </c>
      <c r="F4782" t="s">
        <v>497</v>
      </c>
      <c r="G4782">
        <v>253</v>
      </c>
      <c r="I4782">
        <f t="shared" si="273"/>
        <v>0</v>
      </c>
      <c r="J4782">
        <f t="shared" si="273"/>
        <v>0</v>
      </c>
      <c r="K4782">
        <f t="shared" si="273"/>
        <v>0</v>
      </c>
      <c r="M4782" t="str" cm="1">
        <f t="array" ref="M4782">IFERROR(INDEX($I$2:$K$2,0,MATCH(TRUE,I4782:K4782,0)),E4782)</f>
        <v>OCGT</v>
      </c>
      <c r="O4782" t="str">
        <f t="shared" si="271"/>
        <v>OCGT_2030</v>
      </c>
      <c r="P4782">
        <f t="shared" si="272"/>
        <v>253</v>
      </c>
    </row>
    <row r="4783" spans="4:16" x14ac:dyDescent="0.25">
      <c r="D4783">
        <v>2031</v>
      </c>
      <c r="E4783" t="s">
        <v>130</v>
      </c>
      <c r="F4783" t="s">
        <v>497</v>
      </c>
      <c r="G4783">
        <v>253</v>
      </c>
      <c r="I4783">
        <f t="shared" si="273"/>
        <v>0</v>
      </c>
      <c r="J4783">
        <f t="shared" si="273"/>
        <v>0</v>
      </c>
      <c r="K4783">
        <f t="shared" si="273"/>
        <v>0</v>
      </c>
      <c r="M4783" t="str" cm="1">
        <f t="array" ref="M4783">IFERROR(INDEX($I$2:$K$2,0,MATCH(TRUE,I4783:K4783,0)),E4783)</f>
        <v>OCGT</v>
      </c>
      <c r="O4783" t="str">
        <f t="shared" si="271"/>
        <v>OCGT_2031</v>
      </c>
      <c r="P4783">
        <f t="shared" si="272"/>
        <v>253</v>
      </c>
    </row>
    <row r="4784" spans="4:16" x14ac:dyDescent="0.25">
      <c r="D4784">
        <v>2032</v>
      </c>
      <c r="E4784" t="s">
        <v>130</v>
      </c>
      <c r="F4784" t="s">
        <v>497</v>
      </c>
      <c r="G4784">
        <v>253</v>
      </c>
      <c r="I4784">
        <f t="shared" si="273"/>
        <v>0</v>
      </c>
      <c r="J4784">
        <f t="shared" si="273"/>
        <v>0</v>
      </c>
      <c r="K4784">
        <f t="shared" si="273"/>
        <v>0</v>
      </c>
      <c r="M4784" t="str" cm="1">
        <f t="array" ref="M4784">IFERROR(INDEX($I$2:$K$2,0,MATCH(TRUE,I4784:K4784,0)),E4784)</f>
        <v>OCGT</v>
      </c>
      <c r="O4784" t="str">
        <f t="shared" si="271"/>
        <v>OCGT_2032</v>
      </c>
      <c r="P4784">
        <f t="shared" si="272"/>
        <v>253</v>
      </c>
    </row>
    <row r="4785" spans="4:16" x14ac:dyDescent="0.25">
      <c r="D4785">
        <v>2033</v>
      </c>
      <c r="E4785" t="s">
        <v>130</v>
      </c>
      <c r="F4785" t="s">
        <v>497</v>
      </c>
      <c r="G4785">
        <v>253</v>
      </c>
      <c r="I4785">
        <f t="shared" si="273"/>
        <v>0</v>
      </c>
      <c r="J4785">
        <f t="shared" si="273"/>
        <v>0</v>
      </c>
      <c r="K4785">
        <f t="shared" si="273"/>
        <v>0</v>
      </c>
      <c r="M4785" t="str" cm="1">
        <f t="array" ref="M4785">IFERROR(INDEX($I$2:$K$2,0,MATCH(TRUE,I4785:K4785,0)),E4785)</f>
        <v>OCGT</v>
      </c>
      <c r="O4785" t="str">
        <f t="shared" si="271"/>
        <v>OCGT_2033</v>
      </c>
      <c r="P4785">
        <f t="shared" si="272"/>
        <v>253</v>
      </c>
    </row>
    <row r="4786" spans="4:16" x14ac:dyDescent="0.25">
      <c r="D4786">
        <v>2034</v>
      </c>
      <c r="E4786" t="s">
        <v>130</v>
      </c>
      <c r="F4786" t="s">
        <v>497</v>
      </c>
      <c r="G4786">
        <v>253</v>
      </c>
      <c r="I4786">
        <f t="shared" si="273"/>
        <v>0</v>
      </c>
      <c r="J4786">
        <f t="shared" si="273"/>
        <v>0</v>
      </c>
      <c r="K4786">
        <f t="shared" si="273"/>
        <v>0</v>
      </c>
      <c r="M4786" t="str" cm="1">
        <f t="array" ref="M4786">IFERROR(INDEX($I$2:$K$2,0,MATCH(TRUE,I4786:K4786,0)),E4786)</f>
        <v>OCGT</v>
      </c>
      <c r="O4786" t="str">
        <f t="shared" si="271"/>
        <v>OCGT_2034</v>
      </c>
      <c r="P4786">
        <f t="shared" si="272"/>
        <v>253</v>
      </c>
    </row>
    <row r="4787" spans="4:16" x14ac:dyDescent="0.25">
      <c r="D4787">
        <v>2035</v>
      </c>
      <c r="E4787" t="s">
        <v>130</v>
      </c>
      <c r="F4787" t="s">
        <v>497</v>
      </c>
      <c r="G4787">
        <v>253</v>
      </c>
      <c r="I4787">
        <f t="shared" si="273"/>
        <v>0</v>
      </c>
      <c r="J4787">
        <f t="shared" si="273"/>
        <v>0</v>
      </c>
      <c r="K4787">
        <f t="shared" si="273"/>
        <v>0</v>
      </c>
      <c r="M4787" t="str" cm="1">
        <f t="array" ref="M4787">IFERROR(INDEX($I$2:$K$2,0,MATCH(TRUE,I4787:K4787,0)),E4787)</f>
        <v>OCGT</v>
      </c>
      <c r="O4787" t="str">
        <f t="shared" si="271"/>
        <v>OCGT_2035</v>
      </c>
      <c r="P4787">
        <f t="shared" si="272"/>
        <v>253</v>
      </c>
    </row>
    <row r="4788" spans="4:16" x14ac:dyDescent="0.25">
      <c r="D4788">
        <v>2036</v>
      </c>
      <c r="E4788" t="s">
        <v>130</v>
      </c>
      <c r="F4788" t="s">
        <v>497</v>
      </c>
      <c r="G4788">
        <v>253</v>
      </c>
      <c r="I4788">
        <f t="shared" si="273"/>
        <v>0</v>
      </c>
      <c r="J4788">
        <f t="shared" si="273"/>
        <v>0</v>
      </c>
      <c r="K4788">
        <f t="shared" si="273"/>
        <v>0</v>
      </c>
      <c r="M4788" t="str" cm="1">
        <f t="array" ref="M4788">IFERROR(INDEX($I$2:$K$2,0,MATCH(TRUE,I4788:K4788,0)),E4788)</f>
        <v>OCGT</v>
      </c>
      <c r="O4788" t="str">
        <f t="shared" si="271"/>
        <v>OCGT_2036</v>
      </c>
      <c r="P4788">
        <f t="shared" si="272"/>
        <v>253</v>
      </c>
    </row>
    <row r="4789" spans="4:16" x14ac:dyDescent="0.25">
      <c r="D4789">
        <v>2037</v>
      </c>
      <c r="E4789" t="s">
        <v>130</v>
      </c>
      <c r="F4789" t="s">
        <v>497</v>
      </c>
      <c r="G4789">
        <v>253</v>
      </c>
      <c r="I4789">
        <f t="shared" si="273"/>
        <v>0</v>
      </c>
      <c r="J4789">
        <f t="shared" si="273"/>
        <v>0</v>
      </c>
      <c r="K4789">
        <f t="shared" si="273"/>
        <v>0</v>
      </c>
      <c r="M4789" t="str" cm="1">
        <f t="array" ref="M4789">IFERROR(INDEX($I$2:$K$2,0,MATCH(TRUE,I4789:K4789,0)),E4789)</f>
        <v>OCGT</v>
      </c>
      <c r="O4789" t="str">
        <f t="shared" si="271"/>
        <v>OCGT_2037</v>
      </c>
      <c r="P4789">
        <f t="shared" si="272"/>
        <v>253</v>
      </c>
    </row>
    <row r="4790" spans="4:16" x14ac:dyDescent="0.25">
      <c r="D4790">
        <v>2038</v>
      </c>
      <c r="E4790" t="s">
        <v>130</v>
      </c>
      <c r="F4790" t="s">
        <v>497</v>
      </c>
      <c r="G4790">
        <v>253</v>
      </c>
      <c r="I4790">
        <f t="shared" si="273"/>
        <v>0</v>
      </c>
      <c r="J4790">
        <f t="shared" si="273"/>
        <v>0</v>
      </c>
      <c r="K4790">
        <f t="shared" si="273"/>
        <v>0</v>
      </c>
      <c r="M4790" t="str" cm="1">
        <f t="array" ref="M4790">IFERROR(INDEX($I$2:$K$2,0,MATCH(TRUE,I4790:K4790,0)),E4790)</f>
        <v>OCGT</v>
      </c>
      <c r="O4790" t="str">
        <f t="shared" si="271"/>
        <v>OCGT_2038</v>
      </c>
      <c r="P4790">
        <f t="shared" si="272"/>
        <v>253</v>
      </c>
    </row>
    <row r="4791" spans="4:16" x14ac:dyDescent="0.25">
      <c r="D4791">
        <v>2039</v>
      </c>
      <c r="E4791" t="s">
        <v>130</v>
      </c>
      <c r="F4791" t="s">
        <v>497</v>
      </c>
      <c r="G4791">
        <v>253</v>
      </c>
      <c r="I4791">
        <f t="shared" si="273"/>
        <v>0</v>
      </c>
      <c r="J4791">
        <f t="shared" si="273"/>
        <v>0</v>
      </c>
      <c r="K4791">
        <f t="shared" si="273"/>
        <v>0</v>
      </c>
      <c r="M4791" t="str" cm="1">
        <f t="array" ref="M4791">IFERROR(INDEX($I$2:$K$2,0,MATCH(TRUE,I4791:K4791,0)),E4791)</f>
        <v>OCGT</v>
      </c>
      <c r="O4791" t="str">
        <f t="shared" si="271"/>
        <v>OCGT_2039</v>
      </c>
      <c r="P4791">
        <f t="shared" si="272"/>
        <v>253</v>
      </c>
    </row>
    <row r="4792" spans="4:16" x14ac:dyDescent="0.25">
      <c r="D4792">
        <v>2040</v>
      </c>
      <c r="E4792" t="s">
        <v>130</v>
      </c>
      <c r="F4792" t="s">
        <v>497</v>
      </c>
      <c r="G4792">
        <v>253</v>
      </c>
      <c r="I4792">
        <f t="shared" si="273"/>
        <v>0</v>
      </c>
      <c r="J4792">
        <f t="shared" si="273"/>
        <v>0</v>
      </c>
      <c r="K4792">
        <f t="shared" si="273"/>
        <v>0</v>
      </c>
      <c r="M4792" t="str" cm="1">
        <f t="array" ref="M4792">IFERROR(INDEX($I$2:$K$2,0,MATCH(TRUE,I4792:K4792,0)),E4792)</f>
        <v>OCGT</v>
      </c>
      <c r="O4792" t="str">
        <f t="shared" si="271"/>
        <v>OCGT_2040</v>
      </c>
      <c r="P4792">
        <f t="shared" si="272"/>
        <v>253</v>
      </c>
    </row>
    <row r="4793" spans="4:16" x14ac:dyDescent="0.25">
      <c r="D4793">
        <v>2021</v>
      </c>
      <c r="E4793" t="s">
        <v>130</v>
      </c>
      <c r="F4793" t="s">
        <v>498</v>
      </c>
      <c r="G4793">
        <v>52</v>
      </c>
      <c r="I4793">
        <f t="shared" si="273"/>
        <v>0</v>
      </c>
      <c r="J4793">
        <f t="shared" si="273"/>
        <v>0</v>
      </c>
      <c r="K4793">
        <f t="shared" si="273"/>
        <v>0</v>
      </c>
      <c r="M4793" t="str" cm="1">
        <f t="array" ref="M4793">IFERROR(INDEX($I$2:$K$2,0,MATCH(TRUE,I4793:K4793,0)),E4793)</f>
        <v>OCGT</v>
      </c>
      <c r="O4793" t="str">
        <f t="shared" si="271"/>
        <v>OCGT_2021</v>
      </c>
      <c r="P4793">
        <f t="shared" si="272"/>
        <v>52</v>
      </c>
    </row>
    <row r="4794" spans="4:16" x14ac:dyDescent="0.25">
      <c r="D4794">
        <v>2022</v>
      </c>
      <c r="E4794" t="s">
        <v>130</v>
      </c>
      <c r="F4794" t="s">
        <v>498</v>
      </c>
      <c r="G4794">
        <v>52</v>
      </c>
      <c r="I4794">
        <f t="shared" si="273"/>
        <v>0</v>
      </c>
      <c r="J4794">
        <f t="shared" si="273"/>
        <v>0</v>
      </c>
      <c r="K4794">
        <f t="shared" si="273"/>
        <v>0</v>
      </c>
      <c r="M4794" t="str" cm="1">
        <f t="array" ref="M4794">IFERROR(INDEX($I$2:$K$2,0,MATCH(TRUE,I4794:K4794,0)),E4794)</f>
        <v>OCGT</v>
      </c>
      <c r="O4794" t="str">
        <f t="shared" si="271"/>
        <v>OCGT_2022</v>
      </c>
      <c r="P4794">
        <f t="shared" si="272"/>
        <v>52</v>
      </c>
    </row>
    <row r="4795" spans="4:16" x14ac:dyDescent="0.25">
      <c r="D4795">
        <v>2023</v>
      </c>
      <c r="E4795" t="s">
        <v>130</v>
      </c>
      <c r="F4795" t="s">
        <v>498</v>
      </c>
      <c r="G4795">
        <v>52</v>
      </c>
      <c r="I4795">
        <f t="shared" si="273"/>
        <v>0</v>
      </c>
      <c r="J4795">
        <f t="shared" si="273"/>
        <v>0</v>
      </c>
      <c r="K4795">
        <f t="shared" si="273"/>
        <v>0</v>
      </c>
      <c r="M4795" t="str" cm="1">
        <f t="array" ref="M4795">IFERROR(INDEX($I$2:$K$2,0,MATCH(TRUE,I4795:K4795,0)),E4795)</f>
        <v>OCGT</v>
      </c>
      <c r="O4795" t="str">
        <f t="shared" si="271"/>
        <v>OCGT_2023</v>
      </c>
      <c r="P4795">
        <f t="shared" si="272"/>
        <v>52</v>
      </c>
    </row>
    <row r="4796" spans="4:16" x14ac:dyDescent="0.25">
      <c r="D4796">
        <v>2024</v>
      </c>
      <c r="E4796" t="s">
        <v>130</v>
      </c>
      <c r="F4796" t="s">
        <v>498</v>
      </c>
      <c r="G4796">
        <v>52</v>
      </c>
      <c r="I4796">
        <f t="shared" si="273"/>
        <v>0</v>
      </c>
      <c r="J4796">
        <f t="shared" si="273"/>
        <v>0</v>
      </c>
      <c r="K4796">
        <f t="shared" si="273"/>
        <v>0</v>
      </c>
      <c r="M4796" t="str" cm="1">
        <f t="array" ref="M4796">IFERROR(INDEX($I$2:$K$2,0,MATCH(TRUE,I4796:K4796,0)),E4796)</f>
        <v>OCGT</v>
      </c>
      <c r="O4796" t="str">
        <f t="shared" si="271"/>
        <v>OCGT_2024</v>
      </c>
      <c r="P4796">
        <f t="shared" si="272"/>
        <v>52</v>
      </c>
    </row>
    <row r="4797" spans="4:16" x14ac:dyDescent="0.25">
      <c r="D4797">
        <v>2025</v>
      </c>
      <c r="E4797" t="s">
        <v>130</v>
      </c>
      <c r="F4797" t="s">
        <v>498</v>
      </c>
      <c r="G4797">
        <v>52</v>
      </c>
      <c r="I4797">
        <f t="shared" si="273"/>
        <v>0</v>
      </c>
      <c r="J4797">
        <f t="shared" si="273"/>
        <v>0</v>
      </c>
      <c r="K4797">
        <f t="shared" si="273"/>
        <v>0</v>
      </c>
      <c r="M4797" t="str" cm="1">
        <f t="array" ref="M4797">IFERROR(INDEX($I$2:$K$2,0,MATCH(TRUE,I4797:K4797,0)),E4797)</f>
        <v>OCGT</v>
      </c>
      <c r="O4797" t="str">
        <f t="shared" si="271"/>
        <v>OCGT_2025</v>
      </c>
      <c r="P4797">
        <f t="shared" si="272"/>
        <v>52</v>
      </c>
    </row>
    <row r="4798" spans="4:16" x14ac:dyDescent="0.25">
      <c r="D4798">
        <v>2026</v>
      </c>
      <c r="E4798" t="s">
        <v>130</v>
      </c>
      <c r="F4798" t="s">
        <v>498</v>
      </c>
      <c r="G4798">
        <v>52</v>
      </c>
      <c r="I4798">
        <f t="shared" si="273"/>
        <v>0</v>
      </c>
      <c r="J4798">
        <f t="shared" si="273"/>
        <v>0</v>
      </c>
      <c r="K4798">
        <f t="shared" si="273"/>
        <v>0</v>
      </c>
      <c r="M4798" t="str" cm="1">
        <f t="array" ref="M4798">IFERROR(INDEX($I$2:$K$2,0,MATCH(TRUE,I4798:K4798,0)),E4798)</f>
        <v>OCGT</v>
      </c>
      <c r="O4798" t="str">
        <f t="shared" si="271"/>
        <v>OCGT_2026</v>
      </c>
      <c r="P4798">
        <f t="shared" si="272"/>
        <v>52</v>
      </c>
    </row>
    <row r="4799" spans="4:16" x14ac:dyDescent="0.25">
      <c r="D4799">
        <v>2027</v>
      </c>
      <c r="E4799" t="s">
        <v>130</v>
      </c>
      <c r="F4799" t="s">
        <v>498</v>
      </c>
      <c r="G4799">
        <v>52</v>
      </c>
      <c r="I4799">
        <f t="shared" si="273"/>
        <v>0</v>
      </c>
      <c r="J4799">
        <f t="shared" si="273"/>
        <v>0</v>
      </c>
      <c r="K4799">
        <f t="shared" si="273"/>
        <v>0</v>
      </c>
      <c r="M4799" t="str" cm="1">
        <f t="array" ref="M4799">IFERROR(INDEX($I$2:$K$2,0,MATCH(TRUE,I4799:K4799,0)),E4799)</f>
        <v>OCGT</v>
      </c>
      <c r="O4799" t="str">
        <f t="shared" si="271"/>
        <v>OCGT_2027</v>
      </c>
      <c r="P4799">
        <f t="shared" si="272"/>
        <v>52</v>
      </c>
    </row>
    <row r="4800" spans="4:16" x14ac:dyDescent="0.25">
      <c r="D4800">
        <v>2028</v>
      </c>
      <c r="E4800" t="s">
        <v>130</v>
      </c>
      <c r="F4800" t="s">
        <v>498</v>
      </c>
      <c r="G4800">
        <v>52</v>
      </c>
      <c r="I4800">
        <f t="shared" si="273"/>
        <v>0</v>
      </c>
      <c r="J4800">
        <f t="shared" si="273"/>
        <v>0</v>
      </c>
      <c r="K4800">
        <f t="shared" si="273"/>
        <v>0</v>
      </c>
      <c r="M4800" t="str" cm="1">
        <f t="array" ref="M4800">IFERROR(INDEX($I$2:$K$2,0,MATCH(TRUE,I4800:K4800,0)),E4800)</f>
        <v>OCGT</v>
      </c>
      <c r="O4800" t="str">
        <f t="shared" si="271"/>
        <v>OCGT_2028</v>
      </c>
      <c r="P4800">
        <f t="shared" si="272"/>
        <v>52</v>
      </c>
    </row>
    <row r="4801" spans="4:16" x14ac:dyDescent="0.25">
      <c r="D4801">
        <v>2029</v>
      </c>
      <c r="E4801" t="s">
        <v>130</v>
      </c>
      <c r="F4801" t="s">
        <v>498</v>
      </c>
      <c r="G4801">
        <v>52</v>
      </c>
      <c r="I4801">
        <f t="shared" si="273"/>
        <v>0</v>
      </c>
      <c r="J4801">
        <f t="shared" si="273"/>
        <v>0</v>
      </c>
      <c r="K4801">
        <f t="shared" si="273"/>
        <v>0</v>
      </c>
      <c r="M4801" t="str" cm="1">
        <f t="array" ref="M4801">IFERROR(INDEX($I$2:$K$2,0,MATCH(TRUE,I4801:K4801,0)),E4801)</f>
        <v>OCGT</v>
      </c>
      <c r="O4801" t="str">
        <f t="shared" si="271"/>
        <v>OCGT_2029</v>
      </c>
      <c r="P4801">
        <f t="shared" si="272"/>
        <v>52</v>
      </c>
    </row>
    <row r="4802" spans="4:16" x14ac:dyDescent="0.25">
      <c r="D4802">
        <v>2030</v>
      </c>
      <c r="E4802" t="s">
        <v>130</v>
      </c>
      <c r="F4802" t="s">
        <v>498</v>
      </c>
      <c r="G4802">
        <v>52</v>
      </c>
      <c r="I4802">
        <f t="shared" si="273"/>
        <v>0</v>
      </c>
      <c r="J4802">
        <f t="shared" si="273"/>
        <v>0</v>
      </c>
      <c r="K4802">
        <f t="shared" si="273"/>
        <v>0</v>
      </c>
      <c r="M4802" t="str" cm="1">
        <f t="array" ref="M4802">IFERROR(INDEX($I$2:$K$2,0,MATCH(TRUE,I4802:K4802,0)),E4802)</f>
        <v>OCGT</v>
      </c>
      <c r="O4802" t="str">
        <f t="shared" si="271"/>
        <v>OCGT_2030</v>
      </c>
      <c r="P4802">
        <f t="shared" si="272"/>
        <v>52</v>
      </c>
    </row>
    <row r="4803" spans="4:16" x14ac:dyDescent="0.25">
      <c r="D4803">
        <v>2031</v>
      </c>
      <c r="E4803" t="s">
        <v>130</v>
      </c>
      <c r="F4803" t="s">
        <v>498</v>
      </c>
      <c r="G4803">
        <v>52</v>
      </c>
      <c r="I4803">
        <f t="shared" si="273"/>
        <v>0</v>
      </c>
      <c r="J4803">
        <f t="shared" si="273"/>
        <v>0</v>
      </c>
      <c r="K4803">
        <f t="shared" si="273"/>
        <v>0</v>
      </c>
      <c r="M4803" t="str" cm="1">
        <f t="array" ref="M4803">IFERROR(INDEX($I$2:$K$2,0,MATCH(TRUE,I4803:K4803,0)),E4803)</f>
        <v>OCGT</v>
      </c>
      <c r="O4803" t="str">
        <f t="shared" si="271"/>
        <v>OCGT_2031</v>
      </c>
      <c r="P4803">
        <f t="shared" si="272"/>
        <v>52</v>
      </c>
    </row>
    <row r="4804" spans="4:16" x14ac:dyDescent="0.25">
      <c r="D4804">
        <v>2032</v>
      </c>
      <c r="E4804" t="s">
        <v>130</v>
      </c>
      <c r="F4804" t="s">
        <v>498</v>
      </c>
      <c r="G4804">
        <v>52</v>
      </c>
      <c r="I4804">
        <f t="shared" si="273"/>
        <v>0</v>
      </c>
      <c r="J4804">
        <f t="shared" si="273"/>
        <v>0</v>
      </c>
      <c r="K4804">
        <f t="shared" si="273"/>
        <v>0</v>
      </c>
      <c r="M4804" t="str" cm="1">
        <f t="array" ref="M4804">IFERROR(INDEX($I$2:$K$2,0,MATCH(TRUE,I4804:K4804,0)),E4804)</f>
        <v>OCGT</v>
      </c>
      <c r="O4804" t="str">
        <f t="shared" si="271"/>
        <v>OCGT_2032</v>
      </c>
      <c r="P4804">
        <f t="shared" si="272"/>
        <v>52</v>
      </c>
    </row>
    <row r="4805" spans="4:16" x14ac:dyDescent="0.25">
      <c r="D4805">
        <v>2033</v>
      </c>
      <c r="E4805" t="s">
        <v>130</v>
      </c>
      <c r="F4805" t="s">
        <v>498</v>
      </c>
      <c r="G4805">
        <v>52</v>
      </c>
      <c r="I4805">
        <f t="shared" si="273"/>
        <v>0</v>
      </c>
      <c r="J4805">
        <f t="shared" si="273"/>
        <v>0</v>
      </c>
      <c r="K4805">
        <f t="shared" si="273"/>
        <v>0</v>
      </c>
      <c r="M4805" t="str" cm="1">
        <f t="array" ref="M4805">IFERROR(INDEX($I$2:$K$2,0,MATCH(TRUE,I4805:K4805,0)),E4805)</f>
        <v>OCGT</v>
      </c>
      <c r="O4805" t="str">
        <f t="shared" si="271"/>
        <v>OCGT_2033</v>
      </c>
      <c r="P4805">
        <f t="shared" si="272"/>
        <v>52</v>
      </c>
    </row>
    <row r="4806" spans="4:16" x14ac:dyDescent="0.25">
      <c r="D4806">
        <v>2034</v>
      </c>
      <c r="E4806" t="s">
        <v>130</v>
      </c>
      <c r="F4806" t="s">
        <v>498</v>
      </c>
      <c r="G4806">
        <v>52</v>
      </c>
      <c r="I4806">
        <f t="shared" si="273"/>
        <v>0</v>
      </c>
      <c r="J4806">
        <f t="shared" si="273"/>
        <v>0</v>
      </c>
      <c r="K4806">
        <f t="shared" si="273"/>
        <v>0</v>
      </c>
      <c r="M4806" t="str" cm="1">
        <f t="array" ref="M4806">IFERROR(INDEX($I$2:$K$2,0,MATCH(TRUE,I4806:K4806,0)),E4806)</f>
        <v>OCGT</v>
      </c>
      <c r="O4806" t="str">
        <f t="shared" si="271"/>
        <v>OCGT_2034</v>
      </c>
      <c r="P4806">
        <f t="shared" si="272"/>
        <v>52</v>
      </c>
    </row>
    <row r="4807" spans="4:16" x14ac:dyDescent="0.25">
      <c r="D4807">
        <v>2035</v>
      </c>
      <c r="E4807" t="s">
        <v>130</v>
      </c>
      <c r="F4807" t="s">
        <v>498</v>
      </c>
      <c r="G4807">
        <v>52</v>
      </c>
      <c r="I4807">
        <f t="shared" si="273"/>
        <v>0</v>
      </c>
      <c r="J4807">
        <f t="shared" si="273"/>
        <v>0</v>
      </c>
      <c r="K4807">
        <f t="shared" si="273"/>
        <v>0</v>
      </c>
      <c r="M4807" t="str" cm="1">
        <f t="array" ref="M4807">IFERROR(INDEX($I$2:$K$2,0,MATCH(TRUE,I4807:K4807,0)),E4807)</f>
        <v>OCGT</v>
      </c>
      <c r="O4807" t="str">
        <f t="shared" si="271"/>
        <v>OCGT_2035</v>
      </c>
      <c r="P4807">
        <f t="shared" si="272"/>
        <v>52</v>
      </c>
    </row>
    <row r="4808" spans="4:16" x14ac:dyDescent="0.25">
      <c r="D4808">
        <v>2036</v>
      </c>
      <c r="E4808" t="s">
        <v>130</v>
      </c>
      <c r="F4808" t="s">
        <v>498</v>
      </c>
      <c r="G4808">
        <v>52</v>
      </c>
      <c r="I4808">
        <f t="shared" si="273"/>
        <v>0</v>
      </c>
      <c r="J4808">
        <f t="shared" si="273"/>
        <v>0</v>
      </c>
      <c r="K4808">
        <f t="shared" si="273"/>
        <v>0</v>
      </c>
      <c r="M4808" t="str" cm="1">
        <f t="array" ref="M4808">IFERROR(INDEX($I$2:$K$2,0,MATCH(TRUE,I4808:K4808,0)),E4808)</f>
        <v>OCGT</v>
      </c>
      <c r="O4808" t="str">
        <f t="shared" si="271"/>
        <v>OCGT_2036</v>
      </c>
      <c r="P4808">
        <f t="shared" si="272"/>
        <v>52</v>
      </c>
    </row>
    <row r="4809" spans="4:16" x14ac:dyDescent="0.25">
      <c r="D4809">
        <v>2037</v>
      </c>
      <c r="E4809" t="s">
        <v>130</v>
      </c>
      <c r="F4809" t="s">
        <v>498</v>
      </c>
      <c r="G4809">
        <v>52</v>
      </c>
      <c r="I4809">
        <f t="shared" si="273"/>
        <v>0</v>
      </c>
      <c r="J4809">
        <f t="shared" si="273"/>
        <v>0</v>
      </c>
      <c r="K4809">
        <f t="shared" si="273"/>
        <v>0</v>
      </c>
      <c r="M4809" t="str" cm="1">
        <f t="array" ref="M4809">IFERROR(INDEX($I$2:$K$2,0,MATCH(TRUE,I4809:K4809,0)),E4809)</f>
        <v>OCGT</v>
      </c>
      <c r="O4809" t="str">
        <f t="shared" si="271"/>
        <v>OCGT_2037</v>
      </c>
      <c r="P4809">
        <f t="shared" si="272"/>
        <v>52</v>
      </c>
    </row>
    <row r="4810" spans="4:16" x14ac:dyDescent="0.25">
      <c r="D4810">
        <v>2038</v>
      </c>
      <c r="E4810" t="s">
        <v>130</v>
      </c>
      <c r="F4810" t="s">
        <v>498</v>
      </c>
      <c r="G4810">
        <v>52</v>
      </c>
      <c r="I4810">
        <f t="shared" si="273"/>
        <v>0</v>
      </c>
      <c r="J4810">
        <f t="shared" si="273"/>
        <v>0</v>
      </c>
      <c r="K4810">
        <f t="shared" si="273"/>
        <v>0</v>
      </c>
      <c r="M4810" t="str" cm="1">
        <f t="array" ref="M4810">IFERROR(INDEX($I$2:$K$2,0,MATCH(TRUE,I4810:K4810,0)),E4810)</f>
        <v>OCGT</v>
      </c>
      <c r="O4810" t="str">
        <f t="shared" si="271"/>
        <v>OCGT_2038</v>
      </c>
      <c r="P4810">
        <f t="shared" si="272"/>
        <v>52</v>
      </c>
    </row>
    <row r="4811" spans="4:16" x14ac:dyDescent="0.25">
      <c r="D4811">
        <v>2039</v>
      </c>
      <c r="E4811" t="s">
        <v>130</v>
      </c>
      <c r="F4811" t="s">
        <v>498</v>
      </c>
      <c r="G4811">
        <v>52</v>
      </c>
      <c r="I4811">
        <f t="shared" si="273"/>
        <v>0</v>
      </c>
      <c r="J4811">
        <f t="shared" si="273"/>
        <v>0</v>
      </c>
      <c r="K4811">
        <f t="shared" si="273"/>
        <v>0</v>
      </c>
      <c r="M4811" t="str" cm="1">
        <f t="array" ref="M4811">IFERROR(INDEX($I$2:$K$2,0,MATCH(TRUE,I4811:K4811,0)),E4811)</f>
        <v>OCGT</v>
      </c>
      <c r="O4811" t="str">
        <f t="shared" si="271"/>
        <v>OCGT_2039</v>
      </c>
      <c r="P4811">
        <f t="shared" si="272"/>
        <v>52</v>
      </c>
    </row>
    <row r="4812" spans="4:16" x14ac:dyDescent="0.25">
      <c r="D4812">
        <v>2040</v>
      </c>
      <c r="E4812" t="s">
        <v>130</v>
      </c>
      <c r="F4812" t="s">
        <v>498</v>
      </c>
      <c r="G4812">
        <v>52</v>
      </c>
      <c r="I4812">
        <f t="shared" si="273"/>
        <v>0</v>
      </c>
      <c r="J4812">
        <f t="shared" si="273"/>
        <v>0</v>
      </c>
      <c r="K4812">
        <f t="shared" si="273"/>
        <v>0</v>
      </c>
      <c r="M4812" t="str" cm="1">
        <f t="array" ref="M4812">IFERROR(INDEX($I$2:$K$2,0,MATCH(TRUE,I4812:K4812,0)),E4812)</f>
        <v>OCGT</v>
      </c>
      <c r="O4812" t="str">
        <f t="shared" si="271"/>
        <v>OCGT_2040</v>
      </c>
      <c r="P4812">
        <f t="shared" si="272"/>
        <v>52</v>
      </c>
    </row>
    <row r="4813" spans="4:16" x14ac:dyDescent="0.25">
      <c r="D4813">
        <v>2021</v>
      </c>
      <c r="E4813" t="s">
        <v>499</v>
      </c>
      <c r="F4813" t="s">
        <v>500</v>
      </c>
      <c r="G4813">
        <v>87</v>
      </c>
      <c r="I4813">
        <f t="shared" si="273"/>
        <v>0</v>
      </c>
      <c r="J4813">
        <f t="shared" si="273"/>
        <v>0</v>
      </c>
      <c r="K4813">
        <f t="shared" si="273"/>
        <v>0</v>
      </c>
      <c r="M4813" t="str" cm="1">
        <f t="array" ref="M4813">IFERROR(INDEX($I$2:$K$2,0,MATCH(TRUE,I4813:K4813,0)),E4813)</f>
        <v>OCGT_Oil</v>
      </c>
      <c r="O4813" t="str">
        <f t="shared" si="271"/>
        <v>OCGT_Oil_2021</v>
      </c>
      <c r="P4813">
        <f t="shared" si="272"/>
        <v>87</v>
      </c>
    </row>
    <row r="4814" spans="4:16" x14ac:dyDescent="0.25">
      <c r="D4814">
        <v>2022</v>
      </c>
      <c r="E4814" t="s">
        <v>499</v>
      </c>
      <c r="F4814" t="s">
        <v>500</v>
      </c>
      <c r="G4814">
        <v>87</v>
      </c>
      <c r="I4814">
        <f t="shared" si="273"/>
        <v>0</v>
      </c>
      <c r="J4814">
        <f t="shared" si="273"/>
        <v>0</v>
      </c>
      <c r="K4814">
        <f t="shared" si="273"/>
        <v>0</v>
      </c>
      <c r="M4814" t="str" cm="1">
        <f t="array" ref="M4814">IFERROR(INDEX($I$2:$K$2,0,MATCH(TRUE,I4814:K4814,0)),E4814)</f>
        <v>OCGT_Oil</v>
      </c>
      <c r="O4814" t="str">
        <f t="shared" si="271"/>
        <v>OCGT_Oil_2022</v>
      </c>
      <c r="P4814">
        <f t="shared" si="272"/>
        <v>87</v>
      </c>
    </row>
    <row r="4815" spans="4:16" x14ac:dyDescent="0.25">
      <c r="D4815">
        <v>2021</v>
      </c>
      <c r="E4815" t="s">
        <v>499</v>
      </c>
      <c r="F4815" t="s">
        <v>501</v>
      </c>
      <c r="G4815">
        <v>86.2</v>
      </c>
      <c r="I4815">
        <f t="shared" si="273"/>
        <v>0</v>
      </c>
      <c r="J4815">
        <f t="shared" si="273"/>
        <v>0</v>
      </c>
      <c r="K4815">
        <f t="shared" si="273"/>
        <v>0</v>
      </c>
      <c r="M4815" t="str" cm="1">
        <f t="array" ref="M4815">IFERROR(INDEX($I$2:$K$2,0,MATCH(TRUE,I4815:K4815,0)),E4815)</f>
        <v>OCGT_Oil</v>
      </c>
      <c r="O4815" t="str">
        <f t="shared" si="271"/>
        <v>OCGT_Oil_2021</v>
      </c>
      <c r="P4815">
        <f t="shared" si="272"/>
        <v>86.2</v>
      </c>
    </row>
    <row r="4816" spans="4:16" x14ac:dyDescent="0.25">
      <c r="D4816">
        <v>2022</v>
      </c>
      <c r="E4816" t="s">
        <v>499</v>
      </c>
      <c r="F4816" t="s">
        <v>501</v>
      </c>
      <c r="G4816">
        <v>86.2</v>
      </c>
      <c r="I4816">
        <f t="shared" si="273"/>
        <v>0</v>
      </c>
      <c r="J4816">
        <f t="shared" si="273"/>
        <v>0</v>
      </c>
      <c r="K4816">
        <f t="shared" si="273"/>
        <v>0</v>
      </c>
      <c r="M4816" t="str" cm="1">
        <f t="array" ref="M4816">IFERROR(INDEX($I$2:$K$2,0,MATCH(TRUE,I4816:K4816,0)),E4816)</f>
        <v>OCGT_Oil</v>
      </c>
      <c r="O4816" t="str">
        <f t="shared" si="271"/>
        <v>OCGT_Oil_2022</v>
      </c>
      <c r="P4816">
        <f t="shared" si="272"/>
        <v>86.2</v>
      </c>
    </row>
    <row r="4817" spans="4:16" x14ac:dyDescent="0.25">
      <c r="D4817">
        <v>2023</v>
      </c>
      <c r="E4817" t="s">
        <v>499</v>
      </c>
      <c r="F4817" t="s">
        <v>501</v>
      </c>
      <c r="G4817">
        <v>86.2</v>
      </c>
      <c r="I4817">
        <f t="shared" si="273"/>
        <v>0</v>
      </c>
      <c r="J4817">
        <f t="shared" si="273"/>
        <v>0</v>
      </c>
      <c r="K4817">
        <f t="shared" si="273"/>
        <v>0</v>
      </c>
      <c r="M4817" t="str" cm="1">
        <f t="array" ref="M4817">IFERROR(INDEX($I$2:$K$2,0,MATCH(TRUE,I4817:K4817,0)),E4817)</f>
        <v>OCGT_Oil</v>
      </c>
      <c r="O4817" t="str">
        <f t="shared" si="271"/>
        <v>OCGT_Oil_2023</v>
      </c>
      <c r="P4817">
        <f t="shared" si="272"/>
        <v>86.2</v>
      </c>
    </row>
    <row r="4818" spans="4:16" x14ac:dyDescent="0.25">
      <c r="D4818">
        <v>2024</v>
      </c>
      <c r="E4818" t="s">
        <v>499</v>
      </c>
      <c r="F4818" t="s">
        <v>501</v>
      </c>
      <c r="G4818">
        <v>86.2</v>
      </c>
      <c r="I4818">
        <f t="shared" si="273"/>
        <v>0</v>
      </c>
      <c r="J4818">
        <f t="shared" si="273"/>
        <v>0</v>
      </c>
      <c r="K4818">
        <f t="shared" si="273"/>
        <v>0</v>
      </c>
      <c r="M4818" t="str" cm="1">
        <f t="array" ref="M4818">IFERROR(INDEX($I$2:$K$2,0,MATCH(TRUE,I4818:K4818,0)),E4818)</f>
        <v>OCGT_Oil</v>
      </c>
      <c r="O4818" t="str">
        <f t="shared" si="271"/>
        <v>OCGT_Oil_2024</v>
      </c>
      <c r="P4818">
        <f t="shared" si="272"/>
        <v>86.2</v>
      </c>
    </row>
    <row r="4819" spans="4:16" x14ac:dyDescent="0.25">
      <c r="D4819">
        <v>2025</v>
      </c>
      <c r="E4819" t="s">
        <v>499</v>
      </c>
      <c r="F4819" t="s">
        <v>501</v>
      </c>
      <c r="G4819">
        <v>86.2</v>
      </c>
      <c r="I4819">
        <f t="shared" si="273"/>
        <v>0</v>
      </c>
      <c r="J4819">
        <f t="shared" si="273"/>
        <v>0</v>
      </c>
      <c r="K4819">
        <f t="shared" si="273"/>
        <v>0</v>
      </c>
      <c r="M4819" t="str" cm="1">
        <f t="array" ref="M4819">IFERROR(INDEX($I$2:$K$2,0,MATCH(TRUE,I4819:K4819,0)),E4819)</f>
        <v>OCGT_Oil</v>
      </c>
      <c r="O4819" t="str">
        <f t="shared" ref="O4819:O4882" si="274">M4819&amp;"_"&amp;D4819</f>
        <v>OCGT_Oil_2025</v>
      </c>
      <c r="P4819">
        <f t="shared" ref="P4819:P4882" si="275">G4819</f>
        <v>86.2</v>
      </c>
    </row>
    <row r="4820" spans="4:16" x14ac:dyDescent="0.25">
      <c r="D4820">
        <v>2026</v>
      </c>
      <c r="E4820" t="s">
        <v>499</v>
      </c>
      <c r="F4820" t="s">
        <v>501</v>
      </c>
      <c r="G4820">
        <v>86.2</v>
      </c>
      <c r="I4820">
        <f t="shared" si="273"/>
        <v>0</v>
      </c>
      <c r="J4820">
        <f t="shared" si="273"/>
        <v>0</v>
      </c>
      <c r="K4820">
        <f t="shared" si="273"/>
        <v>0</v>
      </c>
      <c r="M4820" t="str" cm="1">
        <f t="array" ref="M4820">IFERROR(INDEX($I$2:$K$2,0,MATCH(TRUE,I4820:K4820,0)),E4820)</f>
        <v>OCGT_Oil</v>
      </c>
      <c r="O4820" t="str">
        <f t="shared" si="274"/>
        <v>OCGT_Oil_2026</v>
      </c>
      <c r="P4820">
        <f t="shared" si="275"/>
        <v>86.2</v>
      </c>
    </row>
    <row r="4821" spans="4:16" x14ac:dyDescent="0.25">
      <c r="D4821">
        <v>2021</v>
      </c>
      <c r="E4821" t="s">
        <v>499</v>
      </c>
      <c r="F4821" t="s">
        <v>502</v>
      </c>
      <c r="G4821">
        <v>24.6</v>
      </c>
      <c r="I4821">
        <f t="shared" ref="I4821:K4884" si="276">IFERROR(FIND(I$2,$E4821,1)&gt;0,0)</f>
        <v>0</v>
      </c>
      <c r="J4821">
        <f t="shared" si="276"/>
        <v>0</v>
      </c>
      <c r="K4821">
        <f t="shared" si="276"/>
        <v>0</v>
      </c>
      <c r="M4821" t="str" cm="1">
        <f t="array" ref="M4821">IFERROR(INDEX($I$2:$K$2,0,MATCH(TRUE,I4821:K4821,0)),E4821)</f>
        <v>OCGT_Oil</v>
      </c>
      <c r="O4821" t="str">
        <f t="shared" si="274"/>
        <v>OCGT_Oil_2021</v>
      </c>
      <c r="P4821">
        <f t="shared" si="275"/>
        <v>24.6</v>
      </c>
    </row>
    <row r="4822" spans="4:16" x14ac:dyDescent="0.25">
      <c r="D4822">
        <v>2022</v>
      </c>
      <c r="E4822" t="s">
        <v>499</v>
      </c>
      <c r="F4822" t="s">
        <v>502</v>
      </c>
      <c r="G4822">
        <v>24.6</v>
      </c>
      <c r="I4822">
        <f t="shared" si="276"/>
        <v>0</v>
      </c>
      <c r="J4822">
        <f t="shared" si="276"/>
        <v>0</v>
      </c>
      <c r="K4822">
        <f t="shared" si="276"/>
        <v>0</v>
      </c>
      <c r="M4822" t="str" cm="1">
        <f t="array" ref="M4822">IFERROR(INDEX($I$2:$K$2,0,MATCH(TRUE,I4822:K4822,0)),E4822)</f>
        <v>OCGT_Oil</v>
      </c>
      <c r="O4822" t="str">
        <f t="shared" si="274"/>
        <v>OCGT_Oil_2022</v>
      </c>
      <c r="P4822">
        <f t="shared" si="275"/>
        <v>24.6</v>
      </c>
    </row>
    <row r="4823" spans="4:16" x14ac:dyDescent="0.25">
      <c r="D4823">
        <v>2023</v>
      </c>
      <c r="E4823" t="s">
        <v>499</v>
      </c>
      <c r="F4823" t="s">
        <v>502</v>
      </c>
      <c r="G4823">
        <v>24.6</v>
      </c>
      <c r="I4823">
        <f t="shared" si="276"/>
        <v>0</v>
      </c>
      <c r="J4823">
        <f t="shared" si="276"/>
        <v>0</v>
      </c>
      <c r="K4823">
        <f t="shared" si="276"/>
        <v>0</v>
      </c>
      <c r="M4823" t="str" cm="1">
        <f t="array" ref="M4823">IFERROR(INDEX($I$2:$K$2,0,MATCH(TRUE,I4823:K4823,0)),E4823)</f>
        <v>OCGT_Oil</v>
      </c>
      <c r="O4823" t="str">
        <f t="shared" si="274"/>
        <v>OCGT_Oil_2023</v>
      </c>
      <c r="P4823">
        <f t="shared" si="275"/>
        <v>24.6</v>
      </c>
    </row>
    <row r="4824" spans="4:16" x14ac:dyDescent="0.25">
      <c r="D4824">
        <v>2024</v>
      </c>
      <c r="E4824" t="s">
        <v>499</v>
      </c>
      <c r="F4824" t="s">
        <v>502</v>
      </c>
      <c r="G4824">
        <v>24.6</v>
      </c>
      <c r="I4824">
        <f t="shared" si="276"/>
        <v>0</v>
      </c>
      <c r="J4824">
        <f t="shared" si="276"/>
        <v>0</v>
      </c>
      <c r="K4824">
        <f t="shared" si="276"/>
        <v>0</v>
      </c>
      <c r="M4824" t="str" cm="1">
        <f t="array" ref="M4824">IFERROR(INDEX($I$2:$K$2,0,MATCH(TRUE,I4824:K4824,0)),E4824)</f>
        <v>OCGT_Oil</v>
      </c>
      <c r="O4824" t="str">
        <f t="shared" si="274"/>
        <v>OCGT_Oil_2024</v>
      </c>
      <c r="P4824">
        <f t="shared" si="275"/>
        <v>24.6</v>
      </c>
    </row>
    <row r="4825" spans="4:16" x14ac:dyDescent="0.25">
      <c r="D4825">
        <v>2025</v>
      </c>
      <c r="E4825" t="s">
        <v>499</v>
      </c>
      <c r="F4825" t="s">
        <v>502</v>
      </c>
      <c r="G4825">
        <v>24.6</v>
      </c>
      <c r="I4825">
        <f t="shared" si="276"/>
        <v>0</v>
      </c>
      <c r="J4825">
        <f t="shared" si="276"/>
        <v>0</v>
      </c>
      <c r="K4825">
        <f t="shared" si="276"/>
        <v>0</v>
      </c>
      <c r="M4825" t="str" cm="1">
        <f t="array" ref="M4825">IFERROR(INDEX($I$2:$K$2,0,MATCH(TRUE,I4825:K4825,0)),E4825)</f>
        <v>OCGT_Oil</v>
      </c>
      <c r="O4825" t="str">
        <f t="shared" si="274"/>
        <v>OCGT_Oil_2025</v>
      </c>
      <c r="P4825">
        <f t="shared" si="275"/>
        <v>24.6</v>
      </c>
    </row>
    <row r="4826" spans="4:16" x14ac:dyDescent="0.25">
      <c r="D4826">
        <v>2026</v>
      </c>
      <c r="E4826" t="s">
        <v>499</v>
      </c>
      <c r="F4826" t="s">
        <v>502</v>
      </c>
      <c r="G4826">
        <v>24.6</v>
      </c>
      <c r="I4826">
        <f t="shared" si="276"/>
        <v>0</v>
      </c>
      <c r="J4826">
        <f t="shared" si="276"/>
        <v>0</v>
      </c>
      <c r="K4826">
        <f t="shared" si="276"/>
        <v>0</v>
      </c>
      <c r="M4826" t="str" cm="1">
        <f t="array" ref="M4826">IFERROR(INDEX($I$2:$K$2,0,MATCH(TRUE,I4826:K4826,0)),E4826)</f>
        <v>OCGT_Oil</v>
      </c>
      <c r="O4826" t="str">
        <f t="shared" si="274"/>
        <v>OCGT_Oil_2026</v>
      </c>
      <c r="P4826">
        <f t="shared" si="275"/>
        <v>24.6</v>
      </c>
    </row>
    <row r="4827" spans="4:16" x14ac:dyDescent="0.25">
      <c r="D4827">
        <v>2027</v>
      </c>
      <c r="E4827" t="s">
        <v>499</v>
      </c>
      <c r="F4827" t="s">
        <v>502</v>
      </c>
      <c r="G4827">
        <v>24.6</v>
      </c>
      <c r="I4827">
        <f t="shared" si="276"/>
        <v>0</v>
      </c>
      <c r="J4827">
        <f t="shared" si="276"/>
        <v>0</v>
      </c>
      <c r="K4827">
        <f t="shared" si="276"/>
        <v>0</v>
      </c>
      <c r="M4827" t="str" cm="1">
        <f t="array" ref="M4827">IFERROR(INDEX($I$2:$K$2,0,MATCH(TRUE,I4827:K4827,0)),E4827)</f>
        <v>OCGT_Oil</v>
      </c>
      <c r="O4827" t="str">
        <f t="shared" si="274"/>
        <v>OCGT_Oil_2027</v>
      </c>
      <c r="P4827">
        <f t="shared" si="275"/>
        <v>24.6</v>
      </c>
    </row>
    <row r="4828" spans="4:16" x14ac:dyDescent="0.25">
      <c r="D4828">
        <v>2028</v>
      </c>
      <c r="E4828" t="s">
        <v>499</v>
      </c>
      <c r="F4828" t="s">
        <v>502</v>
      </c>
      <c r="G4828">
        <v>24.6</v>
      </c>
      <c r="I4828">
        <f t="shared" si="276"/>
        <v>0</v>
      </c>
      <c r="J4828">
        <f t="shared" si="276"/>
        <v>0</v>
      </c>
      <c r="K4828">
        <f t="shared" si="276"/>
        <v>0</v>
      </c>
      <c r="M4828" t="str" cm="1">
        <f t="array" ref="M4828">IFERROR(INDEX($I$2:$K$2,0,MATCH(TRUE,I4828:K4828,0)),E4828)</f>
        <v>OCGT_Oil</v>
      </c>
      <c r="O4828" t="str">
        <f t="shared" si="274"/>
        <v>OCGT_Oil_2028</v>
      </c>
      <c r="P4828">
        <f t="shared" si="275"/>
        <v>24.6</v>
      </c>
    </row>
    <row r="4829" spans="4:16" x14ac:dyDescent="0.25">
      <c r="D4829">
        <v>2029</v>
      </c>
      <c r="E4829" t="s">
        <v>499</v>
      </c>
      <c r="F4829" t="s">
        <v>502</v>
      </c>
      <c r="G4829">
        <v>24.6</v>
      </c>
      <c r="I4829">
        <f t="shared" si="276"/>
        <v>0</v>
      </c>
      <c r="J4829">
        <f t="shared" si="276"/>
        <v>0</v>
      </c>
      <c r="K4829">
        <f t="shared" si="276"/>
        <v>0</v>
      </c>
      <c r="M4829" t="str" cm="1">
        <f t="array" ref="M4829">IFERROR(INDEX($I$2:$K$2,0,MATCH(TRUE,I4829:K4829,0)),E4829)</f>
        <v>OCGT_Oil</v>
      </c>
      <c r="O4829" t="str">
        <f t="shared" si="274"/>
        <v>OCGT_Oil_2029</v>
      </c>
      <c r="P4829">
        <f t="shared" si="275"/>
        <v>24.6</v>
      </c>
    </row>
    <row r="4830" spans="4:16" x14ac:dyDescent="0.25">
      <c r="D4830">
        <v>2030</v>
      </c>
      <c r="E4830" t="s">
        <v>499</v>
      </c>
      <c r="F4830" t="s">
        <v>502</v>
      </c>
      <c r="G4830">
        <v>24.6</v>
      </c>
      <c r="I4830">
        <f t="shared" si="276"/>
        <v>0</v>
      </c>
      <c r="J4830">
        <f t="shared" si="276"/>
        <v>0</v>
      </c>
      <c r="K4830">
        <f t="shared" si="276"/>
        <v>0</v>
      </c>
      <c r="M4830" t="str" cm="1">
        <f t="array" ref="M4830">IFERROR(INDEX($I$2:$K$2,0,MATCH(TRUE,I4830:K4830,0)),E4830)</f>
        <v>OCGT_Oil</v>
      </c>
      <c r="O4830" t="str">
        <f t="shared" si="274"/>
        <v>OCGT_Oil_2030</v>
      </c>
      <c r="P4830">
        <f t="shared" si="275"/>
        <v>24.6</v>
      </c>
    </row>
    <row r="4831" spans="4:16" x14ac:dyDescent="0.25">
      <c r="D4831">
        <v>2031</v>
      </c>
      <c r="E4831" t="s">
        <v>499</v>
      </c>
      <c r="F4831" t="s">
        <v>502</v>
      </c>
      <c r="G4831">
        <v>24.6</v>
      </c>
      <c r="I4831">
        <f t="shared" si="276"/>
        <v>0</v>
      </c>
      <c r="J4831">
        <f t="shared" si="276"/>
        <v>0</v>
      </c>
      <c r="K4831">
        <f t="shared" si="276"/>
        <v>0</v>
      </c>
      <c r="M4831" t="str" cm="1">
        <f t="array" ref="M4831">IFERROR(INDEX($I$2:$K$2,0,MATCH(TRUE,I4831:K4831,0)),E4831)</f>
        <v>OCGT_Oil</v>
      </c>
      <c r="O4831" t="str">
        <f t="shared" si="274"/>
        <v>OCGT_Oil_2031</v>
      </c>
      <c r="P4831">
        <f t="shared" si="275"/>
        <v>24.6</v>
      </c>
    </row>
    <row r="4832" spans="4:16" x14ac:dyDescent="0.25">
      <c r="D4832">
        <v>2032</v>
      </c>
      <c r="E4832" t="s">
        <v>499</v>
      </c>
      <c r="F4832" t="s">
        <v>502</v>
      </c>
      <c r="G4832">
        <v>24.6</v>
      </c>
      <c r="I4832">
        <f t="shared" si="276"/>
        <v>0</v>
      </c>
      <c r="J4832">
        <f t="shared" si="276"/>
        <v>0</v>
      </c>
      <c r="K4832">
        <f t="shared" si="276"/>
        <v>0</v>
      </c>
      <c r="M4832" t="str" cm="1">
        <f t="array" ref="M4832">IFERROR(INDEX($I$2:$K$2,0,MATCH(TRUE,I4832:K4832,0)),E4832)</f>
        <v>OCGT_Oil</v>
      </c>
      <c r="O4832" t="str">
        <f t="shared" si="274"/>
        <v>OCGT_Oil_2032</v>
      </c>
      <c r="P4832">
        <f t="shared" si="275"/>
        <v>24.6</v>
      </c>
    </row>
    <row r="4833" spans="4:16" x14ac:dyDescent="0.25">
      <c r="D4833">
        <v>2033</v>
      </c>
      <c r="E4833" t="s">
        <v>499</v>
      </c>
      <c r="F4833" t="s">
        <v>502</v>
      </c>
      <c r="G4833">
        <v>24.6</v>
      </c>
      <c r="I4833">
        <f t="shared" si="276"/>
        <v>0</v>
      </c>
      <c r="J4833">
        <f t="shared" si="276"/>
        <v>0</v>
      </c>
      <c r="K4833">
        <f t="shared" si="276"/>
        <v>0</v>
      </c>
      <c r="M4833" t="str" cm="1">
        <f t="array" ref="M4833">IFERROR(INDEX($I$2:$K$2,0,MATCH(TRUE,I4833:K4833,0)),E4833)</f>
        <v>OCGT_Oil</v>
      </c>
      <c r="O4833" t="str">
        <f t="shared" si="274"/>
        <v>OCGT_Oil_2033</v>
      </c>
      <c r="P4833">
        <f t="shared" si="275"/>
        <v>24.6</v>
      </c>
    </row>
    <row r="4834" spans="4:16" x14ac:dyDescent="0.25">
      <c r="D4834">
        <v>2034</v>
      </c>
      <c r="E4834" t="s">
        <v>499</v>
      </c>
      <c r="F4834" t="s">
        <v>502</v>
      </c>
      <c r="G4834">
        <v>24.6</v>
      </c>
      <c r="I4834">
        <f t="shared" si="276"/>
        <v>0</v>
      </c>
      <c r="J4834">
        <f t="shared" si="276"/>
        <v>0</v>
      </c>
      <c r="K4834">
        <f t="shared" si="276"/>
        <v>0</v>
      </c>
      <c r="M4834" t="str" cm="1">
        <f t="array" ref="M4834">IFERROR(INDEX($I$2:$K$2,0,MATCH(TRUE,I4834:K4834,0)),E4834)</f>
        <v>OCGT_Oil</v>
      </c>
      <c r="O4834" t="str">
        <f t="shared" si="274"/>
        <v>OCGT_Oil_2034</v>
      </c>
      <c r="P4834">
        <f t="shared" si="275"/>
        <v>24.6</v>
      </c>
    </row>
    <row r="4835" spans="4:16" x14ac:dyDescent="0.25">
      <c r="D4835">
        <v>2035</v>
      </c>
      <c r="E4835" t="s">
        <v>499</v>
      </c>
      <c r="F4835" t="s">
        <v>502</v>
      </c>
      <c r="G4835">
        <v>24.6</v>
      </c>
      <c r="I4835">
        <f t="shared" si="276"/>
        <v>0</v>
      </c>
      <c r="J4835">
        <f t="shared" si="276"/>
        <v>0</v>
      </c>
      <c r="K4835">
        <f t="shared" si="276"/>
        <v>0</v>
      </c>
      <c r="M4835" t="str" cm="1">
        <f t="array" ref="M4835">IFERROR(INDEX($I$2:$K$2,0,MATCH(TRUE,I4835:K4835,0)),E4835)</f>
        <v>OCGT_Oil</v>
      </c>
      <c r="O4835" t="str">
        <f t="shared" si="274"/>
        <v>OCGT_Oil_2035</v>
      </c>
      <c r="P4835">
        <f t="shared" si="275"/>
        <v>24.6</v>
      </c>
    </row>
    <row r="4836" spans="4:16" x14ac:dyDescent="0.25">
      <c r="D4836">
        <v>2036</v>
      </c>
      <c r="E4836" t="s">
        <v>499</v>
      </c>
      <c r="F4836" t="s">
        <v>502</v>
      </c>
      <c r="G4836">
        <v>24.6</v>
      </c>
      <c r="I4836">
        <f t="shared" si="276"/>
        <v>0</v>
      </c>
      <c r="J4836">
        <f t="shared" si="276"/>
        <v>0</v>
      </c>
      <c r="K4836">
        <f t="shared" si="276"/>
        <v>0</v>
      </c>
      <c r="M4836" t="str" cm="1">
        <f t="array" ref="M4836">IFERROR(INDEX($I$2:$K$2,0,MATCH(TRUE,I4836:K4836,0)),E4836)</f>
        <v>OCGT_Oil</v>
      </c>
      <c r="O4836" t="str">
        <f t="shared" si="274"/>
        <v>OCGT_Oil_2036</v>
      </c>
      <c r="P4836">
        <f t="shared" si="275"/>
        <v>24.6</v>
      </c>
    </row>
    <row r="4837" spans="4:16" x14ac:dyDescent="0.25">
      <c r="D4837">
        <v>2037</v>
      </c>
      <c r="E4837" t="s">
        <v>499</v>
      </c>
      <c r="F4837" t="s">
        <v>502</v>
      </c>
      <c r="G4837">
        <v>24.6</v>
      </c>
      <c r="I4837">
        <f t="shared" si="276"/>
        <v>0</v>
      </c>
      <c r="J4837">
        <f t="shared" si="276"/>
        <v>0</v>
      </c>
      <c r="K4837">
        <f t="shared" si="276"/>
        <v>0</v>
      </c>
      <c r="M4837" t="str" cm="1">
        <f t="array" ref="M4837">IFERROR(INDEX($I$2:$K$2,0,MATCH(TRUE,I4837:K4837,0)),E4837)</f>
        <v>OCGT_Oil</v>
      </c>
      <c r="O4837" t="str">
        <f t="shared" si="274"/>
        <v>OCGT_Oil_2037</v>
      </c>
      <c r="P4837">
        <f t="shared" si="275"/>
        <v>24.6</v>
      </c>
    </row>
    <row r="4838" spans="4:16" x14ac:dyDescent="0.25">
      <c r="D4838">
        <v>2038</v>
      </c>
      <c r="E4838" t="s">
        <v>499</v>
      </c>
      <c r="F4838" t="s">
        <v>502</v>
      </c>
      <c r="G4838">
        <v>24.6</v>
      </c>
      <c r="I4838">
        <f t="shared" si="276"/>
        <v>0</v>
      </c>
      <c r="J4838">
        <f t="shared" si="276"/>
        <v>0</v>
      </c>
      <c r="K4838">
        <f t="shared" si="276"/>
        <v>0</v>
      </c>
      <c r="M4838" t="str" cm="1">
        <f t="array" ref="M4838">IFERROR(INDEX($I$2:$K$2,0,MATCH(TRUE,I4838:K4838,0)),E4838)</f>
        <v>OCGT_Oil</v>
      </c>
      <c r="O4838" t="str">
        <f t="shared" si="274"/>
        <v>OCGT_Oil_2038</v>
      </c>
      <c r="P4838">
        <f t="shared" si="275"/>
        <v>24.6</v>
      </c>
    </row>
    <row r="4839" spans="4:16" x14ac:dyDescent="0.25">
      <c r="D4839">
        <v>2039</v>
      </c>
      <c r="E4839" t="s">
        <v>499</v>
      </c>
      <c r="F4839" t="s">
        <v>502</v>
      </c>
      <c r="G4839">
        <v>24.6</v>
      </c>
      <c r="I4839">
        <f t="shared" si="276"/>
        <v>0</v>
      </c>
      <c r="J4839">
        <f t="shared" si="276"/>
        <v>0</v>
      </c>
      <c r="K4839">
        <f t="shared" si="276"/>
        <v>0</v>
      </c>
      <c r="M4839" t="str" cm="1">
        <f t="array" ref="M4839">IFERROR(INDEX($I$2:$K$2,0,MATCH(TRUE,I4839:K4839,0)),E4839)</f>
        <v>OCGT_Oil</v>
      </c>
      <c r="O4839" t="str">
        <f t="shared" si="274"/>
        <v>OCGT_Oil_2039</v>
      </c>
      <c r="P4839">
        <f t="shared" si="275"/>
        <v>24.6</v>
      </c>
    </row>
    <row r="4840" spans="4:16" x14ac:dyDescent="0.25">
      <c r="D4840">
        <v>2040</v>
      </c>
      <c r="E4840" t="s">
        <v>499</v>
      </c>
      <c r="F4840" t="s">
        <v>502</v>
      </c>
      <c r="G4840">
        <v>24.6</v>
      </c>
      <c r="I4840">
        <f t="shared" si="276"/>
        <v>0</v>
      </c>
      <c r="J4840">
        <f t="shared" si="276"/>
        <v>0</v>
      </c>
      <c r="K4840">
        <f t="shared" si="276"/>
        <v>0</v>
      </c>
      <c r="M4840" t="str" cm="1">
        <f t="array" ref="M4840">IFERROR(INDEX($I$2:$K$2,0,MATCH(TRUE,I4840:K4840,0)),E4840)</f>
        <v>OCGT_Oil</v>
      </c>
      <c r="O4840" t="str">
        <f t="shared" si="274"/>
        <v>OCGT_Oil_2040</v>
      </c>
      <c r="P4840">
        <f t="shared" si="275"/>
        <v>24.6</v>
      </c>
    </row>
    <row r="4841" spans="4:16" x14ac:dyDescent="0.25">
      <c r="D4841">
        <v>2021</v>
      </c>
      <c r="E4841" t="s">
        <v>499</v>
      </c>
      <c r="F4841" t="s">
        <v>503</v>
      </c>
      <c r="G4841">
        <v>120</v>
      </c>
      <c r="I4841">
        <f t="shared" si="276"/>
        <v>0</v>
      </c>
      <c r="J4841">
        <f t="shared" si="276"/>
        <v>0</v>
      </c>
      <c r="K4841">
        <f t="shared" si="276"/>
        <v>0</v>
      </c>
      <c r="M4841" t="str" cm="1">
        <f t="array" ref="M4841">IFERROR(INDEX($I$2:$K$2,0,MATCH(TRUE,I4841:K4841,0)),E4841)</f>
        <v>OCGT_Oil</v>
      </c>
      <c r="O4841" t="str">
        <f t="shared" si="274"/>
        <v>OCGT_Oil_2021</v>
      </c>
      <c r="P4841">
        <f t="shared" si="275"/>
        <v>120</v>
      </c>
    </row>
    <row r="4842" spans="4:16" x14ac:dyDescent="0.25">
      <c r="D4842">
        <v>2022</v>
      </c>
      <c r="E4842" t="s">
        <v>499</v>
      </c>
      <c r="F4842" t="s">
        <v>503</v>
      </c>
      <c r="G4842">
        <v>120</v>
      </c>
      <c r="I4842">
        <f t="shared" si="276"/>
        <v>0</v>
      </c>
      <c r="J4842">
        <f t="shared" si="276"/>
        <v>0</v>
      </c>
      <c r="K4842">
        <f t="shared" si="276"/>
        <v>0</v>
      </c>
      <c r="M4842" t="str" cm="1">
        <f t="array" ref="M4842">IFERROR(INDEX($I$2:$K$2,0,MATCH(TRUE,I4842:K4842,0)),E4842)</f>
        <v>OCGT_Oil</v>
      </c>
      <c r="O4842" t="str">
        <f t="shared" si="274"/>
        <v>OCGT_Oil_2022</v>
      </c>
      <c r="P4842">
        <f t="shared" si="275"/>
        <v>120</v>
      </c>
    </row>
    <row r="4843" spans="4:16" x14ac:dyDescent="0.25">
      <c r="D4843">
        <v>2023</v>
      </c>
      <c r="E4843" t="s">
        <v>499</v>
      </c>
      <c r="F4843" t="s">
        <v>503</v>
      </c>
      <c r="G4843">
        <v>120</v>
      </c>
      <c r="I4843">
        <f t="shared" si="276"/>
        <v>0</v>
      </c>
      <c r="J4843">
        <f t="shared" si="276"/>
        <v>0</v>
      </c>
      <c r="K4843">
        <f t="shared" si="276"/>
        <v>0</v>
      </c>
      <c r="M4843" t="str" cm="1">
        <f t="array" ref="M4843">IFERROR(INDEX($I$2:$K$2,0,MATCH(TRUE,I4843:K4843,0)),E4843)</f>
        <v>OCGT_Oil</v>
      </c>
      <c r="O4843" t="str">
        <f t="shared" si="274"/>
        <v>OCGT_Oil_2023</v>
      </c>
      <c r="P4843">
        <f t="shared" si="275"/>
        <v>120</v>
      </c>
    </row>
    <row r="4844" spans="4:16" x14ac:dyDescent="0.25">
      <c r="D4844">
        <v>2024</v>
      </c>
      <c r="E4844" t="s">
        <v>499</v>
      </c>
      <c r="F4844" t="s">
        <v>503</v>
      </c>
      <c r="G4844">
        <v>120</v>
      </c>
      <c r="I4844">
        <f t="shared" si="276"/>
        <v>0</v>
      </c>
      <c r="J4844">
        <f t="shared" si="276"/>
        <v>0</v>
      </c>
      <c r="K4844">
        <f t="shared" si="276"/>
        <v>0</v>
      </c>
      <c r="M4844" t="str" cm="1">
        <f t="array" ref="M4844">IFERROR(INDEX($I$2:$K$2,0,MATCH(TRUE,I4844:K4844,0)),E4844)</f>
        <v>OCGT_Oil</v>
      </c>
      <c r="O4844" t="str">
        <f t="shared" si="274"/>
        <v>OCGT_Oil_2024</v>
      </c>
      <c r="P4844">
        <f t="shared" si="275"/>
        <v>120</v>
      </c>
    </row>
    <row r="4845" spans="4:16" x14ac:dyDescent="0.25">
      <c r="D4845">
        <v>2025</v>
      </c>
      <c r="E4845" t="s">
        <v>499</v>
      </c>
      <c r="F4845" t="s">
        <v>503</v>
      </c>
      <c r="G4845">
        <v>120</v>
      </c>
      <c r="I4845">
        <f t="shared" si="276"/>
        <v>0</v>
      </c>
      <c r="J4845">
        <f t="shared" si="276"/>
        <v>0</v>
      </c>
      <c r="K4845">
        <f t="shared" si="276"/>
        <v>0</v>
      </c>
      <c r="M4845" t="str" cm="1">
        <f t="array" ref="M4845">IFERROR(INDEX($I$2:$K$2,0,MATCH(TRUE,I4845:K4845,0)),E4845)</f>
        <v>OCGT_Oil</v>
      </c>
      <c r="O4845" t="str">
        <f t="shared" si="274"/>
        <v>OCGT_Oil_2025</v>
      </c>
      <c r="P4845">
        <f t="shared" si="275"/>
        <v>120</v>
      </c>
    </row>
    <row r="4846" spans="4:16" x14ac:dyDescent="0.25">
      <c r="D4846">
        <v>2026</v>
      </c>
      <c r="E4846" t="s">
        <v>499</v>
      </c>
      <c r="F4846" t="s">
        <v>503</v>
      </c>
      <c r="G4846">
        <v>120</v>
      </c>
      <c r="I4846">
        <f t="shared" si="276"/>
        <v>0</v>
      </c>
      <c r="J4846">
        <f t="shared" si="276"/>
        <v>0</v>
      </c>
      <c r="K4846">
        <f t="shared" si="276"/>
        <v>0</v>
      </c>
      <c r="M4846" t="str" cm="1">
        <f t="array" ref="M4846">IFERROR(INDEX($I$2:$K$2,0,MATCH(TRUE,I4846:K4846,0)),E4846)</f>
        <v>OCGT_Oil</v>
      </c>
      <c r="O4846" t="str">
        <f t="shared" si="274"/>
        <v>OCGT_Oil_2026</v>
      </c>
      <c r="P4846">
        <f t="shared" si="275"/>
        <v>120</v>
      </c>
    </row>
    <row r="4847" spans="4:16" x14ac:dyDescent="0.25">
      <c r="D4847">
        <v>2027</v>
      </c>
      <c r="E4847" t="s">
        <v>499</v>
      </c>
      <c r="F4847" t="s">
        <v>503</v>
      </c>
      <c r="G4847">
        <v>120</v>
      </c>
      <c r="I4847">
        <f t="shared" si="276"/>
        <v>0</v>
      </c>
      <c r="J4847">
        <f t="shared" si="276"/>
        <v>0</v>
      </c>
      <c r="K4847">
        <f t="shared" si="276"/>
        <v>0</v>
      </c>
      <c r="M4847" t="str" cm="1">
        <f t="array" ref="M4847">IFERROR(INDEX($I$2:$K$2,0,MATCH(TRUE,I4847:K4847,0)),E4847)</f>
        <v>OCGT_Oil</v>
      </c>
      <c r="O4847" t="str">
        <f t="shared" si="274"/>
        <v>OCGT_Oil_2027</v>
      </c>
      <c r="P4847">
        <f t="shared" si="275"/>
        <v>120</v>
      </c>
    </row>
    <row r="4848" spans="4:16" x14ac:dyDescent="0.25">
      <c r="D4848">
        <v>2028</v>
      </c>
      <c r="E4848" t="s">
        <v>499</v>
      </c>
      <c r="F4848" t="s">
        <v>503</v>
      </c>
      <c r="G4848">
        <v>120</v>
      </c>
      <c r="I4848">
        <f t="shared" si="276"/>
        <v>0</v>
      </c>
      <c r="J4848">
        <f t="shared" si="276"/>
        <v>0</v>
      </c>
      <c r="K4848">
        <f t="shared" si="276"/>
        <v>0</v>
      </c>
      <c r="M4848" t="str" cm="1">
        <f t="array" ref="M4848">IFERROR(INDEX($I$2:$K$2,0,MATCH(TRUE,I4848:K4848,0)),E4848)</f>
        <v>OCGT_Oil</v>
      </c>
      <c r="O4848" t="str">
        <f t="shared" si="274"/>
        <v>OCGT_Oil_2028</v>
      </c>
      <c r="P4848">
        <f t="shared" si="275"/>
        <v>120</v>
      </c>
    </row>
    <row r="4849" spans="4:16" x14ac:dyDescent="0.25">
      <c r="D4849">
        <v>2029</v>
      </c>
      <c r="E4849" t="s">
        <v>499</v>
      </c>
      <c r="F4849" t="s">
        <v>503</v>
      </c>
      <c r="G4849">
        <v>120</v>
      </c>
      <c r="I4849">
        <f t="shared" si="276"/>
        <v>0</v>
      </c>
      <c r="J4849">
        <f t="shared" si="276"/>
        <v>0</v>
      </c>
      <c r="K4849">
        <f t="shared" si="276"/>
        <v>0</v>
      </c>
      <c r="M4849" t="str" cm="1">
        <f t="array" ref="M4849">IFERROR(INDEX($I$2:$K$2,0,MATCH(TRUE,I4849:K4849,0)),E4849)</f>
        <v>OCGT_Oil</v>
      </c>
      <c r="O4849" t="str">
        <f t="shared" si="274"/>
        <v>OCGT_Oil_2029</v>
      </c>
      <c r="P4849">
        <f t="shared" si="275"/>
        <v>120</v>
      </c>
    </row>
    <row r="4850" spans="4:16" x14ac:dyDescent="0.25">
      <c r="D4850">
        <v>2030</v>
      </c>
      <c r="E4850" t="s">
        <v>499</v>
      </c>
      <c r="F4850" t="s">
        <v>503</v>
      </c>
      <c r="G4850">
        <v>120</v>
      </c>
      <c r="I4850">
        <f t="shared" si="276"/>
        <v>0</v>
      </c>
      <c r="J4850">
        <f t="shared" si="276"/>
        <v>0</v>
      </c>
      <c r="K4850">
        <f t="shared" si="276"/>
        <v>0</v>
      </c>
      <c r="M4850" t="str" cm="1">
        <f t="array" ref="M4850">IFERROR(INDEX($I$2:$K$2,0,MATCH(TRUE,I4850:K4850,0)),E4850)</f>
        <v>OCGT_Oil</v>
      </c>
      <c r="O4850" t="str">
        <f t="shared" si="274"/>
        <v>OCGT_Oil_2030</v>
      </c>
      <c r="P4850">
        <f t="shared" si="275"/>
        <v>120</v>
      </c>
    </row>
    <row r="4851" spans="4:16" x14ac:dyDescent="0.25">
      <c r="D4851">
        <v>2031</v>
      </c>
      <c r="E4851" t="s">
        <v>499</v>
      </c>
      <c r="F4851" t="s">
        <v>503</v>
      </c>
      <c r="G4851">
        <v>120</v>
      </c>
      <c r="I4851">
        <f t="shared" si="276"/>
        <v>0</v>
      </c>
      <c r="J4851">
        <f t="shared" si="276"/>
        <v>0</v>
      </c>
      <c r="K4851">
        <f t="shared" si="276"/>
        <v>0</v>
      </c>
      <c r="M4851" t="str" cm="1">
        <f t="array" ref="M4851">IFERROR(INDEX($I$2:$K$2,0,MATCH(TRUE,I4851:K4851,0)),E4851)</f>
        <v>OCGT_Oil</v>
      </c>
      <c r="O4851" t="str">
        <f t="shared" si="274"/>
        <v>OCGT_Oil_2031</v>
      </c>
      <c r="P4851">
        <f t="shared" si="275"/>
        <v>120</v>
      </c>
    </row>
    <row r="4852" spans="4:16" x14ac:dyDescent="0.25">
      <c r="D4852">
        <v>2032</v>
      </c>
      <c r="E4852" t="s">
        <v>499</v>
      </c>
      <c r="F4852" t="s">
        <v>503</v>
      </c>
      <c r="G4852">
        <v>120</v>
      </c>
      <c r="I4852">
        <f t="shared" si="276"/>
        <v>0</v>
      </c>
      <c r="J4852">
        <f t="shared" si="276"/>
        <v>0</v>
      </c>
      <c r="K4852">
        <f t="shared" si="276"/>
        <v>0</v>
      </c>
      <c r="M4852" t="str" cm="1">
        <f t="array" ref="M4852">IFERROR(INDEX($I$2:$K$2,0,MATCH(TRUE,I4852:K4852,0)),E4852)</f>
        <v>OCGT_Oil</v>
      </c>
      <c r="O4852" t="str">
        <f t="shared" si="274"/>
        <v>OCGT_Oil_2032</v>
      </c>
      <c r="P4852">
        <f t="shared" si="275"/>
        <v>120</v>
      </c>
    </row>
    <row r="4853" spans="4:16" x14ac:dyDescent="0.25">
      <c r="D4853">
        <v>2033</v>
      </c>
      <c r="E4853" t="s">
        <v>499</v>
      </c>
      <c r="F4853" t="s">
        <v>503</v>
      </c>
      <c r="G4853">
        <v>120</v>
      </c>
      <c r="I4853">
        <f t="shared" si="276"/>
        <v>0</v>
      </c>
      <c r="J4853">
        <f t="shared" si="276"/>
        <v>0</v>
      </c>
      <c r="K4853">
        <f t="shared" si="276"/>
        <v>0</v>
      </c>
      <c r="M4853" t="str" cm="1">
        <f t="array" ref="M4853">IFERROR(INDEX($I$2:$K$2,0,MATCH(TRUE,I4853:K4853,0)),E4853)</f>
        <v>OCGT_Oil</v>
      </c>
      <c r="O4853" t="str">
        <f t="shared" si="274"/>
        <v>OCGT_Oil_2033</v>
      </c>
      <c r="P4853">
        <f t="shared" si="275"/>
        <v>120</v>
      </c>
    </row>
    <row r="4854" spans="4:16" x14ac:dyDescent="0.25">
      <c r="D4854">
        <v>2034</v>
      </c>
      <c r="E4854" t="s">
        <v>499</v>
      </c>
      <c r="F4854" t="s">
        <v>503</v>
      </c>
      <c r="G4854">
        <v>120</v>
      </c>
      <c r="I4854">
        <f t="shared" si="276"/>
        <v>0</v>
      </c>
      <c r="J4854">
        <f t="shared" si="276"/>
        <v>0</v>
      </c>
      <c r="K4854">
        <f t="shared" si="276"/>
        <v>0</v>
      </c>
      <c r="M4854" t="str" cm="1">
        <f t="array" ref="M4854">IFERROR(INDEX($I$2:$K$2,0,MATCH(TRUE,I4854:K4854,0)),E4854)</f>
        <v>OCGT_Oil</v>
      </c>
      <c r="O4854" t="str">
        <f t="shared" si="274"/>
        <v>OCGT_Oil_2034</v>
      </c>
      <c r="P4854">
        <f t="shared" si="275"/>
        <v>120</v>
      </c>
    </row>
    <row r="4855" spans="4:16" x14ac:dyDescent="0.25">
      <c r="D4855">
        <v>2035</v>
      </c>
      <c r="E4855" t="s">
        <v>499</v>
      </c>
      <c r="F4855" t="s">
        <v>503</v>
      </c>
      <c r="G4855">
        <v>120</v>
      </c>
      <c r="I4855">
        <f t="shared" si="276"/>
        <v>0</v>
      </c>
      <c r="J4855">
        <f t="shared" si="276"/>
        <v>0</v>
      </c>
      <c r="K4855">
        <f t="shared" si="276"/>
        <v>0</v>
      </c>
      <c r="M4855" t="str" cm="1">
        <f t="array" ref="M4855">IFERROR(INDEX($I$2:$K$2,0,MATCH(TRUE,I4855:K4855,0)),E4855)</f>
        <v>OCGT_Oil</v>
      </c>
      <c r="O4855" t="str">
        <f t="shared" si="274"/>
        <v>OCGT_Oil_2035</v>
      </c>
      <c r="P4855">
        <f t="shared" si="275"/>
        <v>120</v>
      </c>
    </row>
    <row r="4856" spans="4:16" x14ac:dyDescent="0.25">
      <c r="D4856">
        <v>2036</v>
      </c>
      <c r="E4856" t="s">
        <v>499</v>
      </c>
      <c r="F4856" t="s">
        <v>503</v>
      </c>
      <c r="G4856">
        <v>120</v>
      </c>
      <c r="I4856">
        <f t="shared" si="276"/>
        <v>0</v>
      </c>
      <c r="J4856">
        <f t="shared" si="276"/>
        <v>0</v>
      </c>
      <c r="K4856">
        <f t="shared" si="276"/>
        <v>0</v>
      </c>
      <c r="M4856" t="str" cm="1">
        <f t="array" ref="M4856">IFERROR(INDEX($I$2:$K$2,0,MATCH(TRUE,I4856:K4856,0)),E4856)</f>
        <v>OCGT_Oil</v>
      </c>
      <c r="O4856" t="str">
        <f t="shared" si="274"/>
        <v>OCGT_Oil_2036</v>
      </c>
      <c r="P4856">
        <f t="shared" si="275"/>
        <v>120</v>
      </c>
    </row>
    <row r="4857" spans="4:16" x14ac:dyDescent="0.25">
      <c r="D4857">
        <v>2037</v>
      </c>
      <c r="E4857" t="s">
        <v>499</v>
      </c>
      <c r="F4857" t="s">
        <v>503</v>
      </c>
      <c r="G4857">
        <v>120</v>
      </c>
      <c r="I4857">
        <f t="shared" si="276"/>
        <v>0</v>
      </c>
      <c r="J4857">
        <f t="shared" si="276"/>
        <v>0</v>
      </c>
      <c r="K4857">
        <f t="shared" si="276"/>
        <v>0</v>
      </c>
      <c r="M4857" t="str" cm="1">
        <f t="array" ref="M4857">IFERROR(INDEX($I$2:$K$2,0,MATCH(TRUE,I4857:K4857,0)),E4857)</f>
        <v>OCGT_Oil</v>
      </c>
      <c r="O4857" t="str">
        <f t="shared" si="274"/>
        <v>OCGT_Oil_2037</v>
      </c>
      <c r="P4857">
        <f t="shared" si="275"/>
        <v>120</v>
      </c>
    </row>
    <row r="4858" spans="4:16" x14ac:dyDescent="0.25">
      <c r="D4858">
        <v>2038</v>
      </c>
      <c r="E4858" t="s">
        <v>499</v>
      </c>
      <c r="F4858" t="s">
        <v>503</v>
      </c>
      <c r="G4858">
        <v>120</v>
      </c>
      <c r="I4858">
        <f t="shared" si="276"/>
        <v>0</v>
      </c>
      <c r="J4858">
        <f t="shared" si="276"/>
        <v>0</v>
      </c>
      <c r="K4858">
        <f t="shared" si="276"/>
        <v>0</v>
      </c>
      <c r="M4858" t="str" cm="1">
        <f t="array" ref="M4858">IFERROR(INDEX($I$2:$K$2,0,MATCH(TRUE,I4858:K4858,0)),E4858)</f>
        <v>OCGT_Oil</v>
      </c>
      <c r="O4858" t="str">
        <f t="shared" si="274"/>
        <v>OCGT_Oil_2038</v>
      </c>
      <c r="P4858">
        <f t="shared" si="275"/>
        <v>120</v>
      </c>
    </row>
    <row r="4859" spans="4:16" x14ac:dyDescent="0.25">
      <c r="D4859">
        <v>2039</v>
      </c>
      <c r="E4859" t="s">
        <v>499</v>
      </c>
      <c r="F4859" t="s">
        <v>503</v>
      </c>
      <c r="G4859">
        <v>120</v>
      </c>
      <c r="I4859">
        <f t="shared" si="276"/>
        <v>0</v>
      </c>
      <c r="J4859">
        <f t="shared" si="276"/>
        <v>0</v>
      </c>
      <c r="K4859">
        <f t="shared" si="276"/>
        <v>0</v>
      </c>
      <c r="M4859" t="str" cm="1">
        <f t="array" ref="M4859">IFERROR(INDEX($I$2:$K$2,0,MATCH(TRUE,I4859:K4859,0)),E4859)</f>
        <v>OCGT_Oil</v>
      </c>
      <c r="O4859" t="str">
        <f t="shared" si="274"/>
        <v>OCGT_Oil_2039</v>
      </c>
      <c r="P4859">
        <f t="shared" si="275"/>
        <v>120</v>
      </c>
    </row>
    <row r="4860" spans="4:16" x14ac:dyDescent="0.25">
      <c r="D4860">
        <v>2040</v>
      </c>
      <c r="E4860" t="s">
        <v>499</v>
      </c>
      <c r="F4860" t="s">
        <v>503</v>
      </c>
      <c r="G4860">
        <v>120</v>
      </c>
      <c r="I4860">
        <f t="shared" si="276"/>
        <v>0</v>
      </c>
      <c r="J4860">
        <f t="shared" si="276"/>
        <v>0</v>
      </c>
      <c r="K4860">
        <f t="shared" si="276"/>
        <v>0</v>
      </c>
      <c r="M4860" t="str" cm="1">
        <f t="array" ref="M4860">IFERROR(INDEX($I$2:$K$2,0,MATCH(TRUE,I4860:K4860,0)),E4860)</f>
        <v>OCGT_Oil</v>
      </c>
      <c r="O4860" t="str">
        <f t="shared" si="274"/>
        <v>OCGT_Oil_2040</v>
      </c>
      <c r="P4860">
        <f t="shared" si="275"/>
        <v>120</v>
      </c>
    </row>
    <row r="4861" spans="4:16" x14ac:dyDescent="0.25">
      <c r="D4861">
        <v>2021</v>
      </c>
      <c r="E4861" t="s">
        <v>499</v>
      </c>
      <c r="F4861" t="s">
        <v>504</v>
      </c>
      <c r="G4861">
        <v>23.2</v>
      </c>
      <c r="I4861">
        <f t="shared" si="276"/>
        <v>0</v>
      </c>
      <c r="J4861">
        <f t="shared" si="276"/>
        <v>0</v>
      </c>
      <c r="K4861">
        <f t="shared" si="276"/>
        <v>0</v>
      </c>
      <c r="M4861" t="str" cm="1">
        <f t="array" ref="M4861">IFERROR(INDEX($I$2:$K$2,0,MATCH(TRUE,I4861:K4861,0)),E4861)</f>
        <v>OCGT_Oil</v>
      </c>
      <c r="O4861" t="str">
        <f t="shared" si="274"/>
        <v>OCGT_Oil_2021</v>
      </c>
      <c r="P4861">
        <f t="shared" si="275"/>
        <v>23.2</v>
      </c>
    </row>
    <row r="4862" spans="4:16" x14ac:dyDescent="0.25">
      <c r="D4862">
        <v>2022</v>
      </c>
      <c r="E4862" t="s">
        <v>499</v>
      </c>
      <c r="F4862" t="s">
        <v>504</v>
      </c>
      <c r="G4862">
        <v>23.2</v>
      </c>
      <c r="I4862">
        <f t="shared" si="276"/>
        <v>0</v>
      </c>
      <c r="J4862">
        <f t="shared" si="276"/>
        <v>0</v>
      </c>
      <c r="K4862">
        <f t="shared" si="276"/>
        <v>0</v>
      </c>
      <c r="M4862" t="str" cm="1">
        <f t="array" ref="M4862">IFERROR(INDEX($I$2:$K$2,0,MATCH(TRUE,I4862:K4862,0)),E4862)</f>
        <v>OCGT_Oil</v>
      </c>
      <c r="O4862" t="str">
        <f t="shared" si="274"/>
        <v>OCGT_Oil_2022</v>
      </c>
      <c r="P4862">
        <f t="shared" si="275"/>
        <v>23.2</v>
      </c>
    </row>
    <row r="4863" spans="4:16" x14ac:dyDescent="0.25">
      <c r="D4863">
        <v>2023</v>
      </c>
      <c r="E4863" t="s">
        <v>499</v>
      </c>
      <c r="F4863" t="s">
        <v>504</v>
      </c>
      <c r="G4863">
        <v>23.2</v>
      </c>
      <c r="I4863">
        <f t="shared" si="276"/>
        <v>0</v>
      </c>
      <c r="J4863">
        <f t="shared" si="276"/>
        <v>0</v>
      </c>
      <c r="K4863">
        <f t="shared" si="276"/>
        <v>0</v>
      </c>
      <c r="M4863" t="str" cm="1">
        <f t="array" ref="M4863">IFERROR(INDEX($I$2:$K$2,0,MATCH(TRUE,I4863:K4863,0)),E4863)</f>
        <v>OCGT_Oil</v>
      </c>
      <c r="O4863" t="str">
        <f t="shared" si="274"/>
        <v>OCGT_Oil_2023</v>
      </c>
      <c r="P4863">
        <f t="shared" si="275"/>
        <v>23.2</v>
      </c>
    </row>
    <row r="4864" spans="4:16" x14ac:dyDescent="0.25">
      <c r="D4864">
        <v>2024</v>
      </c>
      <c r="E4864" t="s">
        <v>499</v>
      </c>
      <c r="F4864" t="s">
        <v>504</v>
      </c>
      <c r="G4864">
        <v>23.2</v>
      </c>
      <c r="I4864">
        <f t="shared" si="276"/>
        <v>0</v>
      </c>
      <c r="J4864">
        <f t="shared" si="276"/>
        <v>0</v>
      </c>
      <c r="K4864">
        <f t="shared" si="276"/>
        <v>0</v>
      </c>
      <c r="M4864" t="str" cm="1">
        <f t="array" ref="M4864">IFERROR(INDEX($I$2:$K$2,0,MATCH(TRUE,I4864:K4864,0)),E4864)</f>
        <v>OCGT_Oil</v>
      </c>
      <c r="O4864" t="str">
        <f t="shared" si="274"/>
        <v>OCGT_Oil_2024</v>
      </c>
      <c r="P4864">
        <f t="shared" si="275"/>
        <v>23.2</v>
      </c>
    </row>
    <row r="4865" spans="4:16" x14ac:dyDescent="0.25">
      <c r="D4865">
        <v>2025</v>
      </c>
      <c r="E4865" t="s">
        <v>499</v>
      </c>
      <c r="F4865" t="s">
        <v>504</v>
      </c>
      <c r="G4865">
        <v>23.2</v>
      </c>
      <c r="I4865">
        <f t="shared" si="276"/>
        <v>0</v>
      </c>
      <c r="J4865">
        <f t="shared" si="276"/>
        <v>0</v>
      </c>
      <c r="K4865">
        <f t="shared" si="276"/>
        <v>0</v>
      </c>
      <c r="M4865" t="str" cm="1">
        <f t="array" ref="M4865">IFERROR(INDEX($I$2:$K$2,0,MATCH(TRUE,I4865:K4865,0)),E4865)</f>
        <v>OCGT_Oil</v>
      </c>
      <c r="O4865" t="str">
        <f t="shared" si="274"/>
        <v>OCGT_Oil_2025</v>
      </c>
      <c r="P4865">
        <f t="shared" si="275"/>
        <v>23.2</v>
      </c>
    </row>
    <row r="4866" spans="4:16" x14ac:dyDescent="0.25">
      <c r="D4866">
        <v>2026</v>
      </c>
      <c r="E4866" t="s">
        <v>499</v>
      </c>
      <c r="F4866" t="s">
        <v>504</v>
      </c>
      <c r="G4866">
        <v>23.2</v>
      </c>
      <c r="I4866">
        <f t="shared" si="276"/>
        <v>0</v>
      </c>
      <c r="J4866">
        <f t="shared" si="276"/>
        <v>0</v>
      </c>
      <c r="K4866">
        <f t="shared" si="276"/>
        <v>0</v>
      </c>
      <c r="M4866" t="str" cm="1">
        <f t="array" ref="M4866">IFERROR(INDEX($I$2:$K$2,0,MATCH(TRUE,I4866:K4866,0)),E4866)</f>
        <v>OCGT_Oil</v>
      </c>
      <c r="O4866" t="str">
        <f t="shared" si="274"/>
        <v>OCGT_Oil_2026</v>
      </c>
      <c r="P4866">
        <f t="shared" si="275"/>
        <v>23.2</v>
      </c>
    </row>
    <row r="4867" spans="4:16" x14ac:dyDescent="0.25">
      <c r="D4867">
        <v>2027</v>
      </c>
      <c r="E4867" t="s">
        <v>499</v>
      </c>
      <c r="F4867" t="s">
        <v>504</v>
      </c>
      <c r="G4867">
        <v>23.2</v>
      </c>
      <c r="I4867">
        <f t="shared" si="276"/>
        <v>0</v>
      </c>
      <c r="J4867">
        <f t="shared" si="276"/>
        <v>0</v>
      </c>
      <c r="K4867">
        <f t="shared" si="276"/>
        <v>0</v>
      </c>
      <c r="M4867" t="str" cm="1">
        <f t="array" ref="M4867">IFERROR(INDEX($I$2:$K$2,0,MATCH(TRUE,I4867:K4867,0)),E4867)</f>
        <v>OCGT_Oil</v>
      </c>
      <c r="O4867" t="str">
        <f t="shared" si="274"/>
        <v>OCGT_Oil_2027</v>
      </c>
      <c r="P4867">
        <f t="shared" si="275"/>
        <v>23.2</v>
      </c>
    </row>
    <row r="4868" spans="4:16" x14ac:dyDescent="0.25">
      <c r="D4868">
        <v>2028</v>
      </c>
      <c r="E4868" t="s">
        <v>499</v>
      </c>
      <c r="F4868" t="s">
        <v>504</v>
      </c>
      <c r="G4868">
        <v>23.2</v>
      </c>
      <c r="I4868">
        <f t="shared" si="276"/>
        <v>0</v>
      </c>
      <c r="J4868">
        <f t="shared" si="276"/>
        <v>0</v>
      </c>
      <c r="K4868">
        <f t="shared" si="276"/>
        <v>0</v>
      </c>
      <c r="M4868" t="str" cm="1">
        <f t="array" ref="M4868">IFERROR(INDEX($I$2:$K$2,0,MATCH(TRUE,I4868:K4868,0)),E4868)</f>
        <v>OCGT_Oil</v>
      </c>
      <c r="O4868" t="str">
        <f t="shared" si="274"/>
        <v>OCGT_Oil_2028</v>
      </c>
      <c r="P4868">
        <f t="shared" si="275"/>
        <v>23.2</v>
      </c>
    </row>
    <row r="4869" spans="4:16" x14ac:dyDescent="0.25">
      <c r="D4869">
        <v>2029</v>
      </c>
      <c r="E4869" t="s">
        <v>499</v>
      </c>
      <c r="F4869" t="s">
        <v>504</v>
      </c>
      <c r="G4869">
        <v>23.2</v>
      </c>
      <c r="I4869">
        <f t="shared" si="276"/>
        <v>0</v>
      </c>
      <c r="J4869">
        <f t="shared" si="276"/>
        <v>0</v>
      </c>
      <c r="K4869">
        <f t="shared" si="276"/>
        <v>0</v>
      </c>
      <c r="M4869" t="str" cm="1">
        <f t="array" ref="M4869">IFERROR(INDEX($I$2:$K$2,0,MATCH(TRUE,I4869:K4869,0)),E4869)</f>
        <v>OCGT_Oil</v>
      </c>
      <c r="O4869" t="str">
        <f t="shared" si="274"/>
        <v>OCGT_Oil_2029</v>
      </c>
      <c r="P4869">
        <f t="shared" si="275"/>
        <v>23.2</v>
      </c>
    </row>
    <row r="4870" spans="4:16" x14ac:dyDescent="0.25">
      <c r="D4870">
        <v>2030</v>
      </c>
      <c r="E4870" t="s">
        <v>499</v>
      </c>
      <c r="F4870" t="s">
        <v>504</v>
      </c>
      <c r="G4870">
        <v>23.2</v>
      </c>
      <c r="I4870">
        <f t="shared" si="276"/>
        <v>0</v>
      </c>
      <c r="J4870">
        <f t="shared" si="276"/>
        <v>0</v>
      </c>
      <c r="K4870">
        <f t="shared" si="276"/>
        <v>0</v>
      </c>
      <c r="M4870" t="str" cm="1">
        <f t="array" ref="M4870">IFERROR(INDEX($I$2:$K$2,0,MATCH(TRUE,I4870:K4870,0)),E4870)</f>
        <v>OCGT_Oil</v>
      </c>
      <c r="O4870" t="str">
        <f t="shared" si="274"/>
        <v>OCGT_Oil_2030</v>
      </c>
      <c r="P4870">
        <f t="shared" si="275"/>
        <v>23.2</v>
      </c>
    </row>
    <row r="4871" spans="4:16" x14ac:dyDescent="0.25">
      <c r="D4871">
        <v>2031</v>
      </c>
      <c r="E4871" t="s">
        <v>499</v>
      </c>
      <c r="F4871" t="s">
        <v>504</v>
      </c>
      <c r="G4871">
        <v>23.2</v>
      </c>
      <c r="I4871">
        <f t="shared" si="276"/>
        <v>0</v>
      </c>
      <c r="J4871">
        <f t="shared" si="276"/>
        <v>0</v>
      </c>
      <c r="K4871">
        <f t="shared" si="276"/>
        <v>0</v>
      </c>
      <c r="M4871" t="str" cm="1">
        <f t="array" ref="M4871">IFERROR(INDEX($I$2:$K$2,0,MATCH(TRUE,I4871:K4871,0)),E4871)</f>
        <v>OCGT_Oil</v>
      </c>
      <c r="O4871" t="str">
        <f t="shared" si="274"/>
        <v>OCGT_Oil_2031</v>
      </c>
      <c r="P4871">
        <f t="shared" si="275"/>
        <v>23.2</v>
      </c>
    </row>
    <row r="4872" spans="4:16" x14ac:dyDescent="0.25">
      <c r="D4872">
        <v>2021</v>
      </c>
      <c r="E4872" t="s">
        <v>499</v>
      </c>
      <c r="F4872" t="s">
        <v>505</v>
      </c>
      <c r="G4872">
        <v>23.2</v>
      </c>
      <c r="I4872">
        <f t="shared" si="276"/>
        <v>0</v>
      </c>
      <c r="J4872">
        <f t="shared" si="276"/>
        <v>0</v>
      </c>
      <c r="K4872">
        <f t="shared" si="276"/>
        <v>0</v>
      </c>
      <c r="M4872" t="str" cm="1">
        <f t="array" ref="M4872">IFERROR(INDEX($I$2:$K$2,0,MATCH(TRUE,I4872:K4872,0)),E4872)</f>
        <v>OCGT_Oil</v>
      </c>
      <c r="O4872" t="str">
        <f t="shared" si="274"/>
        <v>OCGT_Oil_2021</v>
      </c>
      <c r="P4872">
        <f t="shared" si="275"/>
        <v>23.2</v>
      </c>
    </row>
    <row r="4873" spans="4:16" x14ac:dyDescent="0.25">
      <c r="D4873">
        <v>2022</v>
      </c>
      <c r="E4873" t="s">
        <v>499</v>
      </c>
      <c r="F4873" t="s">
        <v>505</v>
      </c>
      <c r="G4873">
        <v>23.2</v>
      </c>
      <c r="I4873">
        <f t="shared" si="276"/>
        <v>0</v>
      </c>
      <c r="J4873">
        <f t="shared" si="276"/>
        <v>0</v>
      </c>
      <c r="K4873">
        <f t="shared" si="276"/>
        <v>0</v>
      </c>
      <c r="M4873" t="str" cm="1">
        <f t="array" ref="M4873">IFERROR(INDEX($I$2:$K$2,0,MATCH(TRUE,I4873:K4873,0)),E4873)</f>
        <v>OCGT_Oil</v>
      </c>
      <c r="O4873" t="str">
        <f t="shared" si="274"/>
        <v>OCGT_Oil_2022</v>
      </c>
      <c r="P4873">
        <f t="shared" si="275"/>
        <v>23.2</v>
      </c>
    </row>
    <row r="4874" spans="4:16" x14ac:dyDescent="0.25">
      <c r="D4874">
        <v>2023</v>
      </c>
      <c r="E4874" t="s">
        <v>499</v>
      </c>
      <c r="F4874" t="s">
        <v>505</v>
      </c>
      <c r="G4874">
        <v>23.2</v>
      </c>
      <c r="I4874">
        <f t="shared" si="276"/>
        <v>0</v>
      </c>
      <c r="J4874">
        <f t="shared" si="276"/>
        <v>0</v>
      </c>
      <c r="K4874">
        <f t="shared" si="276"/>
        <v>0</v>
      </c>
      <c r="M4874" t="str" cm="1">
        <f t="array" ref="M4874">IFERROR(INDEX($I$2:$K$2,0,MATCH(TRUE,I4874:K4874,0)),E4874)</f>
        <v>OCGT_Oil</v>
      </c>
      <c r="O4874" t="str">
        <f t="shared" si="274"/>
        <v>OCGT_Oil_2023</v>
      </c>
      <c r="P4874">
        <f t="shared" si="275"/>
        <v>23.2</v>
      </c>
    </row>
    <row r="4875" spans="4:16" x14ac:dyDescent="0.25">
      <c r="D4875">
        <v>2024</v>
      </c>
      <c r="E4875" t="s">
        <v>499</v>
      </c>
      <c r="F4875" t="s">
        <v>505</v>
      </c>
      <c r="G4875">
        <v>23.2</v>
      </c>
      <c r="I4875">
        <f t="shared" si="276"/>
        <v>0</v>
      </c>
      <c r="J4875">
        <f t="shared" si="276"/>
        <v>0</v>
      </c>
      <c r="K4875">
        <f t="shared" si="276"/>
        <v>0</v>
      </c>
      <c r="M4875" t="str" cm="1">
        <f t="array" ref="M4875">IFERROR(INDEX($I$2:$K$2,0,MATCH(TRUE,I4875:K4875,0)),E4875)</f>
        <v>OCGT_Oil</v>
      </c>
      <c r="O4875" t="str">
        <f t="shared" si="274"/>
        <v>OCGT_Oil_2024</v>
      </c>
      <c r="P4875">
        <f t="shared" si="275"/>
        <v>23.2</v>
      </c>
    </row>
    <row r="4876" spans="4:16" x14ac:dyDescent="0.25">
      <c r="D4876">
        <v>2025</v>
      </c>
      <c r="E4876" t="s">
        <v>499</v>
      </c>
      <c r="F4876" t="s">
        <v>505</v>
      </c>
      <c r="G4876">
        <v>23.2</v>
      </c>
      <c r="I4876">
        <f t="shared" si="276"/>
        <v>0</v>
      </c>
      <c r="J4876">
        <f t="shared" si="276"/>
        <v>0</v>
      </c>
      <c r="K4876">
        <f t="shared" si="276"/>
        <v>0</v>
      </c>
      <c r="M4876" t="str" cm="1">
        <f t="array" ref="M4876">IFERROR(INDEX($I$2:$K$2,0,MATCH(TRUE,I4876:K4876,0)),E4876)</f>
        <v>OCGT_Oil</v>
      </c>
      <c r="O4876" t="str">
        <f t="shared" si="274"/>
        <v>OCGT_Oil_2025</v>
      </c>
      <c r="P4876">
        <f t="shared" si="275"/>
        <v>23.2</v>
      </c>
    </row>
    <row r="4877" spans="4:16" x14ac:dyDescent="0.25">
      <c r="D4877">
        <v>2026</v>
      </c>
      <c r="E4877" t="s">
        <v>499</v>
      </c>
      <c r="F4877" t="s">
        <v>505</v>
      </c>
      <c r="G4877">
        <v>23.2</v>
      </c>
      <c r="I4877">
        <f t="shared" si="276"/>
        <v>0</v>
      </c>
      <c r="J4877">
        <f t="shared" si="276"/>
        <v>0</v>
      </c>
      <c r="K4877">
        <f t="shared" si="276"/>
        <v>0</v>
      </c>
      <c r="M4877" t="str" cm="1">
        <f t="array" ref="M4877">IFERROR(INDEX($I$2:$K$2,0,MATCH(TRUE,I4877:K4877,0)),E4877)</f>
        <v>OCGT_Oil</v>
      </c>
      <c r="O4877" t="str">
        <f t="shared" si="274"/>
        <v>OCGT_Oil_2026</v>
      </c>
      <c r="P4877">
        <f t="shared" si="275"/>
        <v>23.2</v>
      </c>
    </row>
    <row r="4878" spans="4:16" x14ac:dyDescent="0.25">
      <c r="D4878">
        <v>2027</v>
      </c>
      <c r="E4878" t="s">
        <v>499</v>
      </c>
      <c r="F4878" t="s">
        <v>505</v>
      </c>
      <c r="G4878">
        <v>23.2</v>
      </c>
      <c r="I4878">
        <f t="shared" si="276"/>
        <v>0</v>
      </c>
      <c r="J4878">
        <f t="shared" si="276"/>
        <v>0</v>
      </c>
      <c r="K4878">
        <f t="shared" si="276"/>
        <v>0</v>
      </c>
      <c r="M4878" t="str" cm="1">
        <f t="array" ref="M4878">IFERROR(INDEX($I$2:$K$2,0,MATCH(TRUE,I4878:K4878,0)),E4878)</f>
        <v>OCGT_Oil</v>
      </c>
      <c r="O4878" t="str">
        <f t="shared" si="274"/>
        <v>OCGT_Oil_2027</v>
      </c>
      <c r="P4878">
        <f t="shared" si="275"/>
        <v>23.2</v>
      </c>
    </row>
    <row r="4879" spans="4:16" x14ac:dyDescent="0.25">
      <c r="D4879">
        <v>2028</v>
      </c>
      <c r="E4879" t="s">
        <v>499</v>
      </c>
      <c r="F4879" t="s">
        <v>505</v>
      </c>
      <c r="G4879">
        <v>23.2</v>
      </c>
      <c r="I4879">
        <f t="shared" si="276"/>
        <v>0</v>
      </c>
      <c r="J4879">
        <f t="shared" si="276"/>
        <v>0</v>
      </c>
      <c r="K4879">
        <f t="shared" si="276"/>
        <v>0</v>
      </c>
      <c r="M4879" t="str" cm="1">
        <f t="array" ref="M4879">IFERROR(INDEX($I$2:$K$2,0,MATCH(TRUE,I4879:K4879,0)),E4879)</f>
        <v>OCGT_Oil</v>
      </c>
      <c r="O4879" t="str">
        <f t="shared" si="274"/>
        <v>OCGT_Oil_2028</v>
      </c>
      <c r="P4879">
        <f t="shared" si="275"/>
        <v>23.2</v>
      </c>
    </row>
    <row r="4880" spans="4:16" x14ac:dyDescent="0.25">
      <c r="D4880">
        <v>2029</v>
      </c>
      <c r="E4880" t="s">
        <v>499</v>
      </c>
      <c r="F4880" t="s">
        <v>505</v>
      </c>
      <c r="G4880">
        <v>23.2</v>
      </c>
      <c r="I4880">
        <f t="shared" si="276"/>
        <v>0</v>
      </c>
      <c r="J4880">
        <f t="shared" si="276"/>
        <v>0</v>
      </c>
      <c r="K4880">
        <f t="shared" si="276"/>
        <v>0</v>
      </c>
      <c r="M4880" t="str" cm="1">
        <f t="array" ref="M4880">IFERROR(INDEX($I$2:$K$2,0,MATCH(TRUE,I4880:K4880,0)),E4880)</f>
        <v>OCGT_Oil</v>
      </c>
      <c r="O4880" t="str">
        <f t="shared" si="274"/>
        <v>OCGT_Oil_2029</v>
      </c>
      <c r="P4880">
        <f t="shared" si="275"/>
        <v>23.2</v>
      </c>
    </row>
    <row r="4881" spans="4:16" x14ac:dyDescent="0.25">
      <c r="D4881">
        <v>2030</v>
      </c>
      <c r="E4881" t="s">
        <v>499</v>
      </c>
      <c r="F4881" t="s">
        <v>505</v>
      </c>
      <c r="G4881">
        <v>23.2</v>
      </c>
      <c r="I4881">
        <f t="shared" si="276"/>
        <v>0</v>
      </c>
      <c r="J4881">
        <f t="shared" si="276"/>
        <v>0</v>
      </c>
      <c r="K4881">
        <f t="shared" si="276"/>
        <v>0</v>
      </c>
      <c r="M4881" t="str" cm="1">
        <f t="array" ref="M4881">IFERROR(INDEX($I$2:$K$2,0,MATCH(TRUE,I4881:K4881,0)),E4881)</f>
        <v>OCGT_Oil</v>
      </c>
      <c r="O4881" t="str">
        <f t="shared" si="274"/>
        <v>OCGT_Oil_2030</v>
      </c>
      <c r="P4881">
        <f t="shared" si="275"/>
        <v>23.2</v>
      </c>
    </row>
    <row r="4882" spans="4:16" x14ac:dyDescent="0.25">
      <c r="D4882">
        <v>2031</v>
      </c>
      <c r="E4882" t="s">
        <v>499</v>
      </c>
      <c r="F4882" t="s">
        <v>505</v>
      </c>
      <c r="G4882">
        <v>23.2</v>
      </c>
      <c r="I4882">
        <f t="shared" si="276"/>
        <v>0</v>
      </c>
      <c r="J4882">
        <f t="shared" si="276"/>
        <v>0</v>
      </c>
      <c r="K4882">
        <f t="shared" si="276"/>
        <v>0</v>
      </c>
      <c r="M4882" t="str" cm="1">
        <f t="array" ref="M4882">IFERROR(INDEX($I$2:$K$2,0,MATCH(TRUE,I4882:K4882,0)),E4882)</f>
        <v>OCGT_Oil</v>
      </c>
      <c r="O4882" t="str">
        <f t="shared" si="274"/>
        <v>OCGT_Oil_2031</v>
      </c>
      <c r="P4882">
        <f t="shared" si="275"/>
        <v>23.2</v>
      </c>
    </row>
    <row r="4883" spans="4:16" x14ac:dyDescent="0.25">
      <c r="D4883">
        <v>2021</v>
      </c>
      <c r="E4883" t="s">
        <v>499</v>
      </c>
      <c r="F4883" t="s">
        <v>506</v>
      </c>
      <c r="G4883">
        <v>23.2</v>
      </c>
      <c r="I4883">
        <f t="shared" si="276"/>
        <v>0</v>
      </c>
      <c r="J4883">
        <f t="shared" si="276"/>
        <v>0</v>
      </c>
      <c r="K4883">
        <f t="shared" si="276"/>
        <v>0</v>
      </c>
      <c r="M4883" t="str" cm="1">
        <f t="array" ref="M4883">IFERROR(INDEX($I$2:$K$2,0,MATCH(TRUE,I4883:K4883,0)),E4883)</f>
        <v>OCGT_Oil</v>
      </c>
      <c r="O4883" t="str">
        <f t="shared" ref="O4883:O4946" si="277">M4883&amp;"_"&amp;D4883</f>
        <v>OCGT_Oil_2021</v>
      </c>
      <c r="P4883">
        <f t="shared" ref="P4883:P4946" si="278">G4883</f>
        <v>23.2</v>
      </c>
    </row>
    <row r="4884" spans="4:16" x14ac:dyDescent="0.25">
      <c r="D4884">
        <v>2022</v>
      </c>
      <c r="E4884" t="s">
        <v>499</v>
      </c>
      <c r="F4884" t="s">
        <v>506</v>
      </c>
      <c r="G4884">
        <v>23.2</v>
      </c>
      <c r="I4884">
        <f t="shared" si="276"/>
        <v>0</v>
      </c>
      <c r="J4884">
        <f t="shared" si="276"/>
        <v>0</v>
      </c>
      <c r="K4884">
        <f t="shared" si="276"/>
        <v>0</v>
      </c>
      <c r="M4884" t="str" cm="1">
        <f t="array" ref="M4884">IFERROR(INDEX($I$2:$K$2,0,MATCH(TRUE,I4884:K4884,0)),E4884)</f>
        <v>OCGT_Oil</v>
      </c>
      <c r="O4884" t="str">
        <f t="shared" si="277"/>
        <v>OCGT_Oil_2022</v>
      </c>
      <c r="P4884">
        <f t="shared" si="278"/>
        <v>23.2</v>
      </c>
    </row>
    <row r="4885" spans="4:16" x14ac:dyDescent="0.25">
      <c r="D4885">
        <v>2023</v>
      </c>
      <c r="E4885" t="s">
        <v>499</v>
      </c>
      <c r="F4885" t="s">
        <v>506</v>
      </c>
      <c r="G4885">
        <v>23.2</v>
      </c>
      <c r="I4885">
        <f t="shared" ref="I4885:K4948" si="279">IFERROR(FIND(I$2,$E4885,1)&gt;0,0)</f>
        <v>0</v>
      </c>
      <c r="J4885">
        <f t="shared" si="279"/>
        <v>0</v>
      </c>
      <c r="K4885">
        <f t="shared" si="279"/>
        <v>0</v>
      </c>
      <c r="M4885" t="str" cm="1">
        <f t="array" ref="M4885">IFERROR(INDEX($I$2:$K$2,0,MATCH(TRUE,I4885:K4885,0)),E4885)</f>
        <v>OCGT_Oil</v>
      </c>
      <c r="O4885" t="str">
        <f t="shared" si="277"/>
        <v>OCGT_Oil_2023</v>
      </c>
      <c r="P4885">
        <f t="shared" si="278"/>
        <v>23.2</v>
      </c>
    </row>
    <row r="4886" spans="4:16" x14ac:dyDescent="0.25">
      <c r="D4886">
        <v>2024</v>
      </c>
      <c r="E4886" t="s">
        <v>499</v>
      </c>
      <c r="F4886" t="s">
        <v>506</v>
      </c>
      <c r="G4886">
        <v>23.2</v>
      </c>
      <c r="I4886">
        <f t="shared" si="279"/>
        <v>0</v>
      </c>
      <c r="J4886">
        <f t="shared" si="279"/>
        <v>0</v>
      </c>
      <c r="K4886">
        <f t="shared" si="279"/>
        <v>0</v>
      </c>
      <c r="M4886" t="str" cm="1">
        <f t="array" ref="M4886">IFERROR(INDEX($I$2:$K$2,0,MATCH(TRUE,I4886:K4886,0)),E4886)</f>
        <v>OCGT_Oil</v>
      </c>
      <c r="O4886" t="str">
        <f t="shared" si="277"/>
        <v>OCGT_Oil_2024</v>
      </c>
      <c r="P4886">
        <f t="shared" si="278"/>
        <v>23.2</v>
      </c>
    </row>
    <row r="4887" spans="4:16" x14ac:dyDescent="0.25">
      <c r="D4887">
        <v>2025</v>
      </c>
      <c r="E4887" t="s">
        <v>499</v>
      </c>
      <c r="F4887" t="s">
        <v>506</v>
      </c>
      <c r="G4887">
        <v>23.2</v>
      </c>
      <c r="I4887">
        <f t="shared" si="279"/>
        <v>0</v>
      </c>
      <c r="J4887">
        <f t="shared" si="279"/>
        <v>0</v>
      </c>
      <c r="K4887">
        <f t="shared" si="279"/>
        <v>0</v>
      </c>
      <c r="M4887" t="str" cm="1">
        <f t="array" ref="M4887">IFERROR(INDEX($I$2:$K$2,0,MATCH(TRUE,I4887:K4887,0)),E4887)</f>
        <v>OCGT_Oil</v>
      </c>
      <c r="O4887" t="str">
        <f t="shared" si="277"/>
        <v>OCGT_Oil_2025</v>
      </c>
      <c r="P4887">
        <f t="shared" si="278"/>
        <v>23.2</v>
      </c>
    </row>
    <row r="4888" spans="4:16" x14ac:dyDescent="0.25">
      <c r="D4888">
        <v>2026</v>
      </c>
      <c r="E4888" t="s">
        <v>499</v>
      </c>
      <c r="F4888" t="s">
        <v>506</v>
      </c>
      <c r="G4888">
        <v>23.2</v>
      </c>
      <c r="I4888">
        <f t="shared" si="279"/>
        <v>0</v>
      </c>
      <c r="J4888">
        <f t="shared" si="279"/>
        <v>0</v>
      </c>
      <c r="K4888">
        <f t="shared" si="279"/>
        <v>0</v>
      </c>
      <c r="M4888" t="str" cm="1">
        <f t="array" ref="M4888">IFERROR(INDEX($I$2:$K$2,0,MATCH(TRUE,I4888:K4888,0)),E4888)</f>
        <v>OCGT_Oil</v>
      </c>
      <c r="O4888" t="str">
        <f t="shared" si="277"/>
        <v>OCGT_Oil_2026</v>
      </c>
      <c r="P4888">
        <f t="shared" si="278"/>
        <v>23.2</v>
      </c>
    </row>
    <row r="4889" spans="4:16" x14ac:dyDescent="0.25">
      <c r="D4889">
        <v>2027</v>
      </c>
      <c r="E4889" t="s">
        <v>499</v>
      </c>
      <c r="F4889" t="s">
        <v>506</v>
      </c>
      <c r="G4889">
        <v>23.2</v>
      </c>
      <c r="I4889">
        <f t="shared" si="279"/>
        <v>0</v>
      </c>
      <c r="J4889">
        <f t="shared" si="279"/>
        <v>0</v>
      </c>
      <c r="K4889">
        <f t="shared" si="279"/>
        <v>0</v>
      </c>
      <c r="M4889" t="str" cm="1">
        <f t="array" ref="M4889">IFERROR(INDEX($I$2:$K$2,0,MATCH(TRUE,I4889:K4889,0)),E4889)</f>
        <v>OCGT_Oil</v>
      </c>
      <c r="O4889" t="str">
        <f t="shared" si="277"/>
        <v>OCGT_Oil_2027</v>
      </c>
      <c r="P4889">
        <f t="shared" si="278"/>
        <v>23.2</v>
      </c>
    </row>
    <row r="4890" spans="4:16" x14ac:dyDescent="0.25">
      <c r="D4890">
        <v>2028</v>
      </c>
      <c r="E4890" t="s">
        <v>499</v>
      </c>
      <c r="F4890" t="s">
        <v>506</v>
      </c>
      <c r="G4890">
        <v>23.2</v>
      </c>
      <c r="I4890">
        <f t="shared" si="279"/>
        <v>0</v>
      </c>
      <c r="J4890">
        <f t="shared" si="279"/>
        <v>0</v>
      </c>
      <c r="K4890">
        <f t="shared" si="279"/>
        <v>0</v>
      </c>
      <c r="M4890" t="str" cm="1">
        <f t="array" ref="M4890">IFERROR(INDEX($I$2:$K$2,0,MATCH(TRUE,I4890:K4890,0)),E4890)</f>
        <v>OCGT_Oil</v>
      </c>
      <c r="O4890" t="str">
        <f t="shared" si="277"/>
        <v>OCGT_Oil_2028</v>
      </c>
      <c r="P4890">
        <f t="shared" si="278"/>
        <v>23.2</v>
      </c>
    </row>
    <row r="4891" spans="4:16" x14ac:dyDescent="0.25">
      <c r="D4891">
        <v>2029</v>
      </c>
      <c r="E4891" t="s">
        <v>499</v>
      </c>
      <c r="F4891" t="s">
        <v>506</v>
      </c>
      <c r="G4891">
        <v>23.2</v>
      </c>
      <c r="I4891">
        <f t="shared" si="279"/>
        <v>0</v>
      </c>
      <c r="J4891">
        <f t="shared" si="279"/>
        <v>0</v>
      </c>
      <c r="K4891">
        <f t="shared" si="279"/>
        <v>0</v>
      </c>
      <c r="M4891" t="str" cm="1">
        <f t="array" ref="M4891">IFERROR(INDEX($I$2:$K$2,0,MATCH(TRUE,I4891:K4891,0)),E4891)</f>
        <v>OCGT_Oil</v>
      </c>
      <c r="O4891" t="str">
        <f t="shared" si="277"/>
        <v>OCGT_Oil_2029</v>
      </c>
      <c r="P4891">
        <f t="shared" si="278"/>
        <v>23.2</v>
      </c>
    </row>
    <row r="4892" spans="4:16" x14ac:dyDescent="0.25">
      <c r="D4892">
        <v>2030</v>
      </c>
      <c r="E4892" t="s">
        <v>499</v>
      </c>
      <c r="F4892" t="s">
        <v>506</v>
      </c>
      <c r="G4892">
        <v>23.2</v>
      </c>
      <c r="I4892">
        <f t="shared" si="279"/>
        <v>0</v>
      </c>
      <c r="J4892">
        <f t="shared" si="279"/>
        <v>0</v>
      </c>
      <c r="K4892">
        <f t="shared" si="279"/>
        <v>0</v>
      </c>
      <c r="M4892" t="str" cm="1">
        <f t="array" ref="M4892">IFERROR(INDEX($I$2:$K$2,0,MATCH(TRUE,I4892:K4892,0)),E4892)</f>
        <v>OCGT_Oil</v>
      </c>
      <c r="O4892" t="str">
        <f t="shared" si="277"/>
        <v>OCGT_Oil_2030</v>
      </c>
      <c r="P4892">
        <f t="shared" si="278"/>
        <v>23.2</v>
      </c>
    </row>
    <row r="4893" spans="4:16" x14ac:dyDescent="0.25">
      <c r="D4893">
        <v>2031</v>
      </c>
      <c r="E4893" t="s">
        <v>499</v>
      </c>
      <c r="F4893" t="s">
        <v>506</v>
      </c>
      <c r="G4893">
        <v>23.2</v>
      </c>
      <c r="I4893">
        <f t="shared" si="279"/>
        <v>0</v>
      </c>
      <c r="J4893">
        <f t="shared" si="279"/>
        <v>0</v>
      </c>
      <c r="K4893">
        <f t="shared" si="279"/>
        <v>0</v>
      </c>
      <c r="M4893" t="str" cm="1">
        <f t="array" ref="M4893">IFERROR(INDEX($I$2:$K$2,0,MATCH(TRUE,I4893:K4893,0)),E4893)</f>
        <v>OCGT_Oil</v>
      </c>
      <c r="O4893" t="str">
        <f t="shared" si="277"/>
        <v>OCGT_Oil_2031</v>
      </c>
      <c r="P4893">
        <f t="shared" si="278"/>
        <v>23.2</v>
      </c>
    </row>
    <row r="4894" spans="4:16" x14ac:dyDescent="0.25">
      <c r="D4894">
        <v>2021</v>
      </c>
      <c r="E4894" t="s">
        <v>499</v>
      </c>
      <c r="F4894" t="s">
        <v>507</v>
      </c>
      <c r="G4894">
        <v>23.2</v>
      </c>
      <c r="I4894">
        <f t="shared" si="279"/>
        <v>0</v>
      </c>
      <c r="J4894">
        <f t="shared" si="279"/>
        <v>0</v>
      </c>
      <c r="K4894">
        <f t="shared" si="279"/>
        <v>0</v>
      </c>
      <c r="M4894" t="str" cm="1">
        <f t="array" ref="M4894">IFERROR(INDEX($I$2:$K$2,0,MATCH(TRUE,I4894:K4894,0)),E4894)</f>
        <v>OCGT_Oil</v>
      </c>
      <c r="O4894" t="str">
        <f t="shared" si="277"/>
        <v>OCGT_Oil_2021</v>
      </c>
      <c r="P4894">
        <f t="shared" si="278"/>
        <v>23.2</v>
      </c>
    </row>
    <row r="4895" spans="4:16" x14ac:dyDescent="0.25">
      <c r="D4895">
        <v>2022</v>
      </c>
      <c r="E4895" t="s">
        <v>499</v>
      </c>
      <c r="F4895" t="s">
        <v>507</v>
      </c>
      <c r="G4895">
        <v>23.2</v>
      </c>
      <c r="I4895">
        <f t="shared" si="279"/>
        <v>0</v>
      </c>
      <c r="J4895">
        <f t="shared" si="279"/>
        <v>0</v>
      </c>
      <c r="K4895">
        <f t="shared" si="279"/>
        <v>0</v>
      </c>
      <c r="M4895" t="str" cm="1">
        <f t="array" ref="M4895">IFERROR(INDEX($I$2:$K$2,0,MATCH(TRUE,I4895:K4895,0)),E4895)</f>
        <v>OCGT_Oil</v>
      </c>
      <c r="O4895" t="str">
        <f t="shared" si="277"/>
        <v>OCGT_Oil_2022</v>
      </c>
      <c r="P4895">
        <f t="shared" si="278"/>
        <v>23.2</v>
      </c>
    </row>
    <row r="4896" spans="4:16" x14ac:dyDescent="0.25">
      <c r="D4896">
        <v>2023</v>
      </c>
      <c r="E4896" t="s">
        <v>499</v>
      </c>
      <c r="F4896" t="s">
        <v>507</v>
      </c>
      <c r="G4896">
        <v>23.2</v>
      </c>
      <c r="I4896">
        <f t="shared" si="279"/>
        <v>0</v>
      </c>
      <c r="J4896">
        <f t="shared" si="279"/>
        <v>0</v>
      </c>
      <c r="K4896">
        <f t="shared" si="279"/>
        <v>0</v>
      </c>
      <c r="M4896" t="str" cm="1">
        <f t="array" ref="M4896">IFERROR(INDEX($I$2:$K$2,0,MATCH(TRUE,I4896:K4896,0)),E4896)</f>
        <v>OCGT_Oil</v>
      </c>
      <c r="O4896" t="str">
        <f t="shared" si="277"/>
        <v>OCGT_Oil_2023</v>
      </c>
      <c r="P4896">
        <f t="shared" si="278"/>
        <v>23.2</v>
      </c>
    </row>
    <row r="4897" spans="4:16" x14ac:dyDescent="0.25">
      <c r="D4897">
        <v>2024</v>
      </c>
      <c r="E4897" t="s">
        <v>499</v>
      </c>
      <c r="F4897" t="s">
        <v>507</v>
      </c>
      <c r="G4897">
        <v>23.2</v>
      </c>
      <c r="I4897">
        <f t="shared" si="279"/>
        <v>0</v>
      </c>
      <c r="J4897">
        <f t="shared" si="279"/>
        <v>0</v>
      </c>
      <c r="K4897">
        <f t="shared" si="279"/>
        <v>0</v>
      </c>
      <c r="M4897" t="str" cm="1">
        <f t="array" ref="M4897">IFERROR(INDEX($I$2:$K$2,0,MATCH(TRUE,I4897:K4897,0)),E4897)</f>
        <v>OCGT_Oil</v>
      </c>
      <c r="O4897" t="str">
        <f t="shared" si="277"/>
        <v>OCGT_Oil_2024</v>
      </c>
      <c r="P4897">
        <f t="shared" si="278"/>
        <v>23.2</v>
      </c>
    </row>
    <row r="4898" spans="4:16" x14ac:dyDescent="0.25">
      <c r="D4898">
        <v>2025</v>
      </c>
      <c r="E4898" t="s">
        <v>499</v>
      </c>
      <c r="F4898" t="s">
        <v>507</v>
      </c>
      <c r="G4898">
        <v>23.2</v>
      </c>
      <c r="I4898">
        <f t="shared" si="279"/>
        <v>0</v>
      </c>
      <c r="J4898">
        <f t="shared" si="279"/>
        <v>0</v>
      </c>
      <c r="K4898">
        <f t="shared" si="279"/>
        <v>0</v>
      </c>
      <c r="M4898" t="str" cm="1">
        <f t="array" ref="M4898">IFERROR(INDEX($I$2:$K$2,0,MATCH(TRUE,I4898:K4898,0)),E4898)</f>
        <v>OCGT_Oil</v>
      </c>
      <c r="O4898" t="str">
        <f t="shared" si="277"/>
        <v>OCGT_Oil_2025</v>
      </c>
      <c r="P4898">
        <f t="shared" si="278"/>
        <v>23.2</v>
      </c>
    </row>
    <row r="4899" spans="4:16" x14ac:dyDescent="0.25">
      <c r="D4899">
        <v>2026</v>
      </c>
      <c r="E4899" t="s">
        <v>499</v>
      </c>
      <c r="F4899" t="s">
        <v>507</v>
      </c>
      <c r="G4899">
        <v>23.2</v>
      </c>
      <c r="I4899">
        <f t="shared" si="279"/>
        <v>0</v>
      </c>
      <c r="J4899">
        <f t="shared" si="279"/>
        <v>0</v>
      </c>
      <c r="K4899">
        <f t="shared" si="279"/>
        <v>0</v>
      </c>
      <c r="M4899" t="str" cm="1">
        <f t="array" ref="M4899">IFERROR(INDEX($I$2:$K$2,0,MATCH(TRUE,I4899:K4899,0)),E4899)</f>
        <v>OCGT_Oil</v>
      </c>
      <c r="O4899" t="str">
        <f t="shared" si="277"/>
        <v>OCGT_Oil_2026</v>
      </c>
      <c r="P4899">
        <f t="shared" si="278"/>
        <v>23.2</v>
      </c>
    </row>
    <row r="4900" spans="4:16" x14ac:dyDescent="0.25">
      <c r="D4900">
        <v>2027</v>
      </c>
      <c r="E4900" t="s">
        <v>499</v>
      </c>
      <c r="F4900" t="s">
        <v>507</v>
      </c>
      <c r="G4900">
        <v>23.2</v>
      </c>
      <c r="I4900">
        <f t="shared" si="279"/>
        <v>0</v>
      </c>
      <c r="J4900">
        <f t="shared" si="279"/>
        <v>0</v>
      </c>
      <c r="K4900">
        <f t="shared" si="279"/>
        <v>0</v>
      </c>
      <c r="M4900" t="str" cm="1">
        <f t="array" ref="M4900">IFERROR(INDEX($I$2:$K$2,0,MATCH(TRUE,I4900:K4900,0)),E4900)</f>
        <v>OCGT_Oil</v>
      </c>
      <c r="O4900" t="str">
        <f t="shared" si="277"/>
        <v>OCGT_Oil_2027</v>
      </c>
      <c r="P4900">
        <f t="shared" si="278"/>
        <v>23.2</v>
      </c>
    </row>
    <row r="4901" spans="4:16" x14ac:dyDescent="0.25">
      <c r="D4901">
        <v>2028</v>
      </c>
      <c r="E4901" t="s">
        <v>499</v>
      </c>
      <c r="F4901" t="s">
        <v>507</v>
      </c>
      <c r="G4901">
        <v>23.2</v>
      </c>
      <c r="I4901">
        <f t="shared" si="279"/>
        <v>0</v>
      </c>
      <c r="J4901">
        <f t="shared" si="279"/>
        <v>0</v>
      </c>
      <c r="K4901">
        <f t="shared" si="279"/>
        <v>0</v>
      </c>
      <c r="M4901" t="str" cm="1">
        <f t="array" ref="M4901">IFERROR(INDEX($I$2:$K$2,0,MATCH(TRUE,I4901:K4901,0)),E4901)</f>
        <v>OCGT_Oil</v>
      </c>
      <c r="O4901" t="str">
        <f t="shared" si="277"/>
        <v>OCGT_Oil_2028</v>
      </c>
      <c r="P4901">
        <f t="shared" si="278"/>
        <v>23.2</v>
      </c>
    </row>
    <row r="4902" spans="4:16" x14ac:dyDescent="0.25">
      <c r="D4902">
        <v>2029</v>
      </c>
      <c r="E4902" t="s">
        <v>499</v>
      </c>
      <c r="F4902" t="s">
        <v>507</v>
      </c>
      <c r="G4902">
        <v>23.2</v>
      </c>
      <c r="I4902">
        <f t="shared" si="279"/>
        <v>0</v>
      </c>
      <c r="J4902">
        <f t="shared" si="279"/>
        <v>0</v>
      </c>
      <c r="K4902">
        <f t="shared" si="279"/>
        <v>0</v>
      </c>
      <c r="M4902" t="str" cm="1">
        <f t="array" ref="M4902">IFERROR(INDEX($I$2:$K$2,0,MATCH(TRUE,I4902:K4902,0)),E4902)</f>
        <v>OCGT_Oil</v>
      </c>
      <c r="O4902" t="str">
        <f t="shared" si="277"/>
        <v>OCGT_Oil_2029</v>
      </c>
      <c r="P4902">
        <f t="shared" si="278"/>
        <v>23.2</v>
      </c>
    </row>
    <row r="4903" spans="4:16" x14ac:dyDescent="0.25">
      <c r="D4903">
        <v>2030</v>
      </c>
      <c r="E4903" t="s">
        <v>499</v>
      </c>
      <c r="F4903" t="s">
        <v>507</v>
      </c>
      <c r="G4903">
        <v>23.2</v>
      </c>
      <c r="I4903">
        <f t="shared" si="279"/>
        <v>0</v>
      </c>
      <c r="J4903">
        <f t="shared" si="279"/>
        <v>0</v>
      </c>
      <c r="K4903">
        <f t="shared" si="279"/>
        <v>0</v>
      </c>
      <c r="M4903" t="str" cm="1">
        <f t="array" ref="M4903">IFERROR(INDEX($I$2:$K$2,0,MATCH(TRUE,I4903:K4903,0)),E4903)</f>
        <v>OCGT_Oil</v>
      </c>
      <c r="O4903" t="str">
        <f t="shared" si="277"/>
        <v>OCGT_Oil_2030</v>
      </c>
      <c r="P4903">
        <f t="shared" si="278"/>
        <v>23.2</v>
      </c>
    </row>
    <row r="4904" spans="4:16" x14ac:dyDescent="0.25">
      <c r="D4904">
        <v>2031</v>
      </c>
      <c r="E4904" t="s">
        <v>499</v>
      </c>
      <c r="F4904" t="s">
        <v>507</v>
      </c>
      <c r="G4904">
        <v>23.2</v>
      </c>
      <c r="I4904">
        <f t="shared" si="279"/>
        <v>0</v>
      </c>
      <c r="J4904">
        <f t="shared" si="279"/>
        <v>0</v>
      </c>
      <c r="K4904">
        <f t="shared" si="279"/>
        <v>0</v>
      </c>
      <c r="M4904" t="str" cm="1">
        <f t="array" ref="M4904">IFERROR(INDEX($I$2:$K$2,0,MATCH(TRUE,I4904:K4904,0)),E4904)</f>
        <v>OCGT_Oil</v>
      </c>
      <c r="O4904" t="str">
        <f t="shared" si="277"/>
        <v>OCGT_Oil_2031</v>
      </c>
      <c r="P4904">
        <f t="shared" si="278"/>
        <v>23.2</v>
      </c>
    </row>
    <row r="4905" spans="4:16" x14ac:dyDescent="0.25">
      <c r="D4905">
        <v>2021</v>
      </c>
      <c r="E4905" t="s">
        <v>499</v>
      </c>
      <c r="F4905" t="s">
        <v>508</v>
      </c>
      <c r="G4905">
        <v>60</v>
      </c>
      <c r="I4905">
        <f t="shared" si="279"/>
        <v>0</v>
      </c>
      <c r="J4905">
        <f t="shared" si="279"/>
        <v>0</v>
      </c>
      <c r="K4905">
        <f t="shared" si="279"/>
        <v>0</v>
      </c>
      <c r="M4905" t="str" cm="1">
        <f t="array" ref="M4905">IFERROR(INDEX($I$2:$K$2,0,MATCH(TRUE,I4905:K4905,0)),E4905)</f>
        <v>OCGT_Oil</v>
      </c>
      <c r="O4905" t="str">
        <f t="shared" si="277"/>
        <v>OCGT_Oil_2021</v>
      </c>
      <c r="P4905">
        <f t="shared" si="278"/>
        <v>60</v>
      </c>
    </row>
    <row r="4906" spans="4:16" x14ac:dyDescent="0.25">
      <c r="D4906">
        <v>2022</v>
      </c>
      <c r="E4906" t="s">
        <v>499</v>
      </c>
      <c r="F4906" t="s">
        <v>508</v>
      </c>
      <c r="G4906">
        <v>60</v>
      </c>
      <c r="I4906">
        <f t="shared" si="279"/>
        <v>0</v>
      </c>
      <c r="J4906">
        <f t="shared" si="279"/>
        <v>0</v>
      </c>
      <c r="K4906">
        <f t="shared" si="279"/>
        <v>0</v>
      </c>
      <c r="M4906" t="str" cm="1">
        <f t="array" ref="M4906">IFERROR(INDEX($I$2:$K$2,0,MATCH(TRUE,I4906:K4906,0)),E4906)</f>
        <v>OCGT_Oil</v>
      </c>
      <c r="O4906" t="str">
        <f t="shared" si="277"/>
        <v>OCGT_Oil_2022</v>
      </c>
      <c r="P4906">
        <f t="shared" si="278"/>
        <v>60</v>
      </c>
    </row>
    <row r="4907" spans="4:16" x14ac:dyDescent="0.25">
      <c r="D4907">
        <v>2023</v>
      </c>
      <c r="E4907" t="s">
        <v>499</v>
      </c>
      <c r="F4907" t="s">
        <v>508</v>
      </c>
      <c r="G4907">
        <v>60</v>
      </c>
      <c r="I4907">
        <f t="shared" si="279"/>
        <v>0</v>
      </c>
      <c r="J4907">
        <f t="shared" si="279"/>
        <v>0</v>
      </c>
      <c r="K4907">
        <f t="shared" si="279"/>
        <v>0</v>
      </c>
      <c r="M4907" t="str" cm="1">
        <f t="array" ref="M4907">IFERROR(INDEX($I$2:$K$2,0,MATCH(TRUE,I4907:K4907,0)),E4907)</f>
        <v>OCGT_Oil</v>
      </c>
      <c r="O4907" t="str">
        <f t="shared" si="277"/>
        <v>OCGT_Oil_2023</v>
      </c>
      <c r="P4907">
        <f t="shared" si="278"/>
        <v>60</v>
      </c>
    </row>
    <row r="4908" spans="4:16" x14ac:dyDescent="0.25">
      <c r="D4908">
        <v>2024</v>
      </c>
      <c r="E4908" t="s">
        <v>499</v>
      </c>
      <c r="F4908" t="s">
        <v>508</v>
      </c>
      <c r="G4908">
        <v>60</v>
      </c>
      <c r="I4908">
        <f t="shared" si="279"/>
        <v>0</v>
      </c>
      <c r="J4908">
        <f t="shared" si="279"/>
        <v>0</v>
      </c>
      <c r="K4908">
        <f t="shared" si="279"/>
        <v>0</v>
      </c>
      <c r="M4908" t="str" cm="1">
        <f t="array" ref="M4908">IFERROR(INDEX($I$2:$K$2,0,MATCH(TRUE,I4908:K4908,0)),E4908)</f>
        <v>OCGT_Oil</v>
      </c>
      <c r="O4908" t="str">
        <f t="shared" si="277"/>
        <v>OCGT_Oil_2024</v>
      </c>
      <c r="P4908">
        <f t="shared" si="278"/>
        <v>60</v>
      </c>
    </row>
    <row r="4909" spans="4:16" x14ac:dyDescent="0.25">
      <c r="D4909">
        <v>2025</v>
      </c>
      <c r="E4909" t="s">
        <v>499</v>
      </c>
      <c r="F4909" t="s">
        <v>508</v>
      </c>
      <c r="G4909">
        <v>60</v>
      </c>
      <c r="I4909">
        <f t="shared" si="279"/>
        <v>0</v>
      </c>
      <c r="J4909">
        <f t="shared" si="279"/>
        <v>0</v>
      </c>
      <c r="K4909">
        <f t="shared" si="279"/>
        <v>0</v>
      </c>
      <c r="M4909" t="str" cm="1">
        <f t="array" ref="M4909">IFERROR(INDEX($I$2:$K$2,0,MATCH(TRUE,I4909:K4909,0)),E4909)</f>
        <v>OCGT_Oil</v>
      </c>
      <c r="O4909" t="str">
        <f t="shared" si="277"/>
        <v>OCGT_Oil_2025</v>
      </c>
      <c r="P4909">
        <f t="shared" si="278"/>
        <v>60</v>
      </c>
    </row>
    <row r="4910" spans="4:16" x14ac:dyDescent="0.25">
      <c r="D4910">
        <v>2026</v>
      </c>
      <c r="E4910" t="s">
        <v>499</v>
      </c>
      <c r="F4910" t="s">
        <v>508</v>
      </c>
      <c r="G4910">
        <v>60</v>
      </c>
      <c r="I4910">
        <f t="shared" si="279"/>
        <v>0</v>
      </c>
      <c r="J4910">
        <f t="shared" si="279"/>
        <v>0</v>
      </c>
      <c r="K4910">
        <f t="shared" si="279"/>
        <v>0</v>
      </c>
      <c r="M4910" t="str" cm="1">
        <f t="array" ref="M4910">IFERROR(INDEX($I$2:$K$2,0,MATCH(TRUE,I4910:K4910,0)),E4910)</f>
        <v>OCGT_Oil</v>
      </c>
      <c r="O4910" t="str">
        <f t="shared" si="277"/>
        <v>OCGT_Oil_2026</v>
      </c>
      <c r="P4910">
        <f t="shared" si="278"/>
        <v>60</v>
      </c>
    </row>
    <row r="4911" spans="4:16" x14ac:dyDescent="0.25">
      <c r="D4911">
        <v>2027</v>
      </c>
      <c r="E4911" t="s">
        <v>499</v>
      </c>
      <c r="F4911" t="s">
        <v>508</v>
      </c>
      <c r="G4911">
        <v>60</v>
      </c>
      <c r="I4911">
        <f t="shared" si="279"/>
        <v>0</v>
      </c>
      <c r="J4911">
        <f t="shared" si="279"/>
        <v>0</v>
      </c>
      <c r="K4911">
        <f t="shared" si="279"/>
        <v>0</v>
      </c>
      <c r="M4911" t="str" cm="1">
        <f t="array" ref="M4911">IFERROR(INDEX($I$2:$K$2,0,MATCH(TRUE,I4911:K4911,0)),E4911)</f>
        <v>OCGT_Oil</v>
      </c>
      <c r="O4911" t="str">
        <f t="shared" si="277"/>
        <v>OCGT_Oil_2027</v>
      </c>
      <c r="P4911">
        <f t="shared" si="278"/>
        <v>60</v>
      </c>
    </row>
    <row r="4912" spans="4:16" x14ac:dyDescent="0.25">
      <c r="D4912">
        <v>2028</v>
      </c>
      <c r="E4912" t="s">
        <v>499</v>
      </c>
      <c r="F4912" t="s">
        <v>508</v>
      </c>
      <c r="G4912">
        <v>60</v>
      </c>
      <c r="I4912">
        <f t="shared" si="279"/>
        <v>0</v>
      </c>
      <c r="J4912">
        <f t="shared" si="279"/>
        <v>0</v>
      </c>
      <c r="K4912">
        <f t="shared" si="279"/>
        <v>0</v>
      </c>
      <c r="M4912" t="str" cm="1">
        <f t="array" ref="M4912">IFERROR(INDEX($I$2:$K$2,0,MATCH(TRUE,I4912:K4912,0)),E4912)</f>
        <v>OCGT_Oil</v>
      </c>
      <c r="O4912" t="str">
        <f t="shared" si="277"/>
        <v>OCGT_Oil_2028</v>
      </c>
      <c r="P4912">
        <f t="shared" si="278"/>
        <v>60</v>
      </c>
    </row>
    <row r="4913" spans="4:16" x14ac:dyDescent="0.25">
      <c r="D4913">
        <v>2029</v>
      </c>
      <c r="E4913" t="s">
        <v>499</v>
      </c>
      <c r="F4913" t="s">
        <v>508</v>
      </c>
      <c r="G4913">
        <v>60</v>
      </c>
      <c r="I4913">
        <f t="shared" si="279"/>
        <v>0</v>
      </c>
      <c r="J4913">
        <f t="shared" si="279"/>
        <v>0</v>
      </c>
      <c r="K4913">
        <f t="shared" si="279"/>
        <v>0</v>
      </c>
      <c r="M4913" t="str" cm="1">
        <f t="array" ref="M4913">IFERROR(INDEX($I$2:$K$2,0,MATCH(TRUE,I4913:K4913,0)),E4913)</f>
        <v>OCGT_Oil</v>
      </c>
      <c r="O4913" t="str">
        <f t="shared" si="277"/>
        <v>OCGT_Oil_2029</v>
      </c>
      <c r="P4913">
        <f t="shared" si="278"/>
        <v>60</v>
      </c>
    </row>
    <row r="4914" spans="4:16" x14ac:dyDescent="0.25">
      <c r="D4914">
        <v>2030</v>
      </c>
      <c r="E4914" t="s">
        <v>499</v>
      </c>
      <c r="F4914" t="s">
        <v>508</v>
      </c>
      <c r="G4914">
        <v>60</v>
      </c>
      <c r="I4914">
        <f t="shared" si="279"/>
        <v>0</v>
      </c>
      <c r="J4914">
        <f t="shared" si="279"/>
        <v>0</v>
      </c>
      <c r="K4914">
        <f t="shared" si="279"/>
        <v>0</v>
      </c>
      <c r="M4914" t="str" cm="1">
        <f t="array" ref="M4914">IFERROR(INDEX($I$2:$K$2,0,MATCH(TRUE,I4914:K4914,0)),E4914)</f>
        <v>OCGT_Oil</v>
      </c>
      <c r="O4914" t="str">
        <f t="shared" si="277"/>
        <v>OCGT_Oil_2030</v>
      </c>
      <c r="P4914">
        <f t="shared" si="278"/>
        <v>60</v>
      </c>
    </row>
    <row r="4915" spans="4:16" x14ac:dyDescent="0.25">
      <c r="D4915">
        <v>2031</v>
      </c>
      <c r="E4915" t="s">
        <v>499</v>
      </c>
      <c r="F4915" t="s">
        <v>508</v>
      </c>
      <c r="G4915">
        <v>60</v>
      </c>
      <c r="I4915">
        <f t="shared" si="279"/>
        <v>0</v>
      </c>
      <c r="J4915">
        <f t="shared" si="279"/>
        <v>0</v>
      </c>
      <c r="K4915">
        <f t="shared" si="279"/>
        <v>0</v>
      </c>
      <c r="M4915" t="str" cm="1">
        <f t="array" ref="M4915">IFERROR(INDEX($I$2:$K$2,0,MATCH(TRUE,I4915:K4915,0)),E4915)</f>
        <v>OCGT_Oil</v>
      </c>
      <c r="O4915" t="str">
        <f t="shared" si="277"/>
        <v>OCGT_Oil_2031</v>
      </c>
      <c r="P4915">
        <f t="shared" si="278"/>
        <v>60</v>
      </c>
    </row>
    <row r="4916" spans="4:16" x14ac:dyDescent="0.25">
      <c r="D4916">
        <v>2032</v>
      </c>
      <c r="E4916" t="s">
        <v>499</v>
      </c>
      <c r="F4916" t="s">
        <v>508</v>
      </c>
      <c r="G4916">
        <v>60</v>
      </c>
      <c r="I4916">
        <f t="shared" si="279"/>
        <v>0</v>
      </c>
      <c r="J4916">
        <f t="shared" si="279"/>
        <v>0</v>
      </c>
      <c r="K4916">
        <f t="shared" si="279"/>
        <v>0</v>
      </c>
      <c r="M4916" t="str" cm="1">
        <f t="array" ref="M4916">IFERROR(INDEX($I$2:$K$2,0,MATCH(TRUE,I4916:K4916,0)),E4916)</f>
        <v>OCGT_Oil</v>
      </c>
      <c r="O4916" t="str">
        <f t="shared" si="277"/>
        <v>OCGT_Oil_2032</v>
      </c>
      <c r="P4916">
        <f t="shared" si="278"/>
        <v>60</v>
      </c>
    </row>
    <row r="4917" spans="4:16" x14ac:dyDescent="0.25">
      <c r="D4917">
        <v>2033</v>
      </c>
      <c r="E4917" t="s">
        <v>499</v>
      </c>
      <c r="F4917" t="s">
        <v>508</v>
      </c>
      <c r="G4917">
        <v>60</v>
      </c>
      <c r="I4917">
        <f t="shared" si="279"/>
        <v>0</v>
      </c>
      <c r="J4917">
        <f t="shared" si="279"/>
        <v>0</v>
      </c>
      <c r="K4917">
        <f t="shared" si="279"/>
        <v>0</v>
      </c>
      <c r="M4917" t="str" cm="1">
        <f t="array" ref="M4917">IFERROR(INDEX($I$2:$K$2,0,MATCH(TRUE,I4917:K4917,0)),E4917)</f>
        <v>OCGT_Oil</v>
      </c>
      <c r="O4917" t="str">
        <f t="shared" si="277"/>
        <v>OCGT_Oil_2033</v>
      </c>
      <c r="P4917">
        <f t="shared" si="278"/>
        <v>60</v>
      </c>
    </row>
    <row r="4918" spans="4:16" x14ac:dyDescent="0.25">
      <c r="D4918">
        <v>2034</v>
      </c>
      <c r="E4918" t="s">
        <v>499</v>
      </c>
      <c r="F4918" t="s">
        <v>508</v>
      </c>
      <c r="G4918">
        <v>60</v>
      </c>
      <c r="I4918">
        <f t="shared" si="279"/>
        <v>0</v>
      </c>
      <c r="J4918">
        <f t="shared" si="279"/>
        <v>0</v>
      </c>
      <c r="K4918">
        <f t="shared" si="279"/>
        <v>0</v>
      </c>
      <c r="M4918" t="str" cm="1">
        <f t="array" ref="M4918">IFERROR(INDEX($I$2:$K$2,0,MATCH(TRUE,I4918:K4918,0)),E4918)</f>
        <v>OCGT_Oil</v>
      </c>
      <c r="O4918" t="str">
        <f t="shared" si="277"/>
        <v>OCGT_Oil_2034</v>
      </c>
      <c r="P4918">
        <f t="shared" si="278"/>
        <v>60</v>
      </c>
    </row>
    <row r="4919" spans="4:16" x14ac:dyDescent="0.25">
      <c r="D4919">
        <v>2035</v>
      </c>
      <c r="E4919" t="s">
        <v>499</v>
      </c>
      <c r="F4919" t="s">
        <v>508</v>
      </c>
      <c r="G4919">
        <v>60</v>
      </c>
      <c r="I4919">
        <f t="shared" si="279"/>
        <v>0</v>
      </c>
      <c r="J4919">
        <f t="shared" si="279"/>
        <v>0</v>
      </c>
      <c r="K4919">
        <f t="shared" si="279"/>
        <v>0</v>
      </c>
      <c r="M4919" t="str" cm="1">
        <f t="array" ref="M4919">IFERROR(INDEX($I$2:$K$2,0,MATCH(TRUE,I4919:K4919,0)),E4919)</f>
        <v>OCGT_Oil</v>
      </c>
      <c r="O4919" t="str">
        <f t="shared" si="277"/>
        <v>OCGT_Oil_2035</v>
      </c>
      <c r="P4919">
        <f t="shared" si="278"/>
        <v>60</v>
      </c>
    </row>
    <row r="4920" spans="4:16" x14ac:dyDescent="0.25">
      <c r="D4920">
        <v>2036</v>
      </c>
      <c r="E4920" t="s">
        <v>499</v>
      </c>
      <c r="F4920" t="s">
        <v>508</v>
      </c>
      <c r="G4920">
        <v>60</v>
      </c>
      <c r="I4920">
        <f t="shared" si="279"/>
        <v>0</v>
      </c>
      <c r="J4920">
        <f t="shared" si="279"/>
        <v>0</v>
      </c>
      <c r="K4920">
        <f t="shared" si="279"/>
        <v>0</v>
      </c>
      <c r="M4920" t="str" cm="1">
        <f t="array" ref="M4920">IFERROR(INDEX($I$2:$K$2,0,MATCH(TRUE,I4920:K4920,0)),E4920)</f>
        <v>OCGT_Oil</v>
      </c>
      <c r="O4920" t="str">
        <f t="shared" si="277"/>
        <v>OCGT_Oil_2036</v>
      </c>
      <c r="P4920">
        <f t="shared" si="278"/>
        <v>60</v>
      </c>
    </row>
    <row r="4921" spans="4:16" x14ac:dyDescent="0.25">
      <c r="D4921">
        <v>2037</v>
      </c>
      <c r="E4921" t="s">
        <v>499</v>
      </c>
      <c r="F4921" t="s">
        <v>508</v>
      </c>
      <c r="G4921">
        <v>60</v>
      </c>
      <c r="I4921">
        <f t="shared" si="279"/>
        <v>0</v>
      </c>
      <c r="J4921">
        <f t="shared" si="279"/>
        <v>0</v>
      </c>
      <c r="K4921">
        <f t="shared" si="279"/>
        <v>0</v>
      </c>
      <c r="M4921" t="str" cm="1">
        <f t="array" ref="M4921">IFERROR(INDEX($I$2:$K$2,0,MATCH(TRUE,I4921:K4921,0)),E4921)</f>
        <v>OCGT_Oil</v>
      </c>
      <c r="O4921" t="str">
        <f t="shared" si="277"/>
        <v>OCGT_Oil_2037</v>
      </c>
      <c r="P4921">
        <f t="shared" si="278"/>
        <v>60</v>
      </c>
    </row>
    <row r="4922" spans="4:16" x14ac:dyDescent="0.25">
      <c r="D4922">
        <v>2038</v>
      </c>
      <c r="E4922" t="s">
        <v>499</v>
      </c>
      <c r="F4922" t="s">
        <v>508</v>
      </c>
      <c r="G4922">
        <v>60</v>
      </c>
      <c r="I4922">
        <f t="shared" si="279"/>
        <v>0</v>
      </c>
      <c r="J4922">
        <f t="shared" si="279"/>
        <v>0</v>
      </c>
      <c r="K4922">
        <f t="shared" si="279"/>
        <v>0</v>
      </c>
      <c r="M4922" t="str" cm="1">
        <f t="array" ref="M4922">IFERROR(INDEX($I$2:$K$2,0,MATCH(TRUE,I4922:K4922,0)),E4922)</f>
        <v>OCGT_Oil</v>
      </c>
      <c r="O4922" t="str">
        <f t="shared" si="277"/>
        <v>OCGT_Oil_2038</v>
      </c>
      <c r="P4922">
        <f t="shared" si="278"/>
        <v>60</v>
      </c>
    </row>
    <row r="4923" spans="4:16" x14ac:dyDescent="0.25">
      <c r="D4923">
        <v>2039</v>
      </c>
      <c r="E4923" t="s">
        <v>499</v>
      </c>
      <c r="F4923" t="s">
        <v>508</v>
      </c>
      <c r="G4923">
        <v>60</v>
      </c>
      <c r="I4923">
        <f t="shared" si="279"/>
        <v>0</v>
      </c>
      <c r="J4923">
        <f t="shared" si="279"/>
        <v>0</v>
      </c>
      <c r="K4923">
        <f t="shared" si="279"/>
        <v>0</v>
      </c>
      <c r="M4923" t="str" cm="1">
        <f t="array" ref="M4923">IFERROR(INDEX($I$2:$K$2,0,MATCH(TRUE,I4923:K4923,0)),E4923)</f>
        <v>OCGT_Oil</v>
      </c>
      <c r="O4923" t="str">
        <f t="shared" si="277"/>
        <v>OCGT_Oil_2039</v>
      </c>
      <c r="P4923">
        <f t="shared" si="278"/>
        <v>60</v>
      </c>
    </row>
    <row r="4924" spans="4:16" x14ac:dyDescent="0.25">
      <c r="D4924">
        <v>2040</v>
      </c>
      <c r="E4924" t="s">
        <v>499</v>
      </c>
      <c r="F4924" t="s">
        <v>508</v>
      </c>
      <c r="G4924">
        <v>60</v>
      </c>
      <c r="I4924">
        <f t="shared" si="279"/>
        <v>0</v>
      </c>
      <c r="J4924">
        <f t="shared" si="279"/>
        <v>0</v>
      </c>
      <c r="K4924">
        <f t="shared" si="279"/>
        <v>0</v>
      </c>
      <c r="M4924" t="str" cm="1">
        <f t="array" ref="M4924">IFERROR(INDEX($I$2:$K$2,0,MATCH(TRUE,I4924:K4924,0)),E4924)</f>
        <v>OCGT_Oil</v>
      </c>
      <c r="O4924" t="str">
        <f t="shared" si="277"/>
        <v>OCGT_Oil_2040</v>
      </c>
      <c r="P4924">
        <f t="shared" si="278"/>
        <v>60</v>
      </c>
    </row>
    <row r="4925" spans="4:16" x14ac:dyDescent="0.25">
      <c r="D4925">
        <v>2021</v>
      </c>
      <c r="E4925" t="s">
        <v>499</v>
      </c>
      <c r="F4925" t="s">
        <v>509</v>
      </c>
      <c r="G4925">
        <v>23.3</v>
      </c>
      <c r="I4925">
        <f t="shared" si="279"/>
        <v>0</v>
      </c>
      <c r="J4925">
        <f t="shared" si="279"/>
        <v>0</v>
      </c>
      <c r="K4925">
        <f t="shared" si="279"/>
        <v>0</v>
      </c>
      <c r="M4925" t="str" cm="1">
        <f t="array" ref="M4925">IFERROR(INDEX($I$2:$K$2,0,MATCH(TRUE,I4925:K4925,0)),E4925)</f>
        <v>OCGT_Oil</v>
      </c>
      <c r="O4925" t="str">
        <f t="shared" si="277"/>
        <v>OCGT_Oil_2021</v>
      </c>
      <c r="P4925">
        <f t="shared" si="278"/>
        <v>23.3</v>
      </c>
    </row>
    <row r="4926" spans="4:16" x14ac:dyDescent="0.25">
      <c r="D4926">
        <v>2022</v>
      </c>
      <c r="E4926" t="s">
        <v>499</v>
      </c>
      <c r="F4926" t="s">
        <v>509</v>
      </c>
      <c r="G4926">
        <v>23.3</v>
      </c>
      <c r="I4926">
        <f t="shared" si="279"/>
        <v>0</v>
      </c>
      <c r="J4926">
        <f t="shared" si="279"/>
        <v>0</v>
      </c>
      <c r="K4926">
        <f t="shared" si="279"/>
        <v>0</v>
      </c>
      <c r="M4926" t="str" cm="1">
        <f t="array" ref="M4926">IFERROR(INDEX($I$2:$K$2,0,MATCH(TRUE,I4926:K4926,0)),E4926)</f>
        <v>OCGT_Oil</v>
      </c>
      <c r="O4926" t="str">
        <f t="shared" si="277"/>
        <v>OCGT_Oil_2022</v>
      </c>
      <c r="P4926">
        <f t="shared" si="278"/>
        <v>23.3</v>
      </c>
    </row>
    <row r="4927" spans="4:16" x14ac:dyDescent="0.25">
      <c r="D4927">
        <v>2023</v>
      </c>
      <c r="E4927" t="s">
        <v>499</v>
      </c>
      <c r="F4927" t="s">
        <v>509</v>
      </c>
      <c r="G4927">
        <v>23.3</v>
      </c>
      <c r="I4927">
        <f t="shared" si="279"/>
        <v>0</v>
      </c>
      <c r="J4927">
        <f t="shared" si="279"/>
        <v>0</v>
      </c>
      <c r="K4927">
        <f t="shared" si="279"/>
        <v>0</v>
      </c>
      <c r="M4927" t="str" cm="1">
        <f t="array" ref="M4927">IFERROR(INDEX($I$2:$K$2,0,MATCH(TRUE,I4927:K4927,0)),E4927)</f>
        <v>OCGT_Oil</v>
      </c>
      <c r="O4927" t="str">
        <f t="shared" si="277"/>
        <v>OCGT_Oil_2023</v>
      </c>
      <c r="P4927">
        <f t="shared" si="278"/>
        <v>23.3</v>
      </c>
    </row>
    <row r="4928" spans="4:16" x14ac:dyDescent="0.25">
      <c r="D4928">
        <v>2021</v>
      </c>
      <c r="E4928" t="s">
        <v>499</v>
      </c>
      <c r="F4928" t="s">
        <v>510</v>
      </c>
      <c r="G4928">
        <v>23.3</v>
      </c>
      <c r="I4928">
        <f t="shared" si="279"/>
        <v>0</v>
      </c>
      <c r="J4928">
        <f t="shared" si="279"/>
        <v>0</v>
      </c>
      <c r="K4928">
        <f t="shared" si="279"/>
        <v>0</v>
      </c>
      <c r="M4928" t="str" cm="1">
        <f t="array" ref="M4928">IFERROR(INDEX($I$2:$K$2,0,MATCH(TRUE,I4928:K4928,0)),E4928)</f>
        <v>OCGT_Oil</v>
      </c>
      <c r="O4928" t="str">
        <f t="shared" si="277"/>
        <v>OCGT_Oil_2021</v>
      </c>
      <c r="P4928">
        <f t="shared" si="278"/>
        <v>23.3</v>
      </c>
    </row>
    <row r="4929" spans="4:16" x14ac:dyDescent="0.25">
      <c r="D4929">
        <v>2022</v>
      </c>
      <c r="E4929" t="s">
        <v>499</v>
      </c>
      <c r="F4929" t="s">
        <v>510</v>
      </c>
      <c r="G4929">
        <v>23.3</v>
      </c>
      <c r="I4929">
        <f t="shared" si="279"/>
        <v>0</v>
      </c>
      <c r="J4929">
        <f t="shared" si="279"/>
        <v>0</v>
      </c>
      <c r="K4929">
        <f t="shared" si="279"/>
        <v>0</v>
      </c>
      <c r="M4929" t="str" cm="1">
        <f t="array" ref="M4929">IFERROR(INDEX($I$2:$K$2,0,MATCH(TRUE,I4929:K4929,0)),E4929)</f>
        <v>OCGT_Oil</v>
      </c>
      <c r="O4929" t="str">
        <f t="shared" si="277"/>
        <v>OCGT_Oil_2022</v>
      </c>
      <c r="P4929">
        <f t="shared" si="278"/>
        <v>23.3</v>
      </c>
    </row>
    <row r="4930" spans="4:16" x14ac:dyDescent="0.25">
      <c r="D4930">
        <v>2023</v>
      </c>
      <c r="E4930" t="s">
        <v>499</v>
      </c>
      <c r="F4930" t="s">
        <v>510</v>
      </c>
      <c r="G4930">
        <v>23.3</v>
      </c>
      <c r="I4930">
        <f t="shared" si="279"/>
        <v>0</v>
      </c>
      <c r="J4930">
        <f t="shared" si="279"/>
        <v>0</v>
      </c>
      <c r="K4930">
        <f t="shared" si="279"/>
        <v>0</v>
      </c>
      <c r="M4930" t="str" cm="1">
        <f t="array" ref="M4930">IFERROR(INDEX($I$2:$K$2,0,MATCH(TRUE,I4930:K4930,0)),E4930)</f>
        <v>OCGT_Oil</v>
      </c>
      <c r="O4930" t="str">
        <f t="shared" si="277"/>
        <v>OCGT_Oil_2023</v>
      </c>
      <c r="P4930">
        <f t="shared" si="278"/>
        <v>23.3</v>
      </c>
    </row>
    <row r="4931" spans="4:16" x14ac:dyDescent="0.25">
      <c r="D4931">
        <v>2021</v>
      </c>
      <c r="E4931" t="s">
        <v>499</v>
      </c>
      <c r="F4931" t="s">
        <v>511</v>
      </c>
      <c r="G4931">
        <v>23.3</v>
      </c>
      <c r="I4931">
        <f t="shared" si="279"/>
        <v>0</v>
      </c>
      <c r="J4931">
        <f t="shared" si="279"/>
        <v>0</v>
      </c>
      <c r="K4931">
        <f t="shared" si="279"/>
        <v>0</v>
      </c>
      <c r="M4931" t="str" cm="1">
        <f t="array" ref="M4931">IFERROR(INDEX($I$2:$K$2,0,MATCH(TRUE,I4931:K4931,0)),E4931)</f>
        <v>OCGT_Oil</v>
      </c>
      <c r="O4931" t="str">
        <f t="shared" si="277"/>
        <v>OCGT_Oil_2021</v>
      </c>
      <c r="P4931">
        <f t="shared" si="278"/>
        <v>23.3</v>
      </c>
    </row>
    <row r="4932" spans="4:16" x14ac:dyDescent="0.25">
      <c r="D4932">
        <v>2022</v>
      </c>
      <c r="E4932" t="s">
        <v>499</v>
      </c>
      <c r="F4932" t="s">
        <v>511</v>
      </c>
      <c r="G4932">
        <v>23.3</v>
      </c>
      <c r="I4932">
        <f t="shared" si="279"/>
        <v>0</v>
      </c>
      <c r="J4932">
        <f t="shared" si="279"/>
        <v>0</v>
      </c>
      <c r="K4932">
        <f t="shared" si="279"/>
        <v>0</v>
      </c>
      <c r="M4932" t="str" cm="1">
        <f t="array" ref="M4932">IFERROR(INDEX($I$2:$K$2,0,MATCH(TRUE,I4932:K4932,0)),E4932)</f>
        <v>OCGT_Oil</v>
      </c>
      <c r="O4932" t="str">
        <f t="shared" si="277"/>
        <v>OCGT_Oil_2022</v>
      </c>
      <c r="P4932">
        <f t="shared" si="278"/>
        <v>23.3</v>
      </c>
    </row>
    <row r="4933" spans="4:16" x14ac:dyDescent="0.25">
      <c r="D4933">
        <v>2023</v>
      </c>
      <c r="E4933" t="s">
        <v>499</v>
      </c>
      <c r="F4933" t="s">
        <v>511</v>
      </c>
      <c r="G4933">
        <v>23.3</v>
      </c>
      <c r="I4933">
        <f t="shared" si="279"/>
        <v>0</v>
      </c>
      <c r="J4933">
        <f t="shared" si="279"/>
        <v>0</v>
      </c>
      <c r="K4933">
        <f t="shared" si="279"/>
        <v>0</v>
      </c>
      <c r="M4933" t="str" cm="1">
        <f t="array" ref="M4933">IFERROR(INDEX($I$2:$K$2,0,MATCH(TRUE,I4933:K4933,0)),E4933)</f>
        <v>OCGT_Oil</v>
      </c>
      <c r="O4933" t="str">
        <f t="shared" si="277"/>
        <v>OCGT_Oil_2023</v>
      </c>
      <c r="P4933">
        <f t="shared" si="278"/>
        <v>23.3</v>
      </c>
    </row>
    <row r="4934" spans="4:16" x14ac:dyDescent="0.25">
      <c r="D4934">
        <v>2021</v>
      </c>
      <c r="E4934" t="s">
        <v>499</v>
      </c>
      <c r="F4934" t="s">
        <v>512</v>
      </c>
      <c r="G4934">
        <v>88</v>
      </c>
      <c r="I4934">
        <f t="shared" si="279"/>
        <v>0</v>
      </c>
      <c r="J4934">
        <f t="shared" si="279"/>
        <v>0</v>
      </c>
      <c r="K4934">
        <f t="shared" si="279"/>
        <v>0</v>
      </c>
      <c r="M4934" t="str" cm="1">
        <f t="array" ref="M4934">IFERROR(INDEX($I$2:$K$2,0,MATCH(TRUE,I4934:K4934,0)),E4934)</f>
        <v>OCGT_Oil</v>
      </c>
      <c r="O4934" t="str">
        <f t="shared" si="277"/>
        <v>OCGT_Oil_2021</v>
      </c>
      <c r="P4934">
        <f t="shared" si="278"/>
        <v>88</v>
      </c>
    </row>
    <row r="4935" spans="4:16" x14ac:dyDescent="0.25">
      <c r="D4935">
        <v>2021</v>
      </c>
      <c r="E4935" t="s">
        <v>499</v>
      </c>
      <c r="F4935" t="s">
        <v>513</v>
      </c>
      <c r="G4935">
        <v>45</v>
      </c>
      <c r="I4935">
        <f t="shared" si="279"/>
        <v>0</v>
      </c>
      <c r="J4935">
        <f t="shared" si="279"/>
        <v>0</v>
      </c>
      <c r="K4935">
        <f t="shared" si="279"/>
        <v>0</v>
      </c>
      <c r="M4935" t="str" cm="1">
        <f t="array" ref="M4935">IFERROR(INDEX($I$2:$K$2,0,MATCH(TRUE,I4935:K4935,0)),E4935)</f>
        <v>OCGT_Oil</v>
      </c>
      <c r="O4935" t="str">
        <f t="shared" si="277"/>
        <v>OCGT_Oil_2021</v>
      </c>
      <c r="P4935">
        <f t="shared" si="278"/>
        <v>45</v>
      </c>
    </row>
    <row r="4936" spans="4:16" x14ac:dyDescent="0.25">
      <c r="D4936">
        <v>2022</v>
      </c>
      <c r="E4936" t="s">
        <v>499</v>
      </c>
      <c r="F4936" t="s">
        <v>513</v>
      </c>
      <c r="G4936">
        <v>45</v>
      </c>
      <c r="I4936">
        <f t="shared" si="279"/>
        <v>0</v>
      </c>
      <c r="J4936">
        <f t="shared" si="279"/>
        <v>0</v>
      </c>
      <c r="K4936">
        <f t="shared" si="279"/>
        <v>0</v>
      </c>
      <c r="M4936" t="str" cm="1">
        <f t="array" ref="M4936">IFERROR(INDEX($I$2:$K$2,0,MATCH(TRUE,I4936:K4936,0)),E4936)</f>
        <v>OCGT_Oil</v>
      </c>
      <c r="O4936" t="str">
        <f t="shared" si="277"/>
        <v>OCGT_Oil_2022</v>
      </c>
      <c r="P4936">
        <f t="shared" si="278"/>
        <v>45</v>
      </c>
    </row>
    <row r="4937" spans="4:16" x14ac:dyDescent="0.25">
      <c r="D4937">
        <v>2023</v>
      </c>
      <c r="E4937" t="s">
        <v>499</v>
      </c>
      <c r="F4937" t="s">
        <v>513</v>
      </c>
      <c r="G4937">
        <v>45</v>
      </c>
      <c r="I4937">
        <f t="shared" si="279"/>
        <v>0</v>
      </c>
      <c r="J4937">
        <f t="shared" si="279"/>
        <v>0</v>
      </c>
      <c r="K4937">
        <f t="shared" si="279"/>
        <v>0</v>
      </c>
      <c r="M4937" t="str" cm="1">
        <f t="array" ref="M4937">IFERROR(INDEX($I$2:$K$2,0,MATCH(TRUE,I4937:K4937,0)),E4937)</f>
        <v>OCGT_Oil</v>
      </c>
      <c r="O4937" t="str">
        <f t="shared" si="277"/>
        <v>OCGT_Oil_2023</v>
      </c>
      <c r="P4937">
        <f t="shared" si="278"/>
        <v>45</v>
      </c>
    </row>
    <row r="4938" spans="4:16" x14ac:dyDescent="0.25">
      <c r="D4938">
        <v>2024</v>
      </c>
      <c r="E4938" t="s">
        <v>499</v>
      </c>
      <c r="F4938" t="s">
        <v>513</v>
      </c>
      <c r="G4938">
        <v>45</v>
      </c>
      <c r="I4938">
        <f t="shared" si="279"/>
        <v>0</v>
      </c>
      <c r="J4938">
        <f t="shared" si="279"/>
        <v>0</v>
      </c>
      <c r="K4938">
        <f t="shared" si="279"/>
        <v>0</v>
      </c>
      <c r="M4938" t="str" cm="1">
        <f t="array" ref="M4938">IFERROR(INDEX($I$2:$K$2,0,MATCH(TRUE,I4938:K4938,0)),E4938)</f>
        <v>OCGT_Oil</v>
      </c>
      <c r="O4938" t="str">
        <f t="shared" si="277"/>
        <v>OCGT_Oil_2024</v>
      </c>
      <c r="P4938">
        <f t="shared" si="278"/>
        <v>45</v>
      </c>
    </row>
    <row r="4939" spans="4:16" x14ac:dyDescent="0.25">
      <c r="D4939">
        <v>2025</v>
      </c>
      <c r="E4939" t="s">
        <v>499</v>
      </c>
      <c r="F4939" t="s">
        <v>513</v>
      </c>
      <c r="G4939">
        <v>45</v>
      </c>
      <c r="I4939">
        <f t="shared" si="279"/>
        <v>0</v>
      </c>
      <c r="J4939">
        <f t="shared" si="279"/>
        <v>0</v>
      </c>
      <c r="K4939">
        <f t="shared" si="279"/>
        <v>0</v>
      </c>
      <c r="M4939" t="str" cm="1">
        <f t="array" ref="M4939">IFERROR(INDEX($I$2:$K$2,0,MATCH(TRUE,I4939:K4939,0)),E4939)</f>
        <v>OCGT_Oil</v>
      </c>
      <c r="O4939" t="str">
        <f t="shared" si="277"/>
        <v>OCGT_Oil_2025</v>
      </c>
      <c r="P4939">
        <f t="shared" si="278"/>
        <v>45</v>
      </c>
    </row>
    <row r="4940" spans="4:16" x14ac:dyDescent="0.25">
      <c r="D4940">
        <v>2026</v>
      </c>
      <c r="E4940" t="s">
        <v>499</v>
      </c>
      <c r="F4940" t="s">
        <v>513</v>
      </c>
      <c r="G4940">
        <v>45</v>
      </c>
      <c r="I4940">
        <f t="shared" si="279"/>
        <v>0</v>
      </c>
      <c r="J4940">
        <f t="shared" si="279"/>
        <v>0</v>
      </c>
      <c r="K4940">
        <f t="shared" si="279"/>
        <v>0</v>
      </c>
      <c r="M4940" t="str" cm="1">
        <f t="array" ref="M4940">IFERROR(INDEX($I$2:$K$2,0,MATCH(TRUE,I4940:K4940,0)),E4940)</f>
        <v>OCGT_Oil</v>
      </c>
      <c r="O4940" t="str">
        <f t="shared" si="277"/>
        <v>OCGT_Oil_2026</v>
      </c>
      <c r="P4940">
        <f t="shared" si="278"/>
        <v>45</v>
      </c>
    </row>
    <row r="4941" spans="4:16" x14ac:dyDescent="0.25">
      <c r="D4941">
        <v>2027</v>
      </c>
      <c r="E4941" t="s">
        <v>499</v>
      </c>
      <c r="F4941" t="s">
        <v>513</v>
      </c>
      <c r="G4941">
        <v>45</v>
      </c>
      <c r="I4941">
        <f t="shared" si="279"/>
        <v>0</v>
      </c>
      <c r="J4941">
        <f t="shared" si="279"/>
        <v>0</v>
      </c>
      <c r="K4941">
        <f t="shared" si="279"/>
        <v>0</v>
      </c>
      <c r="M4941" t="str" cm="1">
        <f t="array" ref="M4941">IFERROR(INDEX($I$2:$K$2,0,MATCH(TRUE,I4941:K4941,0)),E4941)</f>
        <v>OCGT_Oil</v>
      </c>
      <c r="O4941" t="str">
        <f t="shared" si="277"/>
        <v>OCGT_Oil_2027</v>
      </c>
      <c r="P4941">
        <f t="shared" si="278"/>
        <v>45</v>
      </c>
    </row>
    <row r="4942" spans="4:16" x14ac:dyDescent="0.25">
      <c r="D4942">
        <v>2028</v>
      </c>
      <c r="E4942" t="s">
        <v>499</v>
      </c>
      <c r="F4942" t="s">
        <v>513</v>
      </c>
      <c r="G4942">
        <v>45</v>
      </c>
      <c r="I4942">
        <f t="shared" si="279"/>
        <v>0</v>
      </c>
      <c r="J4942">
        <f t="shared" si="279"/>
        <v>0</v>
      </c>
      <c r="K4942">
        <f t="shared" si="279"/>
        <v>0</v>
      </c>
      <c r="M4942" t="str" cm="1">
        <f t="array" ref="M4942">IFERROR(INDEX($I$2:$K$2,0,MATCH(TRUE,I4942:K4942,0)),E4942)</f>
        <v>OCGT_Oil</v>
      </c>
      <c r="O4942" t="str">
        <f t="shared" si="277"/>
        <v>OCGT_Oil_2028</v>
      </c>
      <c r="P4942">
        <f t="shared" si="278"/>
        <v>45</v>
      </c>
    </row>
    <row r="4943" spans="4:16" x14ac:dyDescent="0.25">
      <c r="D4943">
        <v>2029</v>
      </c>
      <c r="E4943" t="s">
        <v>499</v>
      </c>
      <c r="F4943" t="s">
        <v>513</v>
      </c>
      <c r="G4943">
        <v>45</v>
      </c>
      <c r="I4943">
        <f t="shared" si="279"/>
        <v>0</v>
      </c>
      <c r="J4943">
        <f t="shared" si="279"/>
        <v>0</v>
      </c>
      <c r="K4943">
        <f t="shared" si="279"/>
        <v>0</v>
      </c>
      <c r="M4943" t="str" cm="1">
        <f t="array" ref="M4943">IFERROR(INDEX($I$2:$K$2,0,MATCH(TRUE,I4943:K4943,0)),E4943)</f>
        <v>OCGT_Oil</v>
      </c>
      <c r="O4943" t="str">
        <f t="shared" si="277"/>
        <v>OCGT_Oil_2029</v>
      </c>
      <c r="P4943">
        <f t="shared" si="278"/>
        <v>45</v>
      </c>
    </row>
    <row r="4944" spans="4:16" x14ac:dyDescent="0.25">
      <c r="D4944">
        <v>2030</v>
      </c>
      <c r="E4944" t="s">
        <v>499</v>
      </c>
      <c r="F4944" t="s">
        <v>513</v>
      </c>
      <c r="G4944">
        <v>45</v>
      </c>
      <c r="I4944">
        <f t="shared" si="279"/>
        <v>0</v>
      </c>
      <c r="J4944">
        <f t="shared" si="279"/>
        <v>0</v>
      </c>
      <c r="K4944">
        <f t="shared" si="279"/>
        <v>0</v>
      </c>
      <c r="M4944" t="str" cm="1">
        <f t="array" ref="M4944">IFERROR(INDEX($I$2:$K$2,0,MATCH(TRUE,I4944:K4944,0)),E4944)</f>
        <v>OCGT_Oil</v>
      </c>
      <c r="O4944" t="str">
        <f t="shared" si="277"/>
        <v>OCGT_Oil_2030</v>
      </c>
      <c r="P4944">
        <f t="shared" si="278"/>
        <v>45</v>
      </c>
    </row>
    <row r="4945" spans="4:16" x14ac:dyDescent="0.25">
      <c r="D4945">
        <v>2031</v>
      </c>
      <c r="E4945" t="s">
        <v>499</v>
      </c>
      <c r="F4945" t="s">
        <v>513</v>
      </c>
      <c r="G4945">
        <v>45</v>
      </c>
      <c r="I4945">
        <f t="shared" si="279"/>
        <v>0</v>
      </c>
      <c r="J4945">
        <f t="shared" si="279"/>
        <v>0</v>
      </c>
      <c r="K4945">
        <f t="shared" si="279"/>
        <v>0</v>
      </c>
      <c r="M4945" t="str" cm="1">
        <f t="array" ref="M4945">IFERROR(INDEX($I$2:$K$2,0,MATCH(TRUE,I4945:K4945,0)),E4945)</f>
        <v>OCGT_Oil</v>
      </c>
      <c r="O4945" t="str">
        <f t="shared" si="277"/>
        <v>OCGT_Oil_2031</v>
      </c>
      <c r="P4945">
        <f t="shared" si="278"/>
        <v>45</v>
      </c>
    </row>
    <row r="4946" spans="4:16" x14ac:dyDescent="0.25">
      <c r="D4946">
        <v>2032</v>
      </c>
      <c r="E4946" t="s">
        <v>499</v>
      </c>
      <c r="F4946" t="s">
        <v>513</v>
      </c>
      <c r="G4946">
        <v>45</v>
      </c>
      <c r="I4946">
        <f t="shared" si="279"/>
        <v>0</v>
      </c>
      <c r="J4946">
        <f t="shared" si="279"/>
        <v>0</v>
      </c>
      <c r="K4946">
        <f t="shared" si="279"/>
        <v>0</v>
      </c>
      <c r="M4946" t="str" cm="1">
        <f t="array" ref="M4946">IFERROR(INDEX($I$2:$K$2,0,MATCH(TRUE,I4946:K4946,0)),E4946)</f>
        <v>OCGT_Oil</v>
      </c>
      <c r="O4946" t="str">
        <f t="shared" si="277"/>
        <v>OCGT_Oil_2032</v>
      </c>
      <c r="P4946">
        <f t="shared" si="278"/>
        <v>45</v>
      </c>
    </row>
    <row r="4947" spans="4:16" x14ac:dyDescent="0.25">
      <c r="D4947">
        <v>2033</v>
      </c>
      <c r="E4947" t="s">
        <v>499</v>
      </c>
      <c r="F4947" t="s">
        <v>513</v>
      </c>
      <c r="G4947">
        <v>45</v>
      </c>
      <c r="I4947">
        <f t="shared" si="279"/>
        <v>0</v>
      </c>
      <c r="J4947">
        <f t="shared" si="279"/>
        <v>0</v>
      </c>
      <c r="K4947">
        <f t="shared" si="279"/>
        <v>0</v>
      </c>
      <c r="M4947" t="str" cm="1">
        <f t="array" ref="M4947">IFERROR(INDEX($I$2:$K$2,0,MATCH(TRUE,I4947:K4947,0)),E4947)</f>
        <v>OCGT_Oil</v>
      </c>
      <c r="O4947" t="str">
        <f t="shared" ref="O4947:O5010" si="280">M4947&amp;"_"&amp;D4947</f>
        <v>OCGT_Oil_2033</v>
      </c>
      <c r="P4947">
        <f t="shared" ref="P4947:P5010" si="281">G4947</f>
        <v>45</v>
      </c>
    </row>
    <row r="4948" spans="4:16" x14ac:dyDescent="0.25">
      <c r="D4948">
        <v>2034</v>
      </c>
      <c r="E4948" t="s">
        <v>499</v>
      </c>
      <c r="F4948" t="s">
        <v>513</v>
      </c>
      <c r="G4948">
        <v>45</v>
      </c>
      <c r="I4948">
        <f t="shared" si="279"/>
        <v>0</v>
      </c>
      <c r="J4948">
        <f t="shared" si="279"/>
        <v>0</v>
      </c>
      <c r="K4948">
        <f t="shared" si="279"/>
        <v>0</v>
      </c>
      <c r="M4948" t="str" cm="1">
        <f t="array" ref="M4948">IFERROR(INDEX($I$2:$K$2,0,MATCH(TRUE,I4948:K4948,0)),E4948)</f>
        <v>OCGT_Oil</v>
      </c>
      <c r="O4948" t="str">
        <f t="shared" si="280"/>
        <v>OCGT_Oil_2034</v>
      </c>
      <c r="P4948">
        <f t="shared" si="281"/>
        <v>45</v>
      </c>
    </row>
    <row r="4949" spans="4:16" x14ac:dyDescent="0.25">
      <c r="D4949">
        <v>2035</v>
      </c>
      <c r="E4949" t="s">
        <v>499</v>
      </c>
      <c r="F4949" t="s">
        <v>513</v>
      </c>
      <c r="G4949">
        <v>45</v>
      </c>
      <c r="I4949">
        <f t="shared" ref="I4949:K5012" si="282">IFERROR(FIND(I$2,$E4949,1)&gt;0,0)</f>
        <v>0</v>
      </c>
      <c r="J4949">
        <f t="shared" si="282"/>
        <v>0</v>
      </c>
      <c r="K4949">
        <f t="shared" si="282"/>
        <v>0</v>
      </c>
      <c r="M4949" t="str" cm="1">
        <f t="array" ref="M4949">IFERROR(INDEX($I$2:$K$2,0,MATCH(TRUE,I4949:K4949,0)),E4949)</f>
        <v>OCGT_Oil</v>
      </c>
      <c r="O4949" t="str">
        <f t="shared" si="280"/>
        <v>OCGT_Oil_2035</v>
      </c>
      <c r="P4949">
        <f t="shared" si="281"/>
        <v>45</v>
      </c>
    </row>
    <row r="4950" spans="4:16" x14ac:dyDescent="0.25">
      <c r="D4950">
        <v>2036</v>
      </c>
      <c r="E4950" t="s">
        <v>499</v>
      </c>
      <c r="F4950" t="s">
        <v>513</v>
      </c>
      <c r="G4950">
        <v>45</v>
      </c>
      <c r="I4950">
        <f t="shared" si="282"/>
        <v>0</v>
      </c>
      <c r="J4950">
        <f t="shared" si="282"/>
        <v>0</v>
      </c>
      <c r="K4950">
        <f t="shared" si="282"/>
        <v>0</v>
      </c>
      <c r="M4950" t="str" cm="1">
        <f t="array" ref="M4950">IFERROR(INDEX($I$2:$K$2,0,MATCH(TRUE,I4950:K4950,0)),E4950)</f>
        <v>OCGT_Oil</v>
      </c>
      <c r="O4950" t="str">
        <f t="shared" si="280"/>
        <v>OCGT_Oil_2036</v>
      </c>
      <c r="P4950">
        <f t="shared" si="281"/>
        <v>45</v>
      </c>
    </row>
    <row r="4951" spans="4:16" x14ac:dyDescent="0.25">
      <c r="D4951">
        <v>2037</v>
      </c>
      <c r="E4951" t="s">
        <v>499</v>
      </c>
      <c r="F4951" t="s">
        <v>513</v>
      </c>
      <c r="G4951">
        <v>45</v>
      </c>
      <c r="I4951">
        <f t="shared" si="282"/>
        <v>0</v>
      </c>
      <c r="J4951">
        <f t="shared" si="282"/>
        <v>0</v>
      </c>
      <c r="K4951">
        <f t="shared" si="282"/>
        <v>0</v>
      </c>
      <c r="M4951" t="str" cm="1">
        <f t="array" ref="M4951">IFERROR(INDEX($I$2:$K$2,0,MATCH(TRUE,I4951:K4951,0)),E4951)</f>
        <v>OCGT_Oil</v>
      </c>
      <c r="O4951" t="str">
        <f t="shared" si="280"/>
        <v>OCGT_Oil_2037</v>
      </c>
      <c r="P4951">
        <f t="shared" si="281"/>
        <v>45</v>
      </c>
    </row>
    <row r="4952" spans="4:16" x14ac:dyDescent="0.25">
      <c r="D4952">
        <v>2038</v>
      </c>
      <c r="E4952" t="s">
        <v>499</v>
      </c>
      <c r="F4952" t="s">
        <v>513</v>
      </c>
      <c r="G4952">
        <v>45</v>
      </c>
      <c r="I4952">
        <f t="shared" si="282"/>
        <v>0</v>
      </c>
      <c r="J4952">
        <f t="shared" si="282"/>
        <v>0</v>
      </c>
      <c r="K4952">
        <f t="shared" si="282"/>
        <v>0</v>
      </c>
      <c r="M4952" t="str" cm="1">
        <f t="array" ref="M4952">IFERROR(INDEX($I$2:$K$2,0,MATCH(TRUE,I4952:K4952,0)),E4952)</f>
        <v>OCGT_Oil</v>
      </c>
      <c r="O4952" t="str">
        <f t="shared" si="280"/>
        <v>OCGT_Oil_2038</v>
      </c>
      <c r="P4952">
        <f t="shared" si="281"/>
        <v>45</v>
      </c>
    </row>
    <row r="4953" spans="4:16" x14ac:dyDescent="0.25">
      <c r="D4953">
        <v>2039</v>
      </c>
      <c r="E4953" t="s">
        <v>499</v>
      </c>
      <c r="F4953" t="s">
        <v>513</v>
      </c>
      <c r="G4953">
        <v>45</v>
      </c>
      <c r="I4953">
        <f t="shared" si="282"/>
        <v>0</v>
      </c>
      <c r="J4953">
        <f t="shared" si="282"/>
        <v>0</v>
      </c>
      <c r="K4953">
        <f t="shared" si="282"/>
        <v>0</v>
      </c>
      <c r="M4953" t="str" cm="1">
        <f t="array" ref="M4953">IFERROR(INDEX($I$2:$K$2,0,MATCH(TRUE,I4953:K4953,0)),E4953)</f>
        <v>OCGT_Oil</v>
      </c>
      <c r="O4953" t="str">
        <f t="shared" si="280"/>
        <v>OCGT_Oil_2039</v>
      </c>
      <c r="P4953">
        <f t="shared" si="281"/>
        <v>45</v>
      </c>
    </row>
    <row r="4954" spans="4:16" x14ac:dyDescent="0.25">
      <c r="D4954">
        <v>2040</v>
      </c>
      <c r="E4954" t="s">
        <v>499</v>
      </c>
      <c r="F4954" t="s">
        <v>513</v>
      </c>
      <c r="G4954">
        <v>45</v>
      </c>
      <c r="I4954">
        <f t="shared" si="282"/>
        <v>0</v>
      </c>
      <c r="J4954">
        <f t="shared" si="282"/>
        <v>0</v>
      </c>
      <c r="K4954">
        <f t="shared" si="282"/>
        <v>0</v>
      </c>
      <c r="M4954" t="str" cm="1">
        <f t="array" ref="M4954">IFERROR(INDEX($I$2:$K$2,0,MATCH(TRUE,I4954:K4954,0)),E4954)</f>
        <v>OCGT_Oil</v>
      </c>
      <c r="O4954" t="str">
        <f t="shared" si="280"/>
        <v>OCGT_Oil_2040</v>
      </c>
      <c r="P4954">
        <f t="shared" si="281"/>
        <v>45</v>
      </c>
    </row>
    <row r="4955" spans="4:16" x14ac:dyDescent="0.25">
      <c r="D4955">
        <v>2021</v>
      </c>
      <c r="E4955" t="s">
        <v>499</v>
      </c>
      <c r="F4955" t="s">
        <v>514</v>
      </c>
      <c r="G4955">
        <v>88</v>
      </c>
      <c r="I4955">
        <f t="shared" si="282"/>
        <v>0</v>
      </c>
      <c r="J4955">
        <f t="shared" si="282"/>
        <v>0</v>
      </c>
      <c r="K4955">
        <f t="shared" si="282"/>
        <v>0</v>
      </c>
      <c r="M4955" t="str" cm="1">
        <f t="array" ref="M4955">IFERROR(INDEX($I$2:$K$2,0,MATCH(TRUE,I4955:K4955,0)),E4955)</f>
        <v>OCGT_Oil</v>
      </c>
      <c r="O4955" t="str">
        <f t="shared" si="280"/>
        <v>OCGT_Oil_2021</v>
      </c>
      <c r="P4955">
        <f t="shared" si="281"/>
        <v>88</v>
      </c>
    </row>
    <row r="4956" spans="4:16" x14ac:dyDescent="0.25">
      <c r="D4956">
        <v>2022</v>
      </c>
      <c r="E4956" t="s">
        <v>499</v>
      </c>
      <c r="F4956" t="s">
        <v>514</v>
      </c>
      <c r="G4956">
        <v>88</v>
      </c>
      <c r="I4956">
        <f t="shared" si="282"/>
        <v>0</v>
      </c>
      <c r="J4956">
        <f t="shared" si="282"/>
        <v>0</v>
      </c>
      <c r="K4956">
        <f t="shared" si="282"/>
        <v>0</v>
      </c>
      <c r="M4956" t="str" cm="1">
        <f t="array" ref="M4956">IFERROR(INDEX($I$2:$K$2,0,MATCH(TRUE,I4956:K4956,0)),E4956)</f>
        <v>OCGT_Oil</v>
      </c>
      <c r="O4956" t="str">
        <f t="shared" si="280"/>
        <v>OCGT_Oil_2022</v>
      </c>
      <c r="P4956">
        <f t="shared" si="281"/>
        <v>88</v>
      </c>
    </row>
    <row r="4957" spans="4:16" x14ac:dyDescent="0.25">
      <c r="D4957">
        <v>2023</v>
      </c>
      <c r="E4957" t="s">
        <v>499</v>
      </c>
      <c r="F4957" t="s">
        <v>514</v>
      </c>
      <c r="G4957">
        <v>88</v>
      </c>
      <c r="I4957">
        <f t="shared" si="282"/>
        <v>0</v>
      </c>
      <c r="J4957">
        <f t="shared" si="282"/>
        <v>0</v>
      </c>
      <c r="K4957">
        <f t="shared" si="282"/>
        <v>0</v>
      </c>
      <c r="M4957" t="str" cm="1">
        <f t="array" ref="M4957">IFERROR(INDEX($I$2:$K$2,0,MATCH(TRUE,I4957:K4957,0)),E4957)</f>
        <v>OCGT_Oil</v>
      </c>
      <c r="O4957" t="str">
        <f t="shared" si="280"/>
        <v>OCGT_Oil_2023</v>
      </c>
      <c r="P4957">
        <f t="shared" si="281"/>
        <v>88</v>
      </c>
    </row>
    <row r="4958" spans="4:16" x14ac:dyDescent="0.25">
      <c r="D4958">
        <v>2021</v>
      </c>
      <c r="E4958" t="s">
        <v>499</v>
      </c>
      <c r="F4958" t="s">
        <v>515</v>
      </c>
      <c r="G4958">
        <v>82.8</v>
      </c>
      <c r="I4958">
        <f t="shared" si="282"/>
        <v>0</v>
      </c>
      <c r="J4958">
        <f t="shared" si="282"/>
        <v>0</v>
      </c>
      <c r="K4958">
        <f t="shared" si="282"/>
        <v>0</v>
      </c>
      <c r="M4958" t="str" cm="1">
        <f t="array" ref="M4958">IFERROR(INDEX($I$2:$K$2,0,MATCH(TRUE,I4958:K4958,0)),E4958)</f>
        <v>OCGT_Oil</v>
      </c>
      <c r="O4958" t="str">
        <f t="shared" si="280"/>
        <v>OCGT_Oil_2021</v>
      </c>
      <c r="P4958">
        <f t="shared" si="281"/>
        <v>82.8</v>
      </c>
    </row>
    <row r="4959" spans="4:16" x14ac:dyDescent="0.25">
      <c r="D4959">
        <v>2022</v>
      </c>
      <c r="E4959" t="s">
        <v>499</v>
      </c>
      <c r="F4959" t="s">
        <v>515</v>
      </c>
      <c r="G4959">
        <v>82.8</v>
      </c>
      <c r="I4959">
        <f t="shared" si="282"/>
        <v>0</v>
      </c>
      <c r="J4959">
        <f t="shared" si="282"/>
        <v>0</v>
      </c>
      <c r="K4959">
        <f t="shared" si="282"/>
        <v>0</v>
      </c>
      <c r="M4959" t="str" cm="1">
        <f t="array" ref="M4959">IFERROR(INDEX($I$2:$K$2,0,MATCH(TRUE,I4959:K4959,0)),E4959)</f>
        <v>OCGT_Oil</v>
      </c>
      <c r="O4959" t="str">
        <f t="shared" si="280"/>
        <v>OCGT_Oil_2022</v>
      </c>
      <c r="P4959">
        <f t="shared" si="281"/>
        <v>82.8</v>
      </c>
    </row>
    <row r="4960" spans="4:16" x14ac:dyDescent="0.25">
      <c r="D4960">
        <v>2023</v>
      </c>
      <c r="E4960" t="s">
        <v>499</v>
      </c>
      <c r="F4960" t="s">
        <v>515</v>
      </c>
      <c r="G4960">
        <v>82.8</v>
      </c>
      <c r="I4960">
        <f t="shared" si="282"/>
        <v>0</v>
      </c>
      <c r="J4960">
        <f t="shared" si="282"/>
        <v>0</v>
      </c>
      <c r="K4960">
        <f t="shared" si="282"/>
        <v>0</v>
      </c>
      <c r="M4960" t="str" cm="1">
        <f t="array" ref="M4960">IFERROR(INDEX($I$2:$K$2,0,MATCH(TRUE,I4960:K4960,0)),E4960)</f>
        <v>OCGT_Oil</v>
      </c>
      <c r="O4960" t="str">
        <f t="shared" si="280"/>
        <v>OCGT_Oil_2023</v>
      </c>
      <c r="P4960">
        <f t="shared" si="281"/>
        <v>82.8</v>
      </c>
    </row>
    <row r="4961" spans="4:16" x14ac:dyDescent="0.25">
      <c r="D4961">
        <v>2024</v>
      </c>
      <c r="E4961" t="s">
        <v>499</v>
      </c>
      <c r="F4961" t="s">
        <v>515</v>
      </c>
      <c r="G4961">
        <v>82.8</v>
      </c>
      <c r="I4961">
        <f t="shared" si="282"/>
        <v>0</v>
      </c>
      <c r="J4961">
        <f t="shared" si="282"/>
        <v>0</v>
      </c>
      <c r="K4961">
        <f t="shared" si="282"/>
        <v>0</v>
      </c>
      <c r="M4961" t="str" cm="1">
        <f t="array" ref="M4961">IFERROR(INDEX($I$2:$K$2,0,MATCH(TRUE,I4961:K4961,0)),E4961)</f>
        <v>OCGT_Oil</v>
      </c>
      <c r="O4961" t="str">
        <f t="shared" si="280"/>
        <v>OCGT_Oil_2024</v>
      </c>
      <c r="P4961">
        <f t="shared" si="281"/>
        <v>82.8</v>
      </c>
    </row>
    <row r="4962" spans="4:16" x14ac:dyDescent="0.25">
      <c r="D4962">
        <v>2025</v>
      </c>
      <c r="E4962" t="s">
        <v>499</v>
      </c>
      <c r="F4962" t="s">
        <v>515</v>
      </c>
      <c r="G4962">
        <v>82.8</v>
      </c>
      <c r="I4962">
        <f t="shared" si="282"/>
        <v>0</v>
      </c>
      <c r="J4962">
        <f t="shared" si="282"/>
        <v>0</v>
      </c>
      <c r="K4962">
        <f t="shared" si="282"/>
        <v>0</v>
      </c>
      <c r="M4962" t="str" cm="1">
        <f t="array" ref="M4962">IFERROR(INDEX($I$2:$K$2,0,MATCH(TRUE,I4962:K4962,0)),E4962)</f>
        <v>OCGT_Oil</v>
      </c>
      <c r="O4962" t="str">
        <f t="shared" si="280"/>
        <v>OCGT_Oil_2025</v>
      </c>
      <c r="P4962">
        <f t="shared" si="281"/>
        <v>82.8</v>
      </c>
    </row>
    <row r="4963" spans="4:16" x14ac:dyDescent="0.25">
      <c r="D4963">
        <v>2026</v>
      </c>
      <c r="E4963" t="s">
        <v>499</v>
      </c>
      <c r="F4963" t="s">
        <v>515</v>
      </c>
      <c r="G4963">
        <v>82.8</v>
      </c>
      <c r="I4963">
        <f t="shared" si="282"/>
        <v>0</v>
      </c>
      <c r="J4963">
        <f t="shared" si="282"/>
        <v>0</v>
      </c>
      <c r="K4963">
        <f t="shared" si="282"/>
        <v>0</v>
      </c>
      <c r="M4963" t="str" cm="1">
        <f t="array" ref="M4963">IFERROR(INDEX($I$2:$K$2,0,MATCH(TRUE,I4963:K4963,0)),E4963)</f>
        <v>OCGT_Oil</v>
      </c>
      <c r="O4963" t="str">
        <f t="shared" si="280"/>
        <v>OCGT_Oil_2026</v>
      </c>
      <c r="P4963">
        <f t="shared" si="281"/>
        <v>82.8</v>
      </c>
    </row>
    <row r="4964" spans="4:16" x14ac:dyDescent="0.25">
      <c r="D4964">
        <v>2027</v>
      </c>
      <c r="E4964" t="s">
        <v>499</v>
      </c>
      <c r="F4964" t="s">
        <v>515</v>
      </c>
      <c r="G4964">
        <v>82.8</v>
      </c>
      <c r="I4964">
        <f t="shared" si="282"/>
        <v>0</v>
      </c>
      <c r="J4964">
        <f t="shared" si="282"/>
        <v>0</v>
      </c>
      <c r="K4964">
        <f t="shared" si="282"/>
        <v>0</v>
      </c>
      <c r="M4964" t="str" cm="1">
        <f t="array" ref="M4964">IFERROR(INDEX($I$2:$K$2,0,MATCH(TRUE,I4964:K4964,0)),E4964)</f>
        <v>OCGT_Oil</v>
      </c>
      <c r="O4964" t="str">
        <f t="shared" si="280"/>
        <v>OCGT_Oil_2027</v>
      </c>
      <c r="P4964">
        <f t="shared" si="281"/>
        <v>82.8</v>
      </c>
    </row>
    <row r="4965" spans="4:16" x14ac:dyDescent="0.25">
      <c r="D4965">
        <v>2028</v>
      </c>
      <c r="E4965" t="s">
        <v>499</v>
      </c>
      <c r="F4965" t="s">
        <v>515</v>
      </c>
      <c r="G4965">
        <v>82.8</v>
      </c>
      <c r="I4965">
        <f t="shared" si="282"/>
        <v>0</v>
      </c>
      <c r="J4965">
        <f t="shared" si="282"/>
        <v>0</v>
      </c>
      <c r="K4965">
        <f t="shared" si="282"/>
        <v>0</v>
      </c>
      <c r="M4965" t="str" cm="1">
        <f t="array" ref="M4965">IFERROR(INDEX($I$2:$K$2,0,MATCH(TRUE,I4965:K4965,0)),E4965)</f>
        <v>OCGT_Oil</v>
      </c>
      <c r="O4965" t="str">
        <f t="shared" si="280"/>
        <v>OCGT_Oil_2028</v>
      </c>
      <c r="P4965">
        <f t="shared" si="281"/>
        <v>82.8</v>
      </c>
    </row>
    <row r="4966" spans="4:16" x14ac:dyDescent="0.25">
      <c r="D4966">
        <v>2029</v>
      </c>
      <c r="E4966" t="s">
        <v>499</v>
      </c>
      <c r="F4966" t="s">
        <v>515</v>
      </c>
      <c r="G4966">
        <v>82.8</v>
      </c>
      <c r="I4966">
        <f t="shared" si="282"/>
        <v>0</v>
      </c>
      <c r="J4966">
        <f t="shared" si="282"/>
        <v>0</v>
      </c>
      <c r="K4966">
        <f t="shared" si="282"/>
        <v>0</v>
      </c>
      <c r="M4966" t="str" cm="1">
        <f t="array" ref="M4966">IFERROR(INDEX($I$2:$K$2,0,MATCH(TRUE,I4966:K4966,0)),E4966)</f>
        <v>OCGT_Oil</v>
      </c>
      <c r="O4966" t="str">
        <f t="shared" si="280"/>
        <v>OCGT_Oil_2029</v>
      </c>
      <c r="P4966">
        <f t="shared" si="281"/>
        <v>82.8</v>
      </c>
    </row>
    <row r="4967" spans="4:16" x14ac:dyDescent="0.25">
      <c r="D4967">
        <v>2030</v>
      </c>
      <c r="E4967" t="s">
        <v>499</v>
      </c>
      <c r="F4967" t="s">
        <v>515</v>
      </c>
      <c r="G4967">
        <v>82.8</v>
      </c>
      <c r="I4967">
        <f t="shared" si="282"/>
        <v>0</v>
      </c>
      <c r="J4967">
        <f t="shared" si="282"/>
        <v>0</v>
      </c>
      <c r="K4967">
        <f t="shared" si="282"/>
        <v>0</v>
      </c>
      <c r="M4967" t="str" cm="1">
        <f t="array" ref="M4967">IFERROR(INDEX($I$2:$K$2,0,MATCH(TRUE,I4967:K4967,0)),E4967)</f>
        <v>OCGT_Oil</v>
      </c>
      <c r="O4967" t="str">
        <f t="shared" si="280"/>
        <v>OCGT_Oil_2030</v>
      </c>
      <c r="P4967">
        <f t="shared" si="281"/>
        <v>82.8</v>
      </c>
    </row>
    <row r="4968" spans="4:16" x14ac:dyDescent="0.25">
      <c r="D4968">
        <v>2031</v>
      </c>
      <c r="E4968" t="s">
        <v>499</v>
      </c>
      <c r="F4968" t="s">
        <v>515</v>
      </c>
      <c r="G4968">
        <v>82.8</v>
      </c>
      <c r="I4968">
        <f t="shared" si="282"/>
        <v>0</v>
      </c>
      <c r="J4968">
        <f t="shared" si="282"/>
        <v>0</v>
      </c>
      <c r="K4968">
        <f t="shared" si="282"/>
        <v>0</v>
      </c>
      <c r="M4968" t="str" cm="1">
        <f t="array" ref="M4968">IFERROR(INDEX($I$2:$K$2,0,MATCH(TRUE,I4968:K4968,0)),E4968)</f>
        <v>OCGT_Oil</v>
      </c>
      <c r="O4968" t="str">
        <f t="shared" si="280"/>
        <v>OCGT_Oil_2031</v>
      </c>
      <c r="P4968">
        <f t="shared" si="281"/>
        <v>82.8</v>
      </c>
    </row>
    <row r="4969" spans="4:16" x14ac:dyDescent="0.25">
      <c r="D4969">
        <v>2032</v>
      </c>
      <c r="E4969" t="s">
        <v>499</v>
      </c>
      <c r="F4969" t="s">
        <v>515</v>
      </c>
      <c r="G4969">
        <v>82.8</v>
      </c>
      <c r="I4969">
        <f t="shared" si="282"/>
        <v>0</v>
      </c>
      <c r="J4969">
        <f t="shared" si="282"/>
        <v>0</v>
      </c>
      <c r="K4969">
        <f t="shared" si="282"/>
        <v>0</v>
      </c>
      <c r="M4969" t="str" cm="1">
        <f t="array" ref="M4969">IFERROR(INDEX($I$2:$K$2,0,MATCH(TRUE,I4969:K4969,0)),E4969)</f>
        <v>OCGT_Oil</v>
      </c>
      <c r="O4969" t="str">
        <f t="shared" si="280"/>
        <v>OCGT_Oil_2032</v>
      </c>
      <c r="P4969">
        <f t="shared" si="281"/>
        <v>82.8</v>
      </c>
    </row>
    <row r="4970" spans="4:16" x14ac:dyDescent="0.25">
      <c r="D4970">
        <v>2033</v>
      </c>
      <c r="E4970" t="s">
        <v>499</v>
      </c>
      <c r="F4970" t="s">
        <v>515</v>
      </c>
      <c r="G4970">
        <v>82.8</v>
      </c>
      <c r="I4970">
        <f t="shared" si="282"/>
        <v>0</v>
      </c>
      <c r="J4970">
        <f t="shared" si="282"/>
        <v>0</v>
      </c>
      <c r="K4970">
        <f t="shared" si="282"/>
        <v>0</v>
      </c>
      <c r="M4970" t="str" cm="1">
        <f t="array" ref="M4970">IFERROR(INDEX($I$2:$K$2,0,MATCH(TRUE,I4970:K4970,0)),E4970)</f>
        <v>OCGT_Oil</v>
      </c>
      <c r="O4970" t="str">
        <f t="shared" si="280"/>
        <v>OCGT_Oil_2033</v>
      </c>
      <c r="P4970">
        <f t="shared" si="281"/>
        <v>82.8</v>
      </c>
    </row>
    <row r="4971" spans="4:16" x14ac:dyDescent="0.25">
      <c r="D4971">
        <v>2034</v>
      </c>
      <c r="E4971" t="s">
        <v>499</v>
      </c>
      <c r="F4971" t="s">
        <v>515</v>
      </c>
      <c r="G4971">
        <v>82.8</v>
      </c>
      <c r="I4971">
        <f t="shared" si="282"/>
        <v>0</v>
      </c>
      <c r="J4971">
        <f t="shared" si="282"/>
        <v>0</v>
      </c>
      <c r="K4971">
        <f t="shared" si="282"/>
        <v>0</v>
      </c>
      <c r="M4971" t="str" cm="1">
        <f t="array" ref="M4971">IFERROR(INDEX($I$2:$K$2,0,MATCH(TRUE,I4971:K4971,0)),E4971)</f>
        <v>OCGT_Oil</v>
      </c>
      <c r="O4971" t="str">
        <f t="shared" si="280"/>
        <v>OCGT_Oil_2034</v>
      </c>
      <c r="P4971">
        <f t="shared" si="281"/>
        <v>82.8</v>
      </c>
    </row>
    <row r="4972" spans="4:16" x14ac:dyDescent="0.25">
      <c r="D4972">
        <v>2035</v>
      </c>
      <c r="E4972" t="s">
        <v>499</v>
      </c>
      <c r="F4972" t="s">
        <v>515</v>
      </c>
      <c r="G4972">
        <v>82.8</v>
      </c>
      <c r="I4972">
        <f t="shared" si="282"/>
        <v>0</v>
      </c>
      <c r="J4972">
        <f t="shared" si="282"/>
        <v>0</v>
      </c>
      <c r="K4972">
        <f t="shared" si="282"/>
        <v>0</v>
      </c>
      <c r="M4972" t="str" cm="1">
        <f t="array" ref="M4972">IFERROR(INDEX($I$2:$K$2,0,MATCH(TRUE,I4972:K4972,0)),E4972)</f>
        <v>OCGT_Oil</v>
      </c>
      <c r="O4972" t="str">
        <f t="shared" si="280"/>
        <v>OCGT_Oil_2035</v>
      </c>
      <c r="P4972">
        <f t="shared" si="281"/>
        <v>82.8</v>
      </c>
    </row>
    <row r="4973" spans="4:16" x14ac:dyDescent="0.25">
      <c r="D4973">
        <v>2021</v>
      </c>
      <c r="E4973" t="s">
        <v>499</v>
      </c>
      <c r="F4973" t="s">
        <v>516</v>
      </c>
      <c r="G4973">
        <v>24</v>
      </c>
      <c r="I4973">
        <f t="shared" si="282"/>
        <v>0</v>
      </c>
      <c r="J4973">
        <f t="shared" si="282"/>
        <v>0</v>
      </c>
      <c r="K4973">
        <f t="shared" si="282"/>
        <v>0</v>
      </c>
      <c r="M4973" t="str" cm="1">
        <f t="array" ref="M4973">IFERROR(INDEX($I$2:$K$2,0,MATCH(TRUE,I4973:K4973,0)),E4973)</f>
        <v>OCGT_Oil</v>
      </c>
      <c r="O4973" t="str">
        <f t="shared" si="280"/>
        <v>OCGT_Oil_2021</v>
      </c>
      <c r="P4973">
        <f t="shared" si="281"/>
        <v>24</v>
      </c>
    </row>
    <row r="4974" spans="4:16" x14ac:dyDescent="0.25">
      <c r="D4974">
        <v>2022</v>
      </c>
      <c r="E4974" t="s">
        <v>499</v>
      </c>
      <c r="F4974" t="s">
        <v>516</v>
      </c>
      <c r="G4974">
        <v>24</v>
      </c>
      <c r="I4974">
        <f t="shared" si="282"/>
        <v>0</v>
      </c>
      <c r="J4974">
        <f t="shared" si="282"/>
        <v>0</v>
      </c>
      <c r="K4974">
        <f t="shared" si="282"/>
        <v>0</v>
      </c>
      <c r="M4974" t="str" cm="1">
        <f t="array" ref="M4974">IFERROR(INDEX($I$2:$K$2,0,MATCH(TRUE,I4974:K4974,0)),E4974)</f>
        <v>OCGT_Oil</v>
      </c>
      <c r="O4974" t="str">
        <f t="shared" si="280"/>
        <v>OCGT_Oil_2022</v>
      </c>
      <c r="P4974">
        <f t="shared" si="281"/>
        <v>24</v>
      </c>
    </row>
    <row r="4975" spans="4:16" x14ac:dyDescent="0.25">
      <c r="D4975">
        <v>2023</v>
      </c>
      <c r="E4975" t="s">
        <v>499</v>
      </c>
      <c r="F4975" t="s">
        <v>516</v>
      </c>
      <c r="G4975">
        <v>24</v>
      </c>
      <c r="I4975">
        <f t="shared" si="282"/>
        <v>0</v>
      </c>
      <c r="J4975">
        <f t="shared" si="282"/>
        <v>0</v>
      </c>
      <c r="K4975">
        <f t="shared" si="282"/>
        <v>0</v>
      </c>
      <c r="M4975" t="str" cm="1">
        <f t="array" ref="M4975">IFERROR(INDEX($I$2:$K$2,0,MATCH(TRUE,I4975:K4975,0)),E4975)</f>
        <v>OCGT_Oil</v>
      </c>
      <c r="O4975" t="str">
        <f t="shared" si="280"/>
        <v>OCGT_Oil_2023</v>
      </c>
      <c r="P4975">
        <f t="shared" si="281"/>
        <v>24</v>
      </c>
    </row>
    <row r="4976" spans="4:16" x14ac:dyDescent="0.25">
      <c r="D4976">
        <v>2024</v>
      </c>
      <c r="E4976" t="s">
        <v>499</v>
      </c>
      <c r="F4976" t="s">
        <v>516</v>
      </c>
      <c r="G4976">
        <v>24</v>
      </c>
      <c r="I4976">
        <f t="shared" si="282"/>
        <v>0</v>
      </c>
      <c r="J4976">
        <f t="shared" si="282"/>
        <v>0</v>
      </c>
      <c r="K4976">
        <f t="shared" si="282"/>
        <v>0</v>
      </c>
      <c r="M4976" t="str" cm="1">
        <f t="array" ref="M4976">IFERROR(INDEX($I$2:$K$2,0,MATCH(TRUE,I4976:K4976,0)),E4976)</f>
        <v>OCGT_Oil</v>
      </c>
      <c r="O4976" t="str">
        <f t="shared" si="280"/>
        <v>OCGT_Oil_2024</v>
      </c>
      <c r="P4976">
        <f t="shared" si="281"/>
        <v>24</v>
      </c>
    </row>
    <row r="4977" spans="4:16" x14ac:dyDescent="0.25">
      <c r="D4977">
        <v>2025</v>
      </c>
      <c r="E4977" t="s">
        <v>499</v>
      </c>
      <c r="F4977" t="s">
        <v>516</v>
      </c>
      <c r="G4977">
        <v>24</v>
      </c>
      <c r="I4977">
        <f t="shared" si="282"/>
        <v>0</v>
      </c>
      <c r="J4977">
        <f t="shared" si="282"/>
        <v>0</v>
      </c>
      <c r="K4977">
        <f t="shared" si="282"/>
        <v>0</v>
      </c>
      <c r="M4977" t="str" cm="1">
        <f t="array" ref="M4977">IFERROR(INDEX($I$2:$K$2,0,MATCH(TRUE,I4977:K4977,0)),E4977)</f>
        <v>OCGT_Oil</v>
      </c>
      <c r="O4977" t="str">
        <f t="shared" si="280"/>
        <v>OCGT_Oil_2025</v>
      </c>
      <c r="P4977">
        <f t="shared" si="281"/>
        <v>24</v>
      </c>
    </row>
    <row r="4978" spans="4:16" x14ac:dyDescent="0.25">
      <c r="D4978">
        <v>2026</v>
      </c>
      <c r="E4978" t="s">
        <v>499</v>
      </c>
      <c r="F4978" t="s">
        <v>516</v>
      </c>
      <c r="G4978">
        <v>24</v>
      </c>
      <c r="I4978">
        <f t="shared" si="282"/>
        <v>0</v>
      </c>
      <c r="J4978">
        <f t="shared" si="282"/>
        <v>0</v>
      </c>
      <c r="K4978">
        <f t="shared" si="282"/>
        <v>0</v>
      </c>
      <c r="M4978" t="str" cm="1">
        <f t="array" ref="M4978">IFERROR(INDEX($I$2:$K$2,0,MATCH(TRUE,I4978:K4978,0)),E4978)</f>
        <v>OCGT_Oil</v>
      </c>
      <c r="O4978" t="str">
        <f t="shared" si="280"/>
        <v>OCGT_Oil_2026</v>
      </c>
      <c r="P4978">
        <f t="shared" si="281"/>
        <v>24</v>
      </c>
    </row>
    <row r="4979" spans="4:16" x14ac:dyDescent="0.25">
      <c r="D4979">
        <v>2027</v>
      </c>
      <c r="E4979" t="s">
        <v>499</v>
      </c>
      <c r="F4979" t="s">
        <v>516</v>
      </c>
      <c r="G4979">
        <v>24</v>
      </c>
      <c r="I4979">
        <f t="shared" si="282"/>
        <v>0</v>
      </c>
      <c r="J4979">
        <f t="shared" si="282"/>
        <v>0</v>
      </c>
      <c r="K4979">
        <f t="shared" si="282"/>
        <v>0</v>
      </c>
      <c r="M4979" t="str" cm="1">
        <f t="array" ref="M4979">IFERROR(INDEX($I$2:$K$2,0,MATCH(TRUE,I4979:K4979,0)),E4979)</f>
        <v>OCGT_Oil</v>
      </c>
      <c r="O4979" t="str">
        <f t="shared" si="280"/>
        <v>OCGT_Oil_2027</v>
      </c>
      <c r="P4979">
        <f t="shared" si="281"/>
        <v>24</v>
      </c>
    </row>
    <row r="4980" spans="4:16" x14ac:dyDescent="0.25">
      <c r="D4980">
        <v>2028</v>
      </c>
      <c r="E4980" t="s">
        <v>499</v>
      </c>
      <c r="F4980" t="s">
        <v>516</v>
      </c>
      <c r="G4980">
        <v>24</v>
      </c>
      <c r="I4980">
        <f t="shared" si="282"/>
        <v>0</v>
      </c>
      <c r="J4980">
        <f t="shared" si="282"/>
        <v>0</v>
      </c>
      <c r="K4980">
        <f t="shared" si="282"/>
        <v>0</v>
      </c>
      <c r="M4980" t="str" cm="1">
        <f t="array" ref="M4980">IFERROR(INDEX($I$2:$K$2,0,MATCH(TRUE,I4980:K4980,0)),E4980)</f>
        <v>OCGT_Oil</v>
      </c>
      <c r="O4980" t="str">
        <f t="shared" si="280"/>
        <v>OCGT_Oil_2028</v>
      </c>
      <c r="P4980">
        <f t="shared" si="281"/>
        <v>24</v>
      </c>
    </row>
    <row r="4981" spans="4:16" x14ac:dyDescent="0.25">
      <c r="D4981">
        <v>2029</v>
      </c>
      <c r="E4981" t="s">
        <v>499</v>
      </c>
      <c r="F4981" t="s">
        <v>516</v>
      </c>
      <c r="G4981">
        <v>24</v>
      </c>
      <c r="I4981">
        <f t="shared" si="282"/>
        <v>0</v>
      </c>
      <c r="J4981">
        <f t="shared" si="282"/>
        <v>0</v>
      </c>
      <c r="K4981">
        <f t="shared" si="282"/>
        <v>0</v>
      </c>
      <c r="M4981" t="str" cm="1">
        <f t="array" ref="M4981">IFERROR(INDEX($I$2:$K$2,0,MATCH(TRUE,I4981:K4981,0)),E4981)</f>
        <v>OCGT_Oil</v>
      </c>
      <c r="O4981" t="str">
        <f t="shared" si="280"/>
        <v>OCGT_Oil_2029</v>
      </c>
      <c r="P4981">
        <f t="shared" si="281"/>
        <v>24</v>
      </c>
    </row>
    <row r="4982" spans="4:16" x14ac:dyDescent="0.25">
      <c r="D4982">
        <v>2030</v>
      </c>
      <c r="E4982" t="s">
        <v>499</v>
      </c>
      <c r="F4982" t="s">
        <v>516</v>
      </c>
      <c r="G4982">
        <v>24</v>
      </c>
      <c r="I4982">
        <f t="shared" si="282"/>
        <v>0</v>
      </c>
      <c r="J4982">
        <f t="shared" si="282"/>
        <v>0</v>
      </c>
      <c r="K4982">
        <f t="shared" si="282"/>
        <v>0</v>
      </c>
      <c r="M4982" t="str" cm="1">
        <f t="array" ref="M4982">IFERROR(INDEX($I$2:$K$2,0,MATCH(TRUE,I4982:K4982,0)),E4982)</f>
        <v>OCGT_Oil</v>
      </c>
      <c r="O4982" t="str">
        <f t="shared" si="280"/>
        <v>OCGT_Oil_2030</v>
      </c>
      <c r="P4982">
        <f t="shared" si="281"/>
        <v>24</v>
      </c>
    </row>
    <row r="4983" spans="4:16" x14ac:dyDescent="0.25">
      <c r="D4983">
        <v>2031</v>
      </c>
      <c r="E4983" t="s">
        <v>499</v>
      </c>
      <c r="F4983" t="s">
        <v>516</v>
      </c>
      <c r="G4983">
        <v>24</v>
      </c>
      <c r="I4983">
        <f t="shared" si="282"/>
        <v>0</v>
      </c>
      <c r="J4983">
        <f t="shared" si="282"/>
        <v>0</v>
      </c>
      <c r="K4983">
        <f t="shared" si="282"/>
        <v>0</v>
      </c>
      <c r="M4983" t="str" cm="1">
        <f t="array" ref="M4983">IFERROR(INDEX($I$2:$K$2,0,MATCH(TRUE,I4983:K4983,0)),E4983)</f>
        <v>OCGT_Oil</v>
      </c>
      <c r="O4983" t="str">
        <f t="shared" si="280"/>
        <v>OCGT_Oil_2031</v>
      </c>
      <c r="P4983">
        <f t="shared" si="281"/>
        <v>24</v>
      </c>
    </row>
    <row r="4984" spans="4:16" x14ac:dyDescent="0.25">
      <c r="D4984">
        <v>2032</v>
      </c>
      <c r="E4984" t="s">
        <v>499</v>
      </c>
      <c r="F4984" t="s">
        <v>516</v>
      </c>
      <c r="G4984">
        <v>24</v>
      </c>
      <c r="I4984">
        <f t="shared" si="282"/>
        <v>0</v>
      </c>
      <c r="J4984">
        <f t="shared" si="282"/>
        <v>0</v>
      </c>
      <c r="K4984">
        <f t="shared" si="282"/>
        <v>0</v>
      </c>
      <c r="M4984" t="str" cm="1">
        <f t="array" ref="M4984">IFERROR(INDEX($I$2:$K$2,0,MATCH(TRUE,I4984:K4984,0)),E4984)</f>
        <v>OCGT_Oil</v>
      </c>
      <c r="O4984" t="str">
        <f t="shared" si="280"/>
        <v>OCGT_Oil_2032</v>
      </c>
      <c r="P4984">
        <f t="shared" si="281"/>
        <v>24</v>
      </c>
    </row>
    <row r="4985" spans="4:16" x14ac:dyDescent="0.25">
      <c r="D4985">
        <v>2033</v>
      </c>
      <c r="E4985" t="s">
        <v>499</v>
      </c>
      <c r="F4985" t="s">
        <v>516</v>
      </c>
      <c r="G4985">
        <v>24</v>
      </c>
      <c r="I4985">
        <f t="shared" si="282"/>
        <v>0</v>
      </c>
      <c r="J4985">
        <f t="shared" si="282"/>
        <v>0</v>
      </c>
      <c r="K4985">
        <f t="shared" si="282"/>
        <v>0</v>
      </c>
      <c r="M4985" t="str" cm="1">
        <f t="array" ref="M4985">IFERROR(INDEX($I$2:$K$2,0,MATCH(TRUE,I4985:K4985,0)),E4985)</f>
        <v>OCGT_Oil</v>
      </c>
      <c r="O4985" t="str">
        <f t="shared" si="280"/>
        <v>OCGT_Oil_2033</v>
      </c>
      <c r="P4985">
        <f t="shared" si="281"/>
        <v>24</v>
      </c>
    </row>
    <row r="4986" spans="4:16" x14ac:dyDescent="0.25">
      <c r="D4986">
        <v>2034</v>
      </c>
      <c r="E4986" t="s">
        <v>499</v>
      </c>
      <c r="F4986" t="s">
        <v>516</v>
      </c>
      <c r="G4986">
        <v>24</v>
      </c>
      <c r="I4986">
        <f t="shared" si="282"/>
        <v>0</v>
      </c>
      <c r="J4986">
        <f t="shared" si="282"/>
        <v>0</v>
      </c>
      <c r="K4986">
        <f t="shared" si="282"/>
        <v>0</v>
      </c>
      <c r="M4986" t="str" cm="1">
        <f t="array" ref="M4986">IFERROR(INDEX($I$2:$K$2,0,MATCH(TRUE,I4986:K4986,0)),E4986)</f>
        <v>OCGT_Oil</v>
      </c>
      <c r="O4986" t="str">
        <f t="shared" si="280"/>
        <v>OCGT_Oil_2034</v>
      </c>
      <c r="P4986">
        <f t="shared" si="281"/>
        <v>24</v>
      </c>
    </row>
    <row r="4987" spans="4:16" x14ac:dyDescent="0.25">
      <c r="D4987">
        <v>2035</v>
      </c>
      <c r="E4987" t="s">
        <v>499</v>
      </c>
      <c r="F4987" t="s">
        <v>516</v>
      </c>
      <c r="G4987">
        <v>24</v>
      </c>
      <c r="I4987">
        <f t="shared" si="282"/>
        <v>0</v>
      </c>
      <c r="J4987">
        <f t="shared" si="282"/>
        <v>0</v>
      </c>
      <c r="K4987">
        <f t="shared" si="282"/>
        <v>0</v>
      </c>
      <c r="M4987" t="str" cm="1">
        <f t="array" ref="M4987">IFERROR(INDEX($I$2:$K$2,0,MATCH(TRUE,I4987:K4987,0)),E4987)</f>
        <v>OCGT_Oil</v>
      </c>
      <c r="O4987" t="str">
        <f t="shared" si="280"/>
        <v>OCGT_Oil_2035</v>
      </c>
      <c r="P4987">
        <f t="shared" si="281"/>
        <v>24</v>
      </c>
    </row>
    <row r="4988" spans="4:16" x14ac:dyDescent="0.25">
      <c r="D4988">
        <v>2036</v>
      </c>
      <c r="E4988" t="s">
        <v>499</v>
      </c>
      <c r="F4988" t="s">
        <v>516</v>
      </c>
      <c r="G4988">
        <v>24</v>
      </c>
      <c r="I4988">
        <f t="shared" si="282"/>
        <v>0</v>
      </c>
      <c r="J4988">
        <f t="shared" si="282"/>
        <v>0</v>
      </c>
      <c r="K4988">
        <f t="shared" si="282"/>
        <v>0</v>
      </c>
      <c r="M4988" t="str" cm="1">
        <f t="array" ref="M4988">IFERROR(INDEX($I$2:$K$2,0,MATCH(TRUE,I4988:K4988,0)),E4988)</f>
        <v>OCGT_Oil</v>
      </c>
      <c r="O4988" t="str">
        <f t="shared" si="280"/>
        <v>OCGT_Oil_2036</v>
      </c>
      <c r="P4988">
        <f t="shared" si="281"/>
        <v>24</v>
      </c>
    </row>
    <row r="4989" spans="4:16" x14ac:dyDescent="0.25">
      <c r="D4989">
        <v>2037</v>
      </c>
      <c r="E4989" t="s">
        <v>499</v>
      </c>
      <c r="F4989" t="s">
        <v>516</v>
      </c>
      <c r="G4989">
        <v>24</v>
      </c>
      <c r="I4989">
        <f t="shared" si="282"/>
        <v>0</v>
      </c>
      <c r="J4989">
        <f t="shared" si="282"/>
        <v>0</v>
      </c>
      <c r="K4989">
        <f t="shared" si="282"/>
        <v>0</v>
      </c>
      <c r="M4989" t="str" cm="1">
        <f t="array" ref="M4989">IFERROR(INDEX($I$2:$K$2,0,MATCH(TRUE,I4989:K4989,0)),E4989)</f>
        <v>OCGT_Oil</v>
      </c>
      <c r="O4989" t="str">
        <f t="shared" si="280"/>
        <v>OCGT_Oil_2037</v>
      </c>
      <c r="P4989">
        <f t="shared" si="281"/>
        <v>24</v>
      </c>
    </row>
    <row r="4990" spans="4:16" x14ac:dyDescent="0.25">
      <c r="D4990">
        <v>2021</v>
      </c>
      <c r="E4990" t="s">
        <v>499</v>
      </c>
      <c r="F4990" t="s">
        <v>517</v>
      </c>
      <c r="G4990">
        <v>135</v>
      </c>
      <c r="I4990">
        <f t="shared" si="282"/>
        <v>0</v>
      </c>
      <c r="J4990">
        <f t="shared" si="282"/>
        <v>0</v>
      </c>
      <c r="K4990">
        <f t="shared" si="282"/>
        <v>0</v>
      </c>
      <c r="M4990" t="str" cm="1">
        <f t="array" ref="M4990">IFERROR(INDEX($I$2:$K$2,0,MATCH(TRUE,I4990:K4990,0)),E4990)</f>
        <v>OCGT_Oil</v>
      </c>
      <c r="O4990" t="str">
        <f t="shared" si="280"/>
        <v>OCGT_Oil_2021</v>
      </c>
      <c r="P4990">
        <f t="shared" si="281"/>
        <v>135</v>
      </c>
    </row>
    <row r="4991" spans="4:16" x14ac:dyDescent="0.25">
      <c r="D4991">
        <v>2022</v>
      </c>
      <c r="E4991" t="s">
        <v>499</v>
      </c>
      <c r="F4991" t="s">
        <v>517</v>
      </c>
      <c r="G4991">
        <v>135</v>
      </c>
      <c r="I4991">
        <f t="shared" si="282"/>
        <v>0</v>
      </c>
      <c r="J4991">
        <f t="shared" si="282"/>
        <v>0</v>
      </c>
      <c r="K4991">
        <f t="shared" si="282"/>
        <v>0</v>
      </c>
      <c r="M4991" t="str" cm="1">
        <f t="array" ref="M4991">IFERROR(INDEX($I$2:$K$2,0,MATCH(TRUE,I4991:K4991,0)),E4991)</f>
        <v>OCGT_Oil</v>
      </c>
      <c r="O4991" t="str">
        <f t="shared" si="280"/>
        <v>OCGT_Oil_2022</v>
      </c>
      <c r="P4991">
        <f t="shared" si="281"/>
        <v>135</v>
      </c>
    </row>
    <row r="4992" spans="4:16" x14ac:dyDescent="0.25">
      <c r="D4992">
        <v>2023</v>
      </c>
      <c r="E4992" t="s">
        <v>499</v>
      </c>
      <c r="F4992" t="s">
        <v>517</v>
      </c>
      <c r="G4992">
        <v>135</v>
      </c>
      <c r="I4992">
        <f t="shared" si="282"/>
        <v>0</v>
      </c>
      <c r="J4992">
        <f t="shared" si="282"/>
        <v>0</v>
      </c>
      <c r="K4992">
        <f t="shared" si="282"/>
        <v>0</v>
      </c>
      <c r="M4992" t="str" cm="1">
        <f t="array" ref="M4992">IFERROR(INDEX($I$2:$K$2,0,MATCH(TRUE,I4992:K4992,0)),E4992)</f>
        <v>OCGT_Oil</v>
      </c>
      <c r="O4992" t="str">
        <f t="shared" si="280"/>
        <v>OCGT_Oil_2023</v>
      </c>
      <c r="P4992">
        <f t="shared" si="281"/>
        <v>135</v>
      </c>
    </row>
    <row r="4993" spans="4:16" x14ac:dyDescent="0.25">
      <c r="D4993">
        <v>2024</v>
      </c>
      <c r="E4993" t="s">
        <v>499</v>
      </c>
      <c r="F4993" t="s">
        <v>517</v>
      </c>
      <c r="G4993">
        <v>135</v>
      </c>
      <c r="I4993">
        <f t="shared" si="282"/>
        <v>0</v>
      </c>
      <c r="J4993">
        <f t="shared" si="282"/>
        <v>0</v>
      </c>
      <c r="K4993">
        <f t="shared" si="282"/>
        <v>0</v>
      </c>
      <c r="M4993" t="str" cm="1">
        <f t="array" ref="M4993">IFERROR(INDEX($I$2:$K$2,0,MATCH(TRUE,I4993:K4993,0)),E4993)</f>
        <v>OCGT_Oil</v>
      </c>
      <c r="O4993" t="str">
        <f t="shared" si="280"/>
        <v>OCGT_Oil_2024</v>
      </c>
      <c r="P4993">
        <f t="shared" si="281"/>
        <v>135</v>
      </c>
    </row>
    <row r="4994" spans="4:16" x14ac:dyDescent="0.25">
      <c r="D4994">
        <v>2025</v>
      </c>
      <c r="E4994" t="s">
        <v>499</v>
      </c>
      <c r="F4994" t="s">
        <v>517</v>
      </c>
      <c r="G4994">
        <v>135</v>
      </c>
      <c r="I4994">
        <f t="shared" si="282"/>
        <v>0</v>
      </c>
      <c r="J4994">
        <f t="shared" si="282"/>
        <v>0</v>
      </c>
      <c r="K4994">
        <f t="shared" si="282"/>
        <v>0</v>
      </c>
      <c r="M4994" t="str" cm="1">
        <f t="array" ref="M4994">IFERROR(INDEX($I$2:$K$2,0,MATCH(TRUE,I4994:K4994,0)),E4994)</f>
        <v>OCGT_Oil</v>
      </c>
      <c r="O4994" t="str">
        <f t="shared" si="280"/>
        <v>OCGT_Oil_2025</v>
      </c>
      <c r="P4994">
        <f t="shared" si="281"/>
        <v>135</v>
      </c>
    </row>
    <row r="4995" spans="4:16" x14ac:dyDescent="0.25">
      <c r="D4995">
        <v>2026</v>
      </c>
      <c r="E4995" t="s">
        <v>499</v>
      </c>
      <c r="F4995" t="s">
        <v>517</v>
      </c>
      <c r="G4995">
        <v>135</v>
      </c>
      <c r="I4995">
        <f t="shared" si="282"/>
        <v>0</v>
      </c>
      <c r="J4995">
        <f t="shared" si="282"/>
        <v>0</v>
      </c>
      <c r="K4995">
        <f t="shared" si="282"/>
        <v>0</v>
      </c>
      <c r="M4995" t="str" cm="1">
        <f t="array" ref="M4995">IFERROR(INDEX($I$2:$K$2,0,MATCH(TRUE,I4995:K4995,0)),E4995)</f>
        <v>OCGT_Oil</v>
      </c>
      <c r="O4995" t="str">
        <f t="shared" si="280"/>
        <v>OCGT_Oil_2026</v>
      </c>
      <c r="P4995">
        <f t="shared" si="281"/>
        <v>135</v>
      </c>
    </row>
    <row r="4996" spans="4:16" x14ac:dyDescent="0.25">
      <c r="D4996">
        <v>2027</v>
      </c>
      <c r="E4996" t="s">
        <v>499</v>
      </c>
      <c r="F4996" t="s">
        <v>517</v>
      </c>
      <c r="G4996">
        <v>135</v>
      </c>
      <c r="I4996">
        <f t="shared" si="282"/>
        <v>0</v>
      </c>
      <c r="J4996">
        <f t="shared" si="282"/>
        <v>0</v>
      </c>
      <c r="K4996">
        <f t="shared" si="282"/>
        <v>0</v>
      </c>
      <c r="M4996" t="str" cm="1">
        <f t="array" ref="M4996">IFERROR(INDEX($I$2:$K$2,0,MATCH(TRUE,I4996:K4996,0)),E4996)</f>
        <v>OCGT_Oil</v>
      </c>
      <c r="O4996" t="str">
        <f t="shared" si="280"/>
        <v>OCGT_Oil_2027</v>
      </c>
      <c r="P4996">
        <f t="shared" si="281"/>
        <v>135</v>
      </c>
    </row>
    <row r="4997" spans="4:16" x14ac:dyDescent="0.25">
      <c r="D4997">
        <v>2028</v>
      </c>
      <c r="E4997" t="s">
        <v>499</v>
      </c>
      <c r="F4997" t="s">
        <v>517</v>
      </c>
      <c r="G4997">
        <v>135</v>
      </c>
      <c r="I4997">
        <f t="shared" si="282"/>
        <v>0</v>
      </c>
      <c r="J4997">
        <f t="shared" si="282"/>
        <v>0</v>
      </c>
      <c r="K4997">
        <f t="shared" si="282"/>
        <v>0</v>
      </c>
      <c r="M4997" t="str" cm="1">
        <f t="array" ref="M4997">IFERROR(INDEX($I$2:$K$2,0,MATCH(TRUE,I4997:K4997,0)),E4997)</f>
        <v>OCGT_Oil</v>
      </c>
      <c r="O4997" t="str">
        <f t="shared" si="280"/>
        <v>OCGT_Oil_2028</v>
      </c>
      <c r="P4997">
        <f t="shared" si="281"/>
        <v>135</v>
      </c>
    </row>
    <row r="4998" spans="4:16" x14ac:dyDescent="0.25">
      <c r="D4998">
        <v>2029</v>
      </c>
      <c r="E4998" t="s">
        <v>499</v>
      </c>
      <c r="F4998" t="s">
        <v>517</v>
      </c>
      <c r="G4998">
        <v>135</v>
      </c>
      <c r="I4998">
        <f t="shared" si="282"/>
        <v>0</v>
      </c>
      <c r="J4998">
        <f t="shared" si="282"/>
        <v>0</v>
      </c>
      <c r="K4998">
        <f t="shared" si="282"/>
        <v>0</v>
      </c>
      <c r="M4998" t="str" cm="1">
        <f t="array" ref="M4998">IFERROR(INDEX($I$2:$K$2,0,MATCH(TRUE,I4998:K4998,0)),E4998)</f>
        <v>OCGT_Oil</v>
      </c>
      <c r="O4998" t="str">
        <f t="shared" si="280"/>
        <v>OCGT_Oil_2029</v>
      </c>
      <c r="P4998">
        <f t="shared" si="281"/>
        <v>135</v>
      </c>
    </row>
    <row r="4999" spans="4:16" x14ac:dyDescent="0.25">
      <c r="D4999">
        <v>2030</v>
      </c>
      <c r="E4999" t="s">
        <v>499</v>
      </c>
      <c r="F4999" t="s">
        <v>517</v>
      </c>
      <c r="G4999">
        <v>135</v>
      </c>
      <c r="I4999">
        <f t="shared" si="282"/>
        <v>0</v>
      </c>
      <c r="J4999">
        <f t="shared" si="282"/>
        <v>0</v>
      </c>
      <c r="K4999">
        <f t="shared" si="282"/>
        <v>0</v>
      </c>
      <c r="M4999" t="str" cm="1">
        <f t="array" ref="M4999">IFERROR(INDEX($I$2:$K$2,0,MATCH(TRUE,I4999:K4999,0)),E4999)</f>
        <v>OCGT_Oil</v>
      </c>
      <c r="O4999" t="str">
        <f t="shared" si="280"/>
        <v>OCGT_Oil_2030</v>
      </c>
      <c r="P4999">
        <f t="shared" si="281"/>
        <v>135</v>
      </c>
    </row>
    <row r="5000" spans="4:16" x14ac:dyDescent="0.25">
      <c r="D5000">
        <v>2021</v>
      </c>
      <c r="E5000" t="s">
        <v>499</v>
      </c>
      <c r="F5000" t="s">
        <v>518</v>
      </c>
      <c r="G5000">
        <v>50.5</v>
      </c>
      <c r="I5000">
        <f t="shared" si="282"/>
        <v>0</v>
      </c>
      <c r="J5000">
        <f t="shared" si="282"/>
        <v>0</v>
      </c>
      <c r="K5000">
        <f t="shared" si="282"/>
        <v>0</v>
      </c>
      <c r="M5000" t="str" cm="1">
        <f t="array" ref="M5000">IFERROR(INDEX($I$2:$K$2,0,MATCH(TRUE,I5000:K5000,0)),E5000)</f>
        <v>OCGT_Oil</v>
      </c>
      <c r="O5000" t="str">
        <f t="shared" si="280"/>
        <v>OCGT_Oil_2021</v>
      </c>
      <c r="P5000">
        <f t="shared" si="281"/>
        <v>50.5</v>
      </c>
    </row>
    <row r="5001" spans="4:16" x14ac:dyDescent="0.25">
      <c r="D5001">
        <v>2021</v>
      </c>
      <c r="E5001" t="s">
        <v>499</v>
      </c>
      <c r="F5001" t="s">
        <v>519</v>
      </c>
      <c r="G5001">
        <v>50.5</v>
      </c>
      <c r="I5001">
        <f t="shared" si="282"/>
        <v>0</v>
      </c>
      <c r="J5001">
        <f t="shared" si="282"/>
        <v>0</v>
      </c>
      <c r="K5001">
        <f t="shared" si="282"/>
        <v>0</v>
      </c>
      <c r="M5001" t="str" cm="1">
        <f t="array" ref="M5001">IFERROR(INDEX($I$2:$K$2,0,MATCH(TRUE,I5001:K5001,0)),E5001)</f>
        <v>OCGT_Oil</v>
      </c>
      <c r="O5001" t="str">
        <f t="shared" si="280"/>
        <v>OCGT_Oil_2021</v>
      </c>
      <c r="P5001">
        <f t="shared" si="281"/>
        <v>50.5</v>
      </c>
    </row>
    <row r="5002" spans="4:16" x14ac:dyDescent="0.25">
      <c r="D5002">
        <v>2021</v>
      </c>
      <c r="E5002" t="s">
        <v>499</v>
      </c>
      <c r="F5002" t="s">
        <v>520</v>
      </c>
      <c r="G5002">
        <v>56</v>
      </c>
      <c r="I5002">
        <f t="shared" si="282"/>
        <v>0</v>
      </c>
      <c r="J5002">
        <f t="shared" si="282"/>
        <v>0</v>
      </c>
      <c r="K5002">
        <f t="shared" si="282"/>
        <v>0</v>
      </c>
      <c r="M5002" t="str" cm="1">
        <f t="array" ref="M5002">IFERROR(INDEX($I$2:$K$2,0,MATCH(TRUE,I5002:K5002,0)),E5002)</f>
        <v>OCGT_Oil</v>
      </c>
      <c r="O5002" t="str">
        <f t="shared" si="280"/>
        <v>OCGT_Oil_2021</v>
      </c>
      <c r="P5002">
        <f t="shared" si="281"/>
        <v>56</v>
      </c>
    </row>
    <row r="5003" spans="4:16" x14ac:dyDescent="0.25">
      <c r="D5003">
        <v>2022</v>
      </c>
      <c r="E5003" t="s">
        <v>499</v>
      </c>
      <c r="F5003" t="s">
        <v>520</v>
      </c>
      <c r="G5003">
        <v>56</v>
      </c>
      <c r="I5003">
        <f t="shared" si="282"/>
        <v>0</v>
      </c>
      <c r="J5003">
        <f t="shared" si="282"/>
        <v>0</v>
      </c>
      <c r="K5003">
        <f t="shared" si="282"/>
        <v>0</v>
      </c>
      <c r="M5003" t="str" cm="1">
        <f t="array" ref="M5003">IFERROR(INDEX($I$2:$K$2,0,MATCH(TRUE,I5003:K5003,0)),E5003)</f>
        <v>OCGT_Oil</v>
      </c>
      <c r="O5003" t="str">
        <f t="shared" si="280"/>
        <v>OCGT_Oil_2022</v>
      </c>
      <c r="P5003">
        <f t="shared" si="281"/>
        <v>56</v>
      </c>
    </row>
    <row r="5004" spans="4:16" x14ac:dyDescent="0.25">
      <c r="D5004">
        <v>2021</v>
      </c>
      <c r="E5004" t="s">
        <v>499</v>
      </c>
      <c r="F5004" t="s">
        <v>521</v>
      </c>
      <c r="G5004">
        <v>23</v>
      </c>
      <c r="I5004">
        <f t="shared" si="282"/>
        <v>0</v>
      </c>
      <c r="J5004">
        <f t="shared" si="282"/>
        <v>0</v>
      </c>
      <c r="K5004">
        <f t="shared" si="282"/>
        <v>0</v>
      </c>
      <c r="M5004" t="str" cm="1">
        <f t="array" ref="M5004">IFERROR(INDEX($I$2:$K$2,0,MATCH(TRUE,I5004:K5004,0)),E5004)</f>
        <v>OCGT_Oil</v>
      </c>
      <c r="O5004" t="str">
        <f t="shared" si="280"/>
        <v>OCGT_Oil_2021</v>
      </c>
      <c r="P5004">
        <f t="shared" si="281"/>
        <v>23</v>
      </c>
    </row>
    <row r="5005" spans="4:16" x14ac:dyDescent="0.25">
      <c r="D5005">
        <v>2022</v>
      </c>
      <c r="E5005" t="s">
        <v>499</v>
      </c>
      <c r="F5005" t="s">
        <v>521</v>
      </c>
      <c r="G5005">
        <v>23</v>
      </c>
      <c r="I5005">
        <f t="shared" si="282"/>
        <v>0</v>
      </c>
      <c r="J5005">
        <f t="shared" si="282"/>
        <v>0</v>
      </c>
      <c r="K5005">
        <f t="shared" si="282"/>
        <v>0</v>
      </c>
      <c r="M5005" t="str" cm="1">
        <f t="array" ref="M5005">IFERROR(INDEX($I$2:$K$2,0,MATCH(TRUE,I5005:K5005,0)),E5005)</f>
        <v>OCGT_Oil</v>
      </c>
      <c r="O5005" t="str">
        <f t="shared" si="280"/>
        <v>OCGT_Oil_2022</v>
      </c>
      <c r="P5005">
        <f t="shared" si="281"/>
        <v>23</v>
      </c>
    </row>
    <row r="5006" spans="4:16" x14ac:dyDescent="0.25">
      <c r="D5006">
        <v>2023</v>
      </c>
      <c r="E5006" t="s">
        <v>499</v>
      </c>
      <c r="F5006" t="s">
        <v>521</v>
      </c>
      <c r="G5006">
        <v>23</v>
      </c>
      <c r="I5006">
        <f t="shared" si="282"/>
        <v>0</v>
      </c>
      <c r="J5006">
        <f t="shared" si="282"/>
        <v>0</v>
      </c>
      <c r="K5006">
        <f t="shared" si="282"/>
        <v>0</v>
      </c>
      <c r="M5006" t="str" cm="1">
        <f t="array" ref="M5006">IFERROR(INDEX($I$2:$K$2,0,MATCH(TRUE,I5006:K5006,0)),E5006)</f>
        <v>OCGT_Oil</v>
      </c>
      <c r="O5006" t="str">
        <f t="shared" si="280"/>
        <v>OCGT_Oil_2023</v>
      </c>
      <c r="P5006">
        <f t="shared" si="281"/>
        <v>23</v>
      </c>
    </row>
    <row r="5007" spans="4:16" x14ac:dyDescent="0.25">
      <c r="D5007">
        <v>2024</v>
      </c>
      <c r="E5007" t="s">
        <v>499</v>
      </c>
      <c r="F5007" t="s">
        <v>521</v>
      </c>
      <c r="G5007">
        <v>23</v>
      </c>
      <c r="I5007">
        <f t="shared" si="282"/>
        <v>0</v>
      </c>
      <c r="J5007">
        <f t="shared" si="282"/>
        <v>0</v>
      </c>
      <c r="K5007">
        <f t="shared" si="282"/>
        <v>0</v>
      </c>
      <c r="M5007" t="str" cm="1">
        <f t="array" ref="M5007">IFERROR(INDEX($I$2:$K$2,0,MATCH(TRUE,I5007:K5007,0)),E5007)</f>
        <v>OCGT_Oil</v>
      </c>
      <c r="O5007" t="str">
        <f t="shared" si="280"/>
        <v>OCGT_Oil_2024</v>
      </c>
      <c r="P5007">
        <f t="shared" si="281"/>
        <v>23</v>
      </c>
    </row>
    <row r="5008" spans="4:16" x14ac:dyDescent="0.25">
      <c r="D5008">
        <v>2025</v>
      </c>
      <c r="E5008" t="s">
        <v>499</v>
      </c>
      <c r="F5008" t="s">
        <v>521</v>
      </c>
      <c r="G5008">
        <v>23</v>
      </c>
      <c r="I5008">
        <f t="shared" si="282"/>
        <v>0</v>
      </c>
      <c r="J5008">
        <f t="shared" si="282"/>
        <v>0</v>
      </c>
      <c r="K5008">
        <f t="shared" si="282"/>
        <v>0</v>
      </c>
      <c r="M5008" t="str" cm="1">
        <f t="array" ref="M5008">IFERROR(INDEX($I$2:$K$2,0,MATCH(TRUE,I5008:K5008,0)),E5008)</f>
        <v>OCGT_Oil</v>
      </c>
      <c r="O5008" t="str">
        <f t="shared" si="280"/>
        <v>OCGT_Oil_2025</v>
      </c>
      <c r="P5008">
        <f t="shared" si="281"/>
        <v>23</v>
      </c>
    </row>
    <row r="5009" spans="4:16" x14ac:dyDescent="0.25">
      <c r="D5009">
        <v>2021</v>
      </c>
      <c r="E5009" t="s">
        <v>499</v>
      </c>
      <c r="F5009" t="s">
        <v>522</v>
      </c>
      <c r="G5009">
        <v>23</v>
      </c>
      <c r="I5009">
        <f t="shared" si="282"/>
        <v>0</v>
      </c>
      <c r="J5009">
        <f t="shared" si="282"/>
        <v>0</v>
      </c>
      <c r="K5009">
        <f t="shared" si="282"/>
        <v>0</v>
      </c>
      <c r="M5009" t="str" cm="1">
        <f t="array" ref="M5009">IFERROR(INDEX($I$2:$K$2,0,MATCH(TRUE,I5009:K5009,0)),E5009)</f>
        <v>OCGT_Oil</v>
      </c>
      <c r="O5009" t="str">
        <f t="shared" si="280"/>
        <v>OCGT_Oil_2021</v>
      </c>
      <c r="P5009">
        <f t="shared" si="281"/>
        <v>23</v>
      </c>
    </row>
    <row r="5010" spans="4:16" x14ac:dyDescent="0.25">
      <c r="D5010">
        <v>2022</v>
      </c>
      <c r="E5010" t="s">
        <v>499</v>
      </c>
      <c r="F5010" t="s">
        <v>522</v>
      </c>
      <c r="G5010">
        <v>23</v>
      </c>
      <c r="I5010">
        <f t="shared" si="282"/>
        <v>0</v>
      </c>
      <c r="J5010">
        <f t="shared" si="282"/>
        <v>0</v>
      </c>
      <c r="K5010">
        <f t="shared" si="282"/>
        <v>0</v>
      </c>
      <c r="M5010" t="str" cm="1">
        <f t="array" ref="M5010">IFERROR(INDEX($I$2:$K$2,0,MATCH(TRUE,I5010:K5010,0)),E5010)</f>
        <v>OCGT_Oil</v>
      </c>
      <c r="O5010" t="str">
        <f t="shared" si="280"/>
        <v>OCGT_Oil_2022</v>
      </c>
      <c r="P5010">
        <f t="shared" si="281"/>
        <v>23</v>
      </c>
    </row>
    <row r="5011" spans="4:16" x14ac:dyDescent="0.25">
      <c r="D5011">
        <v>2023</v>
      </c>
      <c r="E5011" t="s">
        <v>499</v>
      </c>
      <c r="F5011" t="s">
        <v>522</v>
      </c>
      <c r="G5011">
        <v>23</v>
      </c>
      <c r="I5011">
        <f t="shared" si="282"/>
        <v>0</v>
      </c>
      <c r="J5011">
        <f t="shared" si="282"/>
        <v>0</v>
      </c>
      <c r="K5011">
        <f t="shared" si="282"/>
        <v>0</v>
      </c>
      <c r="M5011" t="str" cm="1">
        <f t="array" ref="M5011">IFERROR(INDEX($I$2:$K$2,0,MATCH(TRUE,I5011:K5011,0)),E5011)</f>
        <v>OCGT_Oil</v>
      </c>
      <c r="O5011" t="str">
        <f t="shared" ref="O5011:O5074" si="283">M5011&amp;"_"&amp;D5011</f>
        <v>OCGT_Oil_2023</v>
      </c>
      <c r="P5011">
        <f t="shared" ref="P5011:P5074" si="284">G5011</f>
        <v>23</v>
      </c>
    </row>
    <row r="5012" spans="4:16" x14ac:dyDescent="0.25">
      <c r="D5012">
        <v>2024</v>
      </c>
      <c r="E5012" t="s">
        <v>499</v>
      </c>
      <c r="F5012" t="s">
        <v>522</v>
      </c>
      <c r="G5012">
        <v>23</v>
      </c>
      <c r="I5012">
        <f t="shared" si="282"/>
        <v>0</v>
      </c>
      <c r="J5012">
        <f t="shared" si="282"/>
        <v>0</v>
      </c>
      <c r="K5012">
        <f t="shared" si="282"/>
        <v>0</v>
      </c>
      <c r="M5012" t="str" cm="1">
        <f t="array" ref="M5012">IFERROR(INDEX($I$2:$K$2,0,MATCH(TRUE,I5012:K5012,0)),E5012)</f>
        <v>OCGT_Oil</v>
      </c>
      <c r="O5012" t="str">
        <f t="shared" si="283"/>
        <v>OCGT_Oil_2024</v>
      </c>
      <c r="P5012">
        <f t="shared" si="284"/>
        <v>23</v>
      </c>
    </row>
    <row r="5013" spans="4:16" x14ac:dyDescent="0.25">
      <c r="D5013">
        <v>2025</v>
      </c>
      <c r="E5013" t="s">
        <v>499</v>
      </c>
      <c r="F5013" t="s">
        <v>522</v>
      </c>
      <c r="G5013">
        <v>23</v>
      </c>
      <c r="I5013">
        <f t="shared" ref="I5013:K5076" si="285">IFERROR(FIND(I$2,$E5013,1)&gt;0,0)</f>
        <v>0</v>
      </c>
      <c r="J5013">
        <f t="shared" si="285"/>
        <v>0</v>
      </c>
      <c r="K5013">
        <f t="shared" si="285"/>
        <v>0</v>
      </c>
      <c r="M5013" t="str" cm="1">
        <f t="array" ref="M5013">IFERROR(INDEX($I$2:$K$2,0,MATCH(TRUE,I5013:K5013,0)),E5013)</f>
        <v>OCGT_Oil</v>
      </c>
      <c r="O5013" t="str">
        <f t="shared" si="283"/>
        <v>OCGT_Oil_2025</v>
      </c>
      <c r="P5013">
        <f t="shared" si="284"/>
        <v>23</v>
      </c>
    </row>
    <row r="5014" spans="4:16" x14ac:dyDescent="0.25">
      <c r="D5014">
        <v>2029</v>
      </c>
      <c r="E5014" t="s">
        <v>523</v>
      </c>
      <c r="F5014" t="s">
        <v>524</v>
      </c>
      <c r="G5014">
        <v>0</v>
      </c>
      <c r="I5014">
        <f t="shared" si="285"/>
        <v>0</v>
      </c>
      <c r="J5014" t="b">
        <f t="shared" si="285"/>
        <v>1</v>
      </c>
      <c r="K5014">
        <f t="shared" si="285"/>
        <v>0</v>
      </c>
      <c r="M5014" t="str" cm="1">
        <f t="array" ref="M5014">IFERROR(INDEX($I$2:$K$2,0,MATCH(TRUE,I5014:K5014,0)),E5014)</f>
        <v>Offshore</v>
      </c>
      <c r="O5014" t="str">
        <f t="shared" si="283"/>
        <v>Offshore_2029</v>
      </c>
      <c r="P5014">
        <f t="shared" si="284"/>
        <v>0</v>
      </c>
    </row>
    <row r="5015" spans="4:16" x14ac:dyDescent="0.25">
      <c r="D5015">
        <v>2030</v>
      </c>
      <c r="E5015" t="s">
        <v>523</v>
      </c>
      <c r="F5015" t="s">
        <v>524</v>
      </c>
      <c r="G5015">
        <v>17.5</v>
      </c>
      <c r="I5015">
        <f t="shared" si="285"/>
        <v>0</v>
      </c>
      <c r="J5015" t="b">
        <f t="shared" si="285"/>
        <v>1</v>
      </c>
      <c r="K5015">
        <f t="shared" si="285"/>
        <v>0</v>
      </c>
      <c r="M5015" t="str" cm="1">
        <f t="array" ref="M5015">IFERROR(INDEX($I$2:$K$2,0,MATCH(TRUE,I5015:K5015,0)),E5015)</f>
        <v>Offshore</v>
      </c>
      <c r="O5015" t="str">
        <f t="shared" si="283"/>
        <v>Offshore_2030</v>
      </c>
      <c r="P5015">
        <f t="shared" si="284"/>
        <v>17.5</v>
      </c>
    </row>
    <row r="5016" spans="4:16" x14ac:dyDescent="0.25">
      <c r="D5016">
        <v>2031</v>
      </c>
      <c r="E5016" t="s">
        <v>523</v>
      </c>
      <c r="F5016" t="s">
        <v>524</v>
      </c>
      <c r="G5016">
        <v>75</v>
      </c>
      <c r="I5016">
        <f t="shared" si="285"/>
        <v>0</v>
      </c>
      <c r="J5016" t="b">
        <f t="shared" si="285"/>
        <v>1</v>
      </c>
      <c r="K5016">
        <f t="shared" si="285"/>
        <v>0</v>
      </c>
      <c r="M5016" t="str" cm="1">
        <f t="array" ref="M5016">IFERROR(INDEX($I$2:$K$2,0,MATCH(TRUE,I5016:K5016,0)),E5016)</f>
        <v>Offshore</v>
      </c>
      <c r="O5016" t="str">
        <f t="shared" si="283"/>
        <v>Offshore_2031</v>
      </c>
      <c r="P5016">
        <f t="shared" si="284"/>
        <v>75</v>
      </c>
    </row>
    <row r="5017" spans="4:16" x14ac:dyDescent="0.25">
      <c r="D5017">
        <v>2032</v>
      </c>
      <c r="E5017" t="s">
        <v>523</v>
      </c>
      <c r="F5017" t="s">
        <v>524</v>
      </c>
      <c r="G5017">
        <v>209.15</v>
      </c>
      <c r="I5017">
        <f t="shared" si="285"/>
        <v>0</v>
      </c>
      <c r="J5017" t="b">
        <f t="shared" si="285"/>
        <v>1</v>
      </c>
      <c r="K5017">
        <f t="shared" si="285"/>
        <v>0</v>
      </c>
      <c r="M5017" t="str" cm="1">
        <f t="array" ref="M5017">IFERROR(INDEX($I$2:$K$2,0,MATCH(TRUE,I5017:K5017,0)),E5017)</f>
        <v>Offshore</v>
      </c>
      <c r="O5017" t="str">
        <f t="shared" si="283"/>
        <v>Offshore_2032</v>
      </c>
      <c r="P5017">
        <f t="shared" si="284"/>
        <v>209.15</v>
      </c>
    </row>
    <row r="5018" spans="4:16" x14ac:dyDescent="0.25">
      <c r="D5018">
        <v>2033</v>
      </c>
      <c r="E5018" t="s">
        <v>523</v>
      </c>
      <c r="F5018" t="s">
        <v>524</v>
      </c>
      <c r="G5018">
        <v>437.45</v>
      </c>
      <c r="I5018">
        <f t="shared" si="285"/>
        <v>0</v>
      </c>
      <c r="J5018" t="b">
        <f t="shared" si="285"/>
        <v>1</v>
      </c>
      <c r="K5018">
        <f t="shared" si="285"/>
        <v>0</v>
      </c>
      <c r="M5018" t="str" cm="1">
        <f t="array" ref="M5018">IFERROR(INDEX($I$2:$K$2,0,MATCH(TRUE,I5018:K5018,0)),E5018)</f>
        <v>Offshore</v>
      </c>
      <c r="O5018" t="str">
        <f t="shared" si="283"/>
        <v>Offshore_2033</v>
      </c>
      <c r="P5018">
        <f t="shared" si="284"/>
        <v>437.45</v>
      </c>
    </row>
    <row r="5019" spans="4:16" x14ac:dyDescent="0.25">
      <c r="D5019">
        <v>2034</v>
      </c>
      <c r="E5019" t="s">
        <v>523</v>
      </c>
      <c r="F5019" t="s">
        <v>524</v>
      </c>
      <c r="G5019">
        <v>825.75</v>
      </c>
      <c r="I5019">
        <f t="shared" si="285"/>
        <v>0</v>
      </c>
      <c r="J5019" t="b">
        <f t="shared" si="285"/>
        <v>1</v>
      </c>
      <c r="K5019">
        <f t="shared" si="285"/>
        <v>0</v>
      </c>
      <c r="M5019" t="str" cm="1">
        <f t="array" ref="M5019">IFERROR(INDEX($I$2:$K$2,0,MATCH(TRUE,I5019:K5019,0)),E5019)</f>
        <v>Offshore</v>
      </c>
      <c r="O5019" t="str">
        <f t="shared" si="283"/>
        <v>Offshore_2034</v>
      </c>
      <c r="P5019">
        <f t="shared" si="284"/>
        <v>825.75</v>
      </c>
    </row>
    <row r="5020" spans="4:16" x14ac:dyDescent="0.25">
      <c r="D5020">
        <v>2035</v>
      </c>
      <c r="E5020" t="s">
        <v>523</v>
      </c>
      <c r="F5020" t="s">
        <v>524</v>
      </c>
      <c r="G5020">
        <v>1214.05</v>
      </c>
      <c r="I5020">
        <f t="shared" si="285"/>
        <v>0</v>
      </c>
      <c r="J5020" t="b">
        <f t="shared" si="285"/>
        <v>1</v>
      </c>
      <c r="K5020">
        <f t="shared" si="285"/>
        <v>0</v>
      </c>
      <c r="M5020" t="str" cm="1">
        <f t="array" ref="M5020">IFERROR(INDEX($I$2:$K$2,0,MATCH(TRUE,I5020:K5020,0)),E5020)</f>
        <v>Offshore</v>
      </c>
      <c r="O5020" t="str">
        <f t="shared" si="283"/>
        <v>Offshore_2035</v>
      </c>
      <c r="P5020">
        <f t="shared" si="284"/>
        <v>1214.05</v>
      </c>
    </row>
    <row r="5021" spans="4:16" x14ac:dyDescent="0.25">
      <c r="D5021">
        <v>2036</v>
      </c>
      <c r="E5021" t="s">
        <v>523</v>
      </c>
      <c r="F5021" t="s">
        <v>524</v>
      </c>
      <c r="G5021">
        <v>1602.35</v>
      </c>
      <c r="I5021">
        <f t="shared" si="285"/>
        <v>0</v>
      </c>
      <c r="J5021" t="b">
        <f t="shared" si="285"/>
        <v>1</v>
      </c>
      <c r="K5021">
        <f t="shared" si="285"/>
        <v>0</v>
      </c>
      <c r="M5021" t="str" cm="1">
        <f t="array" ref="M5021">IFERROR(INDEX($I$2:$K$2,0,MATCH(TRUE,I5021:K5021,0)),E5021)</f>
        <v>Offshore</v>
      </c>
      <c r="O5021" t="str">
        <f t="shared" si="283"/>
        <v>Offshore_2036</v>
      </c>
      <c r="P5021">
        <f t="shared" si="284"/>
        <v>1602.35</v>
      </c>
    </row>
    <row r="5022" spans="4:16" x14ac:dyDescent="0.25">
      <c r="D5022">
        <v>2037</v>
      </c>
      <c r="E5022" t="s">
        <v>523</v>
      </c>
      <c r="F5022" t="s">
        <v>524</v>
      </c>
      <c r="G5022">
        <v>1990.65</v>
      </c>
      <c r="I5022">
        <f t="shared" si="285"/>
        <v>0</v>
      </c>
      <c r="J5022" t="b">
        <f t="shared" si="285"/>
        <v>1</v>
      </c>
      <c r="K5022">
        <f t="shared" si="285"/>
        <v>0</v>
      </c>
      <c r="M5022" t="str" cm="1">
        <f t="array" ref="M5022">IFERROR(INDEX($I$2:$K$2,0,MATCH(TRUE,I5022:K5022,0)),E5022)</f>
        <v>Offshore</v>
      </c>
      <c r="O5022" t="str">
        <f t="shared" si="283"/>
        <v>Offshore_2037</v>
      </c>
      <c r="P5022">
        <f t="shared" si="284"/>
        <v>1990.65</v>
      </c>
    </row>
    <row r="5023" spans="4:16" x14ac:dyDescent="0.25">
      <c r="D5023">
        <v>2038</v>
      </c>
      <c r="E5023" t="s">
        <v>523</v>
      </c>
      <c r="F5023" t="s">
        <v>524</v>
      </c>
      <c r="G5023">
        <v>2378.9499999999998</v>
      </c>
      <c r="I5023">
        <f t="shared" si="285"/>
        <v>0</v>
      </c>
      <c r="J5023" t="b">
        <f t="shared" si="285"/>
        <v>1</v>
      </c>
      <c r="K5023">
        <f t="shared" si="285"/>
        <v>0</v>
      </c>
      <c r="M5023" t="str" cm="1">
        <f t="array" ref="M5023">IFERROR(INDEX($I$2:$K$2,0,MATCH(TRUE,I5023:K5023,0)),E5023)</f>
        <v>Offshore</v>
      </c>
      <c r="O5023" t="str">
        <f t="shared" si="283"/>
        <v>Offshore_2038</v>
      </c>
      <c r="P5023">
        <f t="shared" si="284"/>
        <v>2378.9499999999998</v>
      </c>
    </row>
    <row r="5024" spans="4:16" x14ac:dyDescent="0.25">
      <c r="D5024">
        <v>2039</v>
      </c>
      <c r="E5024" t="s">
        <v>523</v>
      </c>
      <c r="F5024" t="s">
        <v>524</v>
      </c>
      <c r="G5024">
        <v>2767.25</v>
      </c>
      <c r="I5024">
        <f t="shared" si="285"/>
        <v>0</v>
      </c>
      <c r="J5024" t="b">
        <f t="shared" si="285"/>
        <v>1</v>
      </c>
      <c r="K5024">
        <f t="shared" si="285"/>
        <v>0</v>
      </c>
      <c r="M5024" t="str" cm="1">
        <f t="array" ref="M5024">IFERROR(INDEX($I$2:$K$2,0,MATCH(TRUE,I5024:K5024,0)),E5024)</f>
        <v>Offshore</v>
      </c>
      <c r="O5024" t="str">
        <f t="shared" si="283"/>
        <v>Offshore_2039</v>
      </c>
      <c r="P5024">
        <f t="shared" si="284"/>
        <v>2767.25</v>
      </c>
    </row>
    <row r="5025" spans="4:16" x14ac:dyDescent="0.25">
      <c r="D5025">
        <v>2040</v>
      </c>
      <c r="E5025" t="s">
        <v>523</v>
      </c>
      <c r="F5025" t="s">
        <v>524</v>
      </c>
      <c r="G5025">
        <v>3155.55</v>
      </c>
      <c r="I5025">
        <f t="shared" si="285"/>
        <v>0</v>
      </c>
      <c r="J5025" t="b">
        <f t="shared" si="285"/>
        <v>1</v>
      </c>
      <c r="K5025">
        <f t="shared" si="285"/>
        <v>0</v>
      </c>
      <c r="M5025" t="str" cm="1">
        <f t="array" ref="M5025">IFERROR(INDEX($I$2:$K$2,0,MATCH(TRUE,I5025:K5025,0)),E5025)</f>
        <v>Offshore</v>
      </c>
      <c r="O5025" t="str">
        <f t="shared" si="283"/>
        <v>Offshore_2040</v>
      </c>
      <c r="P5025">
        <f t="shared" si="284"/>
        <v>3155.55</v>
      </c>
    </row>
    <row r="5026" spans="4:16" x14ac:dyDescent="0.25">
      <c r="D5026">
        <v>2021</v>
      </c>
      <c r="E5026" t="s">
        <v>525</v>
      </c>
      <c r="F5026" t="s">
        <v>526</v>
      </c>
      <c r="G5026">
        <v>5880.9040000000005</v>
      </c>
      <c r="I5026">
        <f t="shared" si="285"/>
        <v>0</v>
      </c>
      <c r="J5026" t="b">
        <f t="shared" si="285"/>
        <v>1</v>
      </c>
      <c r="K5026">
        <f t="shared" si="285"/>
        <v>0</v>
      </c>
      <c r="M5026" t="str" cm="1">
        <f t="array" ref="M5026">IFERROR(INDEX($I$2:$K$2,0,MATCH(TRUE,I5026:K5026,0)),E5026)</f>
        <v>Offshore</v>
      </c>
      <c r="O5026" t="str">
        <f t="shared" si="283"/>
        <v>Offshore_2021</v>
      </c>
      <c r="P5026">
        <f t="shared" si="284"/>
        <v>5880.9040000000005</v>
      </c>
    </row>
    <row r="5027" spans="4:16" x14ac:dyDescent="0.25">
      <c r="D5027">
        <v>2022</v>
      </c>
      <c r="E5027" t="s">
        <v>525</v>
      </c>
      <c r="F5027" t="s">
        <v>526</v>
      </c>
      <c r="G5027">
        <v>5880.9040000000005</v>
      </c>
      <c r="I5027">
        <f t="shared" si="285"/>
        <v>0</v>
      </c>
      <c r="J5027" t="b">
        <f t="shared" si="285"/>
        <v>1</v>
      </c>
      <c r="K5027">
        <f t="shared" si="285"/>
        <v>0</v>
      </c>
      <c r="M5027" t="str" cm="1">
        <f t="array" ref="M5027">IFERROR(INDEX($I$2:$K$2,0,MATCH(TRUE,I5027:K5027,0)),E5027)</f>
        <v>Offshore</v>
      </c>
      <c r="O5027" t="str">
        <f t="shared" si="283"/>
        <v>Offshore_2022</v>
      </c>
      <c r="P5027">
        <f t="shared" si="284"/>
        <v>5880.9040000000005</v>
      </c>
    </row>
    <row r="5028" spans="4:16" x14ac:dyDescent="0.25">
      <c r="D5028">
        <v>2023</v>
      </c>
      <c r="E5028" t="s">
        <v>525</v>
      </c>
      <c r="F5028" t="s">
        <v>526</v>
      </c>
      <c r="G5028">
        <v>5880.9040000000005</v>
      </c>
      <c r="I5028">
        <f t="shared" si="285"/>
        <v>0</v>
      </c>
      <c r="J5028" t="b">
        <f t="shared" si="285"/>
        <v>1</v>
      </c>
      <c r="K5028">
        <f t="shared" si="285"/>
        <v>0</v>
      </c>
      <c r="M5028" t="str" cm="1">
        <f t="array" ref="M5028">IFERROR(INDEX($I$2:$K$2,0,MATCH(TRUE,I5028:K5028,0)),E5028)</f>
        <v>Offshore</v>
      </c>
      <c r="O5028" t="str">
        <f t="shared" si="283"/>
        <v>Offshore_2023</v>
      </c>
      <c r="P5028">
        <f t="shared" si="284"/>
        <v>5880.9040000000005</v>
      </c>
    </row>
    <row r="5029" spans="4:16" x14ac:dyDescent="0.25">
      <c r="D5029">
        <v>2024</v>
      </c>
      <c r="E5029" t="s">
        <v>525</v>
      </c>
      <c r="F5029" t="s">
        <v>526</v>
      </c>
      <c r="G5029">
        <v>5880.9040000000005</v>
      </c>
      <c r="I5029">
        <f t="shared" si="285"/>
        <v>0</v>
      </c>
      <c r="J5029" t="b">
        <f t="shared" si="285"/>
        <v>1</v>
      </c>
      <c r="K5029">
        <f t="shared" si="285"/>
        <v>0</v>
      </c>
      <c r="M5029" t="str" cm="1">
        <f t="array" ref="M5029">IFERROR(INDEX($I$2:$K$2,0,MATCH(TRUE,I5029:K5029,0)),E5029)</f>
        <v>Offshore</v>
      </c>
      <c r="O5029" t="str">
        <f t="shared" si="283"/>
        <v>Offshore_2024</v>
      </c>
      <c r="P5029">
        <f t="shared" si="284"/>
        <v>5880.9040000000005</v>
      </c>
    </row>
    <row r="5030" spans="4:16" x14ac:dyDescent="0.25">
      <c r="D5030">
        <v>2025</v>
      </c>
      <c r="E5030" t="s">
        <v>525</v>
      </c>
      <c r="F5030" t="s">
        <v>526</v>
      </c>
      <c r="G5030">
        <v>5880.9040000000005</v>
      </c>
      <c r="I5030">
        <f t="shared" si="285"/>
        <v>0</v>
      </c>
      <c r="J5030" t="b">
        <f t="shared" si="285"/>
        <v>1</v>
      </c>
      <c r="K5030">
        <f t="shared" si="285"/>
        <v>0</v>
      </c>
      <c r="M5030" t="str" cm="1">
        <f t="array" ref="M5030">IFERROR(INDEX($I$2:$K$2,0,MATCH(TRUE,I5030:K5030,0)),E5030)</f>
        <v>Offshore</v>
      </c>
      <c r="O5030" t="str">
        <f t="shared" si="283"/>
        <v>Offshore_2025</v>
      </c>
      <c r="P5030">
        <f t="shared" si="284"/>
        <v>5880.9040000000005</v>
      </c>
    </row>
    <row r="5031" spans="4:16" x14ac:dyDescent="0.25">
      <c r="D5031">
        <v>2026</v>
      </c>
      <c r="E5031" t="s">
        <v>525</v>
      </c>
      <c r="F5031" t="s">
        <v>526</v>
      </c>
      <c r="G5031">
        <v>5880.9040000000005</v>
      </c>
      <c r="I5031">
        <f t="shared" si="285"/>
        <v>0</v>
      </c>
      <c r="J5031" t="b">
        <f t="shared" si="285"/>
        <v>1</v>
      </c>
      <c r="K5031">
        <f t="shared" si="285"/>
        <v>0</v>
      </c>
      <c r="M5031" t="str" cm="1">
        <f t="array" ref="M5031">IFERROR(INDEX($I$2:$K$2,0,MATCH(TRUE,I5031:K5031,0)),E5031)</f>
        <v>Offshore</v>
      </c>
      <c r="O5031" t="str">
        <f t="shared" si="283"/>
        <v>Offshore_2026</v>
      </c>
      <c r="P5031">
        <f t="shared" si="284"/>
        <v>5880.9040000000005</v>
      </c>
    </row>
    <row r="5032" spans="4:16" x14ac:dyDescent="0.25">
      <c r="D5032">
        <v>2027</v>
      </c>
      <c r="E5032" t="s">
        <v>525</v>
      </c>
      <c r="F5032" t="s">
        <v>526</v>
      </c>
      <c r="G5032">
        <v>5880.9040000000005</v>
      </c>
      <c r="I5032">
        <f t="shared" si="285"/>
        <v>0</v>
      </c>
      <c r="J5032" t="b">
        <f t="shared" si="285"/>
        <v>1</v>
      </c>
      <c r="K5032">
        <f t="shared" si="285"/>
        <v>0</v>
      </c>
      <c r="M5032" t="str" cm="1">
        <f t="array" ref="M5032">IFERROR(INDEX($I$2:$K$2,0,MATCH(TRUE,I5032:K5032,0)),E5032)</f>
        <v>Offshore</v>
      </c>
      <c r="O5032" t="str">
        <f t="shared" si="283"/>
        <v>Offshore_2027</v>
      </c>
      <c r="P5032">
        <f t="shared" si="284"/>
        <v>5880.9040000000005</v>
      </c>
    </row>
    <row r="5033" spans="4:16" x14ac:dyDescent="0.25">
      <c r="D5033">
        <v>2028</v>
      </c>
      <c r="E5033" t="s">
        <v>525</v>
      </c>
      <c r="F5033" t="s">
        <v>526</v>
      </c>
      <c r="G5033">
        <v>5880.9040000000005</v>
      </c>
      <c r="I5033">
        <f t="shared" si="285"/>
        <v>0</v>
      </c>
      <c r="J5033" t="b">
        <f t="shared" si="285"/>
        <v>1</v>
      </c>
      <c r="K5033">
        <f t="shared" si="285"/>
        <v>0</v>
      </c>
      <c r="M5033" t="str" cm="1">
        <f t="array" ref="M5033">IFERROR(INDEX($I$2:$K$2,0,MATCH(TRUE,I5033:K5033,0)),E5033)</f>
        <v>Offshore</v>
      </c>
      <c r="O5033" t="str">
        <f t="shared" si="283"/>
        <v>Offshore_2028</v>
      </c>
      <c r="P5033">
        <f t="shared" si="284"/>
        <v>5880.9040000000005</v>
      </c>
    </row>
    <row r="5034" spans="4:16" x14ac:dyDescent="0.25">
      <c r="D5034">
        <v>2029</v>
      </c>
      <c r="E5034" t="s">
        <v>525</v>
      </c>
      <c r="F5034" t="s">
        <v>526</v>
      </c>
      <c r="G5034">
        <v>5880.9040000000005</v>
      </c>
      <c r="I5034">
        <f t="shared" si="285"/>
        <v>0</v>
      </c>
      <c r="J5034" t="b">
        <f t="shared" si="285"/>
        <v>1</v>
      </c>
      <c r="K5034">
        <f t="shared" si="285"/>
        <v>0</v>
      </c>
      <c r="M5034" t="str" cm="1">
        <f t="array" ref="M5034">IFERROR(INDEX($I$2:$K$2,0,MATCH(TRUE,I5034:K5034,0)),E5034)</f>
        <v>Offshore</v>
      </c>
      <c r="O5034" t="str">
        <f t="shared" si="283"/>
        <v>Offshore_2029</v>
      </c>
      <c r="P5034">
        <f t="shared" si="284"/>
        <v>5880.9040000000005</v>
      </c>
    </row>
    <row r="5035" spans="4:16" x14ac:dyDescent="0.25">
      <c r="D5035">
        <v>2030</v>
      </c>
      <c r="E5035" t="s">
        <v>525</v>
      </c>
      <c r="F5035" t="s">
        <v>526</v>
      </c>
      <c r="G5035">
        <v>5863.4040000000005</v>
      </c>
      <c r="I5035">
        <f t="shared" si="285"/>
        <v>0</v>
      </c>
      <c r="J5035" t="b">
        <f t="shared" si="285"/>
        <v>1</v>
      </c>
      <c r="K5035">
        <f t="shared" si="285"/>
        <v>0</v>
      </c>
      <c r="M5035" t="str" cm="1">
        <f t="array" ref="M5035">IFERROR(INDEX($I$2:$K$2,0,MATCH(TRUE,I5035:K5035,0)),E5035)</f>
        <v>Offshore</v>
      </c>
      <c r="O5035" t="str">
        <f t="shared" si="283"/>
        <v>Offshore_2030</v>
      </c>
      <c r="P5035">
        <f t="shared" si="284"/>
        <v>5863.4040000000005</v>
      </c>
    </row>
    <row r="5036" spans="4:16" x14ac:dyDescent="0.25">
      <c r="D5036">
        <v>2031</v>
      </c>
      <c r="E5036" t="s">
        <v>525</v>
      </c>
      <c r="F5036" t="s">
        <v>526</v>
      </c>
      <c r="G5036">
        <v>5805.9040000000005</v>
      </c>
      <c r="I5036">
        <f t="shared" si="285"/>
        <v>0</v>
      </c>
      <c r="J5036" t="b">
        <f t="shared" si="285"/>
        <v>1</v>
      </c>
      <c r="K5036">
        <f t="shared" si="285"/>
        <v>0</v>
      </c>
      <c r="M5036" t="str" cm="1">
        <f t="array" ref="M5036">IFERROR(INDEX($I$2:$K$2,0,MATCH(TRUE,I5036:K5036,0)),E5036)</f>
        <v>Offshore</v>
      </c>
      <c r="O5036" t="str">
        <f t="shared" si="283"/>
        <v>Offshore_2031</v>
      </c>
      <c r="P5036">
        <f t="shared" si="284"/>
        <v>5805.9040000000005</v>
      </c>
    </row>
    <row r="5037" spans="4:16" x14ac:dyDescent="0.25">
      <c r="D5037">
        <v>2032</v>
      </c>
      <c r="E5037" t="s">
        <v>525</v>
      </c>
      <c r="F5037" t="s">
        <v>526</v>
      </c>
      <c r="G5037">
        <v>5671.7539999999999</v>
      </c>
      <c r="I5037">
        <f t="shared" si="285"/>
        <v>0</v>
      </c>
      <c r="J5037" t="b">
        <f t="shared" si="285"/>
        <v>1</v>
      </c>
      <c r="K5037">
        <f t="shared" si="285"/>
        <v>0</v>
      </c>
      <c r="M5037" t="str" cm="1">
        <f t="array" ref="M5037">IFERROR(INDEX($I$2:$K$2,0,MATCH(TRUE,I5037:K5037,0)),E5037)</f>
        <v>Offshore</v>
      </c>
      <c r="O5037" t="str">
        <f t="shared" si="283"/>
        <v>Offshore_2032</v>
      </c>
      <c r="P5037">
        <f t="shared" si="284"/>
        <v>5671.7539999999999</v>
      </c>
    </row>
    <row r="5038" spans="4:16" x14ac:dyDescent="0.25">
      <c r="D5038">
        <v>2033</v>
      </c>
      <c r="E5038" t="s">
        <v>525</v>
      </c>
      <c r="F5038" t="s">
        <v>526</v>
      </c>
      <c r="G5038">
        <v>5443.4539999999997</v>
      </c>
      <c r="I5038">
        <f t="shared" si="285"/>
        <v>0</v>
      </c>
      <c r="J5038" t="b">
        <f t="shared" si="285"/>
        <v>1</v>
      </c>
      <c r="K5038">
        <f t="shared" si="285"/>
        <v>0</v>
      </c>
      <c r="M5038" t="str" cm="1">
        <f t="array" ref="M5038">IFERROR(INDEX($I$2:$K$2,0,MATCH(TRUE,I5038:K5038,0)),E5038)</f>
        <v>Offshore</v>
      </c>
      <c r="O5038" t="str">
        <f t="shared" si="283"/>
        <v>Offshore_2033</v>
      </c>
      <c r="P5038">
        <f t="shared" si="284"/>
        <v>5443.4539999999997</v>
      </c>
    </row>
    <row r="5039" spans="4:16" x14ac:dyDescent="0.25">
      <c r="D5039">
        <v>2034</v>
      </c>
      <c r="E5039" t="s">
        <v>525</v>
      </c>
      <c r="F5039" t="s">
        <v>526</v>
      </c>
      <c r="G5039">
        <v>5055.1540000000005</v>
      </c>
      <c r="I5039">
        <f t="shared" si="285"/>
        <v>0</v>
      </c>
      <c r="J5039" t="b">
        <f t="shared" si="285"/>
        <v>1</v>
      </c>
      <c r="K5039">
        <f t="shared" si="285"/>
        <v>0</v>
      </c>
      <c r="M5039" t="str" cm="1">
        <f t="array" ref="M5039">IFERROR(INDEX($I$2:$K$2,0,MATCH(TRUE,I5039:K5039,0)),E5039)</f>
        <v>Offshore</v>
      </c>
      <c r="O5039" t="str">
        <f t="shared" si="283"/>
        <v>Offshore_2034</v>
      </c>
      <c r="P5039">
        <f t="shared" si="284"/>
        <v>5055.1540000000005</v>
      </c>
    </row>
    <row r="5040" spans="4:16" x14ac:dyDescent="0.25">
      <c r="D5040">
        <v>2035</v>
      </c>
      <c r="E5040" t="s">
        <v>525</v>
      </c>
      <c r="F5040" t="s">
        <v>526</v>
      </c>
      <c r="G5040">
        <v>4666.8540000000003</v>
      </c>
      <c r="I5040">
        <f t="shared" si="285"/>
        <v>0</v>
      </c>
      <c r="J5040" t="b">
        <f t="shared" si="285"/>
        <v>1</v>
      </c>
      <c r="K5040">
        <f t="shared" si="285"/>
        <v>0</v>
      </c>
      <c r="M5040" t="str" cm="1">
        <f t="array" ref="M5040">IFERROR(INDEX($I$2:$K$2,0,MATCH(TRUE,I5040:K5040,0)),E5040)</f>
        <v>Offshore</v>
      </c>
      <c r="O5040" t="str">
        <f t="shared" si="283"/>
        <v>Offshore_2035</v>
      </c>
      <c r="P5040">
        <f t="shared" si="284"/>
        <v>4666.8540000000003</v>
      </c>
    </row>
    <row r="5041" spans="4:16" x14ac:dyDescent="0.25">
      <c r="D5041">
        <v>2036</v>
      </c>
      <c r="E5041" t="s">
        <v>525</v>
      </c>
      <c r="F5041" t="s">
        <v>526</v>
      </c>
      <c r="G5041">
        <v>4278.5540000000001</v>
      </c>
      <c r="I5041">
        <f t="shared" si="285"/>
        <v>0</v>
      </c>
      <c r="J5041" t="b">
        <f t="shared" si="285"/>
        <v>1</v>
      </c>
      <c r="K5041">
        <f t="shared" si="285"/>
        <v>0</v>
      </c>
      <c r="M5041" t="str" cm="1">
        <f t="array" ref="M5041">IFERROR(INDEX($I$2:$K$2,0,MATCH(TRUE,I5041:K5041,0)),E5041)</f>
        <v>Offshore</v>
      </c>
      <c r="O5041" t="str">
        <f t="shared" si="283"/>
        <v>Offshore_2036</v>
      </c>
      <c r="P5041">
        <f t="shared" si="284"/>
        <v>4278.5540000000001</v>
      </c>
    </row>
    <row r="5042" spans="4:16" x14ac:dyDescent="0.25">
      <c r="D5042">
        <v>2037</v>
      </c>
      <c r="E5042" t="s">
        <v>525</v>
      </c>
      <c r="F5042" t="s">
        <v>526</v>
      </c>
      <c r="G5042">
        <v>3890.2539999999999</v>
      </c>
      <c r="I5042">
        <f t="shared" si="285"/>
        <v>0</v>
      </c>
      <c r="J5042" t="b">
        <f t="shared" si="285"/>
        <v>1</v>
      </c>
      <c r="K5042">
        <f t="shared" si="285"/>
        <v>0</v>
      </c>
      <c r="M5042" t="str" cm="1">
        <f t="array" ref="M5042">IFERROR(INDEX($I$2:$K$2,0,MATCH(TRUE,I5042:K5042,0)),E5042)</f>
        <v>Offshore</v>
      </c>
      <c r="O5042" t="str">
        <f t="shared" si="283"/>
        <v>Offshore_2037</v>
      </c>
      <c r="P5042">
        <f t="shared" si="284"/>
        <v>3890.2539999999999</v>
      </c>
    </row>
    <row r="5043" spans="4:16" x14ac:dyDescent="0.25">
      <c r="D5043">
        <v>2038</v>
      </c>
      <c r="E5043" t="s">
        <v>525</v>
      </c>
      <c r="F5043" t="s">
        <v>526</v>
      </c>
      <c r="G5043">
        <v>3501.9540000000002</v>
      </c>
      <c r="I5043">
        <f t="shared" si="285"/>
        <v>0</v>
      </c>
      <c r="J5043" t="b">
        <f t="shared" si="285"/>
        <v>1</v>
      </c>
      <c r="K5043">
        <f t="shared" si="285"/>
        <v>0</v>
      </c>
      <c r="M5043" t="str" cm="1">
        <f t="array" ref="M5043">IFERROR(INDEX($I$2:$K$2,0,MATCH(TRUE,I5043:K5043,0)),E5043)</f>
        <v>Offshore</v>
      </c>
      <c r="O5043" t="str">
        <f t="shared" si="283"/>
        <v>Offshore_2038</v>
      </c>
      <c r="P5043">
        <f t="shared" si="284"/>
        <v>3501.9540000000002</v>
      </c>
    </row>
    <row r="5044" spans="4:16" x14ac:dyDescent="0.25">
      <c r="D5044">
        <v>2039</v>
      </c>
      <c r="E5044" t="s">
        <v>525</v>
      </c>
      <c r="F5044" t="s">
        <v>526</v>
      </c>
      <c r="G5044">
        <v>3113.654</v>
      </c>
      <c r="I5044">
        <f t="shared" si="285"/>
        <v>0</v>
      </c>
      <c r="J5044" t="b">
        <f t="shared" si="285"/>
        <v>1</v>
      </c>
      <c r="K5044">
        <f t="shared" si="285"/>
        <v>0</v>
      </c>
      <c r="M5044" t="str" cm="1">
        <f t="array" ref="M5044">IFERROR(INDEX($I$2:$K$2,0,MATCH(TRUE,I5044:K5044,0)),E5044)</f>
        <v>Offshore</v>
      </c>
      <c r="O5044" t="str">
        <f t="shared" si="283"/>
        <v>Offshore_2039</v>
      </c>
      <c r="P5044">
        <f t="shared" si="284"/>
        <v>3113.654</v>
      </c>
    </row>
    <row r="5045" spans="4:16" x14ac:dyDescent="0.25">
      <c r="D5045">
        <v>2040</v>
      </c>
      <c r="E5045" t="s">
        <v>525</v>
      </c>
      <c r="F5045" t="s">
        <v>526</v>
      </c>
      <c r="G5045">
        <v>2725.3539999999998</v>
      </c>
      <c r="I5045">
        <f t="shared" si="285"/>
        <v>0</v>
      </c>
      <c r="J5045" t="b">
        <f t="shared" si="285"/>
        <v>1</v>
      </c>
      <c r="K5045">
        <f t="shared" si="285"/>
        <v>0</v>
      </c>
      <c r="M5045" t="str" cm="1">
        <f t="array" ref="M5045">IFERROR(INDEX($I$2:$K$2,0,MATCH(TRUE,I5045:K5045,0)),E5045)</f>
        <v>Offshore</v>
      </c>
      <c r="O5045" t="str">
        <f t="shared" si="283"/>
        <v>Offshore_2040</v>
      </c>
      <c r="P5045">
        <f t="shared" si="284"/>
        <v>2725.3539999999998</v>
      </c>
    </row>
    <row r="5046" spans="4:16" x14ac:dyDescent="0.25">
      <c r="D5046">
        <v>2034</v>
      </c>
      <c r="E5046" t="s">
        <v>527</v>
      </c>
      <c r="F5046" t="s">
        <v>528</v>
      </c>
      <c r="G5046">
        <v>0</v>
      </c>
      <c r="I5046">
        <f t="shared" si="285"/>
        <v>0</v>
      </c>
      <c r="J5046" t="b">
        <f t="shared" si="285"/>
        <v>1</v>
      </c>
      <c r="K5046">
        <f t="shared" si="285"/>
        <v>0</v>
      </c>
      <c r="M5046" t="str" cm="1">
        <f t="array" ref="M5046">IFERROR(INDEX($I$2:$K$2,0,MATCH(TRUE,I5046:K5046,0)),E5046)</f>
        <v>Offshore</v>
      </c>
      <c r="O5046" t="str">
        <f t="shared" si="283"/>
        <v>Offshore_2034</v>
      </c>
      <c r="P5046">
        <f t="shared" si="284"/>
        <v>0</v>
      </c>
    </row>
    <row r="5047" spans="4:16" x14ac:dyDescent="0.25">
      <c r="D5047">
        <v>2035</v>
      </c>
      <c r="E5047" t="s">
        <v>527</v>
      </c>
      <c r="F5047" t="s">
        <v>528</v>
      </c>
      <c r="G5047">
        <v>362.65</v>
      </c>
      <c r="I5047">
        <f t="shared" si="285"/>
        <v>0</v>
      </c>
      <c r="J5047" t="b">
        <f t="shared" si="285"/>
        <v>1</v>
      </c>
      <c r="K5047">
        <f t="shared" si="285"/>
        <v>0</v>
      </c>
      <c r="M5047" t="str" cm="1">
        <f t="array" ref="M5047">IFERROR(INDEX($I$2:$K$2,0,MATCH(TRUE,I5047:K5047,0)),E5047)</f>
        <v>Offshore</v>
      </c>
      <c r="O5047" t="str">
        <f t="shared" si="283"/>
        <v>Offshore_2035</v>
      </c>
      <c r="P5047">
        <f t="shared" si="284"/>
        <v>362.65</v>
      </c>
    </row>
    <row r="5048" spans="4:16" x14ac:dyDescent="0.25">
      <c r="D5048">
        <v>2036</v>
      </c>
      <c r="E5048" t="s">
        <v>527</v>
      </c>
      <c r="F5048" t="s">
        <v>528</v>
      </c>
      <c r="G5048">
        <v>1822.546</v>
      </c>
      <c r="I5048">
        <f t="shared" si="285"/>
        <v>0</v>
      </c>
      <c r="J5048" t="b">
        <f t="shared" si="285"/>
        <v>1</v>
      </c>
      <c r="K5048">
        <f t="shared" si="285"/>
        <v>0</v>
      </c>
      <c r="M5048" t="str" cm="1">
        <f t="array" ref="M5048">IFERROR(INDEX($I$2:$K$2,0,MATCH(TRUE,I5048:K5048,0)),E5048)</f>
        <v>Offshore</v>
      </c>
      <c r="O5048" t="str">
        <f t="shared" si="283"/>
        <v>Offshore_2036</v>
      </c>
      <c r="P5048">
        <f t="shared" si="284"/>
        <v>1822.546</v>
      </c>
    </row>
    <row r="5049" spans="4:16" x14ac:dyDescent="0.25">
      <c r="D5049">
        <v>2037</v>
      </c>
      <c r="E5049" t="s">
        <v>527</v>
      </c>
      <c r="F5049" t="s">
        <v>528</v>
      </c>
      <c r="G5049">
        <v>3311.096</v>
      </c>
      <c r="I5049">
        <f t="shared" si="285"/>
        <v>0</v>
      </c>
      <c r="J5049" t="b">
        <f t="shared" si="285"/>
        <v>1</v>
      </c>
      <c r="K5049">
        <f t="shared" si="285"/>
        <v>0</v>
      </c>
      <c r="M5049" t="str" cm="1">
        <f t="array" ref="M5049">IFERROR(INDEX($I$2:$K$2,0,MATCH(TRUE,I5049:K5049,0)),E5049)</f>
        <v>Offshore</v>
      </c>
      <c r="O5049" t="str">
        <f t="shared" si="283"/>
        <v>Offshore_2037</v>
      </c>
      <c r="P5049">
        <f t="shared" si="284"/>
        <v>3311.096</v>
      </c>
    </row>
    <row r="5050" spans="4:16" x14ac:dyDescent="0.25">
      <c r="D5050">
        <v>2038</v>
      </c>
      <c r="E5050" t="s">
        <v>527</v>
      </c>
      <c r="F5050" t="s">
        <v>528</v>
      </c>
      <c r="G5050">
        <v>4115.55</v>
      </c>
      <c r="I5050">
        <f t="shared" si="285"/>
        <v>0</v>
      </c>
      <c r="J5050" t="b">
        <f t="shared" si="285"/>
        <v>1</v>
      </c>
      <c r="K5050">
        <f t="shared" si="285"/>
        <v>0</v>
      </c>
      <c r="M5050" t="str" cm="1">
        <f t="array" ref="M5050">IFERROR(INDEX($I$2:$K$2,0,MATCH(TRUE,I5050:K5050,0)),E5050)</f>
        <v>Offshore</v>
      </c>
      <c r="O5050" t="str">
        <f t="shared" si="283"/>
        <v>Offshore_2038</v>
      </c>
      <c r="P5050">
        <f t="shared" si="284"/>
        <v>4115.55</v>
      </c>
    </row>
    <row r="5051" spans="4:16" x14ac:dyDescent="0.25">
      <c r="D5051">
        <v>2039</v>
      </c>
      <c r="E5051" t="s">
        <v>527</v>
      </c>
      <c r="F5051" t="s">
        <v>528</v>
      </c>
      <c r="G5051">
        <v>4829.2</v>
      </c>
      <c r="I5051">
        <f t="shared" si="285"/>
        <v>0</v>
      </c>
      <c r="J5051" t="b">
        <f t="shared" si="285"/>
        <v>1</v>
      </c>
      <c r="K5051">
        <f t="shared" si="285"/>
        <v>0</v>
      </c>
      <c r="M5051" t="str" cm="1">
        <f t="array" ref="M5051">IFERROR(INDEX($I$2:$K$2,0,MATCH(TRUE,I5051:K5051,0)),E5051)</f>
        <v>Offshore</v>
      </c>
      <c r="O5051" t="str">
        <f t="shared" si="283"/>
        <v>Offshore_2039</v>
      </c>
      <c r="P5051">
        <f t="shared" si="284"/>
        <v>4829.2</v>
      </c>
    </row>
    <row r="5052" spans="4:16" x14ac:dyDescent="0.25">
      <c r="D5052">
        <v>2040</v>
      </c>
      <c r="E5052" t="s">
        <v>527</v>
      </c>
      <c r="F5052" t="s">
        <v>528</v>
      </c>
      <c r="G5052">
        <v>5536.2</v>
      </c>
      <c r="I5052">
        <f t="shared" si="285"/>
        <v>0</v>
      </c>
      <c r="J5052" t="b">
        <f t="shared" si="285"/>
        <v>1</v>
      </c>
      <c r="K5052">
        <f t="shared" si="285"/>
        <v>0</v>
      </c>
      <c r="M5052" t="str" cm="1">
        <f t="array" ref="M5052">IFERROR(INDEX($I$2:$K$2,0,MATCH(TRUE,I5052:K5052,0)),E5052)</f>
        <v>Offshore</v>
      </c>
      <c r="O5052" t="str">
        <f t="shared" si="283"/>
        <v>Offshore_2040</v>
      </c>
      <c r="P5052">
        <f t="shared" si="284"/>
        <v>5536.2</v>
      </c>
    </row>
    <row r="5053" spans="4:16" x14ac:dyDescent="0.25">
      <c r="D5053">
        <v>2024</v>
      </c>
      <c r="E5053" t="s">
        <v>529</v>
      </c>
      <c r="F5053" t="s">
        <v>530</v>
      </c>
      <c r="G5053">
        <v>0</v>
      </c>
      <c r="I5053">
        <f t="shared" si="285"/>
        <v>0</v>
      </c>
      <c r="J5053" t="b">
        <f t="shared" si="285"/>
        <v>1</v>
      </c>
      <c r="K5053">
        <f t="shared" si="285"/>
        <v>0</v>
      </c>
      <c r="M5053" t="str" cm="1">
        <f t="array" ref="M5053">IFERROR(INDEX($I$2:$K$2,0,MATCH(TRUE,I5053:K5053,0)),E5053)</f>
        <v>Offshore</v>
      </c>
      <c r="O5053" t="str">
        <f t="shared" si="283"/>
        <v>Offshore_2024</v>
      </c>
      <c r="P5053">
        <f t="shared" si="284"/>
        <v>0</v>
      </c>
    </row>
    <row r="5054" spans="4:16" x14ac:dyDescent="0.25">
      <c r="D5054">
        <v>2025</v>
      </c>
      <c r="E5054" t="s">
        <v>529</v>
      </c>
      <c r="F5054" t="s">
        <v>530</v>
      </c>
      <c r="G5054">
        <v>0.1</v>
      </c>
      <c r="I5054">
        <f t="shared" si="285"/>
        <v>0</v>
      </c>
      <c r="J5054" t="b">
        <f t="shared" si="285"/>
        <v>1</v>
      </c>
      <c r="K5054">
        <f t="shared" si="285"/>
        <v>0</v>
      </c>
      <c r="M5054" t="str" cm="1">
        <f t="array" ref="M5054">IFERROR(INDEX($I$2:$K$2,0,MATCH(TRUE,I5054:K5054,0)),E5054)</f>
        <v>Offshore</v>
      </c>
      <c r="O5054" t="str">
        <f t="shared" si="283"/>
        <v>Offshore_2025</v>
      </c>
      <c r="P5054">
        <f t="shared" si="284"/>
        <v>0.1</v>
      </c>
    </row>
    <row r="5055" spans="4:16" x14ac:dyDescent="0.25">
      <c r="D5055">
        <v>2026</v>
      </c>
      <c r="E5055" t="s">
        <v>529</v>
      </c>
      <c r="F5055" t="s">
        <v>530</v>
      </c>
      <c r="G5055">
        <v>0.1</v>
      </c>
      <c r="I5055">
        <f t="shared" si="285"/>
        <v>0</v>
      </c>
      <c r="J5055" t="b">
        <f t="shared" si="285"/>
        <v>1</v>
      </c>
      <c r="K5055">
        <f t="shared" si="285"/>
        <v>0</v>
      </c>
      <c r="M5055" t="str" cm="1">
        <f t="array" ref="M5055">IFERROR(INDEX($I$2:$K$2,0,MATCH(TRUE,I5055:K5055,0)),E5055)</f>
        <v>Offshore</v>
      </c>
      <c r="O5055" t="str">
        <f t="shared" si="283"/>
        <v>Offshore_2026</v>
      </c>
      <c r="P5055">
        <f t="shared" si="284"/>
        <v>0.1</v>
      </c>
    </row>
    <row r="5056" spans="4:16" x14ac:dyDescent="0.25">
      <c r="D5056">
        <v>2027</v>
      </c>
      <c r="E5056" t="s">
        <v>529</v>
      </c>
      <c r="F5056" t="s">
        <v>530</v>
      </c>
      <c r="G5056">
        <v>0.1</v>
      </c>
      <c r="I5056">
        <f t="shared" si="285"/>
        <v>0</v>
      </c>
      <c r="J5056" t="b">
        <f t="shared" si="285"/>
        <v>1</v>
      </c>
      <c r="K5056">
        <f t="shared" si="285"/>
        <v>0</v>
      </c>
      <c r="M5056" t="str" cm="1">
        <f t="array" ref="M5056">IFERROR(INDEX($I$2:$K$2,0,MATCH(TRUE,I5056:K5056,0)),E5056)</f>
        <v>Offshore</v>
      </c>
      <c r="O5056" t="str">
        <f t="shared" si="283"/>
        <v>Offshore_2027</v>
      </c>
      <c r="P5056">
        <f t="shared" si="284"/>
        <v>0.1</v>
      </c>
    </row>
    <row r="5057" spans="4:16" x14ac:dyDescent="0.25">
      <c r="D5057">
        <v>2028</v>
      </c>
      <c r="E5057" t="s">
        <v>529</v>
      </c>
      <c r="F5057" t="s">
        <v>530</v>
      </c>
      <c r="G5057">
        <v>0.1</v>
      </c>
      <c r="I5057">
        <f t="shared" si="285"/>
        <v>0</v>
      </c>
      <c r="J5057" t="b">
        <f t="shared" si="285"/>
        <v>1</v>
      </c>
      <c r="K5057">
        <f t="shared" si="285"/>
        <v>0</v>
      </c>
      <c r="M5057" t="str" cm="1">
        <f t="array" ref="M5057">IFERROR(INDEX($I$2:$K$2,0,MATCH(TRUE,I5057:K5057,0)),E5057)</f>
        <v>Offshore</v>
      </c>
      <c r="O5057" t="str">
        <f t="shared" si="283"/>
        <v>Offshore_2028</v>
      </c>
      <c r="P5057">
        <f t="shared" si="284"/>
        <v>0.1</v>
      </c>
    </row>
    <row r="5058" spans="4:16" x14ac:dyDescent="0.25">
      <c r="D5058">
        <v>2029</v>
      </c>
      <c r="E5058" t="s">
        <v>529</v>
      </c>
      <c r="F5058" t="s">
        <v>530</v>
      </c>
      <c r="G5058">
        <v>0.1</v>
      </c>
      <c r="I5058">
        <f t="shared" si="285"/>
        <v>0</v>
      </c>
      <c r="J5058" t="b">
        <f t="shared" si="285"/>
        <v>1</v>
      </c>
      <c r="K5058">
        <f t="shared" si="285"/>
        <v>0</v>
      </c>
      <c r="M5058" t="str" cm="1">
        <f t="array" ref="M5058">IFERROR(INDEX($I$2:$K$2,0,MATCH(TRUE,I5058:K5058,0)),E5058)</f>
        <v>Offshore</v>
      </c>
      <c r="O5058" t="str">
        <f t="shared" si="283"/>
        <v>Offshore_2029</v>
      </c>
      <c r="P5058">
        <f t="shared" si="284"/>
        <v>0.1</v>
      </c>
    </row>
    <row r="5059" spans="4:16" x14ac:dyDescent="0.25">
      <c r="D5059">
        <v>2030</v>
      </c>
      <c r="E5059" t="s">
        <v>529</v>
      </c>
      <c r="F5059" t="s">
        <v>530</v>
      </c>
      <c r="G5059">
        <v>0.1</v>
      </c>
      <c r="I5059">
        <f t="shared" si="285"/>
        <v>0</v>
      </c>
      <c r="J5059" t="b">
        <f t="shared" si="285"/>
        <v>1</v>
      </c>
      <c r="K5059">
        <f t="shared" si="285"/>
        <v>0</v>
      </c>
      <c r="M5059" t="str" cm="1">
        <f t="array" ref="M5059">IFERROR(INDEX($I$2:$K$2,0,MATCH(TRUE,I5059:K5059,0)),E5059)</f>
        <v>Offshore</v>
      </c>
      <c r="O5059" t="str">
        <f t="shared" si="283"/>
        <v>Offshore_2030</v>
      </c>
      <c r="P5059">
        <f t="shared" si="284"/>
        <v>0.1</v>
      </c>
    </row>
    <row r="5060" spans="4:16" x14ac:dyDescent="0.25">
      <c r="D5060">
        <v>2031</v>
      </c>
      <c r="E5060" t="s">
        <v>529</v>
      </c>
      <c r="F5060" t="s">
        <v>530</v>
      </c>
      <c r="G5060">
        <v>0.1</v>
      </c>
      <c r="I5060">
        <f t="shared" si="285"/>
        <v>0</v>
      </c>
      <c r="J5060" t="b">
        <f t="shared" si="285"/>
        <v>1</v>
      </c>
      <c r="K5060">
        <f t="shared" si="285"/>
        <v>0</v>
      </c>
      <c r="M5060" t="str" cm="1">
        <f t="array" ref="M5060">IFERROR(INDEX($I$2:$K$2,0,MATCH(TRUE,I5060:K5060,0)),E5060)</f>
        <v>Offshore</v>
      </c>
      <c r="O5060" t="str">
        <f t="shared" si="283"/>
        <v>Offshore_2031</v>
      </c>
      <c r="P5060">
        <f t="shared" si="284"/>
        <v>0.1</v>
      </c>
    </row>
    <row r="5061" spans="4:16" x14ac:dyDescent="0.25">
      <c r="D5061">
        <v>2032</v>
      </c>
      <c r="E5061" t="s">
        <v>529</v>
      </c>
      <c r="F5061" t="s">
        <v>530</v>
      </c>
      <c r="G5061">
        <v>0.1</v>
      </c>
      <c r="I5061">
        <f t="shared" si="285"/>
        <v>0</v>
      </c>
      <c r="J5061" t="b">
        <f t="shared" si="285"/>
        <v>1</v>
      </c>
      <c r="K5061">
        <f t="shared" si="285"/>
        <v>0</v>
      </c>
      <c r="M5061" t="str" cm="1">
        <f t="array" ref="M5061">IFERROR(INDEX($I$2:$K$2,0,MATCH(TRUE,I5061:K5061,0)),E5061)</f>
        <v>Offshore</v>
      </c>
      <c r="O5061" t="str">
        <f t="shared" si="283"/>
        <v>Offshore_2032</v>
      </c>
      <c r="P5061">
        <f t="shared" si="284"/>
        <v>0.1</v>
      </c>
    </row>
    <row r="5062" spans="4:16" x14ac:dyDescent="0.25">
      <c r="D5062">
        <v>2033</v>
      </c>
      <c r="E5062" t="s">
        <v>529</v>
      </c>
      <c r="F5062" t="s">
        <v>530</v>
      </c>
      <c r="G5062">
        <v>0.1</v>
      </c>
      <c r="I5062">
        <f t="shared" si="285"/>
        <v>0</v>
      </c>
      <c r="J5062" t="b">
        <f t="shared" si="285"/>
        <v>1</v>
      </c>
      <c r="K5062">
        <f t="shared" si="285"/>
        <v>0</v>
      </c>
      <c r="M5062" t="str" cm="1">
        <f t="array" ref="M5062">IFERROR(INDEX($I$2:$K$2,0,MATCH(TRUE,I5062:K5062,0)),E5062)</f>
        <v>Offshore</v>
      </c>
      <c r="O5062" t="str">
        <f t="shared" si="283"/>
        <v>Offshore_2033</v>
      </c>
      <c r="P5062">
        <f t="shared" si="284"/>
        <v>0.1</v>
      </c>
    </row>
    <row r="5063" spans="4:16" x14ac:dyDescent="0.25">
      <c r="D5063">
        <v>2034</v>
      </c>
      <c r="E5063" t="s">
        <v>529</v>
      </c>
      <c r="F5063" t="s">
        <v>530</v>
      </c>
      <c r="G5063">
        <v>0.1</v>
      </c>
      <c r="I5063">
        <f t="shared" si="285"/>
        <v>0</v>
      </c>
      <c r="J5063" t="b">
        <f t="shared" si="285"/>
        <v>1</v>
      </c>
      <c r="K5063">
        <f t="shared" si="285"/>
        <v>0</v>
      </c>
      <c r="M5063" t="str" cm="1">
        <f t="array" ref="M5063">IFERROR(INDEX($I$2:$K$2,0,MATCH(TRUE,I5063:K5063,0)),E5063)</f>
        <v>Offshore</v>
      </c>
      <c r="O5063" t="str">
        <f t="shared" si="283"/>
        <v>Offshore_2034</v>
      </c>
      <c r="P5063">
        <f t="shared" si="284"/>
        <v>0.1</v>
      </c>
    </row>
    <row r="5064" spans="4:16" x14ac:dyDescent="0.25">
      <c r="D5064">
        <v>2035</v>
      </c>
      <c r="E5064" t="s">
        <v>529</v>
      </c>
      <c r="F5064" t="s">
        <v>530</v>
      </c>
      <c r="G5064">
        <v>0.1</v>
      </c>
      <c r="I5064">
        <f t="shared" si="285"/>
        <v>0</v>
      </c>
      <c r="J5064" t="b">
        <f t="shared" si="285"/>
        <v>1</v>
      </c>
      <c r="K5064">
        <f t="shared" si="285"/>
        <v>0</v>
      </c>
      <c r="M5064" t="str" cm="1">
        <f t="array" ref="M5064">IFERROR(INDEX($I$2:$K$2,0,MATCH(TRUE,I5064:K5064,0)),E5064)</f>
        <v>Offshore</v>
      </c>
      <c r="O5064" t="str">
        <f t="shared" si="283"/>
        <v>Offshore_2035</v>
      </c>
      <c r="P5064">
        <f t="shared" si="284"/>
        <v>0.1</v>
      </c>
    </row>
    <row r="5065" spans="4:16" x14ac:dyDescent="0.25">
      <c r="D5065">
        <v>2036</v>
      </c>
      <c r="E5065" t="s">
        <v>529</v>
      </c>
      <c r="F5065" t="s">
        <v>530</v>
      </c>
      <c r="G5065">
        <v>0.1</v>
      </c>
      <c r="I5065">
        <f t="shared" si="285"/>
        <v>0</v>
      </c>
      <c r="J5065" t="b">
        <f t="shared" si="285"/>
        <v>1</v>
      </c>
      <c r="K5065">
        <f t="shared" si="285"/>
        <v>0</v>
      </c>
      <c r="M5065" t="str" cm="1">
        <f t="array" ref="M5065">IFERROR(INDEX($I$2:$K$2,0,MATCH(TRUE,I5065:K5065,0)),E5065)</f>
        <v>Offshore</v>
      </c>
      <c r="O5065" t="str">
        <f t="shared" si="283"/>
        <v>Offshore_2036</v>
      </c>
      <c r="P5065">
        <f t="shared" si="284"/>
        <v>0.1</v>
      </c>
    </row>
    <row r="5066" spans="4:16" x14ac:dyDescent="0.25">
      <c r="D5066">
        <v>2037</v>
      </c>
      <c r="E5066" t="s">
        <v>529</v>
      </c>
      <c r="F5066" t="s">
        <v>530</v>
      </c>
      <c r="G5066">
        <v>0.1</v>
      </c>
      <c r="I5066">
        <f t="shared" si="285"/>
        <v>0</v>
      </c>
      <c r="J5066" t="b">
        <f t="shared" si="285"/>
        <v>1</v>
      </c>
      <c r="K5066">
        <f t="shared" si="285"/>
        <v>0</v>
      </c>
      <c r="M5066" t="str" cm="1">
        <f t="array" ref="M5066">IFERROR(INDEX($I$2:$K$2,0,MATCH(TRUE,I5066:K5066,0)),E5066)</f>
        <v>Offshore</v>
      </c>
      <c r="O5066" t="str">
        <f t="shared" si="283"/>
        <v>Offshore_2037</v>
      </c>
      <c r="P5066">
        <f t="shared" si="284"/>
        <v>0.1</v>
      </c>
    </row>
    <row r="5067" spans="4:16" x14ac:dyDescent="0.25">
      <c r="D5067">
        <v>2038</v>
      </c>
      <c r="E5067" t="s">
        <v>529</v>
      </c>
      <c r="F5067" t="s">
        <v>530</v>
      </c>
      <c r="G5067">
        <v>0.1</v>
      </c>
      <c r="I5067">
        <f t="shared" si="285"/>
        <v>0</v>
      </c>
      <c r="J5067" t="b">
        <f t="shared" si="285"/>
        <v>1</v>
      </c>
      <c r="K5067">
        <f t="shared" si="285"/>
        <v>0</v>
      </c>
      <c r="M5067" t="str" cm="1">
        <f t="array" ref="M5067">IFERROR(INDEX($I$2:$K$2,0,MATCH(TRUE,I5067:K5067,0)),E5067)</f>
        <v>Offshore</v>
      </c>
      <c r="O5067" t="str">
        <f t="shared" si="283"/>
        <v>Offshore_2038</v>
      </c>
      <c r="P5067">
        <f t="shared" si="284"/>
        <v>0.1</v>
      </c>
    </row>
    <row r="5068" spans="4:16" x14ac:dyDescent="0.25">
      <c r="D5068">
        <v>2039</v>
      </c>
      <c r="E5068" t="s">
        <v>529</v>
      </c>
      <c r="F5068" t="s">
        <v>530</v>
      </c>
      <c r="G5068">
        <v>0.1</v>
      </c>
      <c r="I5068">
        <f t="shared" si="285"/>
        <v>0</v>
      </c>
      <c r="J5068" t="b">
        <f t="shared" si="285"/>
        <v>1</v>
      </c>
      <c r="K5068">
        <f t="shared" si="285"/>
        <v>0</v>
      </c>
      <c r="M5068" t="str" cm="1">
        <f t="array" ref="M5068">IFERROR(INDEX($I$2:$K$2,0,MATCH(TRUE,I5068:K5068,0)),E5068)</f>
        <v>Offshore</v>
      </c>
      <c r="O5068" t="str">
        <f t="shared" si="283"/>
        <v>Offshore_2039</v>
      </c>
      <c r="P5068">
        <f t="shared" si="284"/>
        <v>0.1</v>
      </c>
    </row>
    <row r="5069" spans="4:16" x14ac:dyDescent="0.25">
      <c r="D5069">
        <v>2040</v>
      </c>
      <c r="E5069" t="s">
        <v>529</v>
      </c>
      <c r="F5069" t="s">
        <v>530</v>
      </c>
      <c r="G5069">
        <v>0.1</v>
      </c>
      <c r="I5069">
        <f t="shared" si="285"/>
        <v>0</v>
      </c>
      <c r="J5069" t="b">
        <f t="shared" si="285"/>
        <v>1</v>
      </c>
      <c r="K5069">
        <f t="shared" si="285"/>
        <v>0</v>
      </c>
      <c r="M5069" t="str" cm="1">
        <f t="array" ref="M5069">IFERROR(INDEX($I$2:$K$2,0,MATCH(TRUE,I5069:K5069,0)),E5069)</f>
        <v>Offshore</v>
      </c>
      <c r="O5069" t="str">
        <f t="shared" si="283"/>
        <v>Offshore_2040</v>
      </c>
      <c r="P5069">
        <f t="shared" si="284"/>
        <v>0.1</v>
      </c>
    </row>
    <row r="5070" spans="4:16" x14ac:dyDescent="0.25">
      <c r="D5070">
        <v>2021</v>
      </c>
      <c r="E5070" t="s">
        <v>531</v>
      </c>
      <c r="F5070" t="s">
        <v>532</v>
      </c>
      <c r="G5070">
        <v>2133.096</v>
      </c>
      <c r="I5070">
        <f t="shared" si="285"/>
        <v>0</v>
      </c>
      <c r="J5070" t="b">
        <f t="shared" si="285"/>
        <v>1</v>
      </c>
      <c r="K5070">
        <f t="shared" si="285"/>
        <v>0</v>
      </c>
      <c r="M5070" t="str" cm="1">
        <f t="array" ref="M5070">IFERROR(INDEX($I$2:$K$2,0,MATCH(TRUE,I5070:K5070,0)),E5070)</f>
        <v>Offshore</v>
      </c>
      <c r="O5070" t="str">
        <f t="shared" si="283"/>
        <v>Offshore_2021</v>
      </c>
      <c r="P5070">
        <f t="shared" si="284"/>
        <v>2133.096</v>
      </c>
    </row>
    <row r="5071" spans="4:16" x14ac:dyDescent="0.25">
      <c r="D5071">
        <v>2022</v>
      </c>
      <c r="E5071" t="s">
        <v>531</v>
      </c>
      <c r="F5071" t="s">
        <v>532</v>
      </c>
      <c r="G5071">
        <v>2527.846</v>
      </c>
      <c r="I5071">
        <f t="shared" si="285"/>
        <v>0</v>
      </c>
      <c r="J5071" t="b">
        <f t="shared" si="285"/>
        <v>1</v>
      </c>
      <c r="K5071">
        <f t="shared" si="285"/>
        <v>0</v>
      </c>
      <c r="M5071" t="str" cm="1">
        <f t="array" ref="M5071">IFERROR(INDEX($I$2:$K$2,0,MATCH(TRUE,I5071:K5071,0)),E5071)</f>
        <v>Offshore</v>
      </c>
      <c r="O5071" t="str">
        <f t="shared" si="283"/>
        <v>Offshore_2022</v>
      </c>
      <c r="P5071">
        <f t="shared" si="284"/>
        <v>2527.846</v>
      </c>
    </row>
    <row r="5072" spans="4:16" x14ac:dyDescent="0.25">
      <c r="D5072">
        <v>2023</v>
      </c>
      <c r="E5072" t="s">
        <v>531</v>
      </c>
      <c r="F5072" t="s">
        <v>532</v>
      </c>
      <c r="G5072">
        <v>2905.346</v>
      </c>
      <c r="I5072">
        <f t="shared" si="285"/>
        <v>0</v>
      </c>
      <c r="J5072" t="b">
        <f t="shared" si="285"/>
        <v>1</v>
      </c>
      <c r="K5072">
        <f t="shared" si="285"/>
        <v>0</v>
      </c>
      <c r="M5072" t="str" cm="1">
        <f t="array" ref="M5072">IFERROR(INDEX($I$2:$K$2,0,MATCH(TRUE,I5072:K5072,0)),E5072)</f>
        <v>Offshore</v>
      </c>
      <c r="O5072" t="str">
        <f t="shared" si="283"/>
        <v>Offshore_2023</v>
      </c>
      <c r="P5072">
        <f t="shared" si="284"/>
        <v>2905.346</v>
      </c>
    </row>
    <row r="5073" spans="4:16" x14ac:dyDescent="0.25">
      <c r="D5073">
        <v>2024</v>
      </c>
      <c r="E5073" t="s">
        <v>531</v>
      </c>
      <c r="F5073" t="s">
        <v>532</v>
      </c>
      <c r="G5073">
        <v>3881.596</v>
      </c>
      <c r="I5073">
        <f t="shared" si="285"/>
        <v>0</v>
      </c>
      <c r="J5073" t="b">
        <f t="shared" si="285"/>
        <v>1</v>
      </c>
      <c r="K5073">
        <f t="shared" si="285"/>
        <v>0</v>
      </c>
      <c r="M5073" t="str" cm="1">
        <f t="array" ref="M5073">IFERROR(INDEX($I$2:$K$2,0,MATCH(TRUE,I5073:K5073,0)),E5073)</f>
        <v>Offshore</v>
      </c>
      <c r="O5073" t="str">
        <f t="shared" si="283"/>
        <v>Offshore_2024</v>
      </c>
      <c r="P5073">
        <f t="shared" si="284"/>
        <v>3881.596</v>
      </c>
    </row>
    <row r="5074" spans="4:16" x14ac:dyDescent="0.25">
      <c r="D5074">
        <v>2025</v>
      </c>
      <c r="E5074" t="s">
        <v>531</v>
      </c>
      <c r="F5074" t="s">
        <v>532</v>
      </c>
      <c r="G5074">
        <v>5456.5959999999995</v>
      </c>
      <c r="I5074">
        <f t="shared" si="285"/>
        <v>0</v>
      </c>
      <c r="J5074" t="b">
        <f t="shared" si="285"/>
        <v>1</v>
      </c>
      <c r="K5074">
        <f t="shared" si="285"/>
        <v>0</v>
      </c>
      <c r="M5074" t="str" cm="1">
        <f t="array" ref="M5074">IFERROR(INDEX($I$2:$K$2,0,MATCH(TRUE,I5074:K5074,0)),E5074)</f>
        <v>Offshore</v>
      </c>
      <c r="O5074" t="str">
        <f t="shared" si="283"/>
        <v>Offshore_2025</v>
      </c>
      <c r="P5074">
        <f t="shared" si="284"/>
        <v>5456.5959999999995</v>
      </c>
    </row>
    <row r="5075" spans="4:16" x14ac:dyDescent="0.25">
      <c r="D5075">
        <v>2026</v>
      </c>
      <c r="E5075" t="s">
        <v>531</v>
      </c>
      <c r="F5075" t="s">
        <v>532</v>
      </c>
      <c r="G5075">
        <v>7031.5959999999995</v>
      </c>
      <c r="I5075">
        <f t="shared" si="285"/>
        <v>0</v>
      </c>
      <c r="J5075" t="b">
        <f t="shared" si="285"/>
        <v>1</v>
      </c>
      <c r="K5075">
        <f t="shared" si="285"/>
        <v>0</v>
      </c>
      <c r="M5075" t="str" cm="1">
        <f t="array" ref="M5075">IFERROR(INDEX($I$2:$K$2,0,MATCH(TRUE,I5075:K5075,0)),E5075)</f>
        <v>Offshore</v>
      </c>
      <c r="O5075" t="str">
        <f t="shared" ref="O5075:O5138" si="286">M5075&amp;"_"&amp;D5075</f>
        <v>Offshore_2026</v>
      </c>
      <c r="P5075">
        <f t="shared" ref="P5075:P5138" si="287">G5075</f>
        <v>7031.5959999999995</v>
      </c>
    </row>
    <row r="5076" spans="4:16" x14ac:dyDescent="0.25">
      <c r="D5076">
        <v>2027</v>
      </c>
      <c r="E5076" t="s">
        <v>531</v>
      </c>
      <c r="F5076" t="s">
        <v>532</v>
      </c>
      <c r="G5076">
        <v>8606.5959999999995</v>
      </c>
      <c r="I5076">
        <f t="shared" si="285"/>
        <v>0</v>
      </c>
      <c r="J5076" t="b">
        <f t="shared" si="285"/>
        <v>1</v>
      </c>
      <c r="K5076">
        <f t="shared" si="285"/>
        <v>0</v>
      </c>
      <c r="M5076" t="str" cm="1">
        <f t="array" ref="M5076">IFERROR(INDEX($I$2:$K$2,0,MATCH(TRUE,I5076:K5076,0)),E5076)</f>
        <v>Offshore</v>
      </c>
      <c r="O5076" t="str">
        <f t="shared" si="286"/>
        <v>Offshore_2027</v>
      </c>
      <c r="P5076">
        <f t="shared" si="287"/>
        <v>8606.5959999999995</v>
      </c>
    </row>
    <row r="5077" spans="4:16" x14ac:dyDescent="0.25">
      <c r="D5077">
        <v>2028</v>
      </c>
      <c r="E5077" t="s">
        <v>531</v>
      </c>
      <c r="F5077" t="s">
        <v>532</v>
      </c>
      <c r="G5077">
        <v>10181.596</v>
      </c>
      <c r="I5077">
        <f t="shared" ref="I5077:K5140" si="288">IFERROR(FIND(I$2,$E5077,1)&gt;0,0)</f>
        <v>0</v>
      </c>
      <c r="J5077" t="b">
        <f t="shared" si="288"/>
        <v>1</v>
      </c>
      <c r="K5077">
        <f t="shared" si="288"/>
        <v>0</v>
      </c>
      <c r="M5077" t="str" cm="1">
        <f t="array" ref="M5077">IFERROR(INDEX($I$2:$K$2,0,MATCH(TRUE,I5077:K5077,0)),E5077)</f>
        <v>Offshore</v>
      </c>
      <c r="O5077" t="str">
        <f t="shared" si="286"/>
        <v>Offshore_2028</v>
      </c>
      <c r="P5077">
        <f t="shared" si="287"/>
        <v>10181.596</v>
      </c>
    </row>
    <row r="5078" spans="4:16" x14ac:dyDescent="0.25">
      <c r="D5078">
        <v>2029</v>
      </c>
      <c r="E5078" t="s">
        <v>531</v>
      </c>
      <c r="F5078" t="s">
        <v>532</v>
      </c>
      <c r="G5078">
        <v>11756.596</v>
      </c>
      <c r="I5078">
        <f t="shared" si="288"/>
        <v>0</v>
      </c>
      <c r="J5078" t="b">
        <f t="shared" si="288"/>
        <v>1</v>
      </c>
      <c r="K5078">
        <f t="shared" si="288"/>
        <v>0</v>
      </c>
      <c r="M5078" t="str" cm="1">
        <f t="array" ref="M5078">IFERROR(INDEX($I$2:$K$2,0,MATCH(TRUE,I5078:K5078,0)),E5078)</f>
        <v>Offshore</v>
      </c>
      <c r="O5078" t="str">
        <f t="shared" si="286"/>
        <v>Offshore_2029</v>
      </c>
      <c r="P5078">
        <f t="shared" si="287"/>
        <v>11756.596</v>
      </c>
    </row>
    <row r="5079" spans="4:16" x14ac:dyDescent="0.25">
      <c r="D5079">
        <v>2030</v>
      </c>
      <c r="E5079" t="s">
        <v>531</v>
      </c>
      <c r="F5079" t="s">
        <v>532</v>
      </c>
      <c r="G5079">
        <v>11756.596</v>
      </c>
      <c r="I5079">
        <f t="shared" si="288"/>
        <v>0</v>
      </c>
      <c r="J5079" t="b">
        <f t="shared" si="288"/>
        <v>1</v>
      </c>
      <c r="K5079">
        <f t="shared" si="288"/>
        <v>0</v>
      </c>
      <c r="M5079" t="str" cm="1">
        <f t="array" ref="M5079">IFERROR(INDEX($I$2:$K$2,0,MATCH(TRUE,I5079:K5079,0)),E5079)</f>
        <v>Offshore</v>
      </c>
      <c r="O5079" t="str">
        <f t="shared" si="286"/>
        <v>Offshore_2030</v>
      </c>
      <c r="P5079">
        <f t="shared" si="287"/>
        <v>11756.596</v>
      </c>
    </row>
    <row r="5080" spans="4:16" x14ac:dyDescent="0.25">
      <c r="D5080">
        <v>2031</v>
      </c>
      <c r="E5080" t="s">
        <v>531</v>
      </c>
      <c r="F5080" t="s">
        <v>532</v>
      </c>
      <c r="G5080">
        <v>11756.596</v>
      </c>
      <c r="I5080">
        <f t="shared" si="288"/>
        <v>0</v>
      </c>
      <c r="J5080" t="b">
        <f t="shared" si="288"/>
        <v>1</v>
      </c>
      <c r="K5080">
        <f t="shared" si="288"/>
        <v>0</v>
      </c>
      <c r="M5080" t="str" cm="1">
        <f t="array" ref="M5080">IFERROR(INDEX($I$2:$K$2,0,MATCH(TRUE,I5080:K5080,0)),E5080)</f>
        <v>Offshore</v>
      </c>
      <c r="O5080" t="str">
        <f t="shared" si="286"/>
        <v>Offshore_2031</v>
      </c>
      <c r="P5080">
        <f t="shared" si="287"/>
        <v>11756.596</v>
      </c>
    </row>
    <row r="5081" spans="4:16" x14ac:dyDescent="0.25">
      <c r="D5081">
        <v>2032</v>
      </c>
      <c r="E5081" t="s">
        <v>531</v>
      </c>
      <c r="F5081" t="s">
        <v>532</v>
      </c>
      <c r="G5081">
        <v>11756.596</v>
      </c>
      <c r="I5081">
        <f t="shared" si="288"/>
        <v>0</v>
      </c>
      <c r="J5081" t="b">
        <f t="shared" si="288"/>
        <v>1</v>
      </c>
      <c r="K5081">
        <f t="shared" si="288"/>
        <v>0</v>
      </c>
      <c r="M5081" t="str" cm="1">
        <f t="array" ref="M5081">IFERROR(INDEX($I$2:$K$2,0,MATCH(TRUE,I5081:K5081,0)),E5081)</f>
        <v>Offshore</v>
      </c>
      <c r="O5081" t="str">
        <f t="shared" si="286"/>
        <v>Offshore_2032</v>
      </c>
      <c r="P5081">
        <f t="shared" si="287"/>
        <v>11756.596</v>
      </c>
    </row>
    <row r="5082" spans="4:16" x14ac:dyDescent="0.25">
      <c r="D5082">
        <v>2033</v>
      </c>
      <c r="E5082" t="s">
        <v>531</v>
      </c>
      <c r="F5082" t="s">
        <v>532</v>
      </c>
      <c r="G5082">
        <v>11756.596</v>
      </c>
      <c r="I5082">
        <f t="shared" si="288"/>
        <v>0</v>
      </c>
      <c r="J5082" t="b">
        <f t="shared" si="288"/>
        <v>1</v>
      </c>
      <c r="K5082">
        <f t="shared" si="288"/>
        <v>0</v>
      </c>
      <c r="M5082" t="str" cm="1">
        <f t="array" ref="M5082">IFERROR(INDEX($I$2:$K$2,0,MATCH(TRUE,I5082:K5082,0)),E5082)</f>
        <v>Offshore</v>
      </c>
      <c r="O5082" t="str">
        <f t="shared" si="286"/>
        <v>Offshore_2033</v>
      </c>
      <c r="P5082">
        <f t="shared" si="287"/>
        <v>11756.596</v>
      </c>
    </row>
    <row r="5083" spans="4:16" x14ac:dyDescent="0.25">
      <c r="D5083">
        <v>2034</v>
      </c>
      <c r="E5083" t="s">
        <v>531</v>
      </c>
      <c r="F5083" t="s">
        <v>532</v>
      </c>
      <c r="G5083">
        <v>11756.596</v>
      </c>
      <c r="I5083">
        <f t="shared" si="288"/>
        <v>0</v>
      </c>
      <c r="J5083" t="b">
        <f t="shared" si="288"/>
        <v>1</v>
      </c>
      <c r="K5083">
        <f t="shared" si="288"/>
        <v>0</v>
      </c>
      <c r="M5083" t="str" cm="1">
        <f t="array" ref="M5083">IFERROR(INDEX($I$2:$K$2,0,MATCH(TRUE,I5083:K5083,0)),E5083)</f>
        <v>Offshore</v>
      </c>
      <c r="O5083" t="str">
        <f t="shared" si="286"/>
        <v>Offshore_2034</v>
      </c>
      <c r="P5083">
        <f t="shared" si="287"/>
        <v>11756.596</v>
      </c>
    </row>
    <row r="5084" spans="4:16" x14ac:dyDescent="0.25">
      <c r="D5084">
        <v>2035</v>
      </c>
      <c r="E5084" t="s">
        <v>531</v>
      </c>
      <c r="F5084" t="s">
        <v>532</v>
      </c>
      <c r="G5084">
        <v>11393.946</v>
      </c>
      <c r="I5084">
        <f t="shared" si="288"/>
        <v>0</v>
      </c>
      <c r="J5084" t="b">
        <f t="shared" si="288"/>
        <v>1</v>
      </c>
      <c r="K5084">
        <f t="shared" si="288"/>
        <v>0</v>
      </c>
      <c r="M5084" t="str" cm="1">
        <f t="array" ref="M5084">IFERROR(INDEX($I$2:$K$2,0,MATCH(TRUE,I5084:K5084,0)),E5084)</f>
        <v>Offshore</v>
      </c>
      <c r="O5084" t="str">
        <f t="shared" si="286"/>
        <v>Offshore_2035</v>
      </c>
      <c r="P5084">
        <f t="shared" si="287"/>
        <v>11393.946</v>
      </c>
    </row>
    <row r="5085" spans="4:16" x14ac:dyDescent="0.25">
      <c r="D5085">
        <v>2036</v>
      </c>
      <c r="E5085" t="s">
        <v>531</v>
      </c>
      <c r="F5085" t="s">
        <v>532</v>
      </c>
      <c r="G5085">
        <v>9934.0499999999993</v>
      </c>
      <c r="I5085">
        <f t="shared" si="288"/>
        <v>0</v>
      </c>
      <c r="J5085" t="b">
        <f t="shared" si="288"/>
        <v>1</v>
      </c>
      <c r="K5085">
        <f t="shared" si="288"/>
        <v>0</v>
      </c>
      <c r="M5085" t="str" cm="1">
        <f t="array" ref="M5085">IFERROR(INDEX($I$2:$K$2,0,MATCH(TRUE,I5085:K5085,0)),E5085)</f>
        <v>Offshore</v>
      </c>
      <c r="O5085" t="str">
        <f t="shared" si="286"/>
        <v>Offshore_2036</v>
      </c>
      <c r="P5085">
        <f t="shared" si="287"/>
        <v>9934.0499999999993</v>
      </c>
    </row>
    <row r="5086" spans="4:16" x14ac:dyDescent="0.25">
      <c r="D5086">
        <v>2037</v>
      </c>
      <c r="E5086" t="s">
        <v>531</v>
      </c>
      <c r="F5086" t="s">
        <v>532</v>
      </c>
      <c r="G5086">
        <v>8445.5</v>
      </c>
      <c r="I5086">
        <f t="shared" si="288"/>
        <v>0</v>
      </c>
      <c r="J5086" t="b">
        <f t="shared" si="288"/>
        <v>1</v>
      </c>
      <c r="K5086">
        <f t="shared" si="288"/>
        <v>0</v>
      </c>
      <c r="M5086" t="str" cm="1">
        <f t="array" ref="M5086">IFERROR(INDEX($I$2:$K$2,0,MATCH(TRUE,I5086:K5086,0)),E5086)</f>
        <v>Offshore</v>
      </c>
      <c r="O5086" t="str">
        <f t="shared" si="286"/>
        <v>Offshore_2037</v>
      </c>
      <c r="P5086">
        <f t="shared" si="287"/>
        <v>8445.5</v>
      </c>
    </row>
    <row r="5087" spans="4:16" x14ac:dyDescent="0.25">
      <c r="D5087">
        <v>2038</v>
      </c>
      <c r="E5087" t="s">
        <v>531</v>
      </c>
      <c r="F5087" t="s">
        <v>532</v>
      </c>
      <c r="G5087">
        <v>7641.0460000000003</v>
      </c>
      <c r="I5087">
        <f t="shared" si="288"/>
        <v>0</v>
      </c>
      <c r="J5087" t="b">
        <f t="shared" si="288"/>
        <v>1</v>
      </c>
      <c r="K5087">
        <f t="shared" si="288"/>
        <v>0</v>
      </c>
      <c r="M5087" t="str" cm="1">
        <f t="array" ref="M5087">IFERROR(INDEX($I$2:$K$2,0,MATCH(TRUE,I5087:K5087,0)),E5087)</f>
        <v>Offshore</v>
      </c>
      <c r="O5087" t="str">
        <f t="shared" si="286"/>
        <v>Offshore_2038</v>
      </c>
      <c r="P5087">
        <f t="shared" si="287"/>
        <v>7641.0460000000003</v>
      </c>
    </row>
    <row r="5088" spans="4:16" x14ac:dyDescent="0.25">
      <c r="D5088">
        <v>2039</v>
      </c>
      <c r="E5088" t="s">
        <v>531</v>
      </c>
      <c r="F5088" t="s">
        <v>532</v>
      </c>
      <c r="G5088">
        <v>6927.3959999999997</v>
      </c>
      <c r="I5088">
        <f t="shared" si="288"/>
        <v>0</v>
      </c>
      <c r="J5088" t="b">
        <f t="shared" si="288"/>
        <v>1</v>
      </c>
      <c r="K5088">
        <f t="shared" si="288"/>
        <v>0</v>
      </c>
      <c r="M5088" t="str" cm="1">
        <f t="array" ref="M5088">IFERROR(INDEX($I$2:$K$2,0,MATCH(TRUE,I5088:K5088,0)),E5088)</f>
        <v>Offshore</v>
      </c>
      <c r="O5088" t="str">
        <f t="shared" si="286"/>
        <v>Offshore_2039</v>
      </c>
      <c r="P5088">
        <f t="shared" si="287"/>
        <v>6927.3959999999997</v>
      </c>
    </row>
    <row r="5089" spans="4:16" x14ac:dyDescent="0.25">
      <c r="D5089">
        <v>2040</v>
      </c>
      <c r="E5089" t="s">
        <v>531</v>
      </c>
      <c r="F5089" t="s">
        <v>532</v>
      </c>
      <c r="G5089">
        <v>6220.3959999999997</v>
      </c>
      <c r="I5089">
        <f t="shared" si="288"/>
        <v>0</v>
      </c>
      <c r="J5089" t="b">
        <f t="shared" si="288"/>
        <v>1</v>
      </c>
      <c r="K5089">
        <f t="shared" si="288"/>
        <v>0</v>
      </c>
      <c r="M5089" t="str" cm="1">
        <f t="array" ref="M5089">IFERROR(INDEX($I$2:$K$2,0,MATCH(TRUE,I5089:K5089,0)),E5089)</f>
        <v>Offshore</v>
      </c>
      <c r="O5089" t="str">
        <f t="shared" si="286"/>
        <v>Offshore_2040</v>
      </c>
      <c r="P5089">
        <f t="shared" si="287"/>
        <v>6220.3959999999997</v>
      </c>
    </row>
    <row r="5090" spans="4:16" x14ac:dyDescent="0.25">
      <c r="D5090">
        <v>2024</v>
      </c>
      <c r="E5090" t="s">
        <v>533</v>
      </c>
      <c r="F5090" t="s">
        <v>534</v>
      </c>
      <c r="G5090">
        <v>0</v>
      </c>
      <c r="I5090">
        <f t="shared" si="288"/>
        <v>0</v>
      </c>
      <c r="J5090" t="b">
        <f t="shared" si="288"/>
        <v>1</v>
      </c>
      <c r="K5090">
        <f t="shared" si="288"/>
        <v>0</v>
      </c>
      <c r="M5090" t="str" cm="1">
        <f t="array" ref="M5090">IFERROR(INDEX($I$2:$K$2,0,MATCH(TRUE,I5090:K5090,0)),E5090)</f>
        <v>Offshore</v>
      </c>
      <c r="O5090" t="str">
        <f t="shared" si="286"/>
        <v>Offshore_2024</v>
      </c>
      <c r="P5090">
        <f t="shared" si="287"/>
        <v>0</v>
      </c>
    </row>
    <row r="5091" spans="4:16" x14ac:dyDescent="0.25">
      <c r="D5091">
        <v>2025</v>
      </c>
      <c r="E5091" t="s">
        <v>533</v>
      </c>
      <c r="F5091" t="s">
        <v>534</v>
      </c>
      <c r="G5091">
        <v>0.1</v>
      </c>
      <c r="I5091">
        <f t="shared" si="288"/>
        <v>0</v>
      </c>
      <c r="J5091" t="b">
        <f t="shared" si="288"/>
        <v>1</v>
      </c>
      <c r="K5091">
        <f t="shared" si="288"/>
        <v>0</v>
      </c>
      <c r="M5091" t="str" cm="1">
        <f t="array" ref="M5091">IFERROR(INDEX($I$2:$K$2,0,MATCH(TRUE,I5091:K5091,0)),E5091)</f>
        <v>Offshore</v>
      </c>
      <c r="O5091" t="str">
        <f t="shared" si="286"/>
        <v>Offshore_2025</v>
      </c>
      <c r="P5091">
        <f t="shared" si="287"/>
        <v>0.1</v>
      </c>
    </row>
    <row r="5092" spans="4:16" x14ac:dyDescent="0.25">
      <c r="D5092">
        <v>2026</v>
      </c>
      <c r="E5092" t="s">
        <v>533</v>
      </c>
      <c r="F5092" t="s">
        <v>534</v>
      </c>
      <c r="G5092">
        <v>0.1</v>
      </c>
      <c r="I5092">
        <f t="shared" si="288"/>
        <v>0</v>
      </c>
      <c r="J5092" t="b">
        <f t="shared" si="288"/>
        <v>1</v>
      </c>
      <c r="K5092">
        <f t="shared" si="288"/>
        <v>0</v>
      </c>
      <c r="M5092" t="str" cm="1">
        <f t="array" ref="M5092">IFERROR(INDEX($I$2:$K$2,0,MATCH(TRUE,I5092:K5092,0)),E5092)</f>
        <v>Offshore</v>
      </c>
      <c r="O5092" t="str">
        <f t="shared" si="286"/>
        <v>Offshore_2026</v>
      </c>
      <c r="P5092">
        <f t="shared" si="287"/>
        <v>0.1</v>
      </c>
    </row>
    <row r="5093" spans="4:16" x14ac:dyDescent="0.25">
      <c r="D5093">
        <v>2027</v>
      </c>
      <c r="E5093" t="s">
        <v>533</v>
      </c>
      <c r="F5093" t="s">
        <v>534</v>
      </c>
      <c r="G5093">
        <v>0.1</v>
      </c>
      <c r="I5093">
        <f t="shared" si="288"/>
        <v>0</v>
      </c>
      <c r="J5093" t="b">
        <f t="shared" si="288"/>
        <v>1</v>
      </c>
      <c r="K5093">
        <f t="shared" si="288"/>
        <v>0</v>
      </c>
      <c r="M5093" t="str" cm="1">
        <f t="array" ref="M5093">IFERROR(INDEX($I$2:$K$2,0,MATCH(TRUE,I5093:K5093,0)),E5093)</f>
        <v>Offshore</v>
      </c>
      <c r="O5093" t="str">
        <f t="shared" si="286"/>
        <v>Offshore_2027</v>
      </c>
      <c r="P5093">
        <f t="shared" si="287"/>
        <v>0.1</v>
      </c>
    </row>
    <row r="5094" spans="4:16" x14ac:dyDescent="0.25">
      <c r="D5094">
        <v>2028</v>
      </c>
      <c r="E5094" t="s">
        <v>533</v>
      </c>
      <c r="F5094" t="s">
        <v>534</v>
      </c>
      <c r="G5094">
        <v>0.1</v>
      </c>
      <c r="I5094">
        <f t="shared" si="288"/>
        <v>0</v>
      </c>
      <c r="J5094" t="b">
        <f t="shared" si="288"/>
        <v>1</v>
      </c>
      <c r="K5094">
        <f t="shared" si="288"/>
        <v>0</v>
      </c>
      <c r="M5094" t="str" cm="1">
        <f t="array" ref="M5094">IFERROR(INDEX($I$2:$K$2,0,MATCH(TRUE,I5094:K5094,0)),E5094)</f>
        <v>Offshore</v>
      </c>
      <c r="O5094" t="str">
        <f t="shared" si="286"/>
        <v>Offshore_2028</v>
      </c>
      <c r="P5094">
        <f t="shared" si="287"/>
        <v>0.1</v>
      </c>
    </row>
    <row r="5095" spans="4:16" x14ac:dyDescent="0.25">
      <c r="D5095">
        <v>2029</v>
      </c>
      <c r="E5095" t="s">
        <v>533</v>
      </c>
      <c r="F5095" t="s">
        <v>534</v>
      </c>
      <c r="G5095">
        <v>0.1</v>
      </c>
      <c r="I5095">
        <f t="shared" si="288"/>
        <v>0</v>
      </c>
      <c r="J5095" t="b">
        <f t="shared" si="288"/>
        <v>1</v>
      </c>
      <c r="K5095">
        <f t="shared" si="288"/>
        <v>0</v>
      </c>
      <c r="M5095" t="str" cm="1">
        <f t="array" ref="M5095">IFERROR(INDEX($I$2:$K$2,0,MATCH(TRUE,I5095:K5095,0)),E5095)</f>
        <v>Offshore</v>
      </c>
      <c r="O5095" t="str">
        <f t="shared" si="286"/>
        <v>Offshore_2029</v>
      </c>
      <c r="P5095">
        <f t="shared" si="287"/>
        <v>0.1</v>
      </c>
    </row>
    <row r="5096" spans="4:16" x14ac:dyDescent="0.25">
      <c r="D5096">
        <v>2030</v>
      </c>
      <c r="E5096" t="s">
        <v>533</v>
      </c>
      <c r="F5096" t="s">
        <v>534</v>
      </c>
      <c r="G5096">
        <v>0.1</v>
      </c>
      <c r="I5096">
        <f t="shared" si="288"/>
        <v>0</v>
      </c>
      <c r="J5096" t="b">
        <f t="shared" si="288"/>
        <v>1</v>
      </c>
      <c r="K5096">
        <f t="shared" si="288"/>
        <v>0</v>
      </c>
      <c r="M5096" t="str" cm="1">
        <f t="array" ref="M5096">IFERROR(INDEX($I$2:$K$2,0,MATCH(TRUE,I5096:K5096,0)),E5096)</f>
        <v>Offshore</v>
      </c>
      <c r="O5096" t="str">
        <f t="shared" si="286"/>
        <v>Offshore_2030</v>
      </c>
      <c r="P5096">
        <f t="shared" si="287"/>
        <v>0.1</v>
      </c>
    </row>
    <row r="5097" spans="4:16" x14ac:dyDescent="0.25">
      <c r="D5097">
        <v>2031</v>
      </c>
      <c r="E5097" t="s">
        <v>533</v>
      </c>
      <c r="F5097" t="s">
        <v>534</v>
      </c>
      <c r="G5097">
        <v>0.1</v>
      </c>
      <c r="I5097">
        <f t="shared" si="288"/>
        <v>0</v>
      </c>
      <c r="J5097" t="b">
        <f t="shared" si="288"/>
        <v>1</v>
      </c>
      <c r="K5097">
        <f t="shared" si="288"/>
        <v>0</v>
      </c>
      <c r="M5097" t="str" cm="1">
        <f t="array" ref="M5097">IFERROR(INDEX($I$2:$K$2,0,MATCH(TRUE,I5097:K5097,0)),E5097)</f>
        <v>Offshore</v>
      </c>
      <c r="O5097" t="str">
        <f t="shared" si="286"/>
        <v>Offshore_2031</v>
      </c>
      <c r="P5097">
        <f t="shared" si="287"/>
        <v>0.1</v>
      </c>
    </row>
    <row r="5098" spans="4:16" x14ac:dyDescent="0.25">
      <c r="D5098">
        <v>2032</v>
      </c>
      <c r="E5098" t="s">
        <v>533</v>
      </c>
      <c r="F5098" t="s">
        <v>534</v>
      </c>
      <c r="G5098">
        <v>0.1</v>
      </c>
      <c r="I5098">
        <f t="shared" si="288"/>
        <v>0</v>
      </c>
      <c r="J5098" t="b">
        <f t="shared" si="288"/>
        <v>1</v>
      </c>
      <c r="K5098">
        <f t="shared" si="288"/>
        <v>0</v>
      </c>
      <c r="M5098" t="str" cm="1">
        <f t="array" ref="M5098">IFERROR(INDEX($I$2:$K$2,0,MATCH(TRUE,I5098:K5098,0)),E5098)</f>
        <v>Offshore</v>
      </c>
      <c r="O5098" t="str">
        <f t="shared" si="286"/>
        <v>Offshore_2032</v>
      </c>
      <c r="P5098">
        <f t="shared" si="287"/>
        <v>0.1</v>
      </c>
    </row>
    <row r="5099" spans="4:16" x14ac:dyDescent="0.25">
      <c r="D5099">
        <v>2033</v>
      </c>
      <c r="E5099" t="s">
        <v>533</v>
      </c>
      <c r="F5099" t="s">
        <v>534</v>
      </c>
      <c r="G5099">
        <v>0.1</v>
      </c>
      <c r="I5099">
        <f t="shared" si="288"/>
        <v>0</v>
      </c>
      <c r="J5099" t="b">
        <f t="shared" si="288"/>
        <v>1</v>
      </c>
      <c r="K5099">
        <f t="shared" si="288"/>
        <v>0</v>
      </c>
      <c r="M5099" t="str" cm="1">
        <f t="array" ref="M5099">IFERROR(INDEX($I$2:$K$2,0,MATCH(TRUE,I5099:K5099,0)),E5099)</f>
        <v>Offshore</v>
      </c>
      <c r="O5099" t="str">
        <f t="shared" si="286"/>
        <v>Offshore_2033</v>
      </c>
      <c r="P5099">
        <f t="shared" si="287"/>
        <v>0.1</v>
      </c>
    </row>
    <row r="5100" spans="4:16" x14ac:dyDescent="0.25">
      <c r="D5100">
        <v>2034</v>
      </c>
      <c r="E5100" t="s">
        <v>533</v>
      </c>
      <c r="F5100" t="s">
        <v>534</v>
      </c>
      <c r="G5100">
        <v>0.1</v>
      </c>
      <c r="I5100">
        <f t="shared" si="288"/>
        <v>0</v>
      </c>
      <c r="J5100" t="b">
        <f t="shared" si="288"/>
        <v>1</v>
      </c>
      <c r="K5100">
        <f t="shared" si="288"/>
        <v>0</v>
      </c>
      <c r="M5100" t="str" cm="1">
        <f t="array" ref="M5100">IFERROR(INDEX($I$2:$K$2,0,MATCH(TRUE,I5100:K5100,0)),E5100)</f>
        <v>Offshore</v>
      </c>
      <c r="O5100" t="str">
        <f t="shared" si="286"/>
        <v>Offshore_2034</v>
      </c>
      <c r="P5100">
        <f t="shared" si="287"/>
        <v>0.1</v>
      </c>
    </row>
    <row r="5101" spans="4:16" x14ac:dyDescent="0.25">
      <c r="D5101">
        <v>2035</v>
      </c>
      <c r="E5101" t="s">
        <v>533</v>
      </c>
      <c r="F5101" t="s">
        <v>534</v>
      </c>
      <c r="G5101">
        <v>0.1</v>
      </c>
      <c r="I5101">
        <f t="shared" si="288"/>
        <v>0</v>
      </c>
      <c r="J5101" t="b">
        <f t="shared" si="288"/>
        <v>1</v>
      </c>
      <c r="K5101">
        <f t="shared" si="288"/>
        <v>0</v>
      </c>
      <c r="M5101" t="str" cm="1">
        <f t="array" ref="M5101">IFERROR(INDEX($I$2:$K$2,0,MATCH(TRUE,I5101:K5101,0)),E5101)</f>
        <v>Offshore</v>
      </c>
      <c r="O5101" t="str">
        <f t="shared" si="286"/>
        <v>Offshore_2035</v>
      </c>
      <c r="P5101">
        <f t="shared" si="287"/>
        <v>0.1</v>
      </c>
    </row>
    <row r="5102" spans="4:16" x14ac:dyDescent="0.25">
      <c r="D5102">
        <v>2036</v>
      </c>
      <c r="E5102" t="s">
        <v>533</v>
      </c>
      <c r="F5102" t="s">
        <v>534</v>
      </c>
      <c r="G5102">
        <v>670.2</v>
      </c>
      <c r="I5102">
        <f t="shared" si="288"/>
        <v>0</v>
      </c>
      <c r="J5102" t="b">
        <f t="shared" si="288"/>
        <v>1</v>
      </c>
      <c r="K5102">
        <f t="shared" si="288"/>
        <v>0</v>
      </c>
      <c r="M5102" t="str" cm="1">
        <f t="array" ref="M5102">IFERROR(INDEX($I$2:$K$2,0,MATCH(TRUE,I5102:K5102,0)),E5102)</f>
        <v>Offshore</v>
      </c>
      <c r="O5102" t="str">
        <f t="shared" si="286"/>
        <v>Offshore_2036</v>
      </c>
      <c r="P5102">
        <f t="shared" si="287"/>
        <v>670.2</v>
      </c>
    </row>
    <row r="5103" spans="4:16" x14ac:dyDescent="0.25">
      <c r="D5103">
        <v>2037</v>
      </c>
      <c r="E5103" t="s">
        <v>533</v>
      </c>
      <c r="F5103" t="s">
        <v>534</v>
      </c>
      <c r="G5103">
        <v>1339.8</v>
      </c>
      <c r="I5103">
        <f t="shared" si="288"/>
        <v>0</v>
      </c>
      <c r="J5103" t="b">
        <f t="shared" si="288"/>
        <v>1</v>
      </c>
      <c r="K5103">
        <f t="shared" si="288"/>
        <v>0</v>
      </c>
      <c r="M5103" t="str" cm="1">
        <f t="array" ref="M5103">IFERROR(INDEX($I$2:$K$2,0,MATCH(TRUE,I5103:K5103,0)),E5103)</f>
        <v>Offshore</v>
      </c>
      <c r="O5103" t="str">
        <f t="shared" si="286"/>
        <v>Offshore_2037</v>
      </c>
      <c r="P5103">
        <f t="shared" si="287"/>
        <v>1339.8</v>
      </c>
    </row>
    <row r="5104" spans="4:16" x14ac:dyDescent="0.25">
      <c r="D5104">
        <v>2038</v>
      </c>
      <c r="E5104" t="s">
        <v>533</v>
      </c>
      <c r="F5104" t="s">
        <v>534</v>
      </c>
      <c r="G5104">
        <v>3413.1</v>
      </c>
      <c r="I5104">
        <f t="shared" si="288"/>
        <v>0</v>
      </c>
      <c r="J5104" t="b">
        <f t="shared" si="288"/>
        <v>1</v>
      </c>
      <c r="K5104">
        <f t="shared" si="288"/>
        <v>0</v>
      </c>
      <c r="M5104" t="str" cm="1">
        <f t="array" ref="M5104">IFERROR(INDEX($I$2:$K$2,0,MATCH(TRUE,I5104:K5104,0)),E5104)</f>
        <v>Offshore</v>
      </c>
      <c r="O5104" t="str">
        <f t="shared" si="286"/>
        <v>Offshore_2038</v>
      </c>
      <c r="P5104">
        <f t="shared" si="287"/>
        <v>3413.1</v>
      </c>
    </row>
    <row r="5105" spans="4:16" x14ac:dyDescent="0.25">
      <c r="D5105">
        <v>2039</v>
      </c>
      <c r="E5105" t="s">
        <v>533</v>
      </c>
      <c r="F5105" t="s">
        <v>534</v>
      </c>
      <c r="G5105">
        <v>4449.8</v>
      </c>
      <c r="I5105">
        <f t="shared" si="288"/>
        <v>0</v>
      </c>
      <c r="J5105" t="b">
        <f t="shared" si="288"/>
        <v>1</v>
      </c>
      <c r="K5105">
        <f t="shared" si="288"/>
        <v>0</v>
      </c>
      <c r="M5105" t="str" cm="1">
        <f t="array" ref="M5105">IFERROR(INDEX($I$2:$K$2,0,MATCH(TRUE,I5105:K5105,0)),E5105)</f>
        <v>Offshore</v>
      </c>
      <c r="O5105" t="str">
        <f t="shared" si="286"/>
        <v>Offshore_2039</v>
      </c>
      <c r="P5105">
        <f t="shared" si="287"/>
        <v>4449.8</v>
      </c>
    </row>
    <row r="5106" spans="4:16" x14ac:dyDescent="0.25">
      <c r="D5106">
        <v>2040</v>
      </c>
      <c r="E5106" t="s">
        <v>533</v>
      </c>
      <c r="F5106" t="s">
        <v>534</v>
      </c>
      <c r="G5106">
        <v>6826</v>
      </c>
      <c r="I5106">
        <f t="shared" si="288"/>
        <v>0</v>
      </c>
      <c r="J5106" t="b">
        <f t="shared" si="288"/>
        <v>1</v>
      </c>
      <c r="K5106">
        <f t="shared" si="288"/>
        <v>0</v>
      </c>
      <c r="M5106" t="str" cm="1">
        <f t="array" ref="M5106">IFERROR(INDEX($I$2:$K$2,0,MATCH(TRUE,I5106:K5106,0)),E5106)</f>
        <v>Offshore</v>
      </c>
      <c r="O5106" t="str">
        <f t="shared" si="286"/>
        <v>Offshore_2040</v>
      </c>
      <c r="P5106">
        <f t="shared" si="287"/>
        <v>6826</v>
      </c>
    </row>
    <row r="5107" spans="4:16" x14ac:dyDescent="0.25">
      <c r="D5107">
        <v>2030</v>
      </c>
      <c r="E5107" t="s">
        <v>535</v>
      </c>
      <c r="F5107" t="s">
        <v>536</v>
      </c>
      <c r="G5107">
        <v>0</v>
      </c>
      <c r="I5107">
        <f t="shared" si="288"/>
        <v>0</v>
      </c>
      <c r="J5107" t="b">
        <f t="shared" si="288"/>
        <v>1</v>
      </c>
      <c r="K5107">
        <f t="shared" si="288"/>
        <v>0</v>
      </c>
      <c r="M5107" t="str" cm="1">
        <f t="array" ref="M5107">IFERROR(INDEX($I$2:$K$2,0,MATCH(TRUE,I5107:K5107,0)),E5107)</f>
        <v>Offshore</v>
      </c>
      <c r="O5107" t="str">
        <f t="shared" si="286"/>
        <v>Offshore_2030</v>
      </c>
      <c r="P5107">
        <f t="shared" si="287"/>
        <v>0</v>
      </c>
    </row>
    <row r="5108" spans="4:16" x14ac:dyDescent="0.25">
      <c r="D5108">
        <v>2031</v>
      </c>
      <c r="E5108" t="s">
        <v>535</v>
      </c>
      <c r="F5108" t="s">
        <v>536</v>
      </c>
      <c r="G5108">
        <v>1575</v>
      </c>
      <c r="I5108">
        <f t="shared" si="288"/>
        <v>0</v>
      </c>
      <c r="J5108" t="b">
        <f t="shared" si="288"/>
        <v>1</v>
      </c>
      <c r="K5108">
        <f t="shared" si="288"/>
        <v>0</v>
      </c>
      <c r="M5108" t="str" cm="1">
        <f t="array" ref="M5108">IFERROR(INDEX($I$2:$K$2,0,MATCH(TRUE,I5108:K5108,0)),E5108)</f>
        <v>Offshore</v>
      </c>
      <c r="O5108" t="str">
        <f t="shared" si="286"/>
        <v>Offshore_2031</v>
      </c>
      <c r="P5108">
        <f t="shared" si="287"/>
        <v>1575</v>
      </c>
    </row>
    <row r="5109" spans="4:16" x14ac:dyDescent="0.25">
      <c r="D5109">
        <v>2032</v>
      </c>
      <c r="E5109" t="s">
        <v>535</v>
      </c>
      <c r="F5109" t="s">
        <v>536</v>
      </c>
      <c r="G5109">
        <v>2735</v>
      </c>
      <c r="I5109">
        <f t="shared" si="288"/>
        <v>0</v>
      </c>
      <c r="J5109" t="b">
        <f t="shared" si="288"/>
        <v>1</v>
      </c>
      <c r="K5109">
        <f t="shared" si="288"/>
        <v>0</v>
      </c>
      <c r="M5109" t="str" cm="1">
        <f t="array" ref="M5109">IFERROR(INDEX($I$2:$K$2,0,MATCH(TRUE,I5109:K5109,0)),E5109)</f>
        <v>Offshore</v>
      </c>
      <c r="O5109" t="str">
        <f t="shared" si="286"/>
        <v>Offshore_2032</v>
      </c>
      <c r="P5109">
        <f t="shared" si="287"/>
        <v>2735</v>
      </c>
    </row>
    <row r="5110" spans="4:16" x14ac:dyDescent="0.25">
      <c r="D5110">
        <v>2033</v>
      </c>
      <c r="E5110" t="s">
        <v>535</v>
      </c>
      <c r="F5110" t="s">
        <v>536</v>
      </c>
      <c r="G5110">
        <v>3480</v>
      </c>
      <c r="I5110">
        <f t="shared" si="288"/>
        <v>0</v>
      </c>
      <c r="J5110" t="b">
        <f t="shared" si="288"/>
        <v>1</v>
      </c>
      <c r="K5110">
        <f t="shared" si="288"/>
        <v>0</v>
      </c>
      <c r="M5110" t="str" cm="1">
        <f t="array" ref="M5110">IFERROR(INDEX($I$2:$K$2,0,MATCH(TRUE,I5110:K5110,0)),E5110)</f>
        <v>Offshore</v>
      </c>
      <c r="O5110" t="str">
        <f t="shared" si="286"/>
        <v>Offshore_2033</v>
      </c>
      <c r="P5110">
        <f t="shared" si="287"/>
        <v>3480</v>
      </c>
    </row>
    <row r="5111" spans="4:16" x14ac:dyDescent="0.25">
      <c r="D5111">
        <v>2034</v>
      </c>
      <c r="E5111" t="s">
        <v>535</v>
      </c>
      <c r="F5111" t="s">
        <v>536</v>
      </c>
      <c r="G5111">
        <v>4225</v>
      </c>
      <c r="I5111">
        <f t="shared" si="288"/>
        <v>0</v>
      </c>
      <c r="J5111" t="b">
        <f t="shared" si="288"/>
        <v>1</v>
      </c>
      <c r="K5111">
        <f t="shared" si="288"/>
        <v>0</v>
      </c>
      <c r="M5111" t="str" cm="1">
        <f t="array" ref="M5111">IFERROR(INDEX($I$2:$K$2,0,MATCH(TRUE,I5111:K5111,0)),E5111)</f>
        <v>Offshore</v>
      </c>
      <c r="O5111" t="str">
        <f t="shared" si="286"/>
        <v>Offshore_2034</v>
      </c>
      <c r="P5111">
        <f t="shared" si="287"/>
        <v>4225</v>
      </c>
    </row>
    <row r="5112" spans="4:16" x14ac:dyDescent="0.25">
      <c r="D5112">
        <v>2035</v>
      </c>
      <c r="E5112" t="s">
        <v>535</v>
      </c>
      <c r="F5112" t="s">
        <v>536</v>
      </c>
      <c r="G5112">
        <v>4970</v>
      </c>
      <c r="I5112">
        <f t="shared" si="288"/>
        <v>0</v>
      </c>
      <c r="J5112" t="b">
        <f t="shared" si="288"/>
        <v>1</v>
      </c>
      <c r="K5112">
        <f t="shared" si="288"/>
        <v>0</v>
      </c>
      <c r="M5112" t="str" cm="1">
        <f t="array" ref="M5112">IFERROR(INDEX($I$2:$K$2,0,MATCH(TRUE,I5112:K5112,0)),E5112)</f>
        <v>Offshore</v>
      </c>
      <c r="O5112" t="str">
        <f t="shared" si="286"/>
        <v>Offshore_2035</v>
      </c>
      <c r="P5112">
        <f t="shared" si="287"/>
        <v>4970</v>
      </c>
    </row>
    <row r="5113" spans="4:16" x14ac:dyDescent="0.25">
      <c r="D5113">
        <v>2036</v>
      </c>
      <c r="E5113" t="s">
        <v>535</v>
      </c>
      <c r="F5113" t="s">
        <v>536</v>
      </c>
      <c r="G5113">
        <v>5715</v>
      </c>
      <c r="I5113">
        <f t="shared" si="288"/>
        <v>0</v>
      </c>
      <c r="J5113" t="b">
        <f t="shared" si="288"/>
        <v>1</v>
      </c>
      <c r="K5113">
        <f t="shared" si="288"/>
        <v>0</v>
      </c>
      <c r="M5113" t="str" cm="1">
        <f t="array" ref="M5113">IFERROR(INDEX($I$2:$K$2,0,MATCH(TRUE,I5113:K5113,0)),E5113)</f>
        <v>Offshore</v>
      </c>
      <c r="O5113" t="str">
        <f t="shared" si="286"/>
        <v>Offshore_2036</v>
      </c>
      <c r="P5113">
        <f t="shared" si="287"/>
        <v>5715</v>
      </c>
    </row>
    <row r="5114" spans="4:16" x14ac:dyDescent="0.25">
      <c r="D5114">
        <v>2037</v>
      </c>
      <c r="E5114" t="s">
        <v>535</v>
      </c>
      <c r="F5114" t="s">
        <v>536</v>
      </c>
      <c r="G5114">
        <v>6460</v>
      </c>
      <c r="I5114">
        <f t="shared" si="288"/>
        <v>0</v>
      </c>
      <c r="J5114" t="b">
        <f t="shared" si="288"/>
        <v>1</v>
      </c>
      <c r="K5114">
        <f t="shared" si="288"/>
        <v>0</v>
      </c>
      <c r="M5114" t="str" cm="1">
        <f t="array" ref="M5114">IFERROR(INDEX($I$2:$K$2,0,MATCH(TRUE,I5114:K5114,0)),E5114)</f>
        <v>Offshore</v>
      </c>
      <c r="O5114" t="str">
        <f t="shared" si="286"/>
        <v>Offshore_2037</v>
      </c>
      <c r="P5114">
        <f t="shared" si="287"/>
        <v>6460</v>
      </c>
    </row>
    <row r="5115" spans="4:16" x14ac:dyDescent="0.25">
      <c r="D5115">
        <v>2038</v>
      </c>
      <c r="E5115" t="s">
        <v>535</v>
      </c>
      <c r="F5115" t="s">
        <v>536</v>
      </c>
      <c r="G5115">
        <v>7205</v>
      </c>
      <c r="I5115">
        <f t="shared" si="288"/>
        <v>0</v>
      </c>
      <c r="J5115" t="b">
        <f t="shared" si="288"/>
        <v>1</v>
      </c>
      <c r="K5115">
        <f t="shared" si="288"/>
        <v>0</v>
      </c>
      <c r="M5115" t="str" cm="1">
        <f t="array" ref="M5115">IFERROR(INDEX($I$2:$K$2,0,MATCH(TRUE,I5115:K5115,0)),E5115)</f>
        <v>Offshore</v>
      </c>
      <c r="O5115" t="str">
        <f t="shared" si="286"/>
        <v>Offshore_2038</v>
      </c>
      <c r="P5115">
        <f t="shared" si="287"/>
        <v>7205</v>
      </c>
    </row>
    <row r="5116" spans="4:16" x14ac:dyDescent="0.25">
      <c r="D5116">
        <v>2039</v>
      </c>
      <c r="E5116" t="s">
        <v>535</v>
      </c>
      <c r="F5116" t="s">
        <v>536</v>
      </c>
      <c r="G5116">
        <v>7950</v>
      </c>
      <c r="I5116">
        <f t="shared" si="288"/>
        <v>0</v>
      </c>
      <c r="J5116" t="b">
        <f t="shared" si="288"/>
        <v>1</v>
      </c>
      <c r="K5116">
        <f t="shared" si="288"/>
        <v>0</v>
      </c>
      <c r="M5116" t="str" cm="1">
        <f t="array" ref="M5116">IFERROR(INDEX($I$2:$K$2,0,MATCH(TRUE,I5116:K5116,0)),E5116)</f>
        <v>Offshore</v>
      </c>
      <c r="O5116" t="str">
        <f t="shared" si="286"/>
        <v>Offshore_2039</v>
      </c>
      <c r="P5116">
        <f t="shared" si="287"/>
        <v>7950</v>
      </c>
    </row>
    <row r="5117" spans="4:16" x14ac:dyDescent="0.25">
      <c r="D5117">
        <v>2040</v>
      </c>
      <c r="E5117" t="s">
        <v>535</v>
      </c>
      <c r="F5117" t="s">
        <v>536</v>
      </c>
      <c r="G5117">
        <v>8695</v>
      </c>
      <c r="I5117">
        <f t="shared" si="288"/>
        <v>0</v>
      </c>
      <c r="J5117" t="b">
        <f t="shared" si="288"/>
        <v>1</v>
      </c>
      <c r="K5117">
        <f t="shared" si="288"/>
        <v>0</v>
      </c>
      <c r="M5117" t="str" cm="1">
        <f t="array" ref="M5117">IFERROR(INDEX($I$2:$K$2,0,MATCH(TRUE,I5117:K5117,0)),E5117)</f>
        <v>Offshore</v>
      </c>
      <c r="O5117" t="str">
        <f t="shared" si="286"/>
        <v>Offshore_2040</v>
      </c>
      <c r="P5117">
        <f t="shared" si="287"/>
        <v>8695</v>
      </c>
    </row>
    <row r="5118" spans="4:16" x14ac:dyDescent="0.25">
      <c r="D5118">
        <v>2021</v>
      </c>
      <c r="E5118" t="s">
        <v>537</v>
      </c>
      <c r="F5118" t="s">
        <v>538</v>
      </c>
      <c r="G5118">
        <v>25</v>
      </c>
      <c r="I5118">
        <f t="shared" si="288"/>
        <v>0</v>
      </c>
      <c r="J5118">
        <f t="shared" si="288"/>
        <v>0</v>
      </c>
      <c r="K5118">
        <f t="shared" si="288"/>
        <v>0</v>
      </c>
      <c r="M5118" t="str" cm="1">
        <f t="array" ref="M5118">IFERROR(INDEX($I$2:$K$2,0,MATCH(TRUE,I5118:K5118,0)),E5118)</f>
        <v>Oil and other</v>
      </c>
      <c r="O5118" t="str">
        <f t="shared" si="286"/>
        <v>Oil and other_2021</v>
      </c>
      <c r="P5118">
        <f t="shared" si="287"/>
        <v>25</v>
      </c>
    </row>
    <row r="5119" spans="4:16" x14ac:dyDescent="0.25">
      <c r="D5119">
        <v>2022</v>
      </c>
      <c r="E5119" t="s">
        <v>537</v>
      </c>
      <c r="F5119" t="s">
        <v>538</v>
      </c>
      <c r="G5119">
        <v>25</v>
      </c>
      <c r="I5119">
        <f t="shared" si="288"/>
        <v>0</v>
      </c>
      <c r="J5119">
        <f t="shared" si="288"/>
        <v>0</v>
      </c>
      <c r="K5119">
        <f t="shared" si="288"/>
        <v>0</v>
      </c>
      <c r="M5119" t="str" cm="1">
        <f t="array" ref="M5119">IFERROR(INDEX($I$2:$K$2,0,MATCH(TRUE,I5119:K5119,0)),E5119)</f>
        <v>Oil and other</v>
      </c>
      <c r="O5119" t="str">
        <f t="shared" si="286"/>
        <v>Oil and other_2022</v>
      </c>
      <c r="P5119">
        <f t="shared" si="287"/>
        <v>25</v>
      </c>
    </row>
    <row r="5120" spans="4:16" x14ac:dyDescent="0.25">
      <c r="D5120">
        <v>2023</v>
      </c>
      <c r="E5120" t="s">
        <v>537</v>
      </c>
      <c r="F5120" t="s">
        <v>538</v>
      </c>
      <c r="G5120">
        <v>25</v>
      </c>
      <c r="I5120">
        <f t="shared" si="288"/>
        <v>0</v>
      </c>
      <c r="J5120">
        <f t="shared" si="288"/>
        <v>0</v>
      </c>
      <c r="K5120">
        <f t="shared" si="288"/>
        <v>0</v>
      </c>
      <c r="M5120" t="str" cm="1">
        <f t="array" ref="M5120">IFERROR(INDEX($I$2:$K$2,0,MATCH(TRUE,I5120:K5120,0)),E5120)</f>
        <v>Oil and other</v>
      </c>
      <c r="O5120" t="str">
        <f t="shared" si="286"/>
        <v>Oil and other_2023</v>
      </c>
      <c r="P5120">
        <f t="shared" si="287"/>
        <v>25</v>
      </c>
    </row>
    <row r="5121" spans="4:16" x14ac:dyDescent="0.25">
      <c r="D5121">
        <v>2024</v>
      </c>
      <c r="E5121" t="s">
        <v>537</v>
      </c>
      <c r="F5121" t="s">
        <v>538</v>
      </c>
      <c r="G5121">
        <v>25</v>
      </c>
      <c r="I5121">
        <f t="shared" si="288"/>
        <v>0</v>
      </c>
      <c r="J5121">
        <f t="shared" si="288"/>
        <v>0</v>
      </c>
      <c r="K5121">
        <f t="shared" si="288"/>
        <v>0</v>
      </c>
      <c r="M5121" t="str" cm="1">
        <f t="array" ref="M5121">IFERROR(INDEX($I$2:$K$2,0,MATCH(TRUE,I5121:K5121,0)),E5121)</f>
        <v>Oil and other</v>
      </c>
      <c r="O5121" t="str">
        <f t="shared" si="286"/>
        <v>Oil and other_2024</v>
      </c>
      <c r="P5121">
        <f t="shared" si="287"/>
        <v>25</v>
      </c>
    </row>
    <row r="5122" spans="4:16" x14ac:dyDescent="0.25">
      <c r="D5122">
        <v>2025</v>
      </c>
      <c r="E5122" t="s">
        <v>537</v>
      </c>
      <c r="F5122" t="s">
        <v>538</v>
      </c>
      <c r="G5122">
        <v>25</v>
      </c>
      <c r="I5122">
        <f t="shared" si="288"/>
        <v>0</v>
      </c>
      <c r="J5122">
        <f t="shared" si="288"/>
        <v>0</v>
      </c>
      <c r="K5122">
        <f t="shared" si="288"/>
        <v>0</v>
      </c>
      <c r="M5122" t="str" cm="1">
        <f t="array" ref="M5122">IFERROR(INDEX($I$2:$K$2,0,MATCH(TRUE,I5122:K5122,0)),E5122)</f>
        <v>Oil and other</v>
      </c>
      <c r="O5122" t="str">
        <f t="shared" si="286"/>
        <v>Oil and other_2025</v>
      </c>
      <c r="P5122">
        <f t="shared" si="287"/>
        <v>25</v>
      </c>
    </row>
    <row r="5123" spans="4:16" x14ac:dyDescent="0.25">
      <c r="D5123">
        <v>2026</v>
      </c>
      <c r="E5123" t="s">
        <v>537</v>
      </c>
      <c r="F5123" t="s">
        <v>538</v>
      </c>
      <c r="G5123">
        <v>25</v>
      </c>
      <c r="I5123">
        <f t="shared" si="288"/>
        <v>0</v>
      </c>
      <c r="J5123">
        <f t="shared" si="288"/>
        <v>0</v>
      </c>
      <c r="K5123">
        <f t="shared" si="288"/>
        <v>0</v>
      </c>
      <c r="M5123" t="str" cm="1">
        <f t="array" ref="M5123">IFERROR(INDEX($I$2:$K$2,0,MATCH(TRUE,I5123:K5123,0)),E5123)</f>
        <v>Oil and other</v>
      </c>
      <c r="O5123" t="str">
        <f t="shared" si="286"/>
        <v>Oil and other_2026</v>
      </c>
      <c r="P5123">
        <f t="shared" si="287"/>
        <v>25</v>
      </c>
    </row>
    <row r="5124" spans="4:16" x14ac:dyDescent="0.25">
      <c r="D5124">
        <v>2027</v>
      </c>
      <c r="E5124" t="s">
        <v>537</v>
      </c>
      <c r="F5124" t="s">
        <v>538</v>
      </c>
      <c r="G5124">
        <v>25</v>
      </c>
      <c r="I5124">
        <f t="shared" si="288"/>
        <v>0</v>
      </c>
      <c r="J5124">
        <f t="shared" si="288"/>
        <v>0</v>
      </c>
      <c r="K5124">
        <f t="shared" si="288"/>
        <v>0</v>
      </c>
      <c r="M5124" t="str" cm="1">
        <f t="array" ref="M5124">IFERROR(INDEX($I$2:$K$2,0,MATCH(TRUE,I5124:K5124,0)),E5124)</f>
        <v>Oil and other</v>
      </c>
      <c r="O5124" t="str">
        <f t="shared" si="286"/>
        <v>Oil and other_2027</v>
      </c>
      <c r="P5124">
        <f t="shared" si="287"/>
        <v>25</v>
      </c>
    </row>
    <row r="5125" spans="4:16" x14ac:dyDescent="0.25">
      <c r="D5125">
        <v>2028</v>
      </c>
      <c r="E5125" t="s">
        <v>537</v>
      </c>
      <c r="F5125" t="s">
        <v>538</v>
      </c>
      <c r="G5125">
        <v>25</v>
      </c>
      <c r="I5125">
        <f t="shared" si="288"/>
        <v>0</v>
      </c>
      <c r="J5125">
        <f t="shared" si="288"/>
        <v>0</v>
      </c>
      <c r="K5125">
        <f t="shared" si="288"/>
        <v>0</v>
      </c>
      <c r="M5125" t="str" cm="1">
        <f t="array" ref="M5125">IFERROR(INDEX($I$2:$K$2,0,MATCH(TRUE,I5125:K5125,0)),E5125)</f>
        <v>Oil and other</v>
      </c>
      <c r="O5125" t="str">
        <f t="shared" si="286"/>
        <v>Oil and other_2028</v>
      </c>
      <c r="P5125">
        <f t="shared" si="287"/>
        <v>25</v>
      </c>
    </row>
    <row r="5126" spans="4:16" x14ac:dyDescent="0.25">
      <c r="D5126">
        <v>2029</v>
      </c>
      <c r="E5126" t="s">
        <v>537</v>
      </c>
      <c r="F5126" t="s">
        <v>538</v>
      </c>
      <c r="G5126">
        <v>25</v>
      </c>
      <c r="I5126">
        <f t="shared" si="288"/>
        <v>0</v>
      </c>
      <c r="J5126">
        <f t="shared" si="288"/>
        <v>0</v>
      </c>
      <c r="K5126">
        <f t="shared" si="288"/>
        <v>0</v>
      </c>
      <c r="M5126" t="str" cm="1">
        <f t="array" ref="M5126">IFERROR(INDEX($I$2:$K$2,0,MATCH(TRUE,I5126:K5126,0)),E5126)</f>
        <v>Oil and other</v>
      </c>
      <c r="O5126" t="str">
        <f t="shared" si="286"/>
        <v>Oil and other_2029</v>
      </c>
      <c r="P5126">
        <f t="shared" si="287"/>
        <v>25</v>
      </c>
    </row>
    <row r="5127" spans="4:16" x14ac:dyDescent="0.25">
      <c r="D5127">
        <v>2030</v>
      </c>
      <c r="E5127" t="s">
        <v>537</v>
      </c>
      <c r="F5127" t="s">
        <v>538</v>
      </c>
      <c r="G5127">
        <v>25</v>
      </c>
      <c r="I5127">
        <f t="shared" si="288"/>
        <v>0</v>
      </c>
      <c r="J5127">
        <f t="shared" si="288"/>
        <v>0</v>
      </c>
      <c r="K5127">
        <f t="shared" si="288"/>
        <v>0</v>
      </c>
      <c r="M5127" t="str" cm="1">
        <f t="array" ref="M5127">IFERROR(INDEX($I$2:$K$2,0,MATCH(TRUE,I5127:K5127,0)),E5127)</f>
        <v>Oil and other</v>
      </c>
      <c r="O5127" t="str">
        <f t="shared" si="286"/>
        <v>Oil and other_2030</v>
      </c>
      <c r="P5127">
        <f t="shared" si="287"/>
        <v>25</v>
      </c>
    </row>
    <row r="5128" spans="4:16" x14ac:dyDescent="0.25">
      <c r="D5128">
        <v>2031</v>
      </c>
      <c r="E5128" t="s">
        <v>537</v>
      </c>
      <c r="F5128" t="s">
        <v>538</v>
      </c>
      <c r="G5128">
        <v>25</v>
      </c>
      <c r="I5128">
        <f t="shared" si="288"/>
        <v>0</v>
      </c>
      <c r="J5128">
        <f t="shared" si="288"/>
        <v>0</v>
      </c>
      <c r="K5128">
        <f t="shared" si="288"/>
        <v>0</v>
      </c>
      <c r="M5128" t="str" cm="1">
        <f t="array" ref="M5128">IFERROR(INDEX($I$2:$K$2,0,MATCH(TRUE,I5128:K5128,0)),E5128)</f>
        <v>Oil and other</v>
      </c>
      <c r="O5128" t="str">
        <f t="shared" si="286"/>
        <v>Oil and other_2031</v>
      </c>
      <c r="P5128">
        <f t="shared" si="287"/>
        <v>25</v>
      </c>
    </row>
    <row r="5129" spans="4:16" x14ac:dyDescent="0.25">
      <c r="D5129">
        <v>2032</v>
      </c>
      <c r="E5129" t="s">
        <v>537</v>
      </c>
      <c r="F5129" t="s">
        <v>538</v>
      </c>
      <c r="G5129">
        <v>25</v>
      </c>
      <c r="I5129">
        <f t="shared" si="288"/>
        <v>0</v>
      </c>
      <c r="J5129">
        <f t="shared" si="288"/>
        <v>0</v>
      </c>
      <c r="K5129">
        <f t="shared" si="288"/>
        <v>0</v>
      </c>
      <c r="M5129" t="str" cm="1">
        <f t="array" ref="M5129">IFERROR(INDEX($I$2:$K$2,0,MATCH(TRUE,I5129:K5129,0)),E5129)</f>
        <v>Oil and other</v>
      </c>
      <c r="O5129" t="str">
        <f t="shared" si="286"/>
        <v>Oil and other_2032</v>
      </c>
      <c r="P5129">
        <f t="shared" si="287"/>
        <v>25</v>
      </c>
    </row>
    <row r="5130" spans="4:16" x14ac:dyDescent="0.25">
      <c r="D5130">
        <v>2033</v>
      </c>
      <c r="E5130" t="s">
        <v>537</v>
      </c>
      <c r="F5130" t="s">
        <v>538</v>
      </c>
      <c r="G5130">
        <v>25</v>
      </c>
      <c r="I5130">
        <f t="shared" si="288"/>
        <v>0</v>
      </c>
      <c r="J5130">
        <f t="shared" si="288"/>
        <v>0</v>
      </c>
      <c r="K5130">
        <f t="shared" si="288"/>
        <v>0</v>
      </c>
      <c r="M5130" t="str" cm="1">
        <f t="array" ref="M5130">IFERROR(INDEX($I$2:$K$2,0,MATCH(TRUE,I5130:K5130,0)),E5130)</f>
        <v>Oil and other</v>
      </c>
      <c r="O5130" t="str">
        <f t="shared" si="286"/>
        <v>Oil and other_2033</v>
      </c>
      <c r="P5130">
        <f t="shared" si="287"/>
        <v>25</v>
      </c>
    </row>
    <row r="5131" spans="4:16" x14ac:dyDescent="0.25">
      <c r="D5131">
        <v>2034</v>
      </c>
      <c r="E5131" t="s">
        <v>537</v>
      </c>
      <c r="F5131" t="s">
        <v>538</v>
      </c>
      <c r="G5131">
        <v>25</v>
      </c>
      <c r="I5131">
        <f t="shared" si="288"/>
        <v>0</v>
      </c>
      <c r="J5131">
        <f t="shared" si="288"/>
        <v>0</v>
      </c>
      <c r="K5131">
        <f t="shared" si="288"/>
        <v>0</v>
      </c>
      <c r="M5131" t="str" cm="1">
        <f t="array" ref="M5131">IFERROR(INDEX($I$2:$K$2,0,MATCH(TRUE,I5131:K5131,0)),E5131)</f>
        <v>Oil and other</v>
      </c>
      <c r="O5131" t="str">
        <f t="shared" si="286"/>
        <v>Oil and other_2034</v>
      </c>
      <c r="P5131">
        <f t="shared" si="287"/>
        <v>25</v>
      </c>
    </row>
    <row r="5132" spans="4:16" x14ac:dyDescent="0.25">
      <c r="D5132">
        <v>2035</v>
      </c>
      <c r="E5132" t="s">
        <v>537</v>
      </c>
      <c r="F5132" t="s">
        <v>538</v>
      </c>
      <c r="G5132">
        <v>25</v>
      </c>
      <c r="I5132">
        <f t="shared" si="288"/>
        <v>0</v>
      </c>
      <c r="J5132">
        <f t="shared" si="288"/>
        <v>0</v>
      </c>
      <c r="K5132">
        <f t="shared" si="288"/>
        <v>0</v>
      </c>
      <c r="M5132" t="str" cm="1">
        <f t="array" ref="M5132">IFERROR(INDEX($I$2:$K$2,0,MATCH(TRUE,I5132:K5132,0)),E5132)</f>
        <v>Oil and other</v>
      </c>
      <c r="O5132" t="str">
        <f t="shared" si="286"/>
        <v>Oil and other_2035</v>
      </c>
      <c r="P5132">
        <f t="shared" si="287"/>
        <v>25</v>
      </c>
    </row>
    <row r="5133" spans="4:16" x14ac:dyDescent="0.25">
      <c r="D5133">
        <v>2036</v>
      </c>
      <c r="E5133" t="s">
        <v>537</v>
      </c>
      <c r="F5133" t="s">
        <v>538</v>
      </c>
      <c r="G5133">
        <v>25</v>
      </c>
      <c r="I5133">
        <f t="shared" si="288"/>
        <v>0</v>
      </c>
      <c r="J5133">
        <f t="shared" si="288"/>
        <v>0</v>
      </c>
      <c r="K5133">
        <f t="shared" si="288"/>
        <v>0</v>
      </c>
      <c r="M5133" t="str" cm="1">
        <f t="array" ref="M5133">IFERROR(INDEX($I$2:$K$2,0,MATCH(TRUE,I5133:K5133,0)),E5133)</f>
        <v>Oil and other</v>
      </c>
      <c r="O5133" t="str">
        <f t="shared" si="286"/>
        <v>Oil and other_2036</v>
      </c>
      <c r="P5133">
        <f t="shared" si="287"/>
        <v>25</v>
      </c>
    </row>
    <row r="5134" spans="4:16" x14ac:dyDescent="0.25">
      <c r="D5134">
        <v>2037</v>
      </c>
      <c r="E5134" t="s">
        <v>537</v>
      </c>
      <c r="F5134" t="s">
        <v>538</v>
      </c>
      <c r="G5134">
        <v>25</v>
      </c>
      <c r="I5134">
        <f t="shared" si="288"/>
        <v>0</v>
      </c>
      <c r="J5134">
        <f t="shared" si="288"/>
        <v>0</v>
      </c>
      <c r="K5134">
        <f t="shared" si="288"/>
        <v>0</v>
      </c>
      <c r="M5134" t="str" cm="1">
        <f t="array" ref="M5134">IFERROR(INDEX($I$2:$K$2,0,MATCH(TRUE,I5134:K5134,0)),E5134)</f>
        <v>Oil and other</v>
      </c>
      <c r="O5134" t="str">
        <f t="shared" si="286"/>
        <v>Oil and other_2037</v>
      </c>
      <c r="P5134">
        <f t="shared" si="287"/>
        <v>25</v>
      </c>
    </row>
    <row r="5135" spans="4:16" x14ac:dyDescent="0.25">
      <c r="D5135">
        <v>2038</v>
      </c>
      <c r="E5135" t="s">
        <v>537</v>
      </c>
      <c r="F5135" t="s">
        <v>538</v>
      </c>
      <c r="G5135">
        <v>25</v>
      </c>
      <c r="I5135">
        <f t="shared" si="288"/>
        <v>0</v>
      </c>
      <c r="J5135">
        <f t="shared" si="288"/>
        <v>0</v>
      </c>
      <c r="K5135">
        <f t="shared" si="288"/>
        <v>0</v>
      </c>
      <c r="M5135" t="str" cm="1">
        <f t="array" ref="M5135">IFERROR(INDEX($I$2:$K$2,0,MATCH(TRUE,I5135:K5135,0)),E5135)</f>
        <v>Oil and other</v>
      </c>
      <c r="O5135" t="str">
        <f t="shared" si="286"/>
        <v>Oil and other_2038</v>
      </c>
      <c r="P5135">
        <f t="shared" si="287"/>
        <v>25</v>
      </c>
    </row>
    <row r="5136" spans="4:16" x14ac:dyDescent="0.25">
      <c r="D5136">
        <v>2039</v>
      </c>
      <c r="E5136" t="s">
        <v>537</v>
      </c>
      <c r="F5136" t="s">
        <v>538</v>
      </c>
      <c r="G5136">
        <v>25</v>
      </c>
      <c r="I5136">
        <f t="shared" si="288"/>
        <v>0</v>
      </c>
      <c r="J5136">
        <f t="shared" si="288"/>
        <v>0</v>
      </c>
      <c r="K5136">
        <f t="shared" si="288"/>
        <v>0</v>
      </c>
      <c r="M5136" t="str" cm="1">
        <f t="array" ref="M5136">IFERROR(INDEX($I$2:$K$2,0,MATCH(TRUE,I5136:K5136,0)),E5136)</f>
        <v>Oil and other</v>
      </c>
      <c r="O5136" t="str">
        <f t="shared" si="286"/>
        <v>Oil and other_2039</v>
      </c>
      <c r="P5136">
        <f t="shared" si="287"/>
        <v>25</v>
      </c>
    </row>
    <row r="5137" spans="4:16" x14ac:dyDescent="0.25">
      <c r="D5137">
        <v>2040</v>
      </c>
      <c r="E5137" t="s">
        <v>537</v>
      </c>
      <c r="F5137" t="s">
        <v>538</v>
      </c>
      <c r="G5137">
        <v>25</v>
      </c>
      <c r="I5137">
        <f t="shared" si="288"/>
        <v>0</v>
      </c>
      <c r="J5137">
        <f t="shared" si="288"/>
        <v>0</v>
      </c>
      <c r="K5137">
        <f t="shared" si="288"/>
        <v>0</v>
      </c>
      <c r="M5137" t="str" cm="1">
        <f t="array" ref="M5137">IFERROR(INDEX($I$2:$K$2,0,MATCH(TRUE,I5137:K5137,0)),E5137)</f>
        <v>Oil and other</v>
      </c>
      <c r="O5137" t="str">
        <f t="shared" si="286"/>
        <v>Oil and other_2040</v>
      </c>
      <c r="P5137">
        <f t="shared" si="287"/>
        <v>25</v>
      </c>
    </row>
    <row r="5138" spans="4:16" x14ac:dyDescent="0.25">
      <c r="D5138">
        <v>2021</v>
      </c>
      <c r="E5138" t="s">
        <v>539</v>
      </c>
      <c r="F5138" t="s">
        <v>540</v>
      </c>
      <c r="G5138">
        <v>338.29622179</v>
      </c>
      <c r="I5138" t="b">
        <f t="shared" si="288"/>
        <v>1</v>
      </c>
      <c r="J5138">
        <f t="shared" si="288"/>
        <v>0</v>
      </c>
      <c r="K5138">
        <f t="shared" si="288"/>
        <v>0</v>
      </c>
      <c r="M5138" t="str" cm="1">
        <f t="array" ref="M5138">IFERROR(INDEX($I$2:$K$2,0,MATCH(TRUE,I5138:K5138,0)),E5138)</f>
        <v>Onshore</v>
      </c>
      <c r="O5138" t="str">
        <f t="shared" si="286"/>
        <v>Onshore_2021</v>
      </c>
      <c r="P5138">
        <f t="shared" si="287"/>
        <v>338.29622179</v>
      </c>
    </row>
    <row r="5139" spans="4:16" x14ac:dyDescent="0.25">
      <c r="D5139">
        <v>2022</v>
      </c>
      <c r="E5139" t="s">
        <v>539</v>
      </c>
      <c r="F5139" t="s">
        <v>540</v>
      </c>
      <c r="G5139">
        <v>636.24933439999995</v>
      </c>
      <c r="I5139" t="b">
        <f t="shared" si="288"/>
        <v>1</v>
      </c>
      <c r="J5139">
        <f t="shared" si="288"/>
        <v>0</v>
      </c>
      <c r="K5139">
        <f t="shared" si="288"/>
        <v>0</v>
      </c>
      <c r="M5139" t="str" cm="1">
        <f t="array" ref="M5139">IFERROR(INDEX($I$2:$K$2,0,MATCH(TRUE,I5139:K5139,0)),E5139)</f>
        <v>Onshore</v>
      </c>
      <c r="O5139" t="str">
        <f t="shared" ref="O5139:O5202" si="289">M5139&amp;"_"&amp;D5139</f>
        <v>Onshore_2022</v>
      </c>
      <c r="P5139">
        <f t="shared" ref="P5139:P5202" si="290">G5139</f>
        <v>636.24933439999995</v>
      </c>
    </row>
    <row r="5140" spans="4:16" x14ac:dyDescent="0.25">
      <c r="D5140">
        <v>2023</v>
      </c>
      <c r="E5140" t="s">
        <v>539</v>
      </c>
      <c r="F5140" t="s">
        <v>540</v>
      </c>
      <c r="G5140">
        <v>1056.7431355900001</v>
      </c>
      <c r="I5140" t="b">
        <f t="shared" si="288"/>
        <v>1</v>
      </c>
      <c r="J5140">
        <f t="shared" si="288"/>
        <v>0</v>
      </c>
      <c r="K5140">
        <f t="shared" si="288"/>
        <v>0</v>
      </c>
      <c r="M5140" t="str" cm="1">
        <f t="array" ref="M5140">IFERROR(INDEX($I$2:$K$2,0,MATCH(TRUE,I5140:K5140,0)),E5140)</f>
        <v>Onshore</v>
      </c>
      <c r="O5140" t="str">
        <f t="shared" si="289"/>
        <v>Onshore_2023</v>
      </c>
      <c r="P5140">
        <f t="shared" si="290"/>
        <v>1056.7431355900001</v>
      </c>
    </row>
    <row r="5141" spans="4:16" x14ac:dyDescent="0.25">
      <c r="D5141">
        <v>2024</v>
      </c>
      <c r="E5141" t="s">
        <v>539</v>
      </c>
      <c r="F5141" t="s">
        <v>540</v>
      </c>
      <c r="G5141">
        <v>1329.7076349500001</v>
      </c>
      <c r="I5141" t="b">
        <f t="shared" ref="I5141:K5204" si="291">IFERROR(FIND(I$2,$E5141,1)&gt;0,0)</f>
        <v>1</v>
      </c>
      <c r="J5141">
        <f t="shared" si="291"/>
        <v>0</v>
      </c>
      <c r="K5141">
        <f t="shared" si="291"/>
        <v>0</v>
      </c>
      <c r="M5141" t="str" cm="1">
        <f t="array" ref="M5141">IFERROR(INDEX($I$2:$K$2,0,MATCH(TRUE,I5141:K5141,0)),E5141)</f>
        <v>Onshore</v>
      </c>
      <c r="O5141" t="str">
        <f t="shared" si="289"/>
        <v>Onshore_2024</v>
      </c>
      <c r="P5141">
        <f t="shared" si="290"/>
        <v>1329.7076349500001</v>
      </c>
    </row>
    <row r="5142" spans="4:16" x14ac:dyDescent="0.25">
      <c r="D5142">
        <v>2025</v>
      </c>
      <c r="E5142" t="s">
        <v>539</v>
      </c>
      <c r="F5142" t="s">
        <v>540</v>
      </c>
      <c r="G5142">
        <v>1526.52776965</v>
      </c>
      <c r="I5142" t="b">
        <f t="shared" si="291"/>
        <v>1</v>
      </c>
      <c r="J5142">
        <f t="shared" si="291"/>
        <v>0</v>
      </c>
      <c r="K5142">
        <f t="shared" si="291"/>
        <v>0</v>
      </c>
      <c r="M5142" t="str" cm="1">
        <f t="array" ref="M5142">IFERROR(INDEX($I$2:$K$2,0,MATCH(TRUE,I5142:K5142,0)),E5142)</f>
        <v>Onshore</v>
      </c>
      <c r="O5142" t="str">
        <f t="shared" si="289"/>
        <v>Onshore_2025</v>
      </c>
      <c r="P5142">
        <f t="shared" si="290"/>
        <v>1526.52776965</v>
      </c>
    </row>
    <row r="5143" spans="4:16" x14ac:dyDescent="0.25">
      <c r="D5143">
        <v>2026</v>
      </c>
      <c r="E5143" t="s">
        <v>539</v>
      </c>
      <c r="F5143" t="s">
        <v>540</v>
      </c>
      <c r="G5143">
        <v>1694.72917538</v>
      </c>
      <c r="I5143" t="b">
        <f t="shared" si="291"/>
        <v>1</v>
      </c>
      <c r="J5143">
        <f t="shared" si="291"/>
        <v>0</v>
      </c>
      <c r="K5143">
        <f t="shared" si="291"/>
        <v>0</v>
      </c>
      <c r="M5143" t="str" cm="1">
        <f t="array" ref="M5143">IFERROR(INDEX($I$2:$K$2,0,MATCH(TRUE,I5143:K5143,0)),E5143)</f>
        <v>Onshore</v>
      </c>
      <c r="O5143" t="str">
        <f t="shared" si="289"/>
        <v>Onshore_2026</v>
      </c>
      <c r="P5143">
        <f t="shared" si="290"/>
        <v>1694.72917538</v>
      </c>
    </row>
    <row r="5144" spans="4:16" x14ac:dyDescent="0.25">
      <c r="D5144">
        <v>2027</v>
      </c>
      <c r="E5144" t="s">
        <v>539</v>
      </c>
      <c r="F5144" t="s">
        <v>540</v>
      </c>
      <c r="G5144">
        <v>1629.9750596700001</v>
      </c>
      <c r="I5144" t="b">
        <f t="shared" si="291"/>
        <v>1</v>
      </c>
      <c r="J5144">
        <f t="shared" si="291"/>
        <v>0</v>
      </c>
      <c r="K5144">
        <f t="shared" si="291"/>
        <v>0</v>
      </c>
      <c r="M5144" t="str" cm="1">
        <f t="array" ref="M5144">IFERROR(INDEX($I$2:$K$2,0,MATCH(TRUE,I5144:K5144,0)),E5144)</f>
        <v>Onshore</v>
      </c>
      <c r="O5144" t="str">
        <f t="shared" si="289"/>
        <v>Onshore_2027</v>
      </c>
      <c r="P5144">
        <f t="shared" si="290"/>
        <v>1629.9750596700001</v>
      </c>
    </row>
    <row r="5145" spans="4:16" x14ac:dyDescent="0.25">
      <c r="D5145">
        <v>2028</v>
      </c>
      <c r="E5145" t="s">
        <v>539</v>
      </c>
      <c r="F5145" t="s">
        <v>540</v>
      </c>
      <c r="G5145">
        <v>1573.1597985400001</v>
      </c>
      <c r="I5145" t="b">
        <f t="shared" si="291"/>
        <v>1</v>
      </c>
      <c r="J5145">
        <f t="shared" si="291"/>
        <v>0</v>
      </c>
      <c r="K5145">
        <f t="shared" si="291"/>
        <v>0</v>
      </c>
      <c r="M5145" t="str" cm="1">
        <f t="array" ref="M5145">IFERROR(INDEX($I$2:$K$2,0,MATCH(TRUE,I5145:K5145,0)),E5145)</f>
        <v>Onshore</v>
      </c>
      <c r="O5145" t="str">
        <f t="shared" si="289"/>
        <v>Onshore_2028</v>
      </c>
      <c r="P5145">
        <f t="shared" si="290"/>
        <v>1573.1597985400001</v>
      </c>
    </row>
    <row r="5146" spans="4:16" x14ac:dyDescent="0.25">
      <c r="D5146">
        <v>2029</v>
      </c>
      <c r="E5146" t="s">
        <v>539</v>
      </c>
      <c r="F5146" t="s">
        <v>540</v>
      </c>
      <c r="G5146">
        <v>1508.4056828299999</v>
      </c>
      <c r="I5146" t="b">
        <f t="shared" si="291"/>
        <v>1</v>
      </c>
      <c r="J5146">
        <f t="shared" si="291"/>
        <v>0</v>
      </c>
      <c r="K5146">
        <f t="shared" si="291"/>
        <v>0</v>
      </c>
      <c r="M5146" t="str" cm="1">
        <f t="array" ref="M5146">IFERROR(INDEX($I$2:$K$2,0,MATCH(TRUE,I5146:K5146,0)),E5146)</f>
        <v>Onshore</v>
      </c>
      <c r="O5146" t="str">
        <f t="shared" si="289"/>
        <v>Onshore_2029</v>
      </c>
      <c r="P5146">
        <f t="shared" si="290"/>
        <v>1508.4056828299999</v>
      </c>
    </row>
    <row r="5147" spans="4:16" x14ac:dyDescent="0.25">
      <c r="D5147">
        <v>2030</v>
      </c>
      <c r="E5147" t="s">
        <v>539</v>
      </c>
      <c r="F5147" t="s">
        <v>540</v>
      </c>
      <c r="G5147">
        <v>1443.65156712</v>
      </c>
      <c r="I5147" t="b">
        <f t="shared" si="291"/>
        <v>1</v>
      </c>
      <c r="J5147">
        <f t="shared" si="291"/>
        <v>0</v>
      </c>
      <c r="K5147">
        <f t="shared" si="291"/>
        <v>0</v>
      </c>
      <c r="M5147" t="str" cm="1">
        <f t="array" ref="M5147">IFERROR(INDEX($I$2:$K$2,0,MATCH(TRUE,I5147:K5147,0)),E5147)</f>
        <v>Onshore</v>
      </c>
      <c r="O5147" t="str">
        <f t="shared" si="289"/>
        <v>Onshore_2030</v>
      </c>
      <c r="P5147">
        <f t="shared" si="290"/>
        <v>1443.65156712</v>
      </c>
    </row>
    <row r="5148" spans="4:16" x14ac:dyDescent="0.25">
      <c r="D5148">
        <v>2031</v>
      </c>
      <c r="E5148" t="s">
        <v>539</v>
      </c>
      <c r="F5148" t="s">
        <v>540</v>
      </c>
      <c r="G5148">
        <v>1378.89745141</v>
      </c>
      <c r="I5148" t="b">
        <f t="shared" si="291"/>
        <v>1</v>
      </c>
      <c r="J5148">
        <f t="shared" si="291"/>
        <v>0</v>
      </c>
      <c r="K5148">
        <f t="shared" si="291"/>
        <v>0</v>
      </c>
      <c r="M5148" t="str" cm="1">
        <f t="array" ref="M5148">IFERROR(INDEX($I$2:$K$2,0,MATCH(TRUE,I5148:K5148,0)),E5148)</f>
        <v>Onshore</v>
      </c>
      <c r="O5148" t="str">
        <f t="shared" si="289"/>
        <v>Onshore_2031</v>
      </c>
      <c r="P5148">
        <f t="shared" si="290"/>
        <v>1378.89745141</v>
      </c>
    </row>
    <row r="5149" spans="4:16" x14ac:dyDescent="0.25">
      <c r="D5149">
        <v>2032</v>
      </c>
      <c r="E5149" t="s">
        <v>539</v>
      </c>
      <c r="F5149" t="s">
        <v>540</v>
      </c>
      <c r="G5149">
        <v>1542.33683946</v>
      </c>
      <c r="I5149" t="b">
        <f t="shared" si="291"/>
        <v>1</v>
      </c>
      <c r="J5149">
        <f t="shared" si="291"/>
        <v>0</v>
      </c>
      <c r="K5149">
        <f t="shared" si="291"/>
        <v>0</v>
      </c>
      <c r="M5149" t="str" cm="1">
        <f t="array" ref="M5149">IFERROR(INDEX($I$2:$K$2,0,MATCH(TRUE,I5149:K5149,0)),E5149)</f>
        <v>Onshore</v>
      </c>
      <c r="O5149" t="str">
        <f t="shared" si="289"/>
        <v>Onshore_2032</v>
      </c>
      <c r="P5149">
        <f t="shared" si="290"/>
        <v>1542.33683946</v>
      </c>
    </row>
    <row r="5150" spans="4:16" x14ac:dyDescent="0.25">
      <c r="D5150">
        <v>2033</v>
      </c>
      <c r="E5150" t="s">
        <v>539</v>
      </c>
      <c r="F5150" t="s">
        <v>540</v>
      </c>
      <c r="G5150">
        <v>1477.58272375</v>
      </c>
      <c r="I5150" t="b">
        <f t="shared" si="291"/>
        <v>1</v>
      </c>
      <c r="J5150">
        <f t="shared" si="291"/>
        <v>0</v>
      </c>
      <c r="K5150">
        <f t="shared" si="291"/>
        <v>0</v>
      </c>
      <c r="M5150" t="str" cm="1">
        <f t="array" ref="M5150">IFERROR(INDEX($I$2:$K$2,0,MATCH(TRUE,I5150:K5150,0)),E5150)</f>
        <v>Onshore</v>
      </c>
      <c r="O5150" t="str">
        <f t="shared" si="289"/>
        <v>Onshore_2033</v>
      </c>
      <c r="P5150">
        <f t="shared" si="290"/>
        <v>1477.58272375</v>
      </c>
    </row>
    <row r="5151" spans="4:16" x14ac:dyDescent="0.25">
      <c r="D5151">
        <v>2034</v>
      </c>
      <c r="E5151" t="s">
        <v>539</v>
      </c>
      <c r="F5151" t="s">
        <v>540</v>
      </c>
      <c r="G5151">
        <v>1412.8286080400001</v>
      </c>
      <c r="I5151" t="b">
        <f t="shared" si="291"/>
        <v>1</v>
      </c>
      <c r="J5151">
        <f t="shared" si="291"/>
        <v>0</v>
      </c>
      <c r="K5151">
        <f t="shared" si="291"/>
        <v>0</v>
      </c>
      <c r="M5151" t="str" cm="1">
        <f t="array" ref="M5151">IFERROR(INDEX($I$2:$K$2,0,MATCH(TRUE,I5151:K5151,0)),E5151)</f>
        <v>Onshore</v>
      </c>
      <c r="O5151" t="str">
        <f t="shared" si="289"/>
        <v>Onshore_2034</v>
      </c>
      <c r="P5151">
        <f t="shared" si="290"/>
        <v>1412.8286080400001</v>
      </c>
    </row>
    <row r="5152" spans="4:16" x14ac:dyDescent="0.25">
      <c r="D5152">
        <v>2035</v>
      </c>
      <c r="E5152" t="s">
        <v>539</v>
      </c>
      <c r="F5152" t="s">
        <v>540</v>
      </c>
      <c r="G5152">
        <v>1348.0744923300001</v>
      </c>
      <c r="I5152" t="b">
        <f t="shared" si="291"/>
        <v>1</v>
      </c>
      <c r="J5152">
        <f t="shared" si="291"/>
        <v>0</v>
      </c>
      <c r="K5152">
        <f t="shared" si="291"/>
        <v>0</v>
      </c>
      <c r="M5152" t="str" cm="1">
        <f t="array" ref="M5152">IFERROR(INDEX($I$2:$K$2,0,MATCH(TRUE,I5152:K5152,0)),E5152)</f>
        <v>Onshore</v>
      </c>
      <c r="O5152" t="str">
        <f t="shared" si="289"/>
        <v>Onshore_2035</v>
      </c>
      <c r="P5152">
        <f t="shared" si="290"/>
        <v>1348.0744923300001</v>
      </c>
    </row>
    <row r="5153" spans="4:16" x14ac:dyDescent="0.25">
      <c r="D5153">
        <v>2036</v>
      </c>
      <c r="E5153" t="s">
        <v>539</v>
      </c>
      <c r="F5153" t="s">
        <v>540</v>
      </c>
      <c r="G5153">
        <v>1283.3203766199999</v>
      </c>
      <c r="I5153" t="b">
        <f t="shared" si="291"/>
        <v>1</v>
      </c>
      <c r="J5153">
        <f t="shared" si="291"/>
        <v>0</v>
      </c>
      <c r="K5153">
        <f t="shared" si="291"/>
        <v>0</v>
      </c>
      <c r="M5153" t="str" cm="1">
        <f t="array" ref="M5153">IFERROR(INDEX($I$2:$K$2,0,MATCH(TRUE,I5153:K5153,0)),E5153)</f>
        <v>Onshore</v>
      </c>
      <c r="O5153" t="str">
        <f t="shared" si="289"/>
        <v>Onshore_2036</v>
      </c>
      <c r="P5153">
        <f t="shared" si="290"/>
        <v>1283.3203766199999</v>
      </c>
    </row>
    <row r="5154" spans="4:16" x14ac:dyDescent="0.25">
      <c r="D5154">
        <v>2037</v>
      </c>
      <c r="E5154" t="s">
        <v>539</v>
      </c>
      <c r="F5154" t="s">
        <v>540</v>
      </c>
      <c r="G5154">
        <v>1480.4319048499999</v>
      </c>
      <c r="I5154" t="b">
        <f t="shared" si="291"/>
        <v>1</v>
      </c>
      <c r="J5154">
        <f t="shared" si="291"/>
        <v>0</v>
      </c>
      <c r="K5154">
        <f t="shared" si="291"/>
        <v>0</v>
      </c>
      <c r="M5154" t="str" cm="1">
        <f t="array" ref="M5154">IFERROR(INDEX($I$2:$K$2,0,MATCH(TRUE,I5154:K5154,0)),E5154)</f>
        <v>Onshore</v>
      </c>
      <c r="O5154" t="str">
        <f t="shared" si="289"/>
        <v>Onshore_2037</v>
      </c>
      <c r="P5154">
        <f t="shared" si="290"/>
        <v>1480.4319048499999</v>
      </c>
    </row>
    <row r="5155" spans="4:16" x14ac:dyDescent="0.25">
      <c r="D5155">
        <v>2038</v>
      </c>
      <c r="E5155" t="s">
        <v>539</v>
      </c>
      <c r="F5155" t="s">
        <v>540</v>
      </c>
      <c r="G5155">
        <v>2051.9271235400001</v>
      </c>
      <c r="I5155" t="b">
        <f t="shared" si="291"/>
        <v>1</v>
      </c>
      <c r="J5155">
        <f t="shared" si="291"/>
        <v>0</v>
      </c>
      <c r="K5155">
        <f t="shared" si="291"/>
        <v>0</v>
      </c>
      <c r="M5155" t="str" cm="1">
        <f t="array" ref="M5155">IFERROR(INDEX($I$2:$K$2,0,MATCH(TRUE,I5155:K5155,0)),E5155)</f>
        <v>Onshore</v>
      </c>
      <c r="O5155" t="str">
        <f t="shared" si="289"/>
        <v>Onshore_2038</v>
      </c>
      <c r="P5155">
        <f t="shared" si="290"/>
        <v>2051.9271235400001</v>
      </c>
    </row>
    <row r="5156" spans="4:16" x14ac:dyDescent="0.25">
      <c r="D5156">
        <v>2039</v>
      </c>
      <c r="E5156" t="s">
        <v>539</v>
      </c>
      <c r="F5156" t="s">
        <v>540</v>
      </c>
      <c r="G5156">
        <v>1987.17300783</v>
      </c>
      <c r="I5156" t="b">
        <f t="shared" si="291"/>
        <v>1</v>
      </c>
      <c r="J5156">
        <f t="shared" si="291"/>
        <v>0</v>
      </c>
      <c r="K5156">
        <f t="shared" si="291"/>
        <v>0</v>
      </c>
      <c r="M5156" t="str" cm="1">
        <f t="array" ref="M5156">IFERROR(INDEX($I$2:$K$2,0,MATCH(TRUE,I5156:K5156,0)),E5156)</f>
        <v>Onshore</v>
      </c>
      <c r="O5156" t="str">
        <f t="shared" si="289"/>
        <v>Onshore_2039</v>
      </c>
      <c r="P5156">
        <f t="shared" si="290"/>
        <v>1987.17300783</v>
      </c>
    </row>
    <row r="5157" spans="4:16" x14ac:dyDescent="0.25">
      <c r="D5157">
        <v>2040</v>
      </c>
      <c r="E5157" t="s">
        <v>539</v>
      </c>
      <c r="F5157" t="s">
        <v>540</v>
      </c>
      <c r="G5157">
        <v>1941.5213562500001</v>
      </c>
      <c r="I5157" t="b">
        <f t="shared" si="291"/>
        <v>1</v>
      </c>
      <c r="J5157">
        <f t="shared" si="291"/>
        <v>0</v>
      </c>
      <c r="K5157">
        <f t="shared" si="291"/>
        <v>0</v>
      </c>
      <c r="M5157" t="str" cm="1">
        <f t="array" ref="M5157">IFERROR(INDEX($I$2:$K$2,0,MATCH(TRUE,I5157:K5157,0)),E5157)</f>
        <v>Onshore</v>
      </c>
      <c r="O5157" t="str">
        <f t="shared" si="289"/>
        <v>Onshore_2040</v>
      </c>
      <c r="P5157">
        <f t="shared" si="290"/>
        <v>1941.5213562500001</v>
      </c>
    </row>
    <row r="5158" spans="4:16" x14ac:dyDescent="0.25">
      <c r="D5158">
        <v>2021</v>
      </c>
      <c r="E5158" t="s">
        <v>539</v>
      </c>
      <c r="F5158" t="s">
        <v>541</v>
      </c>
      <c r="G5158">
        <v>1966.28870833</v>
      </c>
      <c r="I5158" t="b">
        <f t="shared" si="291"/>
        <v>1</v>
      </c>
      <c r="J5158">
        <f t="shared" si="291"/>
        <v>0</v>
      </c>
      <c r="K5158">
        <f t="shared" si="291"/>
        <v>0</v>
      </c>
      <c r="M5158" t="str" cm="1">
        <f t="array" ref="M5158">IFERROR(INDEX($I$2:$K$2,0,MATCH(TRUE,I5158:K5158,0)),E5158)</f>
        <v>Onshore</v>
      </c>
      <c r="O5158" t="str">
        <f t="shared" si="289"/>
        <v>Onshore_2021</v>
      </c>
      <c r="P5158">
        <f t="shared" si="290"/>
        <v>1966.28870833</v>
      </c>
    </row>
    <row r="5159" spans="4:16" x14ac:dyDescent="0.25">
      <c r="D5159">
        <v>2022</v>
      </c>
      <c r="E5159" t="s">
        <v>539</v>
      </c>
      <c r="F5159" t="s">
        <v>541</v>
      </c>
      <c r="G5159">
        <v>3698.0900209699998</v>
      </c>
      <c r="I5159" t="b">
        <f t="shared" si="291"/>
        <v>1</v>
      </c>
      <c r="J5159">
        <f t="shared" si="291"/>
        <v>0</v>
      </c>
      <c r="K5159">
        <f t="shared" si="291"/>
        <v>0</v>
      </c>
      <c r="M5159" t="str" cm="1">
        <f t="array" ref="M5159">IFERROR(INDEX($I$2:$K$2,0,MATCH(TRUE,I5159:K5159,0)),E5159)</f>
        <v>Onshore</v>
      </c>
      <c r="O5159" t="str">
        <f t="shared" si="289"/>
        <v>Onshore_2022</v>
      </c>
      <c r="P5159">
        <f t="shared" si="290"/>
        <v>3698.0900209699998</v>
      </c>
    </row>
    <row r="5160" spans="4:16" x14ac:dyDescent="0.25">
      <c r="D5160">
        <v>2023</v>
      </c>
      <c r="E5160" t="s">
        <v>539</v>
      </c>
      <c r="F5160" t="s">
        <v>541</v>
      </c>
      <c r="G5160">
        <v>6142.1380473700001</v>
      </c>
      <c r="I5160" t="b">
        <f t="shared" si="291"/>
        <v>1</v>
      </c>
      <c r="J5160">
        <f t="shared" si="291"/>
        <v>0</v>
      </c>
      <c r="K5160">
        <f t="shared" si="291"/>
        <v>0</v>
      </c>
      <c r="M5160" t="str" cm="1">
        <f t="array" ref="M5160">IFERROR(INDEX($I$2:$K$2,0,MATCH(TRUE,I5160:K5160,0)),E5160)</f>
        <v>Onshore</v>
      </c>
      <c r="O5160" t="str">
        <f t="shared" si="289"/>
        <v>Onshore_2023</v>
      </c>
      <c r="P5160">
        <f t="shared" si="290"/>
        <v>6142.1380473700001</v>
      </c>
    </row>
    <row r="5161" spans="4:16" x14ac:dyDescent="0.25">
      <c r="D5161">
        <v>2024</v>
      </c>
      <c r="E5161" t="s">
        <v>539</v>
      </c>
      <c r="F5161" t="s">
        <v>541</v>
      </c>
      <c r="G5161">
        <v>7728.6973356799999</v>
      </c>
      <c r="I5161" t="b">
        <f t="shared" si="291"/>
        <v>1</v>
      </c>
      <c r="J5161">
        <f t="shared" si="291"/>
        <v>0</v>
      </c>
      <c r="K5161">
        <f t="shared" si="291"/>
        <v>0</v>
      </c>
      <c r="M5161" t="str" cm="1">
        <f t="array" ref="M5161">IFERROR(INDEX($I$2:$K$2,0,MATCH(TRUE,I5161:K5161,0)),E5161)</f>
        <v>Onshore</v>
      </c>
      <c r="O5161" t="str">
        <f t="shared" si="289"/>
        <v>Onshore_2024</v>
      </c>
      <c r="P5161">
        <f t="shared" si="290"/>
        <v>7728.6973356799999</v>
      </c>
    </row>
    <row r="5162" spans="4:16" x14ac:dyDescent="0.25">
      <c r="D5162">
        <v>2025</v>
      </c>
      <c r="E5162" t="s">
        <v>539</v>
      </c>
      <c r="F5162" t="s">
        <v>541</v>
      </c>
      <c r="G5162">
        <v>8872.6805773199994</v>
      </c>
      <c r="I5162" t="b">
        <f t="shared" si="291"/>
        <v>1</v>
      </c>
      <c r="J5162">
        <f t="shared" si="291"/>
        <v>0</v>
      </c>
      <c r="K5162">
        <f t="shared" si="291"/>
        <v>0</v>
      </c>
      <c r="M5162" t="str" cm="1">
        <f t="array" ref="M5162">IFERROR(INDEX($I$2:$K$2,0,MATCH(TRUE,I5162:K5162,0)),E5162)</f>
        <v>Onshore</v>
      </c>
      <c r="O5162" t="str">
        <f t="shared" si="289"/>
        <v>Onshore_2025</v>
      </c>
      <c r="P5162">
        <f t="shared" si="290"/>
        <v>8872.6805773199994</v>
      </c>
    </row>
    <row r="5163" spans="4:16" x14ac:dyDescent="0.25">
      <c r="D5163">
        <v>2026</v>
      </c>
      <c r="E5163" t="s">
        <v>539</v>
      </c>
      <c r="F5163" t="s">
        <v>541</v>
      </c>
      <c r="G5163">
        <v>9850.3223702199994</v>
      </c>
      <c r="I5163" t="b">
        <f t="shared" si="291"/>
        <v>1</v>
      </c>
      <c r="J5163">
        <f t="shared" si="291"/>
        <v>0</v>
      </c>
      <c r="K5163">
        <f t="shared" si="291"/>
        <v>0</v>
      </c>
      <c r="M5163" t="str" cm="1">
        <f t="array" ref="M5163">IFERROR(INDEX($I$2:$K$2,0,MATCH(TRUE,I5163:K5163,0)),E5163)</f>
        <v>Onshore</v>
      </c>
      <c r="O5163" t="str">
        <f t="shared" si="289"/>
        <v>Onshore_2026</v>
      </c>
      <c r="P5163">
        <f t="shared" si="290"/>
        <v>9850.3223702199994</v>
      </c>
    </row>
    <row r="5164" spans="4:16" x14ac:dyDescent="0.25">
      <c r="D5164">
        <v>2027</v>
      </c>
      <c r="E5164" t="s">
        <v>539</v>
      </c>
      <c r="F5164" t="s">
        <v>541</v>
      </c>
      <c r="G5164">
        <v>9473.9501900399991</v>
      </c>
      <c r="I5164" t="b">
        <f t="shared" si="291"/>
        <v>1</v>
      </c>
      <c r="J5164">
        <f t="shared" si="291"/>
        <v>0</v>
      </c>
      <c r="K5164">
        <f t="shared" si="291"/>
        <v>0</v>
      </c>
      <c r="M5164" t="str" cm="1">
        <f t="array" ref="M5164">IFERROR(INDEX($I$2:$K$2,0,MATCH(TRUE,I5164:K5164,0)),E5164)</f>
        <v>Onshore</v>
      </c>
      <c r="O5164" t="str">
        <f t="shared" si="289"/>
        <v>Onshore_2027</v>
      </c>
      <c r="P5164">
        <f t="shared" si="290"/>
        <v>9473.9501900399991</v>
      </c>
    </row>
    <row r="5165" spans="4:16" x14ac:dyDescent="0.25">
      <c r="D5165">
        <v>2028</v>
      </c>
      <c r="E5165" t="s">
        <v>539</v>
      </c>
      <c r="F5165" t="s">
        <v>541</v>
      </c>
      <c r="G5165">
        <v>9143.7212391600006</v>
      </c>
      <c r="I5165" t="b">
        <f t="shared" si="291"/>
        <v>1</v>
      </c>
      <c r="J5165">
        <f t="shared" si="291"/>
        <v>0</v>
      </c>
      <c r="K5165">
        <f t="shared" si="291"/>
        <v>0</v>
      </c>
      <c r="M5165" t="str" cm="1">
        <f t="array" ref="M5165">IFERROR(INDEX($I$2:$K$2,0,MATCH(TRUE,I5165:K5165,0)),E5165)</f>
        <v>Onshore</v>
      </c>
      <c r="O5165" t="str">
        <f t="shared" si="289"/>
        <v>Onshore_2028</v>
      </c>
      <c r="P5165">
        <f t="shared" si="290"/>
        <v>9143.7212391600006</v>
      </c>
    </row>
    <row r="5166" spans="4:16" x14ac:dyDescent="0.25">
      <c r="D5166">
        <v>2029</v>
      </c>
      <c r="E5166" t="s">
        <v>539</v>
      </c>
      <c r="F5166" t="s">
        <v>541</v>
      </c>
      <c r="G5166">
        <v>8767.3490589800003</v>
      </c>
      <c r="I5166" t="b">
        <f t="shared" si="291"/>
        <v>1</v>
      </c>
      <c r="J5166">
        <f t="shared" si="291"/>
        <v>0</v>
      </c>
      <c r="K5166">
        <f t="shared" si="291"/>
        <v>0</v>
      </c>
      <c r="M5166" t="str" cm="1">
        <f t="array" ref="M5166">IFERROR(INDEX($I$2:$K$2,0,MATCH(TRUE,I5166:K5166,0)),E5166)</f>
        <v>Onshore</v>
      </c>
      <c r="O5166" t="str">
        <f t="shared" si="289"/>
        <v>Onshore_2029</v>
      </c>
      <c r="P5166">
        <f t="shared" si="290"/>
        <v>8767.3490589800003</v>
      </c>
    </row>
    <row r="5167" spans="4:16" x14ac:dyDescent="0.25">
      <c r="D5167">
        <v>2030</v>
      </c>
      <c r="E5167" t="s">
        <v>539</v>
      </c>
      <c r="F5167" t="s">
        <v>541</v>
      </c>
      <c r="G5167">
        <v>8390.9768788099991</v>
      </c>
      <c r="I5167" t="b">
        <f t="shared" si="291"/>
        <v>1</v>
      </c>
      <c r="J5167">
        <f t="shared" si="291"/>
        <v>0</v>
      </c>
      <c r="K5167">
        <f t="shared" si="291"/>
        <v>0</v>
      </c>
      <c r="M5167" t="str" cm="1">
        <f t="array" ref="M5167">IFERROR(INDEX($I$2:$K$2,0,MATCH(TRUE,I5167:K5167,0)),E5167)</f>
        <v>Onshore</v>
      </c>
      <c r="O5167" t="str">
        <f t="shared" si="289"/>
        <v>Onshore_2030</v>
      </c>
      <c r="P5167">
        <f t="shared" si="290"/>
        <v>8390.9768788099991</v>
      </c>
    </row>
    <row r="5168" spans="4:16" x14ac:dyDescent="0.25">
      <c r="D5168">
        <v>2031</v>
      </c>
      <c r="E5168" t="s">
        <v>539</v>
      </c>
      <c r="F5168" t="s">
        <v>541</v>
      </c>
      <c r="G5168">
        <v>8014.6046986299998</v>
      </c>
      <c r="I5168" t="b">
        <f t="shared" si="291"/>
        <v>1</v>
      </c>
      <c r="J5168">
        <f t="shared" si="291"/>
        <v>0</v>
      </c>
      <c r="K5168">
        <f t="shared" si="291"/>
        <v>0</v>
      </c>
      <c r="M5168" t="str" cm="1">
        <f t="array" ref="M5168">IFERROR(INDEX($I$2:$K$2,0,MATCH(TRUE,I5168:K5168,0)),E5168)</f>
        <v>Onshore</v>
      </c>
      <c r="O5168" t="str">
        <f t="shared" si="289"/>
        <v>Onshore_2031</v>
      </c>
      <c r="P5168">
        <f t="shared" si="290"/>
        <v>8014.6046986299998</v>
      </c>
    </row>
    <row r="5169" spans="4:16" x14ac:dyDescent="0.25">
      <c r="D5169">
        <v>2032</v>
      </c>
      <c r="E5169" t="s">
        <v>539</v>
      </c>
      <c r="F5169" t="s">
        <v>541</v>
      </c>
      <c r="G5169">
        <v>8964.5680813899999</v>
      </c>
      <c r="I5169" t="b">
        <f t="shared" si="291"/>
        <v>1</v>
      </c>
      <c r="J5169">
        <f t="shared" si="291"/>
        <v>0</v>
      </c>
      <c r="K5169">
        <f t="shared" si="291"/>
        <v>0</v>
      </c>
      <c r="M5169" t="str" cm="1">
        <f t="array" ref="M5169">IFERROR(INDEX($I$2:$K$2,0,MATCH(TRUE,I5169:K5169,0)),E5169)</f>
        <v>Onshore</v>
      </c>
      <c r="O5169" t="str">
        <f t="shared" si="289"/>
        <v>Onshore_2032</v>
      </c>
      <c r="P5169">
        <f t="shared" si="290"/>
        <v>8964.5680813899999</v>
      </c>
    </row>
    <row r="5170" spans="4:16" x14ac:dyDescent="0.25">
      <c r="D5170">
        <v>2033</v>
      </c>
      <c r="E5170" t="s">
        <v>539</v>
      </c>
      <c r="F5170" t="s">
        <v>541</v>
      </c>
      <c r="G5170">
        <v>8588.1959012200005</v>
      </c>
      <c r="I5170" t="b">
        <f t="shared" si="291"/>
        <v>1</v>
      </c>
      <c r="J5170">
        <f t="shared" si="291"/>
        <v>0</v>
      </c>
      <c r="K5170">
        <f t="shared" si="291"/>
        <v>0</v>
      </c>
      <c r="M5170" t="str" cm="1">
        <f t="array" ref="M5170">IFERROR(INDEX($I$2:$K$2,0,MATCH(TRUE,I5170:K5170,0)),E5170)</f>
        <v>Onshore</v>
      </c>
      <c r="O5170" t="str">
        <f t="shared" si="289"/>
        <v>Onshore_2033</v>
      </c>
      <c r="P5170">
        <f t="shared" si="290"/>
        <v>8588.1959012200005</v>
      </c>
    </row>
    <row r="5171" spans="4:16" x14ac:dyDescent="0.25">
      <c r="D5171">
        <v>2034</v>
      </c>
      <c r="E5171" t="s">
        <v>539</v>
      </c>
      <c r="F5171" t="s">
        <v>541</v>
      </c>
      <c r="G5171">
        <v>8211.8237210400002</v>
      </c>
      <c r="I5171" t="b">
        <f t="shared" si="291"/>
        <v>1</v>
      </c>
      <c r="J5171">
        <f t="shared" si="291"/>
        <v>0</v>
      </c>
      <c r="K5171">
        <f t="shared" si="291"/>
        <v>0</v>
      </c>
      <c r="M5171" t="str" cm="1">
        <f t="array" ref="M5171">IFERROR(INDEX($I$2:$K$2,0,MATCH(TRUE,I5171:K5171,0)),E5171)</f>
        <v>Onshore</v>
      </c>
      <c r="O5171" t="str">
        <f t="shared" si="289"/>
        <v>Onshore_2034</v>
      </c>
      <c r="P5171">
        <f t="shared" si="290"/>
        <v>8211.8237210400002</v>
      </c>
    </row>
    <row r="5172" spans="4:16" x14ac:dyDescent="0.25">
      <c r="D5172">
        <v>2035</v>
      </c>
      <c r="E5172" t="s">
        <v>539</v>
      </c>
      <c r="F5172" t="s">
        <v>541</v>
      </c>
      <c r="G5172">
        <v>7835.4515408699999</v>
      </c>
      <c r="I5172" t="b">
        <f t="shared" si="291"/>
        <v>1</v>
      </c>
      <c r="J5172">
        <f t="shared" si="291"/>
        <v>0</v>
      </c>
      <c r="K5172">
        <f t="shared" si="291"/>
        <v>0</v>
      </c>
      <c r="M5172" t="str" cm="1">
        <f t="array" ref="M5172">IFERROR(INDEX($I$2:$K$2,0,MATCH(TRUE,I5172:K5172,0)),E5172)</f>
        <v>Onshore</v>
      </c>
      <c r="O5172" t="str">
        <f t="shared" si="289"/>
        <v>Onshore_2035</v>
      </c>
      <c r="P5172">
        <f t="shared" si="290"/>
        <v>7835.4515408699999</v>
      </c>
    </row>
    <row r="5173" spans="4:16" x14ac:dyDescent="0.25">
      <c r="D5173">
        <v>2036</v>
      </c>
      <c r="E5173" t="s">
        <v>539</v>
      </c>
      <c r="F5173" t="s">
        <v>541</v>
      </c>
      <c r="G5173">
        <v>7459.0793606899997</v>
      </c>
      <c r="I5173" t="b">
        <f t="shared" si="291"/>
        <v>1</v>
      </c>
      <c r="J5173">
        <f t="shared" si="291"/>
        <v>0</v>
      </c>
      <c r="K5173">
        <f t="shared" si="291"/>
        <v>0</v>
      </c>
      <c r="M5173" t="str" cm="1">
        <f t="array" ref="M5173">IFERROR(INDEX($I$2:$K$2,0,MATCH(TRUE,I5173:K5173,0)),E5173)</f>
        <v>Onshore</v>
      </c>
      <c r="O5173" t="str">
        <f t="shared" si="289"/>
        <v>Onshore_2036</v>
      </c>
      <c r="P5173">
        <f t="shared" si="290"/>
        <v>7459.0793606899997</v>
      </c>
    </row>
    <row r="5174" spans="4:16" x14ac:dyDescent="0.25">
      <c r="D5174">
        <v>2037</v>
      </c>
      <c r="E5174" t="s">
        <v>539</v>
      </c>
      <c r="F5174" t="s">
        <v>541</v>
      </c>
      <c r="G5174">
        <v>8604.7562771499997</v>
      </c>
      <c r="I5174" t="b">
        <f t="shared" si="291"/>
        <v>1</v>
      </c>
      <c r="J5174">
        <f t="shared" si="291"/>
        <v>0</v>
      </c>
      <c r="K5174">
        <f t="shared" si="291"/>
        <v>0</v>
      </c>
      <c r="M5174" t="str" cm="1">
        <f t="array" ref="M5174">IFERROR(INDEX($I$2:$K$2,0,MATCH(TRUE,I5174:K5174,0)),E5174)</f>
        <v>Onshore</v>
      </c>
      <c r="O5174" t="str">
        <f t="shared" si="289"/>
        <v>Onshore_2037</v>
      </c>
      <c r="P5174">
        <f t="shared" si="290"/>
        <v>8604.7562771499997</v>
      </c>
    </row>
    <row r="5175" spans="4:16" x14ac:dyDescent="0.25">
      <c r="D5175">
        <v>2038</v>
      </c>
      <c r="E5175" t="s">
        <v>539</v>
      </c>
      <c r="F5175" t="s">
        <v>541</v>
      </c>
      <c r="G5175">
        <v>11926.474117940001</v>
      </c>
      <c r="I5175" t="b">
        <f t="shared" si="291"/>
        <v>1</v>
      </c>
      <c r="J5175">
        <f t="shared" si="291"/>
        <v>0</v>
      </c>
      <c r="K5175">
        <f t="shared" si="291"/>
        <v>0</v>
      </c>
      <c r="M5175" t="str" cm="1">
        <f t="array" ref="M5175">IFERROR(INDEX($I$2:$K$2,0,MATCH(TRUE,I5175:K5175,0)),E5175)</f>
        <v>Onshore</v>
      </c>
      <c r="O5175" t="str">
        <f t="shared" si="289"/>
        <v>Onshore_2038</v>
      </c>
      <c r="P5175">
        <f t="shared" si="290"/>
        <v>11926.474117940001</v>
      </c>
    </row>
    <row r="5176" spans="4:16" x14ac:dyDescent="0.25">
      <c r="D5176">
        <v>2039</v>
      </c>
      <c r="E5176" t="s">
        <v>539</v>
      </c>
      <c r="F5176" t="s">
        <v>541</v>
      </c>
      <c r="G5176">
        <v>11550.101937769999</v>
      </c>
      <c r="I5176" t="b">
        <f t="shared" si="291"/>
        <v>1</v>
      </c>
      <c r="J5176">
        <f t="shared" si="291"/>
        <v>0</v>
      </c>
      <c r="K5176">
        <f t="shared" si="291"/>
        <v>0</v>
      </c>
      <c r="M5176" t="str" cm="1">
        <f t="array" ref="M5176">IFERROR(INDEX($I$2:$K$2,0,MATCH(TRUE,I5176:K5176,0)),E5176)</f>
        <v>Onshore</v>
      </c>
      <c r="O5176" t="str">
        <f t="shared" si="289"/>
        <v>Onshore_2039</v>
      </c>
      <c r="P5176">
        <f t="shared" si="290"/>
        <v>11550.101937769999</v>
      </c>
    </row>
    <row r="5177" spans="4:16" x14ac:dyDescent="0.25">
      <c r="D5177">
        <v>2040</v>
      </c>
      <c r="E5177" t="s">
        <v>539</v>
      </c>
      <c r="F5177" t="s">
        <v>541</v>
      </c>
      <c r="G5177">
        <v>11284.75955074</v>
      </c>
      <c r="I5177" t="b">
        <f t="shared" si="291"/>
        <v>1</v>
      </c>
      <c r="J5177">
        <f t="shared" si="291"/>
        <v>0</v>
      </c>
      <c r="K5177">
        <f t="shared" si="291"/>
        <v>0</v>
      </c>
      <c r="M5177" t="str" cm="1">
        <f t="array" ref="M5177">IFERROR(INDEX($I$2:$K$2,0,MATCH(TRUE,I5177:K5177,0)),E5177)</f>
        <v>Onshore</v>
      </c>
      <c r="O5177" t="str">
        <f t="shared" si="289"/>
        <v>Onshore_2040</v>
      </c>
      <c r="P5177">
        <f t="shared" si="290"/>
        <v>11284.75955074</v>
      </c>
    </row>
    <row r="5178" spans="4:16" x14ac:dyDescent="0.25">
      <c r="D5178">
        <v>2021</v>
      </c>
      <c r="E5178" t="s">
        <v>539</v>
      </c>
      <c r="F5178" t="s">
        <v>542</v>
      </c>
      <c r="G5178">
        <v>307.57506988</v>
      </c>
      <c r="I5178" t="b">
        <f t="shared" si="291"/>
        <v>1</v>
      </c>
      <c r="J5178">
        <f t="shared" si="291"/>
        <v>0</v>
      </c>
      <c r="K5178">
        <f t="shared" si="291"/>
        <v>0</v>
      </c>
      <c r="M5178" t="str" cm="1">
        <f t="array" ref="M5178">IFERROR(INDEX($I$2:$K$2,0,MATCH(TRUE,I5178:K5178,0)),E5178)</f>
        <v>Onshore</v>
      </c>
      <c r="O5178" t="str">
        <f t="shared" si="289"/>
        <v>Onshore_2021</v>
      </c>
      <c r="P5178">
        <f t="shared" si="290"/>
        <v>307.57506988</v>
      </c>
    </row>
    <row r="5179" spans="4:16" x14ac:dyDescent="0.25">
      <c r="D5179">
        <v>2022</v>
      </c>
      <c r="E5179" t="s">
        <v>539</v>
      </c>
      <c r="F5179" t="s">
        <v>542</v>
      </c>
      <c r="G5179">
        <v>578.47064463000004</v>
      </c>
      <c r="I5179" t="b">
        <f t="shared" si="291"/>
        <v>1</v>
      </c>
      <c r="J5179">
        <f t="shared" si="291"/>
        <v>0</v>
      </c>
      <c r="K5179">
        <f t="shared" si="291"/>
        <v>0</v>
      </c>
      <c r="M5179" t="str" cm="1">
        <f t="array" ref="M5179">IFERROR(INDEX($I$2:$K$2,0,MATCH(TRUE,I5179:K5179,0)),E5179)</f>
        <v>Onshore</v>
      </c>
      <c r="O5179" t="str">
        <f t="shared" si="289"/>
        <v>Onshore_2022</v>
      </c>
      <c r="P5179">
        <f t="shared" si="290"/>
        <v>578.47064463000004</v>
      </c>
    </row>
    <row r="5180" spans="4:16" x14ac:dyDescent="0.25">
      <c r="D5180">
        <v>2023</v>
      </c>
      <c r="E5180" t="s">
        <v>539</v>
      </c>
      <c r="F5180" t="s">
        <v>542</v>
      </c>
      <c r="G5180">
        <v>960.77881704000004</v>
      </c>
      <c r="I5180" t="b">
        <f t="shared" si="291"/>
        <v>1</v>
      </c>
      <c r="J5180">
        <f t="shared" si="291"/>
        <v>0</v>
      </c>
      <c r="K5180">
        <f t="shared" si="291"/>
        <v>0</v>
      </c>
      <c r="M5180" t="str" cm="1">
        <f t="array" ref="M5180">IFERROR(INDEX($I$2:$K$2,0,MATCH(TRUE,I5180:K5180,0)),E5180)</f>
        <v>Onshore</v>
      </c>
      <c r="O5180" t="str">
        <f t="shared" si="289"/>
        <v>Onshore_2023</v>
      </c>
      <c r="P5180">
        <f t="shared" si="290"/>
        <v>960.77881704000004</v>
      </c>
    </row>
    <row r="5181" spans="4:16" x14ac:dyDescent="0.25">
      <c r="D5181">
        <v>2024</v>
      </c>
      <c r="E5181" t="s">
        <v>539</v>
      </c>
      <c r="F5181" t="s">
        <v>542</v>
      </c>
      <c r="G5181">
        <v>1208.95502936</v>
      </c>
      <c r="I5181" t="b">
        <f t="shared" si="291"/>
        <v>1</v>
      </c>
      <c r="J5181">
        <f t="shared" si="291"/>
        <v>0</v>
      </c>
      <c r="K5181">
        <f t="shared" si="291"/>
        <v>0</v>
      </c>
      <c r="M5181" t="str" cm="1">
        <f t="array" ref="M5181">IFERROR(INDEX($I$2:$K$2,0,MATCH(TRUE,I5181:K5181,0)),E5181)</f>
        <v>Onshore</v>
      </c>
      <c r="O5181" t="str">
        <f t="shared" si="289"/>
        <v>Onshore_2024</v>
      </c>
      <c r="P5181">
        <f t="shared" si="290"/>
        <v>1208.95502936</v>
      </c>
    </row>
    <row r="5182" spans="4:16" x14ac:dyDescent="0.25">
      <c r="D5182">
        <v>2025</v>
      </c>
      <c r="E5182" t="s">
        <v>539</v>
      </c>
      <c r="F5182" t="s">
        <v>542</v>
      </c>
      <c r="G5182">
        <v>1387.9016530199999</v>
      </c>
      <c r="I5182" t="b">
        <f t="shared" si="291"/>
        <v>1</v>
      </c>
      <c r="J5182">
        <f t="shared" si="291"/>
        <v>0</v>
      </c>
      <c r="K5182">
        <f t="shared" si="291"/>
        <v>0</v>
      </c>
      <c r="M5182" t="str" cm="1">
        <f t="array" ref="M5182">IFERROR(INDEX($I$2:$K$2,0,MATCH(TRUE,I5182:K5182,0)),E5182)</f>
        <v>Onshore</v>
      </c>
      <c r="O5182" t="str">
        <f t="shared" si="289"/>
        <v>Onshore_2025</v>
      </c>
      <c r="P5182">
        <f t="shared" si="290"/>
        <v>1387.9016530199999</v>
      </c>
    </row>
    <row r="5183" spans="4:16" x14ac:dyDescent="0.25">
      <c r="D5183">
        <v>2026</v>
      </c>
      <c r="E5183" t="s">
        <v>539</v>
      </c>
      <c r="F5183" t="s">
        <v>542</v>
      </c>
      <c r="G5183">
        <v>1540.8284544099999</v>
      </c>
      <c r="I5183" t="b">
        <f t="shared" si="291"/>
        <v>1</v>
      </c>
      <c r="J5183">
        <f t="shared" si="291"/>
        <v>0</v>
      </c>
      <c r="K5183">
        <f t="shared" si="291"/>
        <v>0</v>
      </c>
      <c r="M5183" t="str" cm="1">
        <f t="array" ref="M5183">IFERROR(INDEX($I$2:$K$2,0,MATCH(TRUE,I5183:K5183,0)),E5183)</f>
        <v>Onshore</v>
      </c>
      <c r="O5183" t="str">
        <f t="shared" si="289"/>
        <v>Onshore_2026</v>
      </c>
      <c r="P5183">
        <f t="shared" si="290"/>
        <v>1540.8284544099999</v>
      </c>
    </row>
    <row r="5184" spans="4:16" x14ac:dyDescent="0.25">
      <c r="D5184">
        <v>2027</v>
      </c>
      <c r="E5184" t="s">
        <v>539</v>
      </c>
      <c r="F5184" t="s">
        <v>542</v>
      </c>
      <c r="G5184">
        <v>1481.95475029</v>
      </c>
      <c r="I5184" t="b">
        <f t="shared" si="291"/>
        <v>1</v>
      </c>
      <c r="J5184">
        <f t="shared" si="291"/>
        <v>0</v>
      </c>
      <c r="K5184">
        <f t="shared" si="291"/>
        <v>0</v>
      </c>
      <c r="M5184" t="str" cm="1">
        <f t="array" ref="M5184">IFERROR(INDEX($I$2:$K$2,0,MATCH(TRUE,I5184:K5184,0)),E5184)</f>
        <v>Onshore</v>
      </c>
      <c r="O5184" t="str">
        <f t="shared" si="289"/>
        <v>Onshore_2027</v>
      </c>
      <c r="P5184">
        <f t="shared" si="290"/>
        <v>1481.95475029</v>
      </c>
    </row>
    <row r="5185" spans="4:16" x14ac:dyDescent="0.25">
      <c r="D5185">
        <v>2028</v>
      </c>
      <c r="E5185" t="s">
        <v>539</v>
      </c>
      <c r="F5185" t="s">
        <v>542</v>
      </c>
      <c r="G5185">
        <v>1430.2989623000001</v>
      </c>
      <c r="I5185" t="b">
        <f t="shared" si="291"/>
        <v>1</v>
      </c>
      <c r="J5185">
        <f t="shared" si="291"/>
        <v>0</v>
      </c>
      <c r="K5185">
        <f t="shared" si="291"/>
        <v>0</v>
      </c>
      <c r="M5185" t="str" cm="1">
        <f t="array" ref="M5185">IFERROR(INDEX($I$2:$K$2,0,MATCH(TRUE,I5185:K5185,0)),E5185)</f>
        <v>Onshore</v>
      </c>
      <c r="O5185" t="str">
        <f t="shared" si="289"/>
        <v>Onshore_2028</v>
      </c>
      <c r="P5185">
        <f t="shared" si="290"/>
        <v>1430.2989623000001</v>
      </c>
    </row>
    <row r="5186" spans="4:16" x14ac:dyDescent="0.25">
      <c r="D5186">
        <v>2029</v>
      </c>
      <c r="E5186" t="s">
        <v>539</v>
      </c>
      <c r="F5186" t="s">
        <v>542</v>
      </c>
      <c r="G5186">
        <v>1371.42525819</v>
      </c>
      <c r="I5186" t="b">
        <f t="shared" si="291"/>
        <v>1</v>
      </c>
      <c r="J5186">
        <f t="shared" si="291"/>
        <v>0</v>
      </c>
      <c r="K5186">
        <f t="shared" si="291"/>
        <v>0</v>
      </c>
      <c r="M5186" t="str" cm="1">
        <f t="array" ref="M5186">IFERROR(INDEX($I$2:$K$2,0,MATCH(TRUE,I5186:K5186,0)),E5186)</f>
        <v>Onshore</v>
      </c>
      <c r="O5186" t="str">
        <f t="shared" si="289"/>
        <v>Onshore_2029</v>
      </c>
      <c r="P5186">
        <f t="shared" si="290"/>
        <v>1371.42525819</v>
      </c>
    </row>
    <row r="5187" spans="4:16" x14ac:dyDescent="0.25">
      <c r="D5187">
        <v>2030</v>
      </c>
      <c r="E5187" t="s">
        <v>539</v>
      </c>
      <c r="F5187" t="s">
        <v>542</v>
      </c>
      <c r="G5187">
        <v>1312.5515540700001</v>
      </c>
      <c r="I5187" t="b">
        <f t="shared" si="291"/>
        <v>1</v>
      </c>
      <c r="J5187">
        <f t="shared" si="291"/>
        <v>0</v>
      </c>
      <c r="K5187">
        <f t="shared" si="291"/>
        <v>0</v>
      </c>
      <c r="M5187" t="str" cm="1">
        <f t="array" ref="M5187">IFERROR(INDEX($I$2:$K$2,0,MATCH(TRUE,I5187:K5187,0)),E5187)</f>
        <v>Onshore</v>
      </c>
      <c r="O5187" t="str">
        <f t="shared" si="289"/>
        <v>Onshore_2030</v>
      </c>
      <c r="P5187">
        <f t="shared" si="290"/>
        <v>1312.5515540700001</v>
      </c>
    </row>
    <row r="5188" spans="4:16" x14ac:dyDescent="0.25">
      <c r="D5188">
        <v>2031</v>
      </c>
      <c r="E5188" t="s">
        <v>539</v>
      </c>
      <c r="F5188" t="s">
        <v>542</v>
      </c>
      <c r="G5188">
        <v>1253.67784996</v>
      </c>
      <c r="I5188" t="b">
        <f t="shared" si="291"/>
        <v>1</v>
      </c>
      <c r="J5188">
        <f t="shared" si="291"/>
        <v>0</v>
      </c>
      <c r="K5188">
        <f t="shared" si="291"/>
        <v>0</v>
      </c>
      <c r="M5188" t="str" cm="1">
        <f t="array" ref="M5188">IFERROR(INDEX($I$2:$K$2,0,MATCH(TRUE,I5188:K5188,0)),E5188)</f>
        <v>Onshore</v>
      </c>
      <c r="O5188" t="str">
        <f t="shared" si="289"/>
        <v>Onshore_2031</v>
      </c>
      <c r="P5188">
        <f t="shared" si="290"/>
        <v>1253.67784996</v>
      </c>
    </row>
    <row r="5189" spans="4:16" x14ac:dyDescent="0.25">
      <c r="D5189">
        <v>2032</v>
      </c>
      <c r="E5189" t="s">
        <v>539</v>
      </c>
      <c r="F5189" t="s">
        <v>542</v>
      </c>
      <c r="G5189">
        <v>1402.2750791399999</v>
      </c>
      <c r="I5189" t="b">
        <f t="shared" si="291"/>
        <v>1</v>
      </c>
      <c r="J5189">
        <f t="shared" si="291"/>
        <v>0</v>
      </c>
      <c r="K5189">
        <f t="shared" si="291"/>
        <v>0</v>
      </c>
      <c r="M5189" t="str" cm="1">
        <f t="array" ref="M5189">IFERROR(INDEX($I$2:$K$2,0,MATCH(TRUE,I5189:K5189,0)),E5189)</f>
        <v>Onshore</v>
      </c>
      <c r="O5189" t="str">
        <f t="shared" si="289"/>
        <v>Onshore_2032</v>
      </c>
      <c r="P5189">
        <f t="shared" si="290"/>
        <v>1402.2750791399999</v>
      </c>
    </row>
    <row r="5190" spans="4:16" x14ac:dyDescent="0.25">
      <c r="D5190">
        <v>2033</v>
      </c>
      <c r="E5190" t="s">
        <v>539</v>
      </c>
      <c r="F5190" t="s">
        <v>542</v>
      </c>
      <c r="G5190">
        <v>1343.4013750300001</v>
      </c>
      <c r="I5190" t="b">
        <f t="shared" si="291"/>
        <v>1</v>
      </c>
      <c r="J5190">
        <f t="shared" si="291"/>
        <v>0</v>
      </c>
      <c r="K5190">
        <f t="shared" si="291"/>
        <v>0</v>
      </c>
      <c r="M5190" t="str" cm="1">
        <f t="array" ref="M5190">IFERROR(INDEX($I$2:$K$2,0,MATCH(TRUE,I5190:K5190,0)),E5190)</f>
        <v>Onshore</v>
      </c>
      <c r="O5190" t="str">
        <f t="shared" si="289"/>
        <v>Onshore_2033</v>
      </c>
      <c r="P5190">
        <f t="shared" si="290"/>
        <v>1343.4013750300001</v>
      </c>
    </row>
    <row r="5191" spans="4:16" x14ac:dyDescent="0.25">
      <c r="D5191">
        <v>2034</v>
      </c>
      <c r="E5191" t="s">
        <v>539</v>
      </c>
      <c r="F5191" t="s">
        <v>542</v>
      </c>
      <c r="G5191">
        <v>1284.5276709100001</v>
      </c>
      <c r="I5191" t="b">
        <f t="shared" si="291"/>
        <v>1</v>
      </c>
      <c r="J5191">
        <f t="shared" si="291"/>
        <v>0</v>
      </c>
      <c r="K5191">
        <f t="shared" si="291"/>
        <v>0</v>
      </c>
      <c r="M5191" t="str" cm="1">
        <f t="array" ref="M5191">IFERROR(INDEX($I$2:$K$2,0,MATCH(TRUE,I5191:K5191,0)),E5191)</f>
        <v>Onshore</v>
      </c>
      <c r="O5191" t="str">
        <f t="shared" si="289"/>
        <v>Onshore_2034</v>
      </c>
      <c r="P5191">
        <f t="shared" si="290"/>
        <v>1284.5276709100001</v>
      </c>
    </row>
    <row r="5192" spans="4:16" x14ac:dyDescent="0.25">
      <c r="D5192">
        <v>2035</v>
      </c>
      <c r="E5192" t="s">
        <v>539</v>
      </c>
      <c r="F5192" t="s">
        <v>542</v>
      </c>
      <c r="G5192">
        <v>1225.6539668</v>
      </c>
      <c r="I5192" t="b">
        <f t="shared" si="291"/>
        <v>1</v>
      </c>
      <c r="J5192">
        <f t="shared" si="291"/>
        <v>0</v>
      </c>
      <c r="K5192">
        <f t="shared" si="291"/>
        <v>0</v>
      </c>
      <c r="M5192" t="str" cm="1">
        <f t="array" ref="M5192">IFERROR(INDEX($I$2:$K$2,0,MATCH(TRUE,I5192:K5192,0)),E5192)</f>
        <v>Onshore</v>
      </c>
      <c r="O5192" t="str">
        <f t="shared" si="289"/>
        <v>Onshore_2035</v>
      </c>
      <c r="P5192">
        <f t="shared" si="290"/>
        <v>1225.6539668</v>
      </c>
    </row>
    <row r="5193" spans="4:16" x14ac:dyDescent="0.25">
      <c r="D5193">
        <v>2036</v>
      </c>
      <c r="E5193" t="s">
        <v>539</v>
      </c>
      <c r="F5193" t="s">
        <v>542</v>
      </c>
      <c r="G5193">
        <v>1166.7802626800001</v>
      </c>
      <c r="I5193" t="b">
        <f t="shared" si="291"/>
        <v>1</v>
      </c>
      <c r="J5193">
        <f t="shared" si="291"/>
        <v>0</v>
      </c>
      <c r="K5193">
        <f t="shared" si="291"/>
        <v>0</v>
      </c>
      <c r="M5193" t="str" cm="1">
        <f t="array" ref="M5193">IFERROR(INDEX($I$2:$K$2,0,MATCH(TRUE,I5193:K5193,0)),E5193)</f>
        <v>Onshore</v>
      </c>
      <c r="O5193" t="str">
        <f t="shared" si="289"/>
        <v>Onshore_2036</v>
      </c>
      <c r="P5193">
        <f t="shared" si="290"/>
        <v>1166.7802626800001</v>
      </c>
    </row>
    <row r="5194" spans="4:16" x14ac:dyDescent="0.25">
      <c r="D5194">
        <v>2037</v>
      </c>
      <c r="E5194" t="s">
        <v>539</v>
      </c>
      <c r="F5194" t="s">
        <v>542</v>
      </c>
      <c r="G5194">
        <v>1345.9918180100001</v>
      </c>
      <c r="I5194" t="b">
        <f t="shared" si="291"/>
        <v>1</v>
      </c>
      <c r="J5194">
        <f t="shared" si="291"/>
        <v>0</v>
      </c>
      <c r="K5194">
        <f t="shared" si="291"/>
        <v>0</v>
      </c>
      <c r="M5194" t="str" cm="1">
        <f t="array" ref="M5194">IFERROR(INDEX($I$2:$K$2,0,MATCH(TRUE,I5194:K5194,0)),E5194)</f>
        <v>Onshore</v>
      </c>
      <c r="O5194" t="str">
        <f t="shared" si="289"/>
        <v>Onshore_2037</v>
      </c>
      <c r="P5194">
        <f t="shared" si="290"/>
        <v>1345.9918180100001</v>
      </c>
    </row>
    <row r="5195" spans="4:16" x14ac:dyDescent="0.25">
      <c r="D5195">
        <v>2038</v>
      </c>
      <c r="E5195" t="s">
        <v>539</v>
      </c>
      <c r="F5195" t="s">
        <v>542</v>
      </c>
      <c r="G5195">
        <v>1865.5887585200001</v>
      </c>
      <c r="I5195" t="b">
        <f t="shared" si="291"/>
        <v>1</v>
      </c>
      <c r="J5195">
        <f t="shared" si="291"/>
        <v>0</v>
      </c>
      <c r="K5195">
        <f t="shared" si="291"/>
        <v>0</v>
      </c>
      <c r="M5195" t="str" cm="1">
        <f t="array" ref="M5195">IFERROR(INDEX($I$2:$K$2,0,MATCH(TRUE,I5195:K5195,0)),E5195)</f>
        <v>Onshore</v>
      </c>
      <c r="O5195" t="str">
        <f t="shared" si="289"/>
        <v>Onshore_2038</v>
      </c>
      <c r="P5195">
        <f t="shared" si="290"/>
        <v>1865.5887585200001</v>
      </c>
    </row>
    <row r="5196" spans="4:16" x14ac:dyDescent="0.25">
      <c r="D5196">
        <v>2039</v>
      </c>
      <c r="E5196" t="s">
        <v>539</v>
      </c>
      <c r="F5196" t="s">
        <v>542</v>
      </c>
      <c r="G5196">
        <v>1806.7150544000001</v>
      </c>
      <c r="I5196" t="b">
        <f t="shared" si="291"/>
        <v>1</v>
      </c>
      <c r="J5196">
        <f t="shared" si="291"/>
        <v>0</v>
      </c>
      <c r="K5196">
        <f t="shared" si="291"/>
        <v>0</v>
      </c>
      <c r="M5196" t="str" cm="1">
        <f t="array" ref="M5196">IFERROR(INDEX($I$2:$K$2,0,MATCH(TRUE,I5196:K5196,0)),E5196)</f>
        <v>Onshore</v>
      </c>
      <c r="O5196" t="str">
        <f t="shared" si="289"/>
        <v>Onshore_2039</v>
      </c>
      <c r="P5196">
        <f t="shared" si="290"/>
        <v>1806.7150544000001</v>
      </c>
    </row>
    <row r="5197" spans="4:16" x14ac:dyDescent="0.25">
      <c r="D5197">
        <v>2040</v>
      </c>
      <c r="E5197" t="s">
        <v>539</v>
      </c>
      <c r="F5197" t="s">
        <v>542</v>
      </c>
      <c r="G5197">
        <v>1765.2090929999999</v>
      </c>
      <c r="I5197" t="b">
        <f t="shared" si="291"/>
        <v>1</v>
      </c>
      <c r="J5197">
        <f t="shared" si="291"/>
        <v>0</v>
      </c>
      <c r="K5197">
        <f t="shared" si="291"/>
        <v>0</v>
      </c>
      <c r="M5197" t="str" cm="1">
        <f t="array" ref="M5197">IFERROR(INDEX($I$2:$K$2,0,MATCH(TRUE,I5197:K5197,0)),E5197)</f>
        <v>Onshore</v>
      </c>
      <c r="O5197" t="str">
        <f t="shared" si="289"/>
        <v>Onshore_2040</v>
      </c>
      <c r="P5197">
        <f t="shared" si="290"/>
        <v>1765.2090929999999</v>
      </c>
    </row>
    <row r="5198" spans="4:16" x14ac:dyDescent="0.25">
      <c r="D5198">
        <v>2021</v>
      </c>
      <c r="E5198" t="s">
        <v>131</v>
      </c>
      <c r="F5198" t="s">
        <v>543</v>
      </c>
      <c r="G5198">
        <v>6391.9468650999997</v>
      </c>
      <c r="I5198" t="b">
        <f t="shared" si="291"/>
        <v>1</v>
      </c>
      <c r="J5198">
        <f t="shared" si="291"/>
        <v>0</v>
      </c>
      <c r="K5198">
        <f t="shared" si="291"/>
        <v>0</v>
      </c>
      <c r="M5198" t="str" cm="1">
        <f t="array" ref="M5198">IFERROR(INDEX($I$2:$K$2,0,MATCH(TRUE,I5198:K5198,0)),E5198)</f>
        <v>Onshore</v>
      </c>
      <c r="O5198" t="str">
        <f t="shared" si="289"/>
        <v>Onshore_2021</v>
      </c>
      <c r="P5198">
        <f t="shared" si="290"/>
        <v>6391.9468650999997</v>
      </c>
    </row>
    <row r="5199" spans="4:16" x14ac:dyDescent="0.25">
      <c r="D5199">
        <v>2022</v>
      </c>
      <c r="E5199" t="s">
        <v>131</v>
      </c>
      <c r="F5199" t="s">
        <v>543</v>
      </c>
      <c r="G5199">
        <v>5927.2858050900004</v>
      </c>
      <c r="I5199" t="b">
        <f t="shared" si="291"/>
        <v>1</v>
      </c>
      <c r="J5199">
        <f t="shared" si="291"/>
        <v>0</v>
      </c>
      <c r="K5199">
        <f t="shared" si="291"/>
        <v>0</v>
      </c>
      <c r="M5199" t="str" cm="1">
        <f t="array" ref="M5199">IFERROR(INDEX($I$2:$K$2,0,MATCH(TRUE,I5199:K5199,0)),E5199)</f>
        <v>Onshore</v>
      </c>
      <c r="O5199" t="str">
        <f t="shared" si="289"/>
        <v>Onshore_2022</v>
      </c>
      <c r="P5199">
        <f t="shared" si="290"/>
        <v>5927.2858050900004</v>
      </c>
    </row>
    <row r="5200" spans="4:16" x14ac:dyDescent="0.25">
      <c r="D5200">
        <v>2023</v>
      </c>
      <c r="E5200" t="s">
        <v>131</v>
      </c>
      <c r="F5200" t="s">
        <v>543</v>
      </c>
      <c r="G5200">
        <v>5373.75175924</v>
      </c>
      <c r="I5200" t="b">
        <f t="shared" si="291"/>
        <v>1</v>
      </c>
      <c r="J5200">
        <f t="shared" si="291"/>
        <v>0</v>
      </c>
      <c r="K5200">
        <f t="shared" si="291"/>
        <v>0</v>
      </c>
      <c r="M5200" t="str" cm="1">
        <f t="array" ref="M5200">IFERROR(INDEX($I$2:$K$2,0,MATCH(TRUE,I5200:K5200,0)),E5200)</f>
        <v>Onshore</v>
      </c>
      <c r="O5200" t="str">
        <f t="shared" si="289"/>
        <v>Onshore_2023</v>
      </c>
      <c r="P5200">
        <f t="shared" si="290"/>
        <v>5373.75175924</v>
      </c>
    </row>
    <row r="5201" spans="4:16" x14ac:dyDescent="0.25">
      <c r="D5201">
        <v>2024</v>
      </c>
      <c r="E5201" t="s">
        <v>131</v>
      </c>
      <c r="F5201" t="s">
        <v>543</v>
      </c>
      <c r="G5201">
        <v>4994.36324745</v>
      </c>
      <c r="I5201" t="b">
        <f t="shared" si="291"/>
        <v>1</v>
      </c>
      <c r="J5201">
        <f t="shared" si="291"/>
        <v>0</v>
      </c>
      <c r="K5201">
        <f t="shared" si="291"/>
        <v>0</v>
      </c>
      <c r="M5201" t="str" cm="1">
        <f t="array" ref="M5201">IFERROR(INDEX($I$2:$K$2,0,MATCH(TRUE,I5201:K5201,0)),E5201)</f>
        <v>Onshore</v>
      </c>
      <c r="O5201" t="str">
        <f t="shared" si="289"/>
        <v>Onshore_2024</v>
      </c>
      <c r="P5201">
        <f t="shared" si="290"/>
        <v>4994.36324745</v>
      </c>
    </row>
    <row r="5202" spans="4:16" x14ac:dyDescent="0.25">
      <c r="D5202">
        <v>2025</v>
      </c>
      <c r="E5202" t="s">
        <v>131</v>
      </c>
      <c r="F5202" t="s">
        <v>543</v>
      </c>
      <c r="G5202">
        <v>4681.1803796300001</v>
      </c>
      <c r="I5202" t="b">
        <f t="shared" si="291"/>
        <v>1</v>
      </c>
      <c r="J5202">
        <f t="shared" si="291"/>
        <v>0</v>
      </c>
      <c r="K5202">
        <f t="shared" si="291"/>
        <v>0</v>
      </c>
      <c r="M5202" t="str" cm="1">
        <f t="array" ref="M5202">IFERROR(INDEX($I$2:$K$2,0,MATCH(TRUE,I5202:K5202,0)),E5202)</f>
        <v>Onshore</v>
      </c>
      <c r="O5202" t="str">
        <f t="shared" si="289"/>
        <v>Onshore_2025</v>
      </c>
      <c r="P5202">
        <f t="shared" si="290"/>
        <v>4681.1803796300001</v>
      </c>
    </row>
    <row r="5203" spans="4:16" x14ac:dyDescent="0.25">
      <c r="D5203">
        <v>2026</v>
      </c>
      <c r="E5203" t="s">
        <v>131</v>
      </c>
      <c r="F5203" t="s">
        <v>543</v>
      </c>
      <c r="G5203">
        <v>4473.1770796399996</v>
      </c>
      <c r="I5203" t="b">
        <f t="shared" si="291"/>
        <v>1</v>
      </c>
      <c r="J5203">
        <f t="shared" si="291"/>
        <v>0</v>
      </c>
      <c r="K5203">
        <f t="shared" si="291"/>
        <v>0</v>
      </c>
      <c r="M5203" t="str" cm="1">
        <f t="array" ref="M5203">IFERROR(INDEX($I$2:$K$2,0,MATCH(TRUE,I5203:K5203,0)),E5203)</f>
        <v>Onshore</v>
      </c>
      <c r="O5203" t="str">
        <f t="shared" ref="O5203:O5266" si="292">M5203&amp;"_"&amp;D5203</f>
        <v>Onshore_2026</v>
      </c>
      <c r="P5203">
        <f t="shared" ref="P5203:P5266" si="293">G5203</f>
        <v>4473.1770796399996</v>
      </c>
    </row>
    <row r="5204" spans="4:16" x14ac:dyDescent="0.25">
      <c r="D5204">
        <v>2027</v>
      </c>
      <c r="E5204" t="s">
        <v>131</v>
      </c>
      <c r="F5204" t="s">
        <v>543</v>
      </c>
      <c r="G5204">
        <v>4424.6937305800002</v>
      </c>
      <c r="I5204" t="b">
        <f t="shared" si="291"/>
        <v>1</v>
      </c>
      <c r="J5204">
        <f t="shared" si="291"/>
        <v>0</v>
      </c>
      <c r="K5204">
        <f t="shared" si="291"/>
        <v>0</v>
      </c>
      <c r="M5204" t="str" cm="1">
        <f t="array" ref="M5204">IFERROR(INDEX($I$2:$K$2,0,MATCH(TRUE,I5204:K5204,0)),E5204)</f>
        <v>Onshore</v>
      </c>
      <c r="O5204" t="str">
        <f t="shared" si="292"/>
        <v>Onshore_2027</v>
      </c>
      <c r="P5204">
        <f t="shared" si="293"/>
        <v>4424.6937305800002</v>
      </c>
    </row>
    <row r="5205" spans="4:16" x14ac:dyDescent="0.25">
      <c r="D5205">
        <v>2028</v>
      </c>
      <c r="E5205" t="s">
        <v>131</v>
      </c>
      <c r="F5205" t="s">
        <v>543</v>
      </c>
      <c r="G5205">
        <v>4324.2102688200002</v>
      </c>
      <c r="I5205" t="b">
        <f t="shared" ref="I5205:K5268" si="294">IFERROR(FIND(I$2,$E5205,1)&gt;0,0)</f>
        <v>1</v>
      </c>
      <c r="J5205">
        <f t="shared" si="294"/>
        <v>0</v>
      </c>
      <c r="K5205">
        <f t="shared" si="294"/>
        <v>0</v>
      </c>
      <c r="M5205" t="str" cm="1">
        <f t="array" ref="M5205">IFERROR(INDEX($I$2:$K$2,0,MATCH(TRUE,I5205:K5205,0)),E5205)</f>
        <v>Onshore</v>
      </c>
      <c r="O5205" t="str">
        <f t="shared" si="292"/>
        <v>Onshore_2028</v>
      </c>
      <c r="P5205">
        <f t="shared" si="293"/>
        <v>4324.2102688200002</v>
      </c>
    </row>
    <row r="5206" spans="4:16" x14ac:dyDescent="0.25">
      <c r="D5206">
        <v>2029</v>
      </c>
      <c r="E5206" t="s">
        <v>131</v>
      </c>
      <c r="F5206" t="s">
        <v>543</v>
      </c>
      <c r="G5206">
        <v>4263.2073590299997</v>
      </c>
      <c r="I5206" t="b">
        <f t="shared" si="294"/>
        <v>1</v>
      </c>
      <c r="J5206">
        <f t="shared" si="294"/>
        <v>0</v>
      </c>
      <c r="K5206">
        <f t="shared" si="294"/>
        <v>0</v>
      </c>
      <c r="M5206" t="str" cm="1">
        <f t="array" ref="M5206">IFERROR(INDEX($I$2:$K$2,0,MATCH(TRUE,I5206:K5206,0)),E5206)</f>
        <v>Onshore</v>
      </c>
      <c r="O5206" t="str">
        <f t="shared" si="292"/>
        <v>Onshore_2029</v>
      </c>
      <c r="P5206">
        <f t="shared" si="293"/>
        <v>4263.2073590299997</v>
      </c>
    </row>
    <row r="5207" spans="4:16" x14ac:dyDescent="0.25">
      <c r="D5207">
        <v>2030</v>
      </c>
      <c r="E5207" t="s">
        <v>131</v>
      </c>
      <c r="F5207" t="s">
        <v>543</v>
      </c>
      <c r="G5207">
        <v>4225.3069693699999</v>
      </c>
      <c r="I5207" t="b">
        <f t="shared" si="294"/>
        <v>1</v>
      </c>
      <c r="J5207">
        <f t="shared" si="294"/>
        <v>0</v>
      </c>
      <c r="K5207">
        <f t="shared" si="294"/>
        <v>0</v>
      </c>
      <c r="M5207" t="str" cm="1">
        <f t="array" ref="M5207">IFERROR(INDEX($I$2:$K$2,0,MATCH(TRUE,I5207:K5207,0)),E5207)</f>
        <v>Onshore</v>
      </c>
      <c r="O5207" t="str">
        <f t="shared" si="292"/>
        <v>Onshore_2030</v>
      </c>
      <c r="P5207">
        <f t="shared" si="293"/>
        <v>4225.3069693699999</v>
      </c>
    </row>
    <row r="5208" spans="4:16" x14ac:dyDescent="0.25">
      <c r="D5208">
        <v>2031</v>
      </c>
      <c r="E5208" t="s">
        <v>131</v>
      </c>
      <c r="F5208" t="s">
        <v>543</v>
      </c>
      <c r="G5208">
        <v>4140.9373750499999</v>
      </c>
      <c r="I5208" t="b">
        <f t="shared" si="294"/>
        <v>1</v>
      </c>
      <c r="J5208">
        <f t="shared" si="294"/>
        <v>0</v>
      </c>
      <c r="K5208">
        <f t="shared" si="294"/>
        <v>0</v>
      </c>
      <c r="M5208" t="str" cm="1">
        <f t="array" ref="M5208">IFERROR(INDEX($I$2:$K$2,0,MATCH(TRUE,I5208:K5208,0)),E5208)</f>
        <v>Onshore</v>
      </c>
      <c r="O5208" t="str">
        <f t="shared" si="292"/>
        <v>Onshore_2031</v>
      </c>
      <c r="P5208">
        <f t="shared" si="293"/>
        <v>4140.9373750499999</v>
      </c>
    </row>
    <row r="5209" spans="4:16" x14ac:dyDescent="0.25">
      <c r="D5209">
        <v>2032</v>
      </c>
      <c r="E5209" t="s">
        <v>131</v>
      </c>
      <c r="F5209" t="s">
        <v>543</v>
      </c>
      <c r="G5209">
        <v>3766.3886587100001</v>
      </c>
      <c r="I5209" t="b">
        <f t="shared" si="294"/>
        <v>1</v>
      </c>
      <c r="J5209">
        <f t="shared" si="294"/>
        <v>0</v>
      </c>
      <c r="K5209">
        <f t="shared" si="294"/>
        <v>0</v>
      </c>
      <c r="M5209" t="str" cm="1">
        <f t="array" ref="M5209">IFERROR(INDEX($I$2:$K$2,0,MATCH(TRUE,I5209:K5209,0)),E5209)</f>
        <v>Onshore</v>
      </c>
      <c r="O5209" t="str">
        <f t="shared" si="292"/>
        <v>Onshore_2032</v>
      </c>
      <c r="P5209">
        <f t="shared" si="293"/>
        <v>3766.3886587100001</v>
      </c>
    </row>
    <row r="5210" spans="4:16" x14ac:dyDescent="0.25">
      <c r="D5210">
        <v>2033</v>
      </c>
      <c r="E5210" t="s">
        <v>131</v>
      </c>
      <c r="F5210" t="s">
        <v>543</v>
      </c>
      <c r="G5210">
        <v>3534.2713145500002</v>
      </c>
      <c r="I5210" t="b">
        <f t="shared" si="294"/>
        <v>1</v>
      </c>
      <c r="J5210">
        <f t="shared" si="294"/>
        <v>0</v>
      </c>
      <c r="K5210">
        <f t="shared" si="294"/>
        <v>0</v>
      </c>
      <c r="M5210" t="str" cm="1">
        <f t="array" ref="M5210">IFERROR(INDEX($I$2:$K$2,0,MATCH(TRUE,I5210:K5210,0)),E5210)</f>
        <v>Onshore</v>
      </c>
      <c r="O5210" t="str">
        <f t="shared" si="292"/>
        <v>Onshore_2033</v>
      </c>
      <c r="P5210">
        <f t="shared" si="293"/>
        <v>3534.2713145500002</v>
      </c>
    </row>
    <row r="5211" spans="4:16" x14ac:dyDescent="0.25">
      <c r="D5211">
        <v>2034</v>
      </c>
      <c r="E5211" t="s">
        <v>131</v>
      </c>
      <c r="F5211" t="s">
        <v>543</v>
      </c>
      <c r="G5211">
        <v>3321.0527695599999</v>
      </c>
      <c r="I5211" t="b">
        <f t="shared" si="294"/>
        <v>1</v>
      </c>
      <c r="J5211">
        <f t="shared" si="294"/>
        <v>0</v>
      </c>
      <c r="K5211">
        <f t="shared" si="294"/>
        <v>0</v>
      </c>
      <c r="M5211" t="str" cm="1">
        <f t="array" ref="M5211">IFERROR(INDEX($I$2:$K$2,0,MATCH(TRUE,I5211:K5211,0)),E5211)</f>
        <v>Onshore</v>
      </c>
      <c r="O5211" t="str">
        <f t="shared" si="292"/>
        <v>Onshore_2034</v>
      </c>
      <c r="P5211">
        <f t="shared" si="293"/>
        <v>3321.0527695599999</v>
      </c>
    </row>
    <row r="5212" spans="4:16" x14ac:dyDescent="0.25">
      <c r="D5212">
        <v>2035</v>
      </c>
      <c r="E5212" t="s">
        <v>131</v>
      </c>
      <c r="F5212" t="s">
        <v>543</v>
      </c>
      <c r="G5212">
        <v>3070.98782729</v>
      </c>
      <c r="I5212" t="b">
        <f t="shared" si="294"/>
        <v>1</v>
      </c>
      <c r="J5212">
        <f t="shared" si="294"/>
        <v>0</v>
      </c>
      <c r="K5212">
        <f t="shared" si="294"/>
        <v>0</v>
      </c>
      <c r="M5212" t="str" cm="1">
        <f t="array" ref="M5212">IFERROR(INDEX($I$2:$K$2,0,MATCH(TRUE,I5212:K5212,0)),E5212)</f>
        <v>Onshore</v>
      </c>
      <c r="O5212" t="str">
        <f t="shared" si="292"/>
        <v>Onshore_2035</v>
      </c>
      <c r="P5212">
        <f t="shared" si="293"/>
        <v>3070.98782729</v>
      </c>
    </row>
    <row r="5213" spans="4:16" x14ac:dyDescent="0.25">
      <c r="D5213">
        <v>2036</v>
      </c>
      <c r="E5213" t="s">
        <v>131</v>
      </c>
      <c r="F5213" t="s">
        <v>543</v>
      </c>
      <c r="G5213">
        <v>2784.3214976499999</v>
      </c>
      <c r="I5213" t="b">
        <f t="shared" si="294"/>
        <v>1</v>
      </c>
      <c r="J5213">
        <f t="shared" si="294"/>
        <v>0</v>
      </c>
      <c r="K5213">
        <f t="shared" si="294"/>
        <v>0</v>
      </c>
      <c r="M5213" t="str" cm="1">
        <f t="array" ref="M5213">IFERROR(INDEX($I$2:$K$2,0,MATCH(TRUE,I5213:K5213,0)),E5213)</f>
        <v>Onshore</v>
      </c>
      <c r="O5213" t="str">
        <f t="shared" si="292"/>
        <v>Onshore_2036</v>
      </c>
      <c r="P5213">
        <f t="shared" si="293"/>
        <v>2784.3214976499999</v>
      </c>
    </row>
    <row r="5214" spans="4:16" x14ac:dyDescent="0.25">
      <c r="D5214">
        <v>2037</v>
      </c>
      <c r="E5214" t="s">
        <v>131</v>
      </c>
      <c r="F5214" t="s">
        <v>543</v>
      </c>
      <c r="G5214">
        <v>2306.4920720800001</v>
      </c>
      <c r="I5214" t="b">
        <f t="shared" si="294"/>
        <v>1</v>
      </c>
      <c r="J5214">
        <f t="shared" si="294"/>
        <v>0</v>
      </c>
      <c r="K5214">
        <f t="shared" si="294"/>
        <v>0</v>
      </c>
      <c r="M5214" t="str" cm="1">
        <f t="array" ref="M5214">IFERROR(INDEX($I$2:$K$2,0,MATCH(TRUE,I5214:K5214,0)),E5214)</f>
        <v>Onshore</v>
      </c>
      <c r="O5214" t="str">
        <f t="shared" si="292"/>
        <v>Onshore_2037</v>
      </c>
      <c r="P5214">
        <f t="shared" si="293"/>
        <v>2306.4920720800001</v>
      </c>
    </row>
    <row r="5215" spans="4:16" x14ac:dyDescent="0.25">
      <c r="D5215">
        <v>2038</v>
      </c>
      <c r="E5215" t="s">
        <v>131</v>
      </c>
      <c r="F5215" t="s">
        <v>543</v>
      </c>
      <c r="G5215">
        <v>1434.9608068499999</v>
      </c>
      <c r="I5215" t="b">
        <f t="shared" si="294"/>
        <v>1</v>
      </c>
      <c r="J5215">
        <f t="shared" si="294"/>
        <v>0</v>
      </c>
      <c r="K5215">
        <f t="shared" si="294"/>
        <v>0</v>
      </c>
      <c r="M5215" t="str" cm="1">
        <f t="array" ref="M5215">IFERROR(INDEX($I$2:$K$2,0,MATCH(TRUE,I5215:K5215,0)),E5215)</f>
        <v>Onshore</v>
      </c>
      <c r="O5215" t="str">
        <f t="shared" si="292"/>
        <v>Onshore_2038</v>
      </c>
      <c r="P5215">
        <f t="shared" si="293"/>
        <v>1434.9608068499999</v>
      </c>
    </row>
    <row r="5216" spans="4:16" x14ac:dyDescent="0.25">
      <c r="D5216">
        <v>2039</v>
      </c>
      <c r="E5216" t="s">
        <v>131</v>
      </c>
      <c r="F5216" t="s">
        <v>543</v>
      </c>
      <c r="G5216">
        <v>1269.49388471</v>
      </c>
      <c r="I5216" t="b">
        <f t="shared" si="294"/>
        <v>1</v>
      </c>
      <c r="J5216">
        <f t="shared" si="294"/>
        <v>0</v>
      </c>
      <c r="K5216">
        <f t="shared" si="294"/>
        <v>0</v>
      </c>
      <c r="M5216" t="str" cm="1">
        <f t="array" ref="M5216">IFERROR(INDEX($I$2:$K$2,0,MATCH(TRUE,I5216:K5216,0)),E5216)</f>
        <v>Onshore</v>
      </c>
      <c r="O5216" t="str">
        <f t="shared" si="292"/>
        <v>Onshore_2039</v>
      </c>
      <c r="P5216">
        <f t="shared" si="293"/>
        <v>1269.49388471</v>
      </c>
    </row>
    <row r="5217" spans="4:16" x14ac:dyDescent="0.25">
      <c r="D5217">
        <v>2040</v>
      </c>
      <c r="E5217" t="s">
        <v>131</v>
      </c>
      <c r="F5217" t="s">
        <v>543</v>
      </c>
      <c r="G5217">
        <v>1238.58549698</v>
      </c>
      <c r="I5217" t="b">
        <f t="shared" si="294"/>
        <v>1</v>
      </c>
      <c r="J5217">
        <f t="shared" si="294"/>
        <v>0</v>
      </c>
      <c r="K5217">
        <f t="shared" si="294"/>
        <v>0</v>
      </c>
      <c r="M5217" t="str" cm="1">
        <f t="array" ref="M5217">IFERROR(INDEX($I$2:$K$2,0,MATCH(TRUE,I5217:K5217,0)),E5217)</f>
        <v>Onshore</v>
      </c>
      <c r="O5217" t="str">
        <f t="shared" si="292"/>
        <v>Onshore_2040</v>
      </c>
      <c r="P5217">
        <f t="shared" si="293"/>
        <v>1238.58549698</v>
      </c>
    </row>
    <row r="5218" spans="4:16" x14ac:dyDescent="0.25">
      <c r="D5218">
        <v>2021</v>
      </c>
      <c r="E5218" t="s">
        <v>131</v>
      </c>
      <c r="F5218" t="s">
        <v>544</v>
      </c>
      <c r="G5218">
        <v>37152.093744160004</v>
      </c>
      <c r="I5218" t="b">
        <f t="shared" si="294"/>
        <v>1</v>
      </c>
      <c r="J5218">
        <f t="shared" si="294"/>
        <v>0</v>
      </c>
      <c r="K5218">
        <f t="shared" si="294"/>
        <v>0</v>
      </c>
      <c r="M5218" t="str" cm="1">
        <f t="array" ref="M5218">IFERROR(INDEX($I$2:$K$2,0,MATCH(TRUE,I5218:K5218,0)),E5218)</f>
        <v>Onshore</v>
      </c>
      <c r="O5218" t="str">
        <f t="shared" si="292"/>
        <v>Onshore_2021</v>
      </c>
      <c r="P5218">
        <f t="shared" si="293"/>
        <v>37152.093744160004</v>
      </c>
    </row>
    <row r="5219" spans="4:16" x14ac:dyDescent="0.25">
      <c r="D5219">
        <v>2022</v>
      </c>
      <c r="E5219" t="s">
        <v>131</v>
      </c>
      <c r="F5219" t="s">
        <v>544</v>
      </c>
      <c r="G5219">
        <v>34451.331108760001</v>
      </c>
      <c r="I5219" t="b">
        <f t="shared" si="294"/>
        <v>1</v>
      </c>
      <c r="J5219">
        <f t="shared" si="294"/>
        <v>0</v>
      </c>
      <c r="K5219">
        <f t="shared" si="294"/>
        <v>0</v>
      </c>
      <c r="M5219" t="str" cm="1">
        <f t="array" ref="M5219">IFERROR(INDEX($I$2:$K$2,0,MATCH(TRUE,I5219:K5219,0)),E5219)</f>
        <v>Onshore</v>
      </c>
      <c r="O5219" t="str">
        <f t="shared" si="292"/>
        <v>Onshore_2022</v>
      </c>
      <c r="P5219">
        <f t="shared" si="293"/>
        <v>34451.331108760001</v>
      </c>
    </row>
    <row r="5220" spans="4:16" x14ac:dyDescent="0.25">
      <c r="D5220">
        <v>2023</v>
      </c>
      <c r="E5220" t="s">
        <v>131</v>
      </c>
      <c r="F5220" t="s">
        <v>544</v>
      </c>
      <c r="G5220">
        <v>31234.009501439999</v>
      </c>
      <c r="I5220" t="b">
        <f t="shared" si="294"/>
        <v>1</v>
      </c>
      <c r="J5220">
        <f t="shared" si="294"/>
        <v>0</v>
      </c>
      <c r="K5220">
        <f t="shared" si="294"/>
        <v>0</v>
      </c>
      <c r="M5220" t="str" cm="1">
        <f t="array" ref="M5220">IFERROR(INDEX($I$2:$K$2,0,MATCH(TRUE,I5220:K5220,0)),E5220)</f>
        <v>Onshore</v>
      </c>
      <c r="O5220" t="str">
        <f t="shared" si="292"/>
        <v>Onshore_2023</v>
      </c>
      <c r="P5220">
        <f t="shared" si="293"/>
        <v>31234.009501439999</v>
      </c>
    </row>
    <row r="5221" spans="4:16" x14ac:dyDescent="0.25">
      <c r="D5221">
        <v>2024</v>
      </c>
      <c r="E5221" t="s">
        <v>131</v>
      </c>
      <c r="F5221" t="s">
        <v>544</v>
      </c>
      <c r="G5221">
        <v>29028.878912429998</v>
      </c>
      <c r="I5221" t="b">
        <f t="shared" si="294"/>
        <v>1</v>
      </c>
      <c r="J5221">
        <f t="shared" si="294"/>
        <v>0</v>
      </c>
      <c r="K5221">
        <f t="shared" si="294"/>
        <v>0</v>
      </c>
      <c r="M5221" t="str" cm="1">
        <f t="array" ref="M5221">IFERROR(INDEX($I$2:$K$2,0,MATCH(TRUE,I5221:K5221,0)),E5221)</f>
        <v>Onshore</v>
      </c>
      <c r="O5221" t="str">
        <f t="shared" si="292"/>
        <v>Onshore_2024</v>
      </c>
      <c r="P5221">
        <f t="shared" si="293"/>
        <v>29028.878912429998</v>
      </c>
    </row>
    <row r="5222" spans="4:16" x14ac:dyDescent="0.25">
      <c r="D5222">
        <v>2025</v>
      </c>
      <c r="E5222" t="s">
        <v>131</v>
      </c>
      <c r="F5222" t="s">
        <v>544</v>
      </c>
      <c r="G5222">
        <v>27208.557262390001</v>
      </c>
      <c r="I5222" t="b">
        <f t="shared" si="294"/>
        <v>1</v>
      </c>
      <c r="J5222">
        <f t="shared" si="294"/>
        <v>0</v>
      </c>
      <c r="K5222">
        <f t="shared" si="294"/>
        <v>0</v>
      </c>
      <c r="M5222" t="str" cm="1">
        <f t="array" ref="M5222">IFERROR(INDEX($I$2:$K$2,0,MATCH(TRUE,I5222:K5222,0)),E5222)</f>
        <v>Onshore</v>
      </c>
      <c r="O5222" t="str">
        <f t="shared" si="292"/>
        <v>Onshore_2025</v>
      </c>
      <c r="P5222">
        <f t="shared" si="293"/>
        <v>27208.557262390001</v>
      </c>
    </row>
    <row r="5223" spans="4:16" x14ac:dyDescent="0.25">
      <c r="D5223">
        <v>2026</v>
      </c>
      <c r="E5223" t="s">
        <v>131</v>
      </c>
      <c r="F5223" t="s">
        <v>544</v>
      </c>
      <c r="G5223">
        <v>25999.573792480001</v>
      </c>
      <c r="I5223" t="b">
        <f t="shared" si="294"/>
        <v>1</v>
      </c>
      <c r="J5223">
        <f t="shared" si="294"/>
        <v>0</v>
      </c>
      <c r="K5223">
        <f t="shared" si="294"/>
        <v>0</v>
      </c>
      <c r="M5223" t="str" cm="1">
        <f t="array" ref="M5223">IFERROR(INDEX($I$2:$K$2,0,MATCH(TRUE,I5223:K5223,0)),E5223)</f>
        <v>Onshore</v>
      </c>
      <c r="O5223" t="str">
        <f t="shared" si="292"/>
        <v>Onshore_2026</v>
      </c>
      <c r="P5223">
        <f t="shared" si="293"/>
        <v>25999.573792480001</v>
      </c>
    </row>
    <row r="5224" spans="4:16" x14ac:dyDescent="0.25">
      <c r="D5224">
        <v>2027</v>
      </c>
      <c r="E5224" t="s">
        <v>131</v>
      </c>
      <c r="F5224" t="s">
        <v>544</v>
      </c>
      <c r="G5224">
        <v>25717.772650020001</v>
      </c>
      <c r="I5224" t="b">
        <f t="shared" si="294"/>
        <v>1</v>
      </c>
      <c r="J5224">
        <f t="shared" si="294"/>
        <v>0</v>
      </c>
      <c r="K5224">
        <f t="shared" si="294"/>
        <v>0</v>
      </c>
      <c r="M5224" t="str" cm="1">
        <f t="array" ref="M5224">IFERROR(INDEX($I$2:$K$2,0,MATCH(TRUE,I5224:K5224,0)),E5224)</f>
        <v>Onshore</v>
      </c>
      <c r="O5224" t="str">
        <f t="shared" si="292"/>
        <v>Onshore_2027</v>
      </c>
      <c r="P5224">
        <f t="shared" si="293"/>
        <v>25717.772650020001</v>
      </c>
    </row>
    <row r="5225" spans="4:16" x14ac:dyDescent="0.25">
      <c r="D5225">
        <v>2028</v>
      </c>
      <c r="E5225" t="s">
        <v>131</v>
      </c>
      <c r="F5225" t="s">
        <v>544</v>
      </c>
      <c r="G5225">
        <v>25133.729780180001</v>
      </c>
      <c r="I5225" t="b">
        <f t="shared" si="294"/>
        <v>1</v>
      </c>
      <c r="J5225">
        <f t="shared" si="294"/>
        <v>0</v>
      </c>
      <c r="K5225">
        <f t="shared" si="294"/>
        <v>0</v>
      </c>
      <c r="M5225" t="str" cm="1">
        <f t="array" ref="M5225">IFERROR(INDEX($I$2:$K$2,0,MATCH(TRUE,I5225:K5225,0)),E5225)</f>
        <v>Onshore</v>
      </c>
      <c r="O5225" t="str">
        <f t="shared" si="292"/>
        <v>Onshore_2028</v>
      </c>
      <c r="P5225">
        <f t="shared" si="293"/>
        <v>25133.729780180001</v>
      </c>
    </row>
    <row r="5226" spans="4:16" x14ac:dyDescent="0.25">
      <c r="D5226">
        <v>2029</v>
      </c>
      <c r="E5226" t="s">
        <v>131</v>
      </c>
      <c r="F5226" t="s">
        <v>544</v>
      </c>
      <c r="G5226">
        <v>24779.1608404</v>
      </c>
      <c r="I5226" t="b">
        <f t="shared" si="294"/>
        <v>1</v>
      </c>
      <c r="J5226">
        <f t="shared" si="294"/>
        <v>0</v>
      </c>
      <c r="K5226">
        <f t="shared" si="294"/>
        <v>0</v>
      </c>
      <c r="M5226" t="str" cm="1">
        <f t="array" ref="M5226">IFERROR(INDEX($I$2:$K$2,0,MATCH(TRUE,I5226:K5226,0)),E5226)</f>
        <v>Onshore</v>
      </c>
      <c r="O5226" t="str">
        <f t="shared" si="292"/>
        <v>Onshore_2029</v>
      </c>
      <c r="P5226">
        <f t="shared" si="293"/>
        <v>24779.1608404</v>
      </c>
    </row>
    <row r="5227" spans="4:16" x14ac:dyDescent="0.25">
      <c r="D5227">
        <v>2030</v>
      </c>
      <c r="E5227" t="s">
        <v>131</v>
      </c>
      <c r="F5227" t="s">
        <v>544</v>
      </c>
      <c r="G5227">
        <v>24558.871332459999</v>
      </c>
      <c r="I5227" t="b">
        <f t="shared" si="294"/>
        <v>1</v>
      </c>
      <c r="J5227">
        <f t="shared" si="294"/>
        <v>0</v>
      </c>
      <c r="K5227">
        <f t="shared" si="294"/>
        <v>0</v>
      </c>
      <c r="M5227" t="str" cm="1">
        <f t="array" ref="M5227">IFERROR(INDEX($I$2:$K$2,0,MATCH(TRUE,I5227:K5227,0)),E5227)</f>
        <v>Onshore</v>
      </c>
      <c r="O5227" t="str">
        <f t="shared" si="292"/>
        <v>Onshore_2030</v>
      </c>
      <c r="P5227">
        <f t="shared" si="293"/>
        <v>24558.871332459999</v>
      </c>
    </row>
    <row r="5228" spans="4:16" x14ac:dyDescent="0.25">
      <c r="D5228">
        <v>2031</v>
      </c>
      <c r="E5228" t="s">
        <v>131</v>
      </c>
      <c r="F5228" t="s">
        <v>544</v>
      </c>
      <c r="G5228">
        <v>24068.487550540001</v>
      </c>
      <c r="I5228" t="b">
        <f t="shared" si="294"/>
        <v>1</v>
      </c>
      <c r="J5228">
        <f t="shared" si="294"/>
        <v>0</v>
      </c>
      <c r="K5228">
        <f t="shared" si="294"/>
        <v>0</v>
      </c>
      <c r="M5228" t="str" cm="1">
        <f t="array" ref="M5228">IFERROR(INDEX($I$2:$K$2,0,MATCH(TRUE,I5228:K5228,0)),E5228)</f>
        <v>Onshore</v>
      </c>
      <c r="O5228" t="str">
        <f t="shared" si="292"/>
        <v>Onshore_2031</v>
      </c>
      <c r="P5228">
        <f t="shared" si="293"/>
        <v>24068.487550540001</v>
      </c>
    </row>
    <row r="5229" spans="4:16" x14ac:dyDescent="0.25">
      <c r="D5229">
        <v>2032</v>
      </c>
      <c r="E5229" t="s">
        <v>131</v>
      </c>
      <c r="F5229" t="s">
        <v>544</v>
      </c>
      <c r="G5229">
        <v>21891.487441689998</v>
      </c>
      <c r="I5229" t="b">
        <f t="shared" si="294"/>
        <v>1</v>
      </c>
      <c r="J5229">
        <f t="shared" si="294"/>
        <v>0</v>
      </c>
      <c r="K5229">
        <f t="shared" si="294"/>
        <v>0</v>
      </c>
      <c r="M5229" t="str" cm="1">
        <f t="array" ref="M5229">IFERROR(INDEX($I$2:$K$2,0,MATCH(TRUE,I5229:K5229,0)),E5229)</f>
        <v>Onshore</v>
      </c>
      <c r="O5229" t="str">
        <f t="shared" si="292"/>
        <v>Onshore_2032</v>
      </c>
      <c r="P5229">
        <f t="shared" si="293"/>
        <v>21891.487441689998</v>
      </c>
    </row>
    <row r="5230" spans="4:16" x14ac:dyDescent="0.25">
      <c r="D5230">
        <v>2033</v>
      </c>
      <c r="E5230" t="s">
        <v>131</v>
      </c>
      <c r="F5230" t="s">
        <v>544</v>
      </c>
      <c r="G5230">
        <v>20542.345230129999</v>
      </c>
      <c r="I5230" t="b">
        <f t="shared" si="294"/>
        <v>1</v>
      </c>
      <c r="J5230">
        <f t="shared" si="294"/>
        <v>0</v>
      </c>
      <c r="K5230">
        <f t="shared" si="294"/>
        <v>0</v>
      </c>
      <c r="M5230" t="str" cm="1">
        <f t="array" ref="M5230">IFERROR(INDEX($I$2:$K$2,0,MATCH(TRUE,I5230:K5230,0)),E5230)</f>
        <v>Onshore</v>
      </c>
      <c r="O5230" t="str">
        <f t="shared" si="292"/>
        <v>Onshore_2033</v>
      </c>
      <c r="P5230">
        <f t="shared" si="293"/>
        <v>20542.345230129999</v>
      </c>
    </row>
    <row r="5231" spans="4:16" x14ac:dyDescent="0.25">
      <c r="D5231">
        <v>2034</v>
      </c>
      <c r="E5231" t="s">
        <v>131</v>
      </c>
      <c r="F5231" t="s">
        <v>544</v>
      </c>
      <c r="G5231">
        <v>19303.04904405</v>
      </c>
      <c r="I5231" t="b">
        <f t="shared" si="294"/>
        <v>1</v>
      </c>
      <c r="J5231">
        <f t="shared" si="294"/>
        <v>0</v>
      </c>
      <c r="K5231">
        <f t="shared" si="294"/>
        <v>0</v>
      </c>
      <c r="M5231" t="str" cm="1">
        <f t="array" ref="M5231">IFERROR(INDEX($I$2:$K$2,0,MATCH(TRUE,I5231:K5231,0)),E5231)</f>
        <v>Onshore</v>
      </c>
      <c r="O5231" t="str">
        <f t="shared" si="292"/>
        <v>Onshore_2034</v>
      </c>
      <c r="P5231">
        <f t="shared" si="293"/>
        <v>19303.04904405</v>
      </c>
    </row>
    <row r="5232" spans="4:16" x14ac:dyDescent="0.25">
      <c r="D5232">
        <v>2035</v>
      </c>
      <c r="E5232" t="s">
        <v>131</v>
      </c>
      <c r="F5232" t="s">
        <v>544</v>
      </c>
      <c r="G5232">
        <v>17849.58949979</v>
      </c>
      <c r="I5232" t="b">
        <f t="shared" si="294"/>
        <v>1</v>
      </c>
      <c r="J5232">
        <f t="shared" si="294"/>
        <v>0</v>
      </c>
      <c r="K5232">
        <f t="shared" si="294"/>
        <v>0</v>
      </c>
      <c r="M5232" t="str" cm="1">
        <f t="array" ref="M5232">IFERROR(INDEX($I$2:$K$2,0,MATCH(TRUE,I5232:K5232,0)),E5232)</f>
        <v>Onshore</v>
      </c>
      <c r="O5232" t="str">
        <f t="shared" si="292"/>
        <v>Onshore_2035</v>
      </c>
      <c r="P5232">
        <f t="shared" si="293"/>
        <v>17849.58949979</v>
      </c>
    </row>
    <row r="5233" spans="4:16" x14ac:dyDescent="0.25">
      <c r="D5233">
        <v>2036</v>
      </c>
      <c r="E5233" t="s">
        <v>131</v>
      </c>
      <c r="F5233" t="s">
        <v>544</v>
      </c>
      <c r="G5233">
        <v>16183.39067545</v>
      </c>
      <c r="I5233" t="b">
        <f t="shared" si="294"/>
        <v>1</v>
      </c>
      <c r="J5233">
        <f t="shared" si="294"/>
        <v>0</v>
      </c>
      <c r="K5233">
        <f t="shared" si="294"/>
        <v>0</v>
      </c>
      <c r="M5233" t="str" cm="1">
        <f t="array" ref="M5233">IFERROR(INDEX($I$2:$K$2,0,MATCH(TRUE,I5233:K5233,0)),E5233)</f>
        <v>Onshore</v>
      </c>
      <c r="O5233" t="str">
        <f t="shared" si="292"/>
        <v>Onshore_2036</v>
      </c>
      <c r="P5233">
        <f t="shared" si="293"/>
        <v>16183.39067545</v>
      </c>
    </row>
    <row r="5234" spans="4:16" x14ac:dyDescent="0.25">
      <c r="D5234">
        <v>2037</v>
      </c>
      <c r="E5234" t="s">
        <v>131</v>
      </c>
      <c r="F5234" t="s">
        <v>544</v>
      </c>
      <c r="G5234">
        <v>13406.089176019999</v>
      </c>
      <c r="I5234" t="b">
        <f t="shared" si="294"/>
        <v>1</v>
      </c>
      <c r="J5234">
        <f t="shared" si="294"/>
        <v>0</v>
      </c>
      <c r="K5234">
        <f t="shared" si="294"/>
        <v>0</v>
      </c>
      <c r="M5234" t="str" cm="1">
        <f t="array" ref="M5234">IFERROR(INDEX($I$2:$K$2,0,MATCH(TRUE,I5234:K5234,0)),E5234)</f>
        <v>Onshore</v>
      </c>
      <c r="O5234" t="str">
        <f t="shared" si="292"/>
        <v>Onshore_2037</v>
      </c>
      <c r="P5234">
        <f t="shared" si="293"/>
        <v>13406.089176019999</v>
      </c>
    </row>
    <row r="5235" spans="4:16" x14ac:dyDescent="0.25">
      <c r="D5235">
        <v>2038</v>
      </c>
      <c r="E5235" t="s">
        <v>131</v>
      </c>
      <c r="F5235" t="s">
        <v>544</v>
      </c>
      <c r="G5235">
        <v>8340.4633267900008</v>
      </c>
      <c r="I5235" t="b">
        <f t="shared" si="294"/>
        <v>1</v>
      </c>
      <c r="J5235">
        <f t="shared" si="294"/>
        <v>0</v>
      </c>
      <c r="K5235">
        <f t="shared" si="294"/>
        <v>0</v>
      </c>
      <c r="M5235" t="str" cm="1">
        <f t="array" ref="M5235">IFERROR(INDEX($I$2:$K$2,0,MATCH(TRUE,I5235:K5235,0)),E5235)</f>
        <v>Onshore</v>
      </c>
      <c r="O5235" t="str">
        <f t="shared" si="292"/>
        <v>Onshore_2038</v>
      </c>
      <c r="P5235">
        <f t="shared" si="293"/>
        <v>8340.4633267900008</v>
      </c>
    </row>
    <row r="5236" spans="4:16" x14ac:dyDescent="0.25">
      <c r="D5236">
        <v>2039</v>
      </c>
      <c r="E5236" t="s">
        <v>131</v>
      </c>
      <c r="F5236" t="s">
        <v>544</v>
      </c>
      <c r="G5236">
        <v>7378.7152502500003</v>
      </c>
      <c r="I5236" t="b">
        <f t="shared" si="294"/>
        <v>1</v>
      </c>
      <c r="J5236">
        <f t="shared" si="294"/>
        <v>0</v>
      </c>
      <c r="K5236">
        <f t="shared" si="294"/>
        <v>0</v>
      </c>
      <c r="M5236" t="str" cm="1">
        <f t="array" ref="M5236">IFERROR(INDEX($I$2:$K$2,0,MATCH(TRUE,I5236:K5236,0)),E5236)</f>
        <v>Onshore</v>
      </c>
      <c r="O5236" t="str">
        <f t="shared" si="292"/>
        <v>Onshore_2039</v>
      </c>
      <c r="P5236">
        <f t="shared" si="293"/>
        <v>7378.7152502500003</v>
      </c>
    </row>
    <row r="5237" spans="4:16" x14ac:dyDescent="0.25">
      <c r="D5237">
        <v>2040</v>
      </c>
      <c r="E5237" t="s">
        <v>131</v>
      </c>
      <c r="F5237" t="s">
        <v>544</v>
      </c>
      <c r="G5237">
        <v>7199.0655531399998</v>
      </c>
      <c r="I5237" t="b">
        <f t="shared" si="294"/>
        <v>1</v>
      </c>
      <c r="J5237">
        <f t="shared" si="294"/>
        <v>0</v>
      </c>
      <c r="K5237">
        <f t="shared" si="294"/>
        <v>0</v>
      </c>
      <c r="M5237" t="str" cm="1">
        <f t="array" ref="M5237">IFERROR(INDEX($I$2:$K$2,0,MATCH(TRUE,I5237:K5237,0)),E5237)</f>
        <v>Onshore</v>
      </c>
      <c r="O5237" t="str">
        <f t="shared" si="292"/>
        <v>Onshore_2040</v>
      </c>
      <c r="P5237">
        <f t="shared" si="293"/>
        <v>7199.0655531399998</v>
      </c>
    </row>
    <row r="5238" spans="4:16" x14ac:dyDescent="0.25">
      <c r="D5238">
        <v>2021</v>
      </c>
      <c r="E5238" t="s">
        <v>131</v>
      </c>
      <c r="F5238" t="s">
        <v>545</v>
      </c>
      <c r="G5238">
        <v>5811.4852519799997</v>
      </c>
      <c r="I5238" t="b">
        <f t="shared" si="294"/>
        <v>1</v>
      </c>
      <c r="J5238">
        <f t="shared" si="294"/>
        <v>0</v>
      </c>
      <c r="K5238">
        <f t="shared" si="294"/>
        <v>0</v>
      </c>
      <c r="M5238" t="str" cm="1">
        <f t="array" ref="M5238">IFERROR(INDEX($I$2:$K$2,0,MATCH(TRUE,I5238:K5238,0)),E5238)</f>
        <v>Onshore</v>
      </c>
      <c r="O5238" t="str">
        <f t="shared" si="292"/>
        <v>Onshore_2021</v>
      </c>
      <c r="P5238">
        <f t="shared" si="293"/>
        <v>5811.4852519799997</v>
      </c>
    </row>
    <row r="5239" spans="4:16" x14ac:dyDescent="0.25">
      <c r="D5239">
        <v>2022</v>
      </c>
      <c r="E5239" t="s">
        <v>131</v>
      </c>
      <c r="F5239" t="s">
        <v>545</v>
      </c>
      <c r="G5239">
        <v>5389.0207111500004</v>
      </c>
      <c r="I5239" t="b">
        <f t="shared" si="294"/>
        <v>1</v>
      </c>
      <c r="J5239">
        <f t="shared" si="294"/>
        <v>0</v>
      </c>
      <c r="K5239">
        <f t="shared" si="294"/>
        <v>0</v>
      </c>
      <c r="M5239" t="str" cm="1">
        <f t="array" ref="M5239">IFERROR(INDEX($I$2:$K$2,0,MATCH(TRUE,I5239:K5239,0)),E5239)</f>
        <v>Onshore</v>
      </c>
      <c r="O5239" t="str">
        <f t="shared" si="292"/>
        <v>Onshore_2022</v>
      </c>
      <c r="P5239">
        <f t="shared" si="293"/>
        <v>5389.0207111500004</v>
      </c>
    </row>
    <row r="5240" spans="4:16" x14ac:dyDescent="0.25">
      <c r="D5240">
        <v>2023</v>
      </c>
      <c r="E5240" t="s">
        <v>131</v>
      </c>
      <c r="F5240" t="s">
        <v>545</v>
      </c>
      <c r="G5240">
        <v>4885.7538643099997</v>
      </c>
      <c r="I5240" t="b">
        <f t="shared" si="294"/>
        <v>1</v>
      </c>
      <c r="J5240">
        <f t="shared" si="294"/>
        <v>0</v>
      </c>
      <c r="K5240">
        <f t="shared" si="294"/>
        <v>0</v>
      </c>
      <c r="M5240" t="str" cm="1">
        <f t="array" ref="M5240">IFERROR(INDEX($I$2:$K$2,0,MATCH(TRUE,I5240:K5240,0)),E5240)</f>
        <v>Onshore</v>
      </c>
      <c r="O5240" t="str">
        <f t="shared" si="292"/>
        <v>Onshore_2023</v>
      </c>
      <c r="P5240">
        <f t="shared" si="293"/>
        <v>4885.7538643099997</v>
      </c>
    </row>
    <row r="5241" spans="4:16" x14ac:dyDescent="0.25">
      <c r="D5241">
        <v>2024</v>
      </c>
      <c r="E5241" t="s">
        <v>131</v>
      </c>
      <c r="F5241" t="s">
        <v>545</v>
      </c>
      <c r="G5241">
        <v>4540.8181526199996</v>
      </c>
      <c r="I5241" t="b">
        <f t="shared" si="294"/>
        <v>1</v>
      </c>
      <c r="J5241">
        <f t="shared" si="294"/>
        <v>0</v>
      </c>
      <c r="K5241">
        <f t="shared" si="294"/>
        <v>0</v>
      </c>
      <c r="M5241" t="str" cm="1">
        <f t="array" ref="M5241">IFERROR(INDEX($I$2:$K$2,0,MATCH(TRUE,I5241:K5241,0)),E5241)</f>
        <v>Onshore</v>
      </c>
      <c r="O5241" t="str">
        <f t="shared" si="292"/>
        <v>Onshore_2024</v>
      </c>
      <c r="P5241">
        <f t="shared" si="293"/>
        <v>4540.8181526199996</v>
      </c>
    </row>
    <row r="5242" spans="4:16" x14ac:dyDescent="0.25">
      <c r="D5242">
        <v>2025</v>
      </c>
      <c r="E5242" t="s">
        <v>131</v>
      </c>
      <c r="F5242" t="s">
        <v>545</v>
      </c>
      <c r="G5242">
        <v>4256.0758579800004</v>
      </c>
      <c r="I5242" t="b">
        <f t="shared" si="294"/>
        <v>1</v>
      </c>
      <c r="J5242">
        <f t="shared" si="294"/>
        <v>0</v>
      </c>
      <c r="K5242">
        <f t="shared" si="294"/>
        <v>0</v>
      </c>
      <c r="M5242" t="str" cm="1">
        <f t="array" ref="M5242">IFERROR(INDEX($I$2:$K$2,0,MATCH(TRUE,I5242:K5242,0)),E5242)</f>
        <v>Onshore</v>
      </c>
      <c r="O5242" t="str">
        <f t="shared" si="292"/>
        <v>Onshore_2025</v>
      </c>
      <c r="P5242">
        <f t="shared" si="293"/>
        <v>4256.0758579800004</v>
      </c>
    </row>
    <row r="5243" spans="4:16" x14ac:dyDescent="0.25">
      <c r="D5243">
        <v>2026</v>
      </c>
      <c r="E5243" t="s">
        <v>131</v>
      </c>
      <c r="F5243" t="s">
        <v>545</v>
      </c>
      <c r="G5243">
        <v>4066.9616278799999</v>
      </c>
      <c r="I5243" t="b">
        <f t="shared" si="294"/>
        <v>1</v>
      </c>
      <c r="J5243">
        <f t="shared" si="294"/>
        <v>0</v>
      </c>
      <c r="K5243">
        <f t="shared" si="294"/>
        <v>0</v>
      </c>
      <c r="M5243" t="str" cm="1">
        <f t="array" ref="M5243">IFERROR(INDEX($I$2:$K$2,0,MATCH(TRUE,I5243:K5243,0)),E5243)</f>
        <v>Onshore</v>
      </c>
      <c r="O5243" t="str">
        <f t="shared" si="292"/>
        <v>Onshore_2026</v>
      </c>
      <c r="P5243">
        <f t="shared" si="293"/>
        <v>4066.9616278799999</v>
      </c>
    </row>
    <row r="5244" spans="4:16" x14ac:dyDescent="0.25">
      <c r="D5244">
        <v>2027</v>
      </c>
      <c r="E5244" t="s">
        <v>131</v>
      </c>
      <c r="F5244" t="s">
        <v>545</v>
      </c>
      <c r="G5244">
        <v>4022.8811194</v>
      </c>
      <c r="I5244" t="b">
        <f t="shared" si="294"/>
        <v>1</v>
      </c>
      <c r="J5244">
        <f t="shared" si="294"/>
        <v>0</v>
      </c>
      <c r="K5244">
        <f t="shared" si="294"/>
        <v>0</v>
      </c>
      <c r="M5244" t="str" cm="1">
        <f t="array" ref="M5244">IFERROR(INDEX($I$2:$K$2,0,MATCH(TRUE,I5244:K5244,0)),E5244)</f>
        <v>Onshore</v>
      </c>
      <c r="O5244" t="str">
        <f t="shared" si="292"/>
        <v>Onshore_2027</v>
      </c>
      <c r="P5244">
        <f t="shared" si="293"/>
        <v>4022.8811194</v>
      </c>
    </row>
    <row r="5245" spans="4:16" x14ac:dyDescent="0.25">
      <c r="D5245">
        <v>2028</v>
      </c>
      <c r="E5245" t="s">
        <v>131</v>
      </c>
      <c r="F5245" t="s">
        <v>545</v>
      </c>
      <c r="G5245">
        <v>3931.5227009999999</v>
      </c>
      <c r="I5245" t="b">
        <f t="shared" si="294"/>
        <v>1</v>
      </c>
      <c r="J5245">
        <f t="shared" si="294"/>
        <v>0</v>
      </c>
      <c r="K5245">
        <f t="shared" si="294"/>
        <v>0</v>
      </c>
      <c r="M5245" t="str" cm="1">
        <f t="array" ref="M5245">IFERROR(INDEX($I$2:$K$2,0,MATCH(TRUE,I5245:K5245,0)),E5245)</f>
        <v>Onshore</v>
      </c>
      <c r="O5245" t="str">
        <f t="shared" si="292"/>
        <v>Onshore_2028</v>
      </c>
      <c r="P5245">
        <f t="shared" si="293"/>
        <v>3931.5227009999999</v>
      </c>
    </row>
    <row r="5246" spans="4:16" x14ac:dyDescent="0.25">
      <c r="D5246">
        <v>2029</v>
      </c>
      <c r="E5246" t="s">
        <v>131</v>
      </c>
      <c r="F5246" t="s">
        <v>545</v>
      </c>
      <c r="G5246">
        <v>3876.0595505599999</v>
      </c>
      <c r="I5246" t="b">
        <f t="shared" si="294"/>
        <v>1</v>
      </c>
      <c r="J5246">
        <f t="shared" si="294"/>
        <v>0</v>
      </c>
      <c r="K5246">
        <f t="shared" si="294"/>
        <v>0</v>
      </c>
      <c r="M5246" t="str" cm="1">
        <f t="array" ref="M5246">IFERROR(INDEX($I$2:$K$2,0,MATCH(TRUE,I5246:K5246,0)),E5246)</f>
        <v>Onshore</v>
      </c>
      <c r="O5246" t="str">
        <f t="shared" si="292"/>
        <v>Onshore_2029</v>
      </c>
      <c r="P5246">
        <f t="shared" si="293"/>
        <v>3876.0595505599999</v>
      </c>
    </row>
    <row r="5247" spans="4:16" x14ac:dyDescent="0.25">
      <c r="D5247">
        <v>2030</v>
      </c>
      <c r="E5247" t="s">
        <v>131</v>
      </c>
      <c r="F5247" t="s">
        <v>545</v>
      </c>
      <c r="G5247">
        <v>3841.6009481699998</v>
      </c>
      <c r="I5247" t="b">
        <f t="shared" si="294"/>
        <v>1</v>
      </c>
      <c r="J5247">
        <f t="shared" si="294"/>
        <v>0</v>
      </c>
      <c r="K5247">
        <f t="shared" si="294"/>
        <v>0</v>
      </c>
      <c r="M5247" t="str" cm="1">
        <f t="array" ref="M5247">IFERROR(INDEX($I$2:$K$2,0,MATCH(TRUE,I5247:K5247,0)),E5247)</f>
        <v>Onshore</v>
      </c>
      <c r="O5247" t="str">
        <f t="shared" si="292"/>
        <v>Onshore_2030</v>
      </c>
      <c r="P5247">
        <f t="shared" si="293"/>
        <v>3841.6009481699998</v>
      </c>
    </row>
    <row r="5248" spans="4:16" x14ac:dyDescent="0.25">
      <c r="D5248">
        <v>2031</v>
      </c>
      <c r="E5248" t="s">
        <v>131</v>
      </c>
      <c r="F5248" t="s">
        <v>545</v>
      </c>
      <c r="G5248">
        <v>3764.8930744200002</v>
      </c>
      <c r="I5248" t="b">
        <f t="shared" si="294"/>
        <v>1</v>
      </c>
      <c r="J5248">
        <f t="shared" si="294"/>
        <v>0</v>
      </c>
      <c r="K5248">
        <f t="shared" si="294"/>
        <v>0</v>
      </c>
      <c r="M5248" t="str" cm="1">
        <f t="array" ref="M5248">IFERROR(INDEX($I$2:$K$2,0,MATCH(TRUE,I5248:K5248,0)),E5248)</f>
        <v>Onshore</v>
      </c>
      <c r="O5248" t="str">
        <f t="shared" si="292"/>
        <v>Onshore_2031</v>
      </c>
      <c r="P5248">
        <f t="shared" si="293"/>
        <v>3764.8930744200002</v>
      </c>
    </row>
    <row r="5249" spans="4:16" x14ac:dyDescent="0.25">
      <c r="D5249">
        <v>2032</v>
      </c>
      <c r="E5249" t="s">
        <v>131</v>
      </c>
      <c r="F5249" t="s">
        <v>545</v>
      </c>
      <c r="G5249">
        <v>3424.3576496000001</v>
      </c>
      <c r="I5249" t="b">
        <f t="shared" si="294"/>
        <v>1</v>
      </c>
      <c r="J5249">
        <f t="shared" si="294"/>
        <v>0</v>
      </c>
      <c r="K5249">
        <f t="shared" si="294"/>
        <v>0</v>
      </c>
      <c r="M5249" t="str" cm="1">
        <f t="array" ref="M5249">IFERROR(INDEX($I$2:$K$2,0,MATCH(TRUE,I5249:K5249,0)),E5249)</f>
        <v>Onshore</v>
      </c>
      <c r="O5249" t="str">
        <f t="shared" si="292"/>
        <v>Onshore_2032</v>
      </c>
      <c r="P5249">
        <f t="shared" si="293"/>
        <v>3424.3576496000001</v>
      </c>
    </row>
    <row r="5250" spans="4:16" x14ac:dyDescent="0.25">
      <c r="D5250">
        <v>2033</v>
      </c>
      <c r="E5250" t="s">
        <v>131</v>
      </c>
      <c r="F5250" t="s">
        <v>545</v>
      </c>
      <c r="G5250">
        <v>3213.31920532</v>
      </c>
      <c r="I5250" t="b">
        <f t="shared" si="294"/>
        <v>1</v>
      </c>
      <c r="J5250">
        <f t="shared" si="294"/>
        <v>0</v>
      </c>
      <c r="K5250">
        <f t="shared" si="294"/>
        <v>0</v>
      </c>
      <c r="M5250" t="str" cm="1">
        <f t="array" ref="M5250">IFERROR(INDEX($I$2:$K$2,0,MATCH(TRUE,I5250:K5250,0)),E5250)</f>
        <v>Onshore</v>
      </c>
      <c r="O5250" t="str">
        <f t="shared" si="292"/>
        <v>Onshore_2033</v>
      </c>
      <c r="P5250">
        <f t="shared" si="293"/>
        <v>3213.31920532</v>
      </c>
    </row>
    <row r="5251" spans="4:16" x14ac:dyDescent="0.25">
      <c r="D5251">
        <v>2034</v>
      </c>
      <c r="E5251" t="s">
        <v>131</v>
      </c>
      <c r="F5251" t="s">
        <v>545</v>
      </c>
      <c r="G5251">
        <v>3019.4633338899998</v>
      </c>
      <c r="I5251" t="b">
        <f t="shared" si="294"/>
        <v>1</v>
      </c>
      <c r="J5251">
        <f t="shared" si="294"/>
        <v>0</v>
      </c>
      <c r="K5251">
        <f t="shared" si="294"/>
        <v>0</v>
      </c>
      <c r="M5251" t="str" cm="1">
        <f t="array" ref="M5251">IFERROR(INDEX($I$2:$K$2,0,MATCH(TRUE,I5251:K5251,0)),E5251)</f>
        <v>Onshore</v>
      </c>
      <c r="O5251" t="str">
        <f t="shared" si="292"/>
        <v>Onshore_2034</v>
      </c>
      <c r="P5251">
        <f t="shared" si="293"/>
        <v>3019.4633338899998</v>
      </c>
    </row>
    <row r="5252" spans="4:16" x14ac:dyDescent="0.25">
      <c r="D5252">
        <v>2035</v>
      </c>
      <c r="E5252" t="s">
        <v>131</v>
      </c>
      <c r="F5252" t="s">
        <v>545</v>
      </c>
      <c r="G5252">
        <v>2792.1071379300001</v>
      </c>
      <c r="I5252" t="b">
        <f t="shared" si="294"/>
        <v>1</v>
      </c>
      <c r="J5252">
        <f t="shared" si="294"/>
        <v>0</v>
      </c>
      <c r="K5252">
        <f t="shared" si="294"/>
        <v>0</v>
      </c>
      <c r="M5252" t="str" cm="1">
        <f t="array" ref="M5252">IFERROR(INDEX($I$2:$K$2,0,MATCH(TRUE,I5252:K5252,0)),E5252)</f>
        <v>Onshore</v>
      </c>
      <c r="O5252" t="str">
        <f t="shared" si="292"/>
        <v>Onshore_2035</v>
      </c>
      <c r="P5252">
        <f t="shared" si="293"/>
        <v>2792.1071379300001</v>
      </c>
    </row>
    <row r="5253" spans="4:16" x14ac:dyDescent="0.25">
      <c r="D5253">
        <v>2036</v>
      </c>
      <c r="E5253" t="s">
        <v>131</v>
      </c>
      <c r="F5253" t="s">
        <v>545</v>
      </c>
      <c r="G5253">
        <v>2531.4733776500002</v>
      </c>
      <c r="I5253" t="b">
        <f t="shared" si="294"/>
        <v>1</v>
      </c>
      <c r="J5253">
        <f t="shared" si="294"/>
        <v>0</v>
      </c>
      <c r="K5253">
        <f t="shared" si="294"/>
        <v>0</v>
      </c>
      <c r="M5253" t="str" cm="1">
        <f t="array" ref="M5253">IFERROR(INDEX($I$2:$K$2,0,MATCH(TRUE,I5253:K5253,0)),E5253)</f>
        <v>Onshore</v>
      </c>
      <c r="O5253" t="str">
        <f t="shared" si="292"/>
        <v>Onshore_2036</v>
      </c>
      <c r="P5253">
        <f t="shared" si="293"/>
        <v>2531.4733776500002</v>
      </c>
    </row>
    <row r="5254" spans="4:16" x14ac:dyDescent="0.25">
      <c r="D5254">
        <v>2037</v>
      </c>
      <c r="E5254" t="s">
        <v>131</v>
      </c>
      <c r="F5254" t="s">
        <v>545</v>
      </c>
      <c r="G5254">
        <v>2097.0363089000002</v>
      </c>
      <c r="I5254" t="b">
        <f t="shared" si="294"/>
        <v>1</v>
      </c>
      <c r="J5254">
        <f t="shared" si="294"/>
        <v>0</v>
      </c>
      <c r="K5254">
        <f t="shared" si="294"/>
        <v>0</v>
      </c>
      <c r="M5254" t="str" cm="1">
        <f t="array" ref="M5254">IFERROR(INDEX($I$2:$K$2,0,MATCH(TRUE,I5254:K5254,0)),E5254)</f>
        <v>Onshore</v>
      </c>
      <c r="O5254" t="str">
        <f t="shared" si="292"/>
        <v>Onshore_2037</v>
      </c>
      <c r="P5254">
        <f t="shared" si="293"/>
        <v>2097.0363089000002</v>
      </c>
    </row>
    <row r="5255" spans="4:16" x14ac:dyDescent="0.25">
      <c r="D5255">
        <v>2038</v>
      </c>
      <c r="E5255" t="s">
        <v>131</v>
      </c>
      <c r="F5255" t="s">
        <v>545</v>
      </c>
      <c r="G5255">
        <v>1304.6500138599999</v>
      </c>
      <c r="I5255" t="b">
        <f t="shared" si="294"/>
        <v>1</v>
      </c>
      <c r="J5255">
        <f t="shared" si="294"/>
        <v>0</v>
      </c>
      <c r="K5255">
        <f t="shared" si="294"/>
        <v>0</v>
      </c>
      <c r="M5255" t="str" cm="1">
        <f t="array" ref="M5255">IFERROR(INDEX($I$2:$K$2,0,MATCH(TRUE,I5255:K5255,0)),E5255)</f>
        <v>Onshore</v>
      </c>
      <c r="O5255" t="str">
        <f t="shared" si="292"/>
        <v>Onshore_2038</v>
      </c>
      <c r="P5255">
        <f t="shared" si="293"/>
        <v>1304.6500138599999</v>
      </c>
    </row>
    <row r="5256" spans="4:16" x14ac:dyDescent="0.25">
      <c r="D5256">
        <v>2039</v>
      </c>
      <c r="E5256" t="s">
        <v>131</v>
      </c>
      <c r="F5256" t="s">
        <v>545</v>
      </c>
      <c r="G5256">
        <v>1154.20937379</v>
      </c>
      <c r="I5256" t="b">
        <f t="shared" si="294"/>
        <v>1</v>
      </c>
      <c r="J5256">
        <f t="shared" si="294"/>
        <v>0</v>
      </c>
      <c r="K5256">
        <f t="shared" si="294"/>
        <v>0</v>
      </c>
      <c r="M5256" t="str" cm="1">
        <f t="array" ref="M5256">IFERROR(INDEX($I$2:$K$2,0,MATCH(TRUE,I5256:K5256,0)),E5256)</f>
        <v>Onshore</v>
      </c>
      <c r="O5256" t="str">
        <f t="shared" si="292"/>
        <v>Onshore_2039</v>
      </c>
      <c r="P5256">
        <f t="shared" si="293"/>
        <v>1154.20937379</v>
      </c>
    </row>
    <row r="5257" spans="4:16" x14ac:dyDescent="0.25">
      <c r="D5257">
        <v>2040</v>
      </c>
      <c r="E5257" t="s">
        <v>131</v>
      </c>
      <c r="F5257" t="s">
        <v>545</v>
      </c>
      <c r="G5257">
        <v>1126.1078198800001</v>
      </c>
      <c r="I5257" t="b">
        <f t="shared" si="294"/>
        <v>1</v>
      </c>
      <c r="J5257">
        <f t="shared" si="294"/>
        <v>0</v>
      </c>
      <c r="K5257">
        <f t="shared" si="294"/>
        <v>0</v>
      </c>
      <c r="M5257" t="str" cm="1">
        <f t="array" ref="M5257">IFERROR(INDEX($I$2:$K$2,0,MATCH(TRUE,I5257:K5257,0)),E5257)</f>
        <v>Onshore</v>
      </c>
      <c r="O5257" t="str">
        <f t="shared" si="292"/>
        <v>Onshore_2040</v>
      </c>
      <c r="P5257">
        <f t="shared" si="293"/>
        <v>1126.1078198800001</v>
      </c>
    </row>
    <row r="5258" spans="4:16" x14ac:dyDescent="0.25">
      <c r="D5258">
        <v>2035</v>
      </c>
      <c r="E5258" t="s">
        <v>546</v>
      </c>
      <c r="F5258" t="s">
        <v>547</v>
      </c>
      <c r="G5258">
        <v>0</v>
      </c>
      <c r="I5258" t="b">
        <f t="shared" si="294"/>
        <v>1</v>
      </c>
      <c r="J5258">
        <f t="shared" si="294"/>
        <v>0</v>
      </c>
      <c r="K5258">
        <f t="shared" si="294"/>
        <v>0</v>
      </c>
      <c r="M5258" t="str" cm="1">
        <f t="array" ref="M5258">IFERROR(INDEX($I$2:$K$2,0,MATCH(TRUE,I5258:K5258,0)),E5258)</f>
        <v>Onshore</v>
      </c>
      <c r="O5258" t="str">
        <f t="shared" si="292"/>
        <v>Onshore_2035</v>
      </c>
      <c r="P5258">
        <f t="shared" si="293"/>
        <v>0</v>
      </c>
    </row>
    <row r="5259" spans="4:16" x14ac:dyDescent="0.25">
      <c r="D5259">
        <v>2036</v>
      </c>
      <c r="E5259" t="s">
        <v>546</v>
      </c>
      <c r="F5259" t="s">
        <v>547</v>
      </c>
      <c r="G5259">
        <v>131.19183842999999</v>
      </c>
      <c r="I5259" t="b">
        <f t="shared" si="294"/>
        <v>1</v>
      </c>
      <c r="J5259">
        <f t="shared" si="294"/>
        <v>0</v>
      </c>
      <c r="K5259">
        <f t="shared" si="294"/>
        <v>0</v>
      </c>
      <c r="M5259" t="str" cm="1">
        <f t="array" ref="M5259">IFERROR(INDEX($I$2:$K$2,0,MATCH(TRUE,I5259:K5259,0)),E5259)</f>
        <v>Onshore</v>
      </c>
      <c r="O5259" t="str">
        <f t="shared" si="292"/>
        <v>Onshore_2036</v>
      </c>
      <c r="P5259">
        <f t="shared" si="293"/>
        <v>131.19183842999999</v>
      </c>
    </row>
    <row r="5260" spans="4:16" x14ac:dyDescent="0.25">
      <c r="D5260">
        <v>2037</v>
      </c>
      <c r="E5260" t="s">
        <v>546</v>
      </c>
      <c r="F5260" t="s">
        <v>547</v>
      </c>
      <c r="G5260">
        <v>333.27648274000001</v>
      </c>
      <c r="I5260" t="b">
        <f t="shared" si="294"/>
        <v>1</v>
      </c>
      <c r="J5260">
        <f t="shared" si="294"/>
        <v>0</v>
      </c>
      <c r="K5260">
        <f t="shared" si="294"/>
        <v>0</v>
      </c>
      <c r="M5260" t="str" cm="1">
        <f t="array" ref="M5260">IFERROR(INDEX($I$2:$K$2,0,MATCH(TRUE,I5260:K5260,0)),E5260)</f>
        <v>Onshore</v>
      </c>
      <c r="O5260" t="str">
        <f t="shared" si="292"/>
        <v>Onshore_2037</v>
      </c>
      <c r="P5260">
        <f t="shared" si="293"/>
        <v>333.27648274000001</v>
      </c>
    </row>
    <row r="5261" spans="4:16" x14ac:dyDescent="0.25">
      <c r="D5261">
        <v>2038</v>
      </c>
      <c r="E5261" t="s">
        <v>546</v>
      </c>
      <c r="F5261" t="s">
        <v>547</v>
      </c>
      <c r="G5261">
        <v>682.33354347</v>
      </c>
      <c r="I5261" t="b">
        <f t="shared" si="294"/>
        <v>1</v>
      </c>
      <c r="J5261">
        <f t="shared" si="294"/>
        <v>0</v>
      </c>
      <c r="K5261">
        <f t="shared" si="294"/>
        <v>0</v>
      </c>
      <c r="M5261" t="str" cm="1">
        <f t="array" ref="M5261">IFERROR(INDEX($I$2:$K$2,0,MATCH(TRUE,I5261:K5261,0)),E5261)</f>
        <v>Onshore</v>
      </c>
      <c r="O5261" t="str">
        <f t="shared" si="292"/>
        <v>Onshore_2038</v>
      </c>
      <c r="P5261">
        <f t="shared" si="293"/>
        <v>682.33354347</v>
      </c>
    </row>
    <row r="5262" spans="4:16" x14ac:dyDescent="0.25">
      <c r="D5262">
        <v>2039</v>
      </c>
      <c r="E5262" t="s">
        <v>546</v>
      </c>
      <c r="F5262" t="s">
        <v>547</v>
      </c>
      <c r="G5262">
        <v>1103.80675066</v>
      </c>
      <c r="I5262" t="b">
        <f t="shared" si="294"/>
        <v>1</v>
      </c>
      <c r="J5262">
        <f t="shared" si="294"/>
        <v>0</v>
      </c>
      <c r="K5262">
        <f t="shared" si="294"/>
        <v>0</v>
      </c>
      <c r="M5262" t="str" cm="1">
        <f t="array" ref="M5262">IFERROR(INDEX($I$2:$K$2,0,MATCH(TRUE,I5262:K5262,0)),E5262)</f>
        <v>Onshore</v>
      </c>
      <c r="O5262" t="str">
        <f t="shared" si="292"/>
        <v>Onshore_2039</v>
      </c>
      <c r="P5262">
        <f t="shared" si="293"/>
        <v>1103.80675066</v>
      </c>
    </row>
    <row r="5263" spans="4:16" x14ac:dyDescent="0.25">
      <c r="D5263">
        <v>2040</v>
      </c>
      <c r="E5263" t="s">
        <v>546</v>
      </c>
      <c r="F5263" t="s">
        <v>547</v>
      </c>
      <c r="G5263">
        <v>1511.8305280100001</v>
      </c>
      <c r="I5263" t="b">
        <f t="shared" si="294"/>
        <v>1</v>
      </c>
      <c r="J5263">
        <f t="shared" si="294"/>
        <v>0</v>
      </c>
      <c r="K5263">
        <f t="shared" si="294"/>
        <v>0</v>
      </c>
      <c r="M5263" t="str" cm="1">
        <f t="array" ref="M5263">IFERROR(INDEX($I$2:$K$2,0,MATCH(TRUE,I5263:K5263,0)),E5263)</f>
        <v>Onshore</v>
      </c>
      <c r="O5263" t="str">
        <f t="shared" si="292"/>
        <v>Onshore_2040</v>
      </c>
      <c r="P5263">
        <f t="shared" si="293"/>
        <v>1511.8305280100001</v>
      </c>
    </row>
    <row r="5264" spans="4:16" x14ac:dyDescent="0.25">
      <c r="D5264">
        <v>2035</v>
      </c>
      <c r="E5264" t="s">
        <v>546</v>
      </c>
      <c r="F5264" t="s">
        <v>548</v>
      </c>
      <c r="G5264">
        <v>0</v>
      </c>
      <c r="I5264" t="b">
        <f t="shared" si="294"/>
        <v>1</v>
      </c>
      <c r="J5264">
        <f t="shared" si="294"/>
        <v>0</v>
      </c>
      <c r="K5264">
        <f t="shared" si="294"/>
        <v>0</v>
      </c>
      <c r="M5264" t="str" cm="1">
        <f t="array" ref="M5264">IFERROR(INDEX($I$2:$K$2,0,MATCH(TRUE,I5264:K5264,0)),E5264)</f>
        <v>Onshore</v>
      </c>
      <c r="O5264" t="str">
        <f t="shared" si="292"/>
        <v>Onshore_2035</v>
      </c>
      <c r="P5264">
        <f t="shared" si="293"/>
        <v>0</v>
      </c>
    </row>
    <row r="5265" spans="4:16" x14ac:dyDescent="0.25">
      <c r="D5265">
        <v>2036</v>
      </c>
      <c r="E5265" t="s">
        <v>546</v>
      </c>
      <c r="F5265" t="s">
        <v>548</v>
      </c>
      <c r="G5265">
        <v>762.53003703000002</v>
      </c>
      <c r="I5265" t="b">
        <f t="shared" si="294"/>
        <v>1</v>
      </c>
      <c r="J5265">
        <f t="shared" si="294"/>
        <v>0</v>
      </c>
      <c r="K5265">
        <f t="shared" si="294"/>
        <v>0</v>
      </c>
      <c r="M5265" t="str" cm="1">
        <f t="array" ref="M5265">IFERROR(INDEX($I$2:$K$2,0,MATCH(TRUE,I5265:K5265,0)),E5265)</f>
        <v>Onshore</v>
      </c>
      <c r="O5265" t="str">
        <f t="shared" si="292"/>
        <v>Onshore_2036</v>
      </c>
      <c r="P5265">
        <f t="shared" si="293"/>
        <v>762.53003703000002</v>
      </c>
    </row>
    <row r="5266" spans="4:16" x14ac:dyDescent="0.25">
      <c r="D5266">
        <v>2037</v>
      </c>
      <c r="E5266" t="s">
        <v>546</v>
      </c>
      <c r="F5266" t="s">
        <v>548</v>
      </c>
      <c r="G5266">
        <v>1937.11233692</v>
      </c>
      <c r="I5266" t="b">
        <f t="shared" si="294"/>
        <v>1</v>
      </c>
      <c r="J5266">
        <f t="shared" si="294"/>
        <v>0</v>
      </c>
      <c r="K5266">
        <f t="shared" si="294"/>
        <v>0</v>
      </c>
      <c r="M5266" t="str" cm="1">
        <f t="array" ref="M5266">IFERROR(INDEX($I$2:$K$2,0,MATCH(TRUE,I5266:K5266,0)),E5266)</f>
        <v>Onshore</v>
      </c>
      <c r="O5266" t="str">
        <f t="shared" si="292"/>
        <v>Onshore_2037</v>
      </c>
      <c r="P5266">
        <f t="shared" si="293"/>
        <v>1937.11233692</v>
      </c>
    </row>
    <row r="5267" spans="4:16" x14ac:dyDescent="0.25">
      <c r="D5267">
        <v>2038</v>
      </c>
      <c r="E5267" t="s">
        <v>546</v>
      </c>
      <c r="F5267" t="s">
        <v>548</v>
      </c>
      <c r="G5267">
        <v>3965.9465741600002</v>
      </c>
      <c r="I5267" t="b">
        <f t="shared" si="294"/>
        <v>1</v>
      </c>
      <c r="J5267">
        <f t="shared" si="294"/>
        <v>0</v>
      </c>
      <c r="K5267">
        <f t="shared" si="294"/>
        <v>0</v>
      </c>
      <c r="M5267" t="str" cm="1">
        <f t="array" ref="M5267">IFERROR(INDEX($I$2:$K$2,0,MATCH(TRUE,I5267:K5267,0)),E5267)</f>
        <v>Onshore</v>
      </c>
      <c r="O5267" t="str">
        <f t="shared" ref="O5267:O5330" si="295">M5267&amp;"_"&amp;D5267</f>
        <v>Onshore_2038</v>
      </c>
      <c r="P5267">
        <f t="shared" ref="P5267:P5330" si="296">G5267</f>
        <v>3965.9465741600002</v>
      </c>
    </row>
    <row r="5268" spans="4:16" x14ac:dyDescent="0.25">
      <c r="D5268">
        <v>2039</v>
      </c>
      <c r="E5268" t="s">
        <v>546</v>
      </c>
      <c r="F5268" t="s">
        <v>548</v>
      </c>
      <c r="G5268">
        <v>6415.6872297899999</v>
      </c>
      <c r="I5268" t="b">
        <f t="shared" si="294"/>
        <v>1</v>
      </c>
      <c r="J5268">
        <f t="shared" si="294"/>
        <v>0</v>
      </c>
      <c r="K5268">
        <f t="shared" si="294"/>
        <v>0</v>
      </c>
      <c r="M5268" t="str" cm="1">
        <f t="array" ref="M5268">IFERROR(INDEX($I$2:$K$2,0,MATCH(TRUE,I5268:K5268,0)),E5268)</f>
        <v>Onshore</v>
      </c>
      <c r="O5268" t="str">
        <f t="shared" si="295"/>
        <v>Onshore_2039</v>
      </c>
      <c r="P5268">
        <f t="shared" si="296"/>
        <v>6415.6872297899999</v>
      </c>
    </row>
    <row r="5269" spans="4:16" x14ac:dyDescent="0.25">
      <c r="D5269">
        <v>2040</v>
      </c>
      <c r="E5269" t="s">
        <v>546</v>
      </c>
      <c r="F5269" t="s">
        <v>548</v>
      </c>
      <c r="G5269">
        <v>8787.2553835899998</v>
      </c>
      <c r="I5269" t="b">
        <f t="shared" ref="I5269:K5332" si="297">IFERROR(FIND(I$2,$E5269,1)&gt;0,0)</f>
        <v>1</v>
      </c>
      <c r="J5269">
        <f t="shared" si="297"/>
        <v>0</v>
      </c>
      <c r="K5269">
        <f t="shared" si="297"/>
        <v>0</v>
      </c>
      <c r="M5269" t="str" cm="1">
        <f t="array" ref="M5269">IFERROR(INDEX($I$2:$K$2,0,MATCH(TRUE,I5269:K5269,0)),E5269)</f>
        <v>Onshore</v>
      </c>
      <c r="O5269" t="str">
        <f t="shared" si="295"/>
        <v>Onshore_2040</v>
      </c>
      <c r="P5269">
        <f t="shared" si="296"/>
        <v>8787.2553835899998</v>
      </c>
    </row>
    <row r="5270" spans="4:16" x14ac:dyDescent="0.25">
      <c r="D5270">
        <v>2035</v>
      </c>
      <c r="E5270" t="s">
        <v>546</v>
      </c>
      <c r="F5270" t="s">
        <v>549</v>
      </c>
      <c r="G5270">
        <v>0</v>
      </c>
      <c r="I5270" t="b">
        <f t="shared" si="297"/>
        <v>1</v>
      </c>
      <c r="J5270">
        <f t="shared" si="297"/>
        <v>0</v>
      </c>
      <c r="K5270">
        <f t="shared" si="297"/>
        <v>0</v>
      </c>
      <c r="M5270" t="str" cm="1">
        <f t="array" ref="M5270">IFERROR(INDEX($I$2:$K$2,0,MATCH(TRUE,I5270:K5270,0)),E5270)</f>
        <v>Onshore</v>
      </c>
      <c r="O5270" t="str">
        <f t="shared" si="295"/>
        <v>Onshore_2035</v>
      </c>
      <c r="P5270">
        <f t="shared" si="296"/>
        <v>0</v>
      </c>
    </row>
    <row r="5271" spans="4:16" x14ac:dyDescent="0.25">
      <c r="D5271">
        <v>2036</v>
      </c>
      <c r="E5271" t="s">
        <v>546</v>
      </c>
      <c r="F5271" t="s">
        <v>549</v>
      </c>
      <c r="G5271">
        <v>119.27812453999999</v>
      </c>
      <c r="I5271" t="b">
        <f t="shared" si="297"/>
        <v>1</v>
      </c>
      <c r="J5271">
        <f t="shared" si="297"/>
        <v>0</v>
      </c>
      <c r="K5271">
        <f t="shared" si="297"/>
        <v>0</v>
      </c>
      <c r="M5271" t="str" cm="1">
        <f t="array" ref="M5271">IFERROR(INDEX($I$2:$K$2,0,MATCH(TRUE,I5271:K5271,0)),E5271)</f>
        <v>Onshore</v>
      </c>
      <c r="O5271" t="str">
        <f t="shared" si="295"/>
        <v>Onshore_2036</v>
      </c>
      <c r="P5271">
        <f t="shared" si="296"/>
        <v>119.27812453999999</v>
      </c>
    </row>
    <row r="5272" spans="4:16" x14ac:dyDescent="0.25">
      <c r="D5272">
        <v>2037</v>
      </c>
      <c r="E5272" t="s">
        <v>546</v>
      </c>
      <c r="F5272" t="s">
        <v>549</v>
      </c>
      <c r="G5272">
        <v>303.01118034000001</v>
      </c>
      <c r="I5272" t="b">
        <f t="shared" si="297"/>
        <v>1</v>
      </c>
      <c r="J5272">
        <f t="shared" si="297"/>
        <v>0</v>
      </c>
      <c r="K5272">
        <f t="shared" si="297"/>
        <v>0</v>
      </c>
      <c r="M5272" t="str" cm="1">
        <f t="array" ref="M5272">IFERROR(INDEX($I$2:$K$2,0,MATCH(TRUE,I5272:K5272,0)),E5272)</f>
        <v>Onshore</v>
      </c>
      <c r="O5272" t="str">
        <f t="shared" si="295"/>
        <v>Onshore_2037</v>
      </c>
      <c r="P5272">
        <f t="shared" si="296"/>
        <v>303.01118034000001</v>
      </c>
    </row>
    <row r="5273" spans="4:16" x14ac:dyDescent="0.25">
      <c r="D5273">
        <v>2038</v>
      </c>
      <c r="E5273" t="s">
        <v>546</v>
      </c>
      <c r="F5273" t="s">
        <v>549</v>
      </c>
      <c r="G5273">
        <v>620.36988237000003</v>
      </c>
      <c r="I5273" t="b">
        <f t="shared" si="297"/>
        <v>1</v>
      </c>
      <c r="J5273">
        <f t="shared" si="297"/>
        <v>0</v>
      </c>
      <c r="K5273">
        <f t="shared" si="297"/>
        <v>0</v>
      </c>
      <c r="M5273" t="str" cm="1">
        <f t="array" ref="M5273">IFERROR(INDEX($I$2:$K$2,0,MATCH(TRUE,I5273:K5273,0)),E5273)</f>
        <v>Onshore</v>
      </c>
      <c r="O5273" t="str">
        <f t="shared" si="295"/>
        <v>Onshore_2038</v>
      </c>
      <c r="P5273">
        <f t="shared" si="296"/>
        <v>620.36988237000003</v>
      </c>
    </row>
    <row r="5274" spans="4:16" x14ac:dyDescent="0.25">
      <c r="D5274">
        <v>2039</v>
      </c>
      <c r="E5274" t="s">
        <v>546</v>
      </c>
      <c r="F5274" t="s">
        <v>549</v>
      </c>
      <c r="G5274">
        <v>1003.56851956</v>
      </c>
      <c r="I5274" t="b">
        <f t="shared" si="297"/>
        <v>1</v>
      </c>
      <c r="J5274">
        <f t="shared" si="297"/>
        <v>0</v>
      </c>
      <c r="K5274">
        <f t="shared" si="297"/>
        <v>0</v>
      </c>
      <c r="M5274" t="str" cm="1">
        <f t="array" ref="M5274">IFERROR(INDEX($I$2:$K$2,0,MATCH(TRUE,I5274:K5274,0)),E5274)</f>
        <v>Onshore</v>
      </c>
      <c r="O5274" t="str">
        <f t="shared" si="295"/>
        <v>Onshore_2039</v>
      </c>
      <c r="P5274">
        <f t="shared" si="296"/>
        <v>1003.56851956</v>
      </c>
    </row>
    <row r="5275" spans="4:16" x14ac:dyDescent="0.25">
      <c r="D5275">
        <v>2040</v>
      </c>
      <c r="E5275" t="s">
        <v>546</v>
      </c>
      <c r="F5275" t="s">
        <v>549</v>
      </c>
      <c r="G5275">
        <v>1374.5390884000001</v>
      </c>
      <c r="I5275" t="b">
        <f t="shared" si="297"/>
        <v>1</v>
      </c>
      <c r="J5275">
        <f t="shared" si="297"/>
        <v>0</v>
      </c>
      <c r="K5275">
        <f t="shared" si="297"/>
        <v>0</v>
      </c>
      <c r="M5275" t="str" cm="1">
        <f t="array" ref="M5275">IFERROR(INDEX($I$2:$K$2,0,MATCH(TRUE,I5275:K5275,0)),E5275)</f>
        <v>Onshore</v>
      </c>
      <c r="O5275" t="str">
        <f t="shared" si="295"/>
        <v>Onshore_2040</v>
      </c>
      <c r="P5275">
        <f t="shared" si="296"/>
        <v>1374.5390884000001</v>
      </c>
    </row>
    <row r="5276" spans="4:16" x14ac:dyDescent="0.25">
      <c r="D5276">
        <v>2024</v>
      </c>
      <c r="E5276" t="s">
        <v>132</v>
      </c>
      <c r="F5276" t="s">
        <v>550</v>
      </c>
      <c r="G5276">
        <v>0</v>
      </c>
      <c r="I5276" t="b">
        <f t="shared" si="297"/>
        <v>1</v>
      </c>
      <c r="J5276">
        <f t="shared" si="297"/>
        <v>0</v>
      </c>
      <c r="K5276">
        <f t="shared" si="297"/>
        <v>0</v>
      </c>
      <c r="M5276" t="str" cm="1">
        <f t="array" ref="M5276">IFERROR(INDEX($I$2:$K$2,0,MATCH(TRUE,I5276:K5276,0)),E5276)</f>
        <v>Onshore</v>
      </c>
      <c r="O5276" t="str">
        <f t="shared" si="295"/>
        <v>Onshore_2024</v>
      </c>
      <c r="P5276">
        <f t="shared" si="296"/>
        <v>0</v>
      </c>
    </row>
    <row r="5277" spans="4:16" x14ac:dyDescent="0.25">
      <c r="D5277">
        <v>2025</v>
      </c>
      <c r="E5277" t="s">
        <v>132</v>
      </c>
      <c r="F5277" t="s">
        <v>550</v>
      </c>
      <c r="G5277">
        <v>0.1</v>
      </c>
      <c r="I5277" t="b">
        <f t="shared" si="297"/>
        <v>1</v>
      </c>
      <c r="J5277">
        <f t="shared" si="297"/>
        <v>0</v>
      </c>
      <c r="K5277">
        <f t="shared" si="297"/>
        <v>0</v>
      </c>
      <c r="M5277" t="str" cm="1">
        <f t="array" ref="M5277">IFERROR(INDEX($I$2:$K$2,0,MATCH(TRUE,I5277:K5277,0)),E5277)</f>
        <v>Onshore</v>
      </c>
      <c r="O5277" t="str">
        <f t="shared" si="295"/>
        <v>Onshore_2025</v>
      </c>
      <c r="P5277">
        <f t="shared" si="296"/>
        <v>0.1</v>
      </c>
    </row>
    <row r="5278" spans="4:16" x14ac:dyDescent="0.25">
      <c r="D5278">
        <v>2026</v>
      </c>
      <c r="E5278" t="s">
        <v>132</v>
      </c>
      <c r="F5278" t="s">
        <v>550</v>
      </c>
      <c r="G5278">
        <v>0.1</v>
      </c>
      <c r="I5278" t="b">
        <f t="shared" si="297"/>
        <v>1</v>
      </c>
      <c r="J5278">
        <f t="shared" si="297"/>
        <v>0</v>
      </c>
      <c r="K5278">
        <f t="shared" si="297"/>
        <v>0</v>
      </c>
      <c r="M5278" t="str" cm="1">
        <f t="array" ref="M5278">IFERROR(INDEX($I$2:$K$2,0,MATCH(TRUE,I5278:K5278,0)),E5278)</f>
        <v>Onshore</v>
      </c>
      <c r="O5278" t="str">
        <f t="shared" si="295"/>
        <v>Onshore_2026</v>
      </c>
      <c r="P5278">
        <f t="shared" si="296"/>
        <v>0.1</v>
      </c>
    </row>
    <row r="5279" spans="4:16" x14ac:dyDescent="0.25">
      <c r="D5279">
        <v>2027</v>
      </c>
      <c r="E5279" t="s">
        <v>132</v>
      </c>
      <c r="F5279" t="s">
        <v>550</v>
      </c>
      <c r="G5279">
        <v>0.1</v>
      </c>
      <c r="I5279" t="b">
        <f t="shared" si="297"/>
        <v>1</v>
      </c>
      <c r="J5279">
        <f t="shared" si="297"/>
        <v>0</v>
      </c>
      <c r="K5279">
        <f t="shared" si="297"/>
        <v>0</v>
      </c>
      <c r="M5279" t="str" cm="1">
        <f t="array" ref="M5279">IFERROR(INDEX($I$2:$K$2,0,MATCH(TRUE,I5279:K5279,0)),E5279)</f>
        <v>Onshore</v>
      </c>
      <c r="O5279" t="str">
        <f t="shared" si="295"/>
        <v>Onshore_2027</v>
      </c>
      <c r="P5279">
        <f t="shared" si="296"/>
        <v>0.1</v>
      </c>
    </row>
    <row r="5280" spans="4:16" x14ac:dyDescent="0.25">
      <c r="D5280">
        <v>2028</v>
      </c>
      <c r="E5280" t="s">
        <v>132</v>
      </c>
      <c r="F5280" t="s">
        <v>550</v>
      </c>
      <c r="G5280">
        <v>0.1</v>
      </c>
      <c r="I5280" t="b">
        <f t="shared" si="297"/>
        <v>1</v>
      </c>
      <c r="J5280">
        <f t="shared" si="297"/>
        <v>0</v>
      </c>
      <c r="K5280">
        <f t="shared" si="297"/>
        <v>0</v>
      </c>
      <c r="M5280" t="str" cm="1">
        <f t="array" ref="M5280">IFERROR(INDEX($I$2:$K$2,0,MATCH(TRUE,I5280:K5280,0)),E5280)</f>
        <v>Onshore</v>
      </c>
      <c r="O5280" t="str">
        <f t="shared" si="295"/>
        <v>Onshore_2028</v>
      </c>
      <c r="P5280">
        <f t="shared" si="296"/>
        <v>0.1</v>
      </c>
    </row>
    <row r="5281" spans="4:16" x14ac:dyDescent="0.25">
      <c r="D5281">
        <v>2029</v>
      </c>
      <c r="E5281" t="s">
        <v>132</v>
      </c>
      <c r="F5281" t="s">
        <v>550</v>
      </c>
      <c r="G5281">
        <v>0.1</v>
      </c>
      <c r="I5281" t="b">
        <f t="shared" si="297"/>
        <v>1</v>
      </c>
      <c r="J5281">
        <f t="shared" si="297"/>
        <v>0</v>
      </c>
      <c r="K5281">
        <f t="shared" si="297"/>
        <v>0</v>
      </c>
      <c r="M5281" t="str" cm="1">
        <f t="array" ref="M5281">IFERROR(INDEX($I$2:$K$2,0,MATCH(TRUE,I5281:K5281,0)),E5281)</f>
        <v>Onshore</v>
      </c>
      <c r="O5281" t="str">
        <f t="shared" si="295"/>
        <v>Onshore_2029</v>
      </c>
      <c r="P5281">
        <f t="shared" si="296"/>
        <v>0.1</v>
      </c>
    </row>
    <row r="5282" spans="4:16" x14ac:dyDescent="0.25">
      <c r="D5282">
        <v>2030</v>
      </c>
      <c r="E5282" t="s">
        <v>132</v>
      </c>
      <c r="F5282" t="s">
        <v>550</v>
      </c>
      <c r="G5282">
        <v>0.1</v>
      </c>
      <c r="I5282" t="b">
        <f t="shared" si="297"/>
        <v>1</v>
      </c>
      <c r="J5282">
        <f t="shared" si="297"/>
        <v>0</v>
      </c>
      <c r="K5282">
        <f t="shared" si="297"/>
        <v>0</v>
      </c>
      <c r="M5282" t="str" cm="1">
        <f t="array" ref="M5282">IFERROR(INDEX($I$2:$K$2,0,MATCH(TRUE,I5282:K5282,0)),E5282)</f>
        <v>Onshore</v>
      </c>
      <c r="O5282" t="str">
        <f t="shared" si="295"/>
        <v>Onshore_2030</v>
      </c>
      <c r="P5282">
        <f t="shared" si="296"/>
        <v>0.1</v>
      </c>
    </row>
    <row r="5283" spans="4:16" x14ac:dyDescent="0.25">
      <c r="D5283">
        <v>2031</v>
      </c>
      <c r="E5283" t="s">
        <v>132</v>
      </c>
      <c r="F5283" t="s">
        <v>550</v>
      </c>
      <c r="G5283">
        <v>0.1</v>
      </c>
      <c r="I5283" t="b">
        <f t="shared" si="297"/>
        <v>1</v>
      </c>
      <c r="J5283">
        <f t="shared" si="297"/>
        <v>0</v>
      </c>
      <c r="K5283">
        <f t="shared" si="297"/>
        <v>0</v>
      </c>
      <c r="M5283" t="str" cm="1">
        <f t="array" ref="M5283">IFERROR(INDEX($I$2:$K$2,0,MATCH(TRUE,I5283:K5283,0)),E5283)</f>
        <v>Onshore</v>
      </c>
      <c r="O5283" t="str">
        <f t="shared" si="295"/>
        <v>Onshore_2031</v>
      </c>
      <c r="P5283">
        <f t="shared" si="296"/>
        <v>0.1</v>
      </c>
    </row>
    <row r="5284" spans="4:16" x14ac:dyDescent="0.25">
      <c r="D5284">
        <v>2032</v>
      </c>
      <c r="E5284" t="s">
        <v>132</v>
      </c>
      <c r="F5284" t="s">
        <v>550</v>
      </c>
      <c r="G5284">
        <v>0.1</v>
      </c>
      <c r="I5284" t="b">
        <f t="shared" si="297"/>
        <v>1</v>
      </c>
      <c r="J5284">
        <f t="shared" si="297"/>
        <v>0</v>
      </c>
      <c r="K5284">
        <f t="shared" si="297"/>
        <v>0</v>
      </c>
      <c r="M5284" t="str" cm="1">
        <f t="array" ref="M5284">IFERROR(INDEX($I$2:$K$2,0,MATCH(TRUE,I5284:K5284,0)),E5284)</f>
        <v>Onshore</v>
      </c>
      <c r="O5284" t="str">
        <f t="shared" si="295"/>
        <v>Onshore_2032</v>
      </c>
      <c r="P5284">
        <f t="shared" si="296"/>
        <v>0.1</v>
      </c>
    </row>
    <row r="5285" spans="4:16" x14ac:dyDescent="0.25">
      <c r="D5285">
        <v>2033</v>
      </c>
      <c r="E5285" t="s">
        <v>132</v>
      </c>
      <c r="F5285" t="s">
        <v>550</v>
      </c>
      <c r="G5285">
        <v>0.1</v>
      </c>
      <c r="I5285" t="b">
        <f t="shared" si="297"/>
        <v>1</v>
      </c>
      <c r="J5285">
        <f t="shared" si="297"/>
        <v>0</v>
      </c>
      <c r="K5285">
        <f t="shared" si="297"/>
        <v>0</v>
      </c>
      <c r="M5285" t="str" cm="1">
        <f t="array" ref="M5285">IFERROR(INDEX($I$2:$K$2,0,MATCH(TRUE,I5285:K5285,0)),E5285)</f>
        <v>Onshore</v>
      </c>
      <c r="O5285" t="str">
        <f t="shared" si="295"/>
        <v>Onshore_2033</v>
      </c>
      <c r="P5285">
        <f t="shared" si="296"/>
        <v>0.1</v>
      </c>
    </row>
    <row r="5286" spans="4:16" x14ac:dyDescent="0.25">
      <c r="D5286">
        <v>2034</v>
      </c>
      <c r="E5286" t="s">
        <v>132</v>
      </c>
      <c r="F5286" t="s">
        <v>550</v>
      </c>
      <c r="G5286">
        <v>0.1</v>
      </c>
      <c r="I5286" t="b">
        <f t="shared" si="297"/>
        <v>1</v>
      </c>
      <c r="J5286">
        <f t="shared" si="297"/>
        <v>0</v>
      </c>
      <c r="K5286">
        <f t="shared" si="297"/>
        <v>0</v>
      </c>
      <c r="M5286" t="str" cm="1">
        <f t="array" ref="M5286">IFERROR(INDEX($I$2:$K$2,0,MATCH(TRUE,I5286:K5286,0)),E5286)</f>
        <v>Onshore</v>
      </c>
      <c r="O5286" t="str">
        <f t="shared" si="295"/>
        <v>Onshore_2034</v>
      </c>
      <c r="P5286">
        <f t="shared" si="296"/>
        <v>0.1</v>
      </c>
    </row>
    <row r="5287" spans="4:16" x14ac:dyDescent="0.25">
      <c r="D5287">
        <v>2035</v>
      </c>
      <c r="E5287" t="s">
        <v>132</v>
      </c>
      <c r="F5287" t="s">
        <v>550</v>
      </c>
      <c r="G5287">
        <v>0.1</v>
      </c>
      <c r="I5287" t="b">
        <f t="shared" si="297"/>
        <v>1</v>
      </c>
      <c r="J5287">
        <f t="shared" si="297"/>
        <v>0</v>
      </c>
      <c r="K5287">
        <f t="shared" si="297"/>
        <v>0</v>
      </c>
      <c r="M5287" t="str" cm="1">
        <f t="array" ref="M5287">IFERROR(INDEX($I$2:$K$2,0,MATCH(TRUE,I5287:K5287,0)),E5287)</f>
        <v>Onshore</v>
      </c>
      <c r="O5287" t="str">
        <f t="shared" si="295"/>
        <v>Onshore_2035</v>
      </c>
      <c r="P5287">
        <f t="shared" si="296"/>
        <v>0.1</v>
      </c>
    </row>
    <row r="5288" spans="4:16" x14ac:dyDescent="0.25">
      <c r="D5288">
        <v>2036</v>
      </c>
      <c r="E5288" t="s">
        <v>132</v>
      </c>
      <c r="F5288" t="s">
        <v>550</v>
      </c>
      <c r="G5288">
        <v>0.1</v>
      </c>
      <c r="I5288" t="b">
        <f t="shared" si="297"/>
        <v>1</v>
      </c>
      <c r="J5288">
        <f t="shared" si="297"/>
        <v>0</v>
      </c>
      <c r="K5288">
        <f t="shared" si="297"/>
        <v>0</v>
      </c>
      <c r="M5288" t="str" cm="1">
        <f t="array" ref="M5288">IFERROR(INDEX($I$2:$K$2,0,MATCH(TRUE,I5288:K5288,0)),E5288)</f>
        <v>Onshore</v>
      </c>
      <c r="O5288" t="str">
        <f t="shared" si="295"/>
        <v>Onshore_2036</v>
      </c>
      <c r="P5288">
        <f t="shared" si="296"/>
        <v>0.1</v>
      </c>
    </row>
    <row r="5289" spans="4:16" x14ac:dyDescent="0.25">
      <c r="D5289">
        <v>2037</v>
      </c>
      <c r="E5289" t="s">
        <v>132</v>
      </c>
      <c r="F5289" t="s">
        <v>550</v>
      </c>
      <c r="G5289">
        <v>0.1</v>
      </c>
      <c r="I5289" t="b">
        <f t="shared" si="297"/>
        <v>1</v>
      </c>
      <c r="J5289">
        <f t="shared" si="297"/>
        <v>0</v>
      </c>
      <c r="K5289">
        <f t="shared" si="297"/>
        <v>0</v>
      </c>
      <c r="M5289" t="str" cm="1">
        <f t="array" ref="M5289">IFERROR(INDEX($I$2:$K$2,0,MATCH(TRUE,I5289:K5289,0)),E5289)</f>
        <v>Onshore</v>
      </c>
      <c r="O5289" t="str">
        <f t="shared" si="295"/>
        <v>Onshore_2037</v>
      </c>
      <c r="P5289">
        <f t="shared" si="296"/>
        <v>0.1</v>
      </c>
    </row>
    <row r="5290" spans="4:16" x14ac:dyDescent="0.25">
      <c r="D5290">
        <v>2038</v>
      </c>
      <c r="E5290" t="s">
        <v>132</v>
      </c>
      <c r="F5290" t="s">
        <v>550</v>
      </c>
      <c r="G5290">
        <v>0.1</v>
      </c>
      <c r="I5290" t="b">
        <f t="shared" si="297"/>
        <v>1</v>
      </c>
      <c r="J5290">
        <f t="shared" si="297"/>
        <v>0</v>
      </c>
      <c r="K5290">
        <f t="shared" si="297"/>
        <v>0</v>
      </c>
      <c r="M5290" t="str" cm="1">
        <f t="array" ref="M5290">IFERROR(INDEX($I$2:$K$2,0,MATCH(TRUE,I5290:K5290,0)),E5290)</f>
        <v>Onshore</v>
      </c>
      <c r="O5290" t="str">
        <f t="shared" si="295"/>
        <v>Onshore_2038</v>
      </c>
      <c r="P5290">
        <f t="shared" si="296"/>
        <v>0.1</v>
      </c>
    </row>
    <row r="5291" spans="4:16" x14ac:dyDescent="0.25">
      <c r="D5291">
        <v>2039</v>
      </c>
      <c r="E5291" t="s">
        <v>132</v>
      </c>
      <c r="F5291" t="s">
        <v>550</v>
      </c>
      <c r="G5291">
        <v>0.1</v>
      </c>
      <c r="I5291" t="b">
        <f t="shared" si="297"/>
        <v>1</v>
      </c>
      <c r="J5291">
        <f t="shared" si="297"/>
        <v>0</v>
      </c>
      <c r="K5291">
        <f t="shared" si="297"/>
        <v>0</v>
      </c>
      <c r="M5291" t="str" cm="1">
        <f t="array" ref="M5291">IFERROR(INDEX($I$2:$K$2,0,MATCH(TRUE,I5291:K5291,0)),E5291)</f>
        <v>Onshore</v>
      </c>
      <c r="O5291" t="str">
        <f t="shared" si="295"/>
        <v>Onshore_2039</v>
      </c>
      <c r="P5291">
        <f t="shared" si="296"/>
        <v>0.1</v>
      </c>
    </row>
    <row r="5292" spans="4:16" x14ac:dyDescent="0.25">
      <c r="D5292">
        <v>2040</v>
      </c>
      <c r="E5292" t="s">
        <v>132</v>
      </c>
      <c r="F5292" t="s">
        <v>550</v>
      </c>
      <c r="G5292">
        <v>0.1</v>
      </c>
      <c r="I5292" t="b">
        <f t="shared" si="297"/>
        <v>1</v>
      </c>
      <c r="J5292">
        <f t="shared" si="297"/>
        <v>0</v>
      </c>
      <c r="K5292">
        <f t="shared" si="297"/>
        <v>0</v>
      </c>
      <c r="M5292" t="str" cm="1">
        <f t="array" ref="M5292">IFERROR(INDEX($I$2:$K$2,0,MATCH(TRUE,I5292:K5292,0)),E5292)</f>
        <v>Onshore</v>
      </c>
      <c r="O5292" t="str">
        <f t="shared" si="295"/>
        <v>Onshore_2040</v>
      </c>
      <c r="P5292">
        <f t="shared" si="296"/>
        <v>0.1</v>
      </c>
    </row>
    <row r="5293" spans="4:16" x14ac:dyDescent="0.25">
      <c r="D5293">
        <v>2024</v>
      </c>
      <c r="E5293" t="s">
        <v>132</v>
      </c>
      <c r="F5293" t="s">
        <v>551</v>
      </c>
      <c r="G5293">
        <v>0</v>
      </c>
      <c r="I5293" t="b">
        <f t="shared" si="297"/>
        <v>1</v>
      </c>
      <c r="J5293">
        <f t="shared" si="297"/>
        <v>0</v>
      </c>
      <c r="K5293">
        <f t="shared" si="297"/>
        <v>0</v>
      </c>
      <c r="M5293" t="str" cm="1">
        <f t="array" ref="M5293">IFERROR(INDEX($I$2:$K$2,0,MATCH(TRUE,I5293:K5293,0)),E5293)</f>
        <v>Onshore</v>
      </c>
      <c r="O5293" t="str">
        <f t="shared" si="295"/>
        <v>Onshore_2024</v>
      </c>
      <c r="P5293">
        <f t="shared" si="296"/>
        <v>0</v>
      </c>
    </row>
    <row r="5294" spans="4:16" x14ac:dyDescent="0.25">
      <c r="D5294">
        <v>2025</v>
      </c>
      <c r="E5294" t="s">
        <v>132</v>
      </c>
      <c r="F5294" t="s">
        <v>551</v>
      </c>
      <c r="G5294">
        <v>0.1</v>
      </c>
      <c r="I5294" t="b">
        <f t="shared" si="297"/>
        <v>1</v>
      </c>
      <c r="J5294">
        <f t="shared" si="297"/>
        <v>0</v>
      </c>
      <c r="K5294">
        <f t="shared" si="297"/>
        <v>0</v>
      </c>
      <c r="M5294" t="str" cm="1">
        <f t="array" ref="M5294">IFERROR(INDEX($I$2:$K$2,0,MATCH(TRUE,I5294:K5294,0)),E5294)</f>
        <v>Onshore</v>
      </c>
      <c r="O5294" t="str">
        <f t="shared" si="295"/>
        <v>Onshore_2025</v>
      </c>
      <c r="P5294">
        <f t="shared" si="296"/>
        <v>0.1</v>
      </c>
    </row>
    <row r="5295" spans="4:16" x14ac:dyDescent="0.25">
      <c r="D5295">
        <v>2026</v>
      </c>
      <c r="E5295" t="s">
        <v>132</v>
      </c>
      <c r="F5295" t="s">
        <v>551</v>
      </c>
      <c r="G5295">
        <v>0.1</v>
      </c>
      <c r="I5295" t="b">
        <f t="shared" si="297"/>
        <v>1</v>
      </c>
      <c r="J5295">
        <f t="shared" si="297"/>
        <v>0</v>
      </c>
      <c r="K5295">
        <f t="shared" si="297"/>
        <v>0</v>
      </c>
      <c r="M5295" t="str" cm="1">
        <f t="array" ref="M5295">IFERROR(INDEX($I$2:$K$2,0,MATCH(TRUE,I5295:K5295,0)),E5295)</f>
        <v>Onshore</v>
      </c>
      <c r="O5295" t="str">
        <f t="shared" si="295"/>
        <v>Onshore_2026</v>
      </c>
      <c r="P5295">
        <f t="shared" si="296"/>
        <v>0.1</v>
      </c>
    </row>
    <row r="5296" spans="4:16" x14ac:dyDescent="0.25">
      <c r="D5296">
        <v>2027</v>
      </c>
      <c r="E5296" t="s">
        <v>132</v>
      </c>
      <c r="F5296" t="s">
        <v>551</v>
      </c>
      <c r="G5296">
        <v>0.1</v>
      </c>
      <c r="I5296" t="b">
        <f t="shared" si="297"/>
        <v>1</v>
      </c>
      <c r="J5296">
        <f t="shared" si="297"/>
        <v>0</v>
      </c>
      <c r="K5296">
        <f t="shared" si="297"/>
        <v>0</v>
      </c>
      <c r="M5296" t="str" cm="1">
        <f t="array" ref="M5296">IFERROR(INDEX($I$2:$K$2,0,MATCH(TRUE,I5296:K5296,0)),E5296)</f>
        <v>Onshore</v>
      </c>
      <c r="O5296" t="str">
        <f t="shared" si="295"/>
        <v>Onshore_2027</v>
      </c>
      <c r="P5296">
        <f t="shared" si="296"/>
        <v>0.1</v>
      </c>
    </row>
    <row r="5297" spans="4:16" x14ac:dyDescent="0.25">
      <c r="D5297">
        <v>2028</v>
      </c>
      <c r="E5297" t="s">
        <v>132</v>
      </c>
      <c r="F5297" t="s">
        <v>551</v>
      </c>
      <c r="G5297">
        <v>0.1</v>
      </c>
      <c r="I5297" t="b">
        <f t="shared" si="297"/>
        <v>1</v>
      </c>
      <c r="J5297">
        <f t="shared" si="297"/>
        <v>0</v>
      </c>
      <c r="K5297">
        <f t="shared" si="297"/>
        <v>0</v>
      </c>
      <c r="M5297" t="str" cm="1">
        <f t="array" ref="M5297">IFERROR(INDEX($I$2:$K$2,0,MATCH(TRUE,I5297:K5297,0)),E5297)</f>
        <v>Onshore</v>
      </c>
      <c r="O5297" t="str">
        <f t="shared" si="295"/>
        <v>Onshore_2028</v>
      </c>
      <c r="P5297">
        <f t="shared" si="296"/>
        <v>0.1</v>
      </c>
    </row>
    <row r="5298" spans="4:16" x14ac:dyDescent="0.25">
      <c r="D5298">
        <v>2029</v>
      </c>
      <c r="E5298" t="s">
        <v>132</v>
      </c>
      <c r="F5298" t="s">
        <v>551</v>
      </c>
      <c r="G5298">
        <v>0.1</v>
      </c>
      <c r="I5298" t="b">
        <f t="shared" si="297"/>
        <v>1</v>
      </c>
      <c r="J5298">
        <f t="shared" si="297"/>
        <v>0</v>
      </c>
      <c r="K5298">
        <f t="shared" si="297"/>
        <v>0</v>
      </c>
      <c r="M5298" t="str" cm="1">
        <f t="array" ref="M5298">IFERROR(INDEX($I$2:$K$2,0,MATCH(TRUE,I5298:K5298,0)),E5298)</f>
        <v>Onshore</v>
      </c>
      <c r="O5298" t="str">
        <f t="shared" si="295"/>
        <v>Onshore_2029</v>
      </c>
      <c r="P5298">
        <f t="shared" si="296"/>
        <v>0.1</v>
      </c>
    </row>
    <row r="5299" spans="4:16" x14ac:dyDescent="0.25">
      <c r="D5299">
        <v>2030</v>
      </c>
      <c r="E5299" t="s">
        <v>132</v>
      </c>
      <c r="F5299" t="s">
        <v>551</v>
      </c>
      <c r="G5299">
        <v>0.1</v>
      </c>
      <c r="I5299" t="b">
        <f t="shared" si="297"/>
        <v>1</v>
      </c>
      <c r="J5299">
        <f t="shared" si="297"/>
        <v>0</v>
      </c>
      <c r="K5299">
        <f t="shared" si="297"/>
        <v>0</v>
      </c>
      <c r="M5299" t="str" cm="1">
        <f t="array" ref="M5299">IFERROR(INDEX($I$2:$K$2,0,MATCH(TRUE,I5299:K5299,0)),E5299)</f>
        <v>Onshore</v>
      </c>
      <c r="O5299" t="str">
        <f t="shared" si="295"/>
        <v>Onshore_2030</v>
      </c>
      <c r="P5299">
        <f t="shared" si="296"/>
        <v>0.1</v>
      </c>
    </row>
    <row r="5300" spans="4:16" x14ac:dyDescent="0.25">
      <c r="D5300">
        <v>2031</v>
      </c>
      <c r="E5300" t="s">
        <v>132</v>
      </c>
      <c r="F5300" t="s">
        <v>551</v>
      </c>
      <c r="G5300">
        <v>0.1</v>
      </c>
      <c r="I5300" t="b">
        <f t="shared" si="297"/>
        <v>1</v>
      </c>
      <c r="J5300">
        <f t="shared" si="297"/>
        <v>0</v>
      </c>
      <c r="K5300">
        <f t="shared" si="297"/>
        <v>0</v>
      </c>
      <c r="M5300" t="str" cm="1">
        <f t="array" ref="M5300">IFERROR(INDEX($I$2:$K$2,0,MATCH(TRUE,I5300:K5300,0)),E5300)</f>
        <v>Onshore</v>
      </c>
      <c r="O5300" t="str">
        <f t="shared" si="295"/>
        <v>Onshore_2031</v>
      </c>
      <c r="P5300">
        <f t="shared" si="296"/>
        <v>0.1</v>
      </c>
    </row>
    <row r="5301" spans="4:16" x14ac:dyDescent="0.25">
      <c r="D5301">
        <v>2032</v>
      </c>
      <c r="E5301" t="s">
        <v>132</v>
      </c>
      <c r="F5301" t="s">
        <v>551</v>
      </c>
      <c r="G5301">
        <v>0.1</v>
      </c>
      <c r="I5301" t="b">
        <f t="shared" si="297"/>
        <v>1</v>
      </c>
      <c r="J5301">
        <f t="shared" si="297"/>
        <v>0</v>
      </c>
      <c r="K5301">
        <f t="shared" si="297"/>
        <v>0</v>
      </c>
      <c r="M5301" t="str" cm="1">
        <f t="array" ref="M5301">IFERROR(INDEX($I$2:$K$2,0,MATCH(TRUE,I5301:K5301,0)),E5301)</f>
        <v>Onshore</v>
      </c>
      <c r="O5301" t="str">
        <f t="shared" si="295"/>
        <v>Onshore_2032</v>
      </c>
      <c r="P5301">
        <f t="shared" si="296"/>
        <v>0.1</v>
      </c>
    </row>
    <row r="5302" spans="4:16" x14ac:dyDescent="0.25">
      <c r="D5302">
        <v>2033</v>
      </c>
      <c r="E5302" t="s">
        <v>132</v>
      </c>
      <c r="F5302" t="s">
        <v>551</v>
      </c>
      <c r="G5302">
        <v>0.1</v>
      </c>
      <c r="I5302" t="b">
        <f t="shared" si="297"/>
        <v>1</v>
      </c>
      <c r="J5302">
        <f t="shared" si="297"/>
        <v>0</v>
      </c>
      <c r="K5302">
        <f t="shared" si="297"/>
        <v>0</v>
      </c>
      <c r="M5302" t="str" cm="1">
        <f t="array" ref="M5302">IFERROR(INDEX($I$2:$K$2,0,MATCH(TRUE,I5302:K5302,0)),E5302)</f>
        <v>Onshore</v>
      </c>
      <c r="O5302" t="str">
        <f t="shared" si="295"/>
        <v>Onshore_2033</v>
      </c>
      <c r="P5302">
        <f t="shared" si="296"/>
        <v>0.1</v>
      </c>
    </row>
    <row r="5303" spans="4:16" x14ac:dyDescent="0.25">
      <c r="D5303">
        <v>2034</v>
      </c>
      <c r="E5303" t="s">
        <v>132</v>
      </c>
      <c r="F5303" t="s">
        <v>551</v>
      </c>
      <c r="G5303">
        <v>0.1</v>
      </c>
      <c r="I5303" t="b">
        <f t="shared" si="297"/>
        <v>1</v>
      </c>
      <c r="J5303">
        <f t="shared" si="297"/>
        <v>0</v>
      </c>
      <c r="K5303">
        <f t="shared" si="297"/>
        <v>0</v>
      </c>
      <c r="M5303" t="str" cm="1">
        <f t="array" ref="M5303">IFERROR(INDEX($I$2:$K$2,0,MATCH(TRUE,I5303:K5303,0)),E5303)</f>
        <v>Onshore</v>
      </c>
      <c r="O5303" t="str">
        <f t="shared" si="295"/>
        <v>Onshore_2034</v>
      </c>
      <c r="P5303">
        <f t="shared" si="296"/>
        <v>0.1</v>
      </c>
    </row>
    <row r="5304" spans="4:16" x14ac:dyDescent="0.25">
      <c r="D5304">
        <v>2035</v>
      </c>
      <c r="E5304" t="s">
        <v>132</v>
      </c>
      <c r="F5304" t="s">
        <v>551</v>
      </c>
      <c r="G5304">
        <v>0.1</v>
      </c>
      <c r="I5304" t="b">
        <f t="shared" si="297"/>
        <v>1</v>
      </c>
      <c r="J5304">
        <f t="shared" si="297"/>
        <v>0</v>
      </c>
      <c r="K5304">
        <f t="shared" si="297"/>
        <v>0</v>
      </c>
      <c r="M5304" t="str" cm="1">
        <f t="array" ref="M5304">IFERROR(INDEX($I$2:$K$2,0,MATCH(TRUE,I5304:K5304,0)),E5304)</f>
        <v>Onshore</v>
      </c>
      <c r="O5304" t="str">
        <f t="shared" si="295"/>
        <v>Onshore_2035</v>
      </c>
      <c r="P5304">
        <f t="shared" si="296"/>
        <v>0.1</v>
      </c>
    </row>
    <row r="5305" spans="4:16" x14ac:dyDescent="0.25">
      <c r="D5305">
        <v>2036</v>
      </c>
      <c r="E5305" t="s">
        <v>132</v>
      </c>
      <c r="F5305" t="s">
        <v>551</v>
      </c>
      <c r="G5305">
        <v>0.1</v>
      </c>
      <c r="I5305" t="b">
        <f t="shared" si="297"/>
        <v>1</v>
      </c>
      <c r="J5305">
        <f t="shared" si="297"/>
        <v>0</v>
      </c>
      <c r="K5305">
        <f t="shared" si="297"/>
        <v>0</v>
      </c>
      <c r="M5305" t="str" cm="1">
        <f t="array" ref="M5305">IFERROR(INDEX($I$2:$K$2,0,MATCH(TRUE,I5305:K5305,0)),E5305)</f>
        <v>Onshore</v>
      </c>
      <c r="O5305" t="str">
        <f t="shared" si="295"/>
        <v>Onshore_2036</v>
      </c>
      <c r="P5305">
        <f t="shared" si="296"/>
        <v>0.1</v>
      </c>
    </row>
    <row r="5306" spans="4:16" x14ac:dyDescent="0.25">
      <c r="D5306">
        <v>2037</v>
      </c>
      <c r="E5306" t="s">
        <v>132</v>
      </c>
      <c r="F5306" t="s">
        <v>551</v>
      </c>
      <c r="G5306">
        <v>0.1</v>
      </c>
      <c r="I5306" t="b">
        <f t="shared" si="297"/>
        <v>1</v>
      </c>
      <c r="J5306">
        <f t="shared" si="297"/>
        <v>0</v>
      </c>
      <c r="K5306">
        <f t="shared" si="297"/>
        <v>0</v>
      </c>
      <c r="M5306" t="str" cm="1">
        <f t="array" ref="M5306">IFERROR(INDEX($I$2:$K$2,0,MATCH(TRUE,I5306:K5306,0)),E5306)</f>
        <v>Onshore</v>
      </c>
      <c r="O5306" t="str">
        <f t="shared" si="295"/>
        <v>Onshore_2037</v>
      </c>
      <c r="P5306">
        <f t="shared" si="296"/>
        <v>0.1</v>
      </c>
    </row>
    <row r="5307" spans="4:16" x14ac:dyDescent="0.25">
      <c r="D5307">
        <v>2038</v>
      </c>
      <c r="E5307" t="s">
        <v>132</v>
      </c>
      <c r="F5307" t="s">
        <v>551</v>
      </c>
      <c r="G5307">
        <v>0.1</v>
      </c>
      <c r="I5307" t="b">
        <f t="shared" si="297"/>
        <v>1</v>
      </c>
      <c r="J5307">
        <f t="shared" si="297"/>
        <v>0</v>
      </c>
      <c r="K5307">
        <f t="shared" si="297"/>
        <v>0</v>
      </c>
      <c r="M5307" t="str" cm="1">
        <f t="array" ref="M5307">IFERROR(INDEX($I$2:$K$2,0,MATCH(TRUE,I5307:K5307,0)),E5307)</f>
        <v>Onshore</v>
      </c>
      <c r="O5307" t="str">
        <f t="shared" si="295"/>
        <v>Onshore_2038</v>
      </c>
      <c r="P5307">
        <f t="shared" si="296"/>
        <v>0.1</v>
      </c>
    </row>
    <row r="5308" spans="4:16" x14ac:dyDescent="0.25">
      <c r="D5308">
        <v>2039</v>
      </c>
      <c r="E5308" t="s">
        <v>132</v>
      </c>
      <c r="F5308" t="s">
        <v>551</v>
      </c>
      <c r="G5308">
        <v>0.1</v>
      </c>
      <c r="I5308" t="b">
        <f t="shared" si="297"/>
        <v>1</v>
      </c>
      <c r="J5308">
        <f t="shared" si="297"/>
        <v>0</v>
      </c>
      <c r="K5308">
        <f t="shared" si="297"/>
        <v>0</v>
      </c>
      <c r="M5308" t="str" cm="1">
        <f t="array" ref="M5308">IFERROR(INDEX($I$2:$K$2,0,MATCH(TRUE,I5308:K5308,0)),E5308)</f>
        <v>Onshore</v>
      </c>
      <c r="O5308" t="str">
        <f t="shared" si="295"/>
        <v>Onshore_2039</v>
      </c>
      <c r="P5308">
        <f t="shared" si="296"/>
        <v>0.1</v>
      </c>
    </row>
    <row r="5309" spans="4:16" x14ac:dyDescent="0.25">
      <c r="D5309">
        <v>2040</v>
      </c>
      <c r="E5309" t="s">
        <v>132</v>
      </c>
      <c r="F5309" t="s">
        <v>551</v>
      </c>
      <c r="G5309">
        <v>0.1</v>
      </c>
      <c r="I5309" t="b">
        <f t="shared" si="297"/>
        <v>1</v>
      </c>
      <c r="J5309">
        <f t="shared" si="297"/>
        <v>0</v>
      </c>
      <c r="K5309">
        <f t="shared" si="297"/>
        <v>0</v>
      </c>
      <c r="M5309" t="str" cm="1">
        <f t="array" ref="M5309">IFERROR(INDEX($I$2:$K$2,0,MATCH(TRUE,I5309:K5309,0)),E5309)</f>
        <v>Onshore</v>
      </c>
      <c r="O5309" t="str">
        <f t="shared" si="295"/>
        <v>Onshore_2040</v>
      </c>
      <c r="P5309">
        <f t="shared" si="296"/>
        <v>0.1</v>
      </c>
    </row>
    <row r="5310" spans="4:16" x14ac:dyDescent="0.25">
      <c r="D5310">
        <v>2024</v>
      </c>
      <c r="E5310" t="s">
        <v>132</v>
      </c>
      <c r="F5310" t="s">
        <v>552</v>
      </c>
      <c r="G5310">
        <v>0</v>
      </c>
      <c r="I5310" t="b">
        <f t="shared" si="297"/>
        <v>1</v>
      </c>
      <c r="J5310">
        <f t="shared" si="297"/>
        <v>0</v>
      </c>
      <c r="K5310">
        <f t="shared" si="297"/>
        <v>0</v>
      </c>
      <c r="M5310" t="str" cm="1">
        <f t="array" ref="M5310">IFERROR(INDEX($I$2:$K$2,0,MATCH(TRUE,I5310:K5310,0)),E5310)</f>
        <v>Onshore</v>
      </c>
      <c r="O5310" t="str">
        <f t="shared" si="295"/>
        <v>Onshore_2024</v>
      </c>
      <c r="P5310">
        <f t="shared" si="296"/>
        <v>0</v>
      </c>
    </row>
    <row r="5311" spans="4:16" x14ac:dyDescent="0.25">
      <c r="D5311">
        <v>2025</v>
      </c>
      <c r="E5311" t="s">
        <v>132</v>
      </c>
      <c r="F5311" t="s">
        <v>552</v>
      </c>
      <c r="G5311">
        <v>0.1</v>
      </c>
      <c r="I5311" t="b">
        <f t="shared" si="297"/>
        <v>1</v>
      </c>
      <c r="J5311">
        <f t="shared" si="297"/>
        <v>0</v>
      </c>
      <c r="K5311">
        <f t="shared" si="297"/>
        <v>0</v>
      </c>
      <c r="M5311" t="str" cm="1">
        <f t="array" ref="M5311">IFERROR(INDEX($I$2:$K$2,0,MATCH(TRUE,I5311:K5311,0)),E5311)</f>
        <v>Onshore</v>
      </c>
      <c r="O5311" t="str">
        <f t="shared" si="295"/>
        <v>Onshore_2025</v>
      </c>
      <c r="P5311">
        <f t="shared" si="296"/>
        <v>0.1</v>
      </c>
    </row>
    <row r="5312" spans="4:16" x14ac:dyDescent="0.25">
      <c r="D5312">
        <v>2026</v>
      </c>
      <c r="E5312" t="s">
        <v>132</v>
      </c>
      <c r="F5312" t="s">
        <v>552</v>
      </c>
      <c r="G5312">
        <v>0.1</v>
      </c>
      <c r="I5312" t="b">
        <f t="shared" si="297"/>
        <v>1</v>
      </c>
      <c r="J5312">
        <f t="shared" si="297"/>
        <v>0</v>
      </c>
      <c r="K5312">
        <f t="shared" si="297"/>
        <v>0</v>
      </c>
      <c r="M5312" t="str" cm="1">
        <f t="array" ref="M5312">IFERROR(INDEX($I$2:$K$2,0,MATCH(TRUE,I5312:K5312,0)),E5312)</f>
        <v>Onshore</v>
      </c>
      <c r="O5312" t="str">
        <f t="shared" si="295"/>
        <v>Onshore_2026</v>
      </c>
      <c r="P5312">
        <f t="shared" si="296"/>
        <v>0.1</v>
      </c>
    </row>
    <row r="5313" spans="4:16" x14ac:dyDescent="0.25">
      <c r="D5313">
        <v>2027</v>
      </c>
      <c r="E5313" t="s">
        <v>132</v>
      </c>
      <c r="F5313" t="s">
        <v>552</v>
      </c>
      <c r="G5313">
        <v>0.1</v>
      </c>
      <c r="I5313" t="b">
        <f t="shared" si="297"/>
        <v>1</v>
      </c>
      <c r="J5313">
        <f t="shared" si="297"/>
        <v>0</v>
      </c>
      <c r="K5313">
        <f t="shared" si="297"/>
        <v>0</v>
      </c>
      <c r="M5313" t="str" cm="1">
        <f t="array" ref="M5313">IFERROR(INDEX($I$2:$K$2,0,MATCH(TRUE,I5313:K5313,0)),E5313)</f>
        <v>Onshore</v>
      </c>
      <c r="O5313" t="str">
        <f t="shared" si="295"/>
        <v>Onshore_2027</v>
      </c>
      <c r="P5313">
        <f t="shared" si="296"/>
        <v>0.1</v>
      </c>
    </row>
    <row r="5314" spans="4:16" x14ac:dyDescent="0.25">
      <c r="D5314">
        <v>2028</v>
      </c>
      <c r="E5314" t="s">
        <v>132</v>
      </c>
      <c r="F5314" t="s">
        <v>552</v>
      </c>
      <c r="G5314">
        <v>0.1</v>
      </c>
      <c r="I5314" t="b">
        <f t="shared" si="297"/>
        <v>1</v>
      </c>
      <c r="J5314">
        <f t="shared" si="297"/>
        <v>0</v>
      </c>
      <c r="K5314">
        <f t="shared" si="297"/>
        <v>0</v>
      </c>
      <c r="M5314" t="str" cm="1">
        <f t="array" ref="M5314">IFERROR(INDEX($I$2:$K$2,0,MATCH(TRUE,I5314:K5314,0)),E5314)</f>
        <v>Onshore</v>
      </c>
      <c r="O5314" t="str">
        <f t="shared" si="295"/>
        <v>Onshore_2028</v>
      </c>
      <c r="P5314">
        <f t="shared" si="296"/>
        <v>0.1</v>
      </c>
    </row>
    <row r="5315" spans="4:16" x14ac:dyDescent="0.25">
      <c r="D5315">
        <v>2029</v>
      </c>
      <c r="E5315" t="s">
        <v>132</v>
      </c>
      <c r="F5315" t="s">
        <v>552</v>
      </c>
      <c r="G5315">
        <v>0.1</v>
      </c>
      <c r="I5315" t="b">
        <f t="shared" si="297"/>
        <v>1</v>
      </c>
      <c r="J5315">
        <f t="shared" si="297"/>
        <v>0</v>
      </c>
      <c r="K5315">
        <f t="shared" si="297"/>
        <v>0</v>
      </c>
      <c r="M5315" t="str" cm="1">
        <f t="array" ref="M5315">IFERROR(INDEX($I$2:$K$2,0,MATCH(TRUE,I5315:K5315,0)),E5315)</f>
        <v>Onshore</v>
      </c>
      <c r="O5315" t="str">
        <f t="shared" si="295"/>
        <v>Onshore_2029</v>
      </c>
      <c r="P5315">
        <f t="shared" si="296"/>
        <v>0.1</v>
      </c>
    </row>
    <row r="5316" spans="4:16" x14ac:dyDescent="0.25">
      <c r="D5316">
        <v>2030</v>
      </c>
      <c r="E5316" t="s">
        <v>132</v>
      </c>
      <c r="F5316" t="s">
        <v>552</v>
      </c>
      <c r="G5316">
        <v>0.1</v>
      </c>
      <c r="I5316" t="b">
        <f t="shared" si="297"/>
        <v>1</v>
      </c>
      <c r="J5316">
        <f t="shared" si="297"/>
        <v>0</v>
      </c>
      <c r="K5316">
        <f t="shared" si="297"/>
        <v>0</v>
      </c>
      <c r="M5316" t="str" cm="1">
        <f t="array" ref="M5316">IFERROR(INDEX($I$2:$K$2,0,MATCH(TRUE,I5316:K5316,0)),E5316)</f>
        <v>Onshore</v>
      </c>
      <c r="O5316" t="str">
        <f t="shared" si="295"/>
        <v>Onshore_2030</v>
      </c>
      <c r="P5316">
        <f t="shared" si="296"/>
        <v>0.1</v>
      </c>
    </row>
    <row r="5317" spans="4:16" x14ac:dyDescent="0.25">
      <c r="D5317">
        <v>2031</v>
      </c>
      <c r="E5317" t="s">
        <v>132</v>
      </c>
      <c r="F5317" t="s">
        <v>552</v>
      </c>
      <c r="G5317">
        <v>0.1</v>
      </c>
      <c r="I5317" t="b">
        <f t="shared" si="297"/>
        <v>1</v>
      </c>
      <c r="J5317">
        <f t="shared" si="297"/>
        <v>0</v>
      </c>
      <c r="K5317">
        <f t="shared" si="297"/>
        <v>0</v>
      </c>
      <c r="M5317" t="str" cm="1">
        <f t="array" ref="M5317">IFERROR(INDEX($I$2:$K$2,0,MATCH(TRUE,I5317:K5317,0)),E5317)</f>
        <v>Onshore</v>
      </c>
      <c r="O5317" t="str">
        <f t="shared" si="295"/>
        <v>Onshore_2031</v>
      </c>
      <c r="P5317">
        <f t="shared" si="296"/>
        <v>0.1</v>
      </c>
    </row>
    <row r="5318" spans="4:16" x14ac:dyDescent="0.25">
      <c r="D5318">
        <v>2032</v>
      </c>
      <c r="E5318" t="s">
        <v>132</v>
      </c>
      <c r="F5318" t="s">
        <v>552</v>
      </c>
      <c r="G5318">
        <v>0.1</v>
      </c>
      <c r="I5318" t="b">
        <f t="shared" si="297"/>
        <v>1</v>
      </c>
      <c r="J5318">
        <f t="shared" si="297"/>
        <v>0</v>
      </c>
      <c r="K5318">
        <f t="shared" si="297"/>
        <v>0</v>
      </c>
      <c r="M5318" t="str" cm="1">
        <f t="array" ref="M5318">IFERROR(INDEX($I$2:$K$2,0,MATCH(TRUE,I5318:K5318,0)),E5318)</f>
        <v>Onshore</v>
      </c>
      <c r="O5318" t="str">
        <f t="shared" si="295"/>
        <v>Onshore_2032</v>
      </c>
      <c r="P5318">
        <f t="shared" si="296"/>
        <v>0.1</v>
      </c>
    </row>
    <row r="5319" spans="4:16" x14ac:dyDescent="0.25">
      <c r="D5319">
        <v>2033</v>
      </c>
      <c r="E5319" t="s">
        <v>132</v>
      </c>
      <c r="F5319" t="s">
        <v>552</v>
      </c>
      <c r="G5319">
        <v>0.1</v>
      </c>
      <c r="I5319" t="b">
        <f t="shared" si="297"/>
        <v>1</v>
      </c>
      <c r="J5319">
        <f t="shared" si="297"/>
        <v>0</v>
      </c>
      <c r="K5319">
        <f t="shared" si="297"/>
        <v>0</v>
      </c>
      <c r="M5319" t="str" cm="1">
        <f t="array" ref="M5319">IFERROR(INDEX($I$2:$K$2,0,MATCH(TRUE,I5319:K5319,0)),E5319)</f>
        <v>Onshore</v>
      </c>
      <c r="O5319" t="str">
        <f t="shared" si="295"/>
        <v>Onshore_2033</v>
      </c>
      <c r="P5319">
        <f t="shared" si="296"/>
        <v>0.1</v>
      </c>
    </row>
    <row r="5320" spans="4:16" x14ac:dyDescent="0.25">
      <c r="D5320">
        <v>2034</v>
      </c>
      <c r="E5320" t="s">
        <v>132</v>
      </c>
      <c r="F5320" t="s">
        <v>552</v>
      </c>
      <c r="G5320">
        <v>0.1</v>
      </c>
      <c r="I5320" t="b">
        <f t="shared" si="297"/>
        <v>1</v>
      </c>
      <c r="J5320">
        <f t="shared" si="297"/>
        <v>0</v>
      </c>
      <c r="K5320">
        <f t="shared" si="297"/>
        <v>0</v>
      </c>
      <c r="M5320" t="str" cm="1">
        <f t="array" ref="M5320">IFERROR(INDEX($I$2:$K$2,0,MATCH(TRUE,I5320:K5320,0)),E5320)</f>
        <v>Onshore</v>
      </c>
      <c r="O5320" t="str">
        <f t="shared" si="295"/>
        <v>Onshore_2034</v>
      </c>
      <c r="P5320">
        <f t="shared" si="296"/>
        <v>0.1</v>
      </c>
    </row>
    <row r="5321" spans="4:16" x14ac:dyDescent="0.25">
      <c r="D5321">
        <v>2035</v>
      </c>
      <c r="E5321" t="s">
        <v>132</v>
      </c>
      <c r="F5321" t="s">
        <v>552</v>
      </c>
      <c r="G5321">
        <v>0.1</v>
      </c>
      <c r="I5321" t="b">
        <f t="shared" si="297"/>
        <v>1</v>
      </c>
      <c r="J5321">
        <f t="shared" si="297"/>
        <v>0</v>
      </c>
      <c r="K5321">
        <f t="shared" si="297"/>
        <v>0</v>
      </c>
      <c r="M5321" t="str" cm="1">
        <f t="array" ref="M5321">IFERROR(INDEX($I$2:$K$2,0,MATCH(TRUE,I5321:K5321,0)),E5321)</f>
        <v>Onshore</v>
      </c>
      <c r="O5321" t="str">
        <f t="shared" si="295"/>
        <v>Onshore_2035</v>
      </c>
      <c r="P5321">
        <f t="shared" si="296"/>
        <v>0.1</v>
      </c>
    </row>
    <row r="5322" spans="4:16" x14ac:dyDescent="0.25">
      <c r="D5322">
        <v>2036</v>
      </c>
      <c r="E5322" t="s">
        <v>132</v>
      </c>
      <c r="F5322" t="s">
        <v>552</v>
      </c>
      <c r="G5322">
        <v>0.1</v>
      </c>
      <c r="I5322" t="b">
        <f t="shared" si="297"/>
        <v>1</v>
      </c>
      <c r="J5322">
        <f t="shared" si="297"/>
        <v>0</v>
      </c>
      <c r="K5322">
        <f t="shared" si="297"/>
        <v>0</v>
      </c>
      <c r="M5322" t="str" cm="1">
        <f t="array" ref="M5322">IFERROR(INDEX($I$2:$K$2,0,MATCH(TRUE,I5322:K5322,0)),E5322)</f>
        <v>Onshore</v>
      </c>
      <c r="O5322" t="str">
        <f t="shared" si="295"/>
        <v>Onshore_2036</v>
      </c>
      <c r="P5322">
        <f t="shared" si="296"/>
        <v>0.1</v>
      </c>
    </row>
    <row r="5323" spans="4:16" x14ac:dyDescent="0.25">
      <c r="D5323">
        <v>2037</v>
      </c>
      <c r="E5323" t="s">
        <v>132</v>
      </c>
      <c r="F5323" t="s">
        <v>552</v>
      </c>
      <c r="G5323">
        <v>0.1</v>
      </c>
      <c r="I5323" t="b">
        <f t="shared" si="297"/>
        <v>1</v>
      </c>
      <c r="J5323">
        <f t="shared" si="297"/>
        <v>0</v>
      </c>
      <c r="K5323">
        <f t="shared" si="297"/>
        <v>0</v>
      </c>
      <c r="M5323" t="str" cm="1">
        <f t="array" ref="M5323">IFERROR(INDEX($I$2:$K$2,0,MATCH(TRUE,I5323:K5323,0)),E5323)</f>
        <v>Onshore</v>
      </c>
      <c r="O5323" t="str">
        <f t="shared" si="295"/>
        <v>Onshore_2037</v>
      </c>
      <c r="P5323">
        <f t="shared" si="296"/>
        <v>0.1</v>
      </c>
    </row>
    <row r="5324" spans="4:16" x14ac:dyDescent="0.25">
      <c r="D5324">
        <v>2038</v>
      </c>
      <c r="E5324" t="s">
        <v>132</v>
      </c>
      <c r="F5324" t="s">
        <v>552</v>
      </c>
      <c r="G5324">
        <v>0.1</v>
      </c>
      <c r="I5324" t="b">
        <f t="shared" si="297"/>
        <v>1</v>
      </c>
      <c r="J5324">
        <f t="shared" si="297"/>
        <v>0</v>
      </c>
      <c r="K5324">
        <f t="shared" si="297"/>
        <v>0</v>
      </c>
      <c r="M5324" t="str" cm="1">
        <f t="array" ref="M5324">IFERROR(INDEX($I$2:$K$2,0,MATCH(TRUE,I5324:K5324,0)),E5324)</f>
        <v>Onshore</v>
      </c>
      <c r="O5324" t="str">
        <f t="shared" si="295"/>
        <v>Onshore_2038</v>
      </c>
      <c r="P5324">
        <f t="shared" si="296"/>
        <v>0.1</v>
      </c>
    </row>
    <row r="5325" spans="4:16" x14ac:dyDescent="0.25">
      <c r="D5325">
        <v>2039</v>
      </c>
      <c r="E5325" t="s">
        <v>132</v>
      </c>
      <c r="F5325" t="s">
        <v>552</v>
      </c>
      <c r="G5325">
        <v>0.1</v>
      </c>
      <c r="I5325" t="b">
        <f t="shared" si="297"/>
        <v>1</v>
      </c>
      <c r="J5325">
        <f t="shared" si="297"/>
        <v>0</v>
      </c>
      <c r="K5325">
        <f t="shared" si="297"/>
        <v>0</v>
      </c>
      <c r="M5325" t="str" cm="1">
        <f t="array" ref="M5325">IFERROR(INDEX($I$2:$K$2,0,MATCH(TRUE,I5325:K5325,0)),E5325)</f>
        <v>Onshore</v>
      </c>
      <c r="O5325" t="str">
        <f t="shared" si="295"/>
        <v>Onshore_2039</v>
      </c>
      <c r="P5325">
        <f t="shared" si="296"/>
        <v>0.1</v>
      </c>
    </row>
    <row r="5326" spans="4:16" x14ac:dyDescent="0.25">
      <c r="D5326">
        <v>2040</v>
      </c>
      <c r="E5326" t="s">
        <v>132</v>
      </c>
      <c r="F5326" t="s">
        <v>552</v>
      </c>
      <c r="G5326">
        <v>0.1</v>
      </c>
      <c r="I5326" t="b">
        <f t="shared" si="297"/>
        <v>1</v>
      </c>
      <c r="J5326">
        <f t="shared" si="297"/>
        <v>0</v>
      </c>
      <c r="K5326">
        <f t="shared" si="297"/>
        <v>0</v>
      </c>
      <c r="M5326" t="str" cm="1">
        <f t="array" ref="M5326">IFERROR(INDEX($I$2:$K$2,0,MATCH(TRUE,I5326:K5326,0)),E5326)</f>
        <v>Onshore</v>
      </c>
      <c r="O5326" t="str">
        <f t="shared" si="295"/>
        <v>Onshore_2040</v>
      </c>
      <c r="P5326">
        <f t="shared" si="296"/>
        <v>0.1</v>
      </c>
    </row>
    <row r="5327" spans="4:16" x14ac:dyDescent="0.25">
      <c r="D5327">
        <v>2021</v>
      </c>
      <c r="E5327" t="s">
        <v>133</v>
      </c>
      <c r="F5327" t="s">
        <v>553</v>
      </c>
      <c r="G5327">
        <v>682.33354347</v>
      </c>
      <c r="I5327" t="b">
        <f t="shared" si="297"/>
        <v>1</v>
      </c>
      <c r="J5327">
        <f t="shared" si="297"/>
        <v>0</v>
      </c>
      <c r="K5327">
        <f t="shared" si="297"/>
        <v>0</v>
      </c>
      <c r="M5327" t="str" cm="1">
        <f t="array" ref="M5327">IFERROR(INDEX($I$2:$K$2,0,MATCH(TRUE,I5327:K5327,0)),E5327)</f>
        <v>Onshore</v>
      </c>
      <c r="O5327" t="str">
        <f t="shared" si="295"/>
        <v>Onshore_2021</v>
      </c>
      <c r="P5327">
        <f t="shared" si="296"/>
        <v>682.33354347</v>
      </c>
    </row>
    <row r="5328" spans="4:16" x14ac:dyDescent="0.25">
      <c r="D5328">
        <v>2022</v>
      </c>
      <c r="E5328" t="s">
        <v>133</v>
      </c>
      <c r="F5328" t="s">
        <v>553</v>
      </c>
      <c r="G5328">
        <v>1103.80675066</v>
      </c>
      <c r="I5328" t="b">
        <f t="shared" si="297"/>
        <v>1</v>
      </c>
      <c r="J5328">
        <f t="shared" si="297"/>
        <v>0</v>
      </c>
      <c r="K5328">
        <f t="shared" si="297"/>
        <v>0</v>
      </c>
      <c r="M5328" t="str" cm="1">
        <f t="array" ref="M5328">IFERROR(INDEX($I$2:$K$2,0,MATCH(TRUE,I5328:K5328,0)),E5328)</f>
        <v>Onshore</v>
      </c>
      <c r="O5328" t="str">
        <f t="shared" si="295"/>
        <v>Onshore_2022</v>
      </c>
      <c r="P5328">
        <f t="shared" si="296"/>
        <v>1103.80675066</v>
      </c>
    </row>
    <row r="5329" spans="4:16" x14ac:dyDescent="0.25">
      <c r="D5329">
        <v>2023</v>
      </c>
      <c r="E5329" t="s">
        <v>133</v>
      </c>
      <c r="F5329" t="s">
        <v>553</v>
      </c>
      <c r="G5329">
        <v>1511.8305280100001</v>
      </c>
      <c r="I5329" t="b">
        <f t="shared" si="297"/>
        <v>1</v>
      </c>
      <c r="J5329">
        <f t="shared" si="297"/>
        <v>0</v>
      </c>
      <c r="K5329">
        <f t="shared" si="297"/>
        <v>0</v>
      </c>
      <c r="M5329" t="str" cm="1">
        <f t="array" ref="M5329">IFERROR(INDEX($I$2:$K$2,0,MATCH(TRUE,I5329:K5329,0)),E5329)</f>
        <v>Onshore</v>
      </c>
      <c r="O5329" t="str">
        <f t="shared" si="295"/>
        <v>Onshore_2023</v>
      </c>
      <c r="P5329">
        <f t="shared" si="296"/>
        <v>1511.8305280100001</v>
      </c>
    </row>
    <row r="5330" spans="4:16" x14ac:dyDescent="0.25">
      <c r="D5330">
        <v>2024</v>
      </c>
      <c r="E5330" t="s">
        <v>133</v>
      </c>
      <c r="F5330" t="s">
        <v>553</v>
      </c>
      <c r="G5330">
        <v>1933.7812968000001</v>
      </c>
      <c r="I5330" t="b">
        <f t="shared" si="297"/>
        <v>1</v>
      </c>
      <c r="J5330">
        <f t="shared" si="297"/>
        <v>0</v>
      </c>
      <c r="K5330">
        <f t="shared" si="297"/>
        <v>0</v>
      </c>
      <c r="M5330" t="str" cm="1">
        <f t="array" ref="M5330">IFERROR(INDEX($I$2:$K$2,0,MATCH(TRUE,I5330:K5330,0)),E5330)</f>
        <v>Onshore</v>
      </c>
      <c r="O5330" t="str">
        <f t="shared" si="295"/>
        <v>Onshore_2024</v>
      </c>
      <c r="P5330">
        <f t="shared" si="296"/>
        <v>1933.7812968000001</v>
      </c>
    </row>
    <row r="5331" spans="4:16" x14ac:dyDescent="0.25">
      <c r="D5331">
        <v>2025</v>
      </c>
      <c r="E5331" t="s">
        <v>133</v>
      </c>
      <c r="F5331" t="s">
        <v>553</v>
      </c>
      <c r="G5331">
        <v>2278.0271267399999</v>
      </c>
      <c r="I5331" t="b">
        <f t="shared" si="297"/>
        <v>1</v>
      </c>
      <c r="J5331">
        <f t="shared" si="297"/>
        <v>0</v>
      </c>
      <c r="K5331">
        <f t="shared" si="297"/>
        <v>0</v>
      </c>
      <c r="M5331" t="str" cm="1">
        <f t="array" ref="M5331">IFERROR(INDEX($I$2:$K$2,0,MATCH(TRUE,I5331:K5331,0)),E5331)</f>
        <v>Onshore</v>
      </c>
      <c r="O5331" t="str">
        <f t="shared" ref="O5331:O5394" si="298">M5331&amp;"_"&amp;D5331</f>
        <v>Onshore_2025</v>
      </c>
      <c r="P5331">
        <f t="shared" ref="P5331:P5394" si="299">G5331</f>
        <v>2278.0271267399999</v>
      </c>
    </row>
    <row r="5332" spans="4:16" x14ac:dyDescent="0.25">
      <c r="D5332">
        <v>2026</v>
      </c>
      <c r="E5332" t="s">
        <v>133</v>
      </c>
      <c r="F5332" t="s">
        <v>553</v>
      </c>
      <c r="G5332">
        <v>2520.8550606499998</v>
      </c>
      <c r="I5332" t="b">
        <f t="shared" si="297"/>
        <v>1</v>
      </c>
      <c r="J5332">
        <f t="shared" si="297"/>
        <v>0</v>
      </c>
      <c r="K5332">
        <f t="shared" si="297"/>
        <v>0</v>
      </c>
      <c r="M5332" t="str" cm="1">
        <f t="array" ref="M5332">IFERROR(INDEX($I$2:$K$2,0,MATCH(TRUE,I5332:K5332,0)),E5332)</f>
        <v>Onshore</v>
      </c>
      <c r="O5332" t="str">
        <f t="shared" si="298"/>
        <v>Onshore_2026</v>
      </c>
      <c r="P5332">
        <f t="shared" si="299"/>
        <v>2520.8550606499998</v>
      </c>
    </row>
    <row r="5333" spans="4:16" x14ac:dyDescent="0.25">
      <c r="D5333">
        <v>2027</v>
      </c>
      <c r="E5333" t="s">
        <v>133</v>
      </c>
      <c r="F5333" t="s">
        <v>553</v>
      </c>
      <c r="G5333">
        <v>2763.6829945700001</v>
      </c>
      <c r="I5333" t="b">
        <f t="shared" ref="I5333:K5396" si="300">IFERROR(FIND(I$2,$E5333,1)&gt;0,0)</f>
        <v>1</v>
      </c>
      <c r="J5333">
        <f t="shared" si="300"/>
        <v>0</v>
      </c>
      <c r="K5333">
        <f t="shared" si="300"/>
        <v>0</v>
      </c>
      <c r="M5333" t="str" cm="1">
        <f t="array" ref="M5333">IFERROR(INDEX($I$2:$K$2,0,MATCH(TRUE,I5333:K5333,0)),E5333)</f>
        <v>Onshore</v>
      </c>
      <c r="O5333" t="str">
        <f t="shared" si="298"/>
        <v>Onshore_2027</v>
      </c>
      <c r="P5333">
        <f t="shared" si="299"/>
        <v>2763.6829945700001</v>
      </c>
    </row>
    <row r="5334" spans="4:16" x14ac:dyDescent="0.25">
      <c r="D5334">
        <v>2028</v>
      </c>
      <c r="E5334" t="s">
        <v>133</v>
      </c>
      <c r="F5334" t="s">
        <v>553</v>
      </c>
      <c r="G5334">
        <v>3006.5109284800001</v>
      </c>
      <c r="I5334" t="b">
        <f t="shared" si="300"/>
        <v>1</v>
      </c>
      <c r="J5334">
        <f t="shared" si="300"/>
        <v>0</v>
      </c>
      <c r="K5334">
        <f t="shared" si="300"/>
        <v>0</v>
      </c>
      <c r="M5334" t="str" cm="1">
        <f t="array" ref="M5334">IFERROR(INDEX($I$2:$K$2,0,MATCH(TRUE,I5334:K5334,0)),E5334)</f>
        <v>Onshore</v>
      </c>
      <c r="O5334" t="str">
        <f t="shared" si="298"/>
        <v>Onshore_2028</v>
      </c>
      <c r="P5334">
        <f t="shared" si="299"/>
        <v>3006.5109284800001</v>
      </c>
    </row>
    <row r="5335" spans="4:16" x14ac:dyDescent="0.25">
      <c r="D5335">
        <v>2029</v>
      </c>
      <c r="E5335" t="s">
        <v>133</v>
      </c>
      <c r="F5335" t="s">
        <v>553</v>
      </c>
      <c r="G5335">
        <v>3249.33886239</v>
      </c>
      <c r="I5335" t="b">
        <f t="shared" si="300"/>
        <v>1</v>
      </c>
      <c r="J5335">
        <f t="shared" si="300"/>
        <v>0</v>
      </c>
      <c r="K5335">
        <f t="shared" si="300"/>
        <v>0</v>
      </c>
      <c r="M5335" t="str" cm="1">
        <f t="array" ref="M5335">IFERROR(INDEX($I$2:$K$2,0,MATCH(TRUE,I5335:K5335,0)),E5335)</f>
        <v>Onshore</v>
      </c>
      <c r="O5335" t="str">
        <f t="shared" si="298"/>
        <v>Onshore_2029</v>
      </c>
      <c r="P5335">
        <f t="shared" si="299"/>
        <v>3249.33886239</v>
      </c>
    </row>
    <row r="5336" spans="4:16" x14ac:dyDescent="0.25">
      <c r="D5336">
        <v>2030</v>
      </c>
      <c r="E5336" t="s">
        <v>133</v>
      </c>
      <c r="F5336" t="s">
        <v>553</v>
      </c>
      <c r="G5336">
        <v>3492.1667963</v>
      </c>
      <c r="I5336" t="b">
        <f t="shared" si="300"/>
        <v>1</v>
      </c>
      <c r="J5336">
        <f t="shared" si="300"/>
        <v>0</v>
      </c>
      <c r="K5336">
        <f t="shared" si="300"/>
        <v>0</v>
      </c>
      <c r="M5336" t="str" cm="1">
        <f t="array" ref="M5336">IFERROR(INDEX($I$2:$K$2,0,MATCH(TRUE,I5336:K5336,0)),E5336)</f>
        <v>Onshore</v>
      </c>
      <c r="O5336" t="str">
        <f t="shared" si="298"/>
        <v>Onshore_2030</v>
      </c>
      <c r="P5336">
        <f t="shared" si="299"/>
        <v>3492.1667963</v>
      </c>
    </row>
    <row r="5337" spans="4:16" x14ac:dyDescent="0.25">
      <c r="D5337">
        <v>2031</v>
      </c>
      <c r="E5337" t="s">
        <v>133</v>
      </c>
      <c r="F5337" t="s">
        <v>553</v>
      </c>
      <c r="G5337">
        <v>3734.9947302199998</v>
      </c>
      <c r="I5337" t="b">
        <f t="shared" si="300"/>
        <v>1</v>
      </c>
      <c r="J5337">
        <f t="shared" si="300"/>
        <v>0</v>
      </c>
      <c r="K5337">
        <f t="shared" si="300"/>
        <v>0</v>
      </c>
      <c r="M5337" t="str" cm="1">
        <f t="array" ref="M5337">IFERROR(INDEX($I$2:$K$2,0,MATCH(TRUE,I5337:K5337,0)),E5337)</f>
        <v>Onshore</v>
      </c>
      <c r="O5337" t="str">
        <f t="shared" si="298"/>
        <v>Onshore_2031</v>
      </c>
      <c r="P5337">
        <f t="shared" si="299"/>
        <v>3734.9947302199998</v>
      </c>
    </row>
    <row r="5338" spans="4:16" x14ac:dyDescent="0.25">
      <c r="D5338">
        <v>2032</v>
      </c>
      <c r="E5338" t="s">
        <v>133</v>
      </c>
      <c r="F5338" t="s">
        <v>553</v>
      </c>
      <c r="G5338">
        <v>3977.8226641299998</v>
      </c>
      <c r="I5338" t="b">
        <f t="shared" si="300"/>
        <v>1</v>
      </c>
      <c r="J5338">
        <f t="shared" si="300"/>
        <v>0</v>
      </c>
      <c r="K5338">
        <f t="shared" si="300"/>
        <v>0</v>
      </c>
      <c r="M5338" t="str" cm="1">
        <f t="array" ref="M5338">IFERROR(INDEX($I$2:$K$2,0,MATCH(TRUE,I5338:K5338,0)),E5338)</f>
        <v>Onshore</v>
      </c>
      <c r="O5338" t="str">
        <f t="shared" si="298"/>
        <v>Onshore_2032</v>
      </c>
      <c r="P5338">
        <f t="shared" si="299"/>
        <v>3977.8226641299998</v>
      </c>
    </row>
    <row r="5339" spans="4:16" x14ac:dyDescent="0.25">
      <c r="D5339">
        <v>2033</v>
      </c>
      <c r="E5339" t="s">
        <v>133</v>
      </c>
      <c r="F5339" t="s">
        <v>553</v>
      </c>
      <c r="G5339">
        <v>4220.6505980399997</v>
      </c>
      <c r="I5339" t="b">
        <f t="shared" si="300"/>
        <v>1</v>
      </c>
      <c r="J5339">
        <f t="shared" si="300"/>
        <v>0</v>
      </c>
      <c r="K5339">
        <f t="shared" si="300"/>
        <v>0</v>
      </c>
      <c r="M5339" t="str" cm="1">
        <f t="array" ref="M5339">IFERROR(INDEX($I$2:$K$2,0,MATCH(TRUE,I5339:K5339,0)),E5339)</f>
        <v>Onshore</v>
      </c>
      <c r="O5339" t="str">
        <f t="shared" si="298"/>
        <v>Onshore_2033</v>
      </c>
      <c r="P5339">
        <f t="shared" si="299"/>
        <v>4220.6505980399997</v>
      </c>
    </row>
    <row r="5340" spans="4:16" x14ac:dyDescent="0.25">
      <c r="D5340">
        <v>2034</v>
      </c>
      <c r="E5340" t="s">
        <v>133</v>
      </c>
      <c r="F5340" t="s">
        <v>553</v>
      </c>
      <c r="G5340">
        <v>4463.4785319599996</v>
      </c>
      <c r="I5340" t="b">
        <f t="shared" si="300"/>
        <v>1</v>
      </c>
      <c r="J5340">
        <f t="shared" si="300"/>
        <v>0</v>
      </c>
      <c r="K5340">
        <f t="shared" si="300"/>
        <v>0</v>
      </c>
      <c r="M5340" t="str" cm="1">
        <f t="array" ref="M5340">IFERROR(INDEX($I$2:$K$2,0,MATCH(TRUE,I5340:K5340,0)),E5340)</f>
        <v>Onshore</v>
      </c>
      <c r="O5340" t="str">
        <f t="shared" si="298"/>
        <v>Onshore_2034</v>
      </c>
      <c r="P5340">
        <f t="shared" si="299"/>
        <v>4463.4785319599996</v>
      </c>
    </row>
    <row r="5341" spans="4:16" x14ac:dyDescent="0.25">
      <c r="D5341">
        <v>2035</v>
      </c>
      <c r="E5341" t="s">
        <v>133</v>
      </c>
      <c r="F5341" t="s">
        <v>553</v>
      </c>
      <c r="G5341">
        <v>4706.3064658699996</v>
      </c>
      <c r="I5341" t="b">
        <f t="shared" si="300"/>
        <v>1</v>
      </c>
      <c r="J5341">
        <f t="shared" si="300"/>
        <v>0</v>
      </c>
      <c r="K5341">
        <f t="shared" si="300"/>
        <v>0</v>
      </c>
      <c r="M5341" t="str" cm="1">
        <f t="array" ref="M5341">IFERROR(INDEX($I$2:$K$2,0,MATCH(TRUE,I5341:K5341,0)),E5341)</f>
        <v>Onshore</v>
      </c>
      <c r="O5341" t="str">
        <f t="shared" si="298"/>
        <v>Onshore_2035</v>
      </c>
      <c r="P5341">
        <f t="shared" si="299"/>
        <v>4706.3064658699996</v>
      </c>
    </row>
    <row r="5342" spans="4:16" x14ac:dyDescent="0.25">
      <c r="D5342">
        <v>2036</v>
      </c>
      <c r="E5342" t="s">
        <v>133</v>
      </c>
      <c r="F5342" t="s">
        <v>553</v>
      </c>
      <c r="G5342">
        <v>4817.9425613499998</v>
      </c>
      <c r="I5342" t="b">
        <f t="shared" si="300"/>
        <v>1</v>
      </c>
      <c r="J5342">
        <f t="shared" si="300"/>
        <v>0</v>
      </c>
      <c r="K5342">
        <f t="shared" si="300"/>
        <v>0</v>
      </c>
      <c r="M5342" t="str" cm="1">
        <f t="array" ref="M5342">IFERROR(INDEX($I$2:$K$2,0,MATCH(TRUE,I5342:K5342,0)),E5342)</f>
        <v>Onshore</v>
      </c>
      <c r="O5342" t="str">
        <f t="shared" si="298"/>
        <v>Onshore_2036</v>
      </c>
      <c r="P5342">
        <f t="shared" si="299"/>
        <v>4817.9425613499998</v>
      </c>
    </row>
    <row r="5343" spans="4:16" x14ac:dyDescent="0.25">
      <c r="D5343">
        <v>2037</v>
      </c>
      <c r="E5343" t="s">
        <v>133</v>
      </c>
      <c r="F5343" t="s">
        <v>553</v>
      </c>
      <c r="G5343">
        <v>4816.0924247299999</v>
      </c>
      <c r="I5343" t="b">
        <f t="shared" si="300"/>
        <v>1</v>
      </c>
      <c r="J5343">
        <f t="shared" si="300"/>
        <v>0</v>
      </c>
      <c r="K5343">
        <f t="shared" si="300"/>
        <v>0</v>
      </c>
      <c r="M5343" t="str" cm="1">
        <f t="array" ref="M5343">IFERROR(INDEX($I$2:$K$2,0,MATCH(TRUE,I5343:K5343,0)),E5343)</f>
        <v>Onshore</v>
      </c>
      <c r="O5343" t="str">
        <f t="shared" si="298"/>
        <v>Onshore_2037</v>
      </c>
      <c r="P5343">
        <f t="shared" si="299"/>
        <v>4816.0924247299999</v>
      </c>
    </row>
    <row r="5344" spans="4:16" x14ac:dyDescent="0.25">
      <c r="D5344">
        <v>2038</v>
      </c>
      <c r="E5344" t="s">
        <v>133</v>
      </c>
      <c r="F5344" t="s">
        <v>553</v>
      </c>
      <c r="G5344">
        <v>4774.0597691399998</v>
      </c>
      <c r="I5344" t="b">
        <f t="shared" si="300"/>
        <v>1</v>
      </c>
      <c r="J5344">
        <f t="shared" si="300"/>
        <v>0</v>
      </c>
      <c r="K5344">
        <f t="shared" si="300"/>
        <v>0</v>
      </c>
      <c r="M5344" t="str" cm="1">
        <f t="array" ref="M5344">IFERROR(INDEX($I$2:$K$2,0,MATCH(TRUE,I5344:K5344,0)),E5344)</f>
        <v>Onshore</v>
      </c>
      <c r="O5344" t="str">
        <f t="shared" si="298"/>
        <v>Onshore_2038</v>
      </c>
      <c r="P5344">
        <f t="shared" si="299"/>
        <v>4774.0597691399998</v>
      </c>
    </row>
    <row r="5345" spans="4:16" x14ac:dyDescent="0.25">
      <c r="D5345">
        <v>2039</v>
      </c>
      <c r="E5345" t="s">
        <v>133</v>
      </c>
      <c r="F5345" t="s">
        <v>553</v>
      </c>
      <c r="G5345">
        <v>4658.0737043899999</v>
      </c>
      <c r="I5345" t="b">
        <f t="shared" si="300"/>
        <v>1</v>
      </c>
      <c r="J5345">
        <f t="shared" si="300"/>
        <v>0</v>
      </c>
      <c r="K5345">
        <f t="shared" si="300"/>
        <v>0</v>
      </c>
      <c r="M5345" t="str" cm="1">
        <f t="array" ref="M5345">IFERROR(INDEX($I$2:$K$2,0,MATCH(TRUE,I5345:K5345,0)),E5345)</f>
        <v>Onshore</v>
      </c>
      <c r="O5345" t="str">
        <f t="shared" si="298"/>
        <v>Onshore_2039</v>
      </c>
      <c r="P5345">
        <f t="shared" si="299"/>
        <v>4658.0737043899999</v>
      </c>
    </row>
    <row r="5346" spans="4:16" x14ac:dyDescent="0.25">
      <c r="D5346">
        <v>2040</v>
      </c>
      <c r="E5346" t="s">
        <v>133</v>
      </c>
      <c r="F5346" t="s">
        <v>553</v>
      </c>
      <c r="G5346">
        <v>4250.7507788000003</v>
      </c>
      <c r="I5346" t="b">
        <f t="shared" si="300"/>
        <v>1</v>
      </c>
      <c r="J5346">
        <f t="shared" si="300"/>
        <v>0</v>
      </c>
      <c r="K5346">
        <f t="shared" si="300"/>
        <v>0</v>
      </c>
      <c r="M5346" t="str" cm="1">
        <f t="array" ref="M5346">IFERROR(INDEX($I$2:$K$2,0,MATCH(TRUE,I5346:K5346,0)),E5346)</f>
        <v>Onshore</v>
      </c>
      <c r="O5346" t="str">
        <f t="shared" si="298"/>
        <v>Onshore_2040</v>
      </c>
      <c r="P5346">
        <f t="shared" si="299"/>
        <v>4250.7507788000003</v>
      </c>
    </row>
    <row r="5347" spans="4:16" x14ac:dyDescent="0.25">
      <c r="D5347">
        <v>2021</v>
      </c>
      <c r="E5347" t="s">
        <v>133</v>
      </c>
      <c r="F5347" t="s">
        <v>554</v>
      </c>
      <c r="G5347">
        <v>3965.9465741600002</v>
      </c>
      <c r="I5347" t="b">
        <f t="shared" si="300"/>
        <v>1</v>
      </c>
      <c r="J5347">
        <f t="shared" si="300"/>
        <v>0</v>
      </c>
      <c r="K5347">
        <f t="shared" si="300"/>
        <v>0</v>
      </c>
      <c r="M5347" t="str" cm="1">
        <f t="array" ref="M5347">IFERROR(INDEX($I$2:$K$2,0,MATCH(TRUE,I5347:K5347,0)),E5347)</f>
        <v>Onshore</v>
      </c>
      <c r="O5347" t="str">
        <f t="shared" si="298"/>
        <v>Onshore_2021</v>
      </c>
      <c r="P5347">
        <f t="shared" si="299"/>
        <v>3965.9465741600002</v>
      </c>
    </row>
    <row r="5348" spans="4:16" x14ac:dyDescent="0.25">
      <c r="D5348">
        <v>2022</v>
      </c>
      <c r="E5348" t="s">
        <v>133</v>
      </c>
      <c r="F5348" t="s">
        <v>554</v>
      </c>
      <c r="G5348">
        <v>6415.6872297899999</v>
      </c>
      <c r="I5348" t="b">
        <f t="shared" si="300"/>
        <v>1</v>
      </c>
      <c r="J5348">
        <f t="shared" si="300"/>
        <v>0</v>
      </c>
      <c r="K5348">
        <f t="shared" si="300"/>
        <v>0</v>
      </c>
      <c r="M5348" t="str" cm="1">
        <f t="array" ref="M5348">IFERROR(INDEX($I$2:$K$2,0,MATCH(TRUE,I5348:K5348,0)),E5348)</f>
        <v>Onshore</v>
      </c>
      <c r="O5348" t="str">
        <f t="shared" si="298"/>
        <v>Onshore_2022</v>
      </c>
      <c r="P5348">
        <f t="shared" si="299"/>
        <v>6415.6872297899999</v>
      </c>
    </row>
    <row r="5349" spans="4:16" x14ac:dyDescent="0.25">
      <c r="D5349">
        <v>2023</v>
      </c>
      <c r="E5349" t="s">
        <v>133</v>
      </c>
      <c r="F5349" t="s">
        <v>554</v>
      </c>
      <c r="G5349">
        <v>8787.2553835899998</v>
      </c>
      <c r="I5349" t="b">
        <f t="shared" si="300"/>
        <v>1</v>
      </c>
      <c r="J5349">
        <f t="shared" si="300"/>
        <v>0</v>
      </c>
      <c r="K5349">
        <f t="shared" si="300"/>
        <v>0</v>
      </c>
      <c r="M5349" t="str" cm="1">
        <f t="array" ref="M5349">IFERROR(INDEX($I$2:$K$2,0,MATCH(TRUE,I5349:K5349,0)),E5349)</f>
        <v>Onshore</v>
      </c>
      <c r="O5349" t="str">
        <f t="shared" si="298"/>
        <v>Onshore_2023</v>
      </c>
      <c r="P5349">
        <f t="shared" si="299"/>
        <v>8787.2553835899998</v>
      </c>
    </row>
    <row r="5350" spans="4:16" x14ac:dyDescent="0.25">
      <c r="D5350">
        <v>2024</v>
      </c>
      <c r="E5350" t="s">
        <v>133</v>
      </c>
      <c r="F5350" t="s">
        <v>554</v>
      </c>
      <c r="G5350">
        <v>11239.771784050001</v>
      </c>
      <c r="I5350" t="b">
        <f t="shared" si="300"/>
        <v>1</v>
      </c>
      <c r="J5350">
        <f t="shared" si="300"/>
        <v>0</v>
      </c>
      <c r="K5350">
        <f t="shared" si="300"/>
        <v>0</v>
      </c>
      <c r="M5350" t="str" cm="1">
        <f t="array" ref="M5350">IFERROR(INDEX($I$2:$K$2,0,MATCH(TRUE,I5350:K5350,0)),E5350)</f>
        <v>Onshore</v>
      </c>
      <c r="O5350" t="str">
        <f t="shared" si="298"/>
        <v>Onshore_2024</v>
      </c>
      <c r="P5350">
        <f t="shared" si="299"/>
        <v>11239.771784050001</v>
      </c>
    </row>
    <row r="5351" spans="4:16" x14ac:dyDescent="0.25">
      <c r="D5351">
        <v>2025</v>
      </c>
      <c r="E5351" t="s">
        <v>133</v>
      </c>
      <c r="F5351" t="s">
        <v>554</v>
      </c>
      <c r="G5351">
        <v>13240.641568290001</v>
      </c>
      <c r="I5351" t="b">
        <f t="shared" si="300"/>
        <v>1</v>
      </c>
      <c r="J5351">
        <f t="shared" si="300"/>
        <v>0</v>
      </c>
      <c r="K5351">
        <f t="shared" si="300"/>
        <v>0</v>
      </c>
      <c r="M5351" t="str" cm="1">
        <f t="array" ref="M5351">IFERROR(INDEX($I$2:$K$2,0,MATCH(TRUE,I5351:K5351,0)),E5351)</f>
        <v>Onshore</v>
      </c>
      <c r="O5351" t="str">
        <f t="shared" si="298"/>
        <v>Onshore_2025</v>
      </c>
      <c r="P5351">
        <f t="shared" si="299"/>
        <v>13240.641568290001</v>
      </c>
    </row>
    <row r="5352" spans="4:16" x14ac:dyDescent="0.25">
      <c r="D5352">
        <v>2026</v>
      </c>
      <c r="E5352" t="s">
        <v>133</v>
      </c>
      <c r="F5352" t="s">
        <v>554</v>
      </c>
      <c r="G5352">
        <v>14652.037243950001</v>
      </c>
      <c r="I5352" t="b">
        <f t="shared" si="300"/>
        <v>1</v>
      </c>
      <c r="J5352">
        <f t="shared" si="300"/>
        <v>0</v>
      </c>
      <c r="K5352">
        <f t="shared" si="300"/>
        <v>0</v>
      </c>
      <c r="M5352" t="str" cm="1">
        <f t="array" ref="M5352">IFERROR(INDEX($I$2:$K$2,0,MATCH(TRUE,I5352:K5352,0)),E5352)</f>
        <v>Onshore</v>
      </c>
      <c r="O5352" t="str">
        <f t="shared" si="298"/>
        <v>Onshore_2026</v>
      </c>
      <c r="P5352">
        <f t="shared" si="299"/>
        <v>14652.037243950001</v>
      </c>
    </row>
    <row r="5353" spans="4:16" x14ac:dyDescent="0.25">
      <c r="D5353">
        <v>2027</v>
      </c>
      <c r="E5353" t="s">
        <v>133</v>
      </c>
      <c r="F5353" t="s">
        <v>554</v>
      </c>
      <c r="G5353">
        <v>16063.432919610001</v>
      </c>
      <c r="I5353" t="b">
        <f t="shared" si="300"/>
        <v>1</v>
      </c>
      <c r="J5353">
        <f t="shared" si="300"/>
        <v>0</v>
      </c>
      <c r="K5353">
        <f t="shared" si="300"/>
        <v>0</v>
      </c>
      <c r="M5353" t="str" cm="1">
        <f t="array" ref="M5353">IFERROR(INDEX($I$2:$K$2,0,MATCH(TRUE,I5353:K5353,0)),E5353)</f>
        <v>Onshore</v>
      </c>
      <c r="O5353" t="str">
        <f t="shared" si="298"/>
        <v>Onshore_2027</v>
      </c>
      <c r="P5353">
        <f t="shared" si="299"/>
        <v>16063.432919610001</v>
      </c>
    </row>
    <row r="5354" spans="4:16" x14ac:dyDescent="0.25">
      <c r="D5354">
        <v>2028</v>
      </c>
      <c r="E5354" t="s">
        <v>133</v>
      </c>
      <c r="F5354" t="s">
        <v>554</v>
      </c>
      <c r="G5354">
        <v>17474.828595260002</v>
      </c>
      <c r="I5354" t="b">
        <f t="shared" si="300"/>
        <v>1</v>
      </c>
      <c r="J5354">
        <f t="shared" si="300"/>
        <v>0</v>
      </c>
      <c r="K5354">
        <f t="shared" si="300"/>
        <v>0</v>
      </c>
      <c r="M5354" t="str" cm="1">
        <f t="array" ref="M5354">IFERROR(INDEX($I$2:$K$2,0,MATCH(TRUE,I5354:K5354,0)),E5354)</f>
        <v>Onshore</v>
      </c>
      <c r="O5354" t="str">
        <f t="shared" si="298"/>
        <v>Onshore_2028</v>
      </c>
      <c r="P5354">
        <f t="shared" si="299"/>
        <v>17474.828595260002</v>
      </c>
    </row>
    <row r="5355" spans="4:16" x14ac:dyDescent="0.25">
      <c r="D5355">
        <v>2029</v>
      </c>
      <c r="E5355" t="s">
        <v>133</v>
      </c>
      <c r="F5355" t="s">
        <v>554</v>
      </c>
      <c r="G5355">
        <v>18886.22427092</v>
      </c>
      <c r="I5355" t="b">
        <f t="shared" si="300"/>
        <v>1</v>
      </c>
      <c r="J5355">
        <f t="shared" si="300"/>
        <v>0</v>
      </c>
      <c r="K5355">
        <f t="shared" si="300"/>
        <v>0</v>
      </c>
      <c r="M5355" t="str" cm="1">
        <f t="array" ref="M5355">IFERROR(INDEX($I$2:$K$2,0,MATCH(TRUE,I5355:K5355,0)),E5355)</f>
        <v>Onshore</v>
      </c>
      <c r="O5355" t="str">
        <f t="shared" si="298"/>
        <v>Onshore_2029</v>
      </c>
      <c r="P5355">
        <f t="shared" si="299"/>
        <v>18886.22427092</v>
      </c>
    </row>
    <row r="5356" spans="4:16" x14ac:dyDescent="0.25">
      <c r="D5356">
        <v>2030</v>
      </c>
      <c r="E5356" t="s">
        <v>133</v>
      </c>
      <c r="F5356" t="s">
        <v>554</v>
      </c>
      <c r="G5356">
        <v>20297.619946570001</v>
      </c>
      <c r="I5356" t="b">
        <f t="shared" si="300"/>
        <v>1</v>
      </c>
      <c r="J5356">
        <f t="shared" si="300"/>
        <v>0</v>
      </c>
      <c r="K5356">
        <f t="shared" si="300"/>
        <v>0</v>
      </c>
      <c r="M5356" t="str" cm="1">
        <f t="array" ref="M5356">IFERROR(INDEX($I$2:$K$2,0,MATCH(TRUE,I5356:K5356,0)),E5356)</f>
        <v>Onshore</v>
      </c>
      <c r="O5356" t="str">
        <f t="shared" si="298"/>
        <v>Onshore_2030</v>
      </c>
      <c r="P5356">
        <f t="shared" si="299"/>
        <v>20297.619946570001</v>
      </c>
    </row>
    <row r="5357" spans="4:16" x14ac:dyDescent="0.25">
      <c r="D5357">
        <v>2031</v>
      </c>
      <c r="E5357" t="s">
        <v>133</v>
      </c>
      <c r="F5357" t="s">
        <v>554</v>
      </c>
      <c r="G5357">
        <v>21709.015622229999</v>
      </c>
      <c r="I5357" t="b">
        <f t="shared" si="300"/>
        <v>1</v>
      </c>
      <c r="J5357">
        <f t="shared" si="300"/>
        <v>0</v>
      </c>
      <c r="K5357">
        <f t="shared" si="300"/>
        <v>0</v>
      </c>
      <c r="M5357" t="str" cm="1">
        <f t="array" ref="M5357">IFERROR(INDEX($I$2:$K$2,0,MATCH(TRUE,I5357:K5357,0)),E5357)</f>
        <v>Onshore</v>
      </c>
      <c r="O5357" t="str">
        <f t="shared" si="298"/>
        <v>Onshore_2031</v>
      </c>
      <c r="P5357">
        <f t="shared" si="299"/>
        <v>21709.015622229999</v>
      </c>
    </row>
    <row r="5358" spans="4:16" x14ac:dyDescent="0.25">
      <c r="D5358">
        <v>2032</v>
      </c>
      <c r="E5358" t="s">
        <v>133</v>
      </c>
      <c r="F5358" t="s">
        <v>554</v>
      </c>
      <c r="G5358">
        <v>23120.411297890001</v>
      </c>
      <c r="I5358" t="b">
        <f t="shared" si="300"/>
        <v>1</v>
      </c>
      <c r="J5358">
        <f t="shared" si="300"/>
        <v>0</v>
      </c>
      <c r="K5358">
        <f t="shared" si="300"/>
        <v>0</v>
      </c>
      <c r="M5358" t="str" cm="1">
        <f t="array" ref="M5358">IFERROR(INDEX($I$2:$K$2,0,MATCH(TRUE,I5358:K5358,0)),E5358)</f>
        <v>Onshore</v>
      </c>
      <c r="O5358" t="str">
        <f t="shared" si="298"/>
        <v>Onshore_2032</v>
      </c>
      <c r="P5358">
        <f t="shared" si="299"/>
        <v>23120.411297890001</v>
      </c>
    </row>
    <row r="5359" spans="4:16" x14ac:dyDescent="0.25">
      <c r="D5359">
        <v>2033</v>
      </c>
      <c r="E5359" t="s">
        <v>133</v>
      </c>
      <c r="F5359" t="s">
        <v>554</v>
      </c>
      <c r="G5359">
        <v>24531.806973539999</v>
      </c>
      <c r="I5359" t="b">
        <f t="shared" si="300"/>
        <v>1</v>
      </c>
      <c r="J5359">
        <f t="shared" si="300"/>
        <v>0</v>
      </c>
      <c r="K5359">
        <f t="shared" si="300"/>
        <v>0</v>
      </c>
      <c r="M5359" t="str" cm="1">
        <f t="array" ref="M5359">IFERROR(INDEX($I$2:$K$2,0,MATCH(TRUE,I5359:K5359,0)),E5359)</f>
        <v>Onshore</v>
      </c>
      <c r="O5359" t="str">
        <f t="shared" si="298"/>
        <v>Onshore_2033</v>
      </c>
      <c r="P5359">
        <f t="shared" si="299"/>
        <v>24531.806973539999</v>
      </c>
    </row>
    <row r="5360" spans="4:16" x14ac:dyDescent="0.25">
      <c r="D5360">
        <v>2034</v>
      </c>
      <c r="E5360" t="s">
        <v>133</v>
      </c>
      <c r="F5360" t="s">
        <v>554</v>
      </c>
      <c r="G5360">
        <v>25943.2026492</v>
      </c>
      <c r="I5360" t="b">
        <f t="shared" si="300"/>
        <v>1</v>
      </c>
      <c r="J5360">
        <f t="shared" si="300"/>
        <v>0</v>
      </c>
      <c r="K5360">
        <f t="shared" si="300"/>
        <v>0</v>
      </c>
      <c r="M5360" t="str" cm="1">
        <f t="array" ref="M5360">IFERROR(INDEX($I$2:$K$2,0,MATCH(TRUE,I5360:K5360,0)),E5360)</f>
        <v>Onshore</v>
      </c>
      <c r="O5360" t="str">
        <f t="shared" si="298"/>
        <v>Onshore_2034</v>
      </c>
      <c r="P5360">
        <f t="shared" si="299"/>
        <v>25943.2026492</v>
      </c>
    </row>
    <row r="5361" spans="4:16" x14ac:dyDescent="0.25">
      <c r="D5361">
        <v>2035</v>
      </c>
      <c r="E5361" t="s">
        <v>133</v>
      </c>
      <c r="F5361" t="s">
        <v>554</v>
      </c>
      <c r="G5361">
        <v>27354.598324859999</v>
      </c>
      <c r="I5361" t="b">
        <f t="shared" si="300"/>
        <v>1</v>
      </c>
      <c r="J5361">
        <f t="shared" si="300"/>
        <v>0</v>
      </c>
      <c r="K5361">
        <f t="shared" si="300"/>
        <v>0</v>
      </c>
      <c r="M5361" t="str" cm="1">
        <f t="array" ref="M5361">IFERROR(INDEX($I$2:$K$2,0,MATCH(TRUE,I5361:K5361,0)),E5361)</f>
        <v>Onshore</v>
      </c>
      <c r="O5361" t="str">
        <f t="shared" si="298"/>
        <v>Onshore_2035</v>
      </c>
      <c r="P5361">
        <f t="shared" si="299"/>
        <v>27354.598324859999</v>
      </c>
    </row>
    <row r="5362" spans="4:16" x14ac:dyDescent="0.25">
      <c r="D5362">
        <v>2036</v>
      </c>
      <c r="E5362" t="s">
        <v>133</v>
      </c>
      <c r="F5362" t="s">
        <v>554</v>
      </c>
      <c r="G5362">
        <v>28003.463963480001</v>
      </c>
      <c r="I5362" t="b">
        <f t="shared" si="300"/>
        <v>1</v>
      </c>
      <c r="J5362">
        <f t="shared" si="300"/>
        <v>0</v>
      </c>
      <c r="K5362">
        <f t="shared" si="300"/>
        <v>0</v>
      </c>
      <c r="M5362" t="str" cm="1">
        <f t="array" ref="M5362">IFERROR(INDEX($I$2:$K$2,0,MATCH(TRUE,I5362:K5362,0)),E5362)</f>
        <v>Onshore</v>
      </c>
      <c r="O5362" t="str">
        <f t="shared" si="298"/>
        <v>Onshore_2036</v>
      </c>
      <c r="P5362">
        <f t="shared" si="299"/>
        <v>28003.463963480001</v>
      </c>
    </row>
    <row r="5363" spans="4:16" x14ac:dyDescent="0.25">
      <c r="D5363">
        <v>2037</v>
      </c>
      <c r="E5363" t="s">
        <v>133</v>
      </c>
      <c r="F5363" t="s">
        <v>554</v>
      </c>
      <c r="G5363">
        <v>27992.710361990001</v>
      </c>
      <c r="I5363" t="b">
        <f t="shared" si="300"/>
        <v>1</v>
      </c>
      <c r="J5363">
        <f t="shared" si="300"/>
        <v>0</v>
      </c>
      <c r="K5363">
        <f t="shared" si="300"/>
        <v>0</v>
      </c>
      <c r="M5363" t="str" cm="1">
        <f t="array" ref="M5363">IFERROR(INDEX($I$2:$K$2,0,MATCH(TRUE,I5363:K5363,0)),E5363)</f>
        <v>Onshore</v>
      </c>
      <c r="O5363" t="str">
        <f t="shared" si="298"/>
        <v>Onshore_2037</v>
      </c>
      <c r="P5363">
        <f t="shared" si="299"/>
        <v>27992.710361990001</v>
      </c>
    </row>
    <row r="5364" spans="4:16" x14ac:dyDescent="0.25">
      <c r="D5364">
        <v>2038</v>
      </c>
      <c r="E5364" t="s">
        <v>133</v>
      </c>
      <c r="F5364" t="s">
        <v>554</v>
      </c>
      <c r="G5364">
        <v>27748.402767809999</v>
      </c>
      <c r="I5364" t="b">
        <f t="shared" si="300"/>
        <v>1</v>
      </c>
      <c r="J5364">
        <f t="shared" si="300"/>
        <v>0</v>
      </c>
      <c r="K5364">
        <f t="shared" si="300"/>
        <v>0</v>
      </c>
      <c r="M5364" t="str" cm="1">
        <f t="array" ref="M5364">IFERROR(INDEX($I$2:$K$2,0,MATCH(TRUE,I5364:K5364,0)),E5364)</f>
        <v>Onshore</v>
      </c>
      <c r="O5364" t="str">
        <f t="shared" si="298"/>
        <v>Onshore_2038</v>
      </c>
      <c r="P5364">
        <f t="shared" si="299"/>
        <v>27748.402767809999</v>
      </c>
    </row>
    <row r="5365" spans="4:16" x14ac:dyDescent="0.25">
      <c r="D5365">
        <v>2039</v>
      </c>
      <c r="E5365" t="s">
        <v>133</v>
      </c>
      <c r="F5365" t="s">
        <v>554</v>
      </c>
      <c r="G5365">
        <v>27074.253679689999</v>
      </c>
      <c r="I5365" t="b">
        <f t="shared" si="300"/>
        <v>1</v>
      </c>
      <c r="J5365">
        <f t="shared" si="300"/>
        <v>0</v>
      </c>
      <c r="K5365">
        <f t="shared" si="300"/>
        <v>0</v>
      </c>
      <c r="M5365" t="str" cm="1">
        <f t="array" ref="M5365">IFERROR(INDEX($I$2:$K$2,0,MATCH(TRUE,I5365:K5365,0)),E5365)</f>
        <v>Onshore</v>
      </c>
      <c r="O5365" t="str">
        <f t="shared" si="298"/>
        <v>Onshore_2039</v>
      </c>
      <c r="P5365">
        <f t="shared" si="299"/>
        <v>27074.253679689999</v>
      </c>
    </row>
    <row r="5366" spans="4:16" x14ac:dyDescent="0.25">
      <c r="D5366">
        <v>2040</v>
      </c>
      <c r="E5366" t="s">
        <v>133</v>
      </c>
      <c r="F5366" t="s">
        <v>554</v>
      </c>
      <c r="G5366">
        <v>24706.75910643</v>
      </c>
      <c r="I5366" t="b">
        <f t="shared" si="300"/>
        <v>1</v>
      </c>
      <c r="J5366">
        <f t="shared" si="300"/>
        <v>0</v>
      </c>
      <c r="K5366">
        <f t="shared" si="300"/>
        <v>0</v>
      </c>
      <c r="M5366" t="str" cm="1">
        <f t="array" ref="M5366">IFERROR(INDEX($I$2:$K$2,0,MATCH(TRUE,I5366:K5366,0)),E5366)</f>
        <v>Onshore</v>
      </c>
      <c r="O5366" t="str">
        <f t="shared" si="298"/>
        <v>Onshore_2040</v>
      </c>
      <c r="P5366">
        <f t="shared" si="299"/>
        <v>24706.75910643</v>
      </c>
    </row>
    <row r="5367" spans="4:16" x14ac:dyDescent="0.25">
      <c r="D5367">
        <v>2021</v>
      </c>
      <c r="E5367" t="s">
        <v>133</v>
      </c>
      <c r="F5367" t="s">
        <v>555</v>
      </c>
      <c r="G5367">
        <v>620.36988237000003</v>
      </c>
      <c r="I5367" t="b">
        <f t="shared" si="300"/>
        <v>1</v>
      </c>
      <c r="J5367">
        <f t="shared" si="300"/>
        <v>0</v>
      </c>
      <c r="K5367">
        <f t="shared" si="300"/>
        <v>0</v>
      </c>
      <c r="M5367" t="str" cm="1">
        <f t="array" ref="M5367">IFERROR(INDEX($I$2:$K$2,0,MATCH(TRUE,I5367:K5367,0)),E5367)</f>
        <v>Onshore</v>
      </c>
      <c r="O5367" t="str">
        <f t="shared" si="298"/>
        <v>Onshore_2021</v>
      </c>
      <c r="P5367">
        <f t="shared" si="299"/>
        <v>620.36988237000003</v>
      </c>
    </row>
    <row r="5368" spans="4:16" x14ac:dyDescent="0.25">
      <c r="D5368">
        <v>2022</v>
      </c>
      <c r="E5368" t="s">
        <v>133</v>
      </c>
      <c r="F5368" t="s">
        <v>555</v>
      </c>
      <c r="G5368">
        <v>1003.56851956</v>
      </c>
      <c r="I5368" t="b">
        <f t="shared" si="300"/>
        <v>1</v>
      </c>
      <c r="J5368">
        <f t="shared" si="300"/>
        <v>0</v>
      </c>
      <c r="K5368">
        <f t="shared" si="300"/>
        <v>0</v>
      </c>
      <c r="M5368" t="str" cm="1">
        <f t="array" ref="M5368">IFERROR(INDEX($I$2:$K$2,0,MATCH(TRUE,I5368:K5368,0)),E5368)</f>
        <v>Onshore</v>
      </c>
      <c r="O5368" t="str">
        <f t="shared" si="298"/>
        <v>Onshore_2022</v>
      </c>
      <c r="P5368">
        <f t="shared" si="299"/>
        <v>1003.56851956</v>
      </c>
    </row>
    <row r="5369" spans="4:16" x14ac:dyDescent="0.25">
      <c r="D5369">
        <v>2023</v>
      </c>
      <c r="E5369" t="s">
        <v>133</v>
      </c>
      <c r="F5369" t="s">
        <v>555</v>
      </c>
      <c r="G5369">
        <v>1374.5390884000001</v>
      </c>
      <c r="I5369" t="b">
        <f t="shared" si="300"/>
        <v>1</v>
      </c>
      <c r="J5369">
        <f t="shared" si="300"/>
        <v>0</v>
      </c>
      <c r="K5369">
        <f t="shared" si="300"/>
        <v>0</v>
      </c>
      <c r="M5369" t="str" cm="1">
        <f t="array" ref="M5369">IFERROR(INDEX($I$2:$K$2,0,MATCH(TRUE,I5369:K5369,0)),E5369)</f>
        <v>Onshore</v>
      </c>
      <c r="O5369" t="str">
        <f t="shared" si="298"/>
        <v>Onshore_2023</v>
      </c>
      <c r="P5369">
        <f t="shared" si="299"/>
        <v>1374.5390884000001</v>
      </c>
    </row>
    <row r="5370" spans="4:16" x14ac:dyDescent="0.25">
      <c r="D5370">
        <v>2024</v>
      </c>
      <c r="E5370" t="s">
        <v>133</v>
      </c>
      <c r="F5370" t="s">
        <v>555</v>
      </c>
      <c r="G5370">
        <v>1758.1719191499999</v>
      </c>
      <c r="I5370" t="b">
        <f t="shared" si="300"/>
        <v>1</v>
      </c>
      <c r="J5370">
        <f t="shared" si="300"/>
        <v>0</v>
      </c>
      <c r="K5370">
        <f t="shared" si="300"/>
        <v>0</v>
      </c>
      <c r="M5370" t="str" cm="1">
        <f t="array" ref="M5370">IFERROR(INDEX($I$2:$K$2,0,MATCH(TRUE,I5370:K5370,0)),E5370)</f>
        <v>Onshore</v>
      </c>
      <c r="O5370" t="str">
        <f t="shared" si="298"/>
        <v>Onshore_2024</v>
      </c>
      <c r="P5370">
        <f t="shared" si="299"/>
        <v>1758.1719191499999</v>
      </c>
    </row>
    <row r="5371" spans="4:16" x14ac:dyDescent="0.25">
      <c r="D5371">
        <v>2025</v>
      </c>
      <c r="E5371" t="s">
        <v>133</v>
      </c>
      <c r="F5371" t="s">
        <v>555</v>
      </c>
      <c r="G5371">
        <v>2071.1563049699998</v>
      </c>
      <c r="I5371" t="b">
        <f t="shared" si="300"/>
        <v>1</v>
      </c>
      <c r="J5371">
        <f t="shared" si="300"/>
        <v>0</v>
      </c>
      <c r="K5371">
        <f t="shared" si="300"/>
        <v>0</v>
      </c>
      <c r="M5371" t="str" cm="1">
        <f t="array" ref="M5371">IFERROR(INDEX($I$2:$K$2,0,MATCH(TRUE,I5371:K5371,0)),E5371)</f>
        <v>Onshore</v>
      </c>
      <c r="O5371" t="str">
        <f t="shared" si="298"/>
        <v>Onshore_2025</v>
      </c>
      <c r="P5371">
        <f t="shared" si="299"/>
        <v>2071.1563049699998</v>
      </c>
    </row>
    <row r="5372" spans="4:16" x14ac:dyDescent="0.25">
      <c r="D5372">
        <v>2026</v>
      </c>
      <c r="E5372" t="s">
        <v>133</v>
      </c>
      <c r="F5372" t="s">
        <v>555</v>
      </c>
      <c r="G5372">
        <v>2291.9326953999998</v>
      </c>
      <c r="I5372" t="b">
        <f t="shared" si="300"/>
        <v>1</v>
      </c>
      <c r="J5372">
        <f t="shared" si="300"/>
        <v>0</v>
      </c>
      <c r="K5372">
        <f t="shared" si="300"/>
        <v>0</v>
      </c>
      <c r="M5372" t="str" cm="1">
        <f t="array" ref="M5372">IFERROR(INDEX($I$2:$K$2,0,MATCH(TRUE,I5372:K5372,0)),E5372)</f>
        <v>Onshore</v>
      </c>
      <c r="O5372" t="str">
        <f t="shared" si="298"/>
        <v>Onshore_2026</v>
      </c>
      <c r="P5372">
        <f t="shared" si="299"/>
        <v>2291.9326953999998</v>
      </c>
    </row>
    <row r="5373" spans="4:16" x14ac:dyDescent="0.25">
      <c r="D5373">
        <v>2027</v>
      </c>
      <c r="E5373" t="s">
        <v>133</v>
      </c>
      <c r="F5373" t="s">
        <v>555</v>
      </c>
      <c r="G5373">
        <v>2512.7090858299998</v>
      </c>
      <c r="I5373" t="b">
        <f t="shared" si="300"/>
        <v>1</v>
      </c>
      <c r="J5373">
        <f t="shared" si="300"/>
        <v>0</v>
      </c>
      <c r="K5373">
        <f t="shared" si="300"/>
        <v>0</v>
      </c>
      <c r="M5373" t="str" cm="1">
        <f t="array" ref="M5373">IFERROR(INDEX($I$2:$K$2,0,MATCH(TRUE,I5373:K5373,0)),E5373)</f>
        <v>Onshore</v>
      </c>
      <c r="O5373" t="str">
        <f t="shared" si="298"/>
        <v>Onshore_2027</v>
      </c>
      <c r="P5373">
        <f t="shared" si="299"/>
        <v>2512.7090858299998</v>
      </c>
    </row>
    <row r="5374" spans="4:16" x14ac:dyDescent="0.25">
      <c r="D5374">
        <v>2028</v>
      </c>
      <c r="E5374" t="s">
        <v>133</v>
      </c>
      <c r="F5374" t="s">
        <v>555</v>
      </c>
      <c r="G5374">
        <v>2733.4854762599998</v>
      </c>
      <c r="I5374" t="b">
        <f t="shared" si="300"/>
        <v>1</v>
      </c>
      <c r="J5374">
        <f t="shared" si="300"/>
        <v>0</v>
      </c>
      <c r="K5374">
        <f t="shared" si="300"/>
        <v>0</v>
      </c>
      <c r="M5374" t="str" cm="1">
        <f t="array" ref="M5374">IFERROR(INDEX($I$2:$K$2,0,MATCH(TRUE,I5374:K5374,0)),E5374)</f>
        <v>Onshore</v>
      </c>
      <c r="O5374" t="str">
        <f t="shared" si="298"/>
        <v>Onshore_2028</v>
      </c>
      <c r="P5374">
        <f t="shared" si="299"/>
        <v>2733.4854762599998</v>
      </c>
    </row>
    <row r="5375" spans="4:16" x14ac:dyDescent="0.25">
      <c r="D5375">
        <v>2029</v>
      </c>
      <c r="E5375" t="s">
        <v>133</v>
      </c>
      <c r="F5375" t="s">
        <v>555</v>
      </c>
      <c r="G5375">
        <v>2954.2618666899998</v>
      </c>
      <c r="I5375" t="b">
        <f t="shared" si="300"/>
        <v>1</v>
      </c>
      <c r="J5375">
        <f t="shared" si="300"/>
        <v>0</v>
      </c>
      <c r="K5375">
        <f t="shared" si="300"/>
        <v>0</v>
      </c>
      <c r="M5375" t="str" cm="1">
        <f t="array" ref="M5375">IFERROR(INDEX($I$2:$K$2,0,MATCH(TRUE,I5375:K5375,0)),E5375)</f>
        <v>Onshore</v>
      </c>
      <c r="O5375" t="str">
        <f t="shared" si="298"/>
        <v>Onshore_2029</v>
      </c>
      <c r="P5375">
        <f t="shared" si="299"/>
        <v>2954.2618666899998</v>
      </c>
    </row>
    <row r="5376" spans="4:16" x14ac:dyDescent="0.25">
      <c r="D5376">
        <v>2030</v>
      </c>
      <c r="E5376" t="s">
        <v>133</v>
      </c>
      <c r="F5376" t="s">
        <v>555</v>
      </c>
      <c r="G5376">
        <v>3175.0382571199998</v>
      </c>
      <c r="I5376" t="b">
        <f t="shared" si="300"/>
        <v>1</v>
      </c>
      <c r="J5376">
        <f t="shared" si="300"/>
        <v>0</v>
      </c>
      <c r="K5376">
        <f t="shared" si="300"/>
        <v>0</v>
      </c>
      <c r="M5376" t="str" cm="1">
        <f t="array" ref="M5376">IFERROR(INDEX($I$2:$K$2,0,MATCH(TRUE,I5376:K5376,0)),E5376)</f>
        <v>Onshore</v>
      </c>
      <c r="O5376" t="str">
        <f t="shared" si="298"/>
        <v>Onshore_2030</v>
      </c>
      <c r="P5376">
        <f t="shared" si="299"/>
        <v>3175.0382571199998</v>
      </c>
    </row>
    <row r="5377" spans="4:16" x14ac:dyDescent="0.25">
      <c r="D5377">
        <v>2031</v>
      </c>
      <c r="E5377" t="s">
        <v>133</v>
      </c>
      <c r="F5377" t="s">
        <v>555</v>
      </c>
      <c r="G5377">
        <v>3395.8146475499998</v>
      </c>
      <c r="I5377" t="b">
        <f t="shared" si="300"/>
        <v>1</v>
      </c>
      <c r="J5377">
        <f t="shared" si="300"/>
        <v>0</v>
      </c>
      <c r="K5377">
        <f t="shared" si="300"/>
        <v>0</v>
      </c>
      <c r="M5377" t="str" cm="1">
        <f t="array" ref="M5377">IFERROR(INDEX($I$2:$K$2,0,MATCH(TRUE,I5377:K5377,0)),E5377)</f>
        <v>Onshore</v>
      </c>
      <c r="O5377" t="str">
        <f t="shared" si="298"/>
        <v>Onshore_2031</v>
      </c>
      <c r="P5377">
        <f t="shared" si="299"/>
        <v>3395.8146475499998</v>
      </c>
    </row>
    <row r="5378" spans="4:16" x14ac:dyDescent="0.25">
      <c r="D5378">
        <v>2032</v>
      </c>
      <c r="E5378" t="s">
        <v>133</v>
      </c>
      <c r="F5378" t="s">
        <v>555</v>
      </c>
      <c r="G5378">
        <v>3616.5910379799998</v>
      </c>
      <c r="I5378" t="b">
        <f t="shared" si="300"/>
        <v>1</v>
      </c>
      <c r="J5378">
        <f t="shared" si="300"/>
        <v>0</v>
      </c>
      <c r="K5378">
        <f t="shared" si="300"/>
        <v>0</v>
      </c>
      <c r="M5378" t="str" cm="1">
        <f t="array" ref="M5378">IFERROR(INDEX($I$2:$K$2,0,MATCH(TRUE,I5378:K5378,0)),E5378)</f>
        <v>Onshore</v>
      </c>
      <c r="O5378" t="str">
        <f t="shared" si="298"/>
        <v>Onshore_2032</v>
      </c>
      <c r="P5378">
        <f t="shared" si="299"/>
        <v>3616.5910379799998</v>
      </c>
    </row>
    <row r="5379" spans="4:16" x14ac:dyDescent="0.25">
      <c r="D5379">
        <v>2033</v>
      </c>
      <c r="E5379" t="s">
        <v>133</v>
      </c>
      <c r="F5379" t="s">
        <v>555</v>
      </c>
      <c r="G5379">
        <v>3837.3674284099998</v>
      </c>
      <c r="I5379" t="b">
        <f t="shared" si="300"/>
        <v>1</v>
      </c>
      <c r="J5379">
        <f t="shared" si="300"/>
        <v>0</v>
      </c>
      <c r="K5379">
        <f t="shared" si="300"/>
        <v>0</v>
      </c>
      <c r="M5379" t="str" cm="1">
        <f t="array" ref="M5379">IFERROR(INDEX($I$2:$K$2,0,MATCH(TRUE,I5379:K5379,0)),E5379)</f>
        <v>Onshore</v>
      </c>
      <c r="O5379" t="str">
        <f t="shared" si="298"/>
        <v>Onshore_2033</v>
      </c>
      <c r="P5379">
        <f t="shared" si="299"/>
        <v>3837.3674284099998</v>
      </c>
    </row>
    <row r="5380" spans="4:16" x14ac:dyDescent="0.25">
      <c r="D5380">
        <v>2034</v>
      </c>
      <c r="E5380" t="s">
        <v>133</v>
      </c>
      <c r="F5380" t="s">
        <v>555</v>
      </c>
      <c r="G5380">
        <v>4058.1438188500001</v>
      </c>
      <c r="I5380" t="b">
        <f t="shared" si="300"/>
        <v>1</v>
      </c>
      <c r="J5380">
        <f t="shared" si="300"/>
        <v>0</v>
      </c>
      <c r="K5380">
        <f t="shared" si="300"/>
        <v>0</v>
      </c>
      <c r="M5380" t="str" cm="1">
        <f t="array" ref="M5380">IFERROR(INDEX($I$2:$K$2,0,MATCH(TRUE,I5380:K5380,0)),E5380)</f>
        <v>Onshore</v>
      </c>
      <c r="O5380" t="str">
        <f t="shared" si="298"/>
        <v>Onshore_2034</v>
      </c>
      <c r="P5380">
        <f t="shared" si="299"/>
        <v>4058.1438188500001</v>
      </c>
    </row>
    <row r="5381" spans="4:16" x14ac:dyDescent="0.25">
      <c r="D5381">
        <v>2035</v>
      </c>
      <c r="E5381" t="s">
        <v>133</v>
      </c>
      <c r="F5381" t="s">
        <v>555</v>
      </c>
      <c r="G5381">
        <v>4278.9202092799997</v>
      </c>
      <c r="I5381" t="b">
        <f t="shared" si="300"/>
        <v>1</v>
      </c>
      <c r="J5381">
        <f t="shared" si="300"/>
        <v>0</v>
      </c>
      <c r="K5381">
        <f t="shared" si="300"/>
        <v>0</v>
      </c>
      <c r="M5381" t="str" cm="1">
        <f t="array" ref="M5381">IFERROR(INDEX($I$2:$K$2,0,MATCH(TRUE,I5381:K5381,0)),E5381)</f>
        <v>Onshore</v>
      </c>
      <c r="O5381" t="str">
        <f t="shared" si="298"/>
        <v>Onshore_2035</v>
      </c>
      <c r="P5381">
        <f t="shared" si="299"/>
        <v>4278.9202092799997</v>
      </c>
    </row>
    <row r="5382" spans="4:16" x14ac:dyDescent="0.25">
      <c r="D5382">
        <v>2036</v>
      </c>
      <c r="E5382" t="s">
        <v>133</v>
      </c>
      <c r="F5382" t="s">
        <v>555</v>
      </c>
      <c r="G5382">
        <v>4380.4184751700004</v>
      </c>
      <c r="I5382" t="b">
        <f t="shared" si="300"/>
        <v>1</v>
      </c>
      <c r="J5382">
        <f t="shared" si="300"/>
        <v>0</v>
      </c>
      <c r="K5382">
        <f t="shared" si="300"/>
        <v>0</v>
      </c>
      <c r="M5382" t="str" cm="1">
        <f t="array" ref="M5382">IFERROR(INDEX($I$2:$K$2,0,MATCH(TRUE,I5382:K5382,0)),E5382)</f>
        <v>Onshore</v>
      </c>
      <c r="O5382" t="str">
        <f t="shared" si="298"/>
        <v>Onshore_2036</v>
      </c>
      <c r="P5382">
        <f t="shared" si="299"/>
        <v>4380.4184751700004</v>
      </c>
    </row>
    <row r="5383" spans="4:16" x14ac:dyDescent="0.25">
      <c r="D5383">
        <v>2037</v>
      </c>
      <c r="E5383" t="s">
        <v>133</v>
      </c>
      <c r="F5383" t="s">
        <v>555</v>
      </c>
      <c r="G5383">
        <v>4378.7363520299996</v>
      </c>
      <c r="I5383" t="b">
        <f t="shared" si="300"/>
        <v>1</v>
      </c>
      <c r="J5383">
        <f t="shared" si="300"/>
        <v>0</v>
      </c>
      <c r="K5383">
        <f t="shared" si="300"/>
        <v>0</v>
      </c>
      <c r="M5383" t="str" cm="1">
        <f t="array" ref="M5383">IFERROR(INDEX($I$2:$K$2,0,MATCH(TRUE,I5383:K5383,0)),E5383)</f>
        <v>Onshore</v>
      </c>
      <c r="O5383" t="str">
        <f t="shared" si="298"/>
        <v>Onshore_2037</v>
      </c>
      <c r="P5383">
        <f t="shared" si="299"/>
        <v>4378.7363520299996</v>
      </c>
    </row>
    <row r="5384" spans="4:16" x14ac:dyDescent="0.25">
      <c r="D5384">
        <v>2038</v>
      </c>
      <c r="E5384" t="s">
        <v>133</v>
      </c>
      <c r="F5384" t="s">
        <v>555</v>
      </c>
      <c r="G5384">
        <v>4340.5207405499996</v>
      </c>
      <c r="I5384" t="b">
        <f t="shared" si="300"/>
        <v>1</v>
      </c>
      <c r="J5384">
        <f t="shared" si="300"/>
        <v>0</v>
      </c>
      <c r="K5384">
        <f t="shared" si="300"/>
        <v>0</v>
      </c>
      <c r="M5384" t="str" cm="1">
        <f t="array" ref="M5384">IFERROR(INDEX($I$2:$K$2,0,MATCH(TRUE,I5384:K5384,0)),E5384)</f>
        <v>Onshore</v>
      </c>
      <c r="O5384" t="str">
        <f t="shared" si="298"/>
        <v>Onshore_2038</v>
      </c>
      <c r="P5384">
        <f t="shared" si="299"/>
        <v>4340.5207405499996</v>
      </c>
    </row>
    <row r="5385" spans="4:16" x14ac:dyDescent="0.25">
      <c r="D5385">
        <v>2039</v>
      </c>
      <c r="E5385" t="s">
        <v>133</v>
      </c>
      <c r="F5385" t="s">
        <v>555</v>
      </c>
      <c r="G5385">
        <v>4235.06753217</v>
      </c>
      <c r="I5385" t="b">
        <f t="shared" si="300"/>
        <v>1</v>
      </c>
      <c r="J5385">
        <f t="shared" si="300"/>
        <v>0</v>
      </c>
      <c r="K5385">
        <f t="shared" si="300"/>
        <v>0</v>
      </c>
      <c r="M5385" t="str" cm="1">
        <f t="array" ref="M5385">IFERROR(INDEX($I$2:$K$2,0,MATCH(TRUE,I5385:K5385,0)),E5385)</f>
        <v>Onshore</v>
      </c>
      <c r="O5385" t="str">
        <f t="shared" si="298"/>
        <v>Onshore_2039</v>
      </c>
      <c r="P5385">
        <f t="shared" si="299"/>
        <v>4235.06753217</v>
      </c>
    </row>
    <row r="5386" spans="4:16" x14ac:dyDescent="0.25">
      <c r="D5386">
        <v>2040</v>
      </c>
      <c r="E5386" t="s">
        <v>133</v>
      </c>
      <c r="F5386" t="s">
        <v>555</v>
      </c>
      <c r="G5386">
        <v>3864.73416976</v>
      </c>
      <c r="I5386" t="b">
        <f t="shared" si="300"/>
        <v>1</v>
      </c>
      <c r="J5386">
        <f t="shared" si="300"/>
        <v>0</v>
      </c>
      <c r="K5386">
        <f t="shared" si="300"/>
        <v>0</v>
      </c>
      <c r="M5386" t="str" cm="1">
        <f t="array" ref="M5386">IFERROR(INDEX($I$2:$K$2,0,MATCH(TRUE,I5386:K5386,0)),E5386)</f>
        <v>Onshore</v>
      </c>
      <c r="O5386" t="str">
        <f t="shared" si="298"/>
        <v>Onshore_2040</v>
      </c>
      <c r="P5386">
        <f t="shared" si="299"/>
        <v>3864.73416976</v>
      </c>
    </row>
    <row r="5387" spans="4:16" x14ac:dyDescent="0.25">
      <c r="D5387">
        <v>2021</v>
      </c>
      <c r="E5387" t="s">
        <v>134</v>
      </c>
      <c r="F5387" t="s">
        <v>556</v>
      </c>
      <c r="G5387">
        <v>1168.1196600000001</v>
      </c>
      <c r="I5387">
        <f t="shared" si="300"/>
        <v>0</v>
      </c>
      <c r="J5387">
        <f t="shared" si="300"/>
        <v>0</v>
      </c>
      <c r="K5387">
        <f t="shared" si="300"/>
        <v>0</v>
      </c>
      <c r="M5387" t="str" cm="1">
        <f t="array" ref="M5387">IFERROR(INDEX($I$2:$K$2,0,MATCH(TRUE,I5387:K5387,0)),E5387)</f>
        <v>other RES</v>
      </c>
      <c r="O5387" t="str">
        <f t="shared" si="298"/>
        <v>other RES_2021</v>
      </c>
      <c r="P5387">
        <f t="shared" si="299"/>
        <v>1168.1196600000001</v>
      </c>
    </row>
    <row r="5388" spans="4:16" x14ac:dyDescent="0.25">
      <c r="D5388">
        <v>2022</v>
      </c>
      <c r="E5388" t="s">
        <v>134</v>
      </c>
      <c r="F5388" t="s">
        <v>556</v>
      </c>
      <c r="G5388">
        <v>1179.64338</v>
      </c>
      <c r="I5388">
        <f t="shared" si="300"/>
        <v>0</v>
      </c>
      <c r="J5388">
        <f t="shared" si="300"/>
        <v>0</v>
      </c>
      <c r="K5388">
        <f t="shared" si="300"/>
        <v>0</v>
      </c>
      <c r="M5388" t="str" cm="1">
        <f t="array" ref="M5388">IFERROR(INDEX($I$2:$K$2,0,MATCH(TRUE,I5388:K5388,0)),E5388)</f>
        <v>other RES</v>
      </c>
      <c r="O5388" t="str">
        <f t="shared" si="298"/>
        <v>other RES_2022</v>
      </c>
      <c r="P5388">
        <f t="shared" si="299"/>
        <v>1179.64338</v>
      </c>
    </row>
    <row r="5389" spans="4:16" x14ac:dyDescent="0.25">
      <c r="D5389">
        <v>2023</v>
      </c>
      <c r="E5389" t="s">
        <v>134</v>
      </c>
      <c r="F5389" t="s">
        <v>556</v>
      </c>
      <c r="G5389">
        <v>1191.1670999999999</v>
      </c>
      <c r="I5389">
        <f t="shared" si="300"/>
        <v>0</v>
      </c>
      <c r="J5389">
        <f t="shared" si="300"/>
        <v>0</v>
      </c>
      <c r="K5389">
        <f t="shared" si="300"/>
        <v>0</v>
      </c>
      <c r="M5389" t="str" cm="1">
        <f t="array" ref="M5389">IFERROR(INDEX($I$2:$K$2,0,MATCH(TRUE,I5389:K5389,0)),E5389)</f>
        <v>other RES</v>
      </c>
      <c r="O5389" t="str">
        <f t="shared" si="298"/>
        <v>other RES_2023</v>
      </c>
      <c r="P5389">
        <f t="shared" si="299"/>
        <v>1191.1670999999999</v>
      </c>
    </row>
    <row r="5390" spans="4:16" x14ac:dyDescent="0.25">
      <c r="D5390">
        <v>2024</v>
      </c>
      <c r="E5390" t="s">
        <v>134</v>
      </c>
      <c r="F5390" t="s">
        <v>556</v>
      </c>
      <c r="G5390">
        <v>1202.69082</v>
      </c>
      <c r="I5390">
        <f t="shared" si="300"/>
        <v>0</v>
      </c>
      <c r="J5390">
        <f t="shared" si="300"/>
        <v>0</v>
      </c>
      <c r="K5390">
        <f t="shared" si="300"/>
        <v>0</v>
      </c>
      <c r="M5390" t="str" cm="1">
        <f t="array" ref="M5390">IFERROR(INDEX($I$2:$K$2,0,MATCH(TRUE,I5390:K5390,0)),E5390)</f>
        <v>other RES</v>
      </c>
      <c r="O5390" t="str">
        <f t="shared" si="298"/>
        <v>other RES_2024</v>
      </c>
      <c r="P5390">
        <f t="shared" si="299"/>
        <v>1202.69082</v>
      </c>
    </row>
    <row r="5391" spans="4:16" x14ac:dyDescent="0.25">
      <c r="D5391">
        <v>2025</v>
      </c>
      <c r="E5391" t="s">
        <v>134</v>
      </c>
      <c r="F5391" t="s">
        <v>556</v>
      </c>
      <c r="G5391">
        <v>1214.2145399999999</v>
      </c>
      <c r="I5391">
        <f t="shared" si="300"/>
        <v>0</v>
      </c>
      <c r="J5391">
        <f t="shared" si="300"/>
        <v>0</v>
      </c>
      <c r="K5391">
        <f t="shared" si="300"/>
        <v>0</v>
      </c>
      <c r="M5391" t="str" cm="1">
        <f t="array" ref="M5391">IFERROR(INDEX($I$2:$K$2,0,MATCH(TRUE,I5391:K5391,0)),E5391)</f>
        <v>other RES</v>
      </c>
      <c r="O5391" t="str">
        <f t="shared" si="298"/>
        <v>other RES_2025</v>
      </c>
      <c r="P5391">
        <f t="shared" si="299"/>
        <v>1214.2145399999999</v>
      </c>
    </row>
    <row r="5392" spans="4:16" x14ac:dyDescent="0.25">
      <c r="D5392">
        <v>2026</v>
      </c>
      <c r="E5392" t="s">
        <v>134</v>
      </c>
      <c r="F5392" t="s">
        <v>556</v>
      </c>
      <c r="G5392">
        <v>1220.9947380000001</v>
      </c>
      <c r="I5392">
        <f t="shared" si="300"/>
        <v>0</v>
      </c>
      <c r="J5392">
        <f t="shared" si="300"/>
        <v>0</v>
      </c>
      <c r="K5392">
        <f t="shared" si="300"/>
        <v>0</v>
      </c>
      <c r="M5392" t="str" cm="1">
        <f t="array" ref="M5392">IFERROR(INDEX($I$2:$K$2,0,MATCH(TRUE,I5392:K5392,0)),E5392)</f>
        <v>other RES</v>
      </c>
      <c r="O5392" t="str">
        <f t="shared" si="298"/>
        <v>other RES_2026</v>
      </c>
      <c r="P5392">
        <f t="shared" si="299"/>
        <v>1220.9947380000001</v>
      </c>
    </row>
    <row r="5393" spans="4:16" x14ac:dyDescent="0.25">
      <c r="D5393">
        <v>2027</v>
      </c>
      <c r="E5393" t="s">
        <v>134</v>
      </c>
      <c r="F5393" t="s">
        <v>556</v>
      </c>
      <c r="G5393">
        <v>1223.031414</v>
      </c>
      <c r="I5393">
        <f t="shared" si="300"/>
        <v>0</v>
      </c>
      <c r="J5393">
        <f t="shared" si="300"/>
        <v>0</v>
      </c>
      <c r="K5393">
        <f t="shared" si="300"/>
        <v>0</v>
      </c>
      <c r="M5393" t="str" cm="1">
        <f t="array" ref="M5393">IFERROR(INDEX($I$2:$K$2,0,MATCH(TRUE,I5393:K5393,0)),E5393)</f>
        <v>other RES</v>
      </c>
      <c r="O5393" t="str">
        <f t="shared" si="298"/>
        <v>other RES_2027</v>
      </c>
      <c r="P5393">
        <f t="shared" si="299"/>
        <v>1223.031414</v>
      </c>
    </row>
    <row r="5394" spans="4:16" x14ac:dyDescent="0.25">
      <c r="D5394">
        <v>2028</v>
      </c>
      <c r="E5394" t="s">
        <v>134</v>
      </c>
      <c r="F5394" t="s">
        <v>556</v>
      </c>
      <c r="G5394">
        <v>1225.06809</v>
      </c>
      <c r="I5394">
        <f t="shared" si="300"/>
        <v>0</v>
      </c>
      <c r="J5394">
        <f t="shared" si="300"/>
        <v>0</v>
      </c>
      <c r="K5394">
        <f t="shared" si="300"/>
        <v>0</v>
      </c>
      <c r="M5394" t="str" cm="1">
        <f t="array" ref="M5394">IFERROR(INDEX($I$2:$K$2,0,MATCH(TRUE,I5394:K5394,0)),E5394)</f>
        <v>other RES</v>
      </c>
      <c r="O5394" t="str">
        <f t="shared" si="298"/>
        <v>other RES_2028</v>
      </c>
      <c r="P5394">
        <f t="shared" si="299"/>
        <v>1225.06809</v>
      </c>
    </row>
    <row r="5395" spans="4:16" x14ac:dyDescent="0.25">
      <c r="D5395">
        <v>2029</v>
      </c>
      <c r="E5395" t="s">
        <v>134</v>
      </c>
      <c r="F5395" t="s">
        <v>556</v>
      </c>
      <c r="G5395">
        <v>1227.1047659999999</v>
      </c>
      <c r="I5395">
        <f t="shared" si="300"/>
        <v>0</v>
      </c>
      <c r="J5395">
        <f t="shared" si="300"/>
        <v>0</v>
      </c>
      <c r="K5395">
        <f t="shared" si="300"/>
        <v>0</v>
      </c>
      <c r="M5395" t="str" cm="1">
        <f t="array" ref="M5395">IFERROR(INDEX($I$2:$K$2,0,MATCH(TRUE,I5395:K5395,0)),E5395)</f>
        <v>other RES</v>
      </c>
      <c r="O5395" t="str">
        <f t="shared" ref="O5395:O5458" si="301">M5395&amp;"_"&amp;D5395</f>
        <v>other RES_2029</v>
      </c>
      <c r="P5395">
        <f t="shared" ref="P5395:P5458" si="302">G5395</f>
        <v>1227.1047659999999</v>
      </c>
    </row>
    <row r="5396" spans="4:16" x14ac:dyDescent="0.25">
      <c r="D5396">
        <v>2030</v>
      </c>
      <c r="E5396" t="s">
        <v>134</v>
      </c>
      <c r="F5396" t="s">
        <v>556</v>
      </c>
      <c r="G5396">
        <v>1229.1414420000001</v>
      </c>
      <c r="I5396">
        <f t="shared" si="300"/>
        <v>0</v>
      </c>
      <c r="J5396">
        <f t="shared" si="300"/>
        <v>0</v>
      </c>
      <c r="K5396">
        <f t="shared" si="300"/>
        <v>0</v>
      </c>
      <c r="M5396" t="str" cm="1">
        <f t="array" ref="M5396">IFERROR(INDEX($I$2:$K$2,0,MATCH(TRUE,I5396:K5396,0)),E5396)</f>
        <v>other RES</v>
      </c>
      <c r="O5396" t="str">
        <f t="shared" si="301"/>
        <v>other RES_2030</v>
      </c>
      <c r="P5396">
        <f t="shared" si="302"/>
        <v>1229.1414420000001</v>
      </c>
    </row>
    <row r="5397" spans="4:16" x14ac:dyDescent="0.25">
      <c r="D5397">
        <v>2031</v>
      </c>
      <c r="E5397" t="s">
        <v>134</v>
      </c>
      <c r="F5397" t="s">
        <v>556</v>
      </c>
      <c r="G5397">
        <v>1230.5602799999999</v>
      </c>
      <c r="I5397">
        <f t="shared" ref="I5397:K5460" si="303">IFERROR(FIND(I$2,$E5397,1)&gt;0,0)</f>
        <v>0</v>
      </c>
      <c r="J5397">
        <f t="shared" si="303"/>
        <v>0</v>
      </c>
      <c r="K5397">
        <f t="shared" si="303"/>
        <v>0</v>
      </c>
      <c r="M5397" t="str" cm="1">
        <f t="array" ref="M5397">IFERROR(INDEX($I$2:$K$2,0,MATCH(TRUE,I5397:K5397,0)),E5397)</f>
        <v>other RES</v>
      </c>
      <c r="O5397" t="str">
        <f t="shared" si="301"/>
        <v>other RES_2031</v>
      </c>
      <c r="P5397">
        <f t="shared" si="302"/>
        <v>1230.5602799999999</v>
      </c>
    </row>
    <row r="5398" spans="4:16" x14ac:dyDescent="0.25">
      <c r="D5398">
        <v>2032</v>
      </c>
      <c r="E5398" t="s">
        <v>134</v>
      </c>
      <c r="F5398" t="s">
        <v>556</v>
      </c>
      <c r="G5398">
        <v>1231.3612800000001</v>
      </c>
      <c r="I5398">
        <f t="shared" si="303"/>
        <v>0</v>
      </c>
      <c r="J5398">
        <f t="shared" si="303"/>
        <v>0</v>
      </c>
      <c r="K5398">
        <f t="shared" si="303"/>
        <v>0</v>
      </c>
      <c r="M5398" t="str" cm="1">
        <f t="array" ref="M5398">IFERROR(INDEX($I$2:$K$2,0,MATCH(TRUE,I5398:K5398,0)),E5398)</f>
        <v>other RES</v>
      </c>
      <c r="O5398" t="str">
        <f t="shared" si="301"/>
        <v>other RES_2032</v>
      </c>
      <c r="P5398">
        <f t="shared" si="302"/>
        <v>1231.3612800000001</v>
      </c>
    </row>
    <row r="5399" spans="4:16" x14ac:dyDescent="0.25">
      <c r="D5399">
        <v>2033</v>
      </c>
      <c r="E5399" t="s">
        <v>134</v>
      </c>
      <c r="F5399" t="s">
        <v>556</v>
      </c>
      <c r="G5399">
        <v>1232.16228</v>
      </c>
      <c r="I5399">
        <f t="shared" si="303"/>
        <v>0</v>
      </c>
      <c r="J5399">
        <f t="shared" si="303"/>
        <v>0</v>
      </c>
      <c r="K5399">
        <f t="shared" si="303"/>
        <v>0</v>
      </c>
      <c r="M5399" t="str" cm="1">
        <f t="array" ref="M5399">IFERROR(INDEX($I$2:$K$2,0,MATCH(TRUE,I5399:K5399,0)),E5399)</f>
        <v>other RES</v>
      </c>
      <c r="O5399" t="str">
        <f t="shared" si="301"/>
        <v>other RES_2033</v>
      </c>
      <c r="P5399">
        <f t="shared" si="302"/>
        <v>1232.16228</v>
      </c>
    </row>
    <row r="5400" spans="4:16" x14ac:dyDescent="0.25">
      <c r="D5400">
        <v>2034</v>
      </c>
      <c r="E5400" t="s">
        <v>134</v>
      </c>
      <c r="F5400" t="s">
        <v>556</v>
      </c>
      <c r="G5400">
        <v>1232.9632799999999</v>
      </c>
      <c r="I5400">
        <f t="shared" si="303"/>
        <v>0</v>
      </c>
      <c r="J5400">
        <f t="shared" si="303"/>
        <v>0</v>
      </c>
      <c r="K5400">
        <f t="shared" si="303"/>
        <v>0</v>
      </c>
      <c r="M5400" t="str" cm="1">
        <f t="array" ref="M5400">IFERROR(INDEX($I$2:$K$2,0,MATCH(TRUE,I5400:K5400,0)),E5400)</f>
        <v>other RES</v>
      </c>
      <c r="O5400" t="str">
        <f t="shared" si="301"/>
        <v>other RES_2034</v>
      </c>
      <c r="P5400">
        <f t="shared" si="302"/>
        <v>1232.9632799999999</v>
      </c>
    </row>
    <row r="5401" spans="4:16" x14ac:dyDescent="0.25">
      <c r="D5401">
        <v>2035</v>
      </c>
      <c r="E5401" t="s">
        <v>134</v>
      </c>
      <c r="F5401" t="s">
        <v>556</v>
      </c>
      <c r="G5401">
        <v>1233.7642800000001</v>
      </c>
      <c r="I5401">
        <f t="shared" si="303"/>
        <v>0</v>
      </c>
      <c r="J5401">
        <f t="shared" si="303"/>
        <v>0</v>
      </c>
      <c r="K5401">
        <f t="shared" si="303"/>
        <v>0</v>
      </c>
      <c r="M5401" t="str" cm="1">
        <f t="array" ref="M5401">IFERROR(INDEX($I$2:$K$2,0,MATCH(TRUE,I5401:K5401,0)),E5401)</f>
        <v>other RES</v>
      </c>
      <c r="O5401" t="str">
        <f t="shared" si="301"/>
        <v>other RES_2035</v>
      </c>
      <c r="P5401">
        <f t="shared" si="302"/>
        <v>1233.7642800000001</v>
      </c>
    </row>
    <row r="5402" spans="4:16" x14ac:dyDescent="0.25">
      <c r="D5402">
        <v>2036</v>
      </c>
      <c r="E5402" t="s">
        <v>134</v>
      </c>
      <c r="F5402" t="s">
        <v>556</v>
      </c>
      <c r="G5402">
        <v>1234.1647800000001</v>
      </c>
      <c r="I5402">
        <f t="shared" si="303"/>
        <v>0</v>
      </c>
      <c r="J5402">
        <f t="shared" si="303"/>
        <v>0</v>
      </c>
      <c r="K5402">
        <f t="shared" si="303"/>
        <v>0</v>
      </c>
      <c r="M5402" t="str" cm="1">
        <f t="array" ref="M5402">IFERROR(INDEX($I$2:$K$2,0,MATCH(TRUE,I5402:K5402,0)),E5402)</f>
        <v>other RES</v>
      </c>
      <c r="O5402" t="str">
        <f t="shared" si="301"/>
        <v>other RES_2036</v>
      </c>
      <c r="P5402">
        <f t="shared" si="302"/>
        <v>1234.1647800000001</v>
      </c>
    </row>
    <row r="5403" spans="4:16" x14ac:dyDescent="0.25">
      <c r="D5403">
        <v>2037</v>
      </c>
      <c r="E5403" t="s">
        <v>134</v>
      </c>
      <c r="F5403" t="s">
        <v>556</v>
      </c>
      <c r="G5403">
        <v>1234.1647800000001</v>
      </c>
      <c r="I5403">
        <f t="shared" si="303"/>
        <v>0</v>
      </c>
      <c r="J5403">
        <f t="shared" si="303"/>
        <v>0</v>
      </c>
      <c r="K5403">
        <f t="shared" si="303"/>
        <v>0</v>
      </c>
      <c r="M5403" t="str" cm="1">
        <f t="array" ref="M5403">IFERROR(INDEX($I$2:$K$2,0,MATCH(TRUE,I5403:K5403,0)),E5403)</f>
        <v>other RES</v>
      </c>
      <c r="O5403" t="str">
        <f t="shared" si="301"/>
        <v>other RES_2037</v>
      </c>
      <c r="P5403">
        <f t="shared" si="302"/>
        <v>1234.1647800000001</v>
      </c>
    </row>
    <row r="5404" spans="4:16" x14ac:dyDescent="0.25">
      <c r="D5404">
        <v>2038</v>
      </c>
      <c r="E5404" t="s">
        <v>134</v>
      </c>
      <c r="F5404" t="s">
        <v>556</v>
      </c>
      <c r="G5404">
        <v>1234.1647800000001</v>
      </c>
      <c r="I5404">
        <f t="shared" si="303"/>
        <v>0</v>
      </c>
      <c r="J5404">
        <f t="shared" si="303"/>
        <v>0</v>
      </c>
      <c r="K5404">
        <f t="shared" si="303"/>
        <v>0</v>
      </c>
      <c r="M5404" t="str" cm="1">
        <f t="array" ref="M5404">IFERROR(INDEX($I$2:$K$2,0,MATCH(TRUE,I5404:K5404,0)),E5404)</f>
        <v>other RES</v>
      </c>
      <c r="O5404" t="str">
        <f t="shared" si="301"/>
        <v>other RES_2038</v>
      </c>
      <c r="P5404">
        <f t="shared" si="302"/>
        <v>1234.1647800000001</v>
      </c>
    </row>
    <row r="5405" spans="4:16" x14ac:dyDescent="0.25">
      <c r="D5405">
        <v>2039</v>
      </c>
      <c r="E5405" t="s">
        <v>134</v>
      </c>
      <c r="F5405" t="s">
        <v>556</v>
      </c>
      <c r="G5405">
        <v>1234.1647800000001</v>
      </c>
      <c r="I5405">
        <f t="shared" si="303"/>
        <v>0</v>
      </c>
      <c r="J5405">
        <f t="shared" si="303"/>
        <v>0</v>
      </c>
      <c r="K5405">
        <f t="shared" si="303"/>
        <v>0</v>
      </c>
      <c r="M5405" t="str" cm="1">
        <f t="array" ref="M5405">IFERROR(INDEX($I$2:$K$2,0,MATCH(TRUE,I5405:K5405,0)),E5405)</f>
        <v>other RES</v>
      </c>
      <c r="O5405" t="str">
        <f t="shared" si="301"/>
        <v>other RES_2039</v>
      </c>
      <c r="P5405">
        <f t="shared" si="302"/>
        <v>1234.1647800000001</v>
      </c>
    </row>
    <row r="5406" spans="4:16" x14ac:dyDescent="0.25">
      <c r="D5406">
        <v>2040</v>
      </c>
      <c r="E5406" t="s">
        <v>134</v>
      </c>
      <c r="F5406" t="s">
        <v>556</v>
      </c>
      <c r="G5406">
        <v>1234.1647800000001</v>
      </c>
      <c r="I5406">
        <f t="shared" si="303"/>
        <v>0</v>
      </c>
      <c r="J5406">
        <f t="shared" si="303"/>
        <v>0</v>
      </c>
      <c r="K5406">
        <f t="shared" si="303"/>
        <v>0</v>
      </c>
      <c r="M5406" t="str" cm="1">
        <f t="array" ref="M5406">IFERROR(INDEX($I$2:$K$2,0,MATCH(TRUE,I5406:K5406,0)),E5406)</f>
        <v>other RES</v>
      </c>
      <c r="O5406" t="str">
        <f t="shared" si="301"/>
        <v>other RES_2040</v>
      </c>
      <c r="P5406">
        <f t="shared" si="302"/>
        <v>1234.1647800000001</v>
      </c>
    </row>
    <row r="5407" spans="4:16" x14ac:dyDescent="0.25">
      <c r="D5407">
        <v>2021</v>
      </c>
      <c r="E5407" t="s">
        <v>134</v>
      </c>
      <c r="F5407" t="s">
        <v>557</v>
      </c>
      <c r="G5407">
        <v>1566.2428399999999</v>
      </c>
      <c r="I5407">
        <f t="shared" si="303"/>
        <v>0</v>
      </c>
      <c r="J5407">
        <f t="shared" si="303"/>
        <v>0</v>
      </c>
      <c r="K5407">
        <f t="shared" si="303"/>
        <v>0</v>
      </c>
      <c r="M5407" t="str" cm="1">
        <f t="array" ref="M5407">IFERROR(INDEX($I$2:$K$2,0,MATCH(TRUE,I5407:K5407,0)),E5407)</f>
        <v>other RES</v>
      </c>
      <c r="O5407" t="str">
        <f t="shared" si="301"/>
        <v>other RES_2021</v>
      </c>
      <c r="P5407">
        <f t="shared" si="302"/>
        <v>1566.2428399999999</v>
      </c>
    </row>
    <row r="5408" spans="4:16" x14ac:dyDescent="0.25">
      <c r="D5408">
        <v>2022</v>
      </c>
      <c r="E5408" t="s">
        <v>134</v>
      </c>
      <c r="F5408" t="s">
        <v>557</v>
      </c>
      <c r="G5408">
        <v>1581.6941200000001</v>
      </c>
      <c r="I5408">
        <f t="shared" si="303"/>
        <v>0</v>
      </c>
      <c r="J5408">
        <f t="shared" si="303"/>
        <v>0</v>
      </c>
      <c r="K5408">
        <f t="shared" si="303"/>
        <v>0</v>
      </c>
      <c r="M5408" t="str" cm="1">
        <f t="array" ref="M5408">IFERROR(INDEX($I$2:$K$2,0,MATCH(TRUE,I5408:K5408,0)),E5408)</f>
        <v>other RES</v>
      </c>
      <c r="O5408" t="str">
        <f t="shared" si="301"/>
        <v>other RES_2022</v>
      </c>
      <c r="P5408">
        <f t="shared" si="302"/>
        <v>1581.6941200000001</v>
      </c>
    </row>
    <row r="5409" spans="4:16" x14ac:dyDescent="0.25">
      <c r="D5409">
        <v>2023</v>
      </c>
      <c r="E5409" t="s">
        <v>134</v>
      </c>
      <c r="F5409" t="s">
        <v>557</v>
      </c>
      <c r="G5409">
        <v>1597.1454000000001</v>
      </c>
      <c r="I5409">
        <f t="shared" si="303"/>
        <v>0</v>
      </c>
      <c r="J5409">
        <f t="shared" si="303"/>
        <v>0</v>
      </c>
      <c r="K5409">
        <f t="shared" si="303"/>
        <v>0</v>
      </c>
      <c r="M5409" t="str" cm="1">
        <f t="array" ref="M5409">IFERROR(INDEX($I$2:$K$2,0,MATCH(TRUE,I5409:K5409,0)),E5409)</f>
        <v>other RES</v>
      </c>
      <c r="O5409" t="str">
        <f t="shared" si="301"/>
        <v>other RES_2023</v>
      </c>
      <c r="P5409">
        <f t="shared" si="302"/>
        <v>1597.1454000000001</v>
      </c>
    </row>
    <row r="5410" spans="4:16" x14ac:dyDescent="0.25">
      <c r="D5410">
        <v>2024</v>
      </c>
      <c r="E5410" t="s">
        <v>134</v>
      </c>
      <c r="F5410" t="s">
        <v>557</v>
      </c>
      <c r="G5410">
        <v>1612.5966800000001</v>
      </c>
      <c r="I5410">
        <f t="shared" si="303"/>
        <v>0</v>
      </c>
      <c r="J5410">
        <f t="shared" si="303"/>
        <v>0</v>
      </c>
      <c r="K5410">
        <f t="shared" si="303"/>
        <v>0</v>
      </c>
      <c r="M5410" t="str" cm="1">
        <f t="array" ref="M5410">IFERROR(INDEX($I$2:$K$2,0,MATCH(TRUE,I5410:K5410,0)),E5410)</f>
        <v>other RES</v>
      </c>
      <c r="O5410" t="str">
        <f t="shared" si="301"/>
        <v>other RES_2024</v>
      </c>
      <c r="P5410">
        <f t="shared" si="302"/>
        <v>1612.5966800000001</v>
      </c>
    </row>
    <row r="5411" spans="4:16" x14ac:dyDescent="0.25">
      <c r="D5411">
        <v>2025</v>
      </c>
      <c r="E5411" t="s">
        <v>134</v>
      </c>
      <c r="F5411" t="s">
        <v>557</v>
      </c>
      <c r="G5411">
        <v>1628.0479600000001</v>
      </c>
      <c r="I5411">
        <f t="shared" si="303"/>
        <v>0</v>
      </c>
      <c r="J5411">
        <f t="shared" si="303"/>
        <v>0</v>
      </c>
      <c r="K5411">
        <f t="shared" si="303"/>
        <v>0</v>
      </c>
      <c r="M5411" t="str" cm="1">
        <f t="array" ref="M5411">IFERROR(INDEX($I$2:$K$2,0,MATCH(TRUE,I5411:K5411,0)),E5411)</f>
        <v>other RES</v>
      </c>
      <c r="O5411" t="str">
        <f t="shared" si="301"/>
        <v>other RES_2025</v>
      </c>
      <c r="P5411">
        <f t="shared" si="302"/>
        <v>1628.0479600000001</v>
      </c>
    </row>
    <row r="5412" spans="4:16" x14ac:dyDescent="0.25">
      <c r="D5412">
        <v>2026</v>
      </c>
      <c r="E5412" t="s">
        <v>134</v>
      </c>
      <c r="F5412" t="s">
        <v>557</v>
      </c>
      <c r="G5412">
        <v>1637.1390120000001</v>
      </c>
      <c r="I5412">
        <f t="shared" si="303"/>
        <v>0</v>
      </c>
      <c r="J5412">
        <f t="shared" si="303"/>
        <v>0</v>
      </c>
      <c r="K5412">
        <f t="shared" si="303"/>
        <v>0</v>
      </c>
      <c r="M5412" t="str" cm="1">
        <f t="array" ref="M5412">IFERROR(INDEX($I$2:$K$2,0,MATCH(TRUE,I5412:K5412,0)),E5412)</f>
        <v>other RES</v>
      </c>
      <c r="O5412" t="str">
        <f t="shared" si="301"/>
        <v>other RES_2026</v>
      </c>
      <c r="P5412">
        <f t="shared" si="302"/>
        <v>1637.1390120000001</v>
      </c>
    </row>
    <row r="5413" spans="4:16" x14ac:dyDescent="0.25">
      <c r="D5413">
        <v>2027</v>
      </c>
      <c r="E5413" t="s">
        <v>134</v>
      </c>
      <c r="F5413" t="s">
        <v>557</v>
      </c>
      <c r="G5413">
        <v>1639.8698360000001</v>
      </c>
      <c r="I5413">
        <f t="shared" si="303"/>
        <v>0</v>
      </c>
      <c r="J5413">
        <f t="shared" si="303"/>
        <v>0</v>
      </c>
      <c r="K5413">
        <f t="shared" si="303"/>
        <v>0</v>
      </c>
      <c r="M5413" t="str" cm="1">
        <f t="array" ref="M5413">IFERROR(INDEX($I$2:$K$2,0,MATCH(TRUE,I5413:K5413,0)),E5413)</f>
        <v>other RES</v>
      </c>
      <c r="O5413" t="str">
        <f t="shared" si="301"/>
        <v>other RES_2027</v>
      </c>
      <c r="P5413">
        <f t="shared" si="302"/>
        <v>1639.8698360000001</v>
      </c>
    </row>
    <row r="5414" spans="4:16" x14ac:dyDescent="0.25">
      <c r="D5414">
        <v>2028</v>
      </c>
      <c r="E5414" t="s">
        <v>134</v>
      </c>
      <c r="F5414" t="s">
        <v>557</v>
      </c>
      <c r="G5414">
        <v>1642.6006600000001</v>
      </c>
      <c r="I5414">
        <f t="shared" si="303"/>
        <v>0</v>
      </c>
      <c r="J5414">
        <f t="shared" si="303"/>
        <v>0</v>
      </c>
      <c r="K5414">
        <f t="shared" si="303"/>
        <v>0</v>
      </c>
      <c r="M5414" t="str" cm="1">
        <f t="array" ref="M5414">IFERROR(INDEX($I$2:$K$2,0,MATCH(TRUE,I5414:K5414,0)),E5414)</f>
        <v>other RES</v>
      </c>
      <c r="O5414" t="str">
        <f t="shared" si="301"/>
        <v>other RES_2028</v>
      </c>
      <c r="P5414">
        <f t="shared" si="302"/>
        <v>1642.6006600000001</v>
      </c>
    </row>
    <row r="5415" spans="4:16" x14ac:dyDescent="0.25">
      <c r="D5415">
        <v>2029</v>
      </c>
      <c r="E5415" t="s">
        <v>134</v>
      </c>
      <c r="F5415" t="s">
        <v>557</v>
      </c>
      <c r="G5415">
        <v>1645.331484</v>
      </c>
      <c r="I5415">
        <f t="shared" si="303"/>
        <v>0</v>
      </c>
      <c r="J5415">
        <f t="shared" si="303"/>
        <v>0</v>
      </c>
      <c r="K5415">
        <f t="shared" si="303"/>
        <v>0</v>
      </c>
      <c r="M5415" t="str" cm="1">
        <f t="array" ref="M5415">IFERROR(INDEX($I$2:$K$2,0,MATCH(TRUE,I5415:K5415,0)),E5415)</f>
        <v>other RES</v>
      </c>
      <c r="O5415" t="str">
        <f t="shared" si="301"/>
        <v>other RES_2029</v>
      </c>
      <c r="P5415">
        <f t="shared" si="302"/>
        <v>1645.331484</v>
      </c>
    </row>
    <row r="5416" spans="4:16" x14ac:dyDescent="0.25">
      <c r="D5416">
        <v>2030</v>
      </c>
      <c r="E5416" t="s">
        <v>134</v>
      </c>
      <c r="F5416" t="s">
        <v>557</v>
      </c>
      <c r="G5416">
        <v>1648.062308</v>
      </c>
      <c r="I5416">
        <f t="shared" si="303"/>
        <v>0</v>
      </c>
      <c r="J5416">
        <f t="shared" si="303"/>
        <v>0</v>
      </c>
      <c r="K5416">
        <f t="shared" si="303"/>
        <v>0</v>
      </c>
      <c r="M5416" t="str" cm="1">
        <f t="array" ref="M5416">IFERROR(INDEX($I$2:$K$2,0,MATCH(TRUE,I5416:K5416,0)),E5416)</f>
        <v>other RES</v>
      </c>
      <c r="O5416" t="str">
        <f t="shared" si="301"/>
        <v>other RES_2030</v>
      </c>
      <c r="P5416">
        <f t="shared" si="302"/>
        <v>1648.062308</v>
      </c>
    </row>
    <row r="5417" spans="4:16" x14ac:dyDescent="0.25">
      <c r="D5417">
        <v>2031</v>
      </c>
      <c r="E5417" t="s">
        <v>134</v>
      </c>
      <c r="F5417" t="s">
        <v>557</v>
      </c>
      <c r="G5417">
        <v>1649.9647199999999</v>
      </c>
      <c r="I5417">
        <f t="shared" si="303"/>
        <v>0</v>
      </c>
      <c r="J5417">
        <f t="shared" si="303"/>
        <v>0</v>
      </c>
      <c r="K5417">
        <f t="shared" si="303"/>
        <v>0</v>
      </c>
      <c r="M5417" t="str" cm="1">
        <f t="array" ref="M5417">IFERROR(INDEX($I$2:$K$2,0,MATCH(TRUE,I5417:K5417,0)),E5417)</f>
        <v>other RES</v>
      </c>
      <c r="O5417" t="str">
        <f t="shared" si="301"/>
        <v>other RES_2031</v>
      </c>
      <c r="P5417">
        <f t="shared" si="302"/>
        <v>1649.9647199999999</v>
      </c>
    </row>
    <row r="5418" spans="4:16" x14ac:dyDescent="0.25">
      <c r="D5418">
        <v>2032</v>
      </c>
      <c r="E5418" t="s">
        <v>134</v>
      </c>
      <c r="F5418" t="s">
        <v>557</v>
      </c>
      <c r="G5418">
        <v>1651.03872</v>
      </c>
      <c r="I5418">
        <f t="shared" si="303"/>
        <v>0</v>
      </c>
      <c r="J5418">
        <f t="shared" si="303"/>
        <v>0</v>
      </c>
      <c r="K5418">
        <f t="shared" si="303"/>
        <v>0</v>
      </c>
      <c r="M5418" t="str" cm="1">
        <f t="array" ref="M5418">IFERROR(INDEX($I$2:$K$2,0,MATCH(TRUE,I5418:K5418,0)),E5418)</f>
        <v>other RES</v>
      </c>
      <c r="O5418" t="str">
        <f t="shared" si="301"/>
        <v>other RES_2032</v>
      </c>
      <c r="P5418">
        <f t="shared" si="302"/>
        <v>1651.03872</v>
      </c>
    </row>
    <row r="5419" spans="4:16" x14ac:dyDescent="0.25">
      <c r="D5419">
        <v>2033</v>
      </c>
      <c r="E5419" t="s">
        <v>134</v>
      </c>
      <c r="F5419" t="s">
        <v>557</v>
      </c>
      <c r="G5419">
        <v>1652.1127200000001</v>
      </c>
      <c r="I5419">
        <f t="shared" si="303"/>
        <v>0</v>
      </c>
      <c r="J5419">
        <f t="shared" si="303"/>
        <v>0</v>
      </c>
      <c r="K5419">
        <f t="shared" si="303"/>
        <v>0</v>
      </c>
      <c r="M5419" t="str" cm="1">
        <f t="array" ref="M5419">IFERROR(INDEX($I$2:$K$2,0,MATCH(TRUE,I5419:K5419,0)),E5419)</f>
        <v>other RES</v>
      </c>
      <c r="O5419" t="str">
        <f t="shared" si="301"/>
        <v>other RES_2033</v>
      </c>
      <c r="P5419">
        <f t="shared" si="302"/>
        <v>1652.1127200000001</v>
      </c>
    </row>
    <row r="5420" spans="4:16" x14ac:dyDescent="0.25">
      <c r="D5420">
        <v>2034</v>
      </c>
      <c r="E5420" t="s">
        <v>134</v>
      </c>
      <c r="F5420" t="s">
        <v>557</v>
      </c>
      <c r="G5420">
        <v>1653.1867199999999</v>
      </c>
      <c r="I5420">
        <f t="shared" si="303"/>
        <v>0</v>
      </c>
      <c r="J5420">
        <f t="shared" si="303"/>
        <v>0</v>
      </c>
      <c r="K5420">
        <f t="shared" si="303"/>
        <v>0</v>
      </c>
      <c r="M5420" t="str" cm="1">
        <f t="array" ref="M5420">IFERROR(INDEX($I$2:$K$2,0,MATCH(TRUE,I5420:K5420,0)),E5420)</f>
        <v>other RES</v>
      </c>
      <c r="O5420" t="str">
        <f t="shared" si="301"/>
        <v>other RES_2034</v>
      </c>
      <c r="P5420">
        <f t="shared" si="302"/>
        <v>1653.1867199999999</v>
      </c>
    </row>
    <row r="5421" spans="4:16" x14ac:dyDescent="0.25">
      <c r="D5421">
        <v>2035</v>
      </c>
      <c r="E5421" t="s">
        <v>134</v>
      </c>
      <c r="F5421" t="s">
        <v>557</v>
      </c>
      <c r="G5421">
        <v>1654.26072</v>
      </c>
      <c r="I5421">
        <f t="shared" si="303"/>
        <v>0</v>
      </c>
      <c r="J5421">
        <f t="shared" si="303"/>
        <v>0</v>
      </c>
      <c r="K5421">
        <f t="shared" si="303"/>
        <v>0</v>
      </c>
      <c r="M5421" t="str" cm="1">
        <f t="array" ref="M5421">IFERROR(INDEX($I$2:$K$2,0,MATCH(TRUE,I5421:K5421,0)),E5421)</f>
        <v>other RES</v>
      </c>
      <c r="O5421" t="str">
        <f t="shared" si="301"/>
        <v>other RES_2035</v>
      </c>
      <c r="P5421">
        <f t="shared" si="302"/>
        <v>1654.26072</v>
      </c>
    </row>
    <row r="5422" spans="4:16" x14ac:dyDescent="0.25">
      <c r="D5422">
        <v>2036</v>
      </c>
      <c r="E5422" t="s">
        <v>134</v>
      </c>
      <c r="F5422" t="s">
        <v>557</v>
      </c>
      <c r="G5422">
        <v>1654.79772</v>
      </c>
      <c r="I5422">
        <f t="shared" si="303"/>
        <v>0</v>
      </c>
      <c r="J5422">
        <f t="shared" si="303"/>
        <v>0</v>
      </c>
      <c r="K5422">
        <f t="shared" si="303"/>
        <v>0</v>
      </c>
      <c r="M5422" t="str" cm="1">
        <f t="array" ref="M5422">IFERROR(INDEX($I$2:$K$2,0,MATCH(TRUE,I5422:K5422,0)),E5422)</f>
        <v>other RES</v>
      </c>
      <c r="O5422" t="str">
        <f t="shared" si="301"/>
        <v>other RES_2036</v>
      </c>
      <c r="P5422">
        <f t="shared" si="302"/>
        <v>1654.79772</v>
      </c>
    </row>
    <row r="5423" spans="4:16" x14ac:dyDescent="0.25">
      <c r="D5423">
        <v>2037</v>
      </c>
      <c r="E5423" t="s">
        <v>134</v>
      </c>
      <c r="F5423" t="s">
        <v>557</v>
      </c>
      <c r="G5423">
        <v>1654.79772</v>
      </c>
      <c r="I5423">
        <f t="shared" si="303"/>
        <v>0</v>
      </c>
      <c r="J5423">
        <f t="shared" si="303"/>
        <v>0</v>
      </c>
      <c r="K5423">
        <f t="shared" si="303"/>
        <v>0</v>
      </c>
      <c r="M5423" t="str" cm="1">
        <f t="array" ref="M5423">IFERROR(INDEX($I$2:$K$2,0,MATCH(TRUE,I5423:K5423,0)),E5423)</f>
        <v>other RES</v>
      </c>
      <c r="O5423" t="str">
        <f t="shared" si="301"/>
        <v>other RES_2037</v>
      </c>
      <c r="P5423">
        <f t="shared" si="302"/>
        <v>1654.79772</v>
      </c>
    </row>
    <row r="5424" spans="4:16" x14ac:dyDescent="0.25">
      <c r="D5424">
        <v>2038</v>
      </c>
      <c r="E5424" t="s">
        <v>134</v>
      </c>
      <c r="F5424" t="s">
        <v>557</v>
      </c>
      <c r="G5424">
        <v>1654.79772</v>
      </c>
      <c r="I5424">
        <f t="shared" si="303"/>
        <v>0</v>
      </c>
      <c r="J5424">
        <f t="shared" si="303"/>
        <v>0</v>
      </c>
      <c r="K5424">
        <f t="shared" si="303"/>
        <v>0</v>
      </c>
      <c r="M5424" t="str" cm="1">
        <f t="array" ref="M5424">IFERROR(INDEX($I$2:$K$2,0,MATCH(TRUE,I5424:K5424,0)),E5424)</f>
        <v>other RES</v>
      </c>
      <c r="O5424" t="str">
        <f t="shared" si="301"/>
        <v>other RES_2038</v>
      </c>
      <c r="P5424">
        <f t="shared" si="302"/>
        <v>1654.79772</v>
      </c>
    </row>
    <row r="5425" spans="4:16" x14ac:dyDescent="0.25">
      <c r="D5425">
        <v>2039</v>
      </c>
      <c r="E5425" t="s">
        <v>134</v>
      </c>
      <c r="F5425" t="s">
        <v>557</v>
      </c>
      <c r="G5425">
        <v>1654.79772</v>
      </c>
      <c r="I5425">
        <f t="shared" si="303"/>
        <v>0</v>
      </c>
      <c r="J5425">
        <f t="shared" si="303"/>
        <v>0</v>
      </c>
      <c r="K5425">
        <f t="shared" si="303"/>
        <v>0</v>
      </c>
      <c r="M5425" t="str" cm="1">
        <f t="array" ref="M5425">IFERROR(INDEX($I$2:$K$2,0,MATCH(TRUE,I5425:K5425,0)),E5425)</f>
        <v>other RES</v>
      </c>
      <c r="O5425" t="str">
        <f t="shared" si="301"/>
        <v>other RES_2039</v>
      </c>
      <c r="P5425">
        <f t="shared" si="302"/>
        <v>1654.79772</v>
      </c>
    </row>
    <row r="5426" spans="4:16" x14ac:dyDescent="0.25">
      <c r="D5426">
        <v>2040</v>
      </c>
      <c r="E5426" t="s">
        <v>134</v>
      </c>
      <c r="F5426" t="s">
        <v>557</v>
      </c>
      <c r="G5426">
        <v>1654.79772</v>
      </c>
      <c r="I5426">
        <f t="shared" si="303"/>
        <v>0</v>
      </c>
      <c r="J5426">
        <f t="shared" si="303"/>
        <v>0</v>
      </c>
      <c r="K5426">
        <f t="shared" si="303"/>
        <v>0</v>
      </c>
      <c r="M5426" t="str" cm="1">
        <f t="array" ref="M5426">IFERROR(INDEX($I$2:$K$2,0,MATCH(TRUE,I5426:K5426,0)),E5426)</f>
        <v>other RES</v>
      </c>
      <c r="O5426" t="str">
        <f t="shared" si="301"/>
        <v>other RES_2040</v>
      </c>
      <c r="P5426">
        <f t="shared" si="302"/>
        <v>1654.79772</v>
      </c>
    </row>
    <row r="5427" spans="4:16" x14ac:dyDescent="0.25">
      <c r="D5427">
        <v>2021</v>
      </c>
      <c r="E5427" t="s">
        <v>134</v>
      </c>
      <c r="F5427" t="s">
        <v>558</v>
      </c>
      <c r="G5427">
        <v>1640.6175000000001</v>
      </c>
      <c r="I5427">
        <f t="shared" si="303"/>
        <v>0</v>
      </c>
      <c r="J5427">
        <f t="shared" si="303"/>
        <v>0</v>
      </c>
      <c r="K5427">
        <f t="shared" si="303"/>
        <v>0</v>
      </c>
      <c r="M5427" t="str" cm="1">
        <f t="array" ref="M5427">IFERROR(INDEX($I$2:$K$2,0,MATCH(TRUE,I5427:K5427,0)),E5427)</f>
        <v>other RES</v>
      </c>
      <c r="O5427" t="str">
        <f t="shared" si="301"/>
        <v>other RES_2021</v>
      </c>
      <c r="P5427">
        <f t="shared" si="302"/>
        <v>1640.6175000000001</v>
      </c>
    </row>
    <row r="5428" spans="4:16" x14ac:dyDescent="0.25">
      <c r="D5428">
        <v>2022</v>
      </c>
      <c r="E5428" t="s">
        <v>134</v>
      </c>
      <c r="F5428" t="s">
        <v>558</v>
      </c>
      <c r="G5428">
        <v>1656.8025</v>
      </c>
      <c r="I5428">
        <f t="shared" si="303"/>
        <v>0</v>
      </c>
      <c r="J5428">
        <f t="shared" si="303"/>
        <v>0</v>
      </c>
      <c r="K5428">
        <f t="shared" si="303"/>
        <v>0</v>
      </c>
      <c r="M5428" t="str" cm="1">
        <f t="array" ref="M5428">IFERROR(INDEX($I$2:$K$2,0,MATCH(TRUE,I5428:K5428,0)),E5428)</f>
        <v>other RES</v>
      </c>
      <c r="O5428" t="str">
        <f t="shared" si="301"/>
        <v>other RES_2022</v>
      </c>
      <c r="P5428">
        <f t="shared" si="302"/>
        <v>1656.8025</v>
      </c>
    </row>
    <row r="5429" spans="4:16" x14ac:dyDescent="0.25">
      <c r="D5429">
        <v>2023</v>
      </c>
      <c r="E5429" t="s">
        <v>134</v>
      </c>
      <c r="F5429" t="s">
        <v>558</v>
      </c>
      <c r="G5429">
        <v>1672.9875</v>
      </c>
      <c r="I5429">
        <f t="shared" si="303"/>
        <v>0</v>
      </c>
      <c r="J5429">
        <f t="shared" si="303"/>
        <v>0</v>
      </c>
      <c r="K5429">
        <f t="shared" si="303"/>
        <v>0</v>
      </c>
      <c r="M5429" t="str" cm="1">
        <f t="array" ref="M5429">IFERROR(INDEX($I$2:$K$2,0,MATCH(TRUE,I5429:K5429,0)),E5429)</f>
        <v>other RES</v>
      </c>
      <c r="O5429" t="str">
        <f t="shared" si="301"/>
        <v>other RES_2023</v>
      </c>
      <c r="P5429">
        <f t="shared" si="302"/>
        <v>1672.9875</v>
      </c>
    </row>
    <row r="5430" spans="4:16" x14ac:dyDescent="0.25">
      <c r="D5430">
        <v>2024</v>
      </c>
      <c r="E5430" t="s">
        <v>134</v>
      </c>
      <c r="F5430" t="s">
        <v>558</v>
      </c>
      <c r="G5430">
        <v>1689.1724999999999</v>
      </c>
      <c r="I5430">
        <f t="shared" si="303"/>
        <v>0</v>
      </c>
      <c r="J5430">
        <f t="shared" si="303"/>
        <v>0</v>
      </c>
      <c r="K5430">
        <f t="shared" si="303"/>
        <v>0</v>
      </c>
      <c r="M5430" t="str" cm="1">
        <f t="array" ref="M5430">IFERROR(INDEX($I$2:$K$2,0,MATCH(TRUE,I5430:K5430,0)),E5430)</f>
        <v>other RES</v>
      </c>
      <c r="O5430" t="str">
        <f t="shared" si="301"/>
        <v>other RES_2024</v>
      </c>
      <c r="P5430">
        <f t="shared" si="302"/>
        <v>1689.1724999999999</v>
      </c>
    </row>
    <row r="5431" spans="4:16" x14ac:dyDescent="0.25">
      <c r="D5431">
        <v>2025</v>
      </c>
      <c r="E5431" t="s">
        <v>134</v>
      </c>
      <c r="F5431" t="s">
        <v>558</v>
      </c>
      <c r="G5431">
        <v>1705.3575000000001</v>
      </c>
      <c r="I5431">
        <f t="shared" si="303"/>
        <v>0</v>
      </c>
      <c r="J5431">
        <f t="shared" si="303"/>
        <v>0</v>
      </c>
      <c r="K5431">
        <f t="shared" si="303"/>
        <v>0</v>
      </c>
      <c r="M5431" t="str" cm="1">
        <f t="array" ref="M5431">IFERROR(INDEX($I$2:$K$2,0,MATCH(TRUE,I5431:K5431,0)),E5431)</f>
        <v>other RES</v>
      </c>
      <c r="O5431" t="str">
        <f t="shared" si="301"/>
        <v>other RES_2025</v>
      </c>
      <c r="P5431">
        <f t="shared" si="302"/>
        <v>1705.3575000000001</v>
      </c>
    </row>
    <row r="5432" spans="4:16" x14ac:dyDescent="0.25">
      <c r="D5432">
        <v>2026</v>
      </c>
      <c r="E5432" t="s">
        <v>134</v>
      </c>
      <c r="F5432" t="s">
        <v>558</v>
      </c>
      <c r="G5432">
        <v>1714.8802499999999</v>
      </c>
      <c r="I5432">
        <f t="shared" si="303"/>
        <v>0</v>
      </c>
      <c r="J5432">
        <f t="shared" si="303"/>
        <v>0</v>
      </c>
      <c r="K5432">
        <f t="shared" si="303"/>
        <v>0</v>
      </c>
      <c r="M5432" t="str" cm="1">
        <f t="array" ref="M5432">IFERROR(INDEX($I$2:$K$2,0,MATCH(TRUE,I5432:K5432,0)),E5432)</f>
        <v>other RES</v>
      </c>
      <c r="O5432" t="str">
        <f t="shared" si="301"/>
        <v>other RES_2026</v>
      </c>
      <c r="P5432">
        <f t="shared" si="302"/>
        <v>1714.8802499999999</v>
      </c>
    </row>
    <row r="5433" spans="4:16" x14ac:dyDescent="0.25">
      <c r="D5433">
        <v>2027</v>
      </c>
      <c r="E5433" t="s">
        <v>134</v>
      </c>
      <c r="F5433" t="s">
        <v>558</v>
      </c>
      <c r="G5433">
        <v>1717.7407499999999</v>
      </c>
      <c r="I5433">
        <f t="shared" si="303"/>
        <v>0</v>
      </c>
      <c r="J5433">
        <f t="shared" si="303"/>
        <v>0</v>
      </c>
      <c r="K5433">
        <f t="shared" si="303"/>
        <v>0</v>
      </c>
      <c r="M5433" t="str" cm="1">
        <f t="array" ref="M5433">IFERROR(INDEX($I$2:$K$2,0,MATCH(TRUE,I5433:K5433,0)),E5433)</f>
        <v>other RES</v>
      </c>
      <c r="O5433" t="str">
        <f t="shared" si="301"/>
        <v>other RES_2027</v>
      </c>
      <c r="P5433">
        <f t="shared" si="302"/>
        <v>1717.7407499999999</v>
      </c>
    </row>
    <row r="5434" spans="4:16" x14ac:dyDescent="0.25">
      <c r="D5434">
        <v>2028</v>
      </c>
      <c r="E5434" t="s">
        <v>134</v>
      </c>
      <c r="F5434" t="s">
        <v>558</v>
      </c>
      <c r="G5434">
        <v>1720.6012499999999</v>
      </c>
      <c r="I5434">
        <f t="shared" si="303"/>
        <v>0</v>
      </c>
      <c r="J5434">
        <f t="shared" si="303"/>
        <v>0</v>
      </c>
      <c r="K5434">
        <f t="shared" si="303"/>
        <v>0</v>
      </c>
      <c r="M5434" t="str" cm="1">
        <f t="array" ref="M5434">IFERROR(INDEX($I$2:$K$2,0,MATCH(TRUE,I5434:K5434,0)),E5434)</f>
        <v>other RES</v>
      </c>
      <c r="O5434" t="str">
        <f t="shared" si="301"/>
        <v>other RES_2028</v>
      </c>
      <c r="P5434">
        <f t="shared" si="302"/>
        <v>1720.6012499999999</v>
      </c>
    </row>
    <row r="5435" spans="4:16" x14ac:dyDescent="0.25">
      <c r="D5435">
        <v>2029</v>
      </c>
      <c r="E5435" t="s">
        <v>134</v>
      </c>
      <c r="F5435" t="s">
        <v>558</v>
      </c>
      <c r="G5435">
        <v>1723.4617499999999</v>
      </c>
      <c r="I5435">
        <f t="shared" si="303"/>
        <v>0</v>
      </c>
      <c r="J5435">
        <f t="shared" si="303"/>
        <v>0</v>
      </c>
      <c r="K5435">
        <f t="shared" si="303"/>
        <v>0</v>
      </c>
      <c r="M5435" t="str" cm="1">
        <f t="array" ref="M5435">IFERROR(INDEX($I$2:$K$2,0,MATCH(TRUE,I5435:K5435,0)),E5435)</f>
        <v>other RES</v>
      </c>
      <c r="O5435" t="str">
        <f t="shared" si="301"/>
        <v>other RES_2029</v>
      </c>
      <c r="P5435">
        <f t="shared" si="302"/>
        <v>1723.4617499999999</v>
      </c>
    </row>
    <row r="5436" spans="4:16" x14ac:dyDescent="0.25">
      <c r="D5436">
        <v>2030</v>
      </c>
      <c r="E5436" t="s">
        <v>134</v>
      </c>
      <c r="F5436" t="s">
        <v>558</v>
      </c>
      <c r="G5436">
        <v>1726.3222499999999</v>
      </c>
      <c r="I5436">
        <f t="shared" si="303"/>
        <v>0</v>
      </c>
      <c r="J5436">
        <f t="shared" si="303"/>
        <v>0</v>
      </c>
      <c r="K5436">
        <f t="shared" si="303"/>
        <v>0</v>
      </c>
      <c r="M5436" t="str" cm="1">
        <f t="array" ref="M5436">IFERROR(INDEX($I$2:$K$2,0,MATCH(TRUE,I5436:K5436,0)),E5436)</f>
        <v>other RES</v>
      </c>
      <c r="O5436" t="str">
        <f t="shared" si="301"/>
        <v>other RES_2030</v>
      </c>
      <c r="P5436">
        <f t="shared" si="302"/>
        <v>1726.3222499999999</v>
      </c>
    </row>
    <row r="5437" spans="4:16" x14ac:dyDescent="0.25">
      <c r="D5437">
        <v>2031</v>
      </c>
      <c r="E5437" t="s">
        <v>134</v>
      </c>
      <c r="F5437" t="s">
        <v>558</v>
      </c>
      <c r="G5437">
        <v>1728.3150000000001</v>
      </c>
      <c r="I5437">
        <f t="shared" si="303"/>
        <v>0</v>
      </c>
      <c r="J5437">
        <f t="shared" si="303"/>
        <v>0</v>
      </c>
      <c r="K5437">
        <f t="shared" si="303"/>
        <v>0</v>
      </c>
      <c r="M5437" t="str" cm="1">
        <f t="array" ref="M5437">IFERROR(INDEX($I$2:$K$2,0,MATCH(TRUE,I5437:K5437,0)),E5437)</f>
        <v>other RES</v>
      </c>
      <c r="O5437" t="str">
        <f t="shared" si="301"/>
        <v>other RES_2031</v>
      </c>
      <c r="P5437">
        <f t="shared" si="302"/>
        <v>1728.3150000000001</v>
      </c>
    </row>
    <row r="5438" spans="4:16" x14ac:dyDescent="0.25">
      <c r="D5438">
        <v>2032</v>
      </c>
      <c r="E5438" t="s">
        <v>134</v>
      </c>
      <c r="F5438" t="s">
        <v>558</v>
      </c>
      <c r="G5438">
        <v>1729.44</v>
      </c>
      <c r="I5438">
        <f t="shared" si="303"/>
        <v>0</v>
      </c>
      <c r="J5438">
        <f t="shared" si="303"/>
        <v>0</v>
      </c>
      <c r="K5438">
        <f t="shared" si="303"/>
        <v>0</v>
      </c>
      <c r="M5438" t="str" cm="1">
        <f t="array" ref="M5438">IFERROR(INDEX($I$2:$K$2,0,MATCH(TRUE,I5438:K5438,0)),E5438)</f>
        <v>other RES</v>
      </c>
      <c r="O5438" t="str">
        <f t="shared" si="301"/>
        <v>other RES_2032</v>
      </c>
      <c r="P5438">
        <f t="shared" si="302"/>
        <v>1729.44</v>
      </c>
    </row>
    <row r="5439" spans="4:16" x14ac:dyDescent="0.25">
      <c r="D5439">
        <v>2033</v>
      </c>
      <c r="E5439" t="s">
        <v>134</v>
      </c>
      <c r="F5439" t="s">
        <v>558</v>
      </c>
      <c r="G5439">
        <v>1730.5650000000001</v>
      </c>
      <c r="I5439">
        <f t="shared" si="303"/>
        <v>0</v>
      </c>
      <c r="J5439">
        <f t="shared" si="303"/>
        <v>0</v>
      </c>
      <c r="K5439">
        <f t="shared" si="303"/>
        <v>0</v>
      </c>
      <c r="M5439" t="str" cm="1">
        <f t="array" ref="M5439">IFERROR(INDEX($I$2:$K$2,0,MATCH(TRUE,I5439:K5439,0)),E5439)</f>
        <v>other RES</v>
      </c>
      <c r="O5439" t="str">
        <f t="shared" si="301"/>
        <v>other RES_2033</v>
      </c>
      <c r="P5439">
        <f t="shared" si="302"/>
        <v>1730.5650000000001</v>
      </c>
    </row>
    <row r="5440" spans="4:16" x14ac:dyDescent="0.25">
      <c r="D5440">
        <v>2034</v>
      </c>
      <c r="E5440" t="s">
        <v>134</v>
      </c>
      <c r="F5440" t="s">
        <v>558</v>
      </c>
      <c r="G5440">
        <v>1731.69</v>
      </c>
      <c r="I5440">
        <f t="shared" si="303"/>
        <v>0</v>
      </c>
      <c r="J5440">
        <f t="shared" si="303"/>
        <v>0</v>
      </c>
      <c r="K5440">
        <f t="shared" si="303"/>
        <v>0</v>
      </c>
      <c r="M5440" t="str" cm="1">
        <f t="array" ref="M5440">IFERROR(INDEX($I$2:$K$2,0,MATCH(TRUE,I5440:K5440,0)),E5440)</f>
        <v>other RES</v>
      </c>
      <c r="O5440" t="str">
        <f t="shared" si="301"/>
        <v>other RES_2034</v>
      </c>
      <c r="P5440">
        <f t="shared" si="302"/>
        <v>1731.69</v>
      </c>
    </row>
    <row r="5441" spans="4:16" x14ac:dyDescent="0.25">
      <c r="D5441">
        <v>2035</v>
      </c>
      <c r="E5441" t="s">
        <v>134</v>
      </c>
      <c r="F5441" t="s">
        <v>558</v>
      </c>
      <c r="G5441">
        <v>1732.8150000000001</v>
      </c>
      <c r="I5441">
        <f t="shared" si="303"/>
        <v>0</v>
      </c>
      <c r="J5441">
        <f t="shared" si="303"/>
        <v>0</v>
      </c>
      <c r="K5441">
        <f t="shared" si="303"/>
        <v>0</v>
      </c>
      <c r="M5441" t="str" cm="1">
        <f t="array" ref="M5441">IFERROR(INDEX($I$2:$K$2,0,MATCH(TRUE,I5441:K5441,0)),E5441)</f>
        <v>other RES</v>
      </c>
      <c r="O5441" t="str">
        <f t="shared" si="301"/>
        <v>other RES_2035</v>
      </c>
      <c r="P5441">
        <f t="shared" si="302"/>
        <v>1732.8150000000001</v>
      </c>
    </row>
    <row r="5442" spans="4:16" x14ac:dyDescent="0.25">
      <c r="D5442">
        <v>2036</v>
      </c>
      <c r="E5442" t="s">
        <v>134</v>
      </c>
      <c r="F5442" t="s">
        <v>558</v>
      </c>
      <c r="G5442">
        <v>1733.3775000000001</v>
      </c>
      <c r="I5442">
        <f t="shared" si="303"/>
        <v>0</v>
      </c>
      <c r="J5442">
        <f t="shared" si="303"/>
        <v>0</v>
      </c>
      <c r="K5442">
        <f t="shared" si="303"/>
        <v>0</v>
      </c>
      <c r="M5442" t="str" cm="1">
        <f t="array" ref="M5442">IFERROR(INDEX($I$2:$K$2,0,MATCH(TRUE,I5442:K5442,0)),E5442)</f>
        <v>other RES</v>
      </c>
      <c r="O5442" t="str">
        <f t="shared" si="301"/>
        <v>other RES_2036</v>
      </c>
      <c r="P5442">
        <f t="shared" si="302"/>
        <v>1733.3775000000001</v>
      </c>
    </row>
    <row r="5443" spans="4:16" x14ac:dyDescent="0.25">
      <c r="D5443">
        <v>2037</v>
      </c>
      <c r="E5443" t="s">
        <v>134</v>
      </c>
      <c r="F5443" t="s">
        <v>558</v>
      </c>
      <c r="G5443">
        <v>1733.3775000000001</v>
      </c>
      <c r="I5443">
        <f t="shared" si="303"/>
        <v>0</v>
      </c>
      <c r="J5443">
        <f t="shared" si="303"/>
        <v>0</v>
      </c>
      <c r="K5443">
        <f t="shared" si="303"/>
        <v>0</v>
      </c>
      <c r="M5443" t="str" cm="1">
        <f t="array" ref="M5443">IFERROR(INDEX($I$2:$K$2,0,MATCH(TRUE,I5443:K5443,0)),E5443)</f>
        <v>other RES</v>
      </c>
      <c r="O5443" t="str">
        <f t="shared" si="301"/>
        <v>other RES_2037</v>
      </c>
      <c r="P5443">
        <f t="shared" si="302"/>
        <v>1733.3775000000001</v>
      </c>
    </row>
    <row r="5444" spans="4:16" x14ac:dyDescent="0.25">
      <c r="D5444">
        <v>2038</v>
      </c>
      <c r="E5444" t="s">
        <v>134</v>
      </c>
      <c r="F5444" t="s">
        <v>558</v>
      </c>
      <c r="G5444">
        <v>1733.3775000000001</v>
      </c>
      <c r="I5444">
        <f t="shared" si="303"/>
        <v>0</v>
      </c>
      <c r="J5444">
        <f t="shared" si="303"/>
        <v>0</v>
      </c>
      <c r="K5444">
        <f t="shared" si="303"/>
        <v>0</v>
      </c>
      <c r="M5444" t="str" cm="1">
        <f t="array" ref="M5444">IFERROR(INDEX($I$2:$K$2,0,MATCH(TRUE,I5444:K5444,0)),E5444)</f>
        <v>other RES</v>
      </c>
      <c r="O5444" t="str">
        <f t="shared" si="301"/>
        <v>other RES_2038</v>
      </c>
      <c r="P5444">
        <f t="shared" si="302"/>
        <v>1733.3775000000001</v>
      </c>
    </row>
    <row r="5445" spans="4:16" x14ac:dyDescent="0.25">
      <c r="D5445">
        <v>2039</v>
      </c>
      <c r="E5445" t="s">
        <v>134</v>
      </c>
      <c r="F5445" t="s">
        <v>558</v>
      </c>
      <c r="G5445">
        <v>1733.3775000000001</v>
      </c>
      <c r="I5445">
        <f t="shared" si="303"/>
        <v>0</v>
      </c>
      <c r="J5445">
        <f t="shared" si="303"/>
        <v>0</v>
      </c>
      <c r="K5445">
        <f t="shared" si="303"/>
        <v>0</v>
      </c>
      <c r="M5445" t="str" cm="1">
        <f t="array" ref="M5445">IFERROR(INDEX($I$2:$K$2,0,MATCH(TRUE,I5445:K5445,0)),E5445)</f>
        <v>other RES</v>
      </c>
      <c r="O5445" t="str">
        <f t="shared" si="301"/>
        <v>other RES_2039</v>
      </c>
      <c r="P5445">
        <f t="shared" si="302"/>
        <v>1733.3775000000001</v>
      </c>
    </row>
    <row r="5446" spans="4:16" x14ac:dyDescent="0.25">
      <c r="D5446">
        <v>2040</v>
      </c>
      <c r="E5446" t="s">
        <v>134</v>
      </c>
      <c r="F5446" t="s">
        <v>558</v>
      </c>
      <c r="G5446">
        <v>1733.3775000000001</v>
      </c>
      <c r="I5446">
        <f t="shared" si="303"/>
        <v>0</v>
      </c>
      <c r="J5446">
        <f t="shared" si="303"/>
        <v>0</v>
      </c>
      <c r="K5446">
        <f t="shared" si="303"/>
        <v>0</v>
      </c>
      <c r="M5446" t="str" cm="1">
        <f t="array" ref="M5446">IFERROR(INDEX($I$2:$K$2,0,MATCH(TRUE,I5446:K5446,0)),E5446)</f>
        <v>other RES</v>
      </c>
      <c r="O5446" t="str">
        <f t="shared" si="301"/>
        <v>other RES_2040</v>
      </c>
      <c r="P5446">
        <f t="shared" si="302"/>
        <v>1733.3775000000001</v>
      </c>
    </row>
    <row r="5447" spans="4:16" x14ac:dyDescent="0.25">
      <c r="D5447">
        <v>2021</v>
      </c>
      <c r="E5447" t="s">
        <v>559</v>
      </c>
      <c r="F5447" t="s">
        <v>560</v>
      </c>
      <c r="G5447">
        <v>1400</v>
      </c>
      <c r="I5447">
        <f t="shared" si="303"/>
        <v>0</v>
      </c>
      <c r="J5447">
        <f t="shared" si="303"/>
        <v>0</v>
      </c>
      <c r="K5447">
        <f t="shared" si="303"/>
        <v>0</v>
      </c>
      <c r="M5447" t="str" cm="1">
        <f t="array" ref="M5447">IFERROR(INDEX($I$2:$K$2,0,MATCH(TRUE,I5447:K5447,0)),E5447)</f>
        <v>Peaking Units oil</v>
      </c>
      <c r="O5447" t="str">
        <f t="shared" si="301"/>
        <v>Peaking Units oil_2021</v>
      </c>
      <c r="P5447">
        <f t="shared" si="302"/>
        <v>1400</v>
      </c>
    </row>
    <row r="5448" spans="4:16" x14ac:dyDescent="0.25">
      <c r="D5448">
        <v>2022</v>
      </c>
      <c r="E5448" t="s">
        <v>559</v>
      </c>
      <c r="F5448" t="s">
        <v>560</v>
      </c>
      <c r="G5448">
        <v>1500</v>
      </c>
      <c r="I5448">
        <f t="shared" si="303"/>
        <v>0</v>
      </c>
      <c r="J5448">
        <f t="shared" si="303"/>
        <v>0</v>
      </c>
      <c r="K5448">
        <f t="shared" si="303"/>
        <v>0</v>
      </c>
      <c r="M5448" t="str" cm="1">
        <f t="array" ref="M5448">IFERROR(INDEX($I$2:$K$2,0,MATCH(TRUE,I5448:K5448,0)),E5448)</f>
        <v>Peaking Units oil</v>
      </c>
      <c r="O5448" t="str">
        <f t="shared" si="301"/>
        <v>Peaking Units oil_2022</v>
      </c>
      <c r="P5448">
        <f t="shared" si="302"/>
        <v>1500</v>
      </c>
    </row>
    <row r="5449" spans="4:16" x14ac:dyDescent="0.25">
      <c r="D5449">
        <v>2023</v>
      </c>
      <c r="E5449" t="s">
        <v>559</v>
      </c>
      <c r="F5449" t="s">
        <v>560</v>
      </c>
      <c r="G5449">
        <v>1500</v>
      </c>
      <c r="I5449">
        <f t="shared" si="303"/>
        <v>0</v>
      </c>
      <c r="J5449">
        <f t="shared" si="303"/>
        <v>0</v>
      </c>
      <c r="K5449">
        <f t="shared" si="303"/>
        <v>0</v>
      </c>
      <c r="M5449" t="str" cm="1">
        <f t="array" ref="M5449">IFERROR(INDEX($I$2:$K$2,0,MATCH(TRUE,I5449:K5449,0)),E5449)</f>
        <v>Peaking Units oil</v>
      </c>
      <c r="O5449" t="str">
        <f t="shared" si="301"/>
        <v>Peaking Units oil_2023</v>
      </c>
      <c r="P5449">
        <f t="shared" si="302"/>
        <v>1500</v>
      </c>
    </row>
    <row r="5450" spans="4:16" x14ac:dyDescent="0.25">
      <c r="D5450">
        <v>2024</v>
      </c>
      <c r="E5450" t="s">
        <v>559</v>
      </c>
      <c r="F5450" t="s">
        <v>560</v>
      </c>
      <c r="G5450">
        <v>1500</v>
      </c>
      <c r="I5450">
        <f t="shared" si="303"/>
        <v>0</v>
      </c>
      <c r="J5450">
        <f t="shared" si="303"/>
        <v>0</v>
      </c>
      <c r="K5450">
        <f t="shared" si="303"/>
        <v>0</v>
      </c>
      <c r="M5450" t="str" cm="1">
        <f t="array" ref="M5450">IFERROR(INDEX($I$2:$K$2,0,MATCH(TRUE,I5450:K5450,0)),E5450)</f>
        <v>Peaking Units oil</v>
      </c>
      <c r="O5450" t="str">
        <f t="shared" si="301"/>
        <v>Peaking Units oil_2024</v>
      </c>
      <c r="P5450">
        <f t="shared" si="302"/>
        <v>1500</v>
      </c>
    </row>
    <row r="5451" spans="4:16" x14ac:dyDescent="0.25">
      <c r="D5451">
        <v>2025</v>
      </c>
      <c r="E5451" t="s">
        <v>559</v>
      </c>
      <c r="F5451" t="s">
        <v>560</v>
      </c>
      <c r="G5451">
        <v>1500</v>
      </c>
      <c r="I5451">
        <f t="shared" si="303"/>
        <v>0</v>
      </c>
      <c r="J5451">
        <f t="shared" si="303"/>
        <v>0</v>
      </c>
      <c r="K5451">
        <f t="shared" si="303"/>
        <v>0</v>
      </c>
      <c r="M5451" t="str" cm="1">
        <f t="array" ref="M5451">IFERROR(INDEX($I$2:$K$2,0,MATCH(TRUE,I5451:K5451,0)),E5451)</f>
        <v>Peaking Units oil</v>
      </c>
      <c r="O5451" t="str">
        <f t="shared" si="301"/>
        <v>Peaking Units oil_2025</v>
      </c>
      <c r="P5451">
        <f t="shared" si="302"/>
        <v>1500</v>
      </c>
    </row>
    <row r="5452" spans="4:16" x14ac:dyDescent="0.25">
      <c r="D5452">
        <v>2026</v>
      </c>
      <c r="E5452" t="s">
        <v>559</v>
      </c>
      <c r="F5452" t="s">
        <v>560</v>
      </c>
      <c r="G5452">
        <v>1500</v>
      </c>
      <c r="I5452">
        <f t="shared" si="303"/>
        <v>0</v>
      </c>
      <c r="J5452">
        <f t="shared" si="303"/>
        <v>0</v>
      </c>
      <c r="K5452">
        <f t="shared" si="303"/>
        <v>0</v>
      </c>
      <c r="M5452" t="str" cm="1">
        <f t="array" ref="M5452">IFERROR(INDEX($I$2:$K$2,0,MATCH(TRUE,I5452:K5452,0)),E5452)</f>
        <v>Peaking Units oil</v>
      </c>
      <c r="O5452" t="str">
        <f t="shared" si="301"/>
        <v>Peaking Units oil_2026</v>
      </c>
      <c r="P5452">
        <f t="shared" si="302"/>
        <v>1500</v>
      </c>
    </row>
    <row r="5453" spans="4:16" x14ac:dyDescent="0.25">
      <c r="D5453">
        <v>2027</v>
      </c>
      <c r="E5453" t="s">
        <v>559</v>
      </c>
      <c r="F5453" t="s">
        <v>560</v>
      </c>
      <c r="G5453">
        <v>1500</v>
      </c>
      <c r="I5453">
        <f t="shared" si="303"/>
        <v>0</v>
      </c>
      <c r="J5453">
        <f t="shared" si="303"/>
        <v>0</v>
      </c>
      <c r="K5453">
        <f t="shared" si="303"/>
        <v>0</v>
      </c>
      <c r="M5453" t="str" cm="1">
        <f t="array" ref="M5453">IFERROR(INDEX($I$2:$K$2,0,MATCH(TRUE,I5453:K5453,0)),E5453)</f>
        <v>Peaking Units oil</v>
      </c>
      <c r="O5453" t="str">
        <f t="shared" si="301"/>
        <v>Peaking Units oil_2027</v>
      </c>
      <c r="P5453">
        <f t="shared" si="302"/>
        <v>1500</v>
      </c>
    </row>
    <row r="5454" spans="4:16" x14ac:dyDescent="0.25">
      <c r="D5454">
        <v>2028</v>
      </c>
      <c r="E5454" t="s">
        <v>559</v>
      </c>
      <c r="F5454" t="s">
        <v>560</v>
      </c>
      <c r="G5454">
        <v>1500</v>
      </c>
      <c r="I5454">
        <f t="shared" si="303"/>
        <v>0</v>
      </c>
      <c r="J5454">
        <f t="shared" si="303"/>
        <v>0</v>
      </c>
      <c r="K5454">
        <f t="shared" si="303"/>
        <v>0</v>
      </c>
      <c r="M5454" t="str" cm="1">
        <f t="array" ref="M5454">IFERROR(INDEX($I$2:$K$2,0,MATCH(TRUE,I5454:K5454,0)),E5454)</f>
        <v>Peaking Units oil</v>
      </c>
      <c r="O5454" t="str">
        <f t="shared" si="301"/>
        <v>Peaking Units oil_2028</v>
      </c>
      <c r="P5454">
        <f t="shared" si="302"/>
        <v>1500</v>
      </c>
    </row>
    <row r="5455" spans="4:16" x14ac:dyDescent="0.25">
      <c r="D5455">
        <v>2029</v>
      </c>
      <c r="E5455" t="s">
        <v>559</v>
      </c>
      <c r="F5455" t="s">
        <v>560</v>
      </c>
      <c r="G5455">
        <v>1500</v>
      </c>
      <c r="I5455">
        <f t="shared" si="303"/>
        <v>0</v>
      </c>
      <c r="J5455">
        <f t="shared" si="303"/>
        <v>0</v>
      </c>
      <c r="K5455">
        <f t="shared" si="303"/>
        <v>0</v>
      </c>
      <c r="M5455" t="str" cm="1">
        <f t="array" ref="M5455">IFERROR(INDEX($I$2:$K$2,0,MATCH(TRUE,I5455:K5455,0)),E5455)</f>
        <v>Peaking Units oil</v>
      </c>
      <c r="O5455" t="str">
        <f t="shared" si="301"/>
        <v>Peaking Units oil_2029</v>
      </c>
      <c r="P5455">
        <f t="shared" si="302"/>
        <v>1500</v>
      </c>
    </row>
    <row r="5456" spans="4:16" x14ac:dyDescent="0.25">
      <c r="D5456">
        <v>2030</v>
      </c>
      <c r="E5456" t="s">
        <v>559</v>
      </c>
      <c r="F5456" t="s">
        <v>560</v>
      </c>
      <c r="G5456">
        <v>1500</v>
      </c>
      <c r="I5456">
        <f t="shared" si="303"/>
        <v>0</v>
      </c>
      <c r="J5456">
        <f t="shared" si="303"/>
        <v>0</v>
      </c>
      <c r="K5456">
        <f t="shared" si="303"/>
        <v>0</v>
      </c>
      <c r="M5456" t="str" cm="1">
        <f t="array" ref="M5456">IFERROR(INDEX($I$2:$K$2,0,MATCH(TRUE,I5456:K5456,0)),E5456)</f>
        <v>Peaking Units oil</v>
      </c>
      <c r="O5456" t="str">
        <f t="shared" si="301"/>
        <v>Peaking Units oil_2030</v>
      </c>
      <c r="P5456">
        <f t="shared" si="302"/>
        <v>1500</v>
      </c>
    </row>
    <row r="5457" spans="4:16" x14ac:dyDescent="0.25">
      <c r="D5457">
        <v>2031</v>
      </c>
      <c r="E5457" t="s">
        <v>559</v>
      </c>
      <c r="F5457" t="s">
        <v>560</v>
      </c>
      <c r="G5457">
        <v>1500</v>
      </c>
      <c r="I5457">
        <f t="shared" si="303"/>
        <v>0</v>
      </c>
      <c r="J5457">
        <f t="shared" si="303"/>
        <v>0</v>
      </c>
      <c r="K5457">
        <f t="shared" si="303"/>
        <v>0</v>
      </c>
      <c r="M5457" t="str" cm="1">
        <f t="array" ref="M5457">IFERROR(INDEX($I$2:$K$2,0,MATCH(TRUE,I5457:K5457,0)),E5457)</f>
        <v>Peaking Units oil</v>
      </c>
      <c r="O5457" t="str">
        <f t="shared" si="301"/>
        <v>Peaking Units oil_2031</v>
      </c>
      <c r="P5457">
        <f t="shared" si="302"/>
        <v>1500</v>
      </c>
    </row>
    <row r="5458" spans="4:16" x14ac:dyDescent="0.25">
      <c r="D5458">
        <v>2032</v>
      </c>
      <c r="E5458" t="s">
        <v>559</v>
      </c>
      <c r="F5458" t="s">
        <v>560</v>
      </c>
      <c r="G5458">
        <v>1500</v>
      </c>
      <c r="I5458">
        <f t="shared" si="303"/>
        <v>0</v>
      </c>
      <c r="J5458">
        <f t="shared" si="303"/>
        <v>0</v>
      </c>
      <c r="K5458">
        <f t="shared" si="303"/>
        <v>0</v>
      </c>
      <c r="M5458" t="str" cm="1">
        <f t="array" ref="M5458">IFERROR(INDEX($I$2:$K$2,0,MATCH(TRUE,I5458:K5458,0)),E5458)</f>
        <v>Peaking Units oil</v>
      </c>
      <c r="O5458" t="str">
        <f t="shared" si="301"/>
        <v>Peaking Units oil_2032</v>
      </c>
      <c r="P5458">
        <f t="shared" si="302"/>
        <v>1500</v>
      </c>
    </row>
    <row r="5459" spans="4:16" x14ac:dyDescent="0.25">
      <c r="D5459">
        <v>2033</v>
      </c>
      <c r="E5459" t="s">
        <v>559</v>
      </c>
      <c r="F5459" t="s">
        <v>560</v>
      </c>
      <c r="G5459">
        <v>1500</v>
      </c>
      <c r="I5459">
        <f t="shared" si="303"/>
        <v>0</v>
      </c>
      <c r="J5459">
        <f t="shared" si="303"/>
        <v>0</v>
      </c>
      <c r="K5459">
        <f t="shared" si="303"/>
        <v>0</v>
      </c>
      <c r="M5459" t="str" cm="1">
        <f t="array" ref="M5459">IFERROR(INDEX($I$2:$K$2,0,MATCH(TRUE,I5459:K5459,0)),E5459)</f>
        <v>Peaking Units oil</v>
      </c>
      <c r="O5459" t="str">
        <f t="shared" ref="O5459:O5522" si="304">M5459&amp;"_"&amp;D5459</f>
        <v>Peaking Units oil_2033</v>
      </c>
      <c r="P5459">
        <f t="shared" ref="P5459:P5522" si="305">G5459</f>
        <v>1500</v>
      </c>
    </row>
    <row r="5460" spans="4:16" x14ac:dyDescent="0.25">
      <c r="D5460">
        <v>2034</v>
      </c>
      <c r="E5460" t="s">
        <v>559</v>
      </c>
      <c r="F5460" t="s">
        <v>560</v>
      </c>
      <c r="G5460">
        <v>1500</v>
      </c>
      <c r="I5460">
        <f t="shared" si="303"/>
        <v>0</v>
      </c>
      <c r="J5460">
        <f t="shared" si="303"/>
        <v>0</v>
      </c>
      <c r="K5460">
        <f t="shared" si="303"/>
        <v>0</v>
      </c>
      <c r="M5460" t="str" cm="1">
        <f t="array" ref="M5460">IFERROR(INDEX($I$2:$K$2,0,MATCH(TRUE,I5460:K5460,0)),E5460)</f>
        <v>Peaking Units oil</v>
      </c>
      <c r="O5460" t="str">
        <f t="shared" si="304"/>
        <v>Peaking Units oil_2034</v>
      </c>
      <c r="P5460">
        <f t="shared" si="305"/>
        <v>1500</v>
      </c>
    </row>
    <row r="5461" spans="4:16" x14ac:dyDescent="0.25">
      <c r="D5461">
        <v>2035</v>
      </c>
      <c r="E5461" t="s">
        <v>559</v>
      </c>
      <c r="F5461" t="s">
        <v>560</v>
      </c>
      <c r="G5461">
        <v>1500</v>
      </c>
      <c r="I5461">
        <f t="shared" ref="I5461:K5524" si="306">IFERROR(FIND(I$2,$E5461,1)&gt;0,0)</f>
        <v>0</v>
      </c>
      <c r="J5461">
        <f t="shared" si="306"/>
        <v>0</v>
      </c>
      <c r="K5461">
        <f t="shared" si="306"/>
        <v>0</v>
      </c>
      <c r="M5461" t="str" cm="1">
        <f t="array" ref="M5461">IFERROR(INDEX($I$2:$K$2,0,MATCH(TRUE,I5461:K5461,0)),E5461)</f>
        <v>Peaking Units oil</v>
      </c>
      <c r="O5461" t="str">
        <f t="shared" si="304"/>
        <v>Peaking Units oil_2035</v>
      </c>
      <c r="P5461">
        <f t="shared" si="305"/>
        <v>1500</v>
      </c>
    </row>
    <row r="5462" spans="4:16" x14ac:dyDescent="0.25">
      <c r="D5462">
        <v>2036</v>
      </c>
      <c r="E5462" t="s">
        <v>559</v>
      </c>
      <c r="F5462" t="s">
        <v>560</v>
      </c>
      <c r="G5462">
        <v>1500</v>
      </c>
      <c r="I5462">
        <f t="shared" si="306"/>
        <v>0</v>
      </c>
      <c r="J5462">
        <f t="shared" si="306"/>
        <v>0</v>
      </c>
      <c r="K5462">
        <f t="shared" si="306"/>
        <v>0</v>
      </c>
      <c r="M5462" t="str" cm="1">
        <f t="array" ref="M5462">IFERROR(INDEX($I$2:$K$2,0,MATCH(TRUE,I5462:K5462,0)),E5462)</f>
        <v>Peaking Units oil</v>
      </c>
      <c r="O5462" t="str">
        <f t="shared" si="304"/>
        <v>Peaking Units oil_2036</v>
      </c>
      <c r="P5462">
        <f t="shared" si="305"/>
        <v>1500</v>
      </c>
    </row>
    <row r="5463" spans="4:16" x14ac:dyDescent="0.25">
      <c r="D5463">
        <v>2037</v>
      </c>
      <c r="E5463" t="s">
        <v>559</v>
      </c>
      <c r="F5463" t="s">
        <v>560</v>
      </c>
      <c r="G5463">
        <v>1500</v>
      </c>
      <c r="I5463">
        <f t="shared" si="306"/>
        <v>0</v>
      </c>
      <c r="J5463">
        <f t="shared" si="306"/>
        <v>0</v>
      </c>
      <c r="K5463">
        <f t="shared" si="306"/>
        <v>0</v>
      </c>
      <c r="M5463" t="str" cm="1">
        <f t="array" ref="M5463">IFERROR(INDEX($I$2:$K$2,0,MATCH(TRUE,I5463:K5463,0)),E5463)</f>
        <v>Peaking Units oil</v>
      </c>
      <c r="O5463" t="str">
        <f t="shared" si="304"/>
        <v>Peaking Units oil_2037</v>
      </c>
      <c r="P5463">
        <f t="shared" si="305"/>
        <v>1500</v>
      </c>
    </row>
    <row r="5464" spans="4:16" x14ac:dyDescent="0.25">
      <c r="D5464">
        <v>2038</v>
      </c>
      <c r="E5464" t="s">
        <v>559</v>
      </c>
      <c r="F5464" t="s">
        <v>560</v>
      </c>
      <c r="G5464">
        <v>1500</v>
      </c>
      <c r="I5464">
        <f t="shared" si="306"/>
        <v>0</v>
      </c>
      <c r="J5464">
        <f t="shared" si="306"/>
        <v>0</v>
      </c>
      <c r="K5464">
        <f t="shared" si="306"/>
        <v>0</v>
      </c>
      <c r="M5464" t="str" cm="1">
        <f t="array" ref="M5464">IFERROR(INDEX($I$2:$K$2,0,MATCH(TRUE,I5464:K5464,0)),E5464)</f>
        <v>Peaking Units oil</v>
      </c>
      <c r="O5464" t="str">
        <f t="shared" si="304"/>
        <v>Peaking Units oil_2038</v>
      </c>
      <c r="P5464">
        <f t="shared" si="305"/>
        <v>1500</v>
      </c>
    </row>
    <row r="5465" spans="4:16" x14ac:dyDescent="0.25">
      <c r="D5465">
        <v>2039</v>
      </c>
      <c r="E5465" t="s">
        <v>559</v>
      </c>
      <c r="F5465" t="s">
        <v>560</v>
      </c>
      <c r="G5465">
        <v>1500</v>
      </c>
      <c r="I5465">
        <f t="shared" si="306"/>
        <v>0</v>
      </c>
      <c r="J5465">
        <f t="shared" si="306"/>
        <v>0</v>
      </c>
      <c r="K5465">
        <f t="shared" si="306"/>
        <v>0</v>
      </c>
      <c r="M5465" t="str" cm="1">
        <f t="array" ref="M5465">IFERROR(INDEX($I$2:$K$2,0,MATCH(TRUE,I5465:K5465,0)),E5465)</f>
        <v>Peaking Units oil</v>
      </c>
      <c r="O5465" t="str">
        <f t="shared" si="304"/>
        <v>Peaking Units oil_2039</v>
      </c>
      <c r="P5465">
        <f t="shared" si="305"/>
        <v>1500</v>
      </c>
    </row>
    <row r="5466" spans="4:16" x14ac:dyDescent="0.25">
      <c r="D5466">
        <v>2040</v>
      </c>
      <c r="E5466" t="s">
        <v>559</v>
      </c>
      <c r="F5466" t="s">
        <v>560</v>
      </c>
      <c r="G5466">
        <v>1500</v>
      </c>
      <c r="I5466">
        <f t="shared" si="306"/>
        <v>0</v>
      </c>
      <c r="J5466">
        <f t="shared" si="306"/>
        <v>0</v>
      </c>
      <c r="K5466">
        <f t="shared" si="306"/>
        <v>0</v>
      </c>
      <c r="M5466" t="str" cm="1">
        <f t="array" ref="M5466">IFERROR(INDEX($I$2:$K$2,0,MATCH(TRUE,I5466:K5466,0)),E5466)</f>
        <v>Peaking Units oil</v>
      </c>
      <c r="O5466" t="str">
        <f t="shared" si="304"/>
        <v>Peaking Units oil_2040</v>
      </c>
      <c r="P5466">
        <f t="shared" si="305"/>
        <v>1500</v>
      </c>
    </row>
    <row r="5467" spans="4:16" x14ac:dyDescent="0.25">
      <c r="D5467">
        <v>2021</v>
      </c>
      <c r="E5467" t="s">
        <v>135</v>
      </c>
      <c r="F5467" t="s">
        <v>561</v>
      </c>
      <c r="G5467">
        <v>5964.4693231700003</v>
      </c>
      <c r="I5467">
        <f t="shared" si="306"/>
        <v>0</v>
      </c>
      <c r="J5467">
        <f t="shared" si="306"/>
        <v>0</v>
      </c>
      <c r="K5467" t="b">
        <f t="shared" si="306"/>
        <v>1</v>
      </c>
      <c r="M5467" t="str" cm="1">
        <f t="array" ref="M5467">IFERROR(INDEX($I$2:$K$2,0,MATCH(TRUE,I5467:K5467,0)),E5467)</f>
        <v>PV</v>
      </c>
      <c r="O5467" t="str">
        <f t="shared" si="304"/>
        <v>PV_2021</v>
      </c>
      <c r="P5467">
        <f t="shared" si="305"/>
        <v>5964.4693231700003</v>
      </c>
    </row>
    <row r="5468" spans="4:16" x14ac:dyDescent="0.25">
      <c r="D5468">
        <v>2022</v>
      </c>
      <c r="E5468" t="s">
        <v>135</v>
      </c>
      <c r="F5468" t="s">
        <v>561</v>
      </c>
      <c r="G5468">
        <v>6270.3245740399998</v>
      </c>
      <c r="I5468">
        <f t="shared" si="306"/>
        <v>0</v>
      </c>
      <c r="J5468">
        <f t="shared" si="306"/>
        <v>0</v>
      </c>
      <c r="K5468" t="b">
        <f t="shared" si="306"/>
        <v>1</v>
      </c>
      <c r="M5468" t="str" cm="1">
        <f t="array" ref="M5468">IFERROR(INDEX($I$2:$K$2,0,MATCH(TRUE,I5468:K5468,0)),E5468)</f>
        <v>PV</v>
      </c>
      <c r="O5468" t="str">
        <f t="shared" si="304"/>
        <v>PV_2022</v>
      </c>
      <c r="P5468">
        <f t="shared" si="305"/>
        <v>6270.3245740399998</v>
      </c>
    </row>
    <row r="5469" spans="4:16" x14ac:dyDescent="0.25">
      <c r="D5469">
        <v>2023</v>
      </c>
      <c r="E5469" t="s">
        <v>135</v>
      </c>
      <c r="F5469" t="s">
        <v>561</v>
      </c>
      <c r="G5469">
        <v>6552.01111932</v>
      </c>
      <c r="I5469">
        <f t="shared" si="306"/>
        <v>0</v>
      </c>
      <c r="J5469">
        <f t="shared" si="306"/>
        <v>0</v>
      </c>
      <c r="K5469" t="b">
        <f t="shared" si="306"/>
        <v>1</v>
      </c>
      <c r="M5469" t="str" cm="1">
        <f t="array" ref="M5469">IFERROR(INDEX($I$2:$K$2,0,MATCH(TRUE,I5469:K5469,0)),E5469)</f>
        <v>PV</v>
      </c>
      <c r="O5469" t="str">
        <f t="shared" si="304"/>
        <v>PV_2023</v>
      </c>
      <c r="P5469">
        <f t="shared" si="305"/>
        <v>6552.01111932</v>
      </c>
    </row>
    <row r="5470" spans="4:16" x14ac:dyDescent="0.25">
      <c r="D5470">
        <v>2024</v>
      </c>
      <c r="E5470" t="s">
        <v>135</v>
      </c>
      <c r="F5470" t="s">
        <v>561</v>
      </c>
      <c r="G5470">
        <v>6833.6976646100002</v>
      </c>
      <c r="I5470">
        <f t="shared" si="306"/>
        <v>0</v>
      </c>
      <c r="J5470">
        <f t="shared" si="306"/>
        <v>0</v>
      </c>
      <c r="K5470" t="b">
        <f t="shared" si="306"/>
        <v>1</v>
      </c>
      <c r="M5470" t="str" cm="1">
        <f t="array" ref="M5470">IFERROR(INDEX($I$2:$K$2,0,MATCH(TRUE,I5470:K5470,0)),E5470)</f>
        <v>PV</v>
      </c>
      <c r="O5470" t="str">
        <f t="shared" si="304"/>
        <v>PV_2024</v>
      </c>
      <c r="P5470">
        <f t="shared" si="305"/>
        <v>6833.6976646100002</v>
      </c>
    </row>
    <row r="5471" spans="4:16" x14ac:dyDescent="0.25">
      <c r="D5471">
        <v>2025</v>
      </c>
      <c r="E5471" t="s">
        <v>135</v>
      </c>
      <c r="F5471" t="s">
        <v>561</v>
      </c>
      <c r="G5471">
        <v>7115.3842098900004</v>
      </c>
      <c r="I5471">
        <f t="shared" si="306"/>
        <v>0</v>
      </c>
      <c r="J5471">
        <f t="shared" si="306"/>
        <v>0</v>
      </c>
      <c r="K5471" t="b">
        <f t="shared" si="306"/>
        <v>1</v>
      </c>
      <c r="M5471" t="str" cm="1">
        <f t="array" ref="M5471">IFERROR(INDEX($I$2:$K$2,0,MATCH(TRUE,I5471:K5471,0)),E5471)</f>
        <v>PV</v>
      </c>
      <c r="O5471" t="str">
        <f t="shared" si="304"/>
        <v>PV_2025</v>
      </c>
      <c r="P5471">
        <f t="shared" si="305"/>
        <v>7115.3842098900004</v>
      </c>
    </row>
    <row r="5472" spans="4:16" x14ac:dyDescent="0.25">
      <c r="D5472">
        <v>2026</v>
      </c>
      <c r="E5472" t="s">
        <v>135</v>
      </c>
      <c r="F5472" t="s">
        <v>561</v>
      </c>
      <c r="G5472">
        <v>7397.0707551699998</v>
      </c>
      <c r="I5472">
        <f t="shared" si="306"/>
        <v>0</v>
      </c>
      <c r="J5472">
        <f t="shared" si="306"/>
        <v>0</v>
      </c>
      <c r="K5472" t="b">
        <f t="shared" si="306"/>
        <v>1</v>
      </c>
      <c r="M5472" t="str" cm="1">
        <f t="array" ref="M5472">IFERROR(INDEX($I$2:$K$2,0,MATCH(TRUE,I5472:K5472,0)),E5472)</f>
        <v>PV</v>
      </c>
      <c r="O5472" t="str">
        <f t="shared" si="304"/>
        <v>PV_2026</v>
      </c>
      <c r="P5472">
        <f t="shared" si="305"/>
        <v>7397.0707551699998</v>
      </c>
    </row>
    <row r="5473" spans="4:16" x14ac:dyDescent="0.25">
      <c r="D5473">
        <v>2027</v>
      </c>
      <c r="E5473" t="s">
        <v>135</v>
      </c>
      <c r="F5473" t="s">
        <v>561</v>
      </c>
      <c r="G5473">
        <v>7678.75730045</v>
      </c>
      <c r="I5473">
        <f t="shared" si="306"/>
        <v>0</v>
      </c>
      <c r="J5473">
        <f t="shared" si="306"/>
        <v>0</v>
      </c>
      <c r="K5473" t="b">
        <f t="shared" si="306"/>
        <v>1</v>
      </c>
      <c r="M5473" t="str" cm="1">
        <f t="array" ref="M5473">IFERROR(INDEX($I$2:$K$2,0,MATCH(TRUE,I5473:K5473,0)),E5473)</f>
        <v>PV</v>
      </c>
      <c r="O5473" t="str">
        <f t="shared" si="304"/>
        <v>PV_2027</v>
      </c>
      <c r="P5473">
        <f t="shared" si="305"/>
        <v>7678.75730045</v>
      </c>
    </row>
    <row r="5474" spans="4:16" x14ac:dyDescent="0.25">
      <c r="D5474">
        <v>2028</v>
      </c>
      <c r="E5474" t="s">
        <v>135</v>
      </c>
      <c r="F5474" t="s">
        <v>561</v>
      </c>
      <c r="G5474">
        <v>7960.4438457300002</v>
      </c>
      <c r="I5474">
        <f t="shared" si="306"/>
        <v>0</v>
      </c>
      <c r="J5474">
        <f t="shared" si="306"/>
        <v>0</v>
      </c>
      <c r="K5474" t="b">
        <f t="shared" si="306"/>
        <v>1</v>
      </c>
      <c r="M5474" t="str" cm="1">
        <f t="array" ref="M5474">IFERROR(INDEX($I$2:$K$2,0,MATCH(TRUE,I5474:K5474,0)),E5474)</f>
        <v>PV</v>
      </c>
      <c r="O5474" t="str">
        <f t="shared" si="304"/>
        <v>PV_2028</v>
      </c>
      <c r="P5474">
        <f t="shared" si="305"/>
        <v>7960.4438457300002</v>
      </c>
    </row>
    <row r="5475" spans="4:16" x14ac:dyDescent="0.25">
      <c r="D5475">
        <v>2029</v>
      </c>
      <c r="E5475" t="s">
        <v>135</v>
      </c>
      <c r="F5475" t="s">
        <v>561</v>
      </c>
      <c r="G5475">
        <v>8242.1303910200004</v>
      </c>
      <c r="I5475">
        <f t="shared" si="306"/>
        <v>0</v>
      </c>
      <c r="J5475">
        <f t="shared" si="306"/>
        <v>0</v>
      </c>
      <c r="K5475" t="b">
        <f t="shared" si="306"/>
        <v>1</v>
      </c>
      <c r="M5475" t="str" cm="1">
        <f t="array" ref="M5475">IFERROR(INDEX($I$2:$K$2,0,MATCH(TRUE,I5475:K5475,0)),E5475)</f>
        <v>PV</v>
      </c>
      <c r="O5475" t="str">
        <f t="shared" si="304"/>
        <v>PV_2029</v>
      </c>
      <c r="P5475">
        <f t="shared" si="305"/>
        <v>8242.1303910200004</v>
      </c>
    </row>
    <row r="5476" spans="4:16" x14ac:dyDescent="0.25">
      <c r="D5476">
        <v>2030</v>
      </c>
      <c r="E5476" t="s">
        <v>135</v>
      </c>
      <c r="F5476" t="s">
        <v>561</v>
      </c>
      <c r="G5476">
        <v>8523.8169362999997</v>
      </c>
      <c r="I5476">
        <f t="shared" si="306"/>
        <v>0</v>
      </c>
      <c r="J5476">
        <f t="shared" si="306"/>
        <v>0</v>
      </c>
      <c r="K5476" t="b">
        <f t="shared" si="306"/>
        <v>1</v>
      </c>
      <c r="M5476" t="str" cm="1">
        <f t="array" ref="M5476">IFERROR(INDEX($I$2:$K$2,0,MATCH(TRUE,I5476:K5476,0)),E5476)</f>
        <v>PV</v>
      </c>
      <c r="O5476" t="str">
        <f t="shared" si="304"/>
        <v>PV_2030</v>
      </c>
      <c r="P5476">
        <f t="shared" si="305"/>
        <v>8523.8169362999997</v>
      </c>
    </row>
    <row r="5477" spans="4:16" x14ac:dyDescent="0.25">
      <c r="D5477">
        <v>2031</v>
      </c>
      <c r="E5477" t="s">
        <v>135</v>
      </c>
      <c r="F5477" t="s">
        <v>561</v>
      </c>
      <c r="G5477">
        <v>8805.5034815800009</v>
      </c>
      <c r="I5477">
        <f t="shared" si="306"/>
        <v>0</v>
      </c>
      <c r="J5477">
        <f t="shared" si="306"/>
        <v>0</v>
      </c>
      <c r="K5477" t="b">
        <f t="shared" si="306"/>
        <v>1</v>
      </c>
      <c r="M5477" t="str" cm="1">
        <f t="array" ref="M5477">IFERROR(INDEX($I$2:$K$2,0,MATCH(TRUE,I5477:K5477,0)),E5477)</f>
        <v>PV</v>
      </c>
      <c r="O5477" t="str">
        <f t="shared" si="304"/>
        <v>PV_2031</v>
      </c>
      <c r="P5477">
        <f t="shared" si="305"/>
        <v>8805.5034815800009</v>
      </c>
    </row>
    <row r="5478" spans="4:16" x14ac:dyDescent="0.25">
      <c r="D5478">
        <v>2032</v>
      </c>
      <c r="E5478" t="s">
        <v>135</v>
      </c>
      <c r="F5478" t="s">
        <v>561</v>
      </c>
      <c r="G5478">
        <v>9087.1900268600002</v>
      </c>
      <c r="I5478">
        <f t="shared" si="306"/>
        <v>0</v>
      </c>
      <c r="J5478">
        <f t="shared" si="306"/>
        <v>0</v>
      </c>
      <c r="K5478" t="b">
        <f t="shared" si="306"/>
        <v>1</v>
      </c>
      <c r="M5478" t="str" cm="1">
        <f t="array" ref="M5478">IFERROR(INDEX($I$2:$K$2,0,MATCH(TRUE,I5478:K5478,0)),E5478)</f>
        <v>PV</v>
      </c>
      <c r="O5478" t="str">
        <f t="shared" si="304"/>
        <v>PV_2032</v>
      </c>
      <c r="P5478">
        <f t="shared" si="305"/>
        <v>9087.1900268600002</v>
      </c>
    </row>
    <row r="5479" spans="4:16" x14ac:dyDescent="0.25">
      <c r="D5479">
        <v>2033</v>
      </c>
      <c r="E5479" t="s">
        <v>135</v>
      </c>
      <c r="F5479" t="s">
        <v>561</v>
      </c>
      <c r="G5479">
        <v>9368.8765721399996</v>
      </c>
      <c r="I5479">
        <f t="shared" si="306"/>
        <v>0</v>
      </c>
      <c r="J5479">
        <f t="shared" si="306"/>
        <v>0</v>
      </c>
      <c r="K5479" t="b">
        <f t="shared" si="306"/>
        <v>1</v>
      </c>
      <c r="M5479" t="str" cm="1">
        <f t="array" ref="M5479">IFERROR(INDEX($I$2:$K$2,0,MATCH(TRUE,I5479:K5479,0)),E5479)</f>
        <v>PV</v>
      </c>
      <c r="O5479" t="str">
        <f t="shared" si="304"/>
        <v>PV_2033</v>
      </c>
      <c r="P5479">
        <f t="shared" si="305"/>
        <v>9368.8765721399996</v>
      </c>
    </row>
    <row r="5480" spans="4:16" x14ac:dyDescent="0.25">
      <c r="D5480">
        <v>2034</v>
      </c>
      <c r="E5480" t="s">
        <v>135</v>
      </c>
      <c r="F5480" t="s">
        <v>561</v>
      </c>
      <c r="G5480">
        <v>9650.5631174299997</v>
      </c>
      <c r="I5480">
        <f t="shared" si="306"/>
        <v>0</v>
      </c>
      <c r="J5480">
        <f t="shared" si="306"/>
        <v>0</v>
      </c>
      <c r="K5480" t="b">
        <f t="shared" si="306"/>
        <v>1</v>
      </c>
      <c r="M5480" t="str" cm="1">
        <f t="array" ref="M5480">IFERROR(INDEX($I$2:$K$2,0,MATCH(TRUE,I5480:K5480,0)),E5480)</f>
        <v>PV</v>
      </c>
      <c r="O5480" t="str">
        <f t="shared" si="304"/>
        <v>PV_2034</v>
      </c>
      <c r="P5480">
        <f t="shared" si="305"/>
        <v>9650.5631174299997</v>
      </c>
    </row>
    <row r="5481" spans="4:16" x14ac:dyDescent="0.25">
      <c r="D5481">
        <v>2035</v>
      </c>
      <c r="E5481" t="s">
        <v>135</v>
      </c>
      <c r="F5481" t="s">
        <v>561</v>
      </c>
      <c r="G5481">
        <v>9932.2496627100008</v>
      </c>
      <c r="I5481">
        <f t="shared" si="306"/>
        <v>0</v>
      </c>
      <c r="J5481">
        <f t="shared" si="306"/>
        <v>0</v>
      </c>
      <c r="K5481" t="b">
        <f t="shared" si="306"/>
        <v>1</v>
      </c>
      <c r="M5481" t="str" cm="1">
        <f t="array" ref="M5481">IFERROR(INDEX($I$2:$K$2,0,MATCH(TRUE,I5481:K5481,0)),E5481)</f>
        <v>PV</v>
      </c>
      <c r="O5481" t="str">
        <f t="shared" si="304"/>
        <v>PV_2035</v>
      </c>
      <c r="P5481">
        <f t="shared" si="305"/>
        <v>9932.2496627100008</v>
      </c>
    </row>
    <row r="5482" spans="4:16" x14ac:dyDescent="0.25">
      <c r="D5482">
        <v>2036</v>
      </c>
      <c r="E5482" t="s">
        <v>135</v>
      </c>
      <c r="F5482" t="s">
        <v>561</v>
      </c>
      <c r="G5482">
        <v>10213.93620799</v>
      </c>
      <c r="I5482">
        <f t="shared" si="306"/>
        <v>0</v>
      </c>
      <c r="J5482">
        <f t="shared" si="306"/>
        <v>0</v>
      </c>
      <c r="K5482" t="b">
        <f t="shared" si="306"/>
        <v>1</v>
      </c>
      <c r="M5482" t="str" cm="1">
        <f t="array" ref="M5482">IFERROR(INDEX($I$2:$K$2,0,MATCH(TRUE,I5482:K5482,0)),E5482)</f>
        <v>PV</v>
      </c>
      <c r="O5482" t="str">
        <f t="shared" si="304"/>
        <v>PV_2036</v>
      </c>
      <c r="P5482">
        <f t="shared" si="305"/>
        <v>10213.93620799</v>
      </c>
    </row>
    <row r="5483" spans="4:16" x14ac:dyDescent="0.25">
      <c r="D5483">
        <v>2037</v>
      </c>
      <c r="E5483" t="s">
        <v>135</v>
      </c>
      <c r="F5483" t="s">
        <v>561</v>
      </c>
      <c r="G5483">
        <v>10495.62275327</v>
      </c>
      <c r="I5483">
        <f t="shared" si="306"/>
        <v>0</v>
      </c>
      <c r="J5483">
        <f t="shared" si="306"/>
        <v>0</v>
      </c>
      <c r="K5483" t="b">
        <f t="shared" si="306"/>
        <v>1</v>
      </c>
      <c r="M5483" t="str" cm="1">
        <f t="array" ref="M5483">IFERROR(INDEX($I$2:$K$2,0,MATCH(TRUE,I5483:K5483,0)),E5483)</f>
        <v>PV</v>
      </c>
      <c r="O5483" t="str">
        <f t="shared" si="304"/>
        <v>PV_2037</v>
      </c>
      <c r="P5483">
        <f t="shared" si="305"/>
        <v>10495.62275327</v>
      </c>
    </row>
    <row r="5484" spans="4:16" x14ac:dyDescent="0.25">
      <c r="D5484">
        <v>2038</v>
      </c>
      <c r="E5484" t="s">
        <v>135</v>
      </c>
      <c r="F5484" t="s">
        <v>561</v>
      </c>
      <c r="G5484">
        <v>10777.30929856</v>
      </c>
      <c r="I5484">
        <f t="shared" si="306"/>
        <v>0</v>
      </c>
      <c r="J5484">
        <f t="shared" si="306"/>
        <v>0</v>
      </c>
      <c r="K5484" t="b">
        <f t="shared" si="306"/>
        <v>1</v>
      </c>
      <c r="M5484" t="str" cm="1">
        <f t="array" ref="M5484">IFERROR(INDEX($I$2:$K$2,0,MATCH(TRUE,I5484:K5484,0)),E5484)</f>
        <v>PV</v>
      </c>
      <c r="O5484" t="str">
        <f t="shared" si="304"/>
        <v>PV_2038</v>
      </c>
      <c r="P5484">
        <f t="shared" si="305"/>
        <v>10777.30929856</v>
      </c>
    </row>
    <row r="5485" spans="4:16" x14ac:dyDescent="0.25">
      <c r="D5485">
        <v>2039</v>
      </c>
      <c r="E5485" t="s">
        <v>135</v>
      </c>
      <c r="F5485" t="s">
        <v>561</v>
      </c>
      <c r="G5485">
        <v>11058.995843840001</v>
      </c>
      <c r="I5485">
        <f t="shared" si="306"/>
        <v>0</v>
      </c>
      <c r="J5485">
        <f t="shared" si="306"/>
        <v>0</v>
      </c>
      <c r="K5485" t="b">
        <f t="shared" si="306"/>
        <v>1</v>
      </c>
      <c r="M5485" t="str" cm="1">
        <f t="array" ref="M5485">IFERROR(INDEX($I$2:$K$2,0,MATCH(TRUE,I5485:K5485,0)),E5485)</f>
        <v>PV</v>
      </c>
      <c r="O5485" t="str">
        <f t="shared" si="304"/>
        <v>PV_2039</v>
      </c>
      <c r="P5485">
        <f t="shared" si="305"/>
        <v>11058.995843840001</v>
      </c>
    </row>
    <row r="5486" spans="4:16" x14ac:dyDescent="0.25">
      <c r="D5486">
        <v>2040</v>
      </c>
      <c r="E5486" t="s">
        <v>135</v>
      </c>
      <c r="F5486" t="s">
        <v>561</v>
      </c>
      <c r="G5486">
        <v>11340.68238912</v>
      </c>
      <c r="I5486">
        <f t="shared" si="306"/>
        <v>0</v>
      </c>
      <c r="J5486">
        <f t="shared" si="306"/>
        <v>0</v>
      </c>
      <c r="K5486" t="b">
        <f t="shared" si="306"/>
        <v>1</v>
      </c>
      <c r="M5486" t="str" cm="1">
        <f t="array" ref="M5486">IFERROR(INDEX($I$2:$K$2,0,MATCH(TRUE,I5486:K5486,0)),E5486)</f>
        <v>PV</v>
      </c>
      <c r="O5486" t="str">
        <f t="shared" si="304"/>
        <v>PV_2040</v>
      </c>
      <c r="P5486">
        <f t="shared" si="305"/>
        <v>11340.68238912</v>
      </c>
    </row>
    <row r="5487" spans="4:16" x14ac:dyDescent="0.25">
      <c r="D5487">
        <v>2021</v>
      </c>
      <c r="E5487" t="s">
        <v>135</v>
      </c>
      <c r="F5487" t="s">
        <v>562</v>
      </c>
      <c r="G5487">
        <v>13929.66111838</v>
      </c>
      <c r="I5487">
        <f t="shared" si="306"/>
        <v>0</v>
      </c>
      <c r="J5487">
        <f t="shared" si="306"/>
        <v>0</v>
      </c>
      <c r="K5487" t="b">
        <f t="shared" si="306"/>
        <v>1</v>
      </c>
      <c r="M5487" t="str" cm="1">
        <f t="array" ref="M5487">IFERROR(INDEX($I$2:$K$2,0,MATCH(TRUE,I5487:K5487,0)),E5487)</f>
        <v>PV</v>
      </c>
      <c r="O5487" t="str">
        <f t="shared" si="304"/>
        <v>PV_2021</v>
      </c>
      <c r="P5487">
        <f t="shared" si="305"/>
        <v>13929.66111838</v>
      </c>
    </row>
    <row r="5488" spans="4:16" x14ac:dyDescent="0.25">
      <c r="D5488">
        <v>2022</v>
      </c>
      <c r="E5488" t="s">
        <v>135</v>
      </c>
      <c r="F5488" t="s">
        <v>562</v>
      </c>
      <c r="G5488">
        <v>14643.96775071</v>
      </c>
      <c r="I5488">
        <f t="shared" si="306"/>
        <v>0</v>
      </c>
      <c r="J5488">
        <f t="shared" si="306"/>
        <v>0</v>
      </c>
      <c r="K5488" t="b">
        <f t="shared" si="306"/>
        <v>1</v>
      </c>
      <c r="M5488" t="str" cm="1">
        <f t="array" ref="M5488">IFERROR(INDEX($I$2:$K$2,0,MATCH(TRUE,I5488:K5488,0)),E5488)</f>
        <v>PV</v>
      </c>
      <c r="O5488" t="str">
        <f t="shared" si="304"/>
        <v>PV_2022</v>
      </c>
      <c r="P5488">
        <f t="shared" si="305"/>
        <v>14643.96775071</v>
      </c>
    </row>
    <row r="5489" spans="4:16" x14ac:dyDescent="0.25">
      <c r="D5489">
        <v>2023</v>
      </c>
      <c r="E5489" t="s">
        <v>135</v>
      </c>
      <c r="F5489" t="s">
        <v>562</v>
      </c>
      <c r="G5489">
        <v>15301.829817690001</v>
      </c>
      <c r="I5489">
        <f t="shared" si="306"/>
        <v>0</v>
      </c>
      <c r="J5489">
        <f t="shared" si="306"/>
        <v>0</v>
      </c>
      <c r="K5489" t="b">
        <f t="shared" si="306"/>
        <v>1</v>
      </c>
      <c r="M5489" t="str" cm="1">
        <f t="array" ref="M5489">IFERROR(INDEX($I$2:$K$2,0,MATCH(TRUE,I5489:K5489,0)),E5489)</f>
        <v>PV</v>
      </c>
      <c r="O5489" t="str">
        <f t="shared" si="304"/>
        <v>PV_2023</v>
      </c>
      <c r="P5489">
        <f t="shared" si="305"/>
        <v>15301.829817690001</v>
      </c>
    </row>
    <row r="5490" spans="4:16" x14ac:dyDescent="0.25">
      <c r="D5490">
        <v>2024</v>
      </c>
      <c r="E5490" t="s">
        <v>135</v>
      </c>
      <c r="F5490" t="s">
        <v>562</v>
      </c>
      <c r="G5490">
        <v>15959.691884669999</v>
      </c>
      <c r="I5490">
        <f t="shared" si="306"/>
        <v>0</v>
      </c>
      <c r="J5490">
        <f t="shared" si="306"/>
        <v>0</v>
      </c>
      <c r="K5490" t="b">
        <f t="shared" si="306"/>
        <v>1</v>
      </c>
      <c r="M5490" t="str" cm="1">
        <f t="array" ref="M5490">IFERROR(INDEX($I$2:$K$2,0,MATCH(TRUE,I5490:K5490,0)),E5490)</f>
        <v>PV</v>
      </c>
      <c r="O5490" t="str">
        <f t="shared" si="304"/>
        <v>PV_2024</v>
      </c>
      <c r="P5490">
        <f t="shared" si="305"/>
        <v>15959.691884669999</v>
      </c>
    </row>
    <row r="5491" spans="4:16" x14ac:dyDescent="0.25">
      <c r="D5491">
        <v>2025</v>
      </c>
      <c r="E5491" t="s">
        <v>135</v>
      </c>
      <c r="F5491" t="s">
        <v>562</v>
      </c>
      <c r="G5491">
        <v>16617.553951649999</v>
      </c>
      <c r="I5491">
        <f t="shared" si="306"/>
        <v>0</v>
      </c>
      <c r="J5491">
        <f t="shared" si="306"/>
        <v>0</v>
      </c>
      <c r="K5491" t="b">
        <f t="shared" si="306"/>
        <v>1</v>
      </c>
      <c r="M5491" t="str" cm="1">
        <f t="array" ref="M5491">IFERROR(INDEX($I$2:$K$2,0,MATCH(TRUE,I5491:K5491,0)),E5491)</f>
        <v>PV</v>
      </c>
      <c r="O5491" t="str">
        <f t="shared" si="304"/>
        <v>PV_2025</v>
      </c>
      <c r="P5491">
        <f t="shared" si="305"/>
        <v>16617.553951649999</v>
      </c>
    </row>
    <row r="5492" spans="4:16" x14ac:dyDescent="0.25">
      <c r="D5492">
        <v>2026</v>
      </c>
      <c r="E5492" t="s">
        <v>135</v>
      </c>
      <c r="F5492" t="s">
        <v>562</v>
      </c>
      <c r="G5492">
        <v>17275.41601863</v>
      </c>
      <c r="I5492">
        <f t="shared" si="306"/>
        <v>0</v>
      </c>
      <c r="J5492">
        <f t="shared" si="306"/>
        <v>0</v>
      </c>
      <c r="K5492" t="b">
        <f t="shared" si="306"/>
        <v>1</v>
      </c>
      <c r="M5492" t="str" cm="1">
        <f t="array" ref="M5492">IFERROR(INDEX($I$2:$K$2,0,MATCH(TRUE,I5492:K5492,0)),E5492)</f>
        <v>PV</v>
      </c>
      <c r="O5492" t="str">
        <f t="shared" si="304"/>
        <v>PV_2026</v>
      </c>
      <c r="P5492">
        <f t="shared" si="305"/>
        <v>17275.41601863</v>
      </c>
    </row>
    <row r="5493" spans="4:16" x14ac:dyDescent="0.25">
      <c r="D5493">
        <v>2027</v>
      </c>
      <c r="E5493" t="s">
        <v>135</v>
      </c>
      <c r="F5493" t="s">
        <v>562</v>
      </c>
      <c r="G5493">
        <v>17933.27808561</v>
      </c>
      <c r="I5493">
        <f t="shared" si="306"/>
        <v>0</v>
      </c>
      <c r="J5493">
        <f t="shared" si="306"/>
        <v>0</v>
      </c>
      <c r="K5493" t="b">
        <f t="shared" si="306"/>
        <v>1</v>
      </c>
      <c r="M5493" t="str" cm="1">
        <f t="array" ref="M5493">IFERROR(INDEX($I$2:$K$2,0,MATCH(TRUE,I5493:K5493,0)),E5493)</f>
        <v>PV</v>
      </c>
      <c r="O5493" t="str">
        <f t="shared" si="304"/>
        <v>PV_2027</v>
      </c>
      <c r="P5493">
        <f t="shared" si="305"/>
        <v>17933.27808561</v>
      </c>
    </row>
    <row r="5494" spans="4:16" x14ac:dyDescent="0.25">
      <c r="D5494">
        <v>2028</v>
      </c>
      <c r="E5494" t="s">
        <v>135</v>
      </c>
      <c r="F5494" t="s">
        <v>562</v>
      </c>
      <c r="G5494">
        <v>18591.14015259</v>
      </c>
      <c r="I5494">
        <f t="shared" si="306"/>
        <v>0</v>
      </c>
      <c r="J5494">
        <f t="shared" si="306"/>
        <v>0</v>
      </c>
      <c r="K5494" t="b">
        <f t="shared" si="306"/>
        <v>1</v>
      </c>
      <c r="M5494" t="str" cm="1">
        <f t="array" ref="M5494">IFERROR(INDEX($I$2:$K$2,0,MATCH(TRUE,I5494:K5494,0)),E5494)</f>
        <v>PV</v>
      </c>
      <c r="O5494" t="str">
        <f t="shared" si="304"/>
        <v>PV_2028</v>
      </c>
      <c r="P5494">
        <f t="shared" si="305"/>
        <v>18591.14015259</v>
      </c>
    </row>
    <row r="5495" spans="4:16" x14ac:dyDescent="0.25">
      <c r="D5495">
        <v>2029</v>
      </c>
      <c r="E5495" t="s">
        <v>135</v>
      </c>
      <c r="F5495" t="s">
        <v>562</v>
      </c>
      <c r="G5495">
        <v>19249.00221957</v>
      </c>
      <c r="I5495">
        <f t="shared" si="306"/>
        <v>0</v>
      </c>
      <c r="J5495">
        <f t="shared" si="306"/>
        <v>0</v>
      </c>
      <c r="K5495" t="b">
        <f t="shared" si="306"/>
        <v>1</v>
      </c>
      <c r="M5495" t="str" cm="1">
        <f t="array" ref="M5495">IFERROR(INDEX($I$2:$K$2,0,MATCH(TRUE,I5495:K5495,0)),E5495)</f>
        <v>PV</v>
      </c>
      <c r="O5495" t="str">
        <f t="shared" si="304"/>
        <v>PV_2029</v>
      </c>
      <c r="P5495">
        <f t="shared" si="305"/>
        <v>19249.00221957</v>
      </c>
    </row>
    <row r="5496" spans="4:16" x14ac:dyDescent="0.25">
      <c r="D5496">
        <v>2030</v>
      </c>
      <c r="E5496" t="s">
        <v>135</v>
      </c>
      <c r="F5496" t="s">
        <v>562</v>
      </c>
      <c r="G5496">
        <v>19906.864286550001</v>
      </c>
      <c r="I5496">
        <f t="shared" si="306"/>
        <v>0</v>
      </c>
      <c r="J5496">
        <f t="shared" si="306"/>
        <v>0</v>
      </c>
      <c r="K5496" t="b">
        <f t="shared" si="306"/>
        <v>1</v>
      </c>
      <c r="M5496" t="str" cm="1">
        <f t="array" ref="M5496">IFERROR(INDEX($I$2:$K$2,0,MATCH(TRUE,I5496:K5496,0)),E5496)</f>
        <v>PV</v>
      </c>
      <c r="O5496" t="str">
        <f t="shared" si="304"/>
        <v>PV_2030</v>
      </c>
      <c r="P5496">
        <f t="shared" si="305"/>
        <v>19906.864286550001</v>
      </c>
    </row>
    <row r="5497" spans="4:16" x14ac:dyDescent="0.25">
      <c r="D5497">
        <v>2031</v>
      </c>
      <c r="E5497" t="s">
        <v>135</v>
      </c>
      <c r="F5497" t="s">
        <v>562</v>
      </c>
      <c r="G5497">
        <v>20564.726353540002</v>
      </c>
      <c r="I5497">
        <f t="shared" si="306"/>
        <v>0</v>
      </c>
      <c r="J5497">
        <f t="shared" si="306"/>
        <v>0</v>
      </c>
      <c r="K5497" t="b">
        <f t="shared" si="306"/>
        <v>1</v>
      </c>
      <c r="M5497" t="str" cm="1">
        <f t="array" ref="M5497">IFERROR(INDEX($I$2:$K$2,0,MATCH(TRUE,I5497:K5497,0)),E5497)</f>
        <v>PV</v>
      </c>
      <c r="O5497" t="str">
        <f t="shared" si="304"/>
        <v>PV_2031</v>
      </c>
      <c r="P5497">
        <f t="shared" si="305"/>
        <v>20564.726353540002</v>
      </c>
    </row>
    <row r="5498" spans="4:16" x14ac:dyDescent="0.25">
      <c r="D5498">
        <v>2032</v>
      </c>
      <c r="E5498" t="s">
        <v>135</v>
      </c>
      <c r="F5498" t="s">
        <v>562</v>
      </c>
      <c r="G5498">
        <v>21222.588420519998</v>
      </c>
      <c r="I5498">
        <f t="shared" si="306"/>
        <v>0</v>
      </c>
      <c r="J5498">
        <f t="shared" si="306"/>
        <v>0</v>
      </c>
      <c r="K5498" t="b">
        <f t="shared" si="306"/>
        <v>1</v>
      </c>
      <c r="M5498" t="str" cm="1">
        <f t="array" ref="M5498">IFERROR(INDEX($I$2:$K$2,0,MATCH(TRUE,I5498:K5498,0)),E5498)</f>
        <v>PV</v>
      </c>
      <c r="O5498" t="str">
        <f t="shared" si="304"/>
        <v>PV_2032</v>
      </c>
      <c r="P5498">
        <f t="shared" si="305"/>
        <v>21222.588420519998</v>
      </c>
    </row>
    <row r="5499" spans="4:16" x14ac:dyDescent="0.25">
      <c r="D5499">
        <v>2033</v>
      </c>
      <c r="E5499" t="s">
        <v>135</v>
      </c>
      <c r="F5499" t="s">
        <v>562</v>
      </c>
      <c r="G5499">
        <v>21880.450487499998</v>
      </c>
      <c r="I5499">
        <f t="shared" si="306"/>
        <v>0</v>
      </c>
      <c r="J5499">
        <f t="shared" si="306"/>
        <v>0</v>
      </c>
      <c r="K5499" t="b">
        <f t="shared" si="306"/>
        <v>1</v>
      </c>
      <c r="M5499" t="str" cm="1">
        <f t="array" ref="M5499">IFERROR(INDEX($I$2:$K$2,0,MATCH(TRUE,I5499:K5499,0)),E5499)</f>
        <v>PV</v>
      </c>
      <c r="O5499" t="str">
        <f t="shared" si="304"/>
        <v>PV_2033</v>
      </c>
      <c r="P5499">
        <f t="shared" si="305"/>
        <v>21880.450487499998</v>
      </c>
    </row>
    <row r="5500" spans="4:16" x14ac:dyDescent="0.25">
      <c r="D5500">
        <v>2034</v>
      </c>
      <c r="E5500" t="s">
        <v>135</v>
      </c>
      <c r="F5500" t="s">
        <v>562</v>
      </c>
      <c r="G5500">
        <v>22538.312554479999</v>
      </c>
      <c r="I5500">
        <f t="shared" si="306"/>
        <v>0</v>
      </c>
      <c r="J5500">
        <f t="shared" si="306"/>
        <v>0</v>
      </c>
      <c r="K5500" t="b">
        <f t="shared" si="306"/>
        <v>1</v>
      </c>
      <c r="M5500" t="str" cm="1">
        <f t="array" ref="M5500">IFERROR(INDEX($I$2:$K$2,0,MATCH(TRUE,I5500:K5500,0)),E5500)</f>
        <v>PV</v>
      </c>
      <c r="O5500" t="str">
        <f t="shared" si="304"/>
        <v>PV_2034</v>
      </c>
      <c r="P5500">
        <f t="shared" si="305"/>
        <v>22538.312554479999</v>
      </c>
    </row>
    <row r="5501" spans="4:16" x14ac:dyDescent="0.25">
      <c r="D5501">
        <v>2035</v>
      </c>
      <c r="E5501" t="s">
        <v>135</v>
      </c>
      <c r="F5501" t="s">
        <v>562</v>
      </c>
      <c r="G5501">
        <v>23196.174621459999</v>
      </c>
      <c r="I5501">
        <f t="shared" si="306"/>
        <v>0</v>
      </c>
      <c r="J5501">
        <f t="shared" si="306"/>
        <v>0</v>
      </c>
      <c r="K5501" t="b">
        <f t="shared" si="306"/>
        <v>1</v>
      </c>
      <c r="M5501" t="str" cm="1">
        <f t="array" ref="M5501">IFERROR(INDEX($I$2:$K$2,0,MATCH(TRUE,I5501:K5501,0)),E5501)</f>
        <v>PV</v>
      </c>
      <c r="O5501" t="str">
        <f t="shared" si="304"/>
        <v>PV_2035</v>
      </c>
      <c r="P5501">
        <f t="shared" si="305"/>
        <v>23196.174621459999</v>
      </c>
    </row>
    <row r="5502" spans="4:16" x14ac:dyDescent="0.25">
      <c r="D5502">
        <v>2036</v>
      </c>
      <c r="E5502" t="s">
        <v>135</v>
      </c>
      <c r="F5502" t="s">
        <v>562</v>
      </c>
      <c r="G5502">
        <v>23854.036688439999</v>
      </c>
      <c r="I5502">
        <f t="shared" si="306"/>
        <v>0</v>
      </c>
      <c r="J5502">
        <f t="shared" si="306"/>
        <v>0</v>
      </c>
      <c r="K5502" t="b">
        <f t="shared" si="306"/>
        <v>1</v>
      </c>
      <c r="M5502" t="str" cm="1">
        <f t="array" ref="M5502">IFERROR(INDEX($I$2:$K$2,0,MATCH(TRUE,I5502:K5502,0)),E5502)</f>
        <v>PV</v>
      </c>
      <c r="O5502" t="str">
        <f t="shared" si="304"/>
        <v>PV_2036</v>
      </c>
      <c r="P5502">
        <f t="shared" si="305"/>
        <v>23854.036688439999</v>
      </c>
    </row>
    <row r="5503" spans="4:16" x14ac:dyDescent="0.25">
      <c r="D5503">
        <v>2037</v>
      </c>
      <c r="E5503" t="s">
        <v>135</v>
      </c>
      <c r="F5503" t="s">
        <v>562</v>
      </c>
      <c r="G5503">
        <v>24511.898755419999</v>
      </c>
      <c r="I5503">
        <f t="shared" si="306"/>
        <v>0</v>
      </c>
      <c r="J5503">
        <f t="shared" si="306"/>
        <v>0</v>
      </c>
      <c r="K5503" t="b">
        <f t="shared" si="306"/>
        <v>1</v>
      </c>
      <c r="M5503" t="str" cm="1">
        <f t="array" ref="M5503">IFERROR(INDEX($I$2:$K$2,0,MATCH(TRUE,I5503:K5503,0)),E5503)</f>
        <v>PV</v>
      </c>
      <c r="O5503" t="str">
        <f t="shared" si="304"/>
        <v>PV_2037</v>
      </c>
      <c r="P5503">
        <f t="shared" si="305"/>
        <v>24511.898755419999</v>
      </c>
    </row>
    <row r="5504" spans="4:16" x14ac:dyDescent="0.25">
      <c r="D5504">
        <v>2038</v>
      </c>
      <c r="E5504" t="s">
        <v>135</v>
      </c>
      <c r="F5504" t="s">
        <v>562</v>
      </c>
      <c r="G5504">
        <v>25169.7608224</v>
      </c>
      <c r="I5504">
        <f t="shared" si="306"/>
        <v>0</v>
      </c>
      <c r="J5504">
        <f t="shared" si="306"/>
        <v>0</v>
      </c>
      <c r="K5504" t="b">
        <f t="shared" si="306"/>
        <v>1</v>
      </c>
      <c r="M5504" t="str" cm="1">
        <f t="array" ref="M5504">IFERROR(INDEX($I$2:$K$2,0,MATCH(TRUE,I5504:K5504,0)),E5504)</f>
        <v>PV</v>
      </c>
      <c r="O5504" t="str">
        <f t="shared" si="304"/>
        <v>PV_2038</v>
      </c>
      <c r="P5504">
        <f t="shared" si="305"/>
        <v>25169.7608224</v>
      </c>
    </row>
    <row r="5505" spans="4:16" x14ac:dyDescent="0.25">
      <c r="D5505">
        <v>2039</v>
      </c>
      <c r="E5505" t="s">
        <v>135</v>
      </c>
      <c r="F5505" t="s">
        <v>562</v>
      </c>
      <c r="G5505">
        <v>25827.62288938</v>
      </c>
      <c r="I5505">
        <f t="shared" si="306"/>
        <v>0</v>
      </c>
      <c r="J5505">
        <f t="shared" si="306"/>
        <v>0</v>
      </c>
      <c r="K5505" t="b">
        <f t="shared" si="306"/>
        <v>1</v>
      </c>
      <c r="M5505" t="str" cm="1">
        <f t="array" ref="M5505">IFERROR(INDEX($I$2:$K$2,0,MATCH(TRUE,I5505:K5505,0)),E5505)</f>
        <v>PV</v>
      </c>
      <c r="O5505" t="str">
        <f t="shared" si="304"/>
        <v>PV_2039</v>
      </c>
      <c r="P5505">
        <f t="shared" si="305"/>
        <v>25827.62288938</v>
      </c>
    </row>
    <row r="5506" spans="4:16" x14ac:dyDescent="0.25">
      <c r="D5506">
        <v>2040</v>
      </c>
      <c r="E5506" t="s">
        <v>135</v>
      </c>
      <c r="F5506" t="s">
        <v>562</v>
      </c>
      <c r="G5506">
        <v>26485.484956370001</v>
      </c>
      <c r="I5506">
        <f t="shared" si="306"/>
        <v>0</v>
      </c>
      <c r="J5506">
        <f t="shared" si="306"/>
        <v>0</v>
      </c>
      <c r="K5506" t="b">
        <f t="shared" si="306"/>
        <v>1</v>
      </c>
      <c r="M5506" t="str" cm="1">
        <f t="array" ref="M5506">IFERROR(INDEX($I$2:$K$2,0,MATCH(TRUE,I5506:K5506,0)),E5506)</f>
        <v>PV</v>
      </c>
      <c r="O5506" t="str">
        <f t="shared" si="304"/>
        <v>PV_2040</v>
      </c>
      <c r="P5506">
        <f t="shared" si="305"/>
        <v>26485.484956370001</v>
      </c>
    </row>
    <row r="5507" spans="4:16" x14ac:dyDescent="0.25">
      <c r="D5507">
        <v>2021</v>
      </c>
      <c r="E5507" t="s">
        <v>135</v>
      </c>
      <c r="F5507" t="s">
        <v>563</v>
      </c>
      <c r="G5507">
        <v>18332.93539445</v>
      </c>
      <c r="I5507">
        <f t="shared" si="306"/>
        <v>0</v>
      </c>
      <c r="J5507">
        <f t="shared" si="306"/>
        <v>0</v>
      </c>
      <c r="K5507" t="b">
        <f t="shared" si="306"/>
        <v>1</v>
      </c>
      <c r="M5507" t="str" cm="1">
        <f t="array" ref="M5507">IFERROR(INDEX($I$2:$K$2,0,MATCH(TRUE,I5507:K5507,0)),E5507)</f>
        <v>PV</v>
      </c>
      <c r="O5507" t="str">
        <f t="shared" si="304"/>
        <v>PV_2021</v>
      </c>
      <c r="P5507">
        <f t="shared" si="305"/>
        <v>18332.93539445</v>
      </c>
    </row>
    <row r="5508" spans="4:16" x14ac:dyDescent="0.25">
      <c r="D5508">
        <v>2022</v>
      </c>
      <c r="E5508" t="s">
        <v>135</v>
      </c>
      <c r="F5508" t="s">
        <v>563</v>
      </c>
      <c r="G5508">
        <v>19273.039911780001</v>
      </c>
      <c r="I5508">
        <f t="shared" si="306"/>
        <v>0</v>
      </c>
      <c r="J5508">
        <f t="shared" si="306"/>
        <v>0</v>
      </c>
      <c r="K5508" t="b">
        <f t="shared" si="306"/>
        <v>1</v>
      </c>
      <c r="M5508" t="str" cm="1">
        <f t="array" ref="M5508">IFERROR(INDEX($I$2:$K$2,0,MATCH(TRUE,I5508:K5508,0)),E5508)</f>
        <v>PV</v>
      </c>
      <c r="O5508" t="str">
        <f t="shared" si="304"/>
        <v>PV_2022</v>
      </c>
      <c r="P5508">
        <f t="shared" si="305"/>
        <v>19273.039911780001</v>
      </c>
    </row>
    <row r="5509" spans="4:16" x14ac:dyDescent="0.25">
      <c r="D5509">
        <v>2023</v>
      </c>
      <c r="E5509" t="s">
        <v>135</v>
      </c>
      <c r="F5509" t="s">
        <v>563</v>
      </c>
      <c r="G5509">
        <v>20138.85729743</v>
      </c>
      <c r="I5509">
        <f t="shared" si="306"/>
        <v>0</v>
      </c>
      <c r="J5509">
        <f t="shared" si="306"/>
        <v>0</v>
      </c>
      <c r="K5509" t="b">
        <f t="shared" si="306"/>
        <v>1</v>
      </c>
      <c r="M5509" t="str" cm="1">
        <f t="array" ref="M5509">IFERROR(INDEX($I$2:$K$2,0,MATCH(TRUE,I5509:K5509,0)),E5509)</f>
        <v>PV</v>
      </c>
      <c r="O5509" t="str">
        <f t="shared" si="304"/>
        <v>PV_2023</v>
      </c>
      <c r="P5509">
        <f t="shared" si="305"/>
        <v>20138.85729743</v>
      </c>
    </row>
    <row r="5510" spans="4:16" x14ac:dyDescent="0.25">
      <c r="D5510">
        <v>2024</v>
      </c>
      <c r="E5510" t="s">
        <v>135</v>
      </c>
      <c r="F5510" t="s">
        <v>563</v>
      </c>
      <c r="G5510">
        <v>21004.674683069999</v>
      </c>
      <c r="I5510">
        <f t="shared" si="306"/>
        <v>0</v>
      </c>
      <c r="J5510">
        <f t="shared" si="306"/>
        <v>0</v>
      </c>
      <c r="K5510" t="b">
        <f t="shared" si="306"/>
        <v>1</v>
      </c>
      <c r="M5510" t="str" cm="1">
        <f t="array" ref="M5510">IFERROR(INDEX($I$2:$K$2,0,MATCH(TRUE,I5510:K5510,0)),E5510)</f>
        <v>PV</v>
      </c>
      <c r="O5510" t="str">
        <f t="shared" si="304"/>
        <v>PV_2024</v>
      </c>
      <c r="P5510">
        <f t="shared" si="305"/>
        <v>21004.674683069999</v>
      </c>
    </row>
    <row r="5511" spans="4:16" x14ac:dyDescent="0.25">
      <c r="D5511">
        <v>2025</v>
      </c>
      <c r="E5511" t="s">
        <v>135</v>
      </c>
      <c r="F5511" t="s">
        <v>563</v>
      </c>
      <c r="G5511">
        <v>21870.492068709998</v>
      </c>
      <c r="I5511">
        <f t="shared" si="306"/>
        <v>0</v>
      </c>
      <c r="J5511">
        <f t="shared" si="306"/>
        <v>0</v>
      </c>
      <c r="K5511" t="b">
        <f t="shared" si="306"/>
        <v>1</v>
      </c>
      <c r="M5511" t="str" cm="1">
        <f t="array" ref="M5511">IFERROR(INDEX($I$2:$K$2,0,MATCH(TRUE,I5511:K5511,0)),E5511)</f>
        <v>PV</v>
      </c>
      <c r="O5511" t="str">
        <f t="shared" si="304"/>
        <v>PV_2025</v>
      </c>
      <c r="P5511">
        <f t="shared" si="305"/>
        <v>21870.492068709998</v>
      </c>
    </row>
    <row r="5512" spans="4:16" x14ac:dyDescent="0.25">
      <c r="D5512">
        <v>2026</v>
      </c>
      <c r="E5512" t="s">
        <v>135</v>
      </c>
      <c r="F5512" t="s">
        <v>563</v>
      </c>
      <c r="G5512">
        <v>22736.309454359998</v>
      </c>
      <c r="I5512">
        <f t="shared" si="306"/>
        <v>0</v>
      </c>
      <c r="J5512">
        <f t="shared" si="306"/>
        <v>0</v>
      </c>
      <c r="K5512" t="b">
        <f t="shared" si="306"/>
        <v>1</v>
      </c>
      <c r="M5512" t="str" cm="1">
        <f t="array" ref="M5512">IFERROR(INDEX($I$2:$K$2,0,MATCH(TRUE,I5512:K5512,0)),E5512)</f>
        <v>PV</v>
      </c>
      <c r="O5512" t="str">
        <f t="shared" si="304"/>
        <v>PV_2026</v>
      </c>
      <c r="P5512">
        <f t="shared" si="305"/>
        <v>22736.309454359998</v>
      </c>
    </row>
    <row r="5513" spans="4:16" x14ac:dyDescent="0.25">
      <c r="D5513">
        <v>2027</v>
      </c>
      <c r="E5513" t="s">
        <v>135</v>
      </c>
      <c r="F5513" t="s">
        <v>563</v>
      </c>
      <c r="G5513">
        <v>23602.126840000001</v>
      </c>
      <c r="I5513">
        <f t="shared" si="306"/>
        <v>0</v>
      </c>
      <c r="J5513">
        <f t="shared" si="306"/>
        <v>0</v>
      </c>
      <c r="K5513" t="b">
        <f t="shared" si="306"/>
        <v>1</v>
      </c>
      <c r="M5513" t="str" cm="1">
        <f t="array" ref="M5513">IFERROR(INDEX($I$2:$K$2,0,MATCH(TRUE,I5513:K5513,0)),E5513)</f>
        <v>PV</v>
      </c>
      <c r="O5513" t="str">
        <f t="shared" si="304"/>
        <v>PV_2027</v>
      </c>
      <c r="P5513">
        <f t="shared" si="305"/>
        <v>23602.126840000001</v>
      </c>
    </row>
    <row r="5514" spans="4:16" x14ac:dyDescent="0.25">
      <c r="D5514">
        <v>2028</v>
      </c>
      <c r="E5514" t="s">
        <v>135</v>
      </c>
      <c r="F5514" t="s">
        <v>563</v>
      </c>
      <c r="G5514">
        <v>24467.944225650001</v>
      </c>
      <c r="I5514">
        <f t="shared" si="306"/>
        <v>0</v>
      </c>
      <c r="J5514">
        <f t="shared" si="306"/>
        <v>0</v>
      </c>
      <c r="K5514" t="b">
        <f t="shared" si="306"/>
        <v>1</v>
      </c>
      <c r="M5514" t="str" cm="1">
        <f t="array" ref="M5514">IFERROR(INDEX($I$2:$K$2,0,MATCH(TRUE,I5514:K5514,0)),E5514)</f>
        <v>PV</v>
      </c>
      <c r="O5514" t="str">
        <f t="shared" si="304"/>
        <v>PV_2028</v>
      </c>
      <c r="P5514">
        <f t="shared" si="305"/>
        <v>24467.944225650001</v>
      </c>
    </row>
    <row r="5515" spans="4:16" x14ac:dyDescent="0.25">
      <c r="D5515">
        <v>2029</v>
      </c>
      <c r="E5515" t="s">
        <v>135</v>
      </c>
      <c r="F5515" t="s">
        <v>563</v>
      </c>
      <c r="G5515">
        <v>25333.76161129</v>
      </c>
      <c r="I5515">
        <f t="shared" si="306"/>
        <v>0</v>
      </c>
      <c r="J5515">
        <f t="shared" si="306"/>
        <v>0</v>
      </c>
      <c r="K5515" t="b">
        <f t="shared" si="306"/>
        <v>1</v>
      </c>
      <c r="M5515" t="str" cm="1">
        <f t="array" ref="M5515">IFERROR(INDEX($I$2:$K$2,0,MATCH(TRUE,I5515:K5515,0)),E5515)</f>
        <v>PV</v>
      </c>
      <c r="O5515" t="str">
        <f t="shared" si="304"/>
        <v>PV_2029</v>
      </c>
      <c r="P5515">
        <f t="shared" si="305"/>
        <v>25333.76161129</v>
      </c>
    </row>
    <row r="5516" spans="4:16" x14ac:dyDescent="0.25">
      <c r="D5516">
        <v>2030</v>
      </c>
      <c r="E5516" t="s">
        <v>135</v>
      </c>
      <c r="F5516" t="s">
        <v>563</v>
      </c>
      <c r="G5516">
        <v>26199.578996939999</v>
      </c>
      <c r="I5516">
        <f t="shared" si="306"/>
        <v>0</v>
      </c>
      <c r="J5516">
        <f t="shared" si="306"/>
        <v>0</v>
      </c>
      <c r="K5516" t="b">
        <f t="shared" si="306"/>
        <v>1</v>
      </c>
      <c r="M5516" t="str" cm="1">
        <f t="array" ref="M5516">IFERROR(INDEX($I$2:$K$2,0,MATCH(TRUE,I5516:K5516,0)),E5516)</f>
        <v>PV</v>
      </c>
      <c r="O5516" t="str">
        <f t="shared" si="304"/>
        <v>PV_2030</v>
      </c>
      <c r="P5516">
        <f t="shared" si="305"/>
        <v>26199.578996939999</v>
      </c>
    </row>
    <row r="5517" spans="4:16" x14ac:dyDescent="0.25">
      <c r="D5517">
        <v>2031</v>
      </c>
      <c r="E5517" t="s">
        <v>135</v>
      </c>
      <c r="F5517" t="s">
        <v>563</v>
      </c>
      <c r="G5517">
        <v>27065.396382579998</v>
      </c>
      <c r="I5517">
        <f t="shared" si="306"/>
        <v>0</v>
      </c>
      <c r="J5517">
        <f t="shared" si="306"/>
        <v>0</v>
      </c>
      <c r="K5517" t="b">
        <f t="shared" si="306"/>
        <v>1</v>
      </c>
      <c r="M5517" t="str" cm="1">
        <f t="array" ref="M5517">IFERROR(INDEX($I$2:$K$2,0,MATCH(TRUE,I5517:K5517,0)),E5517)</f>
        <v>PV</v>
      </c>
      <c r="O5517" t="str">
        <f t="shared" si="304"/>
        <v>PV_2031</v>
      </c>
      <c r="P5517">
        <f t="shared" si="305"/>
        <v>27065.396382579998</v>
      </c>
    </row>
    <row r="5518" spans="4:16" x14ac:dyDescent="0.25">
      <c r="D5518">
        <v>2032</v>
      </c>
      <c r="E5518" t="s">
        <v>135</v>
      </c>
      <c r="F5518" t="s">
        <v>563</v>
      </c>
      <c r="G5518">
        <v>27931.213768220001</v>
      </c>
      <c r="I5518">
        <f t="shared" si="306"/>
        <v>0</v>
      </c>
      <c r="J5518">
        <f t="shared" si="306"/>
        <v>0</v>
      </c>
      <c r="K5518" t="b">
        <f t="shared" si="306"/>
        <v>1</v>
      </c>
      <c r="M5518" t="str" cm="1">
        <f t="array" ref="M5518">IFERROR(INDEX($I$2:$K$2,0,MATCH(TRUE,I5518:K5518,0)),E5518)</f>
        <v>PV</v>
      </c>
      <c r="O5518" t="str">
        <f t="shared" si="304"/>
        <v>PV_2032</v>
      </c>
      <c r="P5518">
        <f t="shared" si="305"/>
        <v>27931.213768220001</v>
      </c>
    </row>
    <row r="5519" spans="4:16" x14ac:dyDescent="0.25">
      <c r="D5519">
        <v>2033</v>
      </c>
      <c r="E5519" t="s">
        <v>135</v>
      </c>
      <c r="F5519" t="s">
        <v>563</v>
      </c>
      <c r="G5519">
        <v>28797.031153870001</v>
      </c>
      <c r="I5519">
        <f t="shared" si="306"/>
        <v>0</v>
      </c>
      <c r="J5519">
        <f t="shared" si="306"/>
        <v>0</v>
      </c>
      <c r="K5519" t="b">
        <f t="shared" si="306"/>
        <v>1</v>
      </c>
      <c r="M5519" t="str" cm="1">
        <f t="array" ref="M5519">IFERROR(INDEX($I$2:$K$2,0,MATCH(TRUE,I5519:K5519,0)),E5519)</f>
        <v>PV</v>
      </c>
      <c r="O5519" t="str">
        <f t="shared" si="304"/>
        <v>PV_2033</v>
      </c>
      <c r="P5519">
        <f t="shared" si="305"/>
        <v>28797.031153870001</v>
      </c>
    </row>
    <row r="5520" spans="4:16" x14ac:dyDescent="0.25">
      <c r="D5520">
        <v>2034</v>
      </c>
      <c r="E5520" t="s">
        <v>135</v>
      </c>
      <c r="F5520" t="s">
        <v>563</v>
      </c>
      <c r="G5520">
        <v>29662.84853951</v>
      </c>
      <c r="I5520">
        <f t="shared" si="306"/>
        <v>0</v>
      </c>
      <c r="J5520">
        <f t="shared" si="306"/>
        <v>0</v>
      </c>
      <c r="K5520" t="b">
        <f t="shared" si="306"/>
        <v>1</v>
      </c>
      <c r="M5520" t="str" cm="1">
        <f t="array" ref="M5520">IFERROR(INDEX($I$2:$K$2,0,MATCH(TRUE,I5520:K5520,0)),E5520)</f>
        <v>PV</v>
      </c>
      <c r="O5520" t="str">
        <f t="shared" si="304"/>
        <v>PV_2034</v>
      </c>
      <c r="P5520">
        <f t="shared" si="305"/>
        <v>29662.84853951</v>
      </c>
    </row>
    <row r="5521" spans="4:16" x14ac:dyDescent="0.25">
      <c r="D5521">
        <v>2035</v>
      </c>
      <c r="E5521" t="s">
        <v>135</v>
      </c>
      <c r="F5521" t="s">
        <v>563</v>
      </c>
      <c r="G5521">
        <v>30528.665925159999</v>
      </c>
      <c r="I5521">
        <f t="shared" si="306"/>
        <v>0</v>
      </c>
      <c r="J5521">
        <f t="shared" si="306"/>
        <v>0</v>
      </c>
      <c r="K5521" t="b">
        <f t="shared" si="306"/>
        <v>1</v>
      </c>
      <c r="M5521" t="str" cm="1">
        <f t="array" ref="M5521">IFERROR(INDEX($I$2:$K$2,0,MATCH(TRUE,I5521:K5521,0)),E5521)</f>
        <v>PV</v>
      </c>
      <c r="O5521" t="str">
        <f t="shared" si="304"/>
        <v>PV_2035</v>
      </c>
      <c r="P5521">
        <f t="shared" si="305"/>
        <v>30528.665925159999</v>
      </c>
    </row>
    <row r="5522" spans="4:16" x14ac:dyDescent="0.25">
      <c r="D5522">
        <v>2036</v>
      </c>
      <c r="E5522" t="s">
        <v>135</v>
      </c>
      <c r="F5522" t="s">
        <v>563</v>
      </c>
      <c r="G5522">
        <v>31394.483310799998</v>
      </c>
      <c r="I5522">
        <f t="shared" si="306"/>
        <v>0</v>
      </c>
      <c r="J5522">
        <f t="shared" si="306"/>
        <v>0</v>
      </c>
      <c r="K5522" t="b">
        <f t="shared" si="306"/>
        <v>1</v>
      </c>
      <c r="M5522" t="str" cm="1">
        <f t="array" ref="M5522">IFERROR(INDEX($I$2:$K$2,0,MATCH(TRUE,I5522:K5522,0)),E5522)</f>
        <v>PV</v>
      </c>
      <c r="O5522" t="str">
        <f t="shared" si="304"/>
        <v>PV_2036</v>
      </c>
      <c r="P5522">
        <f t="shared" si="305"/>
        <v>31394.483310799998</v>
      </c>
    </row>
    <row r="5523" spans="4:16" x14ac:dyDescent="0.25">
      <c r="D5523">
        <v>2037</v>
      </c>
      <c r="E5523" t="s">
        <v>135</v>
      </c>
      <c r="F5523" t="s">
        <v>563</v>
      </c>
      <c r="G5523">
        <v>32260.300696440001</v>
      </c>
      <c r="I5523">
        <f t="shared" si="306"/>
        <v>0</v>
      </c>
      <c r="J5523">
        <f t="shared" si="306"/>
        <v>0</v>
      </c>
      <c r="K5523" t="b">
        <f t="shared" si="306"/>
        <v>1</v>
      </c>
      <c r="M5523" t="str" cm="1">
        <f t="array" ref="M5523">IFERROR(INDEX($I$2:$K$2,0,MATCH(TRUE,I5523:K5523,0)),E5523)</f>
        <v>PV</v>
      </c>
      <c r="O5523" t="str">
        <f t="shared" ref="O5523:O5586" si="307">M5523&amp;"_"&amp;D5523</f>
        <v>PV_2037</v>
      </c>
      <c r="P5523">
        <f t="shared" ref="P5523:P5586" si="308">G5523</f>
        <v>32260.300696440001</v>
      </c>
    </row>
    <row r="5524" spans="4:16" x14ac:dyDescent="0.25">
      <c r="D5524">
        <v>2038</v>
      </c>
      <c r="E5524" t="s">
        <v>135</v>
      </c>
      <c r="F5524" t="s">
        <v>563</v>
      </c>
      <c r="G5524">
        <v>33126.118082089997</v>
      </c>
      <c r="I5524">
        <f t="shared" si="306"/>
        <v>0</v>
      </c>
      <c r="J5524">
        <f t="shared" si="306"/>
        <v>0</v>
      </c>
      <c r="K5524" t="b">
        <f t="shared" si="306"/>
        <v>1</v>
      </c>
      <c r="M5524" t="str" cm="1">
        <f t="array" ref="M5524">IFERROR(INDEX($I$2:$K$2,0,MATCH(TRUE,I5524:K5524,0)),E5524)</f>
        <v>PV</v>
      </c>
      <c r="O5524" t="str">
        <f t="shared" si="307"/>
        <v>PV_2038</v>
      </c>
      <c r="P5524">
        <f t="shared" si="308"/>
        <v>33126.118082089997</v>
      </c>
    </row>
    <row r="5525" spans="4:16" x14ac:dyDescent="0.25">
      <c r="D5525">
        <v>2039</v>
      </c>
      <c r="E5525" t="s">
        <v>135</v>
      </c>
      <c r="F5525" t="s">
        <v>563</v>
      </c>
      <c r="G5525">
        <v>33991.93546773</v>
      </c>
      <c r="I5525">
        <f t="shared" ref="I5525:K5588" si="309">IFERROR(FIND(I$2,$E5525,1)&gt;0,0)</f>
        <v>0</v>
      </c>
      <c r="J5525">
        <f t="shared" si="309"/>
        <v>0</v>
      </c>
      <c r="K5525" t="b">
        <f t="shared" si="309"/>
        <v>1</v>
      </c>
      <c r="M5525" t="str" cm="1">
        <f t="array" ref="M5525">IFERROR(INDEX($I$2:$K$2,0,MATCH(TRUE,I5525:K5525,0)),E5525)</f>
        <v>PV</v>
      </c>
      <c r="O5525" t="str">
        <f t="shared" si="307"/>
        <v>PV_2039</v>
      </c>
      <c r="P5525">
        <f t="shared" si="308"/>
        <v>33991.93546773</v>
      </c>
    </row>
    <row r="5526" spans="4:16" x14ac:dyDescent="0.25">
      <c r="D5526">
        <v>2040</v>
      </c>
      <c r="E5526" t="s">
        <v>135</v>
      </c>
      <c r="F5526" t="s">
        <v>563</v>
      </c>
      <c r="G5526">
        <v>34857.75285338</v>
      </c>
      <c r="I5526">
        <f t="shared" si="309"/>
        <v>0</v>
      </c>
      <c r="J5526">
        <f t="shared" si="309"/>
        <v>0</v>
      </c>
      <c r="K5526" t="b">
        <f t="shared" si="309"/>
        <v>1</v>
      </c>
      <c r="M5526" t="str" cm="1">
        <f t="array" ref="M5526">IFERROR(INDEX($I$2:$K$2,0,MATCH(TRUE,I5526:K5526,0)),E5526)</f>
        <v>PV</v>
      </c>
      <c r="O5526" t="str">
        <f t="shared" si="307"/>
        <v>PV_2040</v>
      </c>
      <c r="P5526">
        <f t="shared" si="308"/>
        <v>34857.75285338</v>
      </c>
    </row>
    <row r="5527" spans="4:16" x14ac:dyDescent="0.25">
      <c r="D5527">
        <v>2024</v>
      </c>
      <c r="E5527" t="s">
        <v>136</v>
      </c>
      <c r="F5527" t="s">
        <v>564</v>
      </c>
      <c r="G5527">
        <v>0</v>
      </c>
      <c r="I5527">
        <f t="shared" si="309"/>
        <v>0</v>
      </c>
      <c r="J5527">
        <f t="shared" si="309"/>
        <v>0</v>
      </c>
      <c r="K5527" t="b">
        <f t="shared" si="309"/>
        <v>1</v>
      </c>
      <c r="M5527" t="str" cm="1">
        <f t="array" ref="M5527">IFERROR(INDEX($I$2:$K$2,0,MATCH(TRUE,I5527:K5527,0)),E5527)</f>
        <v>PV</v>
      </c>
      <c r="O5527" t="str">
        <f t="shared" si="307"/>
        <v>PV_2024</v>
      </c>
      <c r="P5527">
        <f t="shared" si="308"/>
        <v>0</v>
      </c>
    </row>
    <row r="5528" spans="4:16" x14ac:dyDescent="0.25">
      <c r="D5528">
        <v>2025</v>
      </c>
      <c r="E5528" t="s">
        <v>136</v>
      </c>
      <c r="F5528" t="s">
        <v>564</v>
      </c>
      <c r="G5528">
        <v>0.1</v>
      </c>
      <c r="I5528">
        <f t="shared" si="309"/>
        <v>0</v>
      </c>
      <c r="J5528">
        <f t="shared" si="309"/>
        <v>0</v>
      </c>
      <c r="K5528" t="b">
        <f t="shared" si="309"/>
        <v>1</v>
      </c>
      <c r="M5528" t="str" cm="1">
        <f t="array" ref="M5528">IFERROR(INDEX($I$2:$K$2,0,MATCH(TRUE,I5528:K5528,0)),E5528)</f>
        <v>PV</v>
      </c>
      <c r="O5528" t="str">
        <f t="shared" si="307"/>
        <v>PV_2025</v>
      </c>
      <c r="P5528">
        <f t="shared" si="308"/>
        <v>0.1</v>
      </c>
    </row>
    <row r="5529" spans="4:16" x14ac:dyDescent="0.25">
      <c r="D5529">
        <v>2026</v>
      </c>
      <c r="E5529" t="s">
        <v>136</v>
      </c>
      <c r="F5529" t="s">
        <v>564</v>
      </c>
      <c r="G5529">
        <v>0.1</v>
      </c>
      <c r="I5529">
        <f t="shared" si="309"/>
        <v>0</v>
      </c>
      <c r="J5529">
        <f t="shared" si="309"/>
        <v>0</v>
      </c>
      <c r="K5529" t="b">
        <f t="shared" si="309"/>
        <v>1</v>
      </c>
      <c r="M5529" t="str" cm="1">
        <f t="array" ref="M5529">IFERROR(INDEX($I$2:$K$2,0,MATCH(TRUE,I5529:K5529,0)),E5529)</f>
        <v>PV</v>
      </c>
      <c r="O5529" t="str">
        <f t="shared" si="307"/>
        <v>PV_2026</v>
      </c>
      <c r="P5529">
        <f t="shared" si="308"/>
        <v>0.1</v>
      </c>
    </row>
    <row r="5530" spans="4:16" x14ac:dyDescent="0.25">
      <c r="D5530">
        <v>2027</v>
      </c>
      <c r="E5530" t="s">
        <v>136</v>
      </c>
      <c r="F5530" t="s">
        <v>564</v>
      </c>
      <c r="G5530">
        <v>0.1</v>
      </c>
      <c r="I5530">
        <f t="shared" si="309"/>
        <v>0</v>
      </c>
      <c r="J5530">
        <f t="shared" si="309"/>
        <v>0</v>
      </c>
      <c r="K5530" t="b">
        <f t="shared" si="309"/>
        <v>1</v>
      </c>
      <c r="M5530" t="str" cm="1">
        <f t="array" ref="M5530">IFERROR(INDEX($I$2:$K$2,0,MATCH(TRUE,I5530:K5530,0)),E5530)</f>
        <v>PV</v>
      </c>
      <c r="O5530" t="str">
        <f t="shared" si="307"/>
        <v>PV_2027</v>
      </c>
      <c r="P5530">
        <f t="shared" si="308"/>
        <v>0.1</v>
      </c>
    </row>
    <row r="5531" spans="4:16" x14ac:dyDescent="0.25">
      <c r="D5531">
        <v>2028</v>
      </c>
      <c r="E5531" t="s">
        <v>136</v>
      </c>
      <c r="F5531" t="s">
        <v>564</v>
      </c>
      <c r="G5531">
        <v>0.1</v>
      </c>
      <c r="I5531">
        <f t="shared" si="309"/>
        <v>0</v>
      </c>
      <c r="J5531">
        <f t="shared" si="309"/>
        <v>0</v>
      </c>
      <c r="K5531" t="b">
        <f t="shared" si="309"/>
        <v>1</v>
      </c>
      <c r="M5531" t="str" cm="1">
        <f t="array" ref="M5531">IFERROR(INDEX($I$2:$K$2,0,MATCH(TRUE,I5531:K5531,0)),E5531)</f>
        <v>PV</v>
      </c>
      <c r="O5531" t="str">
        <f t="shared" si="307"/>
        <v>PV_2028</v>
      </c>
      <c r="P5531">
        <f t="shared" si="308"/>
        <v>0.1</v>
      </c>
    </row>
    <row r="5532" spans="4:16" x14ac:dyDescent="0.25">
      <c r="D5532">
        <v>2029</v>
      </c>
      <c r="E5532" t="s">
        <v>136</v>
      </c>
      <c r="F5532" t="s">
        <v>564</v>
      </c>
      <c r="G5532">
        <v>0.1</v>
      </c>
      <c r="I5532">
        <f t="shared" si="309"/>
        <v>0</v>
      </c>
      <c r="J5532">
        <f t="shared" si="309"/>
        <v>0</v>
      </c>
      <c r="K5532" t="b">
        <f t="shared" si="309"/>
        <v>1</v>
      </c>
      <c r="M5532" t="str" cm="1">
        <f t="array" ref="M5532">IFERROR(INDEX($I$2:$K$2,0,MATCH(TRUE,I5532:K5532,0)),E5532)</f>
        <v>PV</v>
      </c>
      <c r="O5532" t="str">
        <f t="shared" si="307"/>
        <v>PV_2029</v>
      </c>
      <c r="P5532">
        <f t="shared" si="308"/>
        <v>0.1</v>
      </c>
    </row>
    <row r="5533" spans="4:16" x14ac:dyDescent="0.25">
      <c r="D5533">
        <v>2030</v>
      </c>
      <c r="E5533" t="s">
        <v>136</v>
      </c>
      <c r="F5533" t="s">
        <v>564</v>
      </c>
      <c r="G5533">
        <v>0.1</v>
      </c>
      <c r="I5533">
        <f t="shared" si="309"/>
        <v>0</v>
      </c>
      <c r="J5533">
        <f t="shared" si="309"/>
        <v>0</v>
      </c>
      <c r="K5533" t="b">
        <f t="shared" si="309"/>
        <v>1</v>
      </c>
      <c r="M5533" t="str" cm="1">
        <f t="array" ref="M5533">IFERROR(INDEX($I$2:$K$2,0,MATCH(TRUE,I5533:K5533,0)),E5533)</f>
        <v>PV</v>
      </c>
      <c r="O5533" t="str">
        <f t="shared" si="307"/>
        <v>PV_2030</v>
      </c>
      <c r="P5533">
        <f t="shared" si="308"/>
        <v>0.1</v>
      </c>
    </row>
    <row r="5534" spans="4:16" x14ac:dyDescent="0.25">
      <c r="D5534">
        <v>2031</v>
      </c>
      <c r="E5534" t="s">
        <v>136</v>
      </c>
      <c r="F5534" t="s">
        <v>564</v>
      </c>
      <c r="G5534">
        <v>0.1</v>
      </c>
      <c r="I5534">
        <f t="shared" si="309"/>
        <v>0</v>
      </c>
      <c r="J5534">
        <f t="shared" si="309"/>
        <v>0</v>
      </c>
      <c r="K5534" t="b">
        <f t="shared" si="309"/>
        <v>1</v>
      </c>
      <c r="M5534" t="str" cm="1">
        <f t="array" ref="M5534">IFERROR(INDEX($I$2:$K$2,0,MATCH(TRUE,I5534:K5534,0)),E5534)</f>
        <v>PV</v>
      </c>
      <c r="O5534" t="str">
        <f t="shared" si="307"/>
        <v>PV_2031</v>
      </c>
      <c r="P5534">
        <f t="shared" si="308"/>
        <v>0.1</v>
      </c>
    </row>
    <row r="5535" spans="4:16" x14ac:dyDescent="0.25">
      <c r="D5535">
        <v>2032</v>
      </c>
      <c r="E5535" t="s">
        <v>136</v>
      </c>
      <c r="F5535" t="s">
        <v>564</v>
      </c>
      <c r="G5535">
        <v>0.1</v>
      </c>
      <c r="I5535">
        <f t="shared" si="309"/>
        <v>0</v>
      </c>
      <c r="J5535">
        <f t="shared" si="309"/>
        <v>0</v>
      </c>
      <c r="K5535" t="b">
        <f t="shared" si="309"/>
        <v>1</v>
      </c>
      <c r="M5535" t="str" cm="1">
        <f t="array" ref="M5535">IFERROR(INDEX($I$2:$K$2,0,MATCH(TRUE,I5535:K5535,0)),E5535)</f>
        <v>PV</v>
      </c>
      <c r="O5535" t="str">
        <f t="shared" si="307"/>
        <v>PV_2032</v>
      </c>
      <c r="P5535">
        <f t="shared" si="308"/>
        <v>0.1</v>
      </c>
    </row>
    <row r="5536" spans="4:16" x14ac:dyDescent="0.25">
      <c r="D5536">
        <v>2033</v>
      </c>
      <c r="E5536" t="s">
        <v>136</v>
      </c>
      <c r="F5536" t="s">
        <v>564</v>
      </c>
      <c r="G5536">
        <v>0.1</v>
      </c>
      <c r="I5536">
        <f t="shared" si="309"/>
        <v>0</v>
      </c>
      <c r="J5536">
        <f t="shared" si="309"/>
        <v>0</v>
      </c>
      <c r="K5536" t="b">
        <f t="shared" si="309"/>
        <v>1</v>
      </c>
      <c r="M5536" t="str" cm="1">
        <f t="array" ref="M5536">IFERROR(INDEX($I$2:$K$2,0,MATCH(TRUE,I5536:K5536,0)),E5536)</f>
        <v>PV</v>
      </c>
      <c r="O5536" t="str">
        <f t="shared" si="307"/>
        <v>PV_2033</v>
      </c>
      <c r="P5536">
        <f t="shared" si="308"/>
        <v>0.1</v>
      </c>
    </row>
    <row r="5537" spans="4:16" x14ac:dyDescent="0.25">
      <c r="D5537">
        <v>2034</v>
      </c>
      <c r="E5537" t="s">
        <v>136</v>
      </c>
      <c r="F5537" t="s">
        <v>564</v>
      </c>
      <c r="G5537">
        <v>0.1</v>
      </c>
      <c r="I5537">
        <f t="shared" si="309"/>
        <v>0</v>
      </c>
      <c r="J5537">
        <f t="shared" si="309"/>
        <v>0</v>
      </c>
      <c r="K5537" t="b">
        <f t="shared" si="309"/>
        <v>1</v>
      </c>
      <c r="M5537" t="str" cm="1">
        <f t="array" ref="M5537">IFERROR(INDEX($I$2:$K$2,0,MATCH(TRUE,I5537:K5537,0)),E5537)</f>
        <v>PV</v>
      </c>
      <c r="O5537" t="str">
        <f t="shared" si="307"/>
        <v>PV_2034</v>
      </c>
      <c r="P5537">
        <f t="shared" si="308"/>
        <v>0.1</v>
      </c>
    </row>
    <row r="5538" spans="4:16" x14ac:dyDescent="0.25">
      <c r="D5538">
        <v>2035</v>
      </c>
      <c r="E5538" t="s">
        <v>136</v>
      </c>
      <c r="F5538" t="s">
        <v>564</v>
      </c>
      <c r="G5538">
        <v>0.1</v>
      </c>
      <c r="I5538">
        <f t="shared" si="309"/>
        <v>0</v>
      </c>
      <c r="J5538">
        <f t="shared" si="309"/>
        <v>0</v>
      </c>
      <c r="K5538" t="b">
        <f t="shared" si="309"/>
        <v>1</v>
      </c>
      <c r="M5538" t="str" cm="1">
        <f t="array" ref="M5538">IFERROR(INDEX($I$2:$K$2,0,MATCH(TRUE,I5538:K5538,0)),E5538)</f>
        <v>PV</v>
      </c>
      <c r="O5538" t="str">
        <f t="shared" si="307"/>
        <v>PV_2035</v>
      </c>
      <c r="P5538">
        <f t="shared" si="308"/>
        <v>0.1</v>
      </c>
    </row>
    <row r="5539" spans="4:16" x14ac:dyDescent="0.25">
      <c r="D5539">
        <v>2036</v>
      </c>
      <c r="E5539" t="s">
        <v>136</v>
      </c>
      <c r="F5539" t="s">
        <v>564</v>
      </c>
      <c r="G5539">
        <v>0.1</v>
      </c>
      <c r="I5539">
        <f t="shared" si="309"/>
        <v>0</v>
      </c>
      <c r="J5539">
        <f t="shared" si="309"/>
        <v>0</v>
      </c>
      <c r="K5539" t="b">
        <f t="shared" si="309"/>
        <v>1</v>
      </c>
      <c r="M5539" t="str" cm="1">
        <f t="array" ref="M5539">IFERROR(INDEX($I$2:$K$2,0,MATCH(TRUE,I5539:K5539,0)),E5539)</f>
        <v>PV</v>
      </c>
      <c r="O5539" t="str">
        <f t="shared" si="307"/>
        <v>PV_2036</v>
      </c>
      <c r="P5539">
        <f t="shared" si="308"/>
        <v>0.1</v>
      </c>
    </row>
    <row r="5540" spans="4:16" x14ac:dyDescent="0.25">
      <c r="D5540">
        <v>2037</v>
      </c>
      <c r="E5540" t="s">
        <v>136</v>
      </c>
      <c r="F5540" t="s">
        <v>564</v>
      </c>
      <c r="G5540">
        <v>0.1</v>
      </c>
      <c r="I5540">
        <f t="shared" si="309"/>
        <v>0</v>
      </c>
      <c r="J5540">
        <f t="shared" si="309"/>
        <v>0</v>
      </c>
      <c r="K5540" t="b">
        <f t="shared" si="309"/>
        <v>1</v>
      </c>
      <c r="M5540" t="str" cm="1">
        <f t="array" ref="M5540">IFERROR(INDEX($I$2:$K$2,0,MATCH(TRUE,I5540:K5540,0)),E5540)</f>
        <v>PV</v>
      </c>
      <c r="O5540" t="str">
        <f t="shared" si="307"/>
        <v>PV_2037</v>
      </c>
      <c r="P5540">
        <f t="shared" si="308"/>
        <v>0.1</v>
      </c>
    </row>
    <row r="5541" spans="4:16" x14ac:dyDescent="0.25">
      <c r="D5541">
        <v>2038</v>
      </c>
      <c r="E5541" t="s">
        <v>136</v>
      </c>
      <c r="F5541" t="s">
        <v>564</v>
      </c>
      <c r="G5541">
        <v>0.1</v>
      </c>
      <c r="I5541">
        <f t="shared" si="309"/>
        <v>0</v>
      </c>
      <c r="J5541">
        <f t="shared" si="309"/>
        <v>0</v>
      </c>
      <c r="K5541" t="b">
        <f t="shared" si="309"/>
        <v>1</v>
      </c>
      <c r="M5541" t="str" cm="1">
        <f t="array" ref="M5541">IFERROR(INDEX($I$2:$K$2,0,MATCH(TRUE,I5541:K5541,0)),E5541)</f>
        <v>PV</v>
      </c>
      <c r="O5541" t="str">
        <f t="shared" si="307"/>
        <v>PV_2038</v>
      </c>
      <c r="P5541">
        <f t="shared" si="308"/>
        <v>0.1</v>
      </c>
    </row>
    <row r="5542" spans="4:16" x14ac:dyDescent="0.25">
      <c r="D5542">
        <v>2039</v>
      </c>
      <c r="E5542" t="s">
        <v>136</v>
      </c>
      <c r="F5542" t="s">
        <v>564</v>
      </c>
      <c r="G5542">
        <v>0.1</v>
      </c>
      <c r="I5542">
        <f t="shared" si="309"/>
        <v>0</v>
      </c>
      <c r="J5542">
        <f t="shared" si="309"/>
        <v>0</v>
      </c>
      <c r="K5542" t="b">
        <f t="shared" si="309"/>
        <v>1</v>
      </c>
      <c r="M5542" t="str" cm="1">
        <f t="array" ref="M5542">IFERROR(INDEX($I$2:$K$2,0,MATCH(TRUE,I5542:K5542,0)),E5542)</f>
        <v>PV</v>
      </c>
      <c r="O5542" t="str">
        <f t="shared" si="307"/>
        <v>PV_2039</v>
      </c>
      <c r="P5542">
        <f t="shared" si="308"/>
        <v>0.1</v>
      </c>
    </row>
    <row r="5543" spans="4:16" x14ac:dyDescent="0.25">
      <c r="D5543">
        <v>2040</v>
      </c>
      <c r="E5543" t="s">
        <v>136</v>
      </c>
      <c r="F5543" t="s">
        <v>564</v>
      </c>
      <c r="G5543">
        <v>0.1</v>
      </c>
      <c r="I5543">
        <f t="shared" si="309"/>
        <v>0</v>
      </c>
      <c r="J5543">
        <f t="shared" si="309"/>
        <v>0</v>
      </c>
      <c r="K5543" t="b">
        <f t="shared" si="309"/>
        <v>1</v>
      </c>
      <c r="M5543" t="str" cm="1">
        <f t="array" ref="M5543">IFERROR(INDEX($I$2:$K$2,0,MATCH(TRUE,I5543:K5543,0)),E5543)</f>
        <v>PV</v>
      </c>
      <c r="O5543" t="str">
        <f t="shared" si="307"/>
        <v>PV_2040</v>
      </c>
      <c r="P5543">
        <f t="shared" si="308"/>
        <v>0.1</v>
      </c>
    </row>
    <row r="5544" spans="4:16" x14ac:dyDescent="0.25">
      <c r="D5544">
        <v>2024</v>
      </c>
      <c r="E5544" t="s">
        <v>136</v>
      </c>
      <c r="F5544" t="s">
        <v>565</v>
      </c>
      <c r="G5544">
        <v>0</v>
      </c>
      <c r="I5544">
        <f t="shared" si="309"/>
        <v>0</v>
      </c>
      <c r="J5544">
        <f t="shared" si="309"/>
        <v>0</v>
      </c>
      <c r="K5544" t="b">
        <f t="shared" si="309"/>
        <v>1</v>
      </c>
      <c r="M5544" t="str" cm="1">
        <f t="array" ref="M5544">IFERROR(INDEX($I$2:$K$2,0,MATCH(TRUE,I5544:K5544,0)),E5544)</f>
        <v>PV</v>
      </c>
      <c r="O5544" t="str">
        <f t="shared" si="307"/>
        <v>PV_2024</v>
      </c>
      <c r="P5544">
        <f t="shared" si="308"/>
        <v>0</v>
      </c>
    </row>
    <row r="5545" spans="4:16" x14ac:dyDescent="0.25">
      <c r="D5545">
        <v>2025</v>
      </c>
      <c r="E5545" t="s">
        <v>136</v>
      </c>
      <c r="F5545" t="s">
        <v>565</v>
      </c>
      <c r="G5545">
        <v>0.1</v>
      </c>
      <c r="I5545">
        <f t="shared" si="309"/>
        <v>0</v>
      </c>
      <c r="J5545">
        <f t="shared" si="309"/>
        <v>0</v>
      </c>
      <c r="K5545" t="b">
        <f t="shared" si="309"/>
        <v>1</v>
      </c>
      <c r="M5545" t="str" cm="1">
        <f t="array" ref="M5545">IFERROR(INDEX($I$2:$K$2,0,MATCH(TRUE,I5545:K5545,0)),E5545)</f>
        <v>PV</v>
      </c>
      <c r="O5545" t="str">
        <f t="shared" si="307"/>
        <v>PV_2025</v>
      </c>
      <c r="P5545">
        <f t="shared" si="308"/>
        <v>0.1</v>
      </c>
    </row>
    <row r="5546" spans="4:16" x14ac:dyDescent="0.25">
      <c r="D5546">
        <v>2026</v>
      </c>
      <c r="E5546" t="s">
        <v>136</v>
      </c>
      <c r="F5546" t="s">
        <v>565</v>
      </c>
      <c r="G5546">
        <v>0.1</v>
      </c>
      <c r="I5546">
        <f t="shared" si="309"/>
        <v>0</v>
      </c>
      <c r="J5546">
        <f t="shared" si="309"/>
        <v>0</v>
      </c>
      <c r="K5546" t="b">
        <f t="shared" si="309"/>
        <v>1</v>
      </c>
      <c r="M5546" t="str" cm="1">
        <f t="array" ref="M5546">IFERROR(INDEX($I$2:$K$2,0,MATCH(TRUE,I5546:K5546,0)),E5546)</f>
        <v>PV</v>
      </c>
      <c r="O5546" t="str">
        <f t="shared" si="307"/>
        <v>PV_2026</v>
      </c>
      <c r="P5546">
        <f t="shared" si="308"/>
        <v>0.1</v>
      </c>
    </row>
    <row r="5547" spans="4:16" x14ac:dyDescent="0.25">
      <c r="D5547">
        <v>2027</v>
      </c>
      <c r="E5547" t="s">
        <v>136</v>
      </c>
      <c r="F5547" t="s">
        <v>565</v>
      </c>
      <c r="G5547">
        <v>0.1</v>
      </c>
      <c r="I5547">
        <f t="shared" si="309"/>
        <v>0</v>
      </c>
      <c r="J5547">
        <f t="shared" si="309"/>
        <v>0</v>
      </c>
      <c r="K5547" t="b">
        <f t="shared" si="309"/>
        <v>1</v>
      </c>
      <c r="M5547" t="str" cm="1">
        <f t="array" ref="M5547">IFERROR(INDEX($I$2:$K$2,0,MATCH(TRUE,I5547:K5547,0)),E5547)</f>
        <v>PV</v>
      </c>
      <c r="O5547" t="str">
        <f t="shared" si="307"/>
        <v>PV_2027</v>
      </c>
      <c r="P5547">
        <f t="shared" si="308"/>
        <v>0.1</v>
      </c>
    </row>
    <row r="5548" spans="4:16" x14ac:dyDescent="0.25">
      <c r="D5548">
        <v>2028</v>
      </c>
      <c r="E5548" t="s">
        <v>136</v>
      </c>
      <c r="F5548" t="s">
        <v>565</v>
      </c>
      <c r="G5548">
        <v>0.1</v>
      </c>
      <c r="I5548">
        <f t="shared" si="309"/>
        <v>0</v>
      </c>
      <c r="J5548">
        <f t="shared" si="309"/>
        <v>0</v>
      </c>
      <c r="K5548" t="b">
        <f t="shared" si="309"/>
        <v>1</v>
      </c>
      <c r="M5548" t="str" cm="1">
        <f t="array" ref="M5548">IFERROR(INDEX($I$2:$K$2,0,MATCH(TRUE,I5548:K5548,0)),E5548)</f>
        <v>PV</v>
      </c>
      <c r="O5548" t="str">
        <f t="shared" si="307"/>
        <v>PV_2028</v>
      </c>
      <c r="P5548">
        <f t="shared" si="308"/>
        <v>0.1</v>
      </c>
    </row>
    <row r="5549" spans="4:16" x14ac:dyDescent="0.25">
      <c r="D5549">
        <v>2029</v>
      </c>
      <c r="E5549" t="s">
        <v>136</v>
      </c>
      <c r="F5549" t="s">
        <v>565</v>
      </c>
      <c r="G5549">
        <v>0.1</v>
      </c>
      <c r="I5549">
        <f t="shared" si="309"/>
        <v>0</v>
      </c>
      <c r="J5549">
        <f t="shared" si="309"/>
        <v>0</v>
      </c>
      <c r="K5549" t="b">
        <f t="shared" si="309"/>
        <v>1</v>
      </c>
      <c r="M5549" t="str" cm="1">
        <f t="array" ref="M5549">IFERROR(INDEX($I$2:$K$2,0,MATCH(TRUE,I5549:K5549,0)),E5549)</f>
        <v>PV</v>
      </c>
      <c r="O5549" t="str">
        <f t="shared" si="307"/>
        <v>PV_2029</v>
      </c>
      <c r="P5549">
        <f t="shared" si="308"/>
        <v>0.1</v>
      </c>
    </row>
    <row r="5550" spans="4:16" x14ac:dyDescent="0.25">
      <c r="D5550">
        <v>2030</v>
      </c>
      <c r="E5550" t="s">
        <v>136</v>
      </c>
      <c r="F5550" t="s">
        <v>565</v>
      </c>
      <c r="G5550">
        <v>0.1</v>
      </c>
      <c r="I5550">
        <f t="shared" si="309"/>
        <v>0</v>
      </c>
      <c r="J5550">
        <f t="shared" si="309"/>
        <v>0</v>
      </c>
      <c r="K5550" t="b">
        <f t="shared" si="309"/>
        <v>1</v>
      </c>
      <c r="M5550" t="str" cm="1">
        <f t="array" ref="M5550">IFERROR(INDEX($I$2:$K$2,0,MATCH(TRUE,I5550:K5550,0)),E5550)</f>
        <v>PV</v>
      </c>
      <c r="O5550" t="str">
        <f t="shared" si="307"/>
        <v>PV_2030</v>
      </c>
      <c r="P5550">
        <f t="shared" si="308"/>
        <v>0.1</v>
      </c>
    </row>
    <row r="5551" spans="4:16" x14ac:dyDescent="0.25">
      <c r="D5551">
        <v>2031</v>
      </c>
      <c r="E5551" t="s">
        <v>136</v>
      </c>
      <c r="F5551" t="s">
        <v>565</v>
      </c>
      <c r="G5551">
        <v>0.1</v>
      </c>
      <c r="I5551">
        <f t="shared" si="309"/>
        <v>0</v>
      </c>
      <c r="J5551">
        <f t="shared" si="309"/>
        <v>0</v>
      </c>
      <c r="K5551" t="b">
        <f t="shared" si="309"/>
        <v>1</v>
      </c>
      <c r="M5551" t="str" cm="1">
        <f t="array" ref="M5551">IFERROR(INDEX($I$2:$K$2,0,MATCH(TRUE,I5551:K5551,0)),E5551)</f>
        <v>PV</v>
      </c>
      <c r="O5551" t="str">
        <f t="shared" si="307"/>
        <v>PV_2031</v>
      </c>
      <c r="P5551">
        <f t="shared" si="308"/>
        <v>0.1</v>
      </c>
    </row>
    <row r="5552" spans="4:16" x14ac:dyDescent="0.25">
      <c r="D5552">
        <v>2032</v>
      </c>
      <c r="E5552" t="s">
        <v>136</v>
      </c>
      <c r="F5552" t="s">
        <v>565</v>
      </c>
      <c r="G5552">
        <v>0.1</v>
      </c>
      <c r="I5552">
        <f t="shared" si="309"/>
        <v>0</v>
      </c>
      <c r="J5552">
        <f t="shared" si="309"/>
        <v>0</v>
      </c>
      <c r="K5552" t="b">
        <f t="shared" si="309"/>
        <v>1</v>
      </c>
      <c r="M5552" t="str" cm="1">
        <f t="array" ref="M5552">IFERROR(INDEX($I$2:$K$2,0,MATCH(TRUE,I5552:K5552,0)),E5552)</f>
        <v>PV</v>
      </c>
      <c r="O5552" t="str">
        <f t="shared" si="307"/>
        <v>PV_2032</v>
      </c>
      <c r="P5552">
        <f t="shared" si="308"/>
        <v>0.1</v>
      </c>
    </row>
    <row r="5553" spans="4:16" x14ac:dyDescent="0.25">
      <c r="D5553">
        <v>2033</v>
      </c>
      <c r="E5553" t="s">
        <v>136</v>
      </c>
      <c r="F5553" t="s">
        <v>565</v>
      </c>
      <c r="G5553">
        <v>0.1</v>
      </c>
      <c r="I5553">
        <f t="shared" si="309"/>
        <v>0</v>
      </c>
      <c r="J5553">
        <f t="shared" si="309"/>
        <v>0</v>
      </c>
      <c r="K5553" t="b">
        <f t="shared" si="309"/>
        <v>1</v>
      </c>
      <c r="M5553" t="str" cm="1">
        <f t="array" ref="M5553">IFERROR(INDEX($I$2:$K$2,0,MATCH(TRUE,I5553:K5553,0)),E5553)</f>
        <v>PV</v>
      </c>
      <c r="O5553" t="str">
        <f t="shared" si="307"/>
        <v>PV_2033</v>
      </c>
      <c r="P5553">
        <f t="shared" si="308"/>
        <v>0.1</v>
      </c>
    </row>
    <row r="5554" spans="4:16" x14ac:dyDescent="0.25">
      <c r="D5554">
        <v>2034</v>
      </c>
      <c r="E5554" t="s">
        <v>136</v>
      </c>
      <c r="F5554" t="s">
        <v>565</v>
      </c>
      <c r="G5554">
        <v>0.1</v>
      </c>
      <c r="I5554">
        <f t="shared" si="309"/>
        <v>0</v>
      </c>
      <c r="J5554">
        <f t="shared" si="309"/>
        <v>0</v>
      </c>
      <c r="K5554" t="b">
        <f t="shared" si="309"/>
        <v>1</v>
      </c>
      <c r="M5554" t="str" cm="1">
        <f t="array" ref="M5554">IFERROR(INDEX($I$2:$K$2,0,MATCH(TRUE,I5554:K5554,0)),E5554)</f>
        <v>PV</v>
      </c>
      <c r="O5554" t="str">
        <f t="shared" si="307"/>
        <v>PV_2034</v>
      </c>
      <c r="P5554">
        <f t="shared" si="308"/>
        <v>0.1</v>
      </c>
    </row>
    <row r="5555" spans="4:16" x14ac:dyDescent="0.25">
      <c r="D5555">
        <v>2035</v>
      </c>
      <c r="E5555" t="s">
        <v>136</v>
      </c>
      <c r="F5555" t="s">
        <v>565</v>
      </c>
      <c r="G5555">
        <v>0.1</v>
      </c>
      <c r="I5555">
        <f t="shared" si="309"/>
        <v>0</v>
      </c>
      <c r="J5555">
        <f t="shared" si="309"/>
        <v>0</v>
      </c>
      <c r="K5555" t="b">
        <f t="shared" si="309"/>
        <v>1</v>
      </c>
      <c r="M5555" t="str" cm="1">
        <f t="array" ref="M5555">IFERROR(INDEX($I$2:$K$2,0,MATCH(TRUE,I5555:K5555,0)),E5555)</f>
        <v>PV</v>
      </c>
      <c r="O5555" t="str">
        <f t="shared" si="307"/>
        <v>PV_2035</v>
      </c>
      <c r="P5555">
        <f t="shared" si="308"/>
        <v>0.1</v>
      </c>
    </row>
    <row r="5556" spans="4:16" x14ac:dyDescent="0.25">
      <c r="D5556">
        <v>2036</v>
      </c>
      <c r="E5556" t="s">
        <v>136</v>
      </c>
      <c r="F5556" t="s">
        <v>565</v>
      </c>
      <c r="G5556">
        <v>0.1</v>
      </c>
      <c r="I5556">
        <f t="shared" si="309"/>
        <v>0</v>
      </c>
      <c r="J5556">
        <f t="shared" si="309"/>
        <v>0</v>
      </c>
      <c r="K5556" t="b">
        <f t="shared" si="309"/>
        <v>1</v>
      </c>
      <c r="M5556" t="str" cm="1">
        <f t="array" ref="M5556">IFERROR(INDEX($I$2:$K$2,0,MATCH(TRUE,I5556:K5556,0)),E5556)</f>
        <v>PV</v>
      </c>
      <c r="O5556" t="str">
        <f t="shared" si="307"/>
        <v>PV_2036</v>
      </c>
      <c r="P5556">
        <f t="shared" si="308"/>
        <v>0.1</v>
      </c>
    </row>
    <row r="5557" spans="4:16" x14ac:dyDescent="0.25">
      <c r="D5557">
        <v>2037</v>
      </c>
      <c r="E5557" t="s">
        <v>136</v>
      </c>
      <c r="F5557" t="s">
        <v>565</v>
      </c>
      <c r="G5557">
        <v>0.1</v>
      </c>
      <c r="I5557">
        <f t="shared" si="309"/>
        <v>0</v>
      </c>
      <c r="J5557">
        <f t="shared" si="309"/>
        <v>0</v>
      </c>
      <c r="K5557" t="b">
        <f t="shared" si="309"/>
        <v>1</v>
      </c>
      <c r="M5557" t="str" cm="1">
        <f t="array" ref="M5557">IFERROR(INDEX($I$2:$K$2,0,MATCH(TRUE,I5557:K5557,0)),E5557)</f>
        <v>PV</v>
      </c>
      <c r="O5557" t="str">
        <f t="shared" si="307"/>
        <v>PV_2037</v>
      </c>
      <c r="P5557">
        <f t="shared" si="308"/>
        <v>0.1</v>
      </c>
    </row>
    <row r="5558" spans="4:16" x14ac:dyDescent="0.25">
      <c r="D5558">
        <v>2038</v>
      </c>
      <c r="E5558" t="s">
        <v>136</v>
      </c>
      <c r="F5558" t="s">
        <v>565</v>
      </c>
      <c r="G5558">
        <v>0.1</v>
      </c>
      <c r="I5558">
        <f t="shared" si="309"/>
        <v>0</v>
      </c>
      <c r="J5558">
        <f t="shared" si="309"/>
        <v>0</v>
      </c>
      <c r="K5558" t="b">
        <f t="shared" si="309"/>
        <v>1</v>
      </c>
      <c r="M5558" t="str" cm="1">
        <f t="array" ref="M5558">IFERROR(INDEX($I$2:$K$2,0,MATCH(TRUE,I5558:K5558,0)),E5558)</f>
        <v>PV</v>
      </c>
      <c r="O5558" t="str">
        <f t="shared" si="307"/>
        <v>PV_2038</v>
      </c>
      <c r="P5558">
        <f t="shared" si="308"/>
        <v>0.1</v>
      </c>
    </row>
    <row r="5559" spans="4:16" x14ac:dyDescent="0.25">
      <c r="D5559">
        <v>2039</v>
      </c>
      <c r="E5559" t="s">
        <v>136</v>
      </c>
      <c r="F5559" t="s">
        <v>565</v>
      </c>
      <c r="G5559">
        <v>0.1</v>
      </c>
      <c r="I5559">
        <f t="shared" si="309"/>
        <v>0</v>
      </c>
      <c r="J5559">
        <f t="shared" si="309"/>
        <v>0</v>
      </c>
      <c r="K5559" t="b">
        <f t="shared" si="309"/>
        <v>1</v>
      </c>
      <c r="M5559" t="str" cm="1">
        <f t="array" ref="M5559">IFERROR(INDEX($I$2:$K$2,0,MATCH(TRUE,I5559:K5559,0)),E5559)</f>
        <v>PV</v>
      </c>
      <c r="O5559" t="str">
        <f t="shared" si="307"/>
        <v>PV_2039</v>
      </c>
      <c r="P5559">
        <f t="shared" si="308"/>
        <v>0.1</v>
      </c>
    </row>
    <row r="5560" spans="4:16" x14ac:dyDescent="0.25">
      <c r="D5560">
        <v>2040</v>
      </c>
      <c r="E5560" t="s">
        <v>136</v>
      </c>
      <c r="F5560" t="s">
        <v>565</v>
      </c>
      <c r="G5560">
        <v>0.1</v>
      </c>
      <c r="I5560">
        <f t="shared" si="309"/>
        <v>0</v>
      </c>
      <c r="J5560">
        <f t="shared" si="309"/>
        <v>0</v>
      </c>
      <c r="K5560" t="b">
        <f t="shared" si="309"/>
        <v>1</v>
      </c>
      <c r="M5560" t="str" cm="1">
        <f t="array" ref="M5560">IFERROR(INDEX($I$2:$K$2,0,MATCH(TRUE,I5560:K5560,0)),E5560)</f>
        <v>PV</v>
      </c>
      <c r="O5560" t="str">
        <f t="shared" si="307"/>
        <v>PV_2040</v>
      </c>
      <c r="P5560">
        <f t="shared" si="308"/>
        <v>0.1</v>
      </c>
    </row>
    <row r="5561" spans="4:16" x14ac:dyDescent="0.25">
      <c r="D5561">
        <v>2024</v>
      </c>
      <c r="E5561" t="s">
        <v>136</v>
      </c>
      <c r="F5561" t="s">
        <v>566</v>
      </c>
      <c r="G5561">
        <v>0</v>
      </c>
      <c r="I5561">
        <f t="shared" si="309"/>
        <v>0</v>
      </c>
      <c r="J5561">
        <f t="shared" si="309"/>
        <v>0</v>
      </c>
      <c r="K5561" t="b">
        <f t="shared" si="309"/>
        <v>1</v>
      </c>
      <c r="M5561" t="str" cm="1">
        <f t="array" ref="M5561">IFERROR(INDEX($I$2:$K$2,0,MATCH(TRUE,I5561:K5561,0)),E5561)</f>
        <v>PV</v>
      </c>
      <c r="O5561" t="str">
        <f t="shared" si="307"/>
        <v>PV_2024</v>
      </c>
      <c r="P5561">
        <f t="shared" si="308"/>
        <v>0</v>
      </c>
    </row>
    <row r="5562" spans="4:16" x14ac:dyDescent="0.25">
      <c r="D5562">
        <v>2025</v>
      </c>
      <c r="E5562" t="s">
        <v>136</v>
      </c>
      <c r="F5562" t="s">
        <v>566</v>
      </c>
      <c r="G5562">
        <v>0.1</v>
      </c>
      <c r="I5562">
        <f t="shared" si="309"/>
        <v>0</v>
      </c>
      <c r="J5562">
        <f t="shared" si="309"/>
        <v>0</v>
      </c>
      <c r="K5562" t="b">
        <f t="shared" si="309"/>
        <v>1</v>
      </c>
      <c r="M5562" t="str" cm="1">
        <f t="array" ref="M5562">IFERROR(INDEX($I$2:$K$2,0,MATCH(TRUE,I5562:K5562,0)),E5562)</f>
        <v>PV</v>
      </c>
      <c r="O5562" t="str">
        <f t="shared" si="307"/>
        <v>PV_2025</v>
      </c>
      <c r="P5562">
        <f t="shared" si="308"/>
        <v>0.1</v>
      </c>
    </row>
    <row r="5563" spans="4:16" x14ac:dyDescent="0.25">
      <c r="D5563">
        <v>2026</v>
      </c>
      <c r="E5563" t="s">
        <v>136</v>
      </c>
      <c r="F5563" t="s">
        <v>566</v>
      </c>
      <c r="G5563">
        <v>0.1</v>
      </c>
      <c r="I5563">
        <f t="shared" si="309"/>
        <v>0</v>
      </c>
      <c r="J5563">
        <f t="shared" si="309"/>
        <v>0</v>
      </c>
      <c r="K5563" t="b">
        <f t="shared" si="309"/>
        <v>1</v>
      </c>
      <c r="M5563" t="str" cm="1">
        <f t="array" ref="M5563">IFERROR(INDEX($I$2:$K$2,0,MATCH(TRUE,I5563:K5563,0)),E5563)</f>
        <v>PV</v>
      </c>
      <c r="O5563" t="str">
        <f t="shared" si="307"/>
        <v>PV_2026</v>
      </c>
      <c r="P5563">
        <f t="shared" si="308"/>
        <v>0.1</v>
      </c>
    </row>
    <row r="5564" spans="4:16" x14ac:dyDescent="0.25">
      <c r="D5564">
        <v>2027</v>
      </c>
      <c r="E5564" t="s">
        <v>136</v>
      </c>
      <c r="F5564" t="s">
        <v>566</v>
      </c>
      <c r="G5564">
        <v>0.1</v>
      </c>
      <c r="I5564">
        <f t="shared" si="309"/>
        <v>0</v>
      </c>
      <c r="J5564">
        <f t="shared" si="309"/>
        <v>0</v>
      </c>
      <c r="K5564" t="b">
        <f t="shared" si="309"/>
        <v>1</v>
      </c>
      <c r="M5564" t="str" cm="1">
        <f t="array" ref="M5564">IFERROR(INDEX($I$2:$K$2,0,MATCH(TRUE,I5564:K5564,0)),E5564)</f>
        <v>PV</v>
      </c>
      <c r="O5564" t="str">
        <f t="shared" si="307"/>
        <v>PV_2027</v>
      </c>
      <c r="P5564">
        <f t="shared" si="308"/>
        <v>0.1</v>
      </c>
    </row>
    <row r="5565" spans="4:16" x14ac:dyDescent="0.25">
      <c r="D5565">
        <v>2028</v>
      </c>
      <c r="E5565" t="s">
        <v>136</v>
      </c>
      <c r="F5565" t="s">
        <v>566</v>
      </c>
      <c r="G5565">
        <v>0.1</v>
      </c>
      <c r="I5565">
        <f t="shared" si="309"/>
        <v>0</v>
      </c>
      <c r="J5565">
        <f t="shared" si="309"/>
        <v>0</v>
      </c>
      <c r="K5565" t="b">
        <f t="shared" si="309"/>
        <v>1</v>
      </c>
      <c r="M5565" t="str" cm="1">
        <f t="array" ref="M5565">IFERROR(INDEX($I$2:$K$2,0,MATCH(TRUE,I5565:K5565,0)),E5565)</f>
        <v>PV</v>
      </c>
      <c r="O5565" t="str">
        <f t="shared" si="307"/>
        <v>PV_2028</v>
      </c>
      <c r="P5565">
        <f t="shared" si="308"/>
        <v>0.1</v>
      </c>
    </row>
    <row r="5566" spans="4:16" x14ac:dyDescent="0.25">
      <c r="D5566">
        <v>2029</v>
      </c>
      <c r="E5566" t="s">
        <v>136</v>
      </c>
      <c r="F5566" t="s">
        <v>566</v>
      </c>
      <c r="G5566">
        <v>0.1</v>
      </c>
      <c r="I5566">
        <f t="shared" si="309"/>
        <v>0</v>
      </c>
      <c r="J5566">
        <f t="shared" si="309"/>
        <v>0</v>
      </c>
      <c r="K5566" t="b">
        <f t="shared" si="309"/>
        <v>1</v>
      </c>
      <c r="M5566" t="str" cm="1">
        <f t="array" ref="M5566">IFERROR(INDEX($I$2:$K$2,0,MATCH(TRUE,I5566:K5566,0)),E5566)</f>
        <v>PV</v>
      </c>
      <c r="O5566" t="str">
        <f t="shared" si="307"/>
        <v>PV_2029</v>
      </c>
      <c r="P5566">
        <f t="shared" si="308"/>
        <v>0.1</v>
      </c>
    </row>
    <row r="5567" spans="4:16" x14ac:dyDescent="0.25">
      <c r="D5567">
        <v>2030</v>
      </c>
      <c r="E5567" t="s">
        <v>136</v>
      </c>
      <c r="F5567" t="s">
        <v>566</v>
      </c>
      <c r="G5567">
        <v>0.1</v>
      </c>
      <c r="I5567">
        <f t="shared" si="309"/>
        <v>0</v>
      </c>
      <c r="J5567">
        <f t="shared" si="309"/>
        <v>0</v>
      </c>
      <c r="K5567" t="b">
        <f t="shared" si="309"/>
        <v>1</v>
      </c>
      <c r="M5567" t="str" cm="1">
        <f t="array" ref="M5567">IFERROR(INDEX($I$2:$K$2,0,MATCH(TRUE,I5567:K5567,0)),E5567)</f>
        <v>PV</v>
      </c>
      <c r="O5567" t="str">
        <f t="shared" si="307"/>
        <v>PV_2030</v>
      </c>
      <c r="P5567">
        <f t="shared" si="308"/>
        <v>0.1</v>
      </c>
    </row>
    <row r="5568" spans="4:16" x14ac:dyDescent="0.25">
      <c r="D5568">
        <v>2031</v>
      </c>
      <c r="E5568" t="s">
        <v>136</v>
      </c>
      <c r="F5568" t="s">
        <v>566</v>
      </c>
      <c r="G5568">
        <v>0.1</v>
      </c>
      <c r="I5568">
        <f t="shared" si="309"/>
        <v>0</v>
      </c>
      <c r="J5568">
        <f t="shared" si="309"/>
        <v>0</v>
      </c>
      <c r="K5568" t="b">
        <f t="shared" si="309"/>
        <v>1</v>
      </c>
      <c r="M5568" t="str" cm="1">
        <f t="array" ref="M5568">IFERROR(INDEX($I$2:$K$2,0,MATCH(TRUE,I5568:K5568,0)),E5568)</f>
        <v>PV</v>
      </c>
      <c r="O5568" t="str">
        <f t="shared" si="307"/>
        <v>PV_2031</v>
      </c>
      <c r="P5568">
        <f t="shared" si="308"/>
        <v>0.1</v>
      </c>
    </row>
    <row r="5569" spans="4:16" x14ac:dyDescent="0.25">
      <c r="D5569">
        <v>2032</v>
      </c>
      <c r="E5569" t="s">
        <v>136</v>
      </c>
      <c r="F5569" t="s">
        <v>566</v>
      </c>
      <c r="G5569">
        <v>0.1</v>
      </c>
      <c r="I5569">
        <f t="shared" si="309"/>
        <v>0</v>
      </c>
      <c r="J5569">
        <f t="shared" si="309"/>
        <v>0</v>
      </c>
      <c r="K5569" t="b">
        <f t="shared" si="309"/>
        <v>1</v>
      </c>
      <c r="M5569" t="str" cm="1">
        <f t="array" ref="M5569">IFERROR(INDEX($I$2:$K$2,0,MATCH(TRUE,I5569:K5569,0)),E5569)</f>
        <v>PV</v>
      </c>
      <c r="O5569" t="str">
        <f t="shared" si="307"/>
        <v>PV_2032</v>
      </c>
      <c r="P5569">
        <f t="shared" si="308"/>
        <v>0.1</v>
      </c>
    </row>
    <row r="5570" spans="4:16" x14ac:dyDescent="0.25">
      <c r="D5570">
        <v>2033</v>
      </c>
      <c r="E5570" t="s">
        <v>136</v>
      </c>
      <c r="F5570" t="s">
        <v>566</v>
      </c>
      <c r="G5570">
        <v>0.1</v>
      </c>
      <c r="I5570">
        <f t="shared" si="309"/>
        <v>0</v>
      </c>
      <c r="J5570">
        <f t="shared" si="309"/>
        <v>0</v>
      </c>
      <c r="K5570" t="b">
        <f t="shared" si="309"/>
        <v>1</v>
      </c>
      <c r="M5570" t="str" cm="1">
        <f t="array" ref="M5570">IFERROR(INDEX($I$2:$K$2,0,MATCH(TRUE,I5570:K5570,0)),E5570)</f>
        <v>PV</v>
      </c>
      <c r="O5570" t="str">
        <f t="shared" si="307"/>
        <v>PV_2033</v>
      </c>
      <c r="P5570">
        <f t="shared" si="308"/>
        <v>0.1</v>
      </c>
    </row>
    <row r="5571" spans="4:16" x14ac:dyDescent="0.25">
      <c r="D5571">
        <v>2034</v>
      </c>
      <c r="E5571" t="s">
        <v>136</v>
      </c>
      <c r="F5571" t="s">
        <v>566</v>
      </c>
      <c r="G5571">
        <v>0.1</v>
      </c>
      <c r="I5571">
        <f t="shared" si="309"/>
        <v>0</v>
      </c>
      <c r="J5571">
        <f t="shared" si="309"/>
        <v>0</v>
      </c>
      <c r="K5571" t="b">
        <f t="shared" si="309"/>
        <v>1</v>
      </c>
      <c r="M5571" t="str" cm="1">
        <f t="array" ref="M5571">IFERROR(INDEX($I$2:$K$2,0,MATCH(TRUE,I5571:K5571,0)),E5571)</f>
        <v>PV</v>
      </c>
      <c r="O5571" t="str">
        <f t="shared" si="307"/>
        <v>PV_2034</v>
      </c>
      <c r="P5571">
        <f t="shared" si="308"/>
        <v>0.1</v>
      </c>
    </row>
    <row r="5572" spans="4:16" x14ac:dyDescent="0.25">
      <c r="D5572">
        <v>2035</v>
      </c>
      <c r="E5572" t="s">
        <v>136</v>
      </c>
      <c r="F5572" t="s">
        <v>566</v>
      </c>
      <c r="G5572">
        <v>0.1</v>
      </c>
      <c r="I5572">
        <f t="shared" si="309"/>
        <v>0</v>
      </c>
      <c r="J5572">
        <f t="shared" si="309"/>
        <v>0</v>
      </c>
      <c r="K5572" t="b">
        <f t="shared" si="309"/>
        <v>1</v>
      </c>
      <c r="M5572" t="str" cm="1">
        <f t="array" ref="M5572">IFERROR(INDEX($I$2:$K$2,0,MATCH(TRUE,I5572:K5572,0)),E5572)</f>
        <v>PV</v>
      </c>
      <c r="O5572" t="str">
        <f t="shared" si="307"/>
        <v>PV_2035</v>
      </c>
      <c r="P5572">
        <f t="shared" si="308"/>
        <v>0.1</v>
      </c>
    </row>
    <row r="5573" spans="4:16" x14ac:dyDescent="0.25">
      <c r="D5573">
        <v>2036</v>
      </c>
      <c r="E5573" t="s">
        <v>136</v>
      </c>
      <c r="F5573" t="s">
        <v>566</v>
      </c>
      <c r="G5573">
        <v>0.1</v>
      </c>
      <c r="I5573">
        <f t="shared" si="309"/>
        <v>0</v>
      </c>
      <c r="J5573">
        <f t="shared" si="309"/>
        <v>0</v>
      </c>
      <c r="K5573" t="b">
        <f t="shared" si="309"/>
        <v>1</v>
      </c>
      <c r="M5573" t="str" cm="1">
        <f t="array" ref="M5573">IFERROR(INDEX($I$2:$K$2,0,MATCH(TRUE,I5573:K5573,0)),E5573)</f>
        <v>PV</v>
      </c>
      <c r="O5573" t="str">
        <f t="shared" si="307"/>
        <v>PV_2036</v>
      </c>
      <c r="P5573">
        <f t="shared" si="308"/>
        <v>0.1</v>
      </c>
    </row>
    <row r="5574" spans="4:16" x14ac:dyDescent="0.25">
      <c r="D5574">
        <v>2037</v>
      </c>
      <c r="E5574" t="s">
        <v>136</v>
      </c>
      <c r="F5574" t="s">
        <v>566</v>
      </c>
      <c r="G5574">
        <v>0.1</v>
      </c>
      <c r="I5574">
        <f t="shared" si="309"/>
        <v>0</v>
      </c>
      <c r="J5574">
        <f t="shared" si="309"/>
        <v>0</v>
      </c>
      <c r="K5574" t="b">
        <f t="shared" si="309"/>
        <v>1</v>
      </c>
      <c r="M5574" t="str" cm="1">
        <f t="array" ref="M5574">IFERROR(INDEX($I$2:$K$2,0,MATCH(TRUE,I5574:K5574,0)),E5574)</f>
        <v>PV</v>
      </c>
      <c r="O5574" t="str">
        <f t="shared" si="307"/>
        <v>PV_2037</v>
      </c>
      <c r="P5574">
        <f t="shared" si="308"/>
        <v>0.1</v>
      </c>
    </row>
    <row r="5575" spans="4:16" x14ac:dyDescent="0.25">
      <c r="D5575">
        <v>2038</v>
      </c>
      <c r="E5575" t="s">
        <v>136</v>
      </c>
      <c r="F5575" t="s">
        <v>566</v>
      </c>
      <c r="G5575">
        <v>0.1</v>
      </c>
      <c r="I5575">
        <f t="shared" si="309"/>
        <v>0</v>
      </c>
      <c r="J5575">
        <f t="shared" si="309"/>
        <v>0</v>
      </c>
      <c r="K5575" t="b">
        <f t="shared" si="309"/>
        <v>1</v>
      </c>
      <c r="M5575" t="str" cm="1">
        <f t="array" ref="M5575">IFERROR(INDEX($I$2:$K$2,0,MATCH(TRUE,I5575:K5575,0)),E5575)</f>
        <v>PV</v>
      </c>
      <c r="O5575" t="str">
        <f t="shared" si="307"/>
        <v>PV_2038</v>
      </c>
      <c r="P5575">
        <f t="shared" si="308"/>
        <v>0.1</v>
      </c>
    </row>
    <row r="5576" spans="4:16" x14ac:dyDescent="0.25">
      <c r="D5576">
        <v>2039</v>
      </c>
      <c r="E5576" t="s">
        <v>136</v>
      </c>
      <c r="F5576" t="s">
        <v>566</v>
      </c>
      <c r="G5576">
        <v>0.1</v>
      </c>
      <c r="I5576">
        <f t="shared" si="309"/>
        <v>0</v>
      </c>
      <c r="J5576">
        <f t="shared" si="309"/>
        <v>0</v>
      </c>
      <c r="K5576" t="b">
        <f t="shared" si="309"/>
        <v>1</v>
      </c>
      <c r="M5576" t="str" cm="1">
        <f t="array" ref="M5576">IFERROR(INDEX($I$2:$K$2,0,MATCH(TRUE,I5576:K5576,0)),E5576)</f>
        <v>PV</v>
      </c>
      <c r="O5576" t="str">
        <f t="shared" si="307"/>
        <v>PV_2039</v>
      </c>
      <c r="P5576">
        <f t="shared" si="308"/>
        <v>0.1</v>
      </c>
    </row>
    <row r="5577" spans="4:16" x14ac:dyDescent="0.25">
      <c r="D5577">
        <v>2040</v>
      </c>
      <c r="E5577" t="s">
        <v>136</v>
      </c>
      <c r="F5577" t="s">
        <v>566</v>
      </c>
      <c r="G5577">
        <v>0.1</v>
      </c>
      <c r="I5577">
        <f t="shared" si="309"/>
        <v>0</v>
      </c>
      <c r="J5577">
        <f t="shared" si="309"/>
        <v>0</v>
      </c>
      <c r="K5577" t="b">
        <f t="shared" si="309"/>
        <v>1</v>
      </c>
      <c r="M5577" t="str" cm="1">
        <f t="array" ref="M5577">IFERROR(INDEX($I$2:$K$2,0,MATCH(TRUE,I5577:K5577,0)),E5577)</f>
        <v>PV</v>
      </c>
      <c r="O5577" t="str">
        <f t="shared" si="307"/>
        <v>PV_2040</v>
      </c>
      <c r="P5577">
        <f t="shared" si="308"/>
        <v>0.1</v>
      </c>
    </row>
    <row r="5578" spans="4:16" x14ac:dyDescent="0.25">
      <c r="D5578">
        <v>2021</v>
      </c>
      <c r="E5578" t="s">
        <v>567</v>
      </c>
      <c r="F5578" t="s">
        <v>568</v>
      </c>
      <c r="G5578">
        <v>2294.8937783900001</v>
      </c>
      <c r="I5578">
        <f t="shared" si="309"/>
        <v>0</v>
      </c>
      <c r="J5578">
        <f t="shared" si="309"/>
        <v>0</v>
      </c>
      <c r="K5578" t="b">
        <f t="shared" si="309"/>
        <v>1</v>
      </c>
      <c r="M5578" t="str" cm="1">
        <f t="array" ref="M5578">IFERROR(INDEX($I$2:$K$2,0,MATCH(TRUE,I5578:K5578,0)),E5578)</f>
        <v>PV</v>
      </c>
      <c r="O5578" t="str">
        <f t="shared" si="307"/>
        <v>PV_2021</v>
      </c>
      <c r="P5578">
        <f t="shared" si="308"/>
        <v>2294.8937783900001</v>
      </c>
    </row>
    <row r="5579" spans="4:16" x14ac:dyDescent="0.25">
      <c r="D5579">
        <v>2022</v>
      </c>
      <c r="E5579" t="s">
        <v>567</v>
      </c>
      <c r="F5579" t="s">
        <v>568</v>
      </c>
      <c r="G5579">
        <v>2412.5748786300001</v>
      </c>
      <c r="I5579">
        <f t="shared" si="309"/>
        <v>0</v>
      </c>
      <c r="J5579">
        <f t="shared" si="309"/>
        <v>0</v>
      </c>
      <c r="K5579" t="b">
        <f t="shared" si="309"/>
        <v>1</v>
      </c>
      <c r="M5579" t="str" cm="1">
        <f t="array" ref="M5579">IFERROR(INDEX($I$2:$K$2,0,MATCH(TRUE,I5579:K5579,0)),E5579)</f>
        <v>PV</v>
      </c>
      <c r="O5579" t="str">
        <f t="shared" si="307"/>
        <v>PV_2022</v>
      </c>
      <c r="P5579">
        <f t="shared" si="308"/>
        <v>2412.5748786300001</v>
      </c>
    </row>
    <row r="5580" spans="4:16" x14ac:dyDescent="0.25">
      <c r="D5580">
        <v>2023</v>
      </c>
      <c r="E5580" t="s">
        <v>567</v>
      </c>
      <c r="F5580" t="s">
        <v>568</v>
      </c>
      <c r="G5580">
        <v>2520.9568092300001</v>
      </c>
      <c r="I5580">
        <f t="shared" si="309"/>
        <v>0</v>
      </c>
      <c r="J5580">
        <f t="shared" si="309"/>
        <v>0</v>
      </c>
      <c r="K5580" t="b">
        <f t="shared" si="309"/>
        <v>1</v>
      </c>
      <c r="M5580" t="str" cm="1">
        <f t="array" ref="M5580">IFERROR(INDEX($I$2:$K$2,0,MATCH(TRUE,I5580:K5580,0)),E5580)</f>
        <v>PV</v>
      </c>
      <c r="O5580" t="str">
        <f t="shared" si="307"/>
        <v>PV_2023</v>
      </c>
      <c r="P5580">
        <f t="shared" si="308"/>
        <v>2520.9568092300001</v>
      </c>
    </row>
    <row r="5581" spans="4:16" x14ac:dyDescent="0.25">
      <c r="D5581">
        <v>2024</v>
      </c>
      <c r="E5581" t="s">
        <v>567</v>
      </c>
      <c r="F5581" t="s">
        <v>568</v>
      </c>
      <c r="G5581">
        <v>2629.3387398199998</v>
      </c>
      <c r="I5581">
        <f t="shared" si="309"/>
        <v>0</v>
      </c>
      <c r="J5581">
        <f t="shared" si="309"/>
        <v>0</v>
      </c>
      <c r="K5581" t="b">
        <f t="shared" si="309"/>
        <v>1</v>
      </c>
      <c r="M5581" t="str" cm="1">
        <f t="array" ref="M5581">IFERROR(INDEX($I$2:$K$2,0,MATCH(TRUE,I5581:K5581,0)),E5581)</f>
        <v>PV</v>
      </c>
      <c r="O5581" t="str">
        <f t="shared" si="307"/>
        <v>PV_2024</v>
      </c>
      <c r="P5581">
        <f t="shared" si="308"/>
        <v>2629.3387398199998</v>
      </c>
    </row>
    <row r="5582" spans="4:16" x14ac:dyDescent="0.25">
      <c r="D5582">
        <v>2025</v>
      </c>
      <c r="E5582" t="s">
        <v>567</v>
      </c>
      <c r="F5582" t="s">
        <v>568</v>
      </c>
      <c r="G5582">
        <v>2737.7206704199998</v>
      </c>
      <c r="I5582">
        <f t="shared" si="309"/>
        <v>0</v>
      </c>
      <c r="J5582">
        <f t="shared" si="309"/>
        <v>0</v>
      </c>
      <c r="K5582" t="b">
        <f t="shared" si="309"/>
        <v>1</v>
      </c>
      <c r="M5582" t="str" cm="1">
        <f t="array" ref="M5582">IFERROR(INDEX($I$2:$K$2,0,MATCH(TRUE,I5582:K5582,0)),E5582)</f>
        <v>PV</v>
      </c>
      <c r="O5582" t="str">
        <f t="shared" si="307"/>
        <v>PV_2025</v>
      </c>
      <c r="P5582">
        <f t="shared" si="308"/>
        <v>2737.7206704199998</v>
      </c>
    </row>
    <row r="5583" spans="4:16" x14ac:dyDescent="0.25">
      <c r="D5583">
        <v>2026</v>
      </c>
      <c r="E5583" t="s">
        <v>567</v>
      </c>
      <c r="F5583" t="s">
        <v>568</v>
      </c>
      <c r="G5583">
        <v>2846.1026010099999</v>
      </c>
      <c r="I5583">
        <f t="shared" si="309"/>
        <v>0</v>
      </c>
      <c r="J5583">
        <f t="shared" si="309"/>
        <v>0</v>
      </c>
      <c r="K5583" t="b">
        <f t="shared" si="309"/>
        <v>1</v>
      </c>
      <c r="M5583" t="str" cm="1">
        <f t="array" ref="M5583">IFERROR(INDEX($I$2:$K$2,0,MATCH(TRUE,I5583:K5583,0)),E5583)</f>
        <v>PV</v>
      </c>
      <c r="O5583" t="str">
        <f t="shared" si="307"/>
        <v>PV_2026</v>
      </c>
      <c r="P5583">
        <f t="shared" si="308"/>
        <v>2846.1026010099999</v>
      </c>
    </row>
    <row r="5584" spans="4:16" x14ac:dyDescent="0.25">
      <c r="D5584">
        <v>2027</v>
      </c>
      <c r="E5584" t="s">
        <v>567</v>
      </c>
      <c r="F5584" t="s">
        <v>568</v>
      </c>
      <c r="G5584">
        <v>2954.48453161</v>
      </c>
      <c r="I5584">
        <f t="shared" si="309"/>
        <v>0</v>
      </c>
      <c r="J5584">
        <f t="shared" si="309"/>
        <v>0</v>
      </c>
      <c r="K5584" t="b">
        <f t="shared" si="309"/>
        <v>1</v>
      </c>
      <c r="M5584" t="str" cm="1">
        <f t="array" ref="M5584">IFERROR(INDEX($I$2:$K$2,0,MATCH(TRUE,I5584:K5584,0)),E5584)</f>
        <v>PV</v>
      </c>
      <c r="O5584" t="str">
        <f t="shared" si="307"/>
        <v>PV_2027</v>
      </c>
      <c r="P5584">
        <f t="shared" si="308"/>
        <v>2954.48453161</v>
      </c>
    </row>
    <row r="5585" spans="4:16" x14ac:dyDescent="0.25">
      <c r="D5585">
        <v>2028</v>
      </c>
      <c r="E5585" t="s">
        <v>567</v>
      </c>
      <c r="F5585" t="s">
        <v>568</v>
      </c>
      <c r="G5585">
        <v>3062.86646221</v>
      </c>
      <c r="I5585">
        <f t="shared" si="309"/>
        <v>0</v>
      </c>
      <c r="J5585">
        <f t="shared" si="309"/>
        <v>0</v>
      </c>
      <c r="K5585" t="b">
        <f t="shared" si="309"/>
        <v>1</v>
      </c>
      <c r="M5585" t="str" cm="1">
        <f t="array" ref="M5585">IFERROR(INDEX($I$2:$K$2,0,MATCH(TRUE,I5585:K5585,0)),E5585)</f>
        <v>PV</v>
      </c>
      <c r="O5585" t="str">
        <f t="shared" si="307"/>
        <v>PV_2028</v>
      </c>
      <c r="P5585">
        <f t="shared" si="308"/>
        <v>3062.86646221</v>
      </c>
    </row>
    <row r="5586" spans="4:16" x14ac:dyDescent="0.25">
      <c r="D5586">
        <v>2029</v>
      </c>
      <c r="E5586" t="s">
        <v>567</v>
      </c>
      <c r="F5586" t="s">
        <v>568</v>
      </c>
      <c r="G5586">
        <v>3171.2483928000001</v>
      </c>
      <c r="I5586">
        <f t="shared" si="309"/>
        <v>0</v>
      </c>
      <c r="J5586">
        <f t="shared" si="309"/>
        <v>0</v>
      </c>
      <c r="K5586" t="b">
        <f t="shared" si="309"/>
        <v>1</v>
      </c>
      <c r="M5586" t="str" cm="1">
        <f t="array" ref="M5586">IFERROR(INDEX($I$2:$K$2,0,MATCH(TRUE,I5586:K5586,0)),E5586)</f>
        <v>PV</v>
      </c>
      <c r="O5586" t="str">
        <f t="shared" si="307"/>
        <v>PV_2029</v>
      </c>
      <c r="P5586">
        <f t="shared" si="308"/>
        <v>3171.2483928000001</v>
      </c>
    </row>
    <row r="5587" spans="4:16" x14ac:dyDescent="0.25">
      <c r="D5587">
        <v>2030</v>
      </c>
      <c r="E5587" t="s">
        <v>567</v>
      </c>
      <c r="F5587" t="s">
        <v>568</v>
      </c>
      <c r="G5587">
        <v>3279.6303234000002</v>
      </c>
      <c r="I5587">
        <f t="shared" si="309"/>
        <v>0</v>
      </c>
      <c r="J5587">
        <f t="shared" si="309"/>
        <v>0</v>
      </c>
      <c r="K5587" t="b">
        <f t="shared" si="309"/>
        <v>1</v>
      </c>
      <c r="M5587" t="str" cm="1">
        <f t="array" ref="M5587">IFERROR(INDEX($I$2:$K$2,0,MATCH(TRUE,I5587:K5587,0)),E5587)</f>
        <v>PV</v>
      </c>
      <c r="O5587" t="str">
        <f t="shared" ref="O5587:O5637" si="310">M5587&amp;"_"&amp;D5587</f>
        <v>PV_2030</v>
      </c>
      <c r="P5587">
        <f t="shared" ref="P5587:P5637" si="311">G5587</f>
        <v>3279.6303234000002</v>
      </c>
    </row>
    <row r="5588" spans="4:16" x14ac:dyDescent="0.25">
      <c r="D5588">
        <v>2031</v>
      </c>
      <c r="E5588" t="s">
        <v>567</v>
      </c>
      <c r="F5588" t="s">
        <v>568</v>
      </c>
      <c r="G5588">
        <v>3388.0122539899999</v>
      </c>
      <c r="I5588">
        <f t="shared" si="309"/>
        <v>0</v>
      </c>
      <c r="J5588">
        <f t="shared" si="309"/>
        <v>0</v>
      </c>
      <c r="K5588" t="b">
        <f t="shared" si="309"/>
        <v>1</v>
      </c>
      <c r="M5588" t="str" cm="1">
        <f t="array" ref="M5588">IFERROR(INDEX($I$2:$K$2,0,MATCH(TRUE,I5588:K5588,0)),E5588)</f>
        <v>PV</v>
      </c>
      <c r="O5588" t="str">
        <f t="shared" si="310"/>
        <v>PV_2031</v>
      </c>
      <c r="P5588">
        <f t="shared" si="311"/>
        <v>3388.0122539899999</v>
      </c>
    </row>
    <row r="5589" spans="4:16" x14ac:dyDescent="0.25">
      <c r="D5589">
        <v>2032</v>
      </c>
      <c r="E5589" t="s">
        <v>567</v>
      </c>
      <c r="F5589" t="s">
        <v>568</v>
      </c>
      <c r="G5589">
        <v>3496.3941845899999</v>
      </c>
      <c r="I5589">
        <f t="shared" ref="I5589:K5637" si="312">IFERROR(FIND(I$2,$E5589,1)&gt;0,0)</f>
        <v>0</v>
      </c>
      <c r="J5589">
        <f t="shared" si="312"/>
        <v>0</v>
      </c>
      <c r="K5589" t="b">
        <f t="shared" si="312"/>
        <v>1</v>
      </c>
      <c r="M5589" t="str" cm="1">
        <f t="array" ref="M5589">IFERROR(INDEX($I$2:$K$2,0,MATCH(TRUE,I5589:K5589,0)),E5589)</f>
        <v>PV</v>
      </c>
      <c r="O5589" t="str">
        <f t="shared" si="310"/>
        <v>PV_2032</v>
      </c>
      <c r="P5589">
        <f t="shared" si="311"/>
        <v>3496.3941845899999</v>
      </c>
    </row>
    <row r="5590" spans="4:16" x14ac:dyDescent="0.25">
      <c r="D5590">
        <v>2033</v>
      </c>
      <c r="E5590" t="s">
        <v>567</v>
      </c>
      <c r="F5590" t="s">
        <v>568</v>
      </c>
      <c r="G5590">
        <v>3604.77611518</v>
      </c>
      <c r="I5590">
        <f t="shared" si="312"/>
        <v>0</v>
      </c>
      <c r="J5590">
        <f t="shared" si="312"/>
        <v>0</v>
      </c>
      <c r="K5590" t="b">
        <f t="shared" si="312"/>
        <v>1</v>
      </c>
      <c r="M5590" t="str" cm="1">
        <f t="array" ref="M5590">IFERROR(INDEX($I$2:$K$2,0,MATCH(TRUE,I5590:K5590,0)),E5590)</f>
        <v>PV</v>
      </c>
      <c r="O5590" t="str">
        <f t="shared" si="310"/>
        <v>PV_2033</v>
      </c>
      <c r="P5590">
        <f t="shared" si="311"/>
        <v>3604.77611518</v>
      </c>
    </row>
    <row r="5591" spans="4:16" x14ac:dyDescent="0.25">
      <c r="D5591">
        <v>2034</v>
      </c>
      <c r="E5591" t="s">
        <v>567</v>
      </c>
      <c r="F5591" t="s">
        <v>568</v>
      </c>
      <c r="G5591">
        <v>3713.1580457800001</v>
      </c>
      <c r="I5591">
        <f t="shared" si="312"/>
        <v>0</v>
      </c>
      <c r="J5591">
        <f t="shared" si="312"/>
        <v>0</v>
      </c>
      <c r="K5591" t="b">
        <f t="shared" si="312"/>
        <v>1</v>
      </c>
      <c r="M5591" t="str" cm="1">
        <f t="array" ref="M5591">IFERROR(INDEX($I$2:$K$2,0,MATCH(TRUE,I5591:K5591,0)),E5591)</f>
        <v>PV</v>
      </c>
      <c r="O5591" t="str">
        <f t="shared" si="310"/>
        <v>PV_2034</v>
      </c>
      <c r="P5591">
        <f t="shared" si="311"/>
        <v>3713.1580457800001</v>
      </c>
    </row>
    <row r="5592" spans="4:16" x14ac:dyDescent="0.25">
      <c r="D5592">
        <v>2035</v>
      </c>
      <c r="E5592" t="s">
        <v>567</v>
      </c>
      <c r="F5592" t="s">
        <v>568</v>
      </c>
      <c r="G5592">
        <v>3821.5399763800001</v>
      </c>
      <c r="I5592">
        <f t="shared" si="312"/>
        <v>0</v>
      </c>
      <c r="J5592">
        <f t="shared" si="312"/>
        <v>0</v>
      </c>
      <c r="K5592" t="b">
        <f t="shared" si="312"/>
        <v>1</v>
      </c>
      <c r="M5592" t="str" cm="1">
        <f t="array" ref="M5592">IFERROR(INDEX($I$2:$K$2,0,MATCH(TRUE,I5592:K5592,0)),E5592)</f>
        <v>PV</v>
      </c>
      <c r="O5592" t="str">
        <f t="shared" si="310"/>
        <v>PV_2035</v>
      </c>
      <c r="P5592">
        <f t="shared" si="311"/>
        <v>3821.5399763800001</v>
      </c>
    </row>
    <row r="5593" spans="4:16" x14ac:dyDescent="0.25">
      <c r="D5593">
        <v>2036</v>
      </c>
      <c r="E5593" t="s">
        <v>567</v>
      </c>
      <c r="F5593" t="s">
        <v>568</v>
      </c>
      <c r="G5593">
        <v>3929.9219069699998</v>
      </c>
      <c r="I5593">
        <f t="shared" si="312"/>
        <v>0</v>
      </c>
      <c r="J5593">
        <f t="shared" si="312"/>
        <v>0</v>
      </c>
      <c r="K5593" t="b">
        <f t="shared" si="312"/>
        <v>1</v>
      </c>
      <c r="M5593" t="str" cm="1">
        <f t="array" ref="M5593">IFERROR(INDEX($I$2:$K$2,0,MATCH(TRUE,I5593:K5593,0)),E5593)</f>
        <v>PV</v>
      </c>
      <c r="O5593" t="str">
        <f t="shared" si="310"/>
        <v>PV_2036</v>
      </c>
      <c r="P5593">
        <f t="shared" si="311"/>
        <v>3929.9219069699998</v>
      </c>
    </row>
    <row r="5594" spans="4:16" x14ac:dyDescent="0.25">
      <c r="D5594">
        <v>2037</v>
      </c>
      <c r="E5594" t="s">
        <v>567</v>
      </c>
      <c r="F5594" t="s">
        <v>568</v>
      </c>
      <c r="G5594">
        <v>4038.3038375699998</v>
      </c>
      <c r="I5594">
        <f t="shared" si="312"/>
        <v>0</v>
      </c>
      <c r="J5594">
        <f t="shared" si="312"/>
        <v>0</v>
      </c>
      <c r="K5594" t="b">
        <f t="shared" si="312"/>
        <v>1</v>
      </c>
      <c r="M5594" t="str" cm="1">
        <f t="array" ref="M5594">IFERROR(INDEX($I$2:$K$2,0,MATCH(TRUE,I5594:K5594,0)),E5594)</f>
        <v>PV</v>
      </c>
      <c r="O5594" t="str">
        <f t="shared" si="310"/>
        <v>PV_2037</v>
      </c>
      <c r="P5594">
        <f t="shared" si="311"/>
        <v>4038.3038375699998</v>
      </c>
    </row>
    <row r="5595" spans="4:16" x14ac:dyDescent="0.25">
      <c r="D5595">
        <v>2038</v>
      </c>
      <c r="E5595" t="s">
        <v>567</v>
      </c>
      <c r="F5595" t="s">
        <v>568</v>
      </c>
      <c r="G5595">
        <v>4146.6857681600004</v>
      </c>
      <c r="I5595">
        <f t="shared" si="312"/>
        <v>0</v>
      </c>
      <c r="J5595">
        <f t="shared" si="312"/>
        <v>0</v>
      </c>
      <c r="K5595" t="b">
        <f t="shared" si="312"/>
        <v>1</v>
      </c>
      <c r="M5595" t="str" cm="1">
        <f t="array" ref="M5595">IFERROR(INDEX($I$2:$K$2,0,MATCH(TRUE,I5595:K5595,0)),E5595)</f>
        <v>PV</v>
      </c>
      <c r="O5595" t="str">
        <f t="shared" si="310"/>
        <v>PV_2038</v>
      </c>
      <c r="P5595">
        <f t="shared" si="311"/>
        <v>4146.6857681600004</v>
      </c>
    </row>
    <row r="5596" spans="4:16" x14ac:dyDescent="0.25">
      <c r="D5596">
        <v>2039</v>
      </c>
      <c r="E5596" t="s">
        <v>567</v>
      </c>
      <c r="F5596" t="s">
        <v>568</v>
      </c>
      <c r="G5596">
        <v>4255.06769876</v>
      </c>
      <c r="I5596">
        <f t="shared" si="312"/>
        <v>0</v>
      </c>
      <c r="J5596">
        <f t="shared" si="312"/>
        <v>0</v>
      </c>
      <c r="K5596" t="b">
        <f t="shared" si="312"/>
        <v>1</v>
      </c>
      <c r="M5596" t="str" cm="1">
        <f t="array" ref="M5596">IFERROR(INDEX($I$2:$K$2,0,MATCH(TRUE,I5596:K5596,0)),E5596)</f>
        <v>PV</v>
      </c>
      <c r="O5596" t="str">
        <f t="shared" si="310"/>
        <v>PV_2039</v>
      </c>
      <c r="P5596">
        <f t="shared" si="311"/>
        <v>4255.06769876</v>
      </c>
    </row>
    <row r="5597" spans="4:16" x14ac:dyDescent="0.25">
      <c r="D5597">
        <v>2040</v>
      </c>
      <c r="E5597" t="s">
        <v>567</v>
      </c>
      <c r="F5597" t="s">
        <v>568</v>
      </c>
      <c r="G5597">
        <v>4363.4496293499997</v>
      </c>
      <c r="I5597">
        <f t="shared" si="312"/>
        <v>0</v>
      </c>
      <c r="J5597">
        <f t="shared" si="312"/>
        <v>0</v>
      </c>
      <c r="K5597" t="b">
        <f t="shared" si="312"/>
        <v>1</v>
      </c>
      <c r="M5597" t="str" cm="1">
        <f t="array" ref="M5597">IFERROR(INDEX($I$2:$K$2,0,MATCH(TRUE,I5597:K5597,0)),E5597)</f>
        <v>PV</v>
      </c>
      <c r="O5597" t="str">
        <f t="shared" si="310"/>
        <v>PV_2040</v>
      </c>
      <c r="P5597">
        <f t="shared" si="311"/>
        <v>4363.4496293499997</v>
      </c>
    </row>
    <row r="5598" spans="4:16" x14ac:dyDescent="0.25">
      <c r="D5598">
        <v>2021</v>
      </c>
      <c r="E5598" t="s">
        <v>567</v>
      </c>
      <c r="F5598" t="s">
        <v>569</v>
      </c>
      <c r="G5598">
        <v>5359.5870652699996</v>
      </c>
      <c r="I5598">
        <f t="shared" si="312"/>
        <v>0</v>
      </c>
      <c r="J5598">
        <f t="shared" si="312"/>
        <v>0</v>
      </c>
      <c r="K5598" t="b">
        <f t="shared" si="312"/>
        <v>1</v>
      </c>
      <c r="M5598" t="str" cm="1">
        <f t="array" ref="M5598">IFERROR(INDEX($I$2:$K$2,0,MATCH(TRUE,I5598:K5598,0)),E5598)</f>
        <v>PV</v>
      </c>
      <c r="O5598" t="str">
        <f t="shared" si="310"/>
        <v>PV_2021</v>
      </c>
      <c r="P5598">
        <f t="shared" si="311"/>
        <v>5359.5870652699996</v>
      </c>
    </row>
    <row r="5599" spans="4:16" x14ac:dyDescent="0.25">
      <c r="D5599">
        <v>2022</v>
      </c>
      <c r="E5599" t="s">
        <v>567</v>
      </c>
      <c r="F5599" t="s">
        <v>569</v>
      </c>
      <c r="G5599">
        <v>5634.4242314200001</v>
      </c>
      <c r="I5599">
        <f t="shared" si="312"/>
        <v>0</v>
      </c>
      <c r="J5599">
        <f t="shared" si="312"/>
        <v>0</v>
      </c>
      <c r="K5599" t="b">
        <f t="shared" si="312"/>
        <v>1</v>
      </c>
      <c r="M5599" t="str" cm="1">
        <f t="array" ref="M5599">IFERROR(INDEX($I$2:$K$2,0,MATCH(TRUE,I5599:K5599,0)),E5599)</f>
        <v>PV</v>
      </c>
      <c r="O5599" t="str">
        <f t="shared" si="310"/>
        <v>PV_2022</v>
      </c>
      <c r="P5599">
        <f t="shared" si="311"/>
        <v>5634.4242314200001</v>
      </c>
    </row>
    <row r="5600" spans="4:16" x14ac:dyDescent="0.25">
      <c r="D5600">
        <v>2023</v>
      </c>
      <c r="E5600" t="s">
        <v>567</v>
      </c>
      <c r="F5600" t="s">
        <v>569</v>
      </c>
      <c r="G5600">
        <v>5887.5437434400001</v>
      </c>
      <c r="I5600">
        <f t="shared" si="312"/>
        <v>0</v>
      </c>
      <c r="J5600">
        <f t="shared" si="312"/>
        <v>0</v>
      </c>
      <c r="K5600" t="b">
        <f t="shared" si="312"/>
        <v>1</v>
      </c>
      <c r="M5600" t="str" cm="1">
        <f t="array" ref="M5600">IFERROR(INDEX($I$2:$K$2,0,MATCH(TRUE,I5600:K5600,0)),E5600)</f>
        <v>PV</v>
      </c>
      <c r="O5600" t="str">
        <f t="shared" si="310"/>
        <v>PV_2023</v>
      </c>
      <c r="P5600">
        <f t="shared" si="311"/>
        <v>5887.5437434400001</v>
      </c>
    </row>
    <row r="5601" spans="4:16" x14ac:dyDescent="0.25">
      <c r="D5601">
        <v>2024</v>
      </c>
      <c r="E5601" t="s">
        <v>567</v>
      </c>
      <c r="F5601" t="s">
        <v>569</v>
      </c>
      <c r="G5601">
        <v>6140.6632554600001</v>
      </c>
      <c r="I5601">
        <f t="shared" si="312"/>
        <v>0</v>
      </c>
      <c r="J5601">
        <f t="shared" si="312"/>
        <v>0</v>
      </c>
      <c r="K5601" t="b">
        <f t="shared" si="312"/>
        <v>1</v>
      </c>
      <c r="M5601" t="str" cm="1">
        <f t="array" ref="M5601">IFERROR(INDEX($I$2:$K$2,0,MATCH(TRUE,I5601:K5601,0)),E5601)</f>
        <v>PV</v>
      </c>
      <c r="O5601" t="str">
        <f t="shared" si="310"/>
        <v>PV_2024</v>
      </c>
      <c r="P5601">
        <f t="shared" si="311"/>
        <v>6140.6632554600001</v>
      </c>
    </row>
    <row r="5602" spans="4:16" x14ac:dyDescent="0.25">
      <c r="D5602">
        <v>2025</v>
      </c>
      <c r="E5602" t="s">
        <v>567</v>
      </c>
      <c r="F5602" t="s">
        <v>569</v>
      </c>
      <c r="G5602">
        <v>6393.78276749</v>
      </c>
      <c r="I5602">
        <f t="shared" si="312"/>
        <v>0</v>
      </c>
      <c r="J5602">
        <f t="shared" si="312"/>
        <v>0</v>
      </c>
      <c r="K5602" t="b">
        <f t="shared" si="312"/>
        <v>1</v>
      </c>
      <c r="M5602" t="str" cm="1">
        <f t="array" ref="M5602">IFERROR(INDEX($I$2:$K$2,0,MATCH(TRUE,I5602:K5602,0)),E5602)</f>
        <v>PV</v>
      </c>
      <c r="O5602" t="str">
        <f t="shared" si="310"/>
        <v>PV_2025</v>
      </c>
      <c r="P5602">
        <f t="shared" si="311"/>
        <v>6393.78276749</v>
      </c>
    </row>
    <row r="5603" spans="4:16" x14ac:dyDescent="0.25">
      <c r="D5603">
        <v>2026</v>
      </c>
      <c r="E5603" t="s">
        <v>567</v>
      </c>
      <c r="F5603" t="s">
        <v>569</v>
      </c>
      <c r="G5603">
        <v>6646.90227951</v>
      </c>
      <c r="I5603">
        <f t="shared" si="312"/>
        <v>0</v>
      </c>
      <c r="J5603">
        <f t="shared" si="312"/>
        <v>0</v>
      </c>
      <c r="K5603" t="b">
        <f t="shared" si="312"/>
        <v>1</v>
      </c>
      <c r="M5603" t="str" cm="1">
        <f t="array" ref="M5603">IFERROR(INDEX($I$2:$K$2,0,MATCH(TRUE,I5603:K5603,0)),E5603)</f>
        <v>PV</v>
      </c>
      <c r="O5603" t="str">
        <f t="shared" si="310"/>
        <v>PV_2026</v>
      </c>
      <c r="P5603">
        <f t="shared" si="311"/>
        <v>6646.90227951</v>
      </c>
    </row>
    <row r="5604" spans="4:16" x14ac:dyDescent="0.25">
      <c r="D5604">
        <v>2027</v>
      </c>
      <c r="E5604" t="s">
        <v>567</v>
      </c>
      <c r="F5604" t="s">
        <v>569</v>
      </c>
      <c r="G5604">
        <v>6900.02179153</v>
      </c>
      <c r="I5604">
        <f t="shared" si="312"/>
        <v>0</v>
      </c>
      <c r="J5604">
        <f t="shared" si="312"/>
        <v>0</v>
      </c>
      <c r="K5604" t="b">
        <f t="shared" si="312"/>
        <v>1</v>
      </c>
      <c r="M5604" t="str" cm="1">
        <f t="array" ref="M5604">IFERROR(INDEX($I$2:$K$2,0,MATCH(TRUE,I5604:K5604,0)),E5604)</f>
        <v>PV</v>
      </c>
      <c r="O5604" t="str">
        <f t="shared" si="310"/>
        <v>PV_2027</v>
      </c>
      <c r="P5604">
        <f t="shared" si="311"/>
        <v>6900.02179153</v>
      </c>
    </row>
    <row r="5605" spans="4:16" x14ac:dyDescent="0.25">
      <c r="D5605">
        <v>2028</v>
      </c>
      <c r="E5605" t="s">
        <v>567</v>
      </c>
      <c r="F5605" t="s">
        <v>569</v>
      </c>
      <c r="G5605">
        <v>7153.14130355</v>
      </c>
      <c r="I5605">
        <f t="shared" si="312"/>
        <v>0</v>
      </c>
      <c r="J5605">
        <f t="shared" si="312"/>
        <v>0</v>
      </c>
      <c r="K5605" t="b">
        <f t="shared" si="312"/>
        <v>1</v>
      </c>
      <c r="M5605" t="str" cm="1">
        <f t="array" ref="M5605">IFERROR(INDEX($I$2:$K$2,0,MATCH(TRUE,I5605:K5605,0)),E5605)</f>
        <v>PV</v>
      </c>
      <c r="O5605" t="str">
        <f t="shared" si="310"/>
        <v>PV_2028</v>
      </c>
      <c r="P5605">
        <f t="shared" si="311"/>
        <v>7153.14130355</v>
      </c>
    </row>
    <row r="5606" spans="4:16" x14ac:dyDescent="0.25">
      <c r="D5606">
        <v>2029</v>
      </c>
      <c r="E5606" t="s">
        <v>567</v>
      </c>
      <c r="F5606" t="s">
        <v>569</v>
      </c>
      <c r="G5606">
        <v>7406.2608155799999</v>
      </c>
      <c r="I5606">
        <f t="shared" si="312"/>
        <v>0</v>
      </c>
      <c r="J5606">
        <f t="shared" si="312"/>
        <v>0</v>
      </c>
      <c r="K5606" t="b">
        <f t="shared" si="312"/>
        <v>1</v>
      </c>
      <c r="M5606" t="str" cm="1">
        <f t="array" ref="M5606">IFERROR(INDEX($I$2:$K$2,0,MATCH(TRUE,I5606:K5606,0)),E5606)</f>
        <v>PV</v>
      </c>
      <c r="O5606" t="str">
        <f t="shared" si="310"/>
        <v>PV_2029</v>
      </c>
      <c r="P5606">
        <f t="shared" si="311"/>
        <v>7406.2608155799999</v>
      </c>
    </row>
    <row r="5607" spans="4:16" x14ac:dyDescent="0.25">
      <c r="D5607">
        <v>2030</v>
      </c>
      <c r="E5607" t="s">
        <v>567</v>
      </c>
      <c r="F5607" t="s">
        <v>569</v>
      </c>
      <c r="G5607">
        <v>7659.3803275999999</v>
      </c>
      <c r="I5607">
        <f t="shared" si="312"/>
        <v>0</v>
      </c>
      <c r="J5607">
        <f t="shared" si="312"/>
        <v>0</v>
      </c>
      <c r="K5607" t="b">
        <f t="shared" si="312"/>
        <v>1</v>
      </c>
      <c r="M5607" t="str" cm="1">
        <f t="array" ref="M5607">IFERROR(INDEX($I$2:$K$2,0,MATCH(TRUE,I5607:K5607,0)),E5607)</f>
        <v>PV</v>
      </c>
      <c r="O5607" t="str">
        <f t="shared" si="310"/>
        <v>PV_2030</v>
      </c>
      <c r="P5607">
        <f t="shared" si="311"/>
        <v>7659.3803275999999</v>
      </c>
    </row>
    <row r="5608" spans="4:16" x14ac:dyDescent="0.25">
      <c r="D5608">
        <v>2031</v>
      </c>
      <c r="E5608" t="s">
        <v>567</v>
      </c>
      <c r="F5608" t="s">
        <v>569</v>
      </c>
      <c r="G5608">
        <v>7912.4998396199999</v>
      </c>
      <c r="I5608">
        <f t="shared" si="312"/>
        <v>0</v>
      </c>
      <c r="J5608">
        <f t="shared" si="312"/>
        <v>0</v>
      </c>
      <c r="K5608" t="b">
        <f t="shared" si="312"/>
        <v>1</v>
      </c>
      <c r="M5608" t="str" cm="1">
        <f t="array" ref="M5608">IFERROR(INDEX($I$2:$K$2,0,MATCH(TRUE,I5608:K5608,0)),E5608)</f>
        <v>PV</v>
      </c>
      <c r="O5608" t="str">
        <f t="shared" si="310"/>
        <v>PV_2031</v>
      </c>
      <c r="P5608">
        <f t="shared" si="311"/>
        <v>7912.4998396199999</v>
      </c>
    </row>
    <row r="5609" spans="4:16" x14ac:dyDescent="0.25">
      <c r="D5609">
        <v>2032</v>
      </c>
      <c r="E5609" t="s">
        <v>567</v>
      </c>
      <c r="F5609" t="s">
        <v>569</v>
      </c>
      <c r="G5609">
        <v>8165.6193516399999</v>
      </c>
      <c r="I5609">
        <f t="shared" si="312"/>
        <v>0</v>
      </c>
      <c r="J5609">
        <f t="shared" si="312"/>
        <v>0</v>
      </c>
      <c r="K5609" t="b">
        <f t="shared" si="312"/>
        <v>1</v>
      </c>
      <c r="M5609" t="str" cm="1">
        <f t="array" ref="M5609">IFERROR(INDEX($I$2:$K$2,0,MATCH(TRUE,I5609:K5609,0)),E5609)</f>
        <v>PV</v>
      </c>
      <c r="O5609" t="str">
        <f t="shared" si="310"/>
        <v>PV_2032</v>
      </c>
      <c r="P5609">
        <f t="shared" si="311"/>
        <v>8165.6193516399999</v>
      </c>
    </row>
    <row r="5610" spans="4:16" x14ac:dyDescent="0.25">
      <c r="D5610">
        <v>2033</v>
      </c>
      <c r="E5610" t="s">
        <v>567</v>
      </c>
      <c r="F5610" t="s">
        <v>569</v>
      </c>
      <c r="G5610">
        <v>8418.7388636699998</v>
      </c>
      <c r="I5610">
        <f t="shared" si="312"/>
        <v>0</v>
      </c>
      <c r="J5610">
        <f t="shared" si="312"/>
        <v>0</v>
      </c>
      <c r="K5610" t="b">
        <f t="shared" si="312"/>
        <v>1</v>
      </c>
      <c r="M5610" t="str" cm="1">
        <f t="array" ref="M5610">IFERROR(INDEX($I$2:$K$2,0,MATCH(TRUE,I5610:K5610,0)),E5610)</f>
        <v>PV</v>
      </c>
      <c r="O5610" t="str">
        <f t="shared" si="310"/>
        <v>PV_2033</v>
      </c>
      <c r="P5610">
        <f t="shared" si="311"/>
        <v>8418.7388636699998</v>
      </c>
    </row>
    <row r="5611" spans="4:16" x14ac:dyDescent="0.25">
      <c r="D5611">
        <v>2034</v>
      </c>
      <c r="E5611" t="s">
        <v>567</v>
      </c>
      <c r="F5611" t="s">
        <v>569</v>
      </c>
      <c r="G5611">
        <v>8671.8583756900007</v>
      </c>
      <c r="I5611">
        <f t="shared" si="312"/>
        <v>0</v>
      </c>
      <c r="J5611">
        <f t="shared" si="312"/>
        <v>0</v>
      </c>
      <c r="K5611" t="b">
        <f t="shared" si="312"/>
        <v>1</v>
      </c>
      <c r="M5611" t="str" cm="1">
        <f t="array" ref="M5611">IFERROR(INDEX($I$2:$K$2,0,MATCH(TRUE,I5611:K5611,0)),E5611)</f>
        <v>PV</v>
      </c>
      <c r="O5611" t="str">
        <f t="shared" si="310"/>
        <v>PV_2034</v>
      </c>
      <c r="P5611">
        <f t="shared" si="311"/>
        <v>8671.8583756900007</v>
      </c>
    </row>
    <row r="5612" spans="4:16" x14ac:dyDescent="0.25">
      <c r="D5612">
        <v>2035</v>
      </c>
      <c r="E5612" t="s">
        <v>567</v>
      </c>
      <c r="F5612" t="s">
        <v>569</v>
      </c>
      <c r="G5612">
        <v>8924.9778877099998</v>
      </c>
      <c r="I5612">
        <f t="shared" si="312"/>
        <v>0</v>
      </c>
      <c r="J5612">
        <f t="shared" si="312"/>
        <v>0</v>
      </c>
      <c r="K5612" t="b">
        <f t="shared" si="312"/>
        <v>1</v>
      </c>
      <c r="M5612" t="str" cm="1">
        <f t="array" ref="M5612">IFERROR(INDEX($I$2:$K$2,0,MATCH(TRUE,I5612:K5612,0)),E5612)</f>
        <v>PV</v>
      </c>
      <c r="O5612" t="str">
        <f t="shared" si="310"/>
        <v>PV_2035</v>
      </c>
      <c r="P5612">
        <f t="shared" si="311"/>
        <v>8924.9778877099998</v>
      </c>
    </row>
    <row r="5613" spans="4:16" x14ac:dyDescent="0.25">
      <c r="D5613">
        <v>2036</v>
      </c>
      <c r="E5613" t="s">
        <v>567</v>
      </c>
      <c r="F5613" t="s">
        <v>569</v>
      </c>
      <c r="G5613">
        <v>9178.0973997300007</v>
      </c>
      <c r="I5613">
        <f t="shared" si="312"/>
        <v>0</v>
      </c>
      <c r="J5613">
        <f t="shared" si="312"/>
        <v>0</v>
      </c>
      <c r="K5613" t="b">
        <f t="shared" si="312"/>
        <v>1</v>
      </c>
      <c r="M5613" t="str" cm="1">
        <f t="array" ref="M5613">IFERROR(INDEX($I$2:$K$2,0,MATCH(TRUE,I5613:K5613,0)),E5613)</f>
        <v>PV</v>
      </c>
      <c r="O5613" t="str">
        <f t="shared" si="310"/>
        <v>PV_2036</v>
      </c>
      <c r="P5613">
        <f t="shared" si="311"/>
        <v>9178.0973997300007</v>
      </c>
    </row>
    <row r="5614" spans="4:16" x14ac:dyDescent="0.25">
      <c r="D5614">
        <v>2037</v>
      </c>
      <c r="E5614" t="s">
        <v>567</v>
      </c>
      <c r="F5614" t="s">
        <v>569</v>
      </c>
      <c r="G5614">
        <v>9431.2169117499998</v>
      </c>
      <c r="I5614">
        <f t="shared" si="312"/>
        <v>0</v>
      </c>
      <c r="J5614">
        <f t="shared" si="312"/>
        <v>0</v>
      </c>
      <c r="K5614" t="b">
        <f t="shared" si="312"/>
        <v>1</v>
      </c>
      <c r="M5614" t="str" cm="1">
        <f t="array" ref="M5614">IFERROR(INDEX($I$2:$K$2,0,MATCH(TRUE,I5614:K5614,0)),E5614)</f>
        <v>PV</v>
      </c>
      <c r="O5614" t="str">
        <f t="shared" si="310"/>
        <v>PV_2037</v>
      </c>
      <c r="P5614">
        <f t="shared" si="311"/>
        <v>9431.2169117499998</v>
      </c>
    </row>
    <row r="5615" spans="4:16" x14ac:dyDescent="0.25">
      <c r="D5615">
        <v>2038</v>
      </c>
      <c r="E5615" t="s">
        <v>567</v>
      </c>
      <c r="F5615" t="s">
        <v>569</v>
      </c>
      <c r="G5615">
        <v>9684.3364237799997</v>
      </c>
      <c r="I5615">
        <f t="shared" si="312"/>
        <v>0</v>
      </c>
      <c r="J5615">
        <f t="shared" si="312"/>
        <v>0</v>
      </c>
      <c r="K5615" t="b">
        <f t="shared" si="312"/>
        <v>1</v>
      </c>
      <c r="M5615" t="str" cm="1">
        <f t="array" ref="M5615">IFERROR(INDEX($I$2:$K$2,0,MATCH(TRUE,I5615:K5615,0)),E5615)</f>
        <v>PV</v>
      </c>
      <c r="O5615" t="str">
        <f t="shared" si="310"/>
        <v>PV_2038</v>
      </c>
      <c r="P5615">
        <f t="shared" si="311"/>
        <v>9684.3364237799997</v>
      </c>
    </row>
    <row r="5616" spans="4:16" x14ac:dyDescent="0.25">
      <c r="D5616">
        <v>2039</v>
      </c>
      <c r="E5616" t="s">
        <v>567</v>
      </c>
      <c r="F5616" t="s">
        <v>569</v>
      </c>
      <c r="G5616">
        <v>9937.4559358000006</v>
      </c>
      <c r="I5616">
        <f t="shared" si="312"/>
        <v>0</v>
      </c>
      <c r="J5616">
        <f t="shared" si="312"/>
        <v>0</v>
      </c>
      <c r="K5616" t="b">
        <f t="shared" si="312"/>
        <v>1</v>
      </c>
      <c r="M5616" t="str" cm="1">
        <f t="array" ref="M5616">IFERROR(INDEX($I$2:$K$2,0,MATCH(TRUE,I5616:K5616,0)),E5616)</f>
        <v>PV</v>
      </c>
      <c r="O5616" t="str">
        <f t="shared" si="310"/>
        <v>PV_2039</v>
      </c>
      <c r="P5616">
        <f t="shared" si="311"/>
        <v>9937.4559358000006</v>
      </c>
    </row>
    <row r="5617" spans="4:16" x14ac:dyDescent="0.25">
      <c r="D5617">
        <v>2040</v>
      </c>
      <c r="E5617" t="s">
        <v>567</v>
      </c>
      <c r="F5617" t="s">
        <v>569</v>
      </c>
      <c r="G5617">
        <v>10190.57544782</v>
      </c>
      <c r="I5617">
        <f t="shared" si="312"/>
        <v>0</v>
      </c>
      <c r="J5617">
        <f t="shared" si="312"/>
        <v>0</v>
      </c>
      <c r="K5617" t="b">
        <f t="shared" si="312"/>
        <v>1</v>
      </c>
      <c r="M5617" t="str" cm="1">
        <f t="array" ref="M5617">IFERROR(INDEX($I$2:$K$2,0,MATCH(TRUE,I5617:K5617,0)),E5617)</f>
        <v>PV</v>
      </c>
      <c r="O5617" t="str">
        <f t="shared" si="310"/>
        <v>PV_2040</v>
      </c>
      <c r="P5617">
        <f t="shared" si="311"/>
        <v>10190.57544782</v>
      </c>
    </row>
    <row r="5618" spans="4:16" x14ac:dyDescent="0.25">
      <c r="D5618">
        <v>2021</v>
      </c>
      <c r="E5618" t="s">
        <v>567</v>
      </c>
      <c r="F5618" t="s">
        <v>570</v>
      </c>
      <c r="G5618">
        <v>7053.7942433400003</v>
      </c>
      <c r="I5618">
        <f t="shared" si="312"/>
        <v>0</v>
      </c>
      <c r="J5618">
        <f t="shared" si="312"/>
        <v>0</v>
      </c>
      <c r="K5618" t="b">
        <f t="shared" si="312"/>
        <v>1</v>
      </c>
      <c r="M5618" t="str" cm="1">
        <f t="array" ref="M5618">IFERROR(INDEX($I$2:$K$2,0,MATCH(TRUE,I5618:K5618,0)),E5618)</f>
        <v>PV</v>
      </c>
      <c r="O5618" t="str">
        <f t="shared" si="310"/>
        <v>PV_2021</v>
      </c>
      <c r="P5618">
        <f t="shared" si="311"/>
        <v>7053.7942433400003</v>
      </c>
    </row>
    <row r="5619" spans="4:16" x14ac:dyDescent="0.25">
      <c r="D5619">
        <v>2022</v>
      </c>
      <c r="E5619" t="s">
        <v>567</v>
      </c>
      <c r="F5619" t="s">
        <v>570</v>
      </c>
      <c r="G5619">
        <v>7415.5095764099997</v>
      </c>
      <c r="I5619">
        <f t="shared" si="312"/>
        <v>0</v>
      </c>
      <c r="J5619">
        <f t="shared" si="312"/>
        <v>0</v>
      </c>
      <c r="K5619" t="b">
        <f t="shared" si="312"/>
        <v>1</v>
      </c>
      <c r="M5619" t="str" cm="1">
        <f t="array" ref="M5619">IFERROR(INDEX($I$2:$K$2,0,MATCH(TRUE,I5619:K5619,0)),E5619)</f>
        <v>PV</v>
      </c>
      <c r="O5619" t="str">
        <f t="shared" si="310"/>
        <v>PV_2022</v>
      </c>
      <c r="P5619">
        <f t="shared" si="311"/>
        <v>7415.5095764099997</v>
      </c>
    </row>
    <row r="5620" spans="4:16" x14ac:dyDescent="0.25">
      <c r="D5620">
        <v>2023</v>
      </c>
      <c r="E5620" t="s">
        <v>567</v>
      </c>
      <c r="F5620" t="s">
        <v>570</v>
      </c>
      <c r="G5620">
        <v>7748.6421358899997</v>
      </c>
      <c r="I5620">
        <f t="shared" si="312"/>
        <v>0</v>
      </c>
      <c r="J5620">
        <f t="shared" si="312"/>
        <v>0</v>
      </c>
      <c r="K5620" t="b">
        <f t="shared" si="312"/>
        <v>1</v>
      </c>
      <c r="M5620" t="str" cm="1">
        <f t="array" ref="M5620">IFERROR(INDEX($I$2:$K$2,0,MATCH(TRUE,I5620:K5620,0)),E5620)</f>
        <v>PV</v>
      </c>
      <c r="O5620" t="str">
        <f t="shared" si="310"/>
        <v>PV_2023</v>
      </c>
      <c r="P5620">
        <f t="shared" si="311"/>
        <v>7748.6421358899997</v>
      </c>
    </row>
    <row r="5621" spans="4:16" x14ac:dyDescent="0.25">
      <c r="D5621">
        <v>2024</v>
      </c>
      <c r="E5621" t="s">
        <v>567</v>
      </c>
      <c r="F5621" t="s">
        <v>570</v>
      </c>
      <c r="G5621">
        <v>8081.7746953599999</v>
      </c>
      <c r="I5621">
        <f t="shared" si="312"/>
        <v>0</v>
      </c>
      <c r="J5621">
        <f t="shared" si="312"/>
        <v>0</v>
      </c>
      <c r="K5621" t="b">
        <f t="shared" si="312"/>
        <v>1</v>
      </c>
      <c r="M5621" t="str" cm="1">
        <f t="array" ref="M5621">IFERROR(INDEX($I$2:$K$2,0,MATCH(TRUE,I5621:K5621,0)),E5621)</f>
        <v>PV</v>
      </c>
      <c r="O5621" t="str">
        <f t="shared" si="310"/>
        <v>PV_2024</v>
      </c>
      <c r="P5621">
        <f t="shared" si="311"/>
        <v>8081.7746953599999</v>
      </c>
    </row>
    <row r="5622" spans="4:16" x14ac:dyDescent="0.25">
      <c r="D5622">
        <v>2025</v>
      </c>
      <c r="E5622" t="s">
        <v>567</v>
      </c>
      <c r="F5622" t="s">
        <v>570</v>
      </c>
      <c r="G5622">
        <v>8414.90725484</v>
      </c>
      <c r="I5622">
        <f t="shared" si="312"/>
        <v>0</v>
      </c>
      <c r="J5622">
        <f t="shared" si="312"/>
        <v>0</v>
      </c>
      <c r="K5622" t="b">
        <f t="shared" si="312"/>
        <v>1</v>
      </c>
      <c r="M5622" t="str" cm="1">
        <f t="array" ref="M5622">IFERROR(INDEX($I$2:$K$2,0,MATCH(TRUE,I5622:K5622,0)),E5622)</f>
        <v>PV</v>
      </c>
      <c r="O5622" t="str">
        <f t="shared" si="310"/>
        <v>PV_2025</v>
      </c>
      <c r="P5622">
        <f t="shared" si="311"/>
        <v>8414.90725484</v>
      </c>
    </row>
    <row r="5623" spans="4:16" x14ac:dyDescent="0.25">
      <c r="D5623">
        <v>2026</v>
      </c>
      <c r="E5623" t="s">
        <v>567</v>
      </c>
      <c r="F5623" t="s">
        <v>570</v>
      </c>
      <c r="G5623">
        <v>8748.0398143099992</v>
      </c>
      <c r="I5623">
        <f t="shared" si="312"/>
        <v>0</v>
      </c>
      <c r="J5623">
        <f t="shared" si="312"/>
        <v>0</v>
      </c>
      <c r="K5623" t="b">
        <f t="shared" si="312"/>
        <v>1</v>
      </c>
      <c r="M5623" t="str" cm="1">
        <f t="array" ref="M5623">IFERROR(INDEX($I$2:$K$2,0,MATCH(TRUE,I5623:K5623,0)),E5623)</f>
        <v>PV</v>
      </c>
      <c r="O5623" t="str">
        <f t="shared" si="310"/>
        <v>PV_2026</v>
      </c>
      <c r="P5623">
        <f t="shared" si="311"/>
        <v>8748.0398143099992</v>
      </c>
    </row>
    <row r="5624" spans="4:16" x14ac:dyDescent="0.25">
      <c r="D5624">
        <v>2027</v>
      </c>
      <c r="E5624" t="s">
        <v>567</v>
      </c>
      <c r="F5624" t="s">
        <v>570</v>
      </c>
      <c r="G5624">
        <v>9081.1723737899993</v>
      </c>
      <c r="I5624">
        <f t="shared" si="312"/>
        <v>0</v>
      </c>
      <c r="J5624">
        <f t="shared" si="312"/>
        <v>0</v>
      </c>
      <c r="K5624" t="b">
        <f t="shared" si="312"/>
        <v>1</v>
      </c>
      <c r="M5624" t="str" cm="1">
        <f t="array" ref="M5624">IFERROR(INDEX($I$2:$K$2,0,MATCH(TRUE,I5624:K5624,0)),E5624)</f>
        <v>PV</v>
      </c>
      <c r="O5624" t="str">
        <f t="shared" si="310"/>
        <v>PV_2027</v>
      </c>
      <c r="P5624">
        <f t="shared" si="311"/>
        <v>9081.1723737899993</v>
      </c>
    </row>
    <row r="5625" spans="4:16" x14ac:dyDescent="0.25">
      <c r="D5625">
        <v>2028</v>
      </c>
      <c r="E5625" t="s">
        <v>567</v>
      </c>
      <c r="F5625" t="s">
        <v>570</v>
      </c>
      <c r="G5625">
        <v>9414.3049332600003</v>
      </c>
      <c r="I5625">
        <f t="shared" si="312"/>
        <v>0</v>
      </c>
      <c r="J5625">
        <f t="shared" si="312"/>
        <v>0</v>
      </c>
      <c r="K5625" t="b">
        <f t="shared" si="312"/>
        <v>1</v>
      </c>
      <c r="M5625" t="str" cm="1">
        <f t="array" ref="M5625">IFERROR(INDEX($I$2:$K$2,0,MATCH(TRUE,I5625:K5625,0)),E5625)</f>
        <v>PV</v>
      </c>
      <c r="O5625" t="str">
        <f t="shared" si="310"/>
        <v>PV_2028</v>
      </c>
      <c r="P5625">
        <f t="shared" si="311"/>
        <v>9414.3049332600003</v>
      </c>
    </row>
    <row r="5626" spans="4:16" x14ac:dyDescent="0.25">
      <c r="D5626">
        <v>2029</v>
      </c>
      <c r="E5626" t="s">
        <v>567</v>
      </c>
      <c r="F5626" t="s">
        <v>570</v>
      </c>
      <c r="G5626">
        <v>9747.4374927400004</v>
      </c>
      <c r="I5626">
        <f t="shared" si="312"/>
        <v>0</v>
      </c>
      <c r="J5626">
        <f t="shared" si="312"/>
        <v>0</v>
      </c>
      <c r="K5626" t="b">
        <f t="shared" si="312"/>
        <v>1</v>
      </c>
      <c r="M5626" t="str" cm="1">
        <f t="array" ref="M5626">IFERROR(INDEX($I$2:$K$2,0,MATCH(TRUE,I5626:K5626,0)),E5626)</f>
        <v>PV</v>
      </c>
      <c r="O5626" t="str">
        <f t="shared" si="310"/>
        <v>PV_2029</v>
      </c>
      <c r="P5626">
        <f t="shared" si="311"/>
        <v>9747.4374927400004</v>
      </c>
    </row>
    <row r="5627" spans="4:16" x14ac:dyDescent="0.25">
      <c r="D5627">
        <v>2030</v>
      </c>
      <c r="E5627" t="s">
        <v>567</v>
      </c>
      <c r="F5627" t="s">
        <v>570</v>
      </c>
      <c r="G5627">
        <v>10080.57005221</v>
      </c>
      <c r="I5627">
        <f t="shared" si="312"/>
        <v>0</v>
      </c>
      <c r="J5627">
        <f t="shared" si="312"/>
        <v>0</v>
      </c>
      <c r="K5627" t="b">
        <f t="shared" si="312"/>
        <v>1</v>
      </c>
      <c r="M5627" t="str" cm="1">
        <f t="array" ref="M5627">IFERROR(INDEX($I$2:$K$2,0,MATCH(TRUE,I5627:K5627,0)),E5627)</f>
        <v>PV</v>
      </c>
      <c r="O5627" t="str">
        <f t="shared" si="310"/>
        <v>PV_2030</v>
      </c>
      <c r="P5627">
        <f t="shared" si="311"/>
        <v>10080.57005221</v>
      </c>
    </row>
    <row r="5628" spans="4:16" x14ac:dyDescent="0.25">
      <c r="D5628">
        <v>2031</v>
      </c>
      <c r="E5628" t="s">
        <v>567</v>
      </c>
      <c r="F5628" t="s">
        <v>570</v>
      </c>
      <c r="G5628">
        <v>10413.70261169</v>
      </c>
      <c r="I5628">
        <f t="shared" si="312"/>
        <v>0</v>
      </c>
      <c r="J5628">
        <f t="shared" si="312"/>
        <v>0</v>
      </c>
      <c r="K5628" t="b">
        <f t="shared" si="312"/>
        <v>1</v>
      </c>
      <c r="M5628" t="str" cm="1">
        <f t="array" ref="M5628">IFERROR(INDEX($I$2:$K$2,0,MATCH(TRUE,I5628:K5628,0)),E5628)</f>
        <v>PV</v>
      </c>
      <c r="O5628" t="str">
        <f t="shared" si="310"/>
        <v>PV_2031</v>
      </c>
      <c r="P5628">
        <f t="shared" si="311"/>
        <v>10413.70261169</v>
      </c>
    </row>
    <row r="5629" spans="4:16" x14ac:dyDescent="0.25">
      <c r="D5629">
        <v>2032</v>
      </c>
      <c r="E5629" t="s">
        <v>567</v>
      </c>
      <c r="F5629" t="s">
        <v>570</v>
      </c>
      <c r="G5629">
        <v>10746.835171160001</v>
      </c>
      <c r="I5629">
        <f t="shared" si="312"/>
        <v>0</v>
      </c>
      <c r="J5629">
        <f t="shared" si="312"/>
        <v>0</v>
      </c>
      <c r="K5629" t="b">
        <f t="shared" si="312"/>
        <v>1</v>
      </c>
      <c r="M5629" t="str" cm="1">
        <f t="array" ref="M5629">IFERROR(INDEX($I$2:$K$2,0,MATCH(TRUE,I5629:K5629,0)),E5629)</f>
        <v>PV</v>
      </c>
      <c r="O5629" t="str">
        <f t="shared" si="310"/>
        <v>PV_2032</v>
      </c>
      <c r="P5629">
        <f t="shared" si="311"/>
        <v>10746.835171160001</v>
      </c>
    </row>
    <row r="5630" spans="4:16" x14ac:dyDescent="0.25">
      <c r="D5630">
        <v>2033</v>
      </c>
      <c r="E5630" t="s">
        <v>567</v>
      </c>
      <c r="F5630" t="s">
        <v>570</v>
      </c>
      <c r="G5630">
        <v>11079.967730640001</v>
      </c>
      <c r="I5630">
        <f t="shared" si="312"/>
        <v>0</v>
      </c>
      <c r="J5630">
        <f t="shared" si="312"/>
        <v>0</v>
      </c>
      <c r="K5630" t="b">
        <f t="shared" si="312"/>
        <v>1</v>
      </c>
      <c r="M5630" t="str" cm="1">
        <f t="array" ref="M5630">IFERROR(INDEX($I$2:$K$2,0,MATCH(TRUE,I5630:K5630,0)),E5630)</f>
        <v>PV</v>
      </c>
      <c r="O5630" t="str">
        <f t="shared" si="310"/>
        <v>PV_2033</v>
      </c>
      <c r="P5630">
        <f t="shared" si="311"/>
        <v>11079.967730640001</v>
      </c>
    </row>
    <row r="5631" spans="4:16" x14ac:dyDescent="0.25">
      <c r="D5631">
        <v>2034</v>
      </c>
      <c r="E5631" t="s">
        <v>567</v>
      </c>
      <c r="F5631" t="s">
        <v>570</v>
      </c>
      <c r="G5631">
        <v>11413.10029011</v>
      </c>
      <c r="I5631">
        <f t="shared" si="312"/>
        <v>0</v>
      </c>
      <c r="J5631">
        <f t="shared" si="312"/>
        <v>0</v>
      </c>
      <c r="K5631" t="b">
        <f t="shared" si="312"/>
        <v>1</v>
      </c>
      <c r="M5631" t="str" cm="1">
        <f t="array" ref="M5631">IFERROR(INDEX($I$2:$K$2,0,MATCH(TRUE,I5631:K5631,0)),E5631)</f>
        <v>PV</v>
      </c>
      <c r="O5631" t="str">
        <f t="shared" si="310"/>
        <v>PV_2034</v>
      </c>
      <c r="P5631">
        <f t="shared" si="311"/>
        <v>11413.10029011</v>
      </c>
    </row>
    <row r="5632" spans="4:16" x14ac:dyDescent="0.25">
      <c r="D5632">
        <v>2035</v>
      </c>
      <c r="E5632" t="s">
        <v>567</v>
      </c>
      <c r="F5632" t="s">
        <v>570</v>
      </c>
      <c r="G5632">
        <v>11746.232849579999</v>
      </c>
      <c r="I5632">
        <f t="shared" si="312"/>
        <v>0</v>
      </c>
      <c r="J5632">
        <f t="shared" si="312"/>
        <v>0</v>
      </c>
      <c r="K5632" t="b">
        <f t="shared" si="312"/>
        <v>1</v>
      </c>
      <c r="M5632" t="str" cm="1">
        <f t="array" ref="M5632">IFERROR(INDEX($I$2:$K$2,0,MATCH(TRUE,I5632:K5632,0)),E5632)</f>
        <v>PV</v>
      </c>
      <c r="O5632" t="str">
        <f t="shared" si="310"/>
        <v>PV_2035</v>
      </c>
      <c r="P5632">
        <f t="shared" si="311"/>
        <v>11746.232849579999</v>
      </c>
    </row>
    <row r="5633" spans="4:16" x14ac:dyDescent="0.25">
      <c r="D5633">
        <v>2036</v>
      </c>
      <c r="E5633" t="s">
        <v>567</v>
      </c>
      <c r="F5633" t="s">
        <v>570</v>
      </c>
      <c r="G5633">
        <v>12079.365409059999</v>
      </c>
      <c r="I5633">
        <f t="shared" si="312"/>
        <v>0</v>
      </c>
      <c r="J5633">
        <f t="shared" si="312"/>
        <v>0</v>
      </c>
      <c r="K5633" t="b">
        <f t="shared" si="312"/>
        <v>1</v>
      </c>
      <c r="M5633" t="str" cm="1">
        <f t="array" ref="M5633">IFERROR(INDEX($I$2:$K$2,0,MATCH(TRUE,I5633:K5633,0)),E5633)</f>
        <v>PV</v>
      </c>
      <c r="O5633" t="str">
        <f t="shared" si="310"/>
        <v>PV_2036</v>
      </c>
      <c r="P5633">
        <f t="shared" si="311"/>
        <v>12079.365409059999</v>
      </c>
    </row>
    <row r="5634" spans="4:16" x14ac:dyDescent="0.25">
      <c r="D5634">
        <v>2037</v>
      </c>
      <c r="E5634" t="s">
        <v>567</v>
      </c>
      <c r="F5634" t="s">
        <v>570</v>
      </c>
      <c r="G5634">
        <v>12412.49796853</v>
      </c>
      <c r="I5634">
        <f t="shared" si="312"/>
        <v>0</v>
      </c>
      <c r="J5634">
        <f t="shared" si="312"/>
        <v>0</v>
      </c>
      <c r="K5634" t="b">
        <f t="shared" si="312"/>
        <v>1</v>
      </c>
      <c r="M5634" t="str" cm="1">
        <f t="array" ref="M5634">IFERROR(INDEX($I$2:$K$2,0,MATCH(TRUE,I5634:K5634,0)),E5634)</f>
        <v>PV</v>
      </c>
      <c r="O5634" t="str">
        <f t="shared" si="310"/>
        <v>PV_2037</v>
      </c>
      <c r="P5634">
        <f t="shared" si="311"/>
        <v>12412.49796853</v>
      </c>
    </row>
    <row r="5635" spans="4:16" x14ac:dyDescent="0.25">
      <c r="D5635">
        <v>2038</v>
      </c>
      <c r="E5635" t="s">
        <v>567</v>
      </c>
      <c r="F5635" t="s">
        <v>570</v>
      </c>
      <c r="G5635">
        <v>12745.63052801</v>
      </c>
      <c r="I5635">
        <f t="shared" si="312"/>
        <v>0</v>
      </c>
      <c r="J5635">
        <f t="shared" si="312"/>
        <v>0</v>
      </c>
      <c r="K5635" t="b">
        <f t="shared" si="312"/>
        <v>1</v>
      </c>
      <c r="M5635" t="str" cm="1">
        <f t="array" ref="M5635">IFERROR(INDEX($I$2:$K$2,0,MATCH(TRUE,I5635:K5635,0)),E5635)</f>
        <v>PV</v>
      </c>
      <c r="O5635" t="str">
        <f t="shared" si="310"/>
        <v>PV_2038</v>
      </c>
      <c r="P5635">
        <f t="shared" si="311"/>
        <v>12745.63052801</v>
      </c>
    </row>
    <row r="5636" spans="4:16" x14ac:dyDescent="0.25">
      <c r="D5636">
        <v>2039</v>
      </c>
      <c r="E5636" t="s">
        <v>567</v>
      </c>
      <c r="F5636" t="s">
        <v>570</v>
      </c>
      <c r="G5636">
        <v>13078.76308748</v>
      </c>
      <c r="I5636">
        <f t="shared" si="312"/>
        <v>0</v>
      </c>
      <c r="J5636">
        <f t="shared" si="312"/>
        <v>0</v>
      </c>
      <c r="K5636" t="b">
        <f t="shared" si="312"/>
        <v>1</v>
      </c>
      <c r="M5636" t="str" cm="1">
        <f t="array" ref="M5636">IFERROR(INDEX($I$2:$K$2,0,MATCH(TRUE,I5636:K5636,0)),E5636)</f>
        <v>PV</v>
      </c>
      <c r="O5636" t="str">
        <f t="shared" si="310"/>
        <v>PV_2039</v>
      </c>
      <c r="P5636">
        <f t="shared" si="311"/>
        <v>13078.76308748</v>
      </c>
    </row>
    <row r="5637" spans="4:16" x14ac:dyDescent="0.25">
      <c r="D5637">
        <v>2040</v>
      </c>
      <c r="E5637" t="s">
        <v>567</v>
      </c>
      <c r="F5637" t="s">
        <v>570</v>
      </c>
      <c r="G5637">
        <v>13411.89564696</v>
      </c>
      <c r="I5637">
        <f t="shared" si="312"/>
        <v>0</v>
      </c>
      <c r="J5637">
        <f t="shared" si="312"/>
        <v>0</v>
      </c>
      <c r="K5637" t="b">
        <f t="shared" si="312"/>
        <v>1</v>
      </c>
      <c r="M5637" t="str" cm="1">
        <f t="array" ref="M5637">IFERROR(INDEX($I$2:$K$2,0,MATCH(TRUE,I5637:K5637,0)),E5637)</f>
        <v>PV</v>
      </c>
      <c r="O5637" t="str">
        <f t="shared" si="310"/>
        <v>PV_2040</v>
      </c>
      <c r="P5637">
        <f t="shared" si="311"/>
        <v>13411.89564696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F7B72-B554-42AD-82FD-4AE1C80F24ED}">
  <sheetPr codeName="Sheet2"/>
  <dimension ref="A1:CN6"/>
  <sheetViews>
    <sheetView tabSelected="1" workbookViewId="0">
      <selection activeCell="L4" sqref="L4"/>
    </sheetView>
  </sheetViews>
  <sheetFormatPr defaultRowHeight="15" x14ac:dyDescent="0.25"/>
  <cols>
    <col min="1" max="1" width="10" bestFit="1" customWidth="1"/>
    <col min="2" max="92" width="14" bestFit="1" customWidth="1"/>
  </cols>
  <sheetData>
    <row r="1" spans="1:92" x14ac:dyDescent="0.25">
      <c r="A1" t="s">
        <v>0</v>
      </c>
      <c r="B1" s="1">
        <v>40179</v>
      </c>
      <c r="C1" s="1">
        <v>40544</v>
      </c>
      <c r="D1" s="1">
        <v>40909</v>
      </c>
      <c r="E1" s="1">
        <v>41275</v>
      </c>
      <c r="F1" s="1">
        <v>41640</v>
      </c>
      <c r="G1" s="1">
        <v>42005</v>
      </c>
      <c r="H1" s="1">
        <v>42370</v>
      </c>
      <c r="I1" s="1">
        <v>42736</v>
      </c>
      <c r="J1" s="1">
        <v>43101</v>
      </c>
      <c r="K1" s="1">
        <v>43466</v>
      </c>
      <c r="L1" s="1">
        <v>43831</v>
      </c>
      <c r="M1" s="1">
        <v>44197</v>
      </c>
      <c r="N1" s="1">
        <v>44562</v>
      </c>
      <c r="O1" s="1">
        <v>44927</v>
      </c>
      <c r="P1" s="1">
        <v>45292</v>
      </c>
      <c r="Q1" s="1">
        <v>45658</v>
      </c>
      <c r="R1" s="1">
        <v>46023</v>
      </c>
      <c r="S1" s="1">
        <v>46388</v>
      </c>
      <c r="T1" s="1">
        <v>46753</v>
      </c>
      <c r="U1" s="1">
        <v>47119</v>
      </c>
      <c r="V1" s="1">
        <v>47484</v>
      </c>
      <c r="W1" s="1">
        <v>47849</v>
      </c>
      <c r="X1" s="1">
        <v>48214</v>
      </c>
      <c r="Y1" s="1">
        <v>48580</v>
      </c>
      <c r="Z1" s="1">
        <v>48945</v>
      </c>
      <c r="AA1" s="1">
        <v>49310</v>
      </c>
      <c r="AB1" s="1">
        <v>49675</v>
      </c>
      <c r="AC1" s="1">
        <v>50041</v>
      </c>
      <c r="AD1" s="1">
        <v>50406</v>
      </c>
      <c r="AE1" s="1">
        <v>50771</v>
      </c>
      <c r="AF1" s="1">
        <v>51136</v>
      </c>
      <c r="AG1" s="1">
        <v>51502</v>
      </c>
      <c r="AH1" s="1">
        <v>51867</v>
      </c>
      <c r="AI1" s="1">
        <v>52232</v>
      </c>
      <c r="AJ1" s="1">
        <v>52597</v>
      </c>
      <c r="AK1" s="1">
        <v>52963</v>
      </c>
      <c r="AL1" s="1">
        <v>53328</v>
      </c>
      <c r="AM1" s="1">
        <v>53693</v>
      </c>
      <c r="AN1" s="1">
        <v>54058</v>
      </c>
      <c r="AO1" s="1">
        <v>54424</v>
      </c>
      <c r="AP1" s="1">
        <v>54789</v>
      </c>
      <c r="AQ1" s="1">
        <v>55154</v>
      </c>
      <c r="AR1" s="1">
        <v>55519</v>
      </c>
      <c r="AS1" s="1">
        <v>55885</v>
      </c>
      <c r="AT1" s="1">
        <v>56250</v>
      </c>
      <c r="AU1" s="1">
        <v>56615</v>
      </c>
      <c r="AV1" s="1">
        <v>56980</v>
      </c>
      <c r="AW1" s="1">
        <v>57346</v>
      </c>
      <c r="AX1" s="1">
        <v>57711</v>
      </c>
      <c r="AY1" s="1">
        <v>58076</v>
      </c>
      <c r="AZ1" s="1">
        <v>58441</v>
      </c>
      <c r="BA1" s="1">
        <v>58807</v>
      </c>
      <c r="BB1" s="1">
        <v>59172</v>
      </c>
      <c r="BC1" s="1">
        <v>59537</v>
      </c>
      <c r="BD1" s="1">
        <v>59902</v>
      </c>
      <c r="BE1" s="1">
        <v>60268</v>
      </c>
      <c r="BF1" s="1">
        <v>60633</v>
      </c>
      <c r="BG1" s="1">
        <v>60998</v>
      </c>
      <c r="BH1" s="1">
        <v>61363</v>
      </c>
      <c r="BI1" s="1">
        <v>61729</v>
      </c>
      <c r="BJ1" s="1">
        <v>62094</v>
      </c>
      <c r="BK1" s="1">
        <v>62459</v>
      </c>
      <c r="BL1" s="1">
        <v>62824</v>
      </c>
      <c r="BM1" s="1">
        <v>63190</v>
      </c>
      <c r="BN1" s="1">
        <v>63555</v>
      </c>
      <c r="BO1" s="1">
        <v>63920</v>
      </c>
      <c r="BP1" s="1">
        <v>64285</v>
      </c>
      <c r="BQ1" s="1">
        <v>64651</v>
      </c>
      <c r="BR1" s="1">
        <v>65016</v>
      </c>
      <c r="BS1" s="1">
        <v>65381</v>
      </c>
      <c r="BT1" s="1">
        <v>65746</v>
      </c>
      <c r="BU1" s="1">
        <v>66112</v>
      </c>
      <c r="BV1" s="1">
        <v>66477</v>
      </c>
      <c r="BW1" s="1">
        <v>66842</v>
      </c>
      <c r="BX1" s="1">
        <v>67207</v>
      </c>
      <c r="BY1" s="1">
        <v>67573</v>
      </c>
      <c r="BZ1" s="1">
        <v>67938</v>
      </c>
      <c r="CA1" s="1">
        <v>68303</v>
      </c>
      <c r="CB1" s="1">
        <v>68668</v>
      </c>
      <c r="CC1" s="1">
        <v>69034</v>
      </c>
      <c r="CD1" s="1">
        <v>69399</v>
      </c>
      <c r="CE1" s="1">
        <v>69764</v>
      </c>
      <c r="CF1" s="1">
        <v>70129</v>
      </c>
      <c r="CG1" s="1">
        <v>70495</v>
      </c>
      <c r="CH1" s="1">
        <v>70860</v>
      </c>
      <c r="CI1" s="1">
        <v>71225</v>
      </c>
      <c r="CJ1" s="1">
        <v>71590</v>
      </c>
      <c r="CK1" s="1">
        <v>71956</v>
      </c>
      <c r="CL1" s="1">
        <v>72321</v>
      </c>
      <c r="CM1" s="1">
        <v>72686</v>
      </c>
      <c r="CN1" s="1">
        <v>73051</v>
      </c>
    </row>
    <row r="2" spans="1:92" x14ac:dyDescent="0.25">
      <c r="A2" t="s">
        <v>1</v>
      </c>
      <c r="B2" s="1">
        <v>40544</v>
      </c>
      <c r="C2" s="1">
        <v>40909</v>
      </c>
      <c r="D2" s="1">
        <v>41275</v>
      </c>
      <c r="E2" s="1">
        <v>41640</v>
      </c>
      <c r="F2" s="1">
        <v>42005</v>
      </c>
      <c r="G2" s="1">
        <v>42370</v>
      </c>
      <c r="H2" s="1">
        <v>42736</v>
      </c>
      <c r="I2" s="1">
        <v>43101</v>
      </c>
      <c r="J2" s="1">
        <v>43466</v>
      </c>
      <c r="K2" s="1">
        <v>43831</v>
      </c>
      <c r="L2" s="1">
        <v>44197</v>
      </c>
      <c r="M2" s="1">
        <v>44562</v>
      </c>
      <c r="N2" s="1">
        <v>44927</v>
      </c>
      <c r="O2" s="1">
        <v>45292</v>
      </c>
      <c r="P2" s="1">
        <v>45658</v>
      </c>
      <c r="Q2" s="1">
        <v>46023</v>
      </c>
      <c r="R2" s="1">
        <v>46388</v>
      </c>
      <c r="S2" s="1">
        <v>46753</v>
      </c>
      <c r="T2" s="1">
        <v>47119</v>
      </c>
      <c r="U2" s="1">
        <v>47484</v>
      </c>
      <c r="V2" s="1">
        <v>47849</v>
      </c>
      <c r="W2" s="1">
        <v>48214</v>
      </c>
      <c r="X2" s="1">
        <v>48580</v>
      </c>
      <c r="Y2" s="1">
        <v>48945</v>
      </c>
      <c r="Z2" s="1">
        <v>49310</v>
      </c>
      <c r="AA2" s="1">
        <v>49675</v>
      </c>
      <c r="AB2" s="1">
        <v>50041</v>
      </c>
      <c r="AC2" s="1">
        <v>50406</v>
      </c>
      <c r="AD2" s="1">
        <v>50771</v>
      </c>
      <c r="AE2" s="1">
        <v>51136</v>
      </c>
      <c r="AF2" s="1">
        <v>51502</v>
      </c>
      <c r="AG2" s="1">
        <v>51867</v>
      </c>
      <c r="AH2" s="1">
        <v>52232</v>
      </c>
      <c r="AI2" s="1">
        <v>52597</v>
      </c>
      <c r="AJ2" s="1">
        <v>52963</v>
      </c>
      <c r="AK2" s="1">
        <v>53328</v>
      </c>
      <c r="AL2" s="1">
        <v>53693</v>
      </c>
      <c r="AM2" s="1">
        <v>54058</v>
      </c>
      <c r="AN2" s="1">
        <v>54424</v>
      </c>
      <c r="AO2" s="1">
        <v>54789</v>
      </c>
      <c r="AP2" s="1">
        <v>55154</v>
      </c>
      <c r="AQ2" s="1">
        <v>55519</v>
      </c>
      <c r="AR2" s="1">
        <v>55885</v>
      </c>
      <c r="AS2" s="1">
        <v>56250</v>
      </c>
      <c r="AT2" s="1">
        <v>56615</v>
      </c>
      <c r="AU2" s="1">
        <v>56980</v>
      </c>
      <c r="AV2" s="1">
        <v>57346</v>
      </c>
      <c r="AW2" s="1">
        <v>57711</v>
      </c>
      <c r="AX2" s="1">
        <v>58076</v>
      </c>
      <c r="AY2" s="1">
        <v>58441</v>
      </c>
      <c r="AZ2" s="1">
        <v>58807</v>
      </c>
      <c r="BA2" s="1">
        <v>59172</v>
      </c>
      <c r="BB2" s="1">
        <v>59537</v>
      </c>
      <c r="BC2" s="1">
        <v>59902</v>
      </c>
      <c r="BD2" s="1">
        <v>60268</v>
      </c>
      <c r="BE2" s="1">
        <v>60633</v>
      </c>
      <c r="BF2" s="1">
        <v>60998</v>
      </c>
      <c r="BG2" s="1">
        <v>61363</v>
      </c>
      <c r="BH2" s="1">
        <v>61729</v>
      </c>
      <c r="BI2" s="1">
        <v>62094</v>
      </c>
      <c r="BJ2" s="1">
        <v>62459</v>
      </c>
      <c r="BK2" s="1">
        <v>62824</v>
      </c>
      <c r="BL2" s="1">
        <v>63190</v>
      </c>
      <c r="BM2" s="1">
        <v>63555</v>
      </c>
      <c r="BN2" s="1">
        <v>63920</v>
      </c>
      <c r="BO2" s="1">
        <v>64285</v>
      </c>
      <c r="BP2" s="1">
        <v>64651</v>
      </c>
      <c r="BQ2" s="1">
        <v>65016</v>
      </c>
      <c r="BR2" s="1">
        <v>65381</v>
      </c>
      <c r="BS2" s="1">
        <v>65746</v>
      </c>
      <c r="BT2" s="1">
        <v>66112</v>
      </c>
      <c r="BU2" s="1">
        <v>66477</v>
      </c>
      <c r="BV2" s="1">
        <v>66842</v>
      </c>
      <c r="BW2" s="1">
        <v>67207</v>
      </c>
      <c r="BX2" s="1">
        <v>67573</v>
      </c>
      <c r="BY2" s="1">
        <v>67938</v>
      </c>
      <c r="BZ2" s="1">
        <v>68303</v>
      </c>
      <c r="CA2" s="1">
        <v>68668</v>
      </c>
      <c r="CB2" s="1">
        <v>69034</v>
      </c>
      <c r="CC2" s="1">
        <v>69399</v>
      </c>
      <c r="CD2" s="1">
        <v>69764</v>
      </c>
      <c r="CE2" s="1">
        <v>70129</v>
      </c>
      <c r="CF2" s="1">
        <v>70495</v>
      </c>
      <c r="CG2" s="1">
        <v>70860</v>
      </c>
      <c r="CH2" s="1">
        <v>71225</v>
      </c>
      <c r="CI2" s="1">
        <v>71590</v>
      </c>
      <c r="CJ2" s="1">
        <v>71956</v>
      </c>
      <c r="CK2" s="1">
        <v>72321</v>
      </c>
      <c r="CL2" s="1">
        <v>72686</v>
      </c>
      <c r="CM2" s="1">
        <v>73051</v>
      </c>
      <c r="CN2" s="1">
        <v>73416</v>
      </c>
    </row>
    <row r="3" spans="1:92" x14ac:dyDescent="0.25">
      <c r="A3" t="s">
        <v>142</v>
      </c>
      <c r="B3" s="2">
        <v>2010</v>
      </c>
      <c r="C3" s="3">
        <f>B3+1</f>
        <v>2011</v>
      </c>
      <c r="D3" s="3">
        <f t="shared" ref="D3:BO3" si="0">C3+1</f>
        <v>2012</v>
      </c>
      <c r="E3" s="3">
        <f t="shared" si="0"/>
        <v>2013</v>
      </c>
      <c r="F3" s="3">
        <f t="shared" si="0"/>
        <v>2014</v>
      </c>
      <c r="G3" s="3">
        <f t="shared" si="0"/>
        <v>2015</v>
      </c>
      <c r="H3" s="3">
        <f t="shared" si="0"/>
        <v>2016</v>
      </c>
      <c r="I3" s="3">
        <f t="shared" si="0"/>
        <v>2017</v>
      </c>
      <c r="J3" s="3">
        <f t="shared" si="0"/>
        <v>2018</v>
      </c>
      <c r="K3" s="3">
        <f t="shared" si="0"/>
        <v>2019</v>
      </c>
      <c r="L3" s="3">
        <f t="shared" si="0"/>
        <v>2020</v>
      </c>
      <c r="M3" s="3">
        <f t="shared" si="0"/>
        <v>2021</v>
      </c>
      <c r="N3" s="3">
        <f t="shared" si="0"/>
        <v>2022</v>
      </c>
      <c r="O3" s="3">
        <f t="shared" si="0"/>
        <v>2023</v>
      </c>
      <c r="P3" s="3">
        <f t="shared" si="0"/>
        <v>2024</v>
      </c>
      <c r="Q3" s="3">
        <f t="shared" si="0"/>
        <v>2025</v>
      </c>
      <c r="R3" s="3">
        <f t="shared" si="0"/>
        <v>2026</v>
      </c>
      <c r="S3" s="3">
        <f t="shared" si="0"/>
        <v>2027</v>
      </c>
      <c r="T3" s="3">
        <f t="shared" si="0"/>
        <v>2028</v>
      </c>
      <c r="U3" s="3">
        <f t="shared" si="0"/>
        <v>2029</v>
      </c>
      <c r="V3" s="3">
        <f t="shared" si="0"/>
        <v>2030</v>
      </c>
      <c r="W3" s="3">
        <f t="shared" si="0"/>
        <v>2031</v>
      </c>
      <c r="X3" s="3">
        <f t="shared" si="0"/>
        <v>2032</v>
      </c>
      <c r="Y3" s="3">
        <f t="shared" si="0"/>
        <v>2033</v>
      </c>
      <c r="Z3" s="3">
        <f t="shared" si="0"/>
        <v>2034</v>
      </c>
      <c r="AA3" s="3">
        <f t="shared" si="0"/>
        <v>2035</v>
      </c>
      <c r="AB3" s="3">
        <f t="shared" si="0"/>
        <v>2036</v>
      </c>
      <c r="AC3" s="3">
        <f t="shared" si="0"/>
        <v>2037</v>
      </c>
      <c r="AD3" s="3">
        <f t="shared" si="0"/>
        <v>2038</v>
      </c>
      <c r="AE3" s="3">
        <f t="shared" si="0"/>
        <v>2039</v>
      </c>
      <c r="AF3" s="3">
        <f t="shared" si="0"/>
        <v>2040</v>
      </c>
      <c r="AG3" s="3">
        <f t="shared" si="0"/>
        <v>2041</v>
      </c>
      <c r="AH3" s="3">
        <f t="shared" si="0"/>
        <v>2042</v>
      </c>
      <c r="AI3" s="3">
        <f t="shared" si="0"/>
        <v>2043</v>
      </c>
      <c r="AJ3" s="3">
        <f t="shared" si="0"/>
        <v>2044</v>
      </c>
      <c r="AK3" s="3">
        <f t="shared" si="0"/>
        <v>2045</v>
      </c>
      <c r="AL3" s="3">
        <f t="shared" si="0"/>
        <v>2046</v>
      </c>
      <c r="AM3" s="3">
        <f t="shared" si="0"/>
        <v>2047</v>
      </c>
      <c r="AN3" s="3">
        <f t="shared" si="0"/>
        <v>2048</v>
      </c>
      <c r="AO3" s="3">
        <f t="shared" si="0"/>
        <v>2049</v>
      </c>
      <c r="AP3" s="3">
        <f t="shared" si="0"/>
        <v>2050</v>
      </c>
      <c r="AQ3" s="3">
        <f t="shared" si="0"/>
        <v>2051</v>
      </c>
      <c r="AR3" s="3">
        <f t="shared" si="0"/>
        <v>2052</v>
      </c>
      <c r="AS3" s="3">
        <f t="shared" si="0"/>
        <v>2053</v>
      </c>
      <c r="AT3" s="3">
        <f t="shared" si="0"/>
        <v>2054</v>
      </c>
      <c r="AU3" s="3">
        <f t="shared" si="0"/>
        <v>2055</v>
      </c>
      <c r="AV3" s="3">
        <f t="shared" si="0"/>
        <v>2056</v>
      </c>
      <c r="AW3" s="3">
        <f t="shared" si="0"/>
        <v>2057</v>
      </c>
      <c r="AX3" s="3">
        <f t="shared" si="0"/>
        <v>2058</v>
      </c>
      <c r="AY3" s="3">
        <f t="shared" si="0"/>
        <v>2059</v>
      </c>
      <c r="AZ3" s="3">
        <f t="shared" si="0"/>
        <v>2060</v>
      </c>
      <c r="BA3" s="3">
        <f t="shared" si="0"/>
        <v>2061</v>
      </c>
      <c r="BB3" s="3">
        <f t="shared" si="0"/>
        <v>2062</v>
      </c>
      <c r="BC3" s="3">
        <f t="shared" si="0"/>
        <v>2063</v>
      </c>
      <c r="BD3" s="3">
        <f t="shared" si="0"/>
        <v>2064</v>
      </c>
      <c r="BE3" s="3">
        <f t="shared" si="0"/>
        <v>2065</v>
      </c>
      <c r="BF3" s="3">
        <f t="shared" si="0"/>
        <v>2066</v>
      </c>
      <c r="BG3" s="3">
        <f t="shared" si="0"/>
        <v>2067</v>
      </c>
      <c r="BH3" s="3">
        <f t="shared" si="0"/>
        <v>2068</v>
      </c>
      <c r="BI3" s="3">
        <f t="shared" si="0"/>
        <v>2069</v>
      </c>
      <c r="BJ3" s="3">
        <f t="shared" si="0"/>
        <v>2070</v>
      </c>
      <c r="BK3" s="3">
        <f t="shared" si="0"/>
        <v>2071</v>
      </c>
      <c r="BL3" s="3">
        <f t="shared" si="0"/>
        <v>2072</v>
      </c>
      <c r="BM3" s="3">
        <f t="shared" si="0"/>
        <v>2073</v>
      </c>
      <c r="BN3" s="3">
        <f t="shared" si="0"/>
        <v>2074</v>
      </c>
      <c r="BO3" s="3">
        <f t="shared" si="0"/>
        <v>2075</v>
      </c>
      <c r="BP3" s="3">
        <f t="shared" ref="BP3:CN3" si="1">BO3+1</f>
        <v>2076</v>
      </c>
      <c r="BQ3" s="3">
        <f t="shared" si="1"/>
        <v>2077</v>
      </c>
      <c r="BR3" s="3">
        <f t="shared" si="1"/>
        <v>2078</v>
      </c>
      <c r="BS3" s="3">
        <f t="shared" si="1"/>
        <v>2079</v>
      </c>
      <c r="BT3" s="3">
        <f t="shared" si="1"/>
        <v>2080</v>
      </c>
      <c r="BU3" s="3">
        <f t="shared" si="1"/>
        <v>2081</v>
      </c>
      <c r="BV3" s="3">
        <f t="shared" si="1"/>
        <v>2082</v>
      </c>
      <c r="BW3" s="3">
        <f t="shared" si="1"/>
        <v>2083</v>
      </c>
      <c r="BX3" s="3">
        <f t="shared" si="1"/>
        <v>2084</v>
      </c>
      <c r="BY3" s="3">
        <f t="shared" si="1"/>
        <v>2085</v>
      </c>
      <c r="BZ3" s="3">
        <f t="shared" si="1"/>
        <v>2086</v>
      </c>
      <c r="CA3" s="3">
        <f t="shared" si="1"/>
        <v>2087</v>
      </c>
      <c r="CB3" s="3">
        <f t="shared" si="1"/>
        <v>2088</v>
      </c>
      <c r="CC3" s="3">
        <f t="shared" si="1"/>
        <v>2089</v>
      </c>
      <c r="CD3" s="3">
        <f t="shared" si="1"/>
        <v>2090</v>
      </c>
      <c r="CE3" s="3">
        <f t="shared" si="1"/>
        <v>2091</v>
      </c>
      <c r="CF3" s="3">
        <f t="shared" si="1"/>
        <v>2092</v>
      </c>
      <c r="CG3" s="3">
        <f t="shared" si="1"/>
        <v>2093</v>
      </c>
      <c r="CH3" s="3">
        <f t="shared" si="1"/>
        <v>2094</v>
      </c>
      <c r="CI3" s="3">
        <f t="shared" si="1"/>
        <v>2095</v>
      </c>
      <c r="CJ3" s="3">
        <f t="shared" si="1"/>
        <v>2096</v>
      </c>
      <c r="CK3" s="3">
        <f t="shared" si="1"/>
        <v>2097</v>
      </c>
      <c r="CL3" s="3">
        <f t="shared" si="1"/>
        <v>2098</v>
      </c>
      <c r="CM3" s="3">
        <f t="shared" si="1"/>
        <v>2099</v>
      </c>
      <c r="CN3" s="3">
        <f t="shared" si="1"/>
        <v>2100</v>
      </c>
    </row>
    <row r="4" spans="1:92" x14ac:dyDescent="0.25">
      <c r="A4" t="s">
        <v>139</v>
      </c>
      <c r="B4">
        <f>SUMIF(PadreInput!$O:$O,$A4&amp;"_"&amp;B$3,PadreInput!$P:$P)</f>
        <v>0</v>
      </c>
      <c r="C4">
        <f>SUMIF(PadreInput!$O:$O,$A4&amp;"_"&amp;C$3,PadreInput!$P:$P)</f>
        <v>0</v>
      </c>
      <c r="D4">
        <f>SUMIF(PadreInput!$O:$O,$A4&amp;"_"&amp;D$3,PadreInput!$P:$P)</f>
        <v>0</v>
      </c>
      <c r="E4">
        <f>SUMIF(PadreInput!$O:$O,$A4&amp;"_"&amp;E$3,PadreInput!$P:$P)</f>
        <v>0</v>
      </c>
      <c r="F4">
        <f>SUMIF(PadreInput!$O:$O,$A4&amp;"_"&amp;F$3,PadreInput!$P:$P)</f>
        <v>0</v>
      </c>
      <c r="G4">
        <f>SUMIF(PadreInput!$O:$O,$A4&amp;"_"&amp;G$3,PadreInput!$P:$P)</f>
        <v>0</v>
      </c>
      <c r="H4">
        <f>SUMIF(PadreInput!$O:$O,$A4&amp;"_"&amp;H$3,PadreInput!$P:$P)</f>
        <v>0</v>
      </c>
      <c r="I4">
        <f>SUMIF(PadreInput!$O:$O,$A4&amp;"_"&amp;I$3,PadreInput!$P:$P)</f>
        <v>0</v>
      </c>
      <c r="J4">
        <f>SUMIF(PadreInput!$O:$O,$A4&amp;"_"&amp;J$3,PadreInput!$P:$P)</f>
        <v>0</v>
      </c>
      <c r="K4">
        <f>SUMIF(PadreInput!$O:$O,$A4&amp;"_"&amp;K$3,PadreInput!$P:$P)</f>
        <v>0</v>
      </c>
      <c r="L4">
        <f>SUMIF(PadreInput!$O:$O,$A4&amp;"_"&amp;L$3,PadreInput!$P:$P)</f>
        <v>0</v>
      </c>
      <c r="M4">
        <f>SUMIF(PadreInput!$O:$O,$A4&amp;"_"&amp;M$3,PadreInput!$P:$P)</f>
        <v>8014</v>
      </c>
      <c r="N4">
        <f>SUMIF(PadreInput!$O:$O,$A4&amp;"_"&amp;N$3,PadreInput!$P:$P)</f>
        <v>8408.75</v>
      </c>
      <c r="O4">
        <f>SUMIF(PadreInput!$O:$O,$A4&amp;"_"&amp;O$3,PadreInput!$P:$P)</f>
        <v>8786.25</v>
      </c>
      <c r="P4">
        <f>SUMIF(PadreInput!$O:$O,$A4&amp;"_"&amp;P$3,PadreInput!$P:$P)</f>
        <v>9762.5</v>
      </c>
      <c r="Q4">
        <f>SUMIF(PadreInput!$O:$O,$A4&amp;"_"&amp;Q$3,PadreInput!$P:$P)</f>
        <v>11337.7</v>
      </c>
      <c r="R4">
        <f>SUMIF(PadreInput!$O:$O,$A4&amp;"_"&amp;R$3,PadreInput!$P:$P)</f>
        <v>12912.7</v>
      </c>
      <c r="S4">
        <f>SUMIF(PadreInput!$O:$O,$A4&amp;"_"&amp;S$3,PadreInput!$P:$P)</f>
        <v>14487.7</v>
      </c>
      <c r="T4">
        <f>SUMIF(PadreInput!$O:$O,$A4&amp;"_"&amp;T$3,PadreInput!$P:$P)</f>
        <v>16062.7</v>
      </c>
      <c r="U4">
        <f>SUMIF(PadreInput!$O:$O,$A4&amp;"_"&amp;U$3,PadreInput!$P:$P)</f>
        <v>17637.699999999997</v>
      </c>
      <c r="V4">
        <f>SUMIF(PadreInput!$O:$O,$A4&amp;"_"&amp;V$3,PadreInput!$P:$P)</f>
        <v>17637.699999999997</v>
      </c>
      <c r="W4">
        <f>SUMIF(PadreInput!$O:$O,$A4&amp;"_"&amp;W$3,PadreInput!$P:$P)</f>
        <v>19212.699999999997</v>
      </c>
      <c r="X4">
        <f>SUMIF(PadreInput!$O:$O,$A4&amp;"_"&amp;X$3,PadreInput!$P:$P)</f>
        <v>20372.699999999997</v>
      </c>
      <c r="Y4">
        <f>SUMIF(PadreInput!$O:$O,$A4&amp;"_"&amp;Y$3,PadreInput!$P:$P)</f>
        <v>21117.699999999997</v>
      </c>
      <c r="Z4">
        <f>SUMIF(PadreInput!$O:$O,$A4&amp;"_"&amp;Z$3,PadreInput!$P:$P)</f>
        <v>21862.699999999997</v>
      </c>
      <c r="AA4">
        <f>SUMIF(PadreInput!$O:$O,$A4&amp;"_"&amp;AA$3,PadreInput!$P:$P)</f>
        <v>22607.699999999997</v>
      </c>
      <c r="AB4">
        <f>SUMIF(PadreInput!$O:$O,$A4&amp;"_"&amp;AB$3,PadreInput!$P:$P)</f>
        <v>24022.799999999999</v>
      </c>
      <c r="AC4">
        <f>SUMIF(PadreInput!$O:$O,$A4&amp;"_"&amp;AC$3,PadreInput!$P:$P)</f>
        <v>25437.399999999998</v>
      </c>
      <c r="AD4">
        <f>SUMIF(PadreInput!$O:$O,$A4&amp;"_"&amp;AD$3,PadreInput!$P:$P)</f>
        <v>28255.7</v>
      </c>
      <c r="AE4">
        <f>SUMIF(PadreInput!$O:$O,$A4&amp;"_"&amp;AE$3,PadreInput!$P:$P)</f>
        <v>30037.399999999998</v>
      </c>
      <c r="AF4">
        <f>SUMIF(PadreInput!$O:$O,$A4&amp;"_"&amp;AF$3,PadreInput!$P:$P)</f>
        <v>33158.6</v>
      </c>
      <c r="AG4">
        <f>SUMIF(PadreInput!$O:$O,$A4&amp;"_"&amp;AG$3,PadreInput!$P:$P)</f>
        <v>0</v>
      </c>
      <c r="AH4">
        <f>SUMIF(PadreInput!$O:$O,$A4&amp;"_"&amp;AH$3,PadreInput!$P:$P)</f>
        <v>0</v>
      </c>
      <c r="AI4">
        <f>SUMIF(PadreInput!$O:$O,$A4&amp;"_"&amp;AI$3,PadreInput!$P:$P)</f>
        <v>0</v>
      </c>
      <c r="AJ4">
        <f>SUMIF(PadreInput!$O:$O,$A4&amp;"_"&amp;AJ$3,PadreInput!$P:$P)</f>
        <v>0</v>
      </c>
      <c r="AK4">
        <f>SUMIF(PadreInput!$O:$O,$A4&amp;"_"&amp;AK$3,PadreInput!$P:$P)</f>
        <v>0</v>
      </c>
      <c r="AL4">
        <f>SUMIF(PadreInput!$O:$O,$A4&amp;"_"&amp;AL$3,PadreInput!$P:$P)</f>
        <v>0</v>
      </c>
      <c r="AM4">
        <f>SUMIF(PadreInput!$O:$O,$A4&amp;"_"&amp;AM$3,PadreInput!$P:$P)</f>
        <v>0</v>
      </c>
      <c r="AN4">
        <f>SUMIF(PadreInput!$O:$O,$A4&amp;"_"&amp;AN$3,PadreInput!$P:$P)</f>
        <v>0</v>
      </c>
      <c r="AO4">
        <f>SUMIF(PadreInput!$O:$O,$A4&amp;"_"&amp;AO$3,PadreInput!$P:$P)</f>
        <v>0</v>
      </c>
      <c r="AP4">
        <f>SUMIF(PadreInput!$O:$O,$A4&amp;"_"&amp;AP$3,PadreInput!$P:$P)</f>
        <v>0</v>
      </c>
      <c r="AQ4">
        <f>SUMIF(PadreInput!$O:$O,$A4&amp;"_"&amp;AQ$3,PadreInput!$P:$P)</f>
        <v>0</v>
      </c>
      <c r="AR4">
        <f>SUMIF(PadreInput!$O:$O,$A4&amp;"_"&amp;AR$3,PadreInput!$P:$P)</f>
        <v>0</v>
      </c>
      <c r="AS4">
        <f>SUMIF(PadreInput!$O:$O,$A4&amp;"_"&amp;AS$3,PadreInput!$P:$P)</f>
        <v>0</v>
      </c>
      <c r="AT4">
        <f>SUMIF(PadreInput!$O:$O,$A4&amp;"_"&amp;AT$3,PadreInput!$P:$P)</f>
        <v>0</v>
      </c>
      <c r="AU4">
        <f>SUMIF(PadreInput!$O:$O,$A4&amp;"_"&amp;AU$3,PadreInput!$P:$P)</f>
        <v>0</v>
      </c>
      <c r="AV4">
        <f>SUMIF(PadreInput!$O:$O,$A4&amp;"_"&amp;AV$3,PadreInput!$P:$P)</f>
        <v>0</v>
      </c>
      <c r="AW4">
        <f>SUMIF(PadreInput!$O:$O,$A4&amp;"_"&amp;AW$3,PadreInput!$P:$P)</f>
        <v>0</v>
      </c>
      <c r="AX4">
        <f>SUMIF(PadreInput!$O:$O,$A4&amp;"_"&amp;AX$3,PadreInput!$P:$P)</f>
        <v>0</v>
      </c>
      <c r="AY4">
        <f>SUMIF(PadreInput!$O:$O,$A4&amp;"_"&amp;AY$3,PadreInput!$P:$P)</f>
        <v>0</v>
      </c>
      <c r="AZ4">
        <f>SUMIF(PadreInput!$O:$O,$A4&amp;"_"&amp;AZ$3,PadreInput!$P:$P)</f>
        <v>0</v>
      </c>
      <c r="BA4">
        <f>SUMIF(PadreInput!$O:$O,$A4&amp;"_"&amp;BA$3,PadreInput!$P:$P)</f>
        <v>0</v>
      </c>
      <c r="BB4">
        <f>SUMIF(PadreInput!$O:$O,$A4&amp;"_"&amp;BB$3,PadreInput!$P:$P)</f>
        <v>0</v>
      </c>
      <c r="BC4">
        <f>SUMIF(PadreInput!$O:$O,$A4&amp;"_"&amp;BC$3,PadreInput!$P:$P)</f>
        <v>0</v>
      </c>
      <c r="BD4">
        <f>SUMIF(PadreInput!$O:$O,$A4&amp;"_"&amp;BD$3,PadreInput!$P:$P)</f>
        <v>0</v>
      </c>
      <c r="BE4">
        <f>SUMIF(PadreInput!$O:$O,$A4&amp;"_"&amp;BE$3,PadreInput!$P:$P)</f>
        <v>0</v>
      </c>
      <c r="BF4">
        <f>SUMIF(PadreInput!$O:$O,$A4&amp;"_"&amp;BF$3,PadreInput!$P:$P)</f>
        <v>0</v>
      </c>
      <c r="BG4">
        <f>SUMIF(PadreInput!$O:$O,$A4&amp;"_"&amp;BG$3,PadreInput!$P:$P)</f>
        <v>0</v>
      </c>
      <c r="BH4">
        <f>SUMIF(PadreInput!$O:$O,$A4&amp;"_"&amp;BH$3,PadreInput!$P:$P)</f>
        <v>0</v>
      </c>
      <c r="BI4">
        <f>SUMIF(PadreInput!$O:$O,$A4&amp;"_"&amp;BI$3,PadreInput!$P:$P)</f>
        <v>0</v>
      </c>
      <c r="BJ4">
        <f>SUMIF(PadreInput!$O:$O,$A4&amp;"_"&amp;BJ$3,PadreInput!$P:$P)</f>
        <v>0</v>
      </c>
      <c r="BK4">
        <f>SUMIF(PadreInput!$O:$O,$A4&amp;"_"&amp;BK$3,PadreInput!$P:$P)</f>
        <v>0</v>
      </c>
      <c r="BL4">
        <f>SUMIF(PadreInput!$O:$O,$A4&amp;"_"&amp;BL$3,PadreInput!$P:$P)</f>
        <v>0</v>
      </c>
      <c r="BM4">
        <f>SUMIF(PadreInput!$O:$O,$A4&amp;"_"&amp;BM$3,PadreInput!$P:$P)</f>
        <v>0</v>
      </c>
      <c r="BN4">
        <f>SUMIF(PadreInput!$O:$O,$A4&amp;"_"&amp;BN$3,PadreInput!$P:$P)</f>
        <v>0</v>
      </c>
      <c r="BO4">
        <f>SUMIF(PadreInput!$O:$O,$A4&amp;"_"&amp;BO$3,PadreInput!$P:$P)</f>
        <v>0</v>
      </c>
      <c r="BP4">
        <f>SUMIF(PadreInput!$O:$O,$A4&amp;"_"&amp;BP$3,PadreInput!$P:$P)</f>
        <v>0</v>
      </c>
      <c r="BQ4">
        <f>SUMIF(PadreInput!$O:$O,$A4&amp;"_"&amp;BQ$3,PadreInput!$P:$P)</f>
        <v>0</v>
      </c>
      <c r="BR4">
        <f>SUMIF(PadreInput!$O:$O,$A4&amp;"_"&amp;BR$3,PadreInput!$P:$P)</f>
        <v>0</v>
      </c>
      <c r="BS4">
        <f>SUMIF(PadreInput!$O:$O,$A4&amp;"_"&amp;BS$3,PadreInput!$P:$P)</f>
        <v>0</v>
      </c>
      <c r="BT4">
        <f>SUMIF(PadreInput!$O:$O,$A4&amp;"_"&amp;BT$3,PadreInput!$P:$P)</f>
        <v>0</v>
      </c>
      <c r="BU4">
        <f>SUMIF(PadreInput!$O:$O,$A4&amp;"_"&amp;BU$3,PadreInput!$P:$P)</f>
        <v>0</v>
      </c>
      <c r="BV4">
        <f>SUMIF(PadreInput!$O:$O,$A4&amp;"_"&amp;BV$3,PadreInput!$P:$P)</f>
        <v>0</v>
      </c>
      <c r="BW4">
        <f>SUMIF(PadreInput!$O:$O,$A4&amp;"_"&amp;BW$3,PadreInput!$P:$P)</f>
        <v>0</v>
      </c>
      <c r="BX4">
        <f>SUMIF(PadreInput!$O:$O,$A4&amp;"_"&amp;BX$3,PadreInput!$P:$P)</f>
        <v>0</v>
      </c>
      <c r="BY4">
        <f>SUMIF(PadreInput!$O:$O,$A4&amp;"_"&amp;BY$3,PadreInput!$P:$P)</f>
        <v>0</v>
      </c>
      <c r="BZ4">
        <f>SUMIF(PadreInput!$O:$O,$A4&amp;"_"&amp;BZ$3,PadreInput!$P:$P)</f>
        <v>0</v>
      </c>
      <c r="CA4">
        <f>SUMIF(PadreInput!$O:$O,$A4&amp;"_"&amp;CA$3,PadreInput!$P:$P)</f>
        <v>0</v>
      </c>
      <c r="CB4">
        <f>SUMIF(PadreInput!$O:$O,$A4&amp;"_"&amp;CB$3,PadreInput!$P:$P)</f>
        <v>0</v>
      </c>
      <c r="CC4">
        <f>SUMIF(PadreInput!$O:$O,$A4&amp;"_"&amp;CC$3,PadreInput!$P:$P)</f>
        <v>0</v>
      </c>
      <c r="CD4">
        <f>SUMIF(PadreInput!$O:$O,$A4&amp;"_"&amp;CD$3,PadreInput!$P:$P)</f>
        <v>0</v>
      </c>
      <c r="CE4">
        <f>SUMIF(PadreInput!$O:$O,$A4&amp;"_"&amp;CE$3,PadreInput!$P:$P)</f>
        <v>0</v>
      </c>
      <c r="CF4">
        <f>SUMIF(PadreInput!$O:$O,$A4&amp;"_"&amp;CF$3,PadreInput!$P:$P)</f>
        <v>0</v>
      </c>
      <c r="CG4">
        <f>SUMIF(PadreInput!$O:$O,$A4&amp;"_"&amp;CG$3,PadreInput!$P:$P)</f>
        <v>0</v>
      </c>
      <c r="CH4">
        <f>SUMIF(PadreInput!$O:$O,$A4&amp;"_"&amp;CH$3,PadreInput!$P:$P)</f>
        <v>0</v>
      </c>
      <c r="CI4">
        <f>SUMIF(PadreInput!$O:$O,$A4&amp;"_"&amp;CI$3,PadreInput!$P:$P)</f>
        <v>0</v>
      </c>
      <c r="CJ4">
        <f>SUMIF(PadreInput!$O:$O,$A4&amp;"_"&amp;CJ$3,PadreInput!$P:$P)</f>
        <v>0</v>
      </c>
      <c r="CK4">
        <f>SUMIF(PadreInput!$O:$O,$A4&amp;"_"&amp;CK$3,PadreInput!$P:$P)</f>
        <v>0</v>
      </c>
      <c r="CL4">
        <f>SUMIF(PadreInput!$O:$O,$A4&amp;"_"&amp;CL$3,PadreInput!$P:$P)</f>
        <v>0</v>
      </c>
      <c r="CM4">
        <f>SUMIF(PadreInput!$O:$O,$A4&amp;"_"&amp;CM$3,PadreInput!$P:$P)</f>
        <v>0</v>
      </c>
      <c r="CN4">
        <f>SUMIF(PadreInput!$O:$O,$A4&amp;"_"&amp;CN$3,PadreInput!$P:$P)</f>
        <v>0</v>
      </c>
    </row>
    <row r="5" spans="1:92" x14ac:dyDescent="0.25">
      <c r="A5" t="s">
        <v>140</v>
      </c>
      <c r="B5">
        <f>SUMIF(PadreInput!$O:$O,$A5&amp;"_"&amp;B$3,PadreInput!$P:$P)</f>
        <v>0</v>
      </c>
      <c r="C5">
        <f>SUMIF(PadreInput!$O:$O,$A5&amp;"_"&amp;C$3,PadreInput!$P:$P)</f>
        <v>0</v>
      </c>
      <c r="D5">
        <f>SUMIF(PadreInput!$O:$O,$A5&amp;"_"&amp;D$3,PadreInput!$P:$P)</f>
        <v>0</v>
      </c>
      <c r="E5">
        <f>SUMIF(PadreInput!$O:$O,$A5&amp;"_"&amp;E$3,PadreInput!$P:$P)</f>
        <v>0</v>
      </c>
      <c r="F5">
        <f>SUMIF(PadreInput!$O:$O,$A5&amp;"_"&amp;F$3,PadreInput!$P:$P)</f>
        <v>0</v>
      </c>
      <c r="G5">
        <f>SUMIF(PadreInput!$O:$O,$A5&amp;"_"&amp;G$3,PadreInput!$P:$P)</f>
        <v>0</v>
      </c>
      <c r="H5">
        <f>SUMIF(PadreInput!$O:$O,$A5&amp;"_"&amp;H$3,PadreInput!$P:$P)</f>
        <v>0</v>
      </c>
      <c r="I5">
        <f>SUMIF(PadreInput!$O:$O,$A5&amp;"_"&amp;I$3,PadreInput!$P:$P)</f>
        <v>0</v>
      </c>
      <c r="J5">
        <f>SUMIF(PadreInput!$O:$O,$A5&amp;"_"&amp;J$3,PadreInput!$P:$P)</f>
        <v>0</v>
      </c>
      <c r="K5">
        <f>SUMIF(PadreInput!$O:$O,$A5&amp;"_"&amp;K$3,PadreInput!$P:$P)</f>
        <v>0</v>
      </c>
      <c r="L5">
        <f>SUMIF(PadreInput!$O:$O,$A5&amp;"_"&amp;L$3,PadreInput!$P:$P)</f>
        <v>0</v>
      </c>
      <c r="M5">
        <f>SUMIF(PadreInput!$O:$O,$A5&amp;"_"&amp;M$3,PadreInput!$P:$P)</f>
        <v>57236.335861240004</v>
      </c>
      <c r="N5">
        <f>SUMIF(PadreInput!$O:$O,$A5&amp;"_"&amp;N$3,PadreInput!$P:$P)</f>
        <v>59203.510125009998</v>
      </c>
      <c r="O5">
        <f>SUMIF(PadreInput!$O:$O,$A5&amp;"_"&amp;O$3,PadreInput!$P:$P)</f>
        <v>61326.800124990004</v>
      </c>
      <c r="P5">
        <f>SUMIF(PadreInput!$O:$O,$A5&amp;"_"&amp;P$3,PadreInput!$P:$P)</f>
        <v>63763.14531249</v>
      </c>
      <c r="Q5">
        <f>SUMIF(PadreInput!$O:$O,$A5&amp;"_"&amp;Q$3,PadreInput!$P:$P)</f>
        <v>65523.04849999</v>
      </c>
      <c r="R5">
        <f>SUMIF(PadreInput!$O:$O,$A5&amp;"_"&amp;R$3,PadreInput!$P:$P)</f>
        <v>67090.717500009996</v>
      </c>
      <c r="S5">
        <f>SUMIF(PadreInput!$O:$O,$A5&amp;"_"&amp;S$3,PadreInput!$P:$P)</f>
        <v>68091.352500009991</v>
      </c>
      <c r="T5">
        <f>SUMIF(PadreInput!$O:$O,$A5&amp;"_"&amp;T$3,PadreInput!$P:$P)</f>
        <v>68751.767749999999</v>
      </c>
      <c r="U5">
        <f>SUMIF(PadreInput!$O:$O,$A5&amp;"_"&amp;U$3,PadreInput!$P:$P)</f>
        <v>69655.732749989998</v>
      </c>
      <c r="V5">
        <f>SUMIF(PadreInput!$O:$O,$A5&amp;"_"&amp;V$3,PadreInput!$P:$P)</f>
        <v>70738.084249990003</v>
      </c>
      <c r="W5">
        <f>SUMIF(PadreInput!$O:$O,$A5&amp;"_"&amp;W$3,PadreInput!$P:$P)</f>
        <v>71461.623000009989</v>
      </c>
      <c r="X5">
        <f>SUMIF(PadreInput!$O:$O,$A5&amp;"_"&amp;X$3,PadreInput!$P:$P)</f>
        <v>71706.53874999001</v>
      </c>
      <c r="Y5">
        <f>SUMIF(PadreInput!$O:$O,$A5&amp;"_"&amp;Y$3,PadreInput!$P:$P)</f>
        <v>71289.24074999</v>
      </c>
      <c r="Z5">
        <f>SUMIF(PadreInput!$O:$O,$A5&amp;"_"&amp;Z$3,PadreInput!$P:$P)</f>
        <v>71017.870147499998</v>
      </c>
      <c r="AA5">
        <f>SUMIF(PadreInput!$O:$O,$A5&amp;"_"&amp;AA$3,PadreInput!$P:$P)</f>
        <v>70461.989465019986</v>
      </c>
      <c r="AB5">
        <f>SUMIF(PadreInput!$O:$O,$A5&amp;"_"&amp;AB$3,PadreInput!$P:$P)</f>
        <v>69623.490550739996</v>
      </c>
      <c r="AC5">
        <f>SUMIF(PadreInput!$O:$O,$A5&amp;"_"&amp;AC$3,PadreInput!$P:$P)</f>
        <v>69002.036695760005</v>
      </c>
      <c r="AD5">
        <f>SUMIF(PadreInput!$O:$O,$A5&amp;"_"&amp;AD$3,PadreInput!$P:$P)</f>
        <v>69055.99742499998</v>
      </c>
      <c r="AE5">
        <f>SUMIF(PadreInput!$O:$O,$A5&amp;"_"&amp;AE$3,PadreInput!$P:$P)</f>
        <v>69637.165925009991</v>
      </c>
      <c r="AF5">
        <f>SUMIF(PadreInput!$O:$O,$A5&amp;"_"&amp;AF$3,PadreInput!$P:$P)</f>
        <v>69051.417924979993</v>
      </c>
      <c r="AG5">
        <f>SUMIF(PadreInput!$O:$O,$A5&amp;"_"&amp;AG$3,PadreInput!$P:$P)</f>
        <v>0</v>
      </c>
      <c r="AH5">
        <f>SUMIF(PadreInput!$O:$O,$A5&amp;"_"&amp;AH$3,PadreInput!$P:$P)</f>
        <v>0</v>
      </c>
      <c r="AI5">
        <f>SUMIF(PadreInput!$O:$O,$A5&amp;"_"&amp;AI$3,PadreInput!$P:$P)</f>
        <v>0</v>
      </c>
      <c r="AJ5">
        <f>SUMIF(PadreInput!$O:$O,$A5&amp;"_"&amp;AJ$3,PadreInput!$P:$P)</f>
        <v>0</v>
      </c>
      <c r="AK5">
        <f>SUMIF(PadreInput!$O:$O,$A5&amp;"_"&amp;AK$3,PadreInput!$P:$P)</f>
        <v>0</v>
      </c>
      <c r="AL5">
        <f>SUMIF(PadreInput!$O:$O,$A5&amp;"_"&amp;AL$3,PadreInput!$P:$P)</f>
        <v>0</v>
      </c>
      <c r="AM5">
        <f>SUMIF(PadreInput!$O:$O,$A5&amp;"_"&amp;AM$3,PadreInput!$P:$P)</f>
        <v>0</v>
      </c>
      <c r="AN5">
        <f>SUMIF(PadreInput!$O:$O,$A5&amp;"_"&amp;AN$3,PadreInput!$P:$P)</f>
        <v>0</v>
      </c>
      <c r="AO5">
        <f>SUMIF(PadreInput!$O:$O,$A5&amp;"_"&amp;AO$3,PadreInput!$P:$P)</f>
        <v>0</v>
      </c>
      <c r="AP5">
        <f>SUMIF(PadreInput!$O:$O,$A5&amp;"_"&amp;AP$3,PadreInput!$P:$P)</f>
        <v>0</v>
      </c>
      <c r="AQ5">
        <f>SUMIF(PadreInput!$O:$O,$A5&amp;"_"&amp;AQ$3,PadreInput!$P:$P)</f>
        <v>0</v>
      </c>
      <c r="AR5">
        <f>SUMIF(PadreInput!$O:$O,$A5&amp;"_"&amp;AR$3,PadreInput!$P:$P)</f>
        <v>0</v>
      </c>
      <c r="AS5">
        <f>SUMIF(PadreInput!$O:$O,$A5&amp;"_"&amp;AS$3,PadreInput!$P:$P)</f>
        <v>0</v>
      </c>
      <c r="AT5">
        <f>SUMIF(PadreInput!$O:$O,$A5&amp;"_"&amp;AT$3,PadreInput!$P:$P)</f>
        <v>0</v>
      </c>
      <c r="AU5">
        <f>SUMIF(PadreInput!$O:$O,$A5&amp;"_"&amp;AU$3,PadreInput!$P:$P)</f>
        <v>0</v>
      </c>
      <c r="AV5">
        <f>SUMIF(PadreInput!$O:$O,$A5&amp;"_"&amp;AV$3,PadreInput!$P:$P)</f>
        <v>0</v>
      </c>
      <c r="AW5">
        <f>SUMIF(PadreInput!$O:$O,$A5&amp;"_"&amp;AW$3,PadreInput!$P:$P)</f>
        <v>0</v>
      </c>
      <c r="AX5">
        <f>SUMIF(PadreInput!$O:$O,$A5&amp;"_"&amp;AX$3,PadreInput!$P:$P)</f>
        <v>0</v>
      </c>
      <c r="AY5">
        <f>SUMIF(PadreInput!$O:$O,$A5&amp;"_"&amp;AY$3,PadreInput!$P:$P)</f>
        <v>0</v>
      </c>
      <c r="AZ5">
        <f>SUMIF(PadreInput!$O:$O,$A5&amp;"_"&amp;AZ$3,PadreInput!$P:$P)</f>
        <v>0</v>
      </c>
      <c r="BA5">
        <f>SUMIF(PadreInput!$O:$O,$A5&amp;"_"&amp;BA$3,PadreInput!$P:$P)</f>
        <v>0</v>
      </c>
      <c r="BB5">
        <f>SUMIF(PadreInput!$O:$O,$A5&amp;"_"&amp;BB$3,PadreInput!$P:$P)</f>
        <v>0</v>
      </c>
      <c r="BC5">
        <f>SUMIF(PadreInput!$O:$O,$A5&amp;"_"&amp;BC$3,PadreInput!$P:$P)</f>
        <v>0</v>
      </c>
      <c r="BD5">
        <f>SUMIF(PadreInput!$O:$O,$A5&amp;"_"&amp;BD$3,PadreInput!$P:$P)</f>
        <v>0</v>
      </c>
      <c r="BE5">
        <f>SUMIF(PadreInput!$O:$O,$A5&amp;"_"&amp;BE$3,PadreInput!$P:$P)</f>
        <v>0</v>
      </c>
      <c r="BF5">
        <f>SUMIF(PadreInput!$O:$O,$A5&amp;"_"&amp;BF$3,PadreInput!$P:$P)</f>
        <v>0</v>
      </c>
      <c r="BG5">
        <f>SUMIF(PadreInput!$O:$O,$A5&amp;"_"&amp;BG$3,PadreInput!$P:$P)</f>
        <v>0</v>
      </c>
      <c r="BH5">
        <f>SUMIF(PadreInput!$O:$O,$A5&amp;"_"&amp;BH$3,PadreInput!$P:$P)</f>
        <v>0</v>
      </c>
      <c r="BI5">
        <f>SUMIF(PadreInput!$O:$O,$A5&amp;"_"&amp;BI$3,PadreInput!$P:$P)</f>
        <v>0</v>
      </c>
      <c r="BJ5">
        <f>SUMIF(PadreInput!$O:$O,$A5&amp;"_"&amp;BJ$3,PadreInput!$P:$P)</f>
        <v>0</v>
      </c>
      <c r="BK5">
        <f>SUMIF(PadreInput!$O:$O,$A5&amp;"_"&amp;BK$3,PadreInput!$P:$P)</f>
        <v>0</v>
      </c>
      <c r="BL5">
        <f>SUMIF(PadreInput!$O:$O,$A5&amp;"_"&amp;BL$3,PadreInput!$P:$P)</f>
        <v>0</v>
      </c>
      <c r="BM5">
        <f>SUMIF(PadreInput!$O:$O,$A5&amp;"_"&amp;BM$3,PadreInput!$P:$P)</f>
        <v>0</v>
      </c>
      <c r="BN5">
        <f>SUMIF(PadreInput!$O:$O,$A5&amp;"_"&amp;BN$3,PadreInput!$P:$P)</f>
        <v>0</v>
      </c>
      <c r="BO5">
        <f>SUMIF(PadreInput!$O:$O,$A5&amp;"_"&amp;BO$3,PadreInput!$P:$P)</f>
        <v>0</v>
      </c>
      <c r="BP5">
        <f>SUMIF(PadreInput!$O:$O,$A5&amp;"_"&amp;BP$3,PadreInput!$P:$P)</f>
        <v>0</v>
      </c>
      <c r="BQ5">
        <f>SUMIF(PadreInput!$O:$O,$A5&amp;"_"&amp;BQ$3,PadreInput!$P:$P)</f>
        <v>0</v>
      </c>
      <c r="BR5">
        <f>SUMIF(PadreInput!$O:$O,$A5&amp;"_"&amp;BR$3,PadreInput!$P:$P)</f>
        <v>0</v>
      </c>
      <c r="BS5">
        <f>SUMIF(PadreInput!$O:$O,$A5&amp;"_"&amp;BS$3,PadreInput!$P:$P)</f>
        <v>0</v>
      </c>
      <c r="BT5">
        <f>SUMIF(PadreInput!$O:$O,$A5&amp;"_"&amp;BT$3,PadreInput!$P:$P)</f>
        <v>0</v>
      </c>
      <c r="BU5">
        <f>SUMIF(PadreInput!$O:$O,$A5&amp;"_"&amp;BU$3,PadreInput!$P:$P)</f>
        <v>0</v>
      </c>
      <c r="BV5">
        <f>SUMIF(PadreInput!$O:$O,$A5&amp;"_"&amp;BV$3,PadreInput!$P:$P)</f>
        <v>0</v>
      </c>
      <c r="BW5">
        <f>SUMIF(PadreInput!$O:$O,$A5&amp;"_"&amp;BW$3,PadreInput!$P:$P)</f>
        <v>0</v>
      </c>
      <c r="BX5">
        <f>SUMIF(PadreInput!$O:$O,$A5&amp;"_"&amp;BX$3,PadreInput!$P:$P)</f>
        <v>0</v>
      </c>
      <c r="BY5">
        <f>SUMIF(PadreInput!$O:$O,$A5&amp;"_"&amp;BY$3,PadreInput!$P:$P)</f>
        <v>0</v>
      </c>
      <c r="BZ5">
        <f>SUMIF(PadreInput!$O:$O,$A5&amp;"_"&amp;BZ$3,PadreInput!$P:$P)</f>
        <v>0</v>
      </c>
      <c r="CA5">
        <f>SUMIF(PadreInput!$O:$O,$A5&amp;"_"&amp;CA$3,PadreInput!$P:$P)</f>
        <v>0</v>
      </c>
      <c r="CB5">
        <f>SUMIF(PadreInput!$O:$O,$A5&amp;"_"&amp;CB$3,PadreInput!$P:$P)</f>
        <v>0</v>
      </c>
      <c r="CC5">
        <f>SUMIF(PadreInput!$O:$O,$A5&amp;"_"&amp;CC$3,PadreInput!$P:$P)</f>
        <v>0</v>
      </c>
      <c r="CD5">
        <f>SUMIF(PadreInput!$O:$O,$A5&amp;"_"&amp;CD$3,PadreInput!$P:$P)</f>
        <v>0</v>
      </c>
      <c r="CE5">
        <f>SUMIF(PadreInput!$O:$O,$A5&amp;"_"&amp;CE$3,PadreInput!$P:$P)</f>
        <v>0</v>
      </c>
      <c r="CF5">
        <f>SUMIF(PadreInput!$O:$O,$A5&amp;"_"&amp;CF$3,PadreInput!$P:$P)</f>
        <v>0</v>
      </c>
      <c r="CG5">
        <f>SUMIF(PadreInput!$O:$O,$A5&amp;"_"&amp;CG$3,PadreInput!$P:$P)</f>
        <v>0</v>
      </c>
      <c r="CH5">
        <f>SUMIF(PadreInput!$O:$O,$A5&amp;"_"&amp;CH$3,PadreInput!$P:$P)</f>
        <v>0</v>
      </c>
      <c r="CI5">
        <f>SUMIF(PadreInput!$O:$O,$A5&amp;"_"&amp;CI$3,PadreInput!$P:$P)</f>
        <v>0</v>
      </c>
      <c r="CJ5">
        <f>SUMIF(PadreInput!$O:$O,$A5&amp;"_"&amp;CJ$3,PadreInput!$P:$P)</f>
        <v>0</v>
      </c>
      <c r="CK5">
        <f>SUMIF(PadreInput!$O:$O,$A5&amp;"_"&amp;CK$3,PadreInput!$P:$P)</f>
        <v>0</v>
      </c>
      <c r="CL5">
        <f>SUMIF(PadreInput!$O:$O,$A5&amp;"_"&amp;CL$3,PadreInput!$P:$P)</f>
        <v>0</v>
      </c>
      <c r="CM5">
        <f>SUMIF(PadreInput!$O:$O,$A5&amp;"_"&amp;CM$3,PadreInput!$P:$P)</f>
        <v>0</v>
      </c>
      <c r="CN5">
        <f>SUMIF(PadreInput!$O:$O,$A5&amp;"_"&amp;CN$3,PadreInput!$P:$P)</f>
        <v>0</v>
      </c>
    </row>
    <row r="6" spans="1:92" x14ac:dyDescent="0.25">
      <c r="A6" t="s">
        <v>141</v>
      </c>
      <c r="B6">
        <f>SUMIF(PadreInput!$O:$O,$A6&amp;"_"&amp;B$3,PadreInput!$P:$P)</f>
        <v>0</v>
      </c>
      <c r="C6">
        <f>SUMIF(PadreInput!$O:$O,$A6&amp;"_"&amp;C$3,PadreInput!$P:$P)</f>
        <v>0</v>
      </c>
      <c r="D6">
        <f>SUMIF(PadreInput!$O:$O,$A6&amp;"_"&amp;D$3,PadreInput!$P:$P)</f>
        <v>0</v>
      </c>
      <c r="E6">
        <f>SUMIF(PadreInput!$O:$O,$A6&amp;"_"&amp;E$3,PadreInput!$P:$P)</f>
        <v>0</v>
      </c>
      <c r="F6">
        <f>SUMIF(PadreInput!$O:$O,$A6&amp;"_"&amp;F$3,PadreInput!$P:$P)</f>
        <v>0</v>
      </c>
      <c r="G6">
        <f>SUMIF(PadreInput!$O:$O,$A6&amp;"_"&amp;G$3,PadreInput!$P:$P)</f>
        <v>0</v>
      </c>
      <c r="H6">
        <f>SUMIF(PadreInput!$O:$O,$A6&amp;"_"&amp;H$3,PadreInput!$P:$P)</f>
        <v>0</v>
      </c>
      <c r="I6">
        <f>SUMIF(PadreInput!$O:$O,$A6&amp;"_"&amp;I$3,PadreInput!$P:$P)</f>
        <v>0</v>
      </c>
      <c r="J6">
        <f>SUMIF(PadreInput!$O:$O,$A6&amp;"_"&amp;J$3,PadreInput!$P:$P)</f>
        <v>0</v>
      </c>
      <c r="K6">
        <f>SUMIF(PadreInput!$O:$O,$A6&amp;"_"&amp;K$3,PadreInput!$P:$P)</f>
        <v>0</v>
      </c>
      <c r="L6">
        <f>SUMIF(PadreInput!$O:$O,$A6&amp;"_"&amp;L$3,PadreInput!$P:$P)</f>
        <v>0</v>
      </c>
      <c r="M6">
        <f>SUMIF(PadreInput!$O:$O,$A6&amp;"_"&amp;M$3,PadreInput!$P:$P)</f>
        <v>52935.340922999996</v>
      </c>
      <c r="N6">
        <f>SUMIF(PadreInput!$O:$O,$A6&amp;"_"&amp;N$3,PadreInput!$P:$P)</f>
        <v>55649.840922989999</v>
      </c>
      <c r="O6">
        <f>SUMIF(PadreInput!$O:$O,$A6&amp;"_"&amp;O$3,PadreInput!$P:$P)</f>
        <v>58149.840923000003</v>
      </c>
      <c r="P6">
        <f>SUMIF(PadreInput!$O:$O,$A6&amp;"_"&amp;P$3,PadreInput!$P:$P)</f>
        <v>60649.840922989999</v>
      </c>
      <c r="Q6">
        <f>SUMIF(PadreInput!$O:$O,$A6&amp;"_"&amp;Q$3,PadreInput!$P:$P)</f>
        <v>63150.140922999999</v>
      </c>
      <c r="R6">
        <f>SUMIF(PadreInput!$O:$O,$A6&amp;"_"&amp;R$3,PadreInput!$P:$P)</f>
        <v>65650.140922990002</v>
      </c>
      <c r="S6">
        <f>SUMIF(PadreInput!$O:$O,$A6&amp;"_"&amp;S$3,PadreInput!$P:$P)</f>
        <v>68150.140922990002</v>
      </c>
      <c r="T6">
        <f>SUMIF(PadreInput!$O:$O,$A6&amp;"_"&amp;T$3,PadreInput!$P:$P)</f>
        <v>70650.140922990002</v>
      </c>
      <c r="U6">
        <f>SUMIF(PadreInput!$O:$O,$A6&amp;"_"&amp;U$3,PadreInput!$P:$P)</f>
        <v>73150.140922999999</v>
      </c>
      <c r="V6">
        <f>SUMIF(PadreInput!$O:$O,$A6&amp;"_"&amp;V$3,PadreInput!$P:$P)</f>
        <v>75650.140922999984</v>
      </c>
      <c r="W6">
        <f>SUMIF(PadreInput!$O:$O,$A6&amp;"_"&amp;W$3,PadreInput!$P:$P)</f>
        <v>78150.140922999984</v>
      </c>
      <c r="X6">
        <f>SUMIF(PadreInput!$O:$O,$A6&amp;"_"&amp;X$3,PadreInput!$P:$P)</f>
        <v>80650.140922989987</v>
      </c>
      <c r="Y6">
        <f>SUMIF(PadreInput!$O:$O,$A6&amp;"_"&amp;Y$3,PadreInput!$P:$P)</f>
        <v>83150.140922999999</v>
      </c>
      <c r="Z6">
        <f>SUMIF(PadreInput!$O:$O,$A6&amp;"_"&amp;Z$3,PadreInput!$P:$P)</f>
        <v>85650.140922999999</v>
      </c>
      <c r="AA6">
        <f>SUMIF(PadreInput!$O:$O,$A6&amp;"_"&amp;AA$3,PadreInput!$P:$P)</f>
        <v>88150.140922999999</v>
      </c>
      <c r="AB6">
        <f>SUMIF(PadreInput!$O:$O,$A6&amp;"_"&amp;AB$3,PadreInput!$P:$P)</f>
        <v>90650.140922990002</v>
      </c>
      <c r="AC6">
        <f>SUMIF(PadreInput!$O:$O,$A6&amp;"_"&amp;AC$3,PadreInput!$P:$P)</f>
        <v>93150.140922980019</v>
      </c>
      <c r="AD6">
        <f>SUMIF(PadreInput!$O:$O,$A6&amp;"_"&amp;AD$3,PadreInput!$P:$P)</f>
        <v>95650.140923000014</v>
      </c>
      <c r="AE6">
        <f>SUMIF(PadreInput!$O:$O,$A6&amp;"_"&amp;AE$3,PadreInput!$P:$P)</f>
        <v>98150.140922990002</v>
      </c>
      <c r="AF6">
        <f>SUMIF(PadreInput!$O:$O,$A6&amp;"_"&amp;AF$3,PadreInput!$P:$P)</f>
        <v>100650.14092300001</v>
      </c>
      <c r="AG6">
        <f>SUMIF(PadreInput!$O:$O,$A6&amp;"_"&amp;AG$3,PadreInput!$P:$P)</f>
        <v>0</v>
      </c>
      <c r="AH6">
        <f>SUMIF(PadreInput!$O:$O,$A6&amp;"_"&amp;AH$3,PadreInput!$P:$P)</f>
        <v>0</v>
      </c>
      <c r="AI6">
        <f>SUMIF(PadreInput!$O:$O,$A6&amp;"_"&amp;AI$3,PadreInput!$P:$P)</f>
        <v>0</v>
      </c>
      <c r="AJ6">
        <f>SUMIF(PadreInput!$O:$O,$A6&amp;"_"&amp;AJ$3,PadreInput!$P:$P)</f>
        <v>0</v>
      </c>
      <c r="AK6">
        <f>SUMIF(PadreInput!$O:$O,$A6&amp;"_"&amp;AK$3,PadreInput!$P:$P)</f>
        <v>0</v>
      </c>
      <c r="AL6">
        <f>SUMIF(PadreInput!$O:$O,$A6&amp;"_"&amp;AL$3,PadreInput!$P:$P)</f>
        <v>0</v>
      </c>
      <c r="AM6">
        <f>SUMIF(PadreInput!$O:$O,$A6&amp;"_"&amp;AM$3,PadreInput!$P:$P)</f>
        <v>0</v>
      </c>
      <c r="AN6">
        <f>SUMIF(PadreInput!$O:$O,$A6&amp;"_"&amp;AN$3,PadreInput!$P:$P)</f>
        <v>0</v>
      </c>
      <c r="AO6">
        <f>SUMIF(PadreInput!$O:$O,$A6&amp;"_"&amp;AO$3,PadreInput!$P:$P)</f>
        <v>0</v>
      </c>
      <c r="AP6">
        <f>SUMIF(PadreInput!$O:$O,$A6&amp;"_"&amp;AP$3,PadreInput!$P:$P)</f>
        <v>0</v>
      </c>
      <c r="AQ6">
        <f>SUMIF(PadreInput!$O:$O,$A6&amp;"_"&amp;AQ$3,PadreInput!$P:$P)</f>
        <v>0</v>
      </c>
      <c r="AR6">
        <f>SUMIF(PadreInput!$O:$O,$A6&amp;"_"&amp;AR$3,PadreInput!$P:$P)</f>
        <v>0</v>
      </c>
      <c r="AS6">
        <f>SUMIF(PadreInput!$O:$O,$A6&amp;"_"&amp;AS$3,PadreInput!$P:$P)</f>
        <v>0</v>
      </c>
      <c r="AT6">
        <f>SUMIF(PadreInput!$O:$O,$A6&amp;"_"&amp;AT$3,PadreInput!$P:$P)</f>
        <v>0</v>
      </c>
      <c r="AU6">
        <f>SUMIF(PadreInput!$O:$O,$A6&amp;"_"&amp;AU$3,PadreInput!$P:$P)</f>
        <v>0</v>
      </c>
      <c r="AV6">
        <f>SUMIF(PadreInput!$O:$O,$A6&amp;"_"&amp;AV$3,PadreInput!$P:$P)</f>
        <v>0</v>
      </c>
      <c r="AW6">
        <f>SUMIF(PadreInput!$O:$O,$A6&amp;"_"&amp;AW$3,PadreInput!$P:$P)</f>
        <v>0</v>
      </c>
      <c r="AX6">
        <f>SUMIF(PadreInput!$O:$O,$A6&amp;"_"&amp;AX$3,PadreInput!$P:$P)</f>
        <v>0</v>
      </c>
      <c r="AY6">
        <f>SUMIF(PadreInput!$O:$O,$A6&amp;"_"&amp;AY$3,PadreInput!$P:$P)</f>
        <v>0</v>
      </c>
      <c r="AZ6">
        <f>SUMIF(PadreInput!$O:$O,$A6&amp;"_"&amp;AZ$3,PadreInput!$P:$P)</f>
        <v>0</v>
      </c>
      <c r="BA6">
        <f>SUMIF(PadreInput!$O:$O,$A6&amp;"_"&amp;BA$3,PadreInput!$P:$P)</f>
        <v>0</v>
      </c>
      <c r="BB6">
        <f>SUMIF(PadreInput!$O:$O,$A6&amp;"_"&amp;BB$3,PadreInput!$P:$P)</f>
        <v>0</v>
      </c>
      <c r="BC6">
        <f>SUMIF(PadreInput!$O:$O,$A6&amp;"_"&amp;BC$3,PadreInput!$P:$P)</f>
        <v>0</v>
      </c>
      <c r="BD6">
        <f>SUMIF(PadreInput!$O:$O,$A6&amp;"_"&amp;BD$3,PadreInput!$P:$P)</f>
        <v>0</v>
      </c>
      <c r="BE6">
        <f>SUMIF(PadreInput!$O:$O,$A6&amp;"_"&amp;BE$3,PadreInput!$P:$P)</f>
        <v>0</v>
      </c>
      <c r="BF6">
        <f>SUMIF(PadreInput!$O:$O,$A6&amp;"_"&amp;BF$3,PadreInput!$P:$P)</f>
        <v>0</v>
      </c>
      <c r="BG6">
        <f>SUMIF(PadreInput!$O:$O,$A6&amp;"_"&amp;BG$3,PadreInput!$P:$P)</f>
        <v>0</v>
      </c>
      <c r="BH6">
        <f>SUMIF(PadreInput!$O:$O,$A6&amp;"_"&amp;BH$3,PadreInput!$P:$P)</f>
        <v>0</v>
      </c>
      <c r="BI6">
        <f>SUMIF(PadreInput!$O:$O,$A6&amp;"_"&amp;BI$3,PadreInput!$P:$P)</f>
        <v>0</v>
      </c>
      <c r="BJ6">
        <f>SUMIF(PadreInput!$O:$O,$A6&amp;"_"&amp;BJ$3,PadreInput!$P:$P)</f>
        <v>0</v>
      </c>
      <c r="BK6">
        <f>SUMIF(PadreInput!$O:$O,$A6&amp;"_"&amp;BK$3,PadreInput!$P:$P)</f>
        <v>0</v>
      </c>
      <c r="BL6">
        <f>SUMIF(PadreInput!$O:$O,$A6&amp;"_"&amp;BL$3,PadreInput!$P:$P)</f>
        <v>0</v>
      </c>
      <c r="BM6">
        <f>SUMIF(PadreInput!$O:$O,$A6&amp;"_"&amp;BM$3,PadreInput!$P:$P)</f>
        <v>0</v>
      </c>
      <c r="BN6">
        <f>SUMIF(PadreInput!$O:$O,$A6&amp;"_"&amp;BN$3,PadreInput!$P:$P)</f>
        <v>0</v>
      </c>
      <c r="BO6">
        <f>SUMIF(PadreInput!$O:$O,$A6&amp;"_"&amp;BO$3,PadreInput!$P:$P)</f>
        <v>0</v>
      </c>
      <c r="BP6">
        <f>SUMIF(PadreInput!$O:$O,$A6&amp;"_"&amp;BP$3,PadreInput!$P:$P)</f>
        <v>0</v>
      </c>
      <c r="BQ6">
        <f>SUMIF(PadreInput!$O:$O,$A6&amp;"_"&amp;BQ$3,PadreInput!$P:$P)</f>
        <v>0</v>
      </c>
      <c r="BR6">
        <f>SUMIF(PadreInput!$O:$O,$A6&amp;"_"&amp;BR$3,PadreInput!$P:$P)</f>
        <v>0</v>
      </c>
      <c r="BS6">
        <f>SUMIF(PadreInput!$O:$O,$A6&amp;"_"&amp;BS$3,PadreInput!$P:$P)</f>
        <v>0</v>
      </c>
      <c r="BT6">
        <f>SUMIF(PadreInput!$O:$O,$A6&amp;"_"&amp;BT$3,PadreInput!$P:$P)</f>
        <v>0</v>
      </c>
      <c r="BU6">
        <f>SUMIF(PadreInput!$O:$O,$A6&amp;"_"&amp;BU$3,PadreInput!$P:$P)</f>
        <v>0</v>
      </c>
      <c r="BV6">
        <f>SUMIF(PadreInput!$O:$O,$A6&amp;"_"&amp;BV$3,PadreInput!$P:$P)</f>
        <v>0</v>
      </c>
      <c r="BW6">
        <f>SUMIF(PadreInput!$O:$O,$A6&amp;"_"&amp;BW$3,PadreInput!$P:$P)</f>
        <v>0</v>
      </c>
      <c r="BX6">
        <f>SUMIF(PadreInput!$O:$O,$A6&amp;"_"&amp;BX$3,PadreInput!$P:$P)</f>
        <v>0</v>
      </c>
      <c r="BY6">
        <f>SUMIF(PadreInput!$O:$O,$A6&amp;"_"&amp;BY$3,PadreInput!$P:$P)</f>
        <v>0</v>
      </c>
      <c r="BZ6">
        <f>SUMIF(PadreInput!$O:$O,$A6&amp;"_"&amp;BZ$3,PadreInput!$P:$P)</f>
        <v>0</v>
      </c>
      <c r="CA6">
        <f>SUMIF(PadreInput!$O:$O,$A6&amp;"_"&amp;CA$3,PadreInput!$P:$P)</f>
        <v>0</v>
      </c>
      <c r="CB6">
        <f>SUMIF(PadreInput!$O:$O,$A6&amp;"_"&amp;CB$3,PadreInput!$P:$P)</f>
        <v>0</v>
      </c>
      <c r="CC6">
        <f>SUMIF(PadreInput!$O:$O,$A6&amp;"_"&amp;CC$3,PadreInput!$P:$P)</f>
        <v>0</v>
      </c>
      <c r="CD6">
        <f>SUMIF(PadreInput!$O:$O,$A6&amp;"_"&amp;CD$3,PadreInput!$P:$P)</f>
        <v>0</v>
      </c>
      <c r="CE6">
        <f>SUMIF(PadreInput!$O:$O,$A6&amp;"_"&amp;CE$3,PadreInput!$P:$P)</f>
        <v>0</v>
      </c>
      <c r="CF6">
        <f>SUMIF(PadreInput!$O:$O,$A6&amp;"_"&amp;CF$3,PadreInput!$P:$P)</f>
        <v>0</v>
      </c>
      <c r="CG6">
        <f>SUMIF(PadreInput!$O:$O,$A6&amp;"_"&amp;CG$3,PadreInput!$P:$P)</f>
        <v>0</v>
      </c>
      <c r="CH6">
        <f>SUMIF(PadreInput!$O:$O,$A6&amp;"_"&amp;CH$3,PadreInput!$P:$P)</f>
        <v>0</v>
      </c>
      <c r="CI6">
        <f>SUMIF(PadreInput!$O:$O,$A6&amp;"_"&amp;CI$3,PadreInput!$P:$P)</f>
        <v>0</v>
      </c>
      <c r="CJ6">
        <f>SUMIF(PadreInput!$O:$O,$A6&amp;"_"&amp;CJ$3,PadreInput!$P:$P)</f>
        <v>0</v>
      </c>
      <c r="CK6">
        <f>SUMIF(PadreInput!$O:$O,$A6&amp;"_"&amp;CK$3,PadreInput!$P:$P)</f>
        <v>0</v>
      </c>
      <c r="CL6">
        <f>SUMIF(PadreInput!$O:$O,$A6&amp;"_"&amp;CL$3,PadreInput!$P:$P)</f>
        <v>0</v>
      </c>
      <c r="CM6">
        <f>SUMIF(PadreInput!$O:$O,$A6&amp;"_"&amp;CM$3,PadreInput!$P:$P)</f>
        <v>0</v>
      </c>
      <c r="CN6">
        <f>SUMIF(PadreInput!$O:$O,$A6&amp;"_"&amp;CN$3,PadreInput!$P:$P)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7A8FC-4BED-46B1-9C89-A754538B866A}">
  <sheetPr codeName="Sheet3"/>
  <dimension ref="A1:CN6"/>
  <sheetViews>
    <sheetView workbookViewId="0">
      <selection activeCell="G5" sqref="G5"/>
    </sheetView>
  </sheetViews>
  <sheetFormatPr defaultRowHeight="15" x14ac:dyDescent="0.25"/>
  <cols>
    <col min="1" max="1" width="10" bestFit="1" customWidth="1"/>
    <col min="2" max="92" width="14" bestFit="1" customWidth="1"/>
  </cols>
  <sheetData>
    <row r="1" spans="1:92" x14ac:dyDescent="0.25">
      <c r="A1" t="s">
        <v>0</v>
      </c>
      <c r="B1" s="1">
        <v>40179</v>
      </c>
      <c r="C1" s="1">
        <v>40544</v>
      </c>
      <c r="D1" s="1">
        <v>40909</v>
      </c>
      <c r="E1" s="1">
        <v>41275</v>
      </c>
      <c r="F1" s="1">
        <v>41640</v>
      </c>
      <c r="G1" s="1">
        <v>42005</v>
      </c>
      <c r="H1" s="1">
        <v>42370</v>
      </c>
      <c r="I1" s="1">
        <v>42736</v>
      </c>
      <c r="J1" s="1">
        <v>43101</v>
      </c>
      <c r="K1" s="1">
        <v>43466</v>
      </c>
      <c r="L1" s="1">
        <v>43831</v>
      </c>
      <c r="M1" s="1">
        <v>44197</v>
      </c>
      <c r="N1" s="1">
        <v>44562</v>
      </c>
      <c r="O1" s="1">
        <v>44927</v>
      </c>
      <c r="P1" s="1">
        <v>45292</v>
      </c>
      <c r="Q1" s="1">
        <v>45658</v>
      </c>
      <c r="R1" s="1">
        <v>46023</v>
      </c>
      <c r="S1" s="1">
        <v>46388</v>
      </c>
      <c r="T1" s="1">
        <v>46753</v>
      </c>
      <c r="U1" s="1">
        <v>47119</v>
      </c>
      <c r="V1" s="1">
        <v>47484</v>
      </c>
      <c r="W1" s="1">
        <v>47849</v>
      </c>
      <c r="X1" s="1">
        <v>48214</v>
      </c>
      <c r="Y1" s="1">
        <v>48580</v>
      </c>
      <c r="Z1" s="1">
        <v>48945</v>
      </c>
      <c r="AA1" s="1">
        <v>49310</v>
      </c>
      <c r="AB1" s="1">
        <v>49675</v>
      </c>
      <c r="AC1" s="1">
        <v>50041</v>
      </c>
      <c r="AD1" s="1">
        <v>50406</v>
      </c>
      <c r="AE1" s="1">
        <v>50771</v>
      </c>
      <c r="AF1" s="1">
        <v>51136</v>
      </c>
      <c r="AG1" s="1">
        <v>51502</v>
      </c>
      <c r="AH1" s="1">
        <v>51867</v>
      </c>
      <c r="AI1" s="1">
        <v>52232</v>
      </c>
      <c r="AJ1" s="1">
        <v>52597</v>
      </c>
      <c r="AK1" s="1">
        <v>52963</v>
      </c>
      <c r="AL1" s="1">
        <v>53328</v>
      </c>
      <c r="AM1" s="1">
        <v>53693</v>
      </c>
      <c r="AN1" s="1">
        <v>54058</v>
      </c>
      <c r="AO1" s="1">
        <v>54424</v>
      </c>
      <c r="AP1" s="1">
        <v>54789</v>
      </c>
      <c r="AQ1" s="1">
        <v>55154</v>
      </c>
      <c r="AR1" s="1">
        <v>55519</v>
      </c>
      <c r="AS1" s="1">
        <v>55885</v>
      </c>
      <c r="AT1" s="1">
        <v>56250</v>
      </c>
      <c r="AU1" s="1">
        <v>56615</v>
      </c>
      <c r="AV1" s="1">
        <v>56980</v>
      </c>
      <c r="AW1" s="1">
        <v>57346</v>
      </c>
      <c r="AX1" s="1">
        <v>57711</v>
      </c>
      <c r="AY1" s="1">
        <v>58076</v>
      </c>
      <c r="AZ1" s="1">
        <v>58441</v>
      </c>
      <c r="BA1" s="1">
        <v>58807</v>
      </c>
      <c r="BB1" s="1">
        <v>59172</v>
      </c>
      <c r="BC1" s="1">
        <v>59537</v>
      </c>
      <c r="BD1" s="1">
        <v>59902</v>
      </c>
      <c r="BE1" s="1">
        <v>60268</v>
      </c>
      <c r="BF1" s="1">
        <v>60633</v>
      </c>
      <c r="BG1" s="1">
        <v>60998</v>
      </c>
      <c r="BH1" s="1">
        <v>61363</v>
      </c>
      <c r="BI1" s="1">
        <v>61729</v>
      </c>
      <c r="BJ1" s="1">
        <v>62094</v>
      </c>
      <c r="BK1" s="1">
        <v>62459</v>
      </c>
      <c r="BL1" s="1">
        <v>62824</v>
      </c>
      <c r="BM1" s="1">
        <v>63190</v>
      </c>
      <c r="BN1" s="1">
        <v>63555</v>
      </c>
      <c r="BO1" s="1">
        <v>63920</v>
      </c>
      <c r="BP1" s="1">
        <v>64285</v>
      </c>
      <c r="BQ1" s="1">
        <v>64651</v>
      </c>
      <c r="BR1" s="1">
        <v>65016</v>
      </c>
      <c r="BS1" s="1">
        <v>65381</v>
      </c>
      <c r="BT1" s="1">
        <v>65746</v>
      </c>
      <c r="BU1" s="1">
        <v>66112</v>
      </c>
      <c r="BV1" s="1">
        <v>66477</v>
      </c>
      <c r="BW1" s="1">
        <v>66842</v>
      </c>
      <c r="BX1" s="1">
        <v>67207</v>
      </c>
      <c r="BY1" s="1">
        <v>67573</v>
      </c>
      <c r="BZ1" s="1">
        <v>67938</v>
      </c>
      <c r="CA1" s="1">
        <v>68303</v>
      </c>
      <c r="CB1" s="1">
        <v>68668</v>
      </c>
      <c r="CC1" s="1">
        <v>69034</v>
      </c>
      <c r="CD1" s="1">
        <v>69399</v>
      </c>
      <c r="CE1" s="1">
        <v>69764</v>
      </c>
      <c r="CF1" s="1">
        <v>70129</v>
      </c>
      <c r="CG1" s="1">
        <v>70495</v>
      </c>
      <c r="CH1" s="1">
        <v>70860</v>
      </c>
      <c r="CI1" s="1">
        <v>71225</v>
      </c>
      <c r="CJ1" s="1">
        <v>71590</v>
      </c>
      <c r="CK1" s="1">
        <v>71956</v>
      </c>
      <c r="CL1" s="1">
        <v>72321</v>
      </c>
      <c r="CM1" s="1">
        <v>72686</v>
      </c>
      <c r="CN1" s="1">
        <v>73051</v>
      </c>
    </row>
    <row r="2" spans="1:92" x14ac:dyDescent="0.25">
      <c r="A2" t="s">
        <v>1</v>
      </c>
      <c r="B2" s="1">
        <v>40544</v>
      </c>
      <c r="C2" s="1">
        <v>40909</v>
      </c>
      <c r="D2" s="1">
        <v>41275</v>
      </c>
      <c r="E2" s="1">
        <v>41640</v>
      </c>
      <c r="F2" s="1">
        <v>42005</v>
      </c>
      <c r="G2" s="1">
        <v>42370</v>
      </c>
      <c r="H2" s="1">
        <v>42736</v>
      </c>
      <c r="I2" s="1">
        <v>43101</v>
      </c>
      <c r="J2" s="1">
        <v>43466</v>
      </c>
      <c r="K2" s="1">
        <v>43831</v>
      </c>
      <c r="L2" s="1">
        <v>44197</v>
      </c>
      <c r="M2" s="1">
        <v>44562</v>
      </c>
      <c r="N2" s="1">
        <v>44927</v>
      </c>
      <c r="O2" s="1">
        <v>45292</v>
      </c>
      <c r="P2" s="1">
        <v>45658</v>
      </c>
      <c r="Q2" s="1">
        <v>46023</v>
      </c>
      <c r="R2" s="1">
        <v>46388</v>
      </c>
      <c r="S2" s="1">
        <v>46753</v>
      </c>
      <c r="T2" s="1">
        <v>47119</v>
      </c>
      <c r="U2" s="1">
        <v>47484</v>
      </c>
      <c r="V2" s="1">
        <v>47849</v>
      </c>
      <c r="W2" s="1">
        <v>48214</v>
      </c>
      <c r="X2" s="1">
        <v>48580</v>
      </c>
      <c r="Y2" s="1">
        <v>48945</v>
      </c>
      <c r="Z2" s="1">
        <v>49310</v>
      </c>
      <c r="AA2" s="1">
        <v>49675</v>
      </c>
      <c r="AB2" s="1">
        <v>50041</v>
      </c>
      <c r="AC2" s="1">
        <v>50406</v>
      </c>
      <c r="AD2" s="1">
        <v>50771</v>
      </c>
      <c r="AE2" s="1">
        <v>51136</v>
      </c>
      <c r="AF2" s="1">
        <v>51502</v>
      </c>
      <c r="AG2" s="1">
        <v>51867</v>
      </c>
      <c r="AH2" s="1">
        <v>52232</v>
      </c>
      <c r="AI2" s="1">
        <v>52597</v>
      </c>
      <c r="AJ2" s="1">
        <v>52963</v>
      </c>
      <c r="AK2" s="1">
        <v>53328</v>
      </c>
      <c r="AL2" s="1">
        <v>53693</v>
      </c>
      <c r="AM2" s="1">
        <v>54058</v>
      </c>
      <c r="AN2" s="1">
        <v>54424</v>
      </c>
      <c r="AO2" s="1">
        <v>54789</v>
      </c>
      <c r="AP2" s="1">
        <v>55154</v>
      </c>
      <c r="AQ2" s="1">
        <v>55519</v>
      </c>
      <c r="AR2" s="1">
        <v>55885</v>
      </c>
      <c r="AS2" s="1">
        <v>56250</v>
      </c>
      <c r="AT2" s="1">
        <v>56615</v>
      </c>
      <c r="AU2" s="1">
        <v>56980</v>
      </c>
      <c r="AV2" s="1">
        <v>57346</v>
      </c>
      <c r="AW2" s="1">
        <v>57711</v>
      </c>
      <c r="AX2" s="1">
        <v>58076</v>
      </c>
      <c r="AY2" s="1">
        <v>58441</v>
      </c>
      <c r="AZ2" s="1">
        <v>58807</v>
      </c>
      <c r="BA2" s="1">
        <v>59172</v>
      </c>
      <c r="BB2" s="1">
        <v>59537</v>
      </c>
      <c r="BC2" s="1">
        <v>59902</v>
      </c>
      <c r="BD2" s="1">
        <v>60268</v>
      </c>
      <c r="BE2" s="1">
        <v>60633</v>
      </c>
      <c r="BF2" s="1">
        <v>60998</v>
      </c>
      <c r="BG2" s="1">
        <v>61363</v>
      </c>
      <c r="BH2" s="1">
        <v>61729</v>
      </c>
      <c r="BI2" s="1">
        <v>62094</v>
      </c>
      <c r="BJ2" s="1">
        <v>62459</v>
      </c>
      <c r="BK2" s="1">
        <v>62824</v>
      </c>
      <c r="BL2" s="1">
        <v>63190</v>
      </c>
      <c r="BM2" s="1">
        <v>63555</v>
      </c>
      <c r="BN2" s="1">
        <v>63920</v>
      </c>
      <c r="BO2" s="1">
        <v>64285</v>
      </c>
      <c r="BP2" s="1">
        <v>64651</v>
      </c>
      <c r="BQ2" s="1">
        <v>65016</v>
      </c>
      <c r="BR2" s="1">
        <v>65381</v>
      </c>
      <c r="BS2" s="1">
        <v>65746</v>
      </c>
      <c r="BT2" s="1">
        <v>66112</v>
      </c>
      <c r="BU2" s="1">
        <v>66477</v>
      </c>
      <c r="BV2" s="1">
        <v>66842</v>
      </c>
      <c r="BW2" s="1">
        <v>67207</v>
      </c>
      <c r="BX2" s="1">
        <v>67573</v>
      </c>
      <c r="BY2" s="1">
        <v>67938</v>
      </c>
      <c r="BZ2" s="1">
        <v>68303</v>
      </c>
      <c r="CA2" s="1">
        <v>68668</v>
      </c>
      <c r="CB2" s="1">
        <v>69034</v>
      </c>
      <c r="CC2" s="1">
        <v>69399</v>
      </c>
      <c r="CD2" s="1">
        <v>69764</v>
      </c>
      <c r="CE2" s="1">
        <v>70129</v>
      </c>
      <c r="CF2" s="1">
        <v>70495</v>
      </c>
      <c r="CG2" s="1">
        <v>70860</v>
      </c>
      <c r="CH2" s="1">
        <v>71225</v>
      </c>
      <c r="CI2" s="1">
        <v>71590</v>
      </c>
      <c r="CJ2" s="1">
        <v>71956</v>
      </c>
      <c r="CK2" s="1">
        <v>72321</v>
      </c>
      <c r="CL2" s="1">
        <v>72686</v>
      </c>
      <c r="CM2" s="1">
        <v>73051</v>
      </c>
      <c r="CN2" s="1">
        <v>73416</v>
      </c>
    </row>
    <row r="3" spans="1:92" x14ac:dyDescent="0.25">
      <c r="A3" t="s">
        <v>142</v>
      </c>
      <c r="B3" s="2">
        <v>2010</v>
      </c>
      <c r="C3" s="3">
        <f>B3+1</f>
        <v>2011</v>
      </c>
      <c r="D3" s="3">
        <f t="shared" ref="D3:BO3" si="0">C3+1</f>
        <v>2012</v>
      </c>
      <c r="E3" s="3">
        <f t="shared" si="0"/>
        <v>2013</v>
      </c>
      <c r="F3" s="3">
        <f t="shared" si="0"/>
        <v>2014</v>
      </c>
      <c r="G3" s="3">
        <f t="shared" si="0"/>
        <v>2015</v>
      </c>
      <c r="H3" s="3">
        <f t="shared" si="0"/>
        <v>2016</v>
      </c>
      <c r="I3" s="3">
        <f t="shared" si="0"/>
        <v>2017</v>
      </c>
      <c r="J3" s="3">
        <f t="shared" si="0"/>
        <v>2018</v>
      </c>
      <c r="K3" s="3">
        <f t="shared" si="0"/>
        <v>2019</v>
      </c>
      <c r="L3" s="3">
        <f t="shared" si="0"/>
        <v>2020</v>
      </c>
      <c r="M3" s="3">
        <f t="shared" si="0"/>
        <v>2021</v>
      </c>
      <c r="N3" s="3">
        <f t="shared" si="0"/>
        <v>2022</v>
      </c>
      <c r="O3" s="3">
        <f t="shared" si="0"/>
        <v>2023</v>
      </c>
      <c r="P3" s="3">
        <f t="shared" si="0"/>
        <v>2024</v>
      </c>
      <c r="Q3" s="3">
        <f t="shared" si="0"/>
        <v>2025</v>
      </c>
      <c r="R3" s="3">
        <f t="shared" si="0"/>
        <v>2026</v>
      </c>
      <c r="S3" s="3">
        <f t="shared" si="0"/>
        <v>2027</v>
      </c>
      <c r="T3" s="3">
        <f t="shared" si="0"/>
        <v>2028</v>
      </c>
      <c r="U3" s="3">
        <f t="shared" si="0"/>
        <v>2029</v>
      </c>
      <c r="V3" s="3">
        <f t="shared" si="0"/>
        <v>2030</v>
      </c>
      <c r="W3" s="3">
        <f t="shared" si="0"/>
        <v>2031</v>
      </c>
      <c r="X3" s="3">
        <f t="shared" si="0"/>
        <v>2032</v>
      </c>
      <c r="Y3" s="3">
        <f t="shared" si="0"/>
        <v>2033</v>
      </c>
      <c r="Z3" s="3">
        <f t="shared" si="0"/>
        <v>2034</v>
      </c>
      <c r="AA3" s="3">
        <f t="shared" si="0"/>
        <v>2035</v>
      </c>
      <c r="AB3" s="3">
        <f t="shared" si="0"/>
        <v>2036</v>
      </c>
      <c r="AC3" s="3">
        <f t="shared" si="0"/>
        <v>2037</v>
      </c>
      <c r="AD3" s="3">
        <f t="shared" si="0"/>
        <v>2038</v>
      </c>
      <c r="AE3" s="3">
        <f t="shared" si="0"/>
        <v>2039</v>
      </c>
      <c r="AF3" s="3">
        <f t="shared" si="0"/>
        <v>2040</v>
      </c>
      <c r="AG3" s="3">
        <f t="shared" si="0"/>
        <v>2041</v>
      </c>
      <c r="AH3" s="3">
        <f t="shared" si="0"/>
        <v>2042</v>
      </c>
      <c r="AI3" s="3">
        <f t="shared" si="0"/>
        <v>2043</v>
      </c>
      <c r="AJ3" s="3">
        <f t="shared" si="0"/>
        <v>2044</v>
      </c>
      <c r="AK3" s="3">
        <f t="shared" si="0"/>
        <v>2045</v>
      </c>
      <c r="AL3" s="3">
        <f t="shared" si="0"/>
        <v>2046</v>
      </c>
      <c r="AM3" s="3">
        <f t="shared" si="0"/>
        <v>2047</v>
      </c>
      <c r="AN3" s="3">
        <f t="shared" si="0"/>
        <v>2048</v>
      </c>
      <c r="AO3" s="3">
        <f t="shared" si="0"/>
        <v>2049</v>
      </c>
      <c r="AP3" s="3">
        <f t="shared" si="0"/>
        <v>2050</v>
      </c>
      <c r="AQ3" s="3">
        <f t="shared" si="0"/>
        <v>2051</v>
      </c>
      <c r="AR3" s="3">
        <f t="shared" si="0"/>
        <v>2052</v>
      </c>
      <c r="AS3" s="3">
        <f t="shared" si="0"/>
        <v>2053</v>
      </c>
      <c r="AT3" s="3">
        <f t="shared" si="0"/>
        <v>2054</v>
      </c>
      <c r="AU3" s="3">
        <f t="shared" si="0"/>
        <v>2055</v>
      </c>
      <c r="AV3" s="3">
        <f t="shared" si="0"/>
        <v>2056</v>
      </c>
      <c r="AW3" s="3">
        <f t="shared" si="0"/>
        <v>2057</v>
      </c>
      <c r="AX3" s="3">
        <f t="shared" si="0"/>
        <v>2058</v>
      </c>
      <c r="AY3" s="3">
        <f t="shared" si="0"/>
        <v>2059</v>
      </c>
      <c r="AZ3" s="3">
        <f t="shared" si="0"/>
        <v>2060</v>
      </c>
      <c r="BA3" s="3">
        <f t="shared" si="0"/>
        <v>2061</v>
      </c>
      <c r="BB3" s="3">
        <f t="shared" si="0"/>
        <v>2062</v>
      </c>
      <c r="BC3" s="3">
        <f t="shared" si="0"/>
        <v>2063</v>
      </c>
      <c r="BD3" s="3">
        <f t="shared" si="0"/>
        <v>2064</v>
      </c>
      <c r="BE3" s="3">
        <f t="shared" si="0"/>
        <v>2065</v>
      </c>
      <c r="BF3" s="3">
        <f t="shared" si="0"/>
        <v>2066</v>
      </c>
      <c r="BG3" s="3">
        <f t="shared" si="0"/>
        <v>2067</v>
      </c>
      <c r="BH3" s="3">
        <f t="shared" si="0"/>
        <v>2068</v>
      </c>
      <c r="BI3" s="3">
        <f t="shared" si="0"/>
        <v>2069</v>
      </c>
      <c r="BJ3" s="3">
        <f t="shared" si="0"/>
        <v>2070</v>
      </c>
      <c r="BK3" s="3">
        <f t="shared" si="0"/>
        <v>2071</v>
      </c>
      <c r="BL3" s="3">
        <f t="shared" si="0"/>
        <v>2072</v>
      </c>
      <c r="BM3" s="3">
        <f t="shared" si="0"/>
        <v>2073</v>
      </c>
      <c r="BN3" s="3">
        <f t="shared" si="0"/>
        <v>2074</v>
      </c>
      <c r="BO3" s="3">
        <f t="shared" si="0"/>
        <v>2075</v>
      </c>
      <c r="BP3" s="3">
        <f t="shared" ref="BP3:CN3" si="1">BO3+1</f>
        <v>2076</v>
      </c>
      <c r="BQ3" s="3">
        <f t="shared" si="1"/>
        <v>2077</v>
      </c>
      <c r="BR3" s="3">
        <f t="shared" si="1"/>
        <v>2078</v>
      </c>
      <c r="BS3" s="3">
        <f t="shared" si="1"/>
        <v>2079</v>
      </c>
      <c r="BT3" s="3">
        <f t="shared" si="1"/>
        <v>2080</v>
      </c>
      <c r="BU3" s="3">
        <f t="shared" si="1"/>
        <v>2081</v>
      </c>
      <c r="BV3" s="3">
        <f t="shared" si="1"/>
        <v>2082</v>
      </c>
      <c r="BW3" s="3">
        <f t="shared" si="1"/>
        <v>2083</v>
      </c>
      <c r="BX3" s="3">
        <f t="shared" si="1"/>
        <v>2084</v>
      </c>
      <c r="BY3" s="3">
        <f t="shared" si="1"/>
        <v>2085</v>
      </c>
      <c r="BZ3" s="3">
        <f t="shared" si="1"/>
        <v>2086</v>
      </c>
      <c r="CA3" s="3">
        <f t="shared" si="1"/>
        <v>2087</v>
      </c>
      <c r="CB3" s="3">
        <f t="shared" si="1"/>
        <v>2088</v>
      </c>
      <c r="CC3" s="3">
        <f t="shared" si="1"/>
        <v>2089</v>
      </c>
      <c r="CD3" s="3">
        <f t="shared" si="1"/>
        <v>2090</v>
      </c>
      <c r="CE3" s="3">
        <f t="shared" si="1"/>
        <v>2091</v>
      </c>
      <c r="CF3" s="3">
        <f t="shared" si="1"/>
        <v>2092</v>
      </c>
      <c r="CG3" s="3">
        <f t="shared" si="1"/>
        <v>2093</v>
      </c>
      <c r="CH3" s="3">
        <f t="shared" si="1"/>
        <v>2094</v>
      </c>
      <c r="CI3" s="3">
        <f t="shared" si="1"/>
        <v>2095</v>
      </c>
      <c r="CJ3" s="3">
        <f t="shared" si="1"/>
        <v>2096</v>
      </c>
      <c r="CK3" s="3">
        <f t="shared" si="1"/>
        <v>2097</v>
      </c>
      <c r="CL3" s="3">
        <f t="shared" si="1"/>
        <v>2098</v>
      </c>
      <c r="CM3" s="3">
        <f t="shared" si="1"/>
        <v>2099</v>
      </c>
      <c r="CN3" s="3">
        <f t="shared" si="1"/>
        <v>2100</v>
      </c>
    </row>
    <row r="4" spans="1:92" x14ac:dyDescent="0.25">
      <c r="A4" t="s">
        <v>139</v>
      </c>
      <c r="B4">
        <f>SUMIF(PadreInput!$O:$O,$A4&amp;"_"&amp;B$3,PadreInput!$P:$P)</f>
        <v>0</v>
      </c>
      <c r="C4">
        <f>SUMIF(PadreInput!$O:$O,$A4&amp;"_"&amp;C$3,PadreInput!$P:$P)</f>
        <v>0</v>
      </c>
      <c r="D4">
        <f>SUMIF(PadreInput!$O:$O,$A4&amp;"_"&amp;D$3,PadreInput!$P:$P)</f>
        <v>0</v>
      </c>
      <c r="E4">
        <f>SUMIF(PadreInput!$O:$O,$A4&amp;"_"&amp;E$3,PadreInput!$P:$P)</f>
        <v>0</v>
      </c>
      <c r="F4">
        <f>SUMIF(PadreInput!$O:$O,$A4&amp;"_"&amp;F$3,PadreInput!$P:$P)</f>
        <v>0</v>
      </c>
      <c r="G4">
        <f>SUMIF(PadreInput!$O:$O,$A4&amp;"_"&amp;G$3,PadreInput!$P:$P)</f>
        <v>0</v>
      </c>
      <c r="H4">
        <f>SUMIF(PadreInput!$O:$O,$A4&amp;"_"&amp;H$3,PadreInput!$P:$P)</f>
        <v>0</v>
      </c>
      <c r="I4">
        <f>SUMIF(PadreInput!$O:$O,$A4&amp;"_"&amp;I$3,PadreInput!$P:$P)</f>
        <v>0</v>
      </c>
      <c r="J4">
        <f>SUMIF(PadreInput!$O:$O,$A4&amp;"_"&amp;J$3,PadreInput!$P:$P)</f>
        <v>0</v>
      </c>
      <c r="K4">
        <f>SUMIF(PadreInput!$O:$O,$A4&amp;"_"&amp;K$3,PadreInput!$P:$P)</f>
        <v>0</v>
      </c>
      <c r="L4">
        <f>SUMIF(PadreInput!$O:$O,$A4&amp;"_"&amp;L$3,PadreInput!$P:$P)</f>
        <v>0</v>
      </c>
      <c r="M4">
        <f>SUMIF(PadreInput!$O:$O,$A4&amp;"_"&amp;M$3,PadreInput!$P:$P)</f>
        <v>8014</v>
      </c>
      <c r="N4">
        <f>SUMIF(PadreInput!$O:$O,$A4&amp;"_"&amp;N$3,PadreInput!$P:$P)</f>
        <v>8408.75</v>
      </c>
      <c r="O4">
        <f>SUMIF(PadreInput!$O:$O,$A4&amp;"_"&amp;O$3,PadreInput!$P:$P)</f>
        <v>8786.25</v>
      </c>
      <c r="P4">
        <f>SUMIF(PadreInput!$O:$O,$A4&amp;"_"&amp;P$3,PadreInput!$P:$P)</f>
        <v>9762.5</v>
      </c>
      <c r="Q4">
        <f>SUMIF(PadreInput!$O:$O,$A4&amp;"_"&amp;Q$3,PadreInput!$P:$P)</f>
        <v>11337.7</v>
      </c>
      <c r="R4">
        <f>SUMIF(PadreInput!$O:$O,$A4&amp;"_"&amp;R$3,PadreInput!$P:$P)</f>
        <v>12912.7</v>
      </c>
      <c r="S4">
        <f>SUMIF(PadreInput!$O:$O,$A4&amp;"_"&amp;S$3,PadreInput!$P:$P)</f>
        <v>14487.7</v>
      </c>
      <c r="T4">
        <f>SUMIF(PadreInput!$O:$O,$A4&amp;"_"&amp;T$3,PadreInput!$P:$P)</f>
        <v>16062.7</v>
      </c>
      <c r="U4">
        <f>SUMIF(PadreInput!$O:$O,$A4&amp;"_"&amp;U$3,PadreInput!$P:$P)</f>
        <v>17637.699999999997</v>
      </c>
      <c r="V4">
        <f>SUMIF(PadreInput!$O:$O,$A4&amp;"_"&amp;V$3,PadreInput!$P:$P)</f>
        <v>17637.699999999997</v>
      </c>
      <c r="W4">
        <f>SUMIF(PadreInput!$O:$O,$A4&amp;"_"&amp;W$3,PadreInput!$P:$P)</f>
        <v>19212.699999999997</v>
      </c>
      <c r="X4">
        <f>SUMIF(PadreInput!$O:$O,$A4&amp;"_"&amp;X$3,PadreInput!$P:$P)</f>
        <v>20372.699999999997</v>
      </c>
      <c r="Y4">
        <f>SUMIF(PadreInput!$O:$O,$A4&amp;"_"&amp;Y$3,PadreInput!$P:$P)</f>
        <v>21117.699999999997</v>
      </c>
      <c r="Z4">
        <f>SUMIF(PadreInput!$O:$O,$A4&amp;"_"&amp;Z$3,PadreInput!$P:$P)</f>
        <v>21862.699999999997</v>
      </c>
      <c r="AA4">
        <f>SUMIF(PadreInput!$O:$O,$A4&amp;"_"&amp;AA$3,PadreInput!$P:$P)</f>
        <v>22607.699999999997</v>
      </c>
      <c r="AB4">
        <f>SUMIF(PadreInput!$O:$O,$A4&amp;"_"&amp;AB$3,PadreInput!$P:$P)</f>
        <v>24022.799999999999</v>
      </c>
      <c r="AC4">
        <f>SUMIF(PadreInput!$O:$O,$A4&amp;"_"&amp;AC$3,PadreInput!$P:$P)</f>
        <v>25437.399999999998</v>
      </c>
      <c r="AD4">
        <f>SUMIF(PadreInput!$O:$O,$A4&amp;"_"&amp;AD$3,PadreInput!$P:$P)</f>
        <v>28255.7</v>
      </c>
      <c r="AE4">
        <f>SUMIF(PadreInput!$O:$O,$A4&amp;"_"&amp;AE$3,PadreInput!$P:$P)</f>
        <v>30037.399999999998</v>
      </c>
      <c r="AF4">
        <f>SUMIF(PadreInput!$O:$O,$A4&amp;"_"&amp;AF$3,PadreInput!$P:$P)</f>
        <v>33158.6</v>
      </c>
      <c r="AG4">
        <f>SUMIF(PadreInput!$O:$O,$A4&amp;"_"&amp;AG$3,PadreInput!$P:$P)</f>
        <v>0</v>
      </c>
      <c r="AH4">
        <f>SUMIF(PadreInput!$O:$O,$A4&amp;"_"&amp;AH$3,PadreInput!$P:$P)</f>
        <v>0</v>
      </c>
      <c r="AI4">
        <f>SUMIF(PadreInput!$O:$O,$A4&amp;"_"&amp;AI$3,PadreInput!$P:$P)</f>
        <v>0</v>
      </c>
      <c r="AJ4">
        <f>SUMIF(PadreInput!$O:$O,$A4&amp;"_"&amp;AJ$3,PadreInput!$P:$P)</f>
        <v>0</v>
      </c>
      <c r="AK4">
        <f>SUMIF(PadreInput!$O:$O,$A4&amp;"_"&amp;AK$3,PadreInput!$P:$P)</f>
        <v>0</v>
      </c>
      <c r="AL4">
        <f>SUMIF(PadreInput!$O:$O,$A4&amp;"_"&amp;AL$3,PadreInput!$P:$P)</f>
        <v>0</v>
      </c>
      <c r="AM4">
        <f>SUMIF(PadreInput!$O:$O,$A4&amp;"_"&amp;AM$3,PadreInput!$P:$P)</f>
        <v>0</v>
      </c>
      <c r="AN4">
        <f>SUMIF(PadreInput!$O:$O,$A4&amp;"_"&amp;AN$3,PadreInput!$P:$P)</f>
        <v>0</v>
      </c>
      <c r="AO4">
        <f>SUMIF(PadreInput!$O:$O,$A4&amp;"_"&amp;AO$3,PadreInput!$P:$P)</f>
        <v>0</v>
      </c>
      <c r="AP4">
        <f>SUMIF(PadreInput!$O:$O,$A4&amp;"_"&amp;AP$3,PadreInput!$P:$P)</f>
        <v>0</v>
      </c>
      <c r="AQ4">
        <f>SUMIF(PadreInput!$O:$O,$A4&amp;"_"&amp;AQ$3,PadreInput!$P:$P)</f>
        <v>0</v>
      </c>
      <c r="AR4">
        <f>SUMIF(PadreInput!$O:$O,$A4&amp;"_"&amp;AR$3,PadreInput!$P:$P)</f>
        <v>0</v>
      </c>
      <c r="AS4">
        <f>SUMIF(PadreInput!$O:$O,$A4&amp;"_"&amp;AS$3,PadreInput!$P:$P)</f>
        <v>0</v>
      </c>
      <c r="AT4">
        <f>SUMIF(PadreInput!$O:$O,$A4&amp;"_"&amp;AT$3,PadreInput!$P:$P)</f>
        <v>0</v>
      </c>
      <c r="AU4">
        <f>SUMIF(PadreInput!$O:$O,$A4&amp;"_"&amp;AU$3,PadreInput!$P:$P)</f>
        <v>0</v>
      </c>
      <c r="AV4">
        <f>SUMIF(PadreInput!$O:$O,$A4&amp;"_"&amp;AV$3,PadreInput!$P:$P)</f>
        <v>0</v>
      </c>
      <c r="AW4">
        <f>SUMIF(PadreInput!$O:$O,$A4&amp;"_"&amp;AW$3,PadreInput!$P:$P)</f>
        <v>0</v>
      </c>
      <c r="AX4">
        <f>SUMIF(PadreInput!$O:$O,$A4&amp;"_"&amp;AX$3,PadreInput!$P:$P)</f>
        <v>0</v>
      </c>
      <c r="AY4">
        <f>SUMIF(PadreInput!$O:$O,$A4&amp;"_"&amp;AY$3,PadreInput!$P:$P)</f>
        <v>0</v>
      </c>
      <c r="AZ4">
        <f>SUMIF(PadreInput!$O:$O,$A4&amp;"_"&amp;AZ$3,PadreInput!$P:$P)</f>
        <v>0</v>
      </c>
      <c r="BA4">
        <f>SUMIF(PadreInput!$O:$O,$A4&amp;"_"&amp;BA$3,PadreInput!$P:$P)</f>
        <v>0</v>
      </c>
      <c r="BB4">
        <f>SUMIF(PadreInput!$O:$O,$A4&amp;"_"&amp;BB$3,PadreInput!$P:$P)</f>
        <v>0</v>
      </c>
      <c r="BC4">
        <f>SUMIF(PadreInput!$O:$O,$A4&amp;"_"&amp;BC$3,PadreInput!$P:$P)</f>
        <v>0</v>
      </c>
      <c r="BD4">
        <f>SUMIF(PadreInput!$O:$O,$A4&amp;"_"&amp;BD$3,PadreInput!$P:$P)</f>
        <v>0</v>
      </c>
      <c r="BE4">
        <f>SUMIF(PadreInput!$O:$O,$A4&amp;"_"&amp;BE$3,PadreInput!$P:$P)</f>
        <v>0</v>
      </c>
      <c r="BF4">
        <f>SUMIF(PadreInput!$O:$O,$A4&amp;"_"&amp;BF$3,PadreInput!$P:$P)</f>
        <v>0</v>
      </c>
      <c r="BG4">
        <f>SUMIF(PadreInput!$O:$O,$A4&amp;"_"&amp;BG$3,PadreInput!$P:$P)</f>
        <v>0</v>
      </c>
      <c r="BH4">
        <f>SUMIF(PadreInput!$O:$O,$A4&amp;"_"&amp;BH$3,PadreInput!$P:$P)</f>
        <v>0</v>
      </c>
      <c r="BI4">
        <f>SUMIF(PadreInput!$O:$O,$A4&amp;"_"&amp;BI$3,PadreInput!$P:$P)</f>
        <v>0</v>
      </c>
      <c r="BJ4">
        <f>SUMIF(PadreInput!$O:$O,$A4&amp;"_"&amp;BJ$3,PadreInput!$P:$P)</f>
        <v>0</v>
      </c>
      <c r="BK4">
        <f>SUMIF(PadreInput!$O:$O,$A4&amp;"_"&amp;BK$3,PadreInput!$P:$P)</f>
        <v>0</v>
      </c>
      <c r="BL4">
        <f>SUMIF(PadreInput!$O:$O,$A4&amp;"_"&amp;BL$3,PadreInput!$P:$P)</f>
        <v>0</v>
      </c>
      <c r="BM4">
        <f>SUMIF(PadreInput!$O:$O,$A4&amp;"_"&amp;BM$3,PadreInput!$P:$P)</f>
        <v>0</v>
      </c>
      <c r="BN4">
        <f>SUMIF(PadreInput!$O:$O,$A4&amp;"_"&amp;BN$3,PadreInput!$P:$P)</f>
        <v>0</v>
      </c>
      <c r="BO4">
        <f>SUMIF(PadreInput!$O:$O,$A4&amp;"_"&amp;BO$3,PadreInput!$P:$P)</f>
        <v>0</v>
      </c>
      <c r="BP4">
        <f>SUMIF(PadreInput!$O:$O,$A4&amp;"_"&amp;BP$3,PadreInput!$P:$P)</f>
        <v>0</v>
      </c>
      <c r="BQ4">
        <f>SUMIF(PadreInput!$O:$O,$A4&amp;"_"&amp;BQ$3,PadreInput!$P:$P)</f>
        <v>0</v>
      </c>
      <c r="BR4">
        <f>SUMIF(PadreInput!$O:$O,$A4&amp;"_"&amp;BR$3,PadreInput!$P:$P)</f>
        <v>0</v>
      </c>
      <c r="BS4">
        <f>SUMIF(PadreInput!$O:$O,$A4&amp;"_"&amp;BS$3,PadreInput!$P:$P)</f>
        <v>0</v>
      </c>
      <c r="BT4">
        <f>SUMIF(PadreInput!$O:$O,$A4&amp;"_"&amp;BT$3,PadreInput!$P:$P)</f>
        <v>0</v>
      </c>
      <c r="BU4">
        <f>SUMIF(PadreInput!$O:$O,$A4&amp;"_"&amp;BU$3,PadreInput!$P:$P)</f>
        <v>0</v>
      </c>
      <c r="BV4">
        <f>SUMIF(PadreInput!$O:$O,$A4&amp;"_"&amp;BV$3,PadreInput!$P:$P)</f>
        <v>0</v>
      </c>
      <c r="BW4">
        <f>SUMIF(PadreInput!$O:$O,$A4&amp;"_"&amp;BW$3,PadreInput!$P:$P)</f>
        <v>0</v>
      </c>
      <c r="BX4">
        <f>SUMIF(PadreInput!$O:$O,$A4&amp;"_"&amp;BX$3,PadreInput!$P:$P)</f>
        <v>0</v>
      </c>
      <c r="BY4">
        <f>SUMIF(PadreInput!$O:$O,$A4&amp;"_"&amp;BY$3,PadreInput!$P:$P)</f>
        <v>0</v>
      </c>
      <c r="BZ4">
        <f>SUMIF(PadreInput!$O:$O,$A4&amp;"_"&amp;BZ$3,PadreInput!$P:$P)</f>
        <v>0</v>
      </c>
      <c r="CA4">
        <f>SUMIF(PadreInput!$O:$O,$A4&amp;"_"&amp;CA$3,PadreInput!$P:$P)</f>
        <v>0</v>
      </c>
      <c r="CB4">
        <f>SUMIF(PadreInput!$O:$O,$A4&amp;"_"&amp;CB$3,PadreInput!$P:$P)</f>
        <v>0</v>
      </c>
      <c r="CC4">
        <f>SUMIF(PadreInput!$O:$O,$A4&amp;"_"&amp;CC$3,PadreInput!$P:$P)</f>
        <v>0</v>
      </c>
      <c r="CD4">
        <f>SUMIF(PadreInput!$O:$O,$A4&amp;"_"&amp;CD$3,PadreInput!$P:$P)</f>
        <v>0</v>
      </c>
      <c r="CE4">
        <f>SUMIF(PadreInput!$O:$O,$A4&amp;"_"&amp;CE$3,PadreInput!$P:$P)</f>
        <v>0</v>
      </c>
      <c r="CF4">
        <f>SUMIF(PadreInput!$O:$O,$A4&amp;"_"&amp;CF$3,PadreInput!$P:$P)</f>
        <v>0</v>
      </c>
      <c r="CG4">
        <f>SUMIF(PadreInput!$O:$O,$A4&amp;"_"&amp;CG$3,PadreInput!$P:$P)</f>
        <v>0</v>
      </c>
      <c r="CH4">
        <f>SUMIF(PadreInput!$O:$O,$A4&amp;"_"&amp;CH$3,PadreInput!$P:$P)</f>
        <v>0</v>
      </c>
      <c r="CI4">
        <f>SUMIF(PadreInput!$O:$O,$A4&amp;"_"&amp;CI$3,PadreInput!$P:$P)</f>
        <v>0</v>
      </c>
      <c r="CJ4">
        <f>SUMIF(PadreInput!$O:$O,$A4&amp;"_"&amp;CJ$3,PadreInput!$P:$P)</f>
        <v>0</v>
      </c>
      <c r="CK4">
        <f>SUMIF(PadreInput!$O:$O,$A4&amp;"_"&amp;CK$3,PadreInput!$P:$P)</f>
        <v>0</v>
      </c>
      <c r="CL4">
        <f>SUMIF(PadreInput!$O:$O,$A4&amp;"_"&amp;CL$3,PadreInput!$P:$P)</f>
        <v>0</v>
      </c>
      <c r="CM4">
        <f>SUMIF(PadreInput!$O:$O,$A4&amp;"_"&amp;CM$3,PadreInput!$P:$P)</f>
        <v>0</v>
      </c>
      <c r="CN4">
        <f>SUMIF(PadreInput!$O:$O,$A4&amp;"_"&amp;CN$3,PadreInput!$P:$P)</f>
        <v>0</v>
      </c>
    </row>
    <row r="5" spans="1:92" x14ac:dyDescent="0.25">
      <c r="A5" t="s">
        <v>140</v>
      </c>
      <c r="B5">
        <f>SUMIF(PadreInput!$O:$O,$A5&amp;"_"&amp;B$3,PadreInput!$P:$P)</f>
        <v>0</v>
      </c>
      <c r="C5">
        <f>SUMIF(PadreInput!$O:$O,$A5&amp;"_"&amp;C$3,PadreInput!$P:$P)</f>
        <v>0</v>
      </c>
      <c r="D5">
        <f>SUMIF(PadreInput!$O:$O,$A5&amp;"_"&amp;D$3,PadreInput!$P:$P)</f>
        <v>0</v>
      </c>
      <c r="E5">
        <f>SUMIF(PadreInput!$O:$O,$A5&amp;"_"&amp;E$3,PadreInput!$P:$P)</f>
        <v>0</v>
      </c>
      <c r="F5">
        <f>SUMIF(PadreInput!$O:$O,$A5&amp;"_"&amp;F$3,PadreInput!$P:$P)</f>
        <v>0</v>
      </c>
      <c r="G5">
        <f>SUMIF(PadreInput!$O:$O,$A5&amp;"_"&amp;G$3,PadreInput!$P:$P)</f>
        <v>0</v>
      </c>
      <c r="H5">
        <f>SUMIF(PadreInput!$O:$O,$A5&amp;"_"&amp;H$3,PadreInput!$P:$P)</f>
        <v>0</v>
      </c>
      <c r="I5">
        <f>SUMIF(PadreInput!$O:$O,$A5&amp;"_"&amp;I$3,PadreInput!$P:$P)</f>
        <v>0</v>
      </c>
      <c r="J5">
        <f>SUMIF(PadreInput!$O:$O,$A5&amp;"_"&amp;J$3,PadreInput!$P:$P)</f>
        <v>0</v>
      </c>
      <c r="K5">
        <f>SUMIF(PadreInput!$O:$O,$A5&amp;"_"&amp;K$3,PadreInput!$P:$P)</f>
        <v>0</v>
      </c>
      <c r="L5">
        <f>SUMIF(PadreInput!$O:$O,$A5&amp;"_"&amp;L$3,PadreInput!$P:$P)</f>
        <v>0</v>
      </c>
      <c r="M5">
        <f>SUMIF(PadreInput!$O:$O,$A5&amp;"_"&amp;M$3,PadreInput!$P:$P)</f>
        <v>57236.335861240004</v>
      </c>
      <c r="N5">
        <f>SUMIF(PadreInput!$O:$O,$A5&amp;"_"&amp;N$3,PadreInput!$P:$P)</f>
        <v>59203.510125009998</v>
      </c>
      <c r="O5">
        <f>SUMIF(PadreInput!$O:$O,$A5&amp;"_"&amp;O$3,PadreInput!$P:$P)</f>
        <v>61326.800124990004</v>
      </c>
      <c r="P5">
        <f>SUMIF(PadreInput!$O:$O,$A5&amp;"_"&amp;P$3,PadreInput!$P:$P)</f>
        <v>63763.14531249</v>
      </c>
      <c r="Q5">
        <f>SUMIF(PadreInput!$O:$O,$A5&amp;"_"&amp;Q$3,PadreInput!$P:$P)</f>
        <v>65523.04849999</v>
      </c>
      <c r="R5">
        <f>SUMIF(PadreInput!$O:$O,$A5&amp;"_"&amp;R$3,PadreInput!$P:$P)</f>
        <v>67090.717500009996</v>
      </c>
      <c r="S5">
        <f>SUMIF(PadreInput!$O:$O,$A5&amp;"_"&amp;S$3,PadreInput!$P:$P)</f>
        <v>68091.352500009991</v>
      </c>
      <c r="T5">
        <f>SUMIF(PadreInput!$O:$O,$A5&amp;"_"&amp;T$3,PadreInput!$P:$P)</f>
        <v>68751.767749999999</v>
      </c>
      <c r="U5">
        <f>SUMIF(PadreInput!$O:$O,$A5&amp;"_"&amp;U$3,PadreInput!$P:$P)</f>
        <v>69655.732749989998</v>
      </c>
      <c r="V5">
        <f>SUMIF(PadreInput!$O:$O,$A5&amp;"_"&amp;V$3,PadreInput!$P:$P)</f>
        <v>70738.084249990003</v>
      </c>
      <c r="W5">
        <f>SUMIF(PadreInput!$O:$O,$A5&amp;"_"&amp;W$3,PadreInput!$P:$P)</f>
        <v>71461.623000009989</v>
      </c>
      <c r="X5">
        <f>SUMIF(PadreInput!$O:$O,$A5&amp;"_"&amp;X$3,PadreInput!$P:$P)</f>
        <v>71706.53874999001</v>
      </c>
      <c r="Y5">
        <f>SUMIF(PadreInput!$O:$O,$A5&amp;"_"&amp;Y$3,PadreInput!$P:$P)</f>
        <v>71289.24074999</v>
      </c>
      <c r="Z5">
        <f>SUMIF(PadreInput!$O:$O,$A5&amp;"_"&amp;Z$3,PadreInput!$P:$P)</f>
        <v>71017.870147499998</v>
      </c>
      <c r="AA5">
        <f>SUMIF(PadreInput!$O:$O,$A5&amp;"_"&amp;AA$3,PadreInput!$P:$P)</f>
        <v>70461.989465019986</v>
      </c>
      <c r="AB5">
        <f>SUMIF(PadreInput!$O:$O,$A5&amp;"_"&amp;AB$3,PadreInput!$P:$P)</f>
        <v>69623.490550739996</v>
      </c>
      <c r="AC5">
        <f>SUMIF(PadreInput!$O:$O,$A5&amp;"_"&amp;AC$3,PadreInput!$P:$P)</f>
        <v>69002.036695760005</v>
      </c>
      <c r="AD5">
        <f>SUMIF(PadreInput!$O:$O,$A5&amp;"_"&amp;AD$3,PadreInput!$P:$P)</f>
        <v>69055.99742499998</v>
      </c>
      <c r="AE5">
        <f>SUMIF(PadreInput!$O:$O,$A5&amp;"_"&amp;AE$3,PadreInput!$P:$P)</f>
        <v>69637.165925009991</v>
      </c>
      <c r="AF5">
        <f>SUMIF(PadreInput!$O:$O,$A5&amp;"_"&amp;AF$3,PadreInput!$P:$P)</f>
        <v>69051.417924979993</v>
      </c>
      <c r="AG5">
        <f>SUMIF(PadreInput!$O:$O,$A5&amp;"_"&amp;AG$3,PadreInput!$P:$P)</f>
        <v>0</v>
      </c>
      <c r="AH5">
        <f>SUMIF(PadreInput!$O:$O,$A5&amp;"_"&amp;AH$3,PadreInput!$P:$P)</f>
        <v>0</v>
      </c>
      <c r="AI5">
        <f>SUMIF(PadreInput!$O:$O,$A5&amp;"_"&amp;AI$3,PadreInput!$P:$P)</f>
        <v>0</v>
      </c>
      <c r="AJ5">
        <f>SUMIF(PadreInput!$O:$O,$A5&amp;"_"&amp;AJ$3,PadreInput!$P:$P)</f>
        <v>0</v>
      </c>
      <c r="AK5">
        <f>SUMIF(PadreInput!$O:$O,$A5&amp;"_"&amp;AK$3,PadreInput!$P:$P)</f>
        <v>0</v>
      </c>
      <c r="AL5">
        <f>SUMIF(PadreInput!$O:$O,$A5&amp;"_"&amp;AL$3,PadreInput!$P:$P)</f>
        <v>0</v>
      </c>
      <c r="AM5">
        <f>SUMIF(PadreInput!$O:$O,$A5&amp;"_"&amp;AM$3,PadreInput!$P:$P)</f>
        <v>0</v>
      </c>
      <c r="AN5">
        <f>SUMIF(PadreInput!$O:$O,$A5&amp;"_"&amp;AN$3,PadreInput!$P:$P)</f>
        <v>0</v>
      </c>
      <c r="AO5">
        <f>SUMIF(PadreInput!$O:$O,$A5&amp;"_"&amp;AO$3,PadreInput!$P:$P)</f>
        <v>0</v>
      </c>
      <c r="AP5">
        <f>SUMIF(PadreInput!$O:$O,$A5&amp;"_"&amp;AP$3,PadreInput!$P:$P)</f>
        <v>0</v>
      </c>
      <c r="AQ5">
        <f>SUMIF(PadreInput!$O:$O,$A5&amp;"_"&amp;AQ$3,PadreInput!$P:$P)</f>
        <v>0</v>
      </c>
      <c r="AR5">
        <f>SUMIF(PadreInput!$O:$O,$A5&amp;"_"&amp;AR$3,PadreInput!$P:$P)</f>
        <v>0</v>
      </c>
      <c r="AS5">
        <f>SUMIF(PadreInput!$O:$O,$A5&amp;"_"&amp;AS$3,PadreInput!$P:$P)</f>
        <v>0</v>
      </c>
      <c r="AT5">
        <f>SUMIF(PadreInput!$O:$O,$A5&amp;"_"&amp;AT$3,PadreInput!$P:$P)</f>
        <v>0</v>
      </c>
      <c r="AU5">
        <f>SUMIF(PadreInput!$O:$O,$A5&amp;"_"&amp;AU$3,PadreInput!$P:$P)</f>
        <v>0</v>
      </c>
      <c r="AV5">
        <f>SUMIF(PadreInput!$O:$O,$A5&amp;"_"&amp;AV$3,PadreInput!$P:$P)</f>
        <v>0</v>
      </c>
      <c r="AW5">
        <f>SUMIF(PadreInput!$O:$O,$A5&amp;"_"&amp;AW$3,PadreInput!$P:$P)</f>
        <v>0</v>
      </c>
      <c r="AX5">
        <f>SUMIF(PadreInput!$O:$O,$A5&amp;"_"&amp;AX$3,PadreInput!$P:$P)</f>
        <v>0</v>
      </c>
      <c r="AY5">
        <f>SUMIF(PadreInput!$O:$O,$A5&amp;"_"&amp;AY$3,PadreInput!$P:$P)</f>
        <v>0</v>
      </c>
      <c r="AZ5">
        <f>SUMIF(PadreInput!$O:$O,$A5&amp;"_"&amp;AZ$3,PadreInput!$P:$P)</f>
        <v>0</v>
      </c>
      <c r="BA5">
        <f>SUMIF(PadreInput!$O:$O,$A5&amp;"_"&amp;BA$3,PadreInput!$P:$P)</f>
        <v>0</v>
      </c>
      <c r="BB5">
        <f>SUMIF(PadreInput!$O:$O,$A5&amp;"_"&amp;BB$3,PadreInput!$P:$P)</f>
        <v>0</v>
      </c>
      <c r="BC5">
        <f>SUMIF(PadreInput!$O:$O,$A5&amp;"_"&amp;BC$3,PadreInput!$P:$P)</f>
        <v>0</v>
      </c>
      <c r="BD5">
        <f>SUMIF(PadreInput!$O:$O,$A5&amp;"_"&amp;BD$3,PadreInput!$P:$P)</f>
        <v>0</v>
      </c>
      <c r="BE5">
        <f>SUMIF(PadreInput!$O:$O,$A5&amp;"_"&amp;BE$3,PadreInput!$P:$P)</f>
        <v>0</v>
      </c>
      <c r="BF5">
        <f>SUMIF(PadreInput!$O:$O,$A5&amp;"_"&amp;BF$3,PadreInput!$P:$P)</f>
        <v>0</v>
      </c>
      <c r="BG5">
        <f>SUMIF(PadreInput!$O:$O,$A5&amp;"_"&amp;BG$3,PadreInput!$P:$P)</f>
        <v>0</v>
      </c>
      <c r="BH5">
        <f>SUMIF(PadreInput!$O:$O,$A5&amp;"_"&amp;BH$3,PadreInput!$P:$P)</f>
        <v>0</v>
      </c>
      <c r="BI5">
        <f>SUMIF(PadreInput!$O:$O,$A5&amp;"_"&amp;BI$3,PadreInput!$P:$P)</f>
        <v>0</v>
      </c>
      <c r="BJ5">
        <f>SUMIF(PadreInput!$O:$O,$A5&amp;"_"&amp;BJ$3,PadreInput!$P:$P)</f>
        <v>0</v>
      </c>
      <c r="BK5">
        <f>SUMIF(PadreInput!$O:$O,$A5&amp;"_"&amp;BK$3,PadreInput!$P:$P)</f>
        <v>0</v>
      </c>
      <c r="BL5">
        <f>SUMIF(PadreInput!$O:$O,$A5&amp;"_"&amp;BL$3,PadreInput!$P:$P)</f>
        <v>0</v>
      </c>
      <c r="BM5">
        <f>SUMIF(PadreInput!$O:$O,$A5&amp;"_"&amp;BM$3,PadreInput!$P:$P)</f>
        <v>0</v>
      </c>
      <c r="BN5">
        <f>SUMIF(PadreInput!$O:$O,$A5&amp;"_"&amp;BN$3,PadreInput!$P:$P)</f>
        <v>0</v>
      </c>
      <c r="BO5">
        <f>SUMIF(PadreInput!$O:$O,$A5&amp;"_"&amp;BO$3,PadreInput!$P:$P)</f>
        <v>0</v>
      </c>
      <c r="BP5">
        <f>SUMIF(PadreInput!$O:$O,$A5&amp;"_"&amp;BP$3,PadreInput!$P:$P)</f>
        <v>0</v>
      </c>
      <c r="BQ5">
        <f>SUMIF(PadreInput!$O:$O,$A5&amp;"_"&amp;BQ$3,PadreInput!$P:$P)</f>
        <v>0</v>
      </c>
      <c r="BR5">
        <f>SUMIF(PadreInput!$O:$O,$A5&amp;"_"&amp;BR$3,PadreInput!$P:$P)</f>
        <v>0</v>
      </c>
      <c r="BS5">
        <f>SUMIF(PadreInput!$O:$O,$A5&amp;"_"&amp;BS$3,PadreInput!$P:$P)</f>
        <v>0</v>
      </c>
      <c r="BT5">
        <f>SUMIF(PadreInput!$O:$O,$A5&amp;"_"&amp;BT$3,PadreInput!$P:$P)</f>
        <v>0</v>
      </c>
      <c r="BU5">
        <f>SUMIF(PadreInput!$O:$O,$A5&amp;"_"&amp;BU$3,PadreInput!$P:$P)</f>
        <v>0</v>
      </c>
      <c r="BV5">
        <f>SUMIF(PadreInput!$O:$O,$A5&amp;"_"&amp;BV$3,PadreInput!$P:$P)</f>
        <v>0</v>
      </c>
      <c r="BW5">
        <f>SUMIF(PadreInput!$O:$O,$A5&amp;"_"&amp;BW$3,PadreInput!$P:$P)</f>
        <v>0</v>
      </c>
      <c r="BX5">
        <f>SUMIF(PadreInput!$O:$O,$A5&amp;"_"&amp;BX$3,PadreInput!$P:$P)</f>
        <v>0</v>
      </c>
      <c r="BY5">
        <f>SUMIF(PadreInput!$O:$O,$A5&amp;"_"&amp;BY$3,PadreInput!$P:$P)</f>
        <v>0</v>
      </c>
      <c r="BZ5">
        <f>SUMIF(PadreInput!$O:$O,$A5&amp;"_"&amp;BZ$3,PadreInput!$P:$P)</f>
        <v>0</v>
      </c>
      <c r="CA5">
        <f>SUMIF(PadreInput!$O:$O,$A5&amp;"_"&amp;CA$3,PadreInput!$P:$P)</f>
        <v>0</v>
      </c>
      <c r="CB5">
        <f>SUMIF(PadreInput!$O:$O,$A5&amp;"_"&amp;CB$3,PadreInput!$P:$P)</f>
        <v>0</v>
      </c>
      <c r="CC5">
        <f>SUMIF(PadreInput!$O:$O,$A5&amp;"_"&amp;CC$3,PadreInput!$P:$P)</f>
        <v>0</v>
      </c>
      <c r="CD5">
        <f>SUMIF(PadreInput!$O:$O,$A5&amp;"_"&amp;CD$3,PadreInput!$P:$P)</f>
        <v>0</v>
      </c>
      <c r="CE5">
        <f>SUMIF(PadreInput!$O:$O,$A5&amp;"_"&amp;CE$3,PadreInput!$P:$P)</f>
        <v>0</v>
      </c>
      <c r="CF5">
        <f>SUMIF(PadreInput!$O:$O,$A5&amp;"_"&amp;CF$3,PadreInput!$P:$P)</f>
        <v>0</v>
      </c>
      <c r="CG5">
        <f>SUMIF(PadreInput!$O:$O,$A5&amp;"_"&amp;CG$3,PadreInput!$P:$P)</f>
        <v>0</v>
      </c>
      <c r="CH5">
        <f>SUMIF(PadreInput!$O:$O,$A5&amp;"_"&amp;CH$3,PadreInput!$P:$P)</f>
        <v>0</v>
      </c>
      <c r="CI5">
        <f>SUMIF(PadreInput!$O:$O,$A5&amp;"_"&amp;CI$3,PadreInput!$P:$P)</f>
        <v>0</v>
      </c>
      <c r="CJ5">
        <f>SUMIF(PadreInput!$O:$O,$A5&amp;"_"&amp;CJ$3,PadreInput!$P:$P)</f>
        <v>0</v>
      </c>
      <c r="CK5">
        <f>SUMIF(PadreInput!$O:$O,$A5&amp;"_"&amp;CK$3,PadreInput!$P:$P)</f>
        <v>0</v>
      </c>
      <c r="CL5">
        <f>SUMIF(PadreInput!$O:$O,$A5&amp;"_"&amp;CL$3,PadreInput!$P:$P)</f>
        <v>0</v>
      </c>
      <c r="CM5">
        <f>SUMIF(PadreInput!$O:$O,$A5&amp;"_"&amp;CM$3,PadreInput!$P:$P)</f>
        <v>0</v>
      </c>
      <c r="CN5">
        <f>SUMIF(PadreInput!$O:$O,$A5&amp;"_"&amp;CN$3,PadreInput!$P:$P)</f>
        <v>0</v>
      </c>
    </row>
    <row r="6" spans="1:92" x14ac:dyDescent="0.25">
      <c r="A6" t="s">
        <v>141</v>
      </c>
      <c r="B6">
        <f>SUMIF(PadreInput!$O:$O,$A6&amp;"_"&amp;B$3,PadreInput!$P:$P)</f>
        <v>0</v>
      </c>
      <c r="C6">
        <f>SUMIF(PadreInput!$O:$O,$A6&amp;"_"&amp;C$3,PadreInput!$P:$P)</f>
        <v>0</v>
      </c>
      <c r="D6">
        <f>SUMIF(PadreInput!$O:$O,$A6&amp;"_"&amp;D$3,PadreInput!$P:$P)</f>
        <v>0</v>
      </c>
      <c r="E6">
        <f>SUMIF(PadreInput!$O:$O,$A6&amp;"_"&amp;E$3,PadreInput!$P:$P)</f>
        <v>0</v>
      </c>
      <c r="F6">
        <f>SUMIF(PadreInput!$O:$O,$A6&amp;"_"&amp;F$3,PadreInput!$P:$P)</f>
        <v>0</v>
      </c>
      <c r="G6">
        <f>SUMIF(PadreInput!$O:$O,$A6&amp;"_"&amp;G$3,PadreInput!$P:$P)</f>
        <v>0</v>
      </c>
      <c r="H6">
        <f>SUMIF(PadreInput!$O:$O,$A6&amp;"_"&amp;H$3,PadreInput!$P:$P)</f>
        <v>0</v>
      </c>
      <c r="I6">
        <f>SUMIF(PadreInput!$O:$O,$A6&amp;"_"&amp;I$3,PadreInput!$P:$P)</f>
        <v>0</v>
      </c>
      <c r="J6">
        <f>SUMIF(PadreInput!$O:$O,$A6&amp;"_"&amp;J$3,PadreInput!$P:$P)</f>
        <v>0</v>
      </c>
      <c r="K6">
        <f>SUMIF(PadreInput!$O:$O,$A6&amp;"_"&amp;K$3,PadreInput!$P:$P)</f>
        <v>0</v>
      </c>
      <c r="L6">
        <f>SUMIF(PadreInput!$O:$O,$A6&amp;"_"&amp;L$3,PadreInput!$P:$P)</f>
        <v>0</v>
      </c>
      <c r="M6">
        <f>SUMIF(PadreInput!$O:$O,$A6&amp;"_"&amp;M$3,PadreInput!$P:$P)</f>
        <v>52935.340922999996</v>
      </c>
      <c r="N6">
        <f>SUMIF(PadreInput!$O:$O,$A6&amp;"_"&amp;N$3,PadreInput!$P:$P)</f>
        <v>55649.840922989999</v>
      </c>
      <c r="O6">
        <f>SUMIF(PadreInput!$O:$O,$A6&amp;"_"&amp;O$3,PadreInput!$P:$P)</f>
        <v>58149.840923000003</v>
      </c>
      <c r="P6">
        <f>SUMIF(PadreInput!$O:$O,$A6&amp;"_"&amp;P$3,PadreInput!$P:$P)</f>
        <v>60649.840922989999</v>
      </c>
      <c r="Q6">
        <f>SUMIF(PadreInput!$O:$O,$A6&amp;"_"&amp;Q$3,PadreInput!$P:$P)</f>
        <v>63150.140922999999</v>
      </c>
      <c r="R6">
        <f>SUMIF(PadreInput!$O:$O,$A6&amp;"_"&amp;R$3,PadreInput!$P:$P)</f>
        <v>65650.140922990002</v>
      </c>
      <c r="S6">
        <f>SUMIF(PadreInput!$O:$O,$A6&amp;"_"&amp;S$3,PadreInput!$P:$P)</f>
        <v>68150.140922990002</v>
      </c>
      <c r="T6">
        <f>SUMIF(PadreInput!$O:$O,$A6&amp;"_"&amp;T$3,PadreInput!$P:$P)</f>
        <v>70650.140922990002</v>
      </c>
      <c r="U6">
        <f>SUMIF(PadreInput!$O:$O,$A6&amp;"_"&amp;U$3,PadreInput!$P:$P)</f>
        <v>73150.140922999999</v>
      </c>
      <c r="V6">
        <f>SUMIF(PadreInput!$O:$O,$A6&amp;"_"&amp;V$3,PadreInput!$P:$P)</f>
        <v>75650.140922999984</v>
      </c>
      <c r="W6">
        <f>SUMIF(PadreInput!$O:$O,$A6&amp;"_"&amp;W$3,PadreInput!$P:$P)</f>
        <v>78150.140922999984</v>
      </c>
      <c r="X6">
        <f>SUMIF(PadreInput!$O:$O,$A6&amp;"_"&amp;X$3,PadreInput!$P:$P)</f>
        <v>80650.140922989987</v>
      </c>
      <c r="Y6">
        <f>SUMIF(PadreInput!$O:$O,$A6&amp;"_"&amp;Y$3,PadreInput!$P:$P)</f>
        <v>83150.140922999999</v>
      </c>
      <c r="Z6">
        <f>SUMIF(PadreInput!$O:$O,$A6&amp;"_"&amp;Z$3,PadreInput!$P:$P)</f>
        <v>85650.140922999999</v>
      </c>
      <c r="AA6">
        <f>SUMIF(PadreInput!$O:$O,$A6&amp;"_"&amp;AA$3,PadreInput!$P:$P)</f>
        <v>88150.140922999999</v>
      </c>
      <c r="AB6">
        <f>SUMIF(PadreInput!$O:$O,$A6&amp;"_"&amp;AB$3,PadreInput!$P:$P)</f>
        <v>90650.140922990002</v>
      </c>
      <c r="AC6">
        <f>SUMIF(PadreInput!$O:$O,$A6&amp;"_"&amp;AC$3,PadreInput!$P:$P)</f>
        <v>93150.140922980019</v>
      </c>
      <c r="AD6">
        <f>SUMIF(PadreInput!$O:$O,$A6&amp;"_"&amp;AD$3,PadreInput!$P:$P)</f>
        <v>95650.140923000014</v>
      </c>
      <c r="AE6">
        <f>SUMIF(PadreInput!$O:$O,$A6&amp;"_"&amp;AE$3,PadreInput!$P:$P)</f>
        <v>98150.140922990002</v>
      </c>
      <c r="AF6">
        <f>SUMIF(PadreInput!$O:$O,$A6&amp;"_"&amp;AF$3,PadreInput!$P:$P)</f>
        <v>100650.14092300001</v>
      </c>
      <c r="AG6">
        <f>SUMIF(PadreInput!$O:$O,$A6&amp;"_"&amp;AG$3,PadreInput!$P:$P)</f>
        <v>0</v>
      </c>
      <c r="AH6">
        <f>SUMIF(PadreInput!$O:$O,$A6&amp;"_"&amp;AH$3,PadreInput!$P:$P)</f>
        <v>0</v>
      </c>
      <c r="AI6">
        <f>SUMIF(PadreInput!$O:$O,$A6&amp;"_"&amp;AI$3,PadreInput!$P:$P)</f>
        <v>0</v>
      </c>
      <c r="AJ6">
        <f>SUMIF(PadreInput!$O:$O,$A6&amp;"_"&amp;AJ$3,PadreInput!$P:$P)</f>
        <v>0</v>
      </c>
      <c r="AK6">
        <f>SUMIF(PadreInput!$O:$O,$A6&amp;"_"&amp;AK$3,PadreInput!$P:$P)</f>
        <v>0</v>
      </c>
      <c r="AL6">
        <f>SUMIF(PadreInput!$O:$O,$A6&amp;"_"&amp;AL$3,PadreInput!$P:$P)</f>
        <v>0</v>
      </c>
      <c r="AM6">
        <f>SUMIF(PadreInput!$O:$O,$A6&amp;"_"&amp;AM$3,PadreInput!$P:$P)</f>
        <v>0</v>
      </c>
      <c r="AN6">
        <f>SUMIF(PadreInput!$O:$O,$A6&amp;"_"&amp;AN$3,PadreInput!$P:$P)</f>
        <v>0</v>
      </c>
      <c r="AO6">
        <f>SUMIF(PadreInput!$O:$O,$A6&amp;"_"&amp;AO$3,PadreInput!$P:$P)</f>
        <v>0</v>
      </c>
      <c r="AP6">
        <f>SUMIF(PadreInput!$O:$O,$A6&amp;"_"&amp;AP$3,PadreInput!$P:$P)</f>
        <v>0</v>
      </c>
      <c r="AQ6">
        <f>SUMIF(PadreInput!$O:$O,$A6&amp;"_"&amp;AQ$3,PadreInput!$P:$P)</f>
        <v>0</v>
      </c>
      <c r="AR6">
        <f>SUMIF(PadreInput!$O:$O,$A6&amp;"_"&amp;AR$3,PadreInput!$P:$P)</f>
        <v>0</v>
      </c>
      <c r="AS6">
        <f>SUMIF(PadreInput!$O:$O,$A6&amp;"_"&amp;AS$3,PadreInput!$P:$P)</f>
        <v>0</v>
      </c>
      <c r="AT6">
        <f>SUMIF(PadreInput!$O:$O,$A6&amp;"_"&amp;AT$3,PadreInput!$P:$P)</f>
        <v>0</v>
      </c>
      <c r="AU6">
        <f>SUMIF(PadreInput!$O:$O,$A6&amp;"_"&amp;AU$3,PadreInput!$P:$P)</f>
        <v>0</v>
      </c>
      <c r="AV6">
        <f>SUMIF(PadreInput!$O:$O,$A6&amp;"_"&amp;AV$3,PadreInput!$P:$P)</f>
        <v>0</v>
      </c>
      <c r="AW6">
        <f>SUMIF(PadreInput!$O:$O,$A6&amp;"_"&amp;AW$3,PadreInput!$P:$P)</f>
        <v>0</v>
      </c>
      <c r="AX6">
        <f>SUMIF(PadreInput!$O:$O,$A6&amp;"_"&amp;AX$3,PadreInput!$P:$P)</f>
        <v>0</v>
      </c>
      <c r="AY6">
        <f>SUMIF(PadreInput!$O:$O,$A6&amp;"_"&amp;AY$3,PadreInput!$P:$P)</f>
        <v>0</v>
      </c>
      <c r="AZ6">
        <f>SUMIF(PadreInput!$O:$O,$A6&amp;"_"&amp;AZ$3,PadreInput!$P:$P)</f>
        <v>0</v>
      </c>
      <c r="BA6">
        <f>SUMIF(PadreInput!$O:$O,$A6&amp;"_"&amp;BA$3,PadreInput!$P:$P)</f>
        <v>0</v>
      </c>
      <c r="BB6">
        <f>SUMIF(PadreInput!$O:$O,$A6&amp;"_"&amp;BB$3,PadreInput!$P:$P)</f>
        <v>0</v>
      </c>
      <c r="BC6">
        <f>SUMIF(PadreInput!$O:$O,$A6&amp;"_"&amp;BC$3,PadreInput!$P:$P)</f>
        <v>0</v>
      </c>
      <c r="BD6">
        <f>SUMIF(PadreInput!$O:$O,$A6&amp;"_"&amp;BD$3,PadreInput!$P:$P)</f>
        <v>0</v>
      </c>
      <c r="BE6">
        <f>SUMIF(PadreInput!$O:$O,$A6&amp;"_"&amp;BE$3,PadreInput!$P:$P)</f>
        <v>0</v>
      </c>
      <c r="BF6">
        <f>SUMIF(PadreInput!$O:$O,$A6&amp;"_"&amp;BF$3,PadreInput!$P:$P)</f>
        <v>0</v>
      </c>
      <c r="BG6">
        <f>SUMIF(PadreInput!$O:$O,$A6&amp;"_"&amp;BG$3,PadreInput!$P:$P)</f>
        <v>0</v>
      </c>
      <c r="BH6">
        <f>SUMIF(PadreInput!$O:$O,$A6&amp;"_"&amp;BH$3,PadreInput!$P:$P)</f>
        <v>0</v>
      </c>
      <c r="BI6">
        <f>SUMIF(PadreInput!$O:$O,$A6&amp;"_"&amp;BI$3,PadreInput!$P:$P)</f>
        <v>0</v>
      </c>
      <c r="BJ6">
        <f>SUMIF(PadreInput!$O:$O,$A6&amp;"_"&amp;BJ$3,PadreInput!$P:$P)</f>
        <v>0</v>
      </c>
      <c r="BK6">
        <f>SUMIF(PadreInput!$O:$O,$A6&amp;"_"&amp;BK$3,PadreInput!$P:$P)</f>
        <v>0</v>
      </c>
      <c r="BL6">
        <f>SUMIF(PadreInput!$O:$O,$A6&amp;"_"&amp;BL$3,PadreInput!$P:$P)</f>
        <v>0</v>
      </c>
      <c r="BM6">
        <f>SUMIF(PadreInput!$O:$O,$A6&amp;"_"&amp;BM$3,PadreInput!$P:$P)</f>
        <v>0</v>
      </c>
      <c r="BN6">
        <f>SUMIF(PadreInput!$O:$O,$A6&amp;"_"&amp;BN$3,PadreInput!$P:$P)</f>
        <v>0</v>
      </c>
      <c r="BO6">
        <f>SUMIF(PadreInput!$O:$O,$A6&amp;"_"&amp;BO$3,PadreInput!$P:$P)</f>
        <v>0</v>
      </c>
      <c r="BP6">
        <f>SUMIF(PadreInput!$O:$O,$A6&amp;"_"&amp;BP$3,PadreInput!$P:$P)</f>
        <v>0</v>
      </c>
      <c r="BQ6">
        <f>SUMIF(PadreInput!$O:$O,$A6&amp;"_"&amp;BQ$3,PadreInput!$P:$P)</f>
        <v>0</v>
      </c>
      <c r="BR6">
        <f>SUMIF(PadreInput!$O:$O,$A6&amp;"_"&amp;BR$3,PadreInput!$P:$P)</f>
        <v>0</v>
      </c>
      <c r="BS6">
        <f>SUMIF(PadreInput!$O:$O,$A6&amp;"_"&amp;BS$3,PadreInput!$P:$P)</f>
        <v>0</v>
      </c>
      <c r="BT6">
        <f>SUMIF(PadreInput!$O:$O,$A6&amp;"_"&amp;BT$3,PadreInput!$P:$P)</f>
        <v>0</v>
      </c>
      <c r="BU6">
        <f>SUMIF(PadreInput!$O:$O,$A6&amp;"_"&amp;BU$3,PadreInput!$P:$P)</f>
        <v>0</v>
      </c>
      <c r="BV6">
        <f>SUMIF(PadreInput!$O:$O,$A6&amp;"_"&amp;BV$3,PadreInput!$P:$P)</f>
        <v>0</v>
      </c>
      <c r="BW6">
        <f>SUMIF(PadreInput!$O:$O,$A6&amp;"_"&amp;BW$3,PadreInput!$P:$P)</f>
        <v>0</v>
      </c>
      <c r="BX6">
        <f>SUMIF(PadreInput!$O:$O,$A6&amp;"_"&amp;BX$3,PadreInput!$P:$P)</f>
        <v>0</v>
      </c>
      <c r="BY6">
        <f>SUMIF(PadreInput!$O:$O,$A6&amp;"_"&amp;BY$3,PadreInput!$P:$P)</f>
        <v>0</v>
      </c>
      <c r="BZ6">
        <f>SUMIF(PadreInput!$O:$O,$A6&amp;"_"&amp;BZ$3,PadreInput!$P:$P)</f>
        <v>0</v>
      </c>
      <c r="CA6">
        <f>SUMIF(PadreInput!$O:$O,$A6&amp;"_"&amp;CA$3,PadreInput!$P:$P)</f>
        <v>0</v>
      </c>
      <c r="CB6">
        <f>SUMIF(PadreInput!$O:$O,$A6&amp;"_"&amp;CB$3,PadreInput!$P:$P)</f>
        <v>0</v>
      </c>
      <c r="CC6">
        <f>SUMIF(PadreInput!$O:$O,$A6&amp;"_"&amp;CC$3,PadreInput!$P:$P)</f>
        <v>0</v>
      </c>
      <c r="CD6">
        <f>SUMIF(PadreInput!$O:$O,$A6&amp;"_"&amp;CD$3,PadreInput!$P:$P)</f>
        <v>0</v>
      </c>
      <c r="CE6">
        <f>SUMIF(PadreInput!$O:$O,$A6&amp;"_"&amp;CE$3,PadreInput!$P:$P)</f>
        <v>0</v>
      </c>
      <c r="CF6">
        <f>SUMIF(PadreInput!$O:$O,$A6&amp;"_"&amp;CF$3,PadreInput!$P:$P)</f>
        <v>0</v>
      </c>
      <c r="CG6">
        <f>SUMIF(PadreInput!$O:$O,$A6&amp;"_"&amp;CG$3,PadreInput!$P:$P)</f>
        <v>0</v>
      </c>
      <c r="CH6">
        <f>SUMIF(PadreInput!$O:$O,$A6&amp;"_"&amp;CH$3,PadreInput!$P:$P)</f>
        <v>0</v>
      </c>
      <c r="CI6">
        <f>SUMIF(PadreInput!$O:$O,$A6&amp;"_"&amp;CI$3,PadreInput!$P:$P)</f>
        <v>0</v>
      </c>
      <c r="CJ6">
        <f>SUMIF(PadreInput!$O:$O,$A6&amp;"_"&amp;CJ$3,PadreInput!$P:$P)</f>
        <v>0</v>
      </c>
      <c r="CK6">
        <f>SUMIF(PadreInput!$O:$O,$A6&amp;"_"&amp;CK$3,PadreInput!$P:$P)</f>
        <v>0</v>
      </c>
      <c r="CL6">
        <f>SUMIF(PadreInput!$O:$O,$A6&amp;"_"&amp;CL$3,PadreInput!$P:$P)</f>
        <v>0</v>
      </c>
      <c r="CM6">
        <f>SUMIF(PadreInput!$O:$O,$A6&amp;"_"&amp;CM$3,PadreInput!$P:$P)</f>
        <v>0</v>
      </c>
      <c r="CN6">
        <f>SUMIF(PadreInput!$O:$O,$A6&amp;"_"&amp;CN$3,PadreInput!$P:$P)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C7C0E-FD22-4B60-8DB0-02E9B31B2DE1}">
  <sheetPr codeName="Sheet5"/>
  <dimension ref="A1:CN3"/>
  <sheetViews>
    <sheetView workbookViewId="0"/>
  </sheetViews>
  <sheetFormatPr defaultRowHeight="15" x14ac:dyDescent="0.25"/>
  <cols>
    <col min="1" max="1" width="10" bestFit="1" customWidth="1"/>
    <col min="2" max="92" width="10.42578125" bestFit="1" customWidth="1"/>
  </cols>
  <sheetData>
    <row r="1" spans="1:92" x14ac:dyDescent="0.25">
      <c r="A1" t="s">
        <v>0</v>
      </c>
      <c r="B1" s="1">
        <v>40179</v>
      </c>
      <c r="C1" s="1">
        <v>40544</v>
      </c>
      <c r="D1" s="1">
        <v>40909</v>
      </c>
      <c r="E1" s="1">
        <v>41275</v>
      </c>
      <c r="F1" s="1">
        <v>41640</v>
      </c>
      <c r="G1" s="1">
        <v>42005</v>
      </c>
      <c r="H1" s="1">
        <v>42370</v>
      </c>
      <c r="I1" s="1">
        <v>42736</v>
      </c>
      <c r="J1" s="1">
        <v>43101</v>
      </c>
      <c r="K1" s="1">
        <v>43466</v>
      </c>
      <c r="L1" s="1">
        <v>43831</v>
      </c>
      <c r="M1" s="1">
        <v>44197</v>
      </c>
      <c r="N1" s="1">
        <v>44562</v>
      </c>
      <c r="O1" s="1">
        <v>44927</v>
      </c>
      <c r="P1" s="1">
        <v>45292</v>
      </c>
      <c r="Q1" s="1">
        <v>45658</v>
      </c>
      <c r="R1" s="1">
        <v>46023</v>
      </c>
      <c r="S1" s="1">
        <v>46388</v>
      </c>
      <c r="T1" s="1">
        <v>46753</v>
      </c>
      <c r="U1" s="1">
        <v>47119</v>
      </c>
      <c r="V1" s="1">
        <v>47484</v>
      </c>
      <c r="W1" s="1">
        <v>47849</v>
      </c>
      <c r="X1" s="1">
        <v>48214</v>
      </c>
      <c r="Y1" s="1">
        <v>48580</v>
      </c>
      <c r="Z1" s="1">
        <v>48945</v>
      </c>
      <c r="AA1" s="1">
        <v>49310</v>
      </c>
      <c r="AB1" s="1">
        <v>49675</v>
      </c>
      <c r="AC1" s="1">
        <v>50041</v>
      </c>
      <c r="AD1" s="1">
        <v>50406</v>
      </c>
      <c r="AE1" s="1">
        <v>50771</v>
      </c>
      <c r="AF1" s="1">
        <v>51136</v>
      </c>
      <c r="AG1" s="1">
        <v>51502</v>
      </c>
      <c r="AH1" s="1">
        <v>51867</v>
      </c>
      <c r="AI1" s="1">
        <v>52232</v>
      </c>
      <c r="AJ1" s="1">
        <v>52597</v>
      </c>
      <c r="AK1" s="1">
        <v>52963</v>
      </c>
      <c r="AL1" s="1">
        <v>53328</v>
      </c>
      <c r="AM1" s="1">
        <v>53693</v>
      </c>
      <c r="AN1" s="1">
        <v>54058</v>
      </c>
      <c r="AO1" s="1">
        <v>54424</v>
      </c>
      <c r="AP1" s="1">
        <v>54789</v>
      </c>
      <c r="AQ1" s="1">
        <v>55154</v>
      </c>
      <c r="AR1" s="1">
        <v>55519</v>
      </c>
      <c r="AS1" s="1">
        <v>55885</v>
      </c>
      <c r="AT1" s="1">
        <v>56250</v>
      </c>
      <c r="AU1" s="1">
        <v>56615</v>
      </c>
      <c r="AV1" s="1">
        <v>56980</v>
      </c>
      <c r="AW1" s="1">
        <v>57346</v>
      </c>
      <c r="AX1" s="1">
        <v>57711</v>
      </c>
      <c r="AY1" s="1">
        <v>58076</v>
      </c>
      <c r="AZ1" s="1">
        <v>58441</v>
      </c>
      <c r="BA1" s="1">
        <v>58807</v>
      </c>
      <c r="BB1" s="1">
        <v>59172</v>
      </c>
      <c r="BC1" s="1">
        <v>59537</v>
      </c>
      <c r="BD1" s="1">
        <v>59902</v>
      </c>
      <c r="BE1" s="1">
        <v>60268</v>
      </c>
      <c r="BF1" s="1">
        <v>60633</v>
      </c>
      <c r="BG1" s="1">
        <v>60998</v>
      </c>
      <c r="BH1" s="1">
        <v>61363</v>
      </c>
      <c r="BI1" s="1">
        <v>61729</v>
      </c>
      <c r="BJ1" s="1">
        <v>62094</v>
      </c>
      <c r="BK1" s="1">
        <v>62459</v>
      </c>
      <c r="BL1" s="1">
        <v>62824</v>
      </c>
      <c r="BM1" s="1">
        <v>63190</v>
      </c>
      <c r="BN1" s="1">
        <v>63555</v>
      </c>
      <c r="BO1" s="1">
        <v>63920</v>
      </c>
      <c r="BP1" s="1">
        <v>64285</v>
      </c>
      <c r="BQ1" s="1">
        <v>64651</v>
      </c>
      <c r="BR1" s="1">
        <v>65016</v>
      </c>
      <c r="BS1" s="1">
        <v>65381</v>
      </c>
      <c r="BT1" s="1">
        <v>65746</v>
      </c>
      <c r="BU1" s="1">
        <v>66112</v>
      </c>
      <c r="BV1" s="1">
        <v>66477</v>
      </c>
      <c r="BW1" s="1">
        <v>66842</v>
      </c>
      <c r="BX1" s="1">
        <v>67207</v>
      </c>
      <c r="BY1" s="1">
        <v>67573</v>
      </c>
      <c r="BZ1" s="1">
        <v>67938</v>
      </c>
      <c r="CA1" s="1">
        <v>68303</v>
      </c>
      <c r="CB1" s="1">
        <v>68668</v>
      </c>
      <c r="CC1" s="1">
        <v>69034</v>
      </c>
      <c r="CD1" s="1">
        <v>69399</v>
      </c>
      <c r="CE1" s="1">
        <v>69764</v>
      </c>
      <c r="CF1" s="1">
        <v>70129</v>
      </c>
      <c r="CG1" s="1">
        <v>70495</v>
      </c>
      <c r="CH1" s="1">
        <v>70860</v>
      </c>
      <c r="CI1" s="1">
        <v>71225</v>
      </c>
      <c r="CJ1" s="1">
        <v>71590</v>
      </c>
      <c r="CK1" s="1">
        <v>71956</v>
      </c>
      <c r="CL1" s="1">
        <v>72321</v>
      </c>
      <c r="CM1" s="1">
        <v>72686</v>
      </c>
      <c r="CN1" s="1">
        <v>73051</v>
      </c>
    </row>
    <row r="2" spans="1:92" x14ac:dyDescent="0.25">
      <c r="A2" t="s">
        <v>137</v>
      </c>
      <c r="B2">
        <v>0.2</v>
      </c>
      <c r="C2">
        <v>0.2</v>
      </c>
      <c r="D2">
        <v>0.2</v>
      </c>
      <c r="E2">
        <v>0.2</v>
      </c>
      <c r="F2">
        <v>0.2</v>
      </c>
      <c r="G2">
        <v>0.2</v>
      </c>
      <c r="H2">
        <v>0.2</v>
      </c>
      <c r="I2">
        <v>0.2</v>
      </c>
      <c r="J2">
        <v>0.2</v>
      </c>
      <c r="K2">
        <v>0.2</v>
      </c>
      <c r="L2">
        <v>0.2</v>
      </c>
      <c r="M2">
        <v>0.2</v>
      </c>
      <c r="N2">
        <v>0.2</v>
      </c>
      <c r="O2">
        <v>0.2</v>
      </c>
      <c r="P2">
        <v>0.2</v>
      </c>
      <c r="Q2">
        <v>0.2</v>
      </c>
      <c r="R2">
        <v>0.2</v>
      </c>
      <c r="S2">
        <v>0.2</v>
      </c>
      <c r="T2">
        <v>0.2</v>
      </c>
      <c r="U2">
        <v>0.2</v>
      </c>
      <c r="V2">
        <v>0.2</v>
      </c>
      <c r="W2">
        <v>0.2</v>
      </c>
      <c r="X2">
        <v>0.2</v>
      </c>
      <c r="Y2">
        <v>0.2</v>
      </c>
      <c r="Z2">
        <v>0.2</v>
      </c>
      <c r="AA2">
        <v>0.2</v>
      </c>
      <c r="AB2">
        <v>0.2</v>
      </c>
      <c r="AC2">
        <v>0.2</v>
      </c>
      <c r="AD2">
        <v>0.2</v>
      </c>
      <c r="AE2">
        <v>0.2</v>
      </c>
      <c r="AF2">
        <v>0.2</v>
      </c>
      <c r="AG2">
        <v>0.2</v>
      </c>
      <c r="AH2">
        <v>0.2</v>
      </c>
      <c r="AI2">
        <v>0.2</v>
      </c>
      <c r="AJ2">
        <v>0.2</v>
      </c>
      <c r="AK2">
        <v>0.2</v>
      </c>
      <c r="AL2">
        <v>0.2</v>
      </c>
      <c r="AM2">
        <v>0.2</v>
      </c>
      <c r="AN2">
        <v>0.2</v>
      </c>
      <c r="AO2">
        <v>0.2</v>
      </c>
      <c r="AP2">
        <v>0.2</v>
      </c>
      <c r="AQ2">
        <v>0.2</v>
      </c>
      <c r="AR2">
        <v>0.2</v>
      </c>
      <c r="AS2">
        <v>0.2</v>
      </c>
      <c r="AT2">
        <v>0.2</v>
      </c>
      <c r="AU2">
        <v>0.2</v>
      </c>
      <c r="AV2">
        <v>0.2</v>
      </c>
      <c r="AW2">
        <v>0.2</v>
      </c>
      <c r="AX2">
        <v>0.2</v>
      </c>
      <c r="AY2">
        <v>0.2</v>
      </c>
      <c r="AZ2">
        <v>0.2</v>
      </c>
      <c r="BA2">
        <v>0.2</v>
      </c>
      <c r="BB2">
        <v>0.2</v>
      </c>
      <c r="BC2">
        <v>0.2</v>
      </c>
      <c r="BD2">
        <v>0.2</v>
      </c>
      <c r="BE2">
        <v>0.2</v>
      </c>
      <c r="BF2">
        <v>0.2</v>
      </c>
      <c r="BG2">
        <v>0.2</v>
      </c>
      <c r="BH2">
        <v>0.2</v>
      </c>
      <c r="BI2">
        <v>0.2</v>
      </c>
      <c r="BJ2">
        <v>0.2</v>
      </c>
      <c r="BK2">
        <v>0.2</v>
      </c>
      <c r="BL2">
        <v>0.2</v>
      </c>
      <c r="BM2">
        <v>0.2</v>
      </c>
      <c r="BN2">
        <v>0.2</v>
      </c>
      <c r="BO2">
        <v>0.2</v>
      </c>
      <c r="BP2">
        <v>0.2</v>
      </c>
      <c r="BQ2">
        <v>0.2</v>
      </c>
      <c r="BR2">
        <v>0.2</v>
      </c>
      <c r="BS2">
        <v>0.2</v>
      </c>
      <c r="BT2">
        <v>0.2</v>
      </c>
      <c r="BU2">
        <v>0.2</v>
      </c>
      <c r="BV2">
        <v>0.2</v>
      </c>
      <c r="BW2">
        <v>0.2</v>
      </c>
      <c r="BX2">
        <v>0.2</v>
      </c>
      <c r="BY2">
        <v>0.2</v>
      </c>
      <c r="BZ2">
        <v>0.2</v>
      </c>
      <c r="CA2">
        <v>0.2</v>
      </c>
      <c r="CB2">
        <v>0.2</v>
      </c>
      <c r="CC2">
        <v>0.2</v>
      </c>
      <c r="CD2">
        <v>0.2</v>
      </c>
      <c r="CE2">
        <v>0.2</v>
      </c>
      <c r="CF2">
        <v>0.2</v>
      </c>
      <c r="CG2">
        <v>0.2</v>
      </c>
      <c r="CH2">
        <v>0.2</v>
      </c>
      <c r="CI2">
        <v>0.2</v>
      </c>
      <c r="CJ2">
        <v>0.2</v>
      </c>
      <c r="CK2">
        <v>0.2</v>
      </c>
      <c r="CL2">
        <v>0.2</v>
      </c>
      <c r="CM2">
        <v>0.2</v>
      </c>
      <c r="CN2">
        <v>0.2</v>
      </c>
    </row>
    <row r="3" spans="1:92" x14ac:dyDescent="0.25">
      <c r="A3" t="s">
        <v>138</v>
      </c>
      <c r="B3">
        <v>0.8</v>
      </c>
      <c r="C3">
        <v>0.8</v>
      </c>
      <c r="D3">
        <v>0.8</v>
      </c>
      <c r="E3">
        <v>0.8</v>
      </c>
      <c r="F3">
        <v>0.8</v>
      </c>
      <c r="G3">
        <v>0.8</v>
      </c>
      <c r="H3">
        <v>0.8</v>
      </c>
      <c r="I3">
        <v>0.8</v>
      </c>
      <c r="J3">
        <v>0.8</v>
      </c>
      <c r="K3">
        <v>0.8</v>
      </c>
      <c r="L3">
        <v>0.8</v>
      </c>
      <c r="M3">
        <v>0.8</v>
      </c>
      <c r="N3">
        <v>0.8</v>
      </c>
      <c r="O3">
        <v>0.8</v>
      </c>
      <c r="P3">
        <v>0.8</v>
      </c>
      <c r="Q3">
        <v>0.8</v>
      </c>
      <c r="R3">
        <v>0.8</v>
      </c>
      <c r="S3">
        <v>0.8</v>
      </c>
      <c r="T3">
        <v>0.8</v>
      </c>
      <c r="U3">
        <v>0.8</v>
      </c>
      <c r="V3">
        <v>0.8</v>
      </c>
      <c r="W3">
        <v>0.8</v>
      </c>
      <c r="X3">
        <v>0.8</v>
      </c>
      <c r="Y3">
        <v>0.8</v>
      </c>
      <c r="Z3">
        <v>0.8</v>
      </c>
      <c r="AA3">
        <v>0.8</v>
      </c>
      <c r="AB3">
        <v>0.8</v>
      </c>
      <c r="AC3">
        <v>0.8</v>
      </c>
      <c r="AD3">
        <v>0.8</v>
      </c>
      <c r="AE3">
        <v>0.8</v>
      </c>
      <c r="AF3">
        <v>0.8</v>
      </c>
      <c r="AG3">
        <v>0.8</v>
      </c>
      <c r="AH3">
        <v>0.8</v>
      </c>
      <c r="AI3">
        <v>0.8</v>
      </c>
      <c r="AJ3">
        <v>0.8</v>
      </c>
      <c r="AK3">
        <v>0.8</v>
      </c>
      <c r="AL3">
        <v>0.8</v>
      </c>
      <c r="AM3">
        <v>0.8</v>
      </c>
      <c r="AN3">
        <v>0.8</v>
      </c>
      <c r="AO3">
        <v>0.8</v>
      </c>
      <c r="AP3">
        <v>0.8</v>
      </c>
      <c r="AQ3">
        <v>0.8</v>
      </c>
      <c r="AR3">
        <v>0.8</v>
      </c>
      <c r="AS3">
        <v>0.8</v>
      </c>
      <c r="AT3">
        <v>0.8</v>
      </c>
      <c r="AU3">
        <v>0.8</v>
      </c>
      <c r="AV3">
        <v>0.8</v>
      </c>
      <c r="AW3">
        <v>0.8</v>
      </c>
      <c r="AX3">
        <v>0.8</v>
      </c>
      <c r="AY3">
        <v>0.8</v>
      </c>
      <c r="AZ3">
        <v>0.8</v>
      </c>
      <c r="BA3">
        <v>0.8</v>
      </c>
      <c r="BB3">
        <v>0.8</v>
      </c>
      <c r="BC3">
        <v>0.8</v>
      </c>
      <c r="BD3">
        <v>0.8</v>
      </c>
      <c r="BE3">
        <v>0.8</v>
      </c>
      <c r="BF3">
        <v>0.8</v>
      </c>
      <c r="BG3">
        <v>0.8</v>
      </c>
      <c r="BH3">
        <v>0.8</v>
      </c>
      <c r="BI3">
        <v>0.8</v>
      </c>
      <c r="BJ3">
        <v>0.8</v>
      </c>
      <c r="BK3">
        <v>0.8</v>
      </c>
      <c r="BL3">
        <v>0.8</v>
      </c>
      <c r="BM3">
        <v>0.8</v>
      </c>
      <c r="BN3">
        <v>0.8</v>
      </c>
      <c r="BO3">
        <v>0.8</v>
      </c>
      <c r="BP3">
        <v>0.8</v>
      </c>
      <c r="BQ3">
        <v>0.8</v>
      </c>
      <c r="BR3">
        <v>0.8</v>
      </c>
      <c r="BS3">
        <v>0.8</v>
      </c>
      <c r="BT3">
        <v>0.8</v>
      </c>
      <c r="BU3">
        <v>0.8</v>
      </c>
      <c r="BV3">
        <v>0.8</v>
      </c>
      <c r="BW3">
        <v>0.8</v>
      </c>
      <c r="BX3">
        <v>0.8</v>
      </c>
      <c r="BY3">
        <v>0.8</v>
      </c>
      <c r="BZ3">
        <v>0.8</v>
      </c>
      <c r="CA3">
        <v>0.8</v>
      </c>
      <c r="CB3">
        <v>0.8</v>
      </c>
      <c r="CC3">
        <v>0.8</v>
      </c>
      <c r="CD3">
        <v>0.8</v>
      </c>
      <c r="CE3">
        <v>0.8</v>
      </c>
      <c r="CF3">
        <v>0.8</v>
      </c>
      <c r="CG3">
        <v>0.8</v>
      </c>
      <c r="CH3">
        <v>0.8</v>
      </c>
      <c r="CI3">
        <v>0.8</v>
      </c>
      <c r="CJ3">
        <v>0.8</v>
      </c>
      <c r="CK3">
        <v>0.8</v>
      </c>
      <c r="CL3">
        <v>0.8</v>
      </c>
      <c r="CM3">
        <v>0.8</v>
      </c>
      <c r="CN3">
        <v>0.8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C0F88-3D33-4156-A1B0-64466670BEAE}">
  <sheetPr codeName="Sheet12"/>
  <dimension ref="A1:CN10"/>
  <sheetViews>
    <sheetView workbookViewId="0">
      <selection activeCell="K24" sqref="K24"/>
    </sheetView>
  </sheetViews>
  <sheetFormatPr defaultRowHeight="15" x14ac:dyDescent="0.25"/>
  <sheetData>
    <row r="1" spans="1:92" x14ac:dyDescent="0.25">
      <c r="A1" t="s">
        <v>571</v>
      </c>
      <c r="B1">
        <v>2010</v>
      </c>
      <c r="C1">
        <f>B1+1</f>
        <v>2011</v>
      </c>
      <c r="D1">
        <f t="shared" ref="D1:BO1" si="0">C1+1</f>
        <v>2012</v>
      </c>
      <c r="E1">
        <f t="shared" si="0"/>
        <v>2013</v>
      </c>
      <c r="F1">
        <f t="shared" si="0"/>
        <v>2014</v>
      </c>
      <c r="G1">
        <f t="shared" si="0"/>
        <v>2015</v>
      </c>
      <c r="H1">
        <f t="shared" si="0"/>
        <v>2016</v>
      </c>
      <c r="I1">
        <f t="shared" si="0"/>
        <v>2017</v>
      </c>
      <c r="J1">
        <f t="shared" si="0"/>
        <v>2018</v>
      </c>
      <c r="K1">
        <f t="shared" si="0"/>
        <v>2019</v>
      </c>
      <c r="L1">
        <f t="shared" si="0"/>
        <v>2020</v>
      </c>
      <c r="M1">
        <f t="shared" si="0"/>
        <v>2021</v>
      </c>
      <c r="N1">
        <f t="shared" si="0"/>
        <v>2022</v>
      </c>
      <c r="O1">
        <f t="shared" si="0"/>
        <v>2023</v>
      </c>
      <c r="P1">
        <f t="shared" si="0"/>
        <v>2024</v>
      </c>
      <c r="Q1">
        <f t="shared" si="0"/>
        <v>2025</v>
      </c>
      <c r="R1">
        <f t="shared" si="0"/>
        <v>2026</v>
      </c>
      <c r="S1">
        <f t="shared" si="0"/>
        <v>2027</v>
      </c>
      <c r="T1">
        <f t="shared" si="0"/>
        <v>2028</v>
      </c>
      <c r="U1">
        <f t="shared" si="0"/>
        <v>2029</v>
      </c>
      <c r="V1">
        <f t="shared" si="0"/>
        <v>2030</v>
      </c>
      <c r="W1">
        <f t="shared" si="0"/>
        <v>2031</v>
      </c>
      <c r="X1">
        <f t="shared" si="0"/>
        <v>2032</v>
      </c>
      <c r="Y1">
        <f t="shared" si="0"/>
        <v>2033</v>
      </c>
      <c r="Z1">
        <f t="shared" si="0"/>
        <v>2034</v>
      </c>
      <c r="AA1">
        <f t="shared" si="0"/>
        <v>2035</v>
      </c>
      <c r="AB1">
        <f t="shared" si="0"/>
        <v>2036</v>
      </c>
      <c r="AC1">
        <f t="shared" si="0"/>
        <v>2037</v>
      </c>
      <c r="AD1">
        <f t="shared" si="0"/>
        <v>2038</v>
      </c>
      <c r="AE1">
        <f t="shared" si="0"/>
        <v>2039</v>
      </c>
      <c r="AF1">
        <f t="shared" si="0"/>
        <v>2040</v>
      </c>
      <c r="AG1">
        <f t="shared" si="0"/>
        <v>2041</v>
      </c>
      <c r="AH1">
        <f t="shared" si="0"/>
        <v>2042</v>
      </c>
      <c r="AI1">
        <f t="shared" si="0"/>
        <v>2043</v>
      </c>
      <c r="AJ1">
        <f t="shared" si="0"/>
        <v>2044</v>
      </c>
      <c r="AK1">
        <f t="shared" si="0"/>
        <v>2045</v>
      </c>
      <c r="AL1">
        <f t="shared" si="0"/>
        <v>2046</v>
      </c>
      <c r="AM1">
        <f t="shared" si="0"/>
        <v>2047</v>
      </c>
      <c r="AN1">
        <f t="shared" si="0"/>
        <v>2048</v>
      </c>
      <c r="AO1">
        <f t="shared" si="0"/>
        <v>2049</v>
      </c>
      <c r="AP1">
        <f t="shared" si="0"/>
        <v>2050</v>
      </c>
      <c r="AQ1">
        <f t="shared" si="0"/>
        <v>2051</v>
      </c>
      <c r="AR1">
        <f t="shared" si="0"/>
        <v>2052</v>
      </c>
      <c r="AS1">
        <f t="shared" si="0"/>
        <v>2053</v>
      </c>
      <c r="AT1">
        <f t="shared" si="0"/>
        <v>2054</v>
      </c>
      <c r="AU1">
        <f t="shared" si="0"/>
        <v>2055</v>
      </c>
      <c r="AV1">
        <f t="shared" si="0"/>
        <v>2056</v>
      </c>
      <c r="AW1">
        <f t="shared" si="0"/>
        <v>2057</v>
      </c>
      <c r="AX1">
        <f t="shared" si="0"/>
        <v>2058</v>
      </c>
      <c r="AY1">
        <f t="shared" si="0"/>
        <v>2059</v>
      </c>
      <c r="AZ1">
        <f t="shared" si="0"/>
        <v>2060</v>
      </c>
      <c r="BA1">
        <f t="shared" si="0"/>
        <v>2061</v>
      </c>
      <c r="BB1">
        <f t="shared" si="0"/>
        <v>2062</v>
      </c>
      <c r="BC1">
        <f t="shared" si="0"/>
        <v>2063</v>
      </c>
      <c r="BD1">
        <f t="shared" si="0"/>
        <v>2064</v>
      </c>
      <c r="BE1">
        <f t="shared" si="0"/>
        <v>2065</v>
      </c>
      <c r="BF1">
        <f t="shared" si="0"/>
        <v>2066</v>
      </c>
      <c r="BG1">
        <f t="shared" si="0"/>
        <v>2067</v>
      </c>
      <c r="BH1">
        <f t="shared" si="0"/>
        <v>2068</v>
      </c>
      <c r="BI1">
        <f t="shared" si="0"/>
        <v>2069</v>
      </c>
      <c r="BJ1">
        <f t="shared" si="0"/>
        <v>2070</v>
      </c>
      <c r="BK1">
        <f t="shared" si="0"/>
        <v>2071</v>
      </c>
      <c r="BL1">
        <f t="shared" si="0"/>
        <v>2072</v>
      </c>
      <c r="BM1">
        <f t="shared" si="0"/>
        <v>2073</v>
      </c>
      <c r="BN1">
        <f t="shared" si="0"/>
        <v>2074</v>
      </c>
      <c r="BO1">
        <f t="shared" si="0"/>
        <v>2075</v>
      </c>
      <c r="BP1">
        <f t="shared" ref="BP1:CN1" si="1">BO1+1</f>
        <v>2076</v>
      </c>
      <c r="BQ1">
        <f t="shared" si="1"/>
        <v>2077</v>
      </c>
      <c r="BR1">
        <f t="shared" si="1"/>
        <v>2078</v>
      </c>
      <c r="BS1">
        <f t="shared" si="1"/>
        <v>2079</v>
      </c>
      <c r="BT1">
        <f t="shared" si="1"/>
        <v>2080</v>
      </c>
      <c r="BU1">
        <f t="shared" si="1"/>
        <v>2081</v>
      </c>
      <c r="BV1">
        <f t="shared" si="1"/>
        <v>2082</v>
      </c>
      <c r="BW1">
        <f t="shared" si="1"/>
        <v>2083</v>
      </c>
      <c r="BX1">
        <f t="shared" si="1"/>
        <v>2084</v>
      </c>
      <c r="BY1">
        <f t="shared" si="1"/>
        <v>2085</v>
      </c>
      <c r="BZ1">
        <f t="shared" si="1"/>
        <v>2086</v>
      </c>
      <c r="CA1">
        <f t="shared" si="1"/>
        <v>2087</v>
      </c>
      <c r="CB1">
        <f t="shared" si="1"/>
        <v>2088</v>
      </c>
      <c r="CC1">
        <f t="shared" si="1"/>
        <v>2089</v>
      </c>
      <c r="CD1">
        <f t="shared" si="1"/>
        <v>2090</v>
      </c>
      <c r="CE1">
        <f t="shared" si="1"/>
        <v>2091</v>
      </c>
      <c r="CF1">
        <f t="shared" si="1"/>
        <v>2092</v>
      </c>
      <c r="CG1">
        <f t="shared" si="1"/>
        <v>2093</v>
      </c>
      <c r="CH1">
        <f t="shared" si="1"/>
        <v>2094</v>
      </c>
      <c r="CI1">
        <f t="shared" si="1"/>
        <v>2095</v>
      </c>
      <c r="CJ1">
        <f t="shared" si="1"/>
        <v>2096</v>
      </c>
      <c r="CK1">
        <f t="shared" si="1"/>
        <v>2097</v>
      </c>
      <c r="CL1">
        <f t="shared" si="1"/>
        <v>2098</v>
      </c>
      <c r="CM1">
        <f t="shared" si="1"/>
        <v>2099</v>
      </c>
      <c r="CN1">
        <f t="shared" si="1"/>
        <v>2100</v>
      </c>
    </row>
    <row r="2" spans="1:92" x14ac:dyDescent="0.25">
      <c r="A2" t="s">
        <v>572</v>
      </c>
      <c r="B2">
        <f>B8/B$6</f>
        <v>1</v>
      </c>
      <c r="C2">
        <f>C8/C$6</f>
        <v>1</v>
      </c>
      <c r="D2">
        <f>D8/D$6</f>
        <v>1</v>
      </c>
      <c r="E2">
        <f>E8/E$6</f>
        <v>1</v>
      </c>
      <c r="F2">
        <f>F8/F$6</f>
        <v>1</v>
      </c>
      <c r="G2">
        <f>G8/G$6</f>
        <v>1</v>
      </c>
      <c r="H2">
        <f>H8/H$6</f>
        <v>1</v>
      </c>
      <c r="I2">
        <f>I8/I$6</f>
        <v>1</v>
      </c>
      <c r="J2">
        <f>J8/J$6</f>
        <v>1</v>
      </c>
      <c r="K2">
        <f>K8/K$6</f>
        <v>1</v>
      </c>
      <c r="L2">
        <f>L8/L$6</f>
        <v>1</v>
      </c>
      <c r="M2">
        <f>M8/M$6</f>
        <v>1</v>
      </c>
      <c r="N2">
        <f>N8/N$6</f>
        <v>1</v>
      </c>
      <c r="O2">
        <f>O8/O$6</f>
        <v>1</v>
      </c>
      <c r="P2">
        <f>P8/P$6</f>
        <v>1</v>
      </c>
      <c r="Q2">
        <f>Q8/Q$6</f>
        <v>1</v>
      </c>
      <c r="R2">
        <f>R8/R$6</f>
        <v>1</v>
      </c>
      <c r="S2">
        <f>S8/S$6</f>
        <v>1</v>
      </c>
      <c r="T2">
        <f>T8/T$6</f>
        <v>1</v>
      </c>
      <c r="U2">
        <f>U8/U$6</f>
        <v>1</v>
      </c>
      <c r="V2">
        <f>V8/V$6</f>
        <v>1</v>
      </c>
      <c r="W2">
        <f>W8/W$6</f>
        <v>1</v>
      </c>
      <c r="X2">
        <f>X8/X$6</f>
        <v>1</v>
      </c>
      <c r="Y2">
        <f>Y8/Y$6</f>
        <v>1</v>
      </c>
      <c r="Z2">
        <f>Z8/Z$6</f>
        <v>1</v>
      </c>
      <c r="AA2">
        <f>AA8/AA$6</f>
        <v>1</v>
      </c>
      <c r="AB2">
        <f>AB8/AB$6</f>
        <v>1</v>
      </c>
      <c r="AC2">
        <f>AC8/AC$6</f>
        <v>1</v>
      </c>
      <c r="AD2">
        <f>AD8/AD$6</f>
        <v>1</v>
      </c>
      <c r="AE2">
        <f>AE8/AE$6</f>
        <v>1</v>
      </c>
      <c r="AF2">
        <f>AF8/AF$6</f>
        <v>1</v>
      </c>
      <c r="AG2">
        <f>AG8/AG$6</f>
        <v>1</v>
      </c>
      <c r="AH2">
        <f>AH8/AH$6</f>
        <v>1</v>
      </c>
      <c r="AI2">
        <f>AI8/AI$6</f>
        <v>1</v>
      </c>
      <c r="AJ2">
        <f>AJ8/AJ$6</f>
        <v>1</v>
      </c>
      <c r="AK2">
        <f>AK8/AK$6</f>
        <v>1</v>
      </c>
      <c r="AL2">
        <f>AL8/AL$6</f>
        <v>1</v>
      </c>
      <c r="AM2">
        <f>AM8/AM$6</f>
        <v>1</v>
      </c>
      <c r="AN2">
        <f>AN8/AN$6</f>
        <v>1</v>
      </c>
      <c r="AO2">
        <f>AO8/AO$6</f>
        <v>1</v>
      </c>
      <c r="AP2">
        <f>AP8/AP$6</f>
        <v>1</v>
      </c>
      <c r="AQ2">
        <f>AQ8/AQ$6</f>
        <v>1</v>
      </c>
      <c r="AR2">
        <f>AR8/AR$6</f>
        <v>1</v>
      </c>
      <c r="AS2">
        <f>AS8/AS$6</f>
        <v>1</v>
      </c>
      <c r="AT2">
        <f>AT8/AT$6</f>
        <v>1</v>
      </c>
      <c r="AU2">
        <f>AU8/AU$6</f>
        <v>1</v>
      </c>
      <c r="AV2">
        <f>AV8/AV$6</f>
        <v>1</v>
      </c>
      <c r="AW2">
        <f>AW8/AW$6</f>
        <v>1</v>
      </c>
      <c r="AX2">
        <f>AX8/AX$6</f>
        <v>1</v>
      </c>
      <c r="AY2">
        <f>AY8/AY$6</f>
        <v>1</v>
      </c>
      <c r="AZ2">
        <f>AZ8/AZ$6</f>
        <v>1</v>
      </c>
      <c r="BA2">
        <f>BA8/BA$6</f>
        <v>1</v>
      </c>
      <c r="BB2">
        <f>BB8/BB$6</f>
        <v>1</v>
      </c>
      <c r="BC2">
        <f>BC8/BC$6</f>
        <v>1</v>
      </c>
      <c r="BD2">
        <f>BD8/BD$6</f>
        <v>1</v>
      </c>
      <c r="BE2">
        <f>BE8/BE$6</f>
        <v>1</v>
      </c>
      <c r="BF2">
        <f>BF8/BF$6</f>
        <v>1</v>
      </c>
      <c r="BG2">
        <f>BG8/BG$6</f>
        <v>1</v>
      </c>
      <c r="BH2">
        <f>BH8/BH$6</f>
        <v>1</v>
      </c>
      <c r="BI2">
        <f>BI8/BI$6</f>
        <v>1</v>
      </c>
      <c r="BJ2">
        <f>BJ8/BJ$6</f>
        <v>1</v>
      </c>
      <c r="BK2">
        <f>BK8/BK$6</f>
        <v>1</v>
      </c>
      <c r="BL2">
        <f>BL8/BL$6</f>
        <v>1</v>
      </c>
      <c r="BM2">
        <f>BM8/BM$6</f>
        <v>1</v>
      </c>
      <c r="BN2">
        <f>BN8/BN$6</f>
        <v>1</v>
      </c>
      <c r="BO2">
        <f>BO8/BO$6</f>
        <v>1</v>
      </c>
      <c r="BP2">
        <f>BP8/BP$6</f>
        <v>1</v>
      </c>
      <c r="BQ2">
        <f>BQ8/BQ$6</f>
        <v>1</v>
      </c>
      <c r="BR2">
        <f>BR8/BR$6</f>
        <v>1</v>
      </c>
      <c r="BS2">
        <f>BS8/BS$6</f>
        <v>1</v>
      </c>
      <c r="BT2">
        <f>BT8/BT$6</f>
        <v>1</v>
      </c>
      <c r="BU2">
        <f>BU8/BU$6</f>
        <v>1</v>
      </c>
      <c r="BV2">
        <f>BV8/BV$6</f>
        <v>1</v>
      </c>
      <c r="BW2">
        <f>BW8/BW$6</f>
        <v>1</v>
      </c>
      <c r="BX2">
        <f>BX8/BX$6</f>
        <v>1</v>
      </c>
      <c r="BY2">
        <f>BY8/BY$6</f>
        <v>1</v>
      </c>
      <c r="BZ2">
        <f>BZ8/BZ$6</f>
        <v>1</v>
      </c>
      <c r="CA2">
        <f>CA8/CA$6</f>
        <v>1</v>
      </c>
      <c r="CB2">
        <f>CB8/CB$6</f>
        <v>1</v>
      </c>
      <c r="CC2">
        <f>CC8/CC$6</f>
        <v>1</v>
      </c>
      <c r="CD2">
        <f>CD8/CD$6</f>
        <v>1</v>
      </c>
      <c r="CE2">
        <f>CE8/CE$6</f>
        <v>1</v>
      </c>
      <c r="CF2">
        <f>CF8/CF$6</f>
        <v>1</v>
      </c>
      <c r="CG2">
        <f>CG8/CG$6</f>
        <v>1</v>
      </c>
      <c r="CH2">
        <f>CH8/CH$6</f>
        <v>1</v>
      </c>
      <c r="CI2">
        <f>CI8/CI$6</f>
        <v>1</v>
      </c>
      <c r="CJ2">
        <f>CJ8/CJ$6</f>
        <v>1</v>
      </c>
      <c r="CK2">
        <f>CK8/CK$6</f>
        <v>1</v>
      </c>
      <c r="CL2">
        <f>CL8/CL$6</f>
        <v>1</v>
      </c>
      <c r="CM2">
        <f>CM8/CM$6</f>
        <v>1</v>
      </c>
      <c r="CN2">
        <f>CN8/CN$6</f>
        <v>1</v>
      </c>
    </row>
    <row r="3" spans="1:92" x14ac:dyDescent="0.25">
      <c r="A3" t="s">
        <v>573</v>
      </c>
      <c r="B3">
        <f>B9/B$6</f>
        <v>0</v>
      </c>
      <c r="C3">
        <f>C9/C$6</f>
        <v>0</v>
      </c>
      <c r="D3">
        <f>D9/D$6</f>
        <v>0</v>
      </c>
      <c r="E3">
        <f>E9/E$6</f>
        <v>0</v>
      </c>
      <c r="F3">
        <f>F9/F$6</f>
        <v>0</v>
      </c>
      <c r="G3">
        <f>G9/G$6</f>
        <v>0</v>
      </c>
      <c r="H3">
        <f>H9/H$6</f>
        <v>0</v>
      </c>
      <c r="I3">
        <f>I9/I$6</f>
        <v>0</v>
      </c>
      <c r="J3">
        <f>J9/J$6</f>
        <v>0</v>
      </c>
      <c r="K3">
        <f>K9/K$6</f>
        <v>0</v>
      </c>
      <c r="L3">
        <f>L9/L$6</f>
        <v>0</v>
      </c>
      <c r="M3">
        <f>M9/M$6</f>
        <v>0</v>
      </c>
      <c r="N3">
        <f>N9/N$6</f>
        <v>0</v>
      </c>
      <c r="O3">
        <f>O9/O$6</f>
        <v>0</v>
      </c>
      <c r="P3">
        <f>P9/P$6</f>
        <v>0</v>
      </c>
      <c r="Q3">
        <f>Q9/Q$6</f>
        <v>0</v>
      </c>
      <c r="R3">
        <f>R9/R$6</f>
        <v>0</v>
      </c>
      <c r="S3">
        <f>S9/S$6</f>
        <v>0</v>
      </c>
      <c r="T3">
        <f>T9/T$6</f>
        <v>0</v>
      </c>
      <c r="U3">
        <f>U9/U$6</f>
        <v>0</v>
      </c>
      <c r="V3">
        <f>V9/V$6</f>
        <v>0</v>
      </c>
      <c r="W3">
        <f>W9/W$6</f>
        <v>0</v>
      </c>
      <c r="X3">
        <f>X9/X$6</f>
        <v>0</v>
      </c>
      <c r="Y3">
        <f>Y9/Y$6</f>
        <v>0</v>
      </c>
      <c r="Z3">
        <f>Z9/Z$6</f>
        <v>0</v>
      </c>
      <c r="AA3">
        <f>AA9/AA$6</f>
        <v>0</v>
      </c>
      <c r="AB3">
        <f>AB9/AB$6</f>
        <v>0</v>
      </c>
      <c r="AC3">
        <f>AC9/AC$6</f>
        <v>0</v>
      </c>
      <c r="AD3">
        <f>AD9/AD$6</f>
        <v>0</v>
      </c>
      <c r="AE3">
        <f>AE9/AE$6</f>
        <v>0</v>
      </c>
      <c r="AF3">
        <f>AF9/AF$6</f>
        <v>0</v>
      </c>
      <c r="AG3">
        <f>AG9/AG$6</f>
        <v>0</v>
      </c>
      <c r="AH3">
        <f>AH9/AH$6</f>
        <v>0</v>
      </c>
      <c r="AI3">
        <f>AI9/AI$6</f>
        <v>0</v>
      </c>
      <c r="AJ3">
        <f>AJ9/AJ$6</f>
        <v>0</v>
      </c>
      <c r="AK3">
        <f>AK9/AK$6</f>
        <v>0</v>
      </c>
      <c r="AL3">
        <f>AL9/AL$6</f>
        <v>0</v>
      </c>
      <c r="AM3">
        <f>AM9/AM$6</f>
        <v>0</v>
      </c>
      <c r="AN3">
        <f>AN9/AN$6</f>
        <v>0</v>
      </c>
      <c r="AO3">
        <f>AO9/AO$6</f>
        <v>0</v>
      </c>
      <c r="AP3">
        <f>AP9/AP$6</f>
        <v>0</v>
      </c>
      <c r="AQ3">
        <f>AQ9/AQ$6</f>
        <v>0</v>
      </c>
      <c r="AR3">
        <f>AR9/AR$6</f>
        <v>0</v>
      </c>
      <c r="AS3">
        <f>AS9/AS$6</f>
        <v>0</v>
      </c>
      <c r="AT3">
        <f>AT9/AT$6</f>
        <v>0</v>
      </c>
      <c r="AU3">
        <f>AU9/AU$6</f>
        <v>0</v>
      </c>
      <c r="AV3">
        <f>AV9/AV$6</f>
        <v>0</v>
      </c>
      <c r="AW3">
        <f>AW9/AW$6</f>
        <v>0</v>
      </c>
      <c r="AX3">
        <f>AX9/AX$6</f>
        <v>0</v>
      </c>
      <c r="AY3">
        <f>AY9/AY$6</f>
        <v>0</v>
      </c>
      <c r="AZ3">
        <f>AZ9/AZ$6</f>
        <v>0</v>
      </c>
      <c r="BA3">
        <f>BA9/BA$6</f>
        <v>0</v>
      </c>
      <c r="BB3">
        <f>BB9/BB$6</f>
        <v>0</v>
      </c>
      <c r="BC3">
        <f>BC9/BC$6</f>
        <v>0</v>
      </c>
      <c r="BD3">
        <f>BD9/BD$6</f>
        <v>0</v>
      </c>
      <c r="BE3">
        <f>BE9/BE$6</f>
        <v>0</v>
      </c>
      <c r="BF3">
        <f>BF9/BF$6</f>
        <v>0</v>
      </c>
      <c r="BG3">
        <f>BG9/BG$6</f>
        <v>0</v>
      </c>
      <c r="BH3">
        <f>BH9/BH$6</f>
        <v>0</v>
      </c>
      <c r="BI3">
        <f>BI9/BI$6</f>
        <v>0</v>
      </c>
      <c r="BJ3">
        <f>BJ9/BJ$6</f>
        <v>0</v>
      </c>
      <c r="BK3">
        <f>BK9/BK$6</f>
        <v>0</v>
      </c>
      <c r="BL3">
        <f>BL9/BL$6</f>
        <v>0</v>
      </c>
      <c r="BM3">
        <f>BM9/BM$6</f>
        <v>0</v>
      </c>
      <c r="BN3">
        <f>BN9/BN$6</f>
        <v>0</v>
      </c>
      <c r="BO3">
        <f>BO9/BO$6</f>
        <v>0</v>
      </c>
      <c r="BP3">
        <f>BP9/BP$6</f>
        <v>0</v>
      </c>
      <c r="BQ3">
        <f>BQ9/BQ$6</f>
        <v>0</v>
      </c>
      <c r="BR3">
        <f>BR9/BR$6</f>
        <v>0</v>
      </c>
      <c r="BS3">
        <f>BS9/BS$6</f>
        <v>0</v>
      </c>
      <c r="BT3">
        <f>BT9/BT$6</f>
        <v>0</v>
      </c>
      <c r="BU3">
        <f>BU9/BU$6</f>
        <v>0</v>
      </c>
      <c r="BV3">
        <f>BV9/BV$6</f>
        <v>0</v>
      </c>
      <c r="BW3">
        <f>BW9/BW$6</f>
        <v>0</v>
      </c>
      <c r="BX3">
        <f>BX9/BX$6</f>
        <v>0</v>
      </c>
      <c r="BY3">
        <f>BY9/BY$6</f>
        <v>0</v>
      </c>
      <c r="BZ3">
        <f>BZ9/BZ$6</f>
        <v>0</v>
      </c>
      <c r="CA3">
        <f>CA9/CA$6</f>
        <v>0</v>
      </c>
      <c r="CB3">
        <f>CB9/CB$6</f>
        <v>0</v>
      </c>
      <c r="CC3">
        <f>CC9/CC$6</f>
        <v>0</v>
      </c>
      <c r="CD3">
        <f>CD9/CD$6</f>
        <v>0</v>
      </c>
      <c r="CE3">
        <f>CE9/CE$6</f>
        <v>0</v>
      </c>
      <c r="CF3">
        <f>CF9/CF$6</f>
        <v>0</v>
      </c>
      <c r="CG3">
        <f>CG9/CG$6</f>
        <v>0</v>
      </c>
      <c r="CH3">
        <f>CH9/CH$6</f>
        <v>0</v>
      </c>
      <c r="CI3">
        <f>CI9/CI$6</f>
        <v>0</v>
      </c>
      <c r="CJ3">
        <f>CJ9/CJ$6</f>
        <v>0</v>
      </c>
      <c r="CK3">
        <f>CK9/CK$6</f>
        <v>0</v>
      </c>
      <c r="CL3">
        <f>CL9/CL$6</f>
        <v>0</v>
      </c>
      <c r="CM3">
        <f>CM9/CM$6</f>
        <v>0</v>
      </c>
      <c r="CN3">
        <f>CN9/CN$6</f>
        <v>0</v>
      </c>
    </row>
    <row r="4" spans="1:92" x14ac:dyDescent="0.25">
      <c r="A4" t="s">
        <v>574</v>
      </c>
      <c r="B4">
        <f>B10/B$6</f>
        <v>0</v>
      </c>
      <c r="C4">
        <f>C10/C$6</f>
        <v>0</v>
      </c>
      <c r="D4">
        <f>D10/D$6</f>
        <v>0</v>
      </c>
      <c r="E4">
        <f>E10/E$6</f>
        <v>0</v>
      </c>
      <c r="F4">
        <f>F10/F$6</f>
        <v>0</v>
      </c>
      <c r="G4">
        <f>G10/G$6</f>
        <v>0</v>
      </c>
      <c r="H4">
        <f>H10/H$6</f>
        <v>0</v>
      </c>
      <c r="I4">
        <f>I10/I$6</f>
        <v>0</v>
      </c>
      <c r="J4">
        <f>J10/J$6</f>
        <v>0</v>
      </c>
      <c r="K4">
        <f>K10/K$6</f>
        <v>0</v>
      </c>
      <c r="L4">
        <f>L10/L$6</f>
        <v>0</v>
      </c>
      <c r="M4">
        <f>M10/M$6</f>
        <v>0</v>
      </c>
      <c r="N4">
        <f>N10/N$6</f>
        <v>0</v>
      </c>
      <c r="O4">
        <f>O10/O$6</f>
        <v>0</v>
      </c>
      <c r="P4">
        <f>P10/P$6</f>
        <v>0</v>
      </c>
      <c r="Q4">
        <f>Q10/Q$6</f>
        <v>0</v>
      </c>
      <c r="R4">
        <f>R10/R$6</f>
        <v>0</v>
      </c>
      <c r="S4">
        <f>S10/S$6</f>
        <v>0</v>
      </c>
      <c r="T4">
        <f>T10/T$6</f>
        <v>0</v>
      </c>
      <c r="U4">
        <f>U10/U$6</f>
        <v>0</v>
      </c>
      <c r="V4">
        <f>V10/V$6</f>
        <v>0</v>
      </c>
      <c r="W4">
        <f>W10/W$6</f>
        <v>0</v>
      </c>
      <c r="X4">
        <f>X10/X$6</f>
        <v>0</v>
      </c>
      <c r="Y4">
        <f>Y10/Y$6</f>
        <v>0</v>
      </c>
      <c r="Z4">
        <f>Z10/Z$6</f>
        <v>0</v>
      </c>
      <c r="AA4">
        <f>AA10/AA$6</f>
        <v>0</v>
      </c>
      <c r="AB4">
        <f>AB10/AB$6</f>
        <v>0</v>
      </c>
      <c r="AC4">
        <f>AC10/AC$6</f>
        <v>0</v>
      </c>
      <c r="AD4">
        <f>AD10/AD$6</f>
        <v>0</v>
      </c>
      <c r="AE4">
        <f>AE10/AE$6</f>
        <v>0</v>
      </c>
      <c r="AF4">
        <f>AF10/AF$6</f>
        <v>0</v>
      </c>
      <c r="AG4">
        <f>AG10/AG$6</f>
        <v>0</v>
      </c>
      <c r="AH4">
        <f>AH10/AH$6</f>
        <v>0</v>
      </c>
      <c r="AI4">
        <f>AI10/AI$6</f>
        <v>0</v>
      </c>
      <c r="AJ4">
        <f>AJ10/AJ$6</f>
        <v>0</v>
      </c>
      <c r="AK4">
        <f>AK10/AK$6</f>
        <v>0</v>
      </c>
      <c r="AL4">
        <f>AL10/AL$6</f>
        <v>0</v>
      </c>
      <c r="AM4">
        <f>AM10/AM$6</f>
        <v>0</v>
      </c>
      <c r="AN4">
        <f>AN10/AN$6</f>
        <v>0</v>
      </c>
      <c r="AO4">
        <f>AO10/AO$6</f>
        <v>0</v>
      </c>
      <c r="AP4">
        <f>AP10/AP$6</f>
        <v>0</v>
      </c>
      <c r="AQ4">
        <f>AQ10/AQ$6</f>
        <v>0</v>
      </c>
      <c r="AR4">
        <f>AR10/AR$6</f>
        <v>0</v>
      </c>
      <c r="AS4">
        <f>AS10/AS$6</f>
        <v>0</v>
      </c>
      <c r="AT4">
        <f>AT10/AT$6</f>
        <v>0</v>
      </c>
      <c r="AU4">
        <f>AU10/AU$6</f>
        <v>0</v>
      </c>
      <c r="AV4">
        <f>AV10/AV$6</f>
        <v>0</v>
      </c>
      <c r="AW4">
        <f>AW10/AW$6</f>
        <v>0</v>
      </c>
      <c r="AX4">
        <f>AX10/AX$6</f>
        <v>0</v>
      </c>
      <c r="AY4">
        <f>AY10/AY$6</f>
        <v>0</v>
      </c>
      <c r="AZ4">
        <f>AZ10/AZ$6</f>
        <v>0</v>
      </c>
      <c r="BA4">
        <f>BA10/BA$6</f>
        <v>0</v>
      </c>
      <c r="BB4">
        <f>BB10/BB$6</f>
        <v>0</v>
      </c>
      <c r="BC4">
        <f>BC10/BC$6</f>
        <v>0</v>
      </c>
      <c r="BD4">
        <f>BD10/BD$6</f>
        <v>0</v>
      </c>
      <c r="BE4">
        <f>BE10/BE$6</f>
        <v>0</v>
      </c>
      <c r="BF4">
        <f>BF10/BF$6</f>
        <v>0</v>
      </c>
      <c r="BG4">
        <f>BG10/BG$6</f>
        <v>0</v>
      </c>
      <c r="BH4">
        <f>BH10/BH$6</f>
        <v>0</v>
      </c>
      <c r="BI4">
        <f>BI10/BI$6</f>
        <v>0</v>
      </c>
      <c r="BJ4">
        <f>BJ10/BJ$6</f>
        <v>0</v>
      </c>
      <c r="BK4">
        <f>BK10/BK$6</f>
        <v>0</v>
      </c>
      <c r="BL4">
        <f>BL10/BL$6</f>
        <v>0</v>
      </c>
      <c r="BM4">
        <f>BM10/BM$6</f>
        <v>0</v>
      </c>
      <c r="BN4">
        <f>BN10/BN$6</f>
        <v>0</v>
      </c>
      <c r="BO4">
        <f>BO10/BO$6</f>
        <v>0</v>
      </c>
      <c r="BP4">
        <f>BP10/BP$6</f>
        <v>0</v>
      </c>
      <c r="BQ4">
        <f>BQ10/BQ$6</f>
        <v>0</v>
      </c>
      <c r="BR4">
        <f>BR10/BR$6</f>
        <v>0</v>
      </c>
      <c r="BS4">
        <f>BS10/BS$6</f>
        <v>0</v>
      </c>
      <c r="BT4">
        <f>BT10/BT$6</f>
        <v>0</v>
      </c>
      <c r="BU4">
        <f>BU10/BU$6</f>
        <v>0</v>
      </c>
      <c r="BV4">
        <f>BV10/BV$6</f>
        <v>0</v>
      </c>
      <c r="BW4">
        <f>BW10/BW$6</f>
        <v>0</v>
      </c>
      <c r="BX4">
        <f>BX10/BX$6</f>
        <v>0</v>
      </c>
      <c r="BY4">
        <f>BY10/BY$6</f>
        <v>0</v>
      </c>
      <c r="BZ4">
        <f>BZ10/BZ$6</f>
        <v>0</v>
      </c>
      <c r="CA4">
        <f>CA10/CA$6</f>
        <v>0</v>
      </c>
      <c r="CB4">
        <f>CB10/CB$6</f>
        <v>0</v>
      </c>
      <c r="CC4">
        <f>CC10/CC$6</f>
        <v>0</v>
      </c>
      <c r="CD4">
        <f>CD10/CD$6</f>
        <v>0</v>
      </c>
      <c r="CE4">
        <f>CE10/CE$6</f>
        <v>0</v>
      </c>
      <c r="CF4">
        <f>CF10/CF$6</f>
        <v>0</v>
      </c>
      <c r="CG4">
        <f>CG10/CG$6</f>
        <v>0</v>
      </c>
      <c r="CH4">
        <f>CH10/CH$6</f>
        <v>0</v>
      </c>
      <c r="CI4">
        <f>CI10/CI$6</f>
        <v>0</v>
      </c>
      <c r="CJ4">
        <f>CJ10/CJ$6</f>
        <v>0</v>
      </c>
      <c r="CK4">
        <f>CK10/CK$6</f>
        <v>0</v>
      </c>
      <c r="CL4">
        <f>CL10/CL$6</f>
        <v>0</v>
      </c>
      <c r="CM4">
        <f>CM10/CM$6</f>
        <v>0</v>
      </c>
      <c r="CN4">
        <f>CN10/CN$6</f>
        <v>0</v>
      </c>
    </row>
    <row r="6" spans="1:92" x14ac:dyDescent="0.25">
      <c r="A6" t="s">
        <v>104</v>
      </c>
      <c r="B6">
        <f>SUM(B8:B10)</f>
        <v>1</v>
      </c>
      <c r="C6">
        <f>SUM(C8:C10)</f>
        <v>1</v>
      </c>
      <c r="D6">
        <f>SUM(D8:D10)</f>
        <v>1</v>
      </c>
      <c r="E6">
        <f>SUM(E8:E10)</f>
        <v>1</v>
      </c>
      <c r="F6">
        <f>SUM(F8:F10)</f>
        <v>1</v>
      </c>
      <c r="G6">
        <f>SUM(G8:G10)</f>
        <v>1</v>
      </c>
      <c r="H6">
        <f>SUM(H8:H10)</f>
        <v>1</v>
      </c>
      <c r="I6">
        <f>SUM(I8:I10)</f>
        <v>1</v>
      </c>
      <c r="J6">
        <f>SUM(J8:J10)</f>
        <v>1</v>
      </c>
      <c r="K6">
        <f>SUM(K8:K10)</f>
        <v>1</v>
      </c>
      <c r="L6">
        <f>SUM(L8:L10)</f>
        <v>1</v>
      </c>
      <c r="M6">
        <f>SUM(M8:M10)</f>
        <v>1</v>
      </c>
      <c r="N6">
        <f>SUM(N8:N10)</f>
        <v>1</v>
      </c>
      <c r="O6">
        <f>SUM(O8:O10)</f>
        <v>1</v>
      </c>
      <c r="P6">
        <f>SUM(P8:P10)</f>
        <v>1</v>
      </c>
      <c r="Q6">
        <f>SUM(Q8:Q10)</f>
        <v>1</v>
      </c>
      <c r="R6">
        <f>SUM(R8:R10)</f>
        <v>1</v>
      </c>
      <c r="S6">
        <f>SUM(S8:S10)</f>
        <v>1</v>
      </c>
      <c r="T6">
        <f>SUM(T8:T10)</f>
        <v>1</v>
      </c>
      <c r="U6">
        <f>SUM(U8:U10)</f>
        <v>1</v>
      </c>
      <c r="V6">
        <f>SUM(V8:V10)</f>
        <v>1</v>
      </c>
      <c r="W6">
        <f>SUM(W8:W10)</f>
        <v>1</v>
      </c>
      <c r="X6">
        <f>SUM(X8:X10)</f>
        <v>1</v>
      </c>
      <c r="Y6">
        <f>SUM(Y8:Y10)</f>
        <v>1</v>
      </c>
      <c r="Z6">
        <f>SUM(Z8:Z10)</f>
        <v>1</v>
      </c>
      <c r="AA6">
        <f>SUM(AA8:AA10)</f>
        <v>1</v>
      </c>
      <c r="AB6">
        <f>SUM(AB8:AB10)</f>
        <v>1</v>
      </c>
      <c r="AC6">
        <f>SUM(AC8:AC10)</f>
        <v>1</v>
      </c>
      <c r="AD6">
        <f>SUM(AD8:AD10)</f>
        <v>1</v>
      </c>
      <c r="AE6">
        <f>SUM(AE8:AE10)</f>
        <v>1</v>
      </c>
      <c r="AF6">
        <f>SUM(AF8:AF10)</f>
        <v>1</v>
      </c>
      <c r="AG6">
        <f>SUM(AG8:AG10)</f>
        <v>1</v>
      </c>
      <c r="AH6">
        <f>SUM(AH8:AH10)</f>
        <v>1</v>
      </c>
      <c r="AI6">
        <f>SUM(AI8:AI10)</f>
        <v>1</v>
      </c>
      <c r="AJ6">
        <f>SUM(AJ8:AJ10)</f>
        <v>1</v>
      </c>
      <c r="AK6">
        <f>SUM(AK8:AK10)</f>
        <v>1</v>
      </c>
      <c r="AL6">
        <f>SUM(AL8:AL10)</f>
        <v>1</v>
      </c>
      <c r="AM6">
        <f>SUM(AM8:AM10)</f>
        <v>1</v>
      </c>
      <c r="AN6">
        <f>SUM(AN8:AN10)</f>
        <v>1</v>
      </c>
      <c r="AO6">
        <f>SUM(AO8:AO10)</f>
        <v>1</v>
      </c>
      <c r="AP6">
        <f>SUM(AP8:AP10)</f>
        <v>1</v>
      </c>
      <c r="AQ6">
        <f>SUM(AQ8:AQ10)</f>
        <v>1</v>
      </c>
      <c r="AR6">
        <f>SUM(AR8:AR10)</f>
        <v>1</v>
      </c>
      <c r="AS6">
        <f>SUM(AS8:AS10)</f>
        <v>1</v>
      </c>
      <c r="AT6">
        <f>SUM(AT8:AT10)</f>
        <v>1</v>
      </c>
      <c r="AU6">
        <f>SUM(AU8:AU10)</f>
        <v>1</v>
      </c>
      <c r="AV6">
        <f>SUM(AV8:AV10)</f>
        <v>1</v>
      </c>
      <c r="AW6">
        <f>SUM(AW8:AW10)</f>
        <v>1</v>
      </c>
      <c r="AX6">
        <f>SUM(AX8:AX10)</f>
        <v>1</v>
      </c>
      <c r="AY6">
        <f>SUM(AY8:AY10)</f>
        <v>1</v>
      </c>
      <c r="AZ6">
        <f>SUM(AZ8:AZ10)</f>
        <v>1</v>
      </c>
      <c r="BA6">
        <f>SUM(BA8:BA10)</f>
        <v>1</v>
      </c>
      <c r="BB6">
        <f>SUM(BB8:BB10)</f>
        <v>1</v>
      </c>
      <c r="BC6">
        <f>SUM(BC8:BC10)</f>
        <v>1</v>
      </c>
      <c r="BD6">
        <f>SUM(BD8:BD10)</f>
        <v>1</v>
      </c>
      <c r="BE6">
        <f>SUM(BE8:BE10)</f>
        <v>1</v>
      </c>
      <c r="BF6">
        <f>SUM(BF8:BF10)</f>
        <v>1</v>
      </c>
      <c r="BG6">
        <f>SUM(BG8:BG10)</f>
        <v>1</v>
      </c>
      <c r="BH6">
        <f>SUM(BH8:BH10)</f>
        <v>1</v>
      </c>
      <c r="BI6">
        <f>SUM(BI8:BI10)</f>
        <v>1</v>
      </c>
      <c r="BJ6">
        <f>SUM(BJ8:BJ10)</f>
        <v>1</v>
      </c>
      <c r="BK6">
        <f>SUM(BK8:BK10)</f>
        <v>1</v>
      </c>
      <c r="BL6">
        <f>SUM(BL8:BL10)</f>
        <v>1</v>
      </c>
      <c r="BM6">
        <f>SUM(BM8:BM10)</f>
        <v>1</v>
      </c>
      <c r="BN6">
        <f>SUM(BN8:BN10)</f>
        <v>1</v>
      </c>
      <c r="BO6">
        <f>SUM(BO8:BO10)</f>
        <v>1</v>
      </c>
      <c r="BP6">
        <f>SUM(BP8:BP10)</f>
        <v>1</v>
      </c>
      <c r="BQ6">
        <f>SUM(BQ8:BQ10)</f>
        <v>1</v>
      </c>
      <c r="BR6">
        <f>SUM(BR8:BR10)</f>
        <v>1</v>
      </c>
      <c r="BS6">
        <f>SUM(BS8:BS10)</f>
        <v>1</v>
      </c>
      <c r="BT6">
        <f>SUM(BT8:BT10)</f>
        <v>1</v>
      </c>
      <c r="BU6">
        <f>SUM(BU8:BU10)</f>
        <v>1</v>
      </c>
      <c r="BV6">
        <f>SUM(BV8:BV10)</f>
        <v>1</v>
      </c>
      <c r="BW6">
        <f>SUM(BW8:BW10)</f>
        <v>1</v>
      </c>
      <c r="BX6">
        <f>SUM(BX8:BX10)</f>
        <v>1</v>
      </c>
      <c r="BY6">
        <f>SUM(BY8:BY10)</f>
        <v>1</v>
      </c>
      <c r="BZ6">
        <f>SUM(BZ8:BZ10)</f>
        <v>1</v>
      </c>
      <c r="CA6">
        <f>SUM(CA8:CA10)</f>
        <v>1</v>
      </c>
      <c r="CB6">
        <f>SUM(CB8:CB10)</f>
        <v>1</v>
      </c>
      <c r="CC6">
        <f>SUM(CC8:CC10)</f>
        <v>1</v>
      </c>
      <c r="CD6">
        <f>SUM(CD8:CD10)</f>
        <v>1</v>
      </c>
      <c r="CE6">
        <f>SUM(CE8:CE10)</f>
        <v>1</v>
      </c>
      <c r="CF6">
        <f>SUM(CF8:CF10)</f>
        <v>1</v>
      </c>
      <c r="CG6">
        <f>SUM(CG8:CG10)</f>
        <v>1</v>
      </c>
      <c r="CH6">
        <f>SUM(CH8:CH10)</f>
        <v>1</v>
      </c>
      <c r="CI6">
        <f>SUM(CI8:CI10)</f>
        <v>1</v>
      </c>
      <c r="CJ6">
        <f>SUM(CJ8:CJ10)</f>
        <v>1</v>
      </c>
      <c r="CK6">
        <f>SUM(CK8:CK10)</f>
        <v>1</v>
      </c>
      <c r="CL6">
        <f>SUM(CL8:CL10)</f>
        <v>1</v>
      </c>
      <c r="CM6">
        <f>SUM(CM8:CM10)</f>
        <v>1</v>
      </c>
      <c r="CN6">
        <f>SUM(CN8:CN10)</f>
        <v>1</v>
      </c>
    </row>
    <row r="8" spans="1:92" x14ac:dyDescent="0.25">
      <c r="A8" t="s">
        <v>572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U8">
        <v>1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1</v>
      </c>
      <c r="CH8">
        <v>1</v>
      </c>
      <c r="CI8">
        <v>1</v>
      </c>
      <c r="CJ8">
        <v>1</v>
      </c>
      <c r="CK8">
        <v>1</v>
      </c>
      <c r="CL8">
        <v>1</v>
      </c>
      <c r="CM8">
        <v>1</v>
      </c>
      <c r="CN8">
        <v>1</v>
      </c>
    </row>
    <row r="9" spans="1:92" x14ac:dyDescent="0.25">
      <c r="A9" t="s">
        <v>573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</row>
    <row r="10" spans="1:92" x14ac:dyDescent="0.25">
      <c r="A10" t="s">
        <v>574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8BE87-5C17-42CB-A740-83E321397473}">
  <sheetPr codeName="Sheet13"/>
  <dimension ref="A1:CO23"/>
  <sheetViews>
    <sheetView workbookViewId="0">
      <selection activeCell="C2" sqref="C2"/>
    </sheetView>
  </sheetViews>
  <sheetFormatPr defaultRowHeight="15" x14ac:dyDescent="0.25"/>
  <cols>
    <col min="1" max="1" width="30.28515625" bestFit="1" customWidth="1"/>
    <col min="2" max="2" width="9.7109375" bestFit="1" customWidth="1"/>
  </cols>
  <sheetData>
    <row r="1" spans="1:93" x14ac:dyDescent="0.25">
      <c r="C1">
        <v>2010</v>
      </c>
      <c r="D1">
        <f>C1+1</f>
        <v>2011</v>
      </c>
      <c r="E1">
        <f t="shared" ref="E1:BP1" si="0">D1+1</f>
        <v>2012</v>
      </c>
      <c r="F1">
        <f t="shared" si="0"/>
        <v>2013</v>
      </c>
      <c r="G1">
        <f t="shared" si="0"/>
        <v>2014</v>
      </c>
      <c r="H1">
        <f t="shared" si="0"/>
        <v>2015</v>
      </c>
      <c r="I1">
        <f t="shared" si="0"/>
        <v>2016</v>
      </c>
      <c r="J1">
        <f t="shared" si="0"/>
        <v>2017</v>
      </c>
      <c r="K1">
        <f t="shared" si="0"/>
        <v>2018</v>
      </c>
      <c r="L1">
        <f t="shared" si="0"/>
        <v>2019</v>
      </c>
      <c r="M1">
        <f t="shared" si="0"/>
        <v>2020</v>
      </c>
      <c r="N1">
        <f t="shared" si="0"/>
        <v>2021</v>
      </c>
      <c r="O1">
        <f t="shared" si="0"/>
        <v>2022</v>
      </c>
      <c r="P1">
        <f t="shared" si="0"/>
        <v>2023</v>
      </c>
      <c r="Q1">
        <f t="shared" si="0"/>
        <v>2024</v>
      </c>
      <c r="R1">
        <f t="shared" si="0"/>
        <v>2025</v>
      </c>
      <c r="S1">
        <f t="shared" si="0"/>
        <v>2026</v>
      </c>
      <c r="T1">
        <f t="shared" si="0"/>
        <v>2027</v>
      </c>
      <c r="U1">
        <f t="shared" si="0"/>
        <v>2028</v>
      </c>
      <c r="V1">
        <f t="shared" si="0"/>
        <v>2029</v>
      </c>
      <c r="W1">
        <f t="shared" si="0"/>
        <v>2030</v>
      </c>
      <c r="X1">
        <f t="shared" si="0"/>
        <v>2031</v>
      </c>
      <c r="Y1">
        <f t="shared" si="0"/>
        <v>2032</v>
      </c>
      <c r="Z1">
        <f t="shared" si="0"/>
        <v>2033</v>
      </c>
      <c r="AA1">
        <f t="shared" si="0"/>
        <v>2034</v>
      </c>
      <c r="AB1">
        <f t="shared" si="0"/>
        <v>2035</v>
      </c>
      <c r="AC1">
        <f t="shared" si="0"/>
        <v>2036</v>
      </c>
      <c r="AD1">
        <f t="shared" si="0"/>
        <v>2037</v>
      </c>
      <c r="AE1">
        <f t="shared" si="0"/>
        <v>2038</v>
      </c>
      <c r="AF1">
        <f t="shared" si="0"/>
        <v>2039</v>
      </c>
      <c r="AG1">
        <f t="shared" si="0"/>
        <v>2040</v>
      </c>
      <c r="AH1">
        <f t="shared" si="0"/>
        <v>2041</v>
      </c>
      <c r="AI1">
        <f t="shared" si="0"/>
        <v>2042</v>
      </c>
      <c r="AJ1">
        <f t="shared" si="0"/>
        <v>2043</v>
      </c>
      <c r="AK1">
        <f t="shared" si="0"/>
        <v>2044</v>
      </c>
      <c r="AL1">
        <f t="shared" si="0"/>
        <v>2045</v>
      </c>
      <c r="AM1">
        <f t="shared" si="0"/>
        <v>2046</v>
      </c>
      <c r="AN1">
        <f t="shared" si="0"/>
        <v>2047</v>
      </c>
      <c r="AO1">
        <f t="shared" si="0"/>
        <v>2048</v>
      </c>
      <c r="AP1">
        <f t="shared" si="0"/>
        <v>2049</v>
      </c>
      <c r="AQ1">
        <f t="shared" si="0"/>
        <v>2050</v>
      </c>
      <c r="AR1">
        <f t="shared" si="0"/>
        <v>2051</v>
      </c>
      <c r="AS1">
        <f t="shared" si="0"/>
        <v>2052</v>
      </c>
      <c r="AT1">
        <f t="shared" si="0"/>
        <v>2053</v>
      </c>
      <c r="AU1">
        <f t="shared" si="0"/>
        <v>2054</v>
      </c>
      <c r="AV1">
        <f t="shared" si="0"/>
        <v>2055</v>
      </c>
      <c r="AW1">
        <f t="shared" si="0"/>
        <v>2056</v>
      </c>
      <c r="AX1">
        <f t="shared" si="0"/>
        <v>2057</v>
      </c>
      <c r="AY1">
        <f t="shared" si="0"/>
        <v>2058</v>
      </c>
      <c r="AZ1">
        <f t="shared" si="0"/>
        <v>2059</v>
      </c>
      <c r="BA1">
        <f t="shared" si="0"/>
        <v>2060</v>
      </c>
      <c r="BB1">
        <f t="shared" si="0"/>
        <v>2061</v>
      </c>
      <c r="BC1">
        <f t="shared" si="0"/>
        <v>2062</v>
      </c>
      <c r="BD1">
        <f t="shared" si="0"/>
        <v>2063</v>
      </c>
      <c r="BE1">
        <f t="shared" si="0"/>
        <v>2064</v>
      </c>
      <c r="BF1">
        <f t="shared" si="0"/>
        <v>2065</v>
      </c>
      <c r="BG1">
        <f t="shared" si="0"/>
        <v>2066</v>
      </c>
      <c r="BH1">
        <f t="shared" si="0"/>
        <v>2067</v>
      </c>
      <c r="BI1">
        <f t="shared" si="0"/>
        <v>2068</v>
      </c>
      <c r="BJ1">
        <f t="shared" si="0"/>
        <v>2069</v>
      </c>
      <c r="BK1">
        <f t="shared" si="0"/>
        <v>2070</v>
      </c>
      <c r="BL1">
        <f t="shared" si="0"/>
        <v>2071</v>
      </c>
      <c r="BM1">
        <f t="shared" si="0"/>
        <v>2072</v>
      </c>
      <c r="BN1">
        <f t="shared" si="0"/>
        <v>2073</v>
      </c>
      <c r="BO1">
        <f t="shared" si="0"/>
        <v>2074</v>
      </c>
      <c r="BP1">
        <f t="shared" si="0"/>
        <v>2075</v>
      </c>
      <c r="BQ1">
        <f t="shared" ref="BQ1:CY1" si="1">BP1+1</f>
        <v>2076</v>
      </c>
      <c r="BR1">
        <f t="shared" si="1"/>
        <v>2077</v>
      </c>
      <c r="BS1">
        <f t="shared" si="1"/>
        <v>2078</v>
      </c>
      <c r="BT1">
        <f t="shared" si="1"/>
        <v>2079</v>
      </c>
      <c r="BU1">
        <f t="shared" si="1"/>
        <v>2080</v>
      </c>
      <c r="BV1">
        <f t="shared" si="1"/>
        <v>2081</v>
      </c>
      <c r="BW1">
        <f t="shared" si="1"/>
        <v>2082</v>
      </c>
      <c r="BX1">
        <f t="shared" si="1"/>
        <v>2083</v>
      </c>
      <c r="BY1">
        <f t="shared" si="1"/>
        <v>2084</v>
      </c>
      <c r="BZ1">
        <f t="shared" si="1"/>
        <v>2085</v>
      </c>
      <c r="CA1">
        <f t="shared" si="1"/>
        <v>2086</v>
      </c>
      <c r="CB1">
        <f t="shared" si="1"/>
        <v>2087</v>
      </c>
      <c r="CC1">
        <f t="shared" si="1"/>
        <v>2088</v>
      </c>
      <c r="CD1">
        <f t="shared" si="1"/>
        <v>2089</v>
      </c>
      <c r="CE1">
        <f t="shared" si="1"/>
        <v>2090</v>
      </c>
      <c r="CF1">
        <f t="shared" si="1"/>
        <v>2091</v>
      </c>
      <c r="CG1">
        <f t="shared" si="1"/>
        <v>2092</v>
      </c>
      <c r="CH1">
        <f t="shared" si="1"/>
        <v>2093</v>
      </c>
      <c r="CI1">
        <f t="shared" si="1"/>
        <v>2094</v>
      </c>
      <c r="CJ1">
        <f t="shared" si="1"/>
        <v>2095</v>
      </c>
      <c r="CK1">
        <f t="shared" si="1"/>
        <v>2096</v>
      </c>
      <c r="CL1">
        <f t="shared" si="1"/>
        <v>2097</v>
      </c>
      <c r="CM1">
        <f t="shared" si="1"/>
        <v>2098</v>
      </c>
      <c r="CN1">
        <f t="shared" si="1"/>
        <v>2099</v>
      </c>
      <c r="CO1">
        <f t="shared" si="1"/>
        <v>2100</v>
      </c>
    </row>
    <row r="2" spans="1:93" x14ac:dyDescent="0.25">
      <c r="A2" t="s">
        <v>13</v>
      </c>
      <c r="B2" t="s">
        <v>138</v>
      </c>
      <c r="C2">
        <f>1/COUNTIF($B$2:$B$58,$B2)</f>
        <v>6.25E-2</v>
      </c>
      <c r="D2">
        <f>C2</f>
        <v>6.25E-2</v>
      </c>
      <c r="E2">
        <f t="shared" ref="E2:BP3" si="2">D2</f>
        <v>6.25E-2</v>
      </c>
      <c r="F2">
        <f t="shared" si="2"/>
        <v>6.25E-2</v>
      </c>
      <c r="G2">
        <f t="shared" si="2"/>
        <v>6.25E-2</v>
      </c>
      <c r="H2">
        <f t="shared" si="2"/>
        <v>6.25E-2</v>
      </c>
      <c r="I2">
        <f t="shared" si="2"/>
        <v>6.25E-2</v>
      </c>
      <c r="J2">
        <f t="shared" si="2"/>
        <v>6.25E-2</v>
      </c>
      <c r="K2">
        <f t="shared" si="2"/>
        <v>6.25E-2</v>
      </c>
      <c r="L2">
        <f t="shared" si="2"/>
        <v>6.25E-2</v>
      </c>
      <c r="M2">
        <f t="shared" si="2"/>
        <v>6.25E-2</v>
      </c>
      <c r="N2">
        <f t="shared" si="2"/>
        <v>6.25E-2</v>
      </c>
      <c r="O2">
        <f t="shared" si="2"/>
        <v>6.25E-2</v>
      </c>
      <c r="P2">
        <f t="shared" si="2"/>
        <v>6.25E-2</v>
      </c>
      <c r="Q2">
        <f t="shared" si="2"/>
        <v>6.25E-2</v>
      </c>
      <c r="R2">
        <f t="shared" si="2"/>
        <v>6.25E-2</v>
      </c>
      <c r="S2">
        <f t="shared" si="2"/>
        <v>6.25E-2</v>
      </c>
      <c r="T2">
        <f t="shared" si="2"/>
        <v>6.25E-2</v>
      </c>
      <c r="U2">
        <f t="shared" si="2"/>
        <v>6.25E-2</v>
      </c>
      <c r="V2">
        <f t="shared" si="2"/>
        <v>6.25E-2</v>
      </c>
      <c r="W2">
        <f t="shared" si="2"/>
        <v>6.25E-2</v>
      </c>
      <c r="X2">
        <f t="shared" si="2"/>
        <v>6.25E-2</v>
      </c>
      <c r="Y2">
        <f t="shared" si="2"/>
        <v>6.25E-2</v>
      </c>
      <c r="Z2">
        <f t="shared" si="2"/>
        <v>6.25E-2</v>
      </c>
      <c r="AA2">
        <f t="shared" si="2"/>
        <v>6.25E-2</v>
      </c>
      <c r="AB2">
        <f t="shared" si="2"/>
        <v>6.25E-2</v>
      </c>
      <c r="AC2">
        <f t="shared" si="2"/>
        <v>6.25E-2</v>
      </c>
      <c r="AD2">
        <f t="shared" si="2"/>
        <v>6.25E-2</v>
      </c>
      <c r="AE2">
        <f t="shared" si="2"/>
        <v>6.25E-2</v>
      </c>
      <c r="AF2">
        <f t="shared" si="2"/>
        <v>6.25E-2</v>
      </c>
      <c r="AG2">
        <f t="shared" si="2"/>
        <v>6.25E-2</v>
      </c>
      <c r="AH2">
        <f t="shared" si="2"/>
        <v>6.25E-2</v>
      </c>
      <c r="AI2">
        <f t="shared" si="2"/>
        <v>6.25E-2</v>
      </c>
      <c r="AJ2">
        <f t="shared" si="2"/>
        <v>6.25E-2</v>
      </c>
      <c r="AK2">
        <f t="shared" si="2"/>
        <v>6.25E-2</v>
      </c>
      <c r="AL2">
        <f t="shared" si="2"/>
        <v>6.25E-2</v>
      </c>
      <c r="AM2">
        <f t="shared" si="2"/>
        <v>6.25E-2</v>
      </c>
      <c r="AN2">
        <f t="shared" si="2"/>
        <v>6.25E-2</v>
      </c>
      <c r="AO2">
        <f t="shared" si="2"/>
        <v>6.25E-2</v>
      </c>
      <c r="AP2">
        <f t="shared" si="2"/>
        <v>6.25E-2</v>
      </c>
      <c r="AQ2">
        <f t="shared" si="2"/>
        <v>6.25E-2</v>
      </c>
      <c r="AR2">
        <f t="shared" si="2"/>
        <v>6.25E-2</v>
      </c>
      <c r="AS2">
        <f t="shared" si="2"/>
        <v>6.25E-2</v>
      </c>
      <c r="AT2">
        <f t="shared" si="2"/>
        <v>6.25E-2</v>
      </c>
      <c r="AU2">
        <f t="shared" si="2"/>
        <v>6.25E-2</v>
      </c>
      <c r="AV2">
        <f t="shared" si="2"/>
        <v>6.25E-2</v>
      </c>
      <c r="AW2">
        <f t="shared" si="2"/>
        <v>6.25E-2</v>
      </c>
      <c r="AX2">
        <f t="shared" si="2"/>
        <v>6.25E-2</v>
      </c>
      <c r="AY2">
        <f t="shared" si="2"/>
        <v>6.25E-2</v>
      </c>
      <c r="AZ2">
        <f t="shared" si="2"/>
        <v>6.25E-2</v>
      </c>
      <c r="BA2">
        <f t="shared" si="2"/>
        <v>6.25E-2</v>
      </c>
      <c r="BB2">
        <f t="shared" si="2"/>
        <v>6.25E-2</v>
      </c>
      <c r="BC2">
        <f t="shared" si="2"/>
        <v>6.25E-2</v>
      </c>
      <c r="BD2">
        <f t="shared" si="2"/>
        <v>6.25E-2</v>
      </c>
      <c r="BE2">
        <f t="shared" si="2"/>
        <v>6.25E-2</v>
      </c>
      <c r="BF2">
        <f t="shared" si="2"/>
        <v>6.25E-2</v>
      </c>
      <c r="BG2">
        <f t="shared" si="2"/>
        <v>6.25E-2</v>
      </c>
      <c r="BH2">
        <f t="shared" si="2"/>
        <v>6.25E-2</v>
      </c>
      <c r="BI2">
        <f t="shared" si="2"/>
        <v>6.25E-2</v>
      </c>
      <c r="BJ2">
        <f t="shared" si="2"/>
        <v>6.25E-2</v>
      </c>
      <c r="BK2">
        <f t="shared" si="2"/>
        <v>6.25E-2</v>
      </c>
      <c r="BL2">
        <f t="shared" si="2"/>
        <v>6.25E-2</v>
      </c>
      <c r="BM2">
        <f t="shared" si="2"/>
        <v>6.25E-2</v>
      </c>
      <c r="BN2">
        <f t="shared" si="2"/>
        <v>6.25E-2</v>
      </c>
      <c r="BO2">
        <f t="shared" si="2"/>
        <v>6.25E-2</v>
      </c>
      <c r="BP2">
        <f t="shared" si="2"/>
        <v>6.25E-2</v>
      </c>
      <c r="BQ2">
        <f t="shared" ref="BQ2:CO6" si="3">BP2</f>
        <v>6.25E-2</v>
      </c>
      <c r="BR2">
        <f t="shared" si="3"/>
        <v>6.25E-2</v>
      </c>
      <c r="BS2">
        <f t="shared" si="3"/>
        <v>6.25E-2</v>
      </c>
      <c r="BT2">
        <f t="shared" si="3"/>
        <v>6.25E-2</v>
      </c>
      <c r="BU2">
        <f t="shared" si="3"/>
        <v>6.25E-2</v>
      </c>
      <c r="BV2">
        <f t="shared" si="3"/>
        <v>6.25E-2</v>
      </c>
      <c r="BW2">
        <f t="shared" si="3"/>
        <v>6.25E-2</v>
      </c>
      <c r="BX2">
        <f t="shared" si="3"/>
        <v>6.25E-2</v>
      </c>
      <c r="BY2">
        <f t="shared" si="3"/>
        <v>6.25E-2</v>
      </c>
      <c r="BZ2">
        <f t="shared" si="3"/>
        <v>6.25E-2</v>
      </c>
      <c r="CA2">
        <f t="shared" si="3"/>
        <v>6.25E-2</v>
      </c>
      <c r="CB2">
        <f t="shared" si="3"/>
        <v>6.25E-2</v>
      </c>
      <c r="CC2">
        <f t="shared" si="3"/>
        <v>6.25E-2</v>
      </c>
      <c r="CD2">
        <f t="shared" si="3"/>
        <v>6.25E-2</v>
      </c>
      <c r="CE2">
        <f t="shared" si="3"/>
        <v>6.25E-2</v>
      </c>
      <c r="CF2">
        <f t="shared" si="3"/>
        <v>6.25E-2</v>
      </c>
      <c r="CG2">
        <f t="shared" si="3"/>
        <v>6.25E-2</v>
      </c>
      <c r="CH2">
        <f t="shared" si="3"/>
        <v>6.25E-2</v>
      </c>
      <c r="CI2">
        <f t="shared" si="3"/>
        <v>6.25E-2</v>
      </c>
      <c r="CJ2">
        <f t="shared" si="3"/>
        <v>6.25E-2</v>
      </c>
      <c r="CK2">
        <f t="shared" si="3"/>
        <v>6.25E-2</v>
      </c>
      <c r="CL2">
        <f t="shared" si="3"/>
        <v>6.25E-2</v>
      </c>
      <c r="CM2">
        <f t="shared" si="3"/>
        <v>6.25E-2</v>
      </c>
      <c r="CN2">
        <f t="shared" si="3"/>
        <v>6.25E-2</v>
      </c>
      <c r="CO2">
        <f t="shared" si="3"/>
        <v>6.25E-2</v>
      </c>
    </row>
    <row r="3" spans="1:93" x14ac:dyDescent="0.25">
      <c r="A3" t="s">
        <v>14</v>
      </c>
      <c r="B3" t="s">
        <v>138</v>
      </c>
      <c r="C3">
        <f t="shared" ref="C3:C23" si="4">1/COUNTIF($B$2:$B$58,$B3)</f>
        <v>6.25E-2</v>
      </c>
      <c r="D3">
        <f t="shared" ref="D3:S23" si="5">C3</f>
        <v>6.25E-2</v>
      </c>
      <c r="E3">
        <f t="shared" si="5"/>
        <v>6.25E-2</v>
      </c>
      <c r="F3">
        <f t="shared" si="5"/>
        <v>6.25E-2</v>
      </c>
      <c r="G3">
        <f t="shared" si="5"/>
        <v>6.25E-2</v>
      </c>
      <c r="H3">
        <f t="shared" si="5"/>
        <v>6.25E-2</v>
      </c>
      <c r="I3">
        <f t="shared" si="5"/>
        <v>6.25E-2</v>
      </c>
      <c r="J3">
        <f t="shared" si="5"/>
        <v>6.25E-2</v>
      </c>
      <c r="K3">
        <f t="shared" si="5"/>
        <v>6.25E-2</v>
      </c>
      <c r="L3">
        <f t="shared" si="5"/>
        <v>6.25E-2</v>
      </c>
      <c r="M3">
        <f t="shared" si="5"/>
        <v>6.25E-2</v>
      </c>
      <c r="N3">
        <f t="shared" si="5"/>
        <v>6.25E-2</v>
      </c>
      <c r="O3">
        <f t="shared" si="5"/>
        <v>6.25E-2</v>
      </c>
      <c r="P3">
        <f t="shared" si="5"/>
        <v>6.25E-2</v>
      </c>
      <c r="Q3">
        <f t="shared" si="5"/>
        <v>6.25E-2</v>
      </c>
      <c r="R3">
        <f t="shared" si="5"/>
        <v>6.25E-2</v>
      </c>
      <c r="S3">
        <f t="shared" si="5"/>
        <v>6.25E-2</v>
      </c>
      <c r="T3">
        <f t="shared" si="2"/>
        <v>6.25E-2</v>
      </c>
      <c r="U3">
        <f t="shared" si="2"/>
        <v>6.25E-2</v>
      </c>
      <c r="V3">
        <f t="shared" si="2"/>
        <v>6.25E-2</v>
      </c>
      <c r="W3">
        <f t="shared" si="2"/>
        <v>6.25E-2</v>
      </c>
      <c r="X3">
        <f t="shared" si="2"/>
        <v>6.25E-2</v>
      </c>
      <c r="Y3">
        <f t="shared" si="2"/>
        <v>6.25E-2</v>
      </c>
      <c r="Z3">
        <f t="shared" si="2"/>
        <v>6.25E-2</v>
      </c>
      <c r="AA3">
        <f t="shared" si="2"/>
        <v>6.25E-2</v>
      </c>
      <c r="AB3">
        <f t="shared" si="2"/>
        <v>6.25E-2</v>
      </c>
      <c r="AC3">
        <f t="shared" si="2"/>
        <v>6.25E-2</v>
      </c>
      <c r="AD3">
        <f t="shared" si="2"/>
        <v>6.25E-2</v>
      </c>
      <c r="AE3">
        <f t="shared" si="2"/>
        <v>6.25E-2</v>
      </c>
      <c r="AF3">
        <f t="shared" si="2"/>
        <v>6.25E-2</v>
      </c>
      <c r="AG3">
        <f t="shared" si="2"/>
        <v>6.25E-2</v>
      </c>
      <c r="AH3">
        <f t="shared" si="2"/>
        <v>6.25E-2</v>
      </c>
      <c r="AI3">
        <f t="shared" si="2"/>
        <v>6.25E-2</v>
      </c>
      <c r="AJ3">
        <f t="shared" si="2"/>
        <v>6.25E-2</v>
      </c>
      <c r="AK3">
        <f t="shared" si="2"/>
        <v>6.25E-2</v>
      </c>
      <c r="AL3">
        <f t="shared" si="2"/>
        <v>6.25E-2</v>
      </c>
      <c r="AM3">
        <f t="shared" si="2"/>
        <v>6.25E-2</v>
      </c>
      <c r="AN3">
        <f t="shared" si="2"/>
        <v>6.25E-2</v>
      </c>
      <c r="AO3">
        <f t="shared" si="2"/>
        <v>6.25E-2</v>
      </c>
      <c r="AP3">
        <f t="shared" si="2"/>
        <v>6.25E-2</v>
      </c>
      <c r="AQ3">
        <f t="shared" si="2"/>
        <v>6.25E-2</v>
      </c>
      <c r="AR3">
        <f t="shared" si="2"/>
        <v>6.25E-2</v>
      </c>
      <c r="AS3">
        <f t="shared" si="2"/>
        <v>6.25E-2</v>
      </c>
      <c r="AT3">
        <f t="shared" si="2"/>
        <v>6.25E-2</v>
      </c>
      <c r="AU3">
        <f t="shared" si="2"/>
        <v>6.25E-2</v>
      </c>
      <c r="AV3">
        <f t="shared" si="2"/>
        <v>6.25E-2</v>
      </c>
      <c r="AW3">
        <f t="shared" si="2"/>
        <v>6.25E-2</v>
      </c>
      <c r="AX3">
        <f t="shared" si="2"/>
        <v>6.25E-2</v>
      </c>
      <c r="AY3">
        <f t="shared" si="2"/>
        <v>6.25E-2</v>
      </c>
      <c r="AZ3">
        <f t="shared" si="2"/>
        <v>6.25E-2</v>
      </c>
      <c r="BA3">
        <f t="shared" si="2"/>
        <v>6.25E-2</v>
      </c>
      <c r="BB3">
        <f t="shared" si="2"/>
        <v>6.25E-2</v>
      </c>
      <c r="BC3">
        <f t="shared" si="2"/>
        <v>6.25E-2</v>
      </c>
      <c r="BD3">
        <f t="shared" si="2"/>
        <v>6.25E-2</v>
      </c>
      <c r="BE3">
        <f t="shared" si="2"/>
        <v>6.25E-2</v>
      </c>
      <c r="BF3">
        <f t="shared" si="2"/>
        <v>6.25E-2</v>
      </c>
      <c r="BG3">
        <f t="shared" si="2"/>
        <v>6.25E-2</v>
      </c>
      <c r="BH3">
        <f t="shared" si="2"/>
        <v>6.25E-2</v>
      </c>
      <c r="BI3">
        <f t="shared" si="2"/>
        <v>6.25E-2</v>
      </c>
      <c r="BJ3">
        <f t="shared" si="2"/>
        <v>6.25E-2</v>
      </c>
      <c r="BK3">
        <f t="shared" si="2"/>
        <v>6.25E-2</v>
      </c>
      <c r="BL3">
        <f t="shared" si="2"/>
        <v>6.25E-2</v>
      </c>
      <c r="BM3">
        <f t="shared" si="2"/>
        <v>6.25E-2</v>
      </c>
      <c r="BN3">
        <f t="shared" si="2"/>
        <v>6.25E-2</v>
      </c>
      <c r="BO3">
        <f t="shared" si="2"/>
        <v>6.25E-2</v>
      </c>
      <c r="BP3">
        <f t="shared" si="2"/>
        <v>6.25E-2</v>
      </c>
      <c r="BQ3">
        <f t="shared" si="3"/>
        <v>6.25E-2</v>
      </c>
      <c r="BR3">
        <f t="shared" si="3"/>
        <v>6.25E-2</v>
      </c>
      <c r="BS3">
        <f t="shared" si="3"/>
        <v>6.25E-2</v>
      </c>
      <c r="BT3">
        <f t="shared" si="3"/>
        <v>6.25E-2</v>
      </c>
      <c r="BU3">
        <f t="shared" si="3"/>
        <v>6.25E-2</v>
      </c>
      <c r="BV3">
        <f t="shared" si="3"/>
        <v>6.25E-2</v>
      </c>
      <c r="BW3">
        <f t="shared" si="3"/>
        <v>6.25E-2</v>
      </c>
      <c r="BX3">
        <f t="shared" si="3"/>
        <v>6.25E-2</v>
      </c>
      <c r="BY3">
        <f t="shared" si="3"/>
        <v>6.25E-2</v>
      </c>
      <c r="BZ3">
        <f t="shared" si="3"/>
        <v>6.25E-2</v>
      </c>
      <c r="CA3">
        <f t="shared" si="3"/>
        <v>6.25E-2</v>
      </c>
      <c r="CB3">
        <f t="shared" si="3"/>
        <v>6.25E-2</v>
      </c>
      <c r="CC3">
        <f t="shared" si="3"/>
        <v>6.25E-2</v>
      </c>
      <c r="CD3">
        <f t="shared" si="3"/>
        <v>6.25E-2</v>
      </c>
      <c r="CE3">
        <f t="shared" si="3"/>
        <v>6.25E-2</v>
      </c>
      <c r="CF3">
        <f t="shared" si="3"/>
        <v>6.25E-2</v>
      </c>
      <c r="CG3">
        <f t="shared" si="3"/>
        <v>6.25E-2</v>
      </c>
      <c r="CH3">
        <f t="shared" si="3"/>
        <v>6.25E-2</v>
      </c>
      <c r="CI3">
        <f t="shared" si="3"/>
        <v>6.25E-2</v>
      </c>
      <c r="CJ3">
        <f t="shared" si="3"/>
        <v>6.25E-2</v>
      </c>
      <c r="CK3">
        <f t="shared" si="3"/>
        <v>6.25E-2</v>
      </c>
      <c r="CL3">
        <f t="shared" si="3"/>
        <v>6.25E-2</v>
      </c>
      <c r="CM3">
        <f t="shared" si="3"/>
        <v>6.25E-2</v>
      </c>
      <c r="CN3">
        <f t="shared" si="3"/>
        <v>6.25E-2</v>
      </c>
      <c r="CO3">
        <f t="shared" si="3"/>
        <v>6.25E-2</v>
      </c>
    </row>
    <row r="4" spans="1:93" x14ac:dyDescent="0.25">
      <c r="A4" t="s">
        <v>15</v>
      </c>
      <c r="B4" t="s">
        <v>138</v>
      </c>
      <c r="C4">
        <f t="shared" si="4"/>
        <v>6.25E-2</v>
      </c>
      <c r="D4">
        <f t="shared" si="5"/>
        <v>6.25E-2</v>
      </c>
      <c r="E4">
        <f t="shared" ref="E4:BP7" si="6">D4</f>
        <v>6.25E-2</v>
      </c>
      <c r="F4">
        <f t="shared" si="6"/>
        <v>6.25E-2</v>
      </c>
      <c r="G4">
        <f t="shared" si="6"/>
        <v>6.25E-2</v>
      </c>
      <c r="H4">
        <f t="shared" si="6"/>
        <v>6.25E-2</v>
      </c>
      <c r="I4">
        <f t="shared" si="6"/>
        <v>6.25E-2</v>
      </c>
      <c r="J4">
        <f t="shared" si="6"/>
        <v>6.25E-2</v>
      </c>
      <c r="K4">
        <f t="shared" si="6"/>
        <v>6.25E-2</v>
      </c>
      <c r="L4">
        <f t="shared" si="6"/>
        <v>6.25E-2</v>
      </c>
      <c r="M4">
        <f t="shared" si="6"/>
        <v>6.25E-2</v>
      </c>
      <c r="N4">
        <f t="shared" si="6"/>
        <v>6.25E-2</v>
      </c>
      <c r="O4">
        <f t="shared" si="6"/>
        <v>6.25E-2</v>
      </c>
      <c r="P4">
        <f t="shared" si="6"/>
        <v>6.25E-2</v>
      </c>
      <c r="Q4">
        <f t="shared" si="6"/>
        <v>6.25E-2</v>
      </c>
      <c r="R4">
        <f t="shared" si="6"/>
        <v>6.25E-2</v>
      </c>
      <c r="S4">
        <f t="shared" si="6"/>
        <v>6.25E-2</v>
      </c>
      <c r="T4">
        <f t="shared" si="6"/>
        <v>6.25E-2</v>
      </c>
      <c r="U4">
        <f t="shared" si="6"/>
        <v>6.25E-2</v>
      </c>
      <c r="V4">
        <f t="shared" si="6"/>
        <v>6.25E-2</v>
      </c>
      <c r="W4">
        <f t="shared" si="6"/>
        <v>6.25E-2</v>
      </c>
      <c r="X4">
        <f t="shared" si="6"/>
        <v>6.25E-2</v>
      </c>
      <c r="Y4">
        <f t="shared" si="6"/>
        <v>6.25E-2</v>
      </c>
      <c r="Z4">
        <f t="shared" si="6"/>
        <v>6.25E-2</v>
      </c>
      <c r="AA4">
        <f t="shared" si="6"/>
        <v>6.25E-2</v>
      </c>
      <c r="AB4">
        <f t="shared" si="6"/>
        <v>6.25E-2</v>
      </c>
      <c r="AC4">
        <f t="shared" si="6"/>
        <v>6.25E-2</v>
      </c>
      <c r="AD4">
        <f t="shared" si="6"/>
        <v>6.25E-2</v>
      </c>
      <c r="AE4">
        <f t="shared" si="6"/>
        <v>6.25E-2</v>
      </c>
      <c r="AF4">
        <f t="shared" si="6"/>
        <v>6.25E-2</v>
      </c>
      <c r="AG4">
        <f t="shared" si="6"/>
        <v>6.25E-2</v>
      </c>
      <c r="AH4">
        <f t="shared" si="6"/>
        <v>6.25E-2</v>
      </c>
      <c r="AI4">
        <f t="shared" si="6"/>
        <v>6.25E-2</v>
      </c>
      <c r="AJ4">
        <f t="shared" si="6"/>
        <v>6.25E-2</v>
      </c>
      <c r="AK4">
        <f t="shared" si="6"/>
        <v>6.25E-2</v>
      </c>
      <c r="AL4">
        <f t="shared" si="6"/>
        <v>6.25E-2</v>
      </c>
      <c r="AM4">
        <f t="shared" si="6"/>
        <v>6.25E-2</v>
      </c>
      <c r="AN4">
        <f t="shared" si="6"/>
        <v>6.25E-2</v>
      </c>
      <c r="AO4">
        <f t="shared" si="6"/>
        <v>6.25E-2</v>
      </c>
      <c r="AP4">
        <f t="shared" si="6"/>
        <v>6.25E-2</v>
      </c>
      <c r="AQ4">
        <f t="shared" si="6"/>
        <v>6.25E-2</v>
      </c>
      <c r="AR4">
        <f t="shared" si="6"/>
        <v>6.25E-2</v>
      </c>
      <c r="AS4">
        <f t="shared" si="6"/>
        <v>6.25E-2</v>
      </c>
      <c r="AT4">
        <f t="shared" si="6"/>
        <v>6.25E-2</v>
      </c>
      <c r="AU4">
        <f t="shared" si="6"/>
        <v>6.25E-2</v>
      </c>
      <c r="AV4">
        <f t="shared" si="6"/>
        <v>6.25E-2</v>
      </c>
      <c r="AW4">
        <f t="shared" si="6"/>
        <v>6.25E-2</v>
      </c>
      <c r="AX4">
        <f t="shared" si="6"/>
        <v>6.25E-2</v>
      </c>
      <c r="AY4">
        <f t="shared" si="6"/>
        <v>6.25E-2</v>
      </c>
      <c r="AZ4">
        <f t="shared" si="6"/>
        <v>6.25E-2</v>
      </c>
      <c r="BA4">
        <f t="shared" si="6"/>
        <v>6.25E-2</v>
      </c>
      <c r="BB4">
        <f t="shared" si="6"/>
        <v>6.25E-2</v>
      </c>
      <c r="BC4">
        <f t="shared" si="6"/>
        <v>6.25E-2</v>
      </c>
      <c r="BD4">
        <f t="shared" si="6"/>
        <v>6.25E-2</v>
      </c>
      <c r="BE4">
        <f t="shared" si="6"/>
        <v>6.25E-2</v>
      </c>
      <c r="BF4">
        <f t="shared" si="6"/>
        <v>6.25E-2</v>
      </c>
      <c r="BG4">
        <f t="shared" si="6"/>
        <v>6.25E-2</v>
      </c>
      <c r="BH4">
        <f t="shared" si="6"/>
        <v>6.25E-2</v>
      </c>
      <c r="BI4">
        <f t="shared" si="6"/>
        <v>6.25E-2</v>
      </c>
      <c r="BJ4">
        <f t="shared" si="6"/>
        <v>6.25E-2</v>
      </c>
      <c r="BK4">
        <f t="shared" si="6"/>
        <v>6.25E-2</v>
      </c>
      <c r="BL4">
        <f t="shared" si="6"/>
        <v>6.25E-2</v>
      </c>
      <c r="BM4">
        <f t="shared" si="6"/>
        <v>6.25E-2</v>
      </c>
      <c r="BN4">
        <f t="shared" si="6"/>
        <v>6.25E-2</v>
      </c>
      <c r="BO4">
        <f t="shared" si="6"/>
        <v>6.25E-2</v>
      </c>
      <c r="BP4">
        <f t="shared" si="6"/>
        <v>6.25E-2</v>
      </c>
      <c r="BQ4">
        <f t="shared" si="3"/>
        <v>6.25E-2</v>
      </c>
      <c r="BR4">
        <f t="shared" si="3"/>
        <v>6.25E-2</v>
      </c>
      <c r="BS4">
        <f t="shared" si="3"/>
        <v>6.25E-2</v>
      </c>
      <c r="BT4">
        <f t="shared" si="3"/>
        <v>6.25E-2</v>
      </c>
      <c r="BU4">
        <f t="shared" si="3"/>
        <v>6.25E-2</v>
      </c>
      <c r="BV4">
        <f t="shared" si="3"/>
        <v>6.25E-2</v>
      </c>
      <c r="BW4">
        <f t="shared" si="3"/>
        <v>6.25E-2</v>
      </c>
      <c r="BX4">
        <f t="shared" si="3"/>
        <v>6.25E-2</v>
      </c>
      <c r="BY4">
        <f t="shared" si="3"/>
        <v>6.25E-2</v>
      </c>
      <c r="BZ4">
        <f t="shared" si="3"/>
        <v>6.25E-2</v>
      </c>
      <c r="CA4">
        <f t="shared" si="3"/>
        <v>6.25E-2</v>
      </c>
      <c r="CB4">
        <f t="shared" si="3"/>
        <v>6.25E-2</v>
      </c>
      <c r="CC4">
        <f t="shared" si="3"/>
        <v>6.25E-2</v>
      </c>
      <c r="CD4">
        <f t="shared" si="3"/>
        <v>6.25E-2</v>
      </c>
      <c r="CE4">
        <f t="shared" si="3"/>
        <v>6.25E-2</v>
      </c>
      <c r="CF4">
        <f t="shared" si="3"/>
        <v>6.25E-2</v>
      </c>
      <c r="CG4">
        <f t="shared" si="3"/>
        <v>6.25E-2</v>
      </c>
      <c r="CH4">
        <f t="shared" si="3"/>
        <v>6.25E-2</v>
      </c>
      <c r="CI4">
        <f t="shared" si="3"/>
        <v>6.25E-2</v>
      </c>
      <c r="CJ4">
        <f t="shared" si="3"/>
        <v>6.25E-2</v>
      </c>
      <c r="CK4">
        <f t="shared" si="3"/>
        <v>6.25E-2</v>
      </c>
      <c r="CL4">
        <f t="shared" si="3"/>
        <v>6.25E-2</v>
      </c>
      <c r="CM4">
        <f t="shared" si="3"/>
        <v>6.25E-2</v>
      </c>
      <c r="CN4">
        <f t="shared" si="3"/>
        <v>6.25E-2</v>
      </c>
      <c r="CO4">
        <f t="shared" si="3"/>
        <v>6.25E-2</v>
      </c>
    </row>
    <row r="5" spans="1:93" x14ac:dyDescent="0.25">
      <c r="A5" t="s">
        <v>16</v>
      </c>
      <c r="B5" t="s">
        <v>138</v>
      </c>
      <c r="C5">
        <f t="shared" si="4"/>
        <v>6.25E-2</v>
      </c>
      <c r="D5">
        <f t="shared" si="5"/>
        <v>6.25E-2</v>
      </c>
      <c r="E5">
        <f t="shared" si="6"/>
        <v>6.25E-2</v>
      </c>
      <c r="F5">
        <f t="shared" si="6"/>
        <v>6.25E-2</v>
      </c>
      <c r="G5">
        <f t="shared" si="6"/>
        <v>6.25E-2</v>
      </c>
      <c r="H5">
        <f t="shared" si="6"/>
        <v>6.25E-2</v>
      </c>
      <c r="I5">
        <f t="shared" si="6"/>
        <v>6.25E-2</v>
      </c>
      <c r="J5">
        <f t="shared" si="6"/>
        <v>6.25E-2</v>
      </c>
      <c r="K5">
        <f t="shared" si="6"/>
        <v>6.25E-2</v>
      </c>
      <c r="L5">
        <f t="shared" si="6"/>
        <v>6.25E-2</v>
      </c>
      <c r="M5">
        <f t="shared" si="6"/>
        <v>6.25E-2</v>
      </c>
      <c r="N5">
        <f t="shared" si="6"/>
        <v>6.25E-2</v>
      </c>
      <c r="O5">
        <f t="shared" si="6"/>
        <v>6.25E-2</v>
      </c>
      <c r="P5">
        <f t="shared" si="6"/>
        <v>6.25E-2</v>
      </c>
      <c r="Q5">
        <f t="shared" si="6"/>
        <v>6.25E-2</v>
      </c>
      <c r="R5">
        <f t="shared" si="6"/>
        <v>6.25E-2</v>
      </c>
      <c r="S5">
        <f t="shared" si="6"/>
        <v>6.25E-2</v>
      </c>
      <c r="T5">
        <f t="shared" si="6"/>
        <v>6.25E-2</v>
      </c>
      <c r="U5">
        <f t="shared" si="6"/>
        <v>6.25E-2</v>
      </c>
      <c r="V5">
        <f t="shared" si="6"/>
        <v>6.25E-2</v>
      </c>
      <c r="W5">
        <f t="shared" si="6"/>
        <v>6.25E-2</v>
      </c>
      <c r="X5">
        <f t="shared" si="6"/>
        <v>6.25E-2</v>
      </c>
      <c r="Y5">
        <f t="shared" si="6"/>
        <v>6.25E-2</v>
      </c>
      <c r="Z5">
        <f t="shared" si="6"/>
        <v>6.25E-2</v>
      </c>
      <c r="AA5">
        <f t="shared" si="6"/>
        <v>6.25E-2</v>
      </c>
      <c r="AB5">
        <f t="shared" si="6"/>
        <v>6.25E-2</v>
      </c>
      <c r="AC5">
        <f t="shared" si="6"/>
        <v>6.25E-2</v>
      </c>
      <c r="AD5">
        <f t="shared" si="6"/>
        <v>6.25E-2</v>
      </c>
      <c r="AE5">
        <f t="shared" si="6"/>
        <v>6.25E-2</v>
      </c>
      <c r="AF5">
        <f t="shared" si="6"/>
        <v>6.25E-2</v>
      </c>
      <c r="AG5">
        <f t="shared" si="6"/>
        <v>6.25E-2</v>
      </c>
      <c r="AH5">
        <f t="shared" si="6"/>
        <v>6.25E-2</v>
      </c>
      <c r="AI5">
        <f t="shared" si="6"/>
        <v>6.25E-2</v>
      </c>
      <c r="AJ5">
        <f t="shared" si="6"/>
        <v>6.25E-2</v>
      </c>
      <c r="AK5">
        <f t="shared" si="6"/>
        <v>6.25E-2</v>
      </c>
      <c r="AL5">
        <f t="shared" si="6"/>
        <v>6.25E-2</v>
      </c>
      <c r="AM5">
        <f t="shared" si="6"/>
        <v>6.25E-2</v>
      </c>
      <c r="AN5">
        <f t="shared" si="6"/>
        <v>6.25E-2</v>
      </c>
      <c r="AO5">
        <f t="shared" si="6"/>
        <v>6.25E-2</v>
      </c>
      <c r="AP5">
        <f t="shared" si="6"/>
        <v>6.25E-2</v>
      </c>
      <c r="AQ5">
        <f t="shared" si="6"/>
        <v>6.25E-2</v>
      </c>
      <c r="AR5">
        <f t="shared" si="6"/>
        <v>6.25E-2</v>
      </c>
      <c r="AS5">
        <f t="shared" si="6"/>
        <v>6.25E-2</v>
      </c>
      <c r="AT5">
        <f t="shared" si="6"/>
        <v>6.25E-2</v>
      </c>
      <c r="AU5">
        <f t="shared" si="6"/>
        <v>6.25E-2</v>
      </c>
      <c r="AV5">
        <f t="shared" si="6"/>
        <v>6.25E-2</v>
      </c>
      <c r="AW5">
        <f t="shared" si="6"/>
        <v>6.25E-2</v>
      </c>
      <c r="AX5">
        <f t="shared" si="6"/>
        <v>6.25E-2</v>
      </c>
      <c r="AY5">
        <f t="shared" si="6"/>
        <v>6.25E-2</v>
      </c>
      <c r="AZ5">
        <f t="shared" si="6"/>
        <v>6.25E-2</v>
      </c>
      <c r="BA5">
        <f t="shared" si="6"/>
        <v>6.25E-2</v>
      </c>
      <c r="BB5">
        <f t="shared" si="6"/>
        <v>6.25E-2</v>
      </c>
      <c r="BC5">
        <f t="shared" si="6"/>
        <v>6.25E-2</v>
      </c>
      <c r="BD5">
        <f t="shared" si="6"/>
        <v>6.25E-2</v>
      </c>
      <c r="BE5">
        <f t="shared" si="6"/>
        <v>6.25E-2</v>
      </c>
      <c r="BF5">
        <f t="shared" si="6"/>
        <v>6.25E-2</v>
      </c>
      <c r="BG5">
        <f t="shared" si="6"/>
        <v>6.25E-2</v>
      </c>
      <c r="BH5">
        <f t="shared" si="6"/>
        <v>6.25E-2</v>
      </c>
      <c r="BI5">
        <f t="shared" si="6"/>
        <v>6.25E-2</v>
      </c>
      <c r="BJ5">
        <f t="shared" si="6"/>
        <v>6.25E-2</v>
      </c>
      <c r="BK5">
        <f t="shared" si="6"/>
        <v>6.25E-2</v>
      </c>
      <c r="BL5">
        <f t="shared" si="6"/>
        <v>6.25E-2</v>
      </c>
      <c r="BM5">
        <f t="shared" si="6"/>
        <v>6.25E-2</v>
      </c>
      <c r="BN5">
        <f t="shared" si="6"/>
        <v>6.25E-2</v>
      </c>
      <c r="BO5">
        <f t="shared" si="6"/>
        <v>6.25E-2</v>
      </c>
      <c r="BP5">
        <f t="shared" si="6"/>
        <v>6.25E-2</v>
      </c>
      <c r="BQ5">
        <f t="shared" si="3"/>
        <v>6.25E-2</v>
      </c>
      <c r="BR5">
        <f t="shared" si="3"/>
        <v>6.25E-2</v>
      </c>
      <c r="BS5">
        <f t="shared" si="3"/>
        <v>6.25E-2</v>
      </c>
      <c r="BT5">
        <f t="shared" si="3"/>
        <v>6.25E-2</v>
      </c>
      <c r="BU5">
        <f t="shared" si="3"/>
        <v>6.25E-2</v>
      </c>
      <c r="BV5">
        <f t="shared" si="3"/>
        <v>6.25E-2</v>
      </c>
      <c r="BW5">
        <f t="shared" si="3"/>
        <v>6.25E-2</v>
      </c>
      <c r="BX5">
        <f t="shared" si="3"/>
        <v>6.25E-2</v>
      </c>
      <c r="BY5">
        <f t="shared" si="3"/>
        <v>6.25E-2</v>
      </c>
      <c r="BZ5">
        <f t="shared" si="3"/>
        <v>6.25E-2</v>
      </c>
      <c r="CA5">
        <f t="shared" si="3"/>
        <v>6.25E-2</v>
      </c>
      <c r="CB5">
        <f t="shared" si="3"/>
        <v>6.25E-2</v>
      </c>
      <c r="CC5">
        <f t="shared" si="3"/>
        <v>6.25E-2</v>
      </c>
      <c r="CD5">
        <f t="shared" si="3"/>
        <v>6.25E-2</v>
      </c>
      <c r="CE5">
        <f t="shared" si="3"/>
        <v>6.25E-2</v>
      </c>
      <c r="CF5">
        <f t="shared" si="3"/>
        <v>6.25E-2</v>
      </c>
      <c r="CG5">
        <f t="shared" si="3"/>
        <v>6.25E-2</v>
      </c>
      <c r="CH5">
        <f t="shared" si="3"/>
        <v>6.25E-2</v>
      </c>
      <c r="CI5">
        <f t="shared" si="3"/>
        <v>6.25E-2</v>
      </c>
      <c r="CJ5">
        <f t="shared" si="3"/>
        <v>6.25E-2</v>
      </c>
      <c r="CK5">
        <f t="shared" si="3"/>
        <v>6.25E-2</v>
      </c>
      <c r="CL5">
        <f t="shared" si="3"/>
        <v>6.25E-2</v>
      </c>
      <c r="CM5">
        <f t="shared" si="3"/>
        <v>6.25E-2</v>
      </c>
      <c r="CN5">
        <f t="shared" si="3"/>
        <v>6.25E-2</v>
      </c>
      <c r="CO5">
        <f t="shared" si="3"/>
        <v>6.25E-2</v>
      </c>
    </row>
    <row r="6" spans="1:93" x14ac:dyDescent="0.25">
      <c r="A6" t="s">
        <v>17</v>
      </c>
      <c r="B6" t="s">
        <v>138</v>
      </c>
      <c r="C6">
        <f t="shared" si="4"/>
        <v>6.25E-2</v>
      </c>
      <c r="D6">
        <f t="shared" si="5"/>
        <v>6.25E-2</v>
      </c>
      <c r="E6">
        <f t="shared" si="6"/>
        <v>6.25E-2</v>
      </c>
      <c r="F6">
        <f t="shared" si="6"/>
        <v>6.25E-2</v>
      </c>
      <c r="G6">
        <f t="shared" si="6"/>
        <v>6.25E-2</v>
      </c>
      <c r="H6">
        <f t="shared" si="6"/>
        <v>6.25E-2</v>
      </c>
      <c r="I6">
        <f t="shared" si="6"/>
        <v>6.25E-2</v>
      </c>
      <c r="J6">
        <f t="shared" si="6"/>
        <v>6.25E-2</v>
      </c>
      <c r="K6">
        <f t="shared" si="6"/>
        <v>6.25E-2</v>
      </c>
      <c r="L6">
        <f t="shared" si="6"/>
        <v>6.25E-2</v>
      </c>
      <c r="M6">
        <f t="shared" si="6"/>
        <v>6.25E-2</v>
      </c>
      <c r="N6">
        <f t="shared" si="6"/>
        <v>6.25E-2</v>
      </c>
      <c r="O6">
        <f t="shared" si="6"/>
        <v>6.25E-2</v>
      </c>
      <c r="P6">
        <f t="shared" si="6"/>
        <v>6.25E-2</v>
      </c>
      <c r="Q6">
        <f t="shared" si="6"/>
        <v>6.25E-2</v>
      </c>
      <c r="R6">
        <f t="shared" si="6"/>
        <v>6.25E-2</v>
      </c>
      <c r="S6">
        <f t="shared" si="6"/>
        <v>6.25E-2</v>
      </c>
      <c r="T6">
        <f t="shared" si="6"/>
        <v>6.25E-2</v>
      </c>
      <c r="U6">
        <f t="shared" si="6"/>
        <v>6.25E-2</v>
      </c>
      <c r="V6">
        <f t="shared" si="6"/>
        <v>6.25E-2</v>
      </c>
      <c r="W6">
        <f t="shared" si="6"/>
        <v>6.25E-2</v>
      </c>
      <c r="X6">
        <f t="shared" si="6"/>
        <v>6.25E-2</v>
      </c>
      <c r="Y6">
        <f t="shared" si="6"/>
        <v>6.25E-2</v>
      </c>
      <c r="Z6">
        <f t="shared" si="6"/>
        <v>6.25E-2</v>
      </c>
      <c r="AA6">
        <f t="shared" si="6"/>
        <v>6.25E-2</v>
      </c>
      <c r="AB6">
        <f t="shared" si="6"/>
        <v>6.25E-2</v>
      </c>
      <c r="AC6">
        <f t="shared" si="6"/>
        <v>6.25E-2</v>
      </c>
      <c r="AD6">
        <f t="shared" si="6"/>
        <v>6.25E-2</v>
      </c>
      <c r="AE6">
        <f t="shared" si="6"/>
        <v>6.25E-2</v>
      </c>
      <c r="AF6">
        <f t="shared" si="6"/>
        <v>6.25E-2</v>
      </c>
      <c r="AG6">
        <f t="shared" si="6"/>
        <v>6.25E-2</v>
      </c>
      <c r="AH6">
        <f t="shared" si="6"/>
        <v>6.25E-2</v>
      </c>
      <c r="AI6">
        <f t="shared" si="6"/>
        <v>6.25E-2</v>
      </c>
      <c r="AJ6">
        <f t="shared" si="6"/>
        <v>6.25E-2</v>
      </c>
      <c r="AK6">
        <f t="shared" si="6"/>
        <v>6.25E-2</v>
      </c>
      <c r="AL6">
        <f t="shared" si="6"/>
        <v>6.25E-2</v>
      </c>
      <c r="AM6">
        <f t="shared" si="6"/>
        <v>6.25E-2</v>
      </c>
      <c r="AN6">
        <f t="shared" si="6"/>
        <v>6.25E-2</v>
      </c>
      <c r="AO6">
        <f t="shared" si="6"/>
        <v>6.25E-2</v>
      </c>
      <c r="AP6">
        <f t="shared" si="6"/>
        <v>6.25E-2</v>
      </c>
      <c r="AQ6">
        <f t="shared" si="6"/>
        <v>6.25E-2</v>
      </c>
      <c r="AR6">
        <f t="shared" si="6"/>
        <v>6.25E-2</v>
      </c>
      <c r="AS6">
        <f t="shared" si="6"/>
        <v>6.25E-2</v>
      </c>
      <c r="AT6">
        <f t="shared" si="6"/>
        <v>6.25E-2</v>
      </c>
      <c r="AU6">
        <f t="shared" si="6"/>
        <v>6.25E-2</v>
      </c>
      <c r="AV6">
        <f t="shared" si="6"/>
        <v>6.25E-2</v>
      </c>
      <c r="AW6">
        <f t="shared" si="6"/>
        <v>6.25E-2</v>
      </c>
      <c r="AX6">
        <f t="shared" si="6"/>
        <v>6.25E-2</v>
      </c>
      <c r="AY6">
        <f t="shared" si="6"/>
        <v>6.25E-2</v>
      </c>
      <c r="AZ6">
        <f t="shared" si="6"/>
        <v>6.25E-2</v>
      </c>
      <c r="BA6">
        <f t="shared" si="6"/>
        <v>6.25E-2</v>
      </c>
      <c r="BB6">
        <f t="shared" si="6"/>
        <v>6.25E-2</v>
      </c>
      <c r="BC6">
        <f t="shared" si="6"/>
        <v>6.25E-2</v>
      </c>
      <c r="BD6">
        <f t="shared" si="6"/>
        <v>6.25E-2</v>
      </c>
      <c r="BE6">
        <f t="shared" si="6"/>
        <v>6.25E-2</v>
      </c>
      <c r="BF6">
        <f t="shared" si="6"/>
        <v>6.25E-2</v>
      </c>
      <c r="BG6">
        <f t="shared" si="6"/>
        <v>6.25E-2</v>
      </c>
      <c r="BH6">
        <f t="shared" si="6"/>
        <v>6.25E-2</v>
      </c>
      <c r="BI6">
        <f t="shared" si="6"/>
        <v>6.25E-2</v>
      </c>
      <c r="BJ6">
        <f t="shared" si="6"/>
        <v>6.25E-2</v>
      </c>
      <c r="BK6">
        <f t="shared" si="6"/>
        <v>6.25E-2</v>
      </c>
      <c r="BL6">
        <f t="shared" si="6"/>
        <v>6.25E-2</v>
      </c>
      <c r="BM6">
        <f t="shared" si="6"/>
        <v>6.25E-2</v>
      </c>
      <c r="BN6">
        <f t="shared" si="6"/>
        <v>6.25E-2</v>
      </c>
      <c r="BO6">
        <f t="shared" si="6"/>
        <v>6.25E-2</v>
      </c>
      <c r="BP6">
        <f t="shared" si="6"/>
        <v>6.25E-2</v>
      </c>
      <c r="BQ6">
        <f t="shared" si="3"/>
        <v>6.25E-2</v>
      </c>
      <c r="BR6">
        <f t="shared" si="3"/>
        <v>6.25E-2</v>
      </c>
      <c r="BS6">
        <f t="shared" si="3"/>
        <v>6.25E-2</v>
      </c>
      <c r="BT6">
        <f t="shared" si="3"/>
        <v>6.25E-2</v>
      </c>
      <c r="BU6">
        <f t="shared" si="3"/>
        <v>6.25E-2</v>
      </c>
      <c r="BV6">
        <f t="shared" si="3"/>
        <v>6.25E-2</v>
      </c>
      <c r="BW6">
        <f t="shared" si="3"/>
        <v>6.25E-2</v>
      </c>
      <c r="BX6">
        <f t="shared" si="3"/>
        <v>6.25E-2</v>
      </c>
      <c r="BY6">
        <f t="shared" si="3"/>
        <v>6.25E-2</v>
      </c>
      <c r="BZ6">
        <f t="shared" si="3"/>
        <v>6.25E-2</v>
      </c>
      <c r="CA6">
        <f t="shared" si="3"/>
        <v>6.25E-2</v>
      </c>
      <c r="CB6">
        <f t="shared" si="3"/>
        <v>6.25E-2</v>
      </c>
      <c r="CC6">
        <f t="shared" si="3"/>
        <v>6.25E-2</v>
      </c>
      <c r="CD6">
        <f t="shared" si="3"/>
        <v>6.25E-2</v>
      </c>
      <c r="CE6">
        <f t="shared" si="3"/>
        <v>6.25E-2</v>
      </c>
      <c r="CF6">
        <f t="shared" si="3"/>
        <v>6.25E-2</v>
      </c>
      <c r="CG6">
        <f t="shared" si="3"/>
        <v>6.25E-2</v>
      </c>
      <c r="CH6">
        <f t="shared" si="3"/>
        <v>6.25E-2</v>
      </c>
      <c r="CI6">
        <f t="shared" si="3"/>
        <v>6.25E-2</v>
      </c>
      <c r="CJ6">
        <f t="shared" si="3"/>
        <v>6.25E-2</v>
      </c>
      <c r="CK6">
        <f t="shared" si="3"/>
        <v>6.25E-2</v>
      </c>
      <c r="CL6">
        <f t="shared" si="3"/>
        <v>6.25E-2</v>
      </c>
      <c r="CM6">
        <f t="shared" si="3"/>
        <v>6.25E-2</v>
      </c>
      <c r="CN6">
        <f t="shared" si="3"/>
        <v>6.25E-2</v>
      </c>
      <c r="CO6">
        <f t="shared" si="3"/>
        <v>6.25E-2</v>
      </c>
    </row>
    <row r="7" spans="1:93" x14ac:dyDescent="0.25">
      <c r="A7" t="s">
        <v>18</v>
      </c>
      <c r="B7" t="s">
        <v>137</v>
      </c>
      <c r="C7">
        <f t="shared" si="4"/>
        <v>0.16666666666666666</v>
      </c>
      <c r="D7">
        <f t="shared" si="5"/>
        <v>0.16666666666666666</v>
      </c>
      <c r="E7">
        <f t="shared" si="6"/>
        <v>0.16666666666666666</v>
      </c>
      <c r="F7">
        <f t="shared" si="6"/>
        <v>0.16666666666666666</v>
      </c>
      <c r="G7">
        <f t="shared" si="6"/>
        <v>0.16666666666666666</v>
      </c>
      <c r="H7">
        <f t="shared" si="6"/>
        <v>0.16666666666666666</v>
      </c>
      <c r="I7">
        <f t="shared" si="6"/>
        <v>0.16666666666666666</v>
      </c>
      <c r="J7">
        <f t="shared" si="6"/>
        <v>0.16666666666666666</v>
      </c>
      <c r="K7">
        <f t="shared" si="6"/>
        <v>0.16666666666666666</v>
      </c>
      <c r="L7">
        <f t="shared" si="6"/>
        <v>0.16666666666666666</v>
      </c>
      <c r="M7">
        <f t="shared" si="6"/>
        <v>0.16666666666666666</v>
      </c>
      <c r="N7">
        <f t="shared" si="6"/>
        <v>0.16666666666666666</v>
      </c>
      <c r="O7">
        <f t="shared" si="6"/>
        <v>0.16666666666666666</v>
      </c>
      <c r="P7">
        <f t="shared" si="6"/>
        <v>0.16666666666666666</v>
      </c>
      <c r="Q7">
        <f t="shared" si="6"/>
        <v>0.16666666666666666</v>
      </c>
      <c r="R7">
        <f t="shared" si="6"/>
        <v>0.16666666666666666</v>
      </c>
      <c r="S7">
        <f t="shared" si="6"/>
        <v>0.16666666666666666</v>
      </c>
      <c r="T7">
        <f t="shared" si="6"/>
        <v>0.16666666666666666</v>
      </c>
      <c r="U7">
        <f t="shared" si="6"/>
        <v>0.16666666666666666</v>
      </c>
      <c r="V7">
        <f t="shared" si="6"/>
        <v>0.16666666666666666</v>
      </c>
      <c r="W7">
        <f t="shared" si="6"/>
        <v>0.16666666666666666</v>
      </c>
      <c r="X7">
        <f t="shared" si="6"/>
        <v>0.16666666666666666</v>
      </c>
      <c r="Y7">
        <f t="shared" si="6"/>
        <v>0.16666666666666666</v>
      </c>
      <c r="Z7">
        <f t="shared" si="6"/>
        <v>0.16666666666666666</v>
      </c>
      <c r="AA7">
        <f t="shared" si="6"/>
        <v>0.16666666666666666</v>
      </c>
      <c r="AB7">
        <f t="shared" si="6"/>
        <v>0.16666666666666666</v>
      </c>
      <c r="AC7">
        <f t="shared" si="6"/>
        <v>0.16666666666666666</v>
      </c>
      <c r="AD7">
        <f t="shared" si="6"/>
        <v>0.16666666666666666</v>
      </c>
      <c r="AE7">
        <f t="shared" si="6"/>
        <v>0.16666666666666666</v>
      </c>
      <c r="AF7">
        <f t="shared" si="6"/>
        <v>0.16666666666666666</v>
      </c>
      <c r="AG7">
        <f t="shared" si="6"/>
        <v>0.16666666666666666</v>
      </c>
      <c r="AH7">
        <f t="shared" si="6"/>
        <v>0.16666666666666666</v>
      </c>
      <c r="AI7">
        <f t="shared" si="6"/>
        <v>0.16666666666666666</v>
      </c>
      <c r="AJ7">
        <f t="shared" si="6"/>
        <v>0.16666666666666666</v>
      </c>
      <c r="AK7">
        <f t="shared" si="6"/>
        <v>0.16666666666666666</v>
      </c>
      <c r="AL7">
        <f t="shared" si="6"/>
        <v>0.16666666666666666</v>
      </c>
      <c r="AM7">
        <f t="shared" si="6"/>
        <v>0.16666666666666666</v>
      </c>
      <c r="AN7">
        <f t="shared" si="6"/>
        <v>0.16666666666666666</v>
      </c>
      <c r="AO7">
        <f t="shared" si="6"/>
        <v>0.16666666666666666</v>
      </c>
      <c r="AP7">
        <f t="shared" si="6"/>
        <v>0.16666666666666666</v>
      </c>
      <c r="AQ7">
        <f t="shared" si="6"/>
        <v>0.16666666666666666</v>
      </c>
      <c r="AR7">
        <f t="shared" si="6"/>
        <v>0.16666666666666666</v>
      </c>
      <c r="AS7">
        <f t="shared" si="6"/>
        <v>0.16666666666666666</v>
      </c>
      <c r="AT7">
        <f t="shared" si="6"/>
        <v>0.16666666666666666</v>
      </c>
      <c r="AU7">
        <f t="shared" si="6"/>
        <v>0.16666666666666666</v>
      </c>
      <c r="AV7">
        <f t="shared" si="6"/>
        <v>0.16666666666666666</v>
      </c>
      <c r="AW7">
        <f t="shared" si="6"/>
        <v>0.16666666666666666</v>
      </c>
      <c r="AX7">
        <f t="shared" si="6"/>
        <v>0.16666666666666666</v>
      </c>
      <c r="AY7">
        <f t="shared" si="6"/>
        <v>0.16666666666666666</v>
      </c>
      <c r="AZ7">
        <f t="shared" si="6"/>
        <v>0.16666666666666666</v>
      </c>
      <c r="BA7">
        <f t="shared" si="6"/>
        <v>0.16666666666666666</v>
      </c>
      <c r="BB7">
        <f t="shared" si="6"/>
        <v>0.16666666666666666</v>
      </c>
      <c r="BC7">
        <f t="shared" si="6"/>
        <v>0.16666666666666666</v>
      </c>
      <c r="BD7">
        <f t="shared" si="6"/>
        <v>0.16666666666666666</v>
      </c>
      <c r="BE7">
        <f t="shared" si="6"/>
        <v>0.16666666666666666</v>
      </c>
      <c r="BF7">
        <f t="shared" si="6"/>
        <v>0.16666666666666666</v>
      </c>
      <c r="BG7">
        <f t="shared" si="6"/>
        <v>0.16666666666666666</v>
      </c>
      <c r="BH7">
        <f t="shared" si="6"/>
        <v>0.16666666666666666</v>
      </c>
      <c r="BI7">
        <f t="shared" si="6"/>
        <v>0.16666666666666666</v>
      </c>
      <c r="BJ7">
        <f t="shared" si="6"/>
        <v>0.16666666666666666</v>
      </c>
      <c r="BK7">
        <f t="shared" si="6"/>
        <v>0.16666666666666666</v>
      </c>
      <c r="BL7">
        <f t="shared" si="6"/>
        <v>0.16666666666666666</v>
      </c>
      <c r="BM7">
        <f t="shared" si="6"/>
        <v>0.16666666666666666</v>
      </c>
      <c r="BN7">
        <f t="shared" si="6"/>
        <v>0.16666666666666666</v>
      </c>
      <c r="BO7">
        <f t="shared" si="6"/>
        <v>0.16666666666666666</v>
      </c>
      <c r="BP7">
        <f t="shared" ref="BP7:CO10" si="7">BO7</f>
        <v>0.16666666666666666</v>
      </c>
      <c r="BQ7">
        <f t="shared" si="7"/>
        <v>0.16666666666666666</v>
      </c>
      <c r="BR7">
        <f t="shared" si="7"/>
        <v>0.16666666666666666</v>
      </c>
      <c r="BS7">
        <f t="shared" si="7"/>
        <v>0.16666666666666666</v>
      </c>
      <c r="BT7">
        <f t="shared" si="7"/>
        <v>0.16666666666666666</v>
      </c>
      <c r="BU7">
        <f t="shared" si="7"/>
        <v>0.16666666666666666</v>
      </c>
      <c r="BV7">
        <f t="shared" si="7"/>
        <v>0.16666666666666666</v>
      </c>
      <c r="BW7">
        <f t="shared" si="7"/>
        <v>0.16666666666666666</v>
      </c>
      <c r="BX7">
        <f t="shared" si="7"/>
        <v>0.16666666666666666</v>
      </c>
      <c r="BY7">
        <f t="shared" si="7"/>
        <v>0.16666666666666666</v>
      </c>
      <c r="BZ7">
        <f t="shared" si="7"/>
        <v>0.16666666666666666</v>
      </c>
      <c r="CA7">
        <f t="shared" si="7"/>
        <v>0.16666666666666666</v>
      </c>
      <c r="CB7">
        <f t="shared" si="7"/>
        <v>0.16666666666666666</v>
      </c>
      <c r="CC7">
        <f t="shared" si="7"/>
        <v>0.16666666666666666</v>
      </c>
      <c r="CD7">
        <f t="shared" si="7"/>
        <v>0.16666666666666666</v>
      </c>
      <c r="CE7">
        <f t="shared" si="7"/>
        <v>0.16666666666666666</v>
      </c>
      <c r="CF7">
        <f t="shared" si="7"/>
        <v>0.16666666666666666</v>
      </c>
      <c r="CG7">
        <f t="shared" si="7"/>
        <v>0.16666666666666666</v>
      </c>
      <c r="CH7">
        <f t="shared" si="7"/>
        <v>0.16666666666666666</v>
      </c>
      <c r="CI7">
        <f t="shared" si="7"/>
        <v>0.16666666666666666</v>
      </c>
      <c r="CJ7">
        <f t="shared" si="7"/>
        <v>0.16666666666666666</v>
      </c>
      <c r="CK7">
        <f t="shared" si="7"/>
        <v>0.16666666666666666</v>
      </c>
      <c r="CL7">
        <f t="shared" si="7"/>
        <v>0.16666666666666666</v>
      </c>
      <c r="CM7">
        <f t="shared" si="7"/>
        <v>0.16666666666666666</v>
      </c>
      <c r="CN7">
        <f t="shared" si="7"/>
        <v>0.16666666666666666</v>
      </c>
      <c r="CO7">
        <f t="shared" si="7"/>
        <v>0.16666666666666666</v>
      </c>
    </row>
    <row r="8" spans="1:93" x14ac:dyDescent="0.25">
      <c r="A8" t="s">
        <v>19</v>
      </c>
      <c r="B8" t="s">
        <v>138</v>
      </c>
      <c r="C8">
        <f t="shared" si="4"/>
        <v>6.25E-2</v>
      </c>
      <c r="D8">
        <f t="shared" si="5"/>
        <v>6.25E-2</v>
      </c>
      <c r="E8">
        <f t="shared" ref="E8:BP11" si="8">D8</f>
        <v>6.25E-2</v>
      </c>
      <c r="F8">
        <f t="shared" si="8"/>
        <v>6.25E-2</v>
      </c>
      <c r="G8">
        <f t="shared" si="8"/>
        <v>6.25E-2</v>
      </c>
      <c r="H8">
        <f t="shared" si="8"/>
        <v>6.25E-2</v>
      </c>
      <c r="I8">
        <f t="shared" si="8"/>
        <v>6.25E-2</v>
      </c>
      <c r="J8">
        <f t="shared" si="8"/>
        <v>6.25E-2</v>
      </c>
      <c r="K8">
        <f t="shared" si="8"/>
        <v>6.25E-2</v>
      </c>
      <c r="L8">
        <f t="shared" si="8"/>
        <v>6.25E-2</v>
      </c>
      <c r="M8">
        <f t="shared" si="8"/>
        <v>6.25E-2</v>
      </c>
      <c r="N8">
        <f t="shared" si="8"/>
        <v>6.25E-2</v>
      </c>
      <c r="O8">
        <f t="shared" si="8"/>
        <v>6.25E-2</v>
      </c>
      <c r="P8">
        <f t="shared" si="8"/>
        <v>6.25E-2</v>
      </c>
      <c r="Q8">
        <f t="shared" si="8"/>
        <v>6.25E-2</v>
      </c>
      <c r="R8">
        <f t="shared" si="8"/>
        <v>6.25E-2</v>
      </c>
      <c r="S8">
        <f t="shared" si="8"/>
        <v>6.25E-2</v>
      </c>
      <c r="T8">
        <f t="shared" si="8"/>
        <v>6.25E-2</v>
      </c>
      <c r="U8">
        <f t="shared" si="8"/>
        <v>6.25E-2</v>
      </c>
      <c r="V8">
        <f t="shared" si="8"/>
        <v>6.25E-2</v>
      </c>
      <c r="W8">
        <f t="shared" si="8"/>
        <v>6.25E-2</v>
      </c>
      <c r="X8">
        <f t="shared" si="8"/>
        <v>6.25E-2</v>
      </c>
      <c r="Y8">
        <f t="shared" si="8"/>
        <v>6.25E-2</v>
      </c>
      <c r="Z8">
        <f t="shared" si="8"/>
        <v>6.25E-2</v>
      </c>
      <c r="AA8">
        <f t="shared" si="8"/>
        <v>6.25E-2</v>
      </c>
      <c r="AB8">
        <f t="shared" si="8"/>
        <v>6.25E-2</v>
      </c>
      <c r="AC8">
        <f t="shared" si="8"/>
        <v>6.25E-2</v>
      </c>
      <c r="AD8">
        <f t="shared" si="8"/>
        <v>6.25E-2</v>
      </c>
      <c r="AE8">
        <f t="shared" si="8"/>
        <v>6.25E-2</v>
      </c>
      <c r="AF8">
        <f t="shared" si="8"/>
        <v>6.25E-2</v>
      </c>
      <c r="AG8">
        <f t="shared" si="8"/>
        <v>6.25E-2</v>
      </c>
      <c r="AH8">
        <f t="shared" si="8"/>
        <v>6.25E-2</v>
      </c>
      <c r="AI8">
        <f t="shared" si="8"/>
        <v>6.25E-2</v>
      </c>
      <c r="AJ8">
        <f t="shared" si="8"/>
        <v>6.25E-2</v>
      </c>
      <c r="AK8">
        <f t="shared" si="8"/>
        <v>6.25E-2</v>
      </c>
      <c r="AL8">
        <f t="shared" si="8"/>
        <v>6.25E-2</v>
      </c>
      <c r="AM8">
        <f t="shared" si="8"/>
        <v>6.25E-2</v>
      </c>
      <c r="AN8">
        <f t="shared" si="8"/>
        <v>6.25E-2</v>
      </c>
      <c r="AO8">
        <f t="shared" si="8"/>
        <v>6.25E-2</v>
      </c>
      <c r="AP8">
        <f t="shared" si="8"/>
        <v>6.25E-2</v>
      </c>
      <c r="AQ8">
        <f t="shared" si="8"/>
        <v>6.25E-2</v>
      </c>
      <c r="AR8">
        <f t="shared" si="8"/>
        <v>6.25E-2</v>
      </c>
      <c r="AS8">
        <f t="shared" si="8"/>
        <v>6.25E-2</v>
      </c>
      <c r="AT8">
        <f t="shared" si="8"/>
        <v>6.25E-2</v>
      </c>
      <c r="AU8">
        <f t="shared" si="8"/>
        <v>6.25E-2</v>
      </c>
      <c r="AV8">
        <f t="shared" si="8"/>
        <v>6.25E-2</v>
      </c>
      <c r="AW8">
        <f t="shared" si="8"/>
        <v>6.25E-2</v>
      </c>
      <c r="AX8">
        <f t="shared" si="8"/>
        <v>6.25E-2</v>
      </c>
      <c r="AY8">
        <f t="shared" si="8"/>
        <v>6.25E-2</v>
      </c>
      <c r="AZ8">
        <f t="shared" si="8"/>
        <v>6.25E-2</v>
      </c>
      <c r="BA8">
        <f t="shared" si="8"/>
        <v>6.25E-2</v>
      </c>
      <c r="BB8">
        <f t="shared" si="8"/>
        <v>6.25E-2</v>
      </c>
      <c r="BC8">
        <f t="shared" si="8"/>
        <v>6.25E-2</v>
      </c>
      <c r="BD8">
        <f t="shared" si="8"/>
        <v>6.25E-2</v>
      </c>
      <c r="BE8">
        <f t="shared" si="8"/>
        <v>6.25E-2</v>
      </c>
      <c r="BF8">
        <f t="shared" si="8"/>
        <v>6.25E-2</v>
      </c>
      <c r="BG8">
        <f t="shared" si="8"/>
        <v>6.25E-2</v>
      </c>
      <c r="BH8">
        <f t="shared" si="8"/>
        <v>6.25E-2</v>
      </c>
      <c r="BI8">
        <f t="shared" si="8"/>
        <v>6.25E-2</v>
      </c>
      <c r="BJ8">
        <f t="shared" si="8"/>
        <v>6.25E-2</v>
      </c>
      <c r="BK8">
        <f t="shared" si="8"/>
        <v>6.25E-2</v>
      </c>
      <c r="BL8">
        <f t="shared" si="8"/>
        <v>6.25E-2</v>
      </c>
      <c r="BM8">
        <f t="shared" si="8"/>
        <v>6.25E-2</v>
      </c>
      <c r="BN8">
        <f t="shared" si="8"/>
        <v>6.25E-2</v>
      </c>
      <c r="BO8">
        <f t="shared" si="8"/>
        <v>6.25E-2</v>
      </c>
      <c r="BP8">
        <f t="shared" si="8"/>
        <v>6.25E-2</v>
      </c>
      <c r="BQ8">
        <f t="shared" si="7"/>
        <v>6.25E-2</v>
      </c>
      <c r="BR8">
        <f t="shared" si="7"/>
        <v>6.25E-2</v>
      </c>
      <c r="BS8">
        <f t="shared" si="7"/>
        <v>6.25E-2</v>
      </c>
      <c r="BT8">
        <f t="shared" si="7"/>
        <v>6.25E-2</v>
      </c>
      <c r="BU8">
        <f t="shared" si="7"/>
        <v>6.25E-2</v>
      </c>
      <c r="BV8">
        <f t="shared" si="7"/>
        <v>6.25E-2</v>
      </c>
      <c r="BW8">
        <f t="shared" si="7"/>
        <v>6.25E-2</v>
      </c>
      <c r="BX8">
        <f t="shared" si="7"/>
        <v>6.25E-2</v>
      </c>
      <c r="BY8">
        <f t="shared" si="7"/>
        <v>6.25E-2</v>
      </c>
      <c r="BZ8">
        <f t="shared" si="7"/>
        <v>6.25E-2</v>
      </c>
      <c r="CA8">
        <f t="shared" si="7"/>
        <v>6.25E-2</v>
      </c>
      <c r="CB8">
        <f t="shared" si="7"/>
        <v>6.25E-2</v>
      </c>
      <c r="CC8">
        <f t="shared" si="7"/>
        <v>6.25E-2</v>
      </c>
      <c r="CD8">
        <f t="shared" si="7"/>
        <v>6.25E-2</v>
      </c>
      <c r="CE8">
        <f t="shared" si="7"/>
        <v>6.25E-2</v>
      </c>
      <c r="CF8">
        <f t="shared" si="7"/>
        <v>6.25E-2</v>
      </c>
      <c r="CG8">
        <f t="shared" si="7"/>
        <v>6.25E-2</v>
      </c>
      <c r="CH8">
        <f t="shared" si="7"/>
        <v>6.25E-2</v>
      </c>
      <c r="CI8">
        <f t="shared" si="7"/>
        <v>6.25E-2</v>
      </c>
      <c r="CJ8">
        <f t="shared" si="7"/>
        <v>6.25E-2</v>
      </c>
      <c r="CK8">
        <f t="shared" si="7"/>
        <v>6.25E-2</v>
      </c>
      <c r="CL8">
        <f t="shared" si="7"/>
        <v>6.25E-2</v>
      </c>
      <c r="CM8">
        <f t="shared" si="7"/>
        <v>6.25E-2</v>
      </c>
      <c r="CN8">
        <f t="shared" si="7"/>
        <v>6.25E-2</v>
      </c>
      <c r="CO8">
        <f t="shared" si="7"/>
        <v>6.25E-2</v>
      </c>
    </row>
    <row r="9" spans="1:93" x14ac:dyDescent="0.25">
      <c r="A9" t="s">
        <v>20</v>
      </c>
      <c r="B9" t="s">
        <v>138</v>
      </c>
      <c r="C9">
        <f t="shared" si="4"/>
        <v>6.25E-2</v>
      </c>
      <c r="D9">
        <f t="shared" si="5"/>
        <v>6.25E-2</v>
      </c>
      <c r="E9">
        <f t="shared" si="8"/>
        <v>6.25E-2</v>
      </c>
      <c r="F9">
        <f t="shared" si="8"/>
        <v>6.25E-2</v>
      </c>
      <c r="G9">
        <f t="shared" si="8"/>
        <v>6.25E-2</v>
      </c>
      <c r="H9">
        <f t="shared" si="8"/>
        <v>6.25E-2</v>
      </c>
      <c r="I9">
        <f t="shared" si="8"/>
        <v>6.25E-2</v>
      </c>
      <c r="J9">
        <f t="shared" si="8"/>
        <v>6.25E-2</v>
      </c>
      <c r="K9">
        <f t="shared" si="8"/>
        <v>6.25E-2</v>
      </c>
      <c r="L9">
        <f t="shared" si="8"/>
        <v>6.25E-2</v>
      </c>
      <c r="M9">
        <f t="shared" si="8"/>
        <v>6.25E-2</v>
      </c>
      <c r="N9">
        <f t="shared" si="8"/>
        <v>6.25E-2</v>
      </c>
      <c r="O9">
        <f t="shared" si="8"/>
        <v>6.25E-2</v>
      </c>
      <c r="P9">
        <f t="shared" si="8"/>
        <v>6.25E-2</v>
      </c>
      <c r="Q9">
        <f t="shared" si="8"/>
        <v>6.25E-2</v>
      </c>
      <c r="R9">
        <f t="shared" si="8"/>
        <v>6.25E-2</v>
      </c>
      <c r="S9">
        <f t="shared" si="8"/>
        <v>6.25E-2</v>
      </c>
      <c r="T9">
        <f t="shared" si="8"/>
        <v>6.25E-2</v>
      </c>
      <c r="U9">
        <f t="shared" si="8"/>
        <v>6.25E-2</v>
      </c>
      <c r="V9">
        <f t="shared" si="8"/>
        <v>6.25E-2</v>
      </c>
      <c r="W9">
        <f t="shared" si="8"/>
        <v>6.25E-2</v>
      </c>
      <c r="X9">
        <f t="shared" si="8"/>
        <v>6.25E-2</v>
      </c>
      <c r="Y9">
        <f t="shared" si="8"/>
        <v>6.25E-2</v>
      </c>
      <c r="Z9">
        <f t="shared" si="8"/>
        <v>6.25E-2</v>
      </c>
      <c r="AA9">
        <f t="shared" si="8"/>
        <v>6.25E-2</v>
      </c>
      <c r="AB9">
        <f t="shared" si="8"/>
        <v>6.25E-2</v>
      </c>
      <c r="AC9">
        <f t="shared" si="8"/>
        <v>6.25E-2</v>
      </c>
      <c r="AD9">
        <f t="shared" si="8"/>
        <v>6.25E-2</v>
      </c>
      <c r="AE9">
        <f t="shared" si="8"/>
        <v>6.25E-2</v>
      </c>
      <c r="AF9">
        <f t="shared" si="8"/>
        <v>6.25E-2</v>
      </c>
      <c r="AG9">
        <f t="shared" si="8"/>
        <v>6.25E-2</v>
      </c>
      <c r="AH9">
        <f t="shared" si="8"/>
        <v>6.25E-2</v>
      </c>
      <c r="AI9">
        <f t="shared" si="8"/>
        <v>6.25E-2</v>
      </c>
      <c r="AJ9">
        <f t="shared" si="8"/>
        <v>6.25E-2</v>
      </c>
      <c r="AK9">
        <f t="shared" si="8"/>
        <v>6.25E-2</v>
      </c>
      <c r="AL9">
        <f t="shared" si="8"/>
        <v>6.25E-2</v>
      </c>
      <c r="AM9">
        <f t="shared" si="8"/>
        <v>6.25E-2</v>
      </c>
      <c r="AN9">
        <f t="shared" si="8"/>
        <v>6.25E-2</v>
      </c>
      <c r="AO9">
        <f t="shared" si="8"/>
        <v>6.25E-2</v>
      </c>
      <c r="AP9">
        <f t="shared" si="8"/>
        <v>6.25E-2</v>
      </c>
      <c r="AQ9">
        <f t="shared" si="8"/>
        <v>6.25E-2</v>
      </c>
      <c r="AR9">
        <f t="shared" si="8"/>
        <v>6.25E-2</v>
      </c>
      <c r="AS9">
        <f t="shared" si="8"/>
        <v>6.25E-2</v>
      </c>
      <c r="AT9">
        <f t="shared" si="8"/>
        <v>6.25E-2</v>
      </c>
      <c r="AU9">
        <f t="shared" si="8"/>
        <v>6.25E-2</v>
      </c>
      <c r="AV9">
        <f t="shared" si="8"/>
        <v>6.25E-2</v>
      </c>
      <c r="AW9">
        <f t="shared" si="8"/>
        <v>6.25E-2</v>
      </c>
      <c r="AX9">
        <f t="shared" si="8"/>
        <v>6.25E-2</v>
      </c>
      <c r="AY9">
        <f t="shared" si="8"/>
        <v>6.25E-2</v>
      </c>
      <c r="AZ9">
        <f t="shared" si="8"/>
        <v>6.25E-2</v>
      </c>
      <c r="BA9">
        <f t="shared" si="8"/>
        <v>6.25E-2</v>
      </c>
      <c r="BB9">
        <f t="shared" si="8"/>
        <v>6.25E-2</v>
      </c>
      <c r="BC9">
        <f t="shared" si="8"/>
        <v>6.25E-2</v>
      </c>
      <c r="BD9">
        <f t="shared" si="8"/>
        <v>6.25E-2</v>
      </c>
      <c r="BE9">
        <f t="shared" si="8"/>
        <v>6.25E-2</v>
      </c>
      <c r="BF9">
        <f t="shared" si="8"/>
        <v>6.25E-2</v>
      </c>
      <c r="BG9">
        <f t="shared" si="8"/>
        <v>6.25E-2</v>
      </c>
      <c r="BH9">
        <f t="shared" si="8"/>
        <v>6.25E-2</v>
      </c>
      <c r="BI9">
        <f t="shared" si="8"/>
        <v>6.25E-2</v>
      </c>
      <c r="BJ9">
        <f t="shared" si="8"/>
        <v>6.25E-2</v>
      </c>
      <c r="BK9">
        <f t="shared" si="8"/>
        <v>6.25E-2</v>
      </c>
      <c r="BL9">
        <f t="shared" si="8"/>
        <v>6.25E-2</v>
      </c>
      <c r="BM9">
        <f t="shared" si="8"/>
        <v>6.25E-2</v>
      </c>
      <c r="BN9">
        <f t="shared" si="8"/>
        <v>6.25E-2</v>
      </c>
      <c r="BO9">
        <f t="shared" si="8"/>
        <v>6.25E-2</v>
      </c>
      <c r="BP9">
        <f t="shared" si="8"/>
        <v>6.25E-2</v>
      </c>
      <c r="BQ9">
        <f t="shared" si="7"/>
        <v>6.25E-2</v>
      </c>
      <c r="BR9">
        <f t="shared" si="7"/>
        <v>6.25E-2</v>
      </c>
      <c r="BS9">
        <f t="shared" si="7"/>
        <v>6.25E-2</v>
      </c>
      <c r="BT9">
        <f t="shared" si="7"/>
        <v>6.25E-2</v>
      </c>
      <c r="BU9">
        <f t="shared" si="7"/>
        <v>6.25E-2</v>
      </c>
      <c r="BV9">
        <f t="shared" si="7"/>
        <v>6.25E-2</v>
      </c>
      <c r="BW9">
        <f t="shared" si="7"/>
        <v>6.25E-2</v>
      </c>
      <c r="BX9">
        <f t="shared" si="7"/>
        <v>6.25E-2</v>
      </c>
      <c r="BY9">
        <f t="shared" si="7"/>
        <v>6.25E-2</v>
      </c>
      <c r="BZ9">
        <f t="shared" si="7"/>
        <v>6.25E-2</v>
      </c>
      <c r="CA9">
        <f t="shared" si="7"/>
        <v>6.25E-2</v>
      </c>
      <c r="CB9">
        <f t="shared" si="7"/>
        <v>6.25E-2</v>
      </c>
      <c r="CC9">
        <f t="shared" si="7"/>
        <v>6.25E-2</v>
      </c>
      <c r="CD9">
        <f t="shared" si="7"/>
        <v>6.25E-2</v>
      </c>
      <c r="CE9">
        <f t="shared" si="7"/>
        <v>6.25E-2</v>
      </c>
      <c r="CF9">
        <f t="shared" si="7"/>
        <v>6.25E-2</v>
      </c>
      <c r="CG9">
        <f t="shared" si="7"/>
        <v>6.25E-2</v>
      </c>
      <c r="CH9">
        <f t="shared" si="7"/>
        <v>6.25E-2</v>
      </c>
      <c r="CI9">
        <f t="shared" si="7"/>
        <v>6.25E-2</v>
      </c>
      <c r="CJ9">
        <f t="shared" si="7"/>
        <v>6.25E-2</v>
      </c>
      <c r="CK9">
        <f t="shared" si="7"/>
        <v>6.25E-2</v>
      </c>
      <c r="CL9">
        <f t="shared" si="7"/>
        <v>6.25E-2</v>
      </c>
      <c r="CM9">
        <f t="shared" si="7"/>
        <v>6.25E-2</v>
      </c>
      <c r="CN9">
        <f t="shared" si="7"/>
        <v>6.25E-2</v>
      </c>
      <c r="CO9">
        <f t="shared" si="7"/>
        <v>6.25E-2</v>
      </c>
    </row>
    <row r="10" spans="1:93" x14ac:dyDescent="0.25">
      <c r="A10" t="s">
        <v>21</v>
      </c>
      <c r="B10" t="s">
        <v>138</v>
      </c>
      <c r="C10">
        <f t="shared" si="4"/>
        <v>6.25E-2</v>
      </c>
      <c r="D10">
        <f t="shared" si="5"/>
        <v>6.25E-2</v>
      </c>
      <c r="E10">
        <f t="shared" si="8"/>
        <v>6.25E-2</v>
      </c>
      <c r="F10">
        <f t="shared" si="8"/>
        <v>6.25E-2</v>
      </c>
      <c r="G10">
        <f t="shared" si="8"/>
        <v>6.25E-2</v>
      </c>
      <c r="H10">
        <f t="shared" si="8"/>
        <v>6.25E-2</v>
      </c>
      <c r="I10">
        <f t="shared" si="8"/>
        <v>6.25E-2</v>
      </c>
      <c r="J10">
        <f t="shared" si="8"/>
        <v>6.25E-2</v>
      </c>
      <c r="K10">
        <f t="shared" si="8"/>
        <v>6.25E-2</v>
      </c>
      <c r="L10">
        <f t="shared" si="8"/>
        <v>6.25E-2</v>
      </c>
      <c r="M10">
        <f t="shared" si="8"/>
        <v>6.25E-2</v>
      </c>
      <c r="N10">
        <f t="shared" si="8"/>
        <v>6.25E-2</v>
      </c>
      <c r="O10">
        <f t="shared" si="8"/>
        <v>6.25E-2</v>
      </c>
      <c r="P10">
        <f t="shared" si="8"/>
        <v>6.25E-2</v>
      </c>
      <c r="Q10">
        <f t="shared" si="8"/>
        <v>6.25E-2</v>
      </c>
      <c r="R10">
        <f t="shared" si="8"/>
        <v>6.25E-2</v>
      </c>
      <c r="S10">
        <f t="shared" si="8"/>
        <v>6.25E-2</v>
      </c>
      <c r="T10">
        <f t="shared" si="8"/>
        <v>6.25E-2</v>
      </c>
      <c r="U10">
        <f t="shared" si="8"/>
        <v>6.25E-2</v>
      </c>
      <c r="V10">
        <f t="shared" si="8"/>
        <v>6.25E-2</v>
      </c>
      <c r="W10">
        <f t="shared" si="8"/>
        <v>6.25E-2</v>
      </c>
      <c r="X10">
        <f t="shared" si="8"/>
        <v>6.25E-2</v>
      </c>
      <c r="Y10">
        <f t="shared" si="8"/>
        <v>6.25E-2</v>
      </c>
      <c r="Z10">
        <f t="shared" si="8"/>
        <v>6.25E-2</v>
      </c>
      <c r="AA10">
        <f t="shared" si="8"/>
        <v>6.25E-2</v>
      </c>
      <c r="AB10">
        <f t="shared" si="8"/>
        <v>6.25E-2</v>
      </c>
      <c r="AC10">
        <f t="shared" si="8"/>
        <v>6.25E-2</v>
      </c>
      <c r="AD10">
        <f t="shared" si="8"/>
        <v>6.25E-2</v>
      </c>
      <c r="AE10">
        <f t="shared" si="8"/>
        <v>6.25E-2</v>
      </c>
      <c r="AF10">
        <f t="shared" si="8"/>
        <v>6.25E-2</v>
      </c>
      <c r="AG10">
        <f t="shared" si="8"/>
        <v>6.25E-2</v>
      </c>
      <c r="AH10">
        <f t="shared" si="8"/>
        <v>6.25E-2</v>
      </c>
      <c r="AI10">
        <f t="shared" si="8"/>
        <v>6.25E-2</v>
      </c>
      <c r="AJ10">
        <f t="shared" si="8"/>
        <v>6.25E-2</v>
      </c>
      <c r="AK10">
        <f t="shared" si="8"/>
        <v>6.25E-2</v>
      </c>
      <c r="AL10">
        <f t="shared" si="8"/>
        <v>6.25E-2</v>
      </c>
      <c r="AM10">
        <f t="shared" si="8"/>
        <v>6.25E-2</v>
      </c>
      <c r="AN10">
        <f t="shared" si="8"/>
        <v>6.25E-2</v>
      </c>
      <c r="AO10">
        <f t="shared" si="8"/>
        <v>6.25E-2</v>
      </c>
      <c r="AP10">
        <f t="shared" si="8"/>
        <v>6.25E-2</v>
      </c>
      <c r="AQ10">
        <f t="shared" si="8"/>
        <v>6.25E-2</v>
      </c>
      <c r="AR10">
        <f t="shared" si="8"/>
        <v>6.25E-2</v>
      </c>
      <c r="AS10">
        <f t="shared" si="8"/>
        <v>6.25E-2</v>
      </c>
      <c r="AT10">
        <f t="shared" si="8"/>
        <v>6.25E-2</v>
      </c>
      <c r="AU10">
        <f t="shared" si="8"/>
        <v>6.25E-2</v>
      </c>
      <c r="AV10">
        <f t="shared" si="8"/>
        <v>6.25E-2</v>
      </c>
      <c r="AW10">
        <f t="shared" si="8"/>
        <v>6.25E-2</v>
      </c>
      <c r="AX10">
        <f t="shared" si="8"/>
        <v>6.25E-2</v>
      </c>
      <c r="AY10">
        <f t="shared" si="8"/>
        <v>6.25E-2</v>
      </c>
      <c r="AZ10">
        <f t="shared" si="8"/>
        <v>6.25E-2</v>
      </c>
      <c r="BA10">
        <f t="shared" si="8"/>
        <v>6.25E-2</v>
      </c>
      <c r="BB10">
        <f t="shared" si="8"/>
        <v>6.25E-2</v>
      </c>
      <c r="BC10">
        <f t="shared" si="8"/>
        <v>6.25E-2</v>
      </c>
      <c r="BD10">
        <f t="shared" si="8"/>
        <v>6.25E-2</v>
      </c>
      <c r="BE10">
        <f t="shared" si="8"/>
        <v>6.25E-2</v>
      </c>
      <c r="BF10">
        <f t="shared" si="8"/>
        <v>6.25E-2</v>
      </c>
      <c r="BG10">
        <f t="shared" si="8"/>
        <v>6.25E-2</v>
      </c>
      <c r="BH10">
        <f t="shared" si="8"/>
        <v>6.25E-2</v>
      </c>
      <c r="BI10">
        <f t="shared" si="8"/>
        <v>6.25E-2</v>
      </c>
      <c r="BJ10">
        <f t="shared" si="8"/>
        <v>6.25E-2</v>
      </c>
      <c r="BK10">
        <f t="shared" si="8"/>
        <v>6.25E-2</v>
      </c>
      <c r="BL10">
        <f t="shared" si="8"/>
        <v>6.25E-2</v>
      </c>
      <c r="BM10">
        <f t="shared" si="8"/>
        <v>6.25E-2</v>
      </c>
      <c r="BN10">
        <f t="shared" si="8"/>
        <v>6.25E-2</v>
      </c>
      <c r="BO10">
        <f t="shared" si="8"/>
        <v>6.25E-2</v>
      </c>
      <c r="BP10">
        <f t="shared" si="8"/>
        <v>6.25E-2</v>
      </c>
      <c r="BQ10">
        <f t="shared" si="7"/>
        <v>6.25E-2</v>
      </c>
      <c r="BR10">
        <f t="shared" si="7"/>
        <v>6.25E-2</v>
      </c>
      <c r="BS10">
        <f t="shared" si="7"/>
        <v>6.25E-2</v>
      </c>
      <c r="BT10">
        <f t="shared" si="7"/>
        <v>6.25E-2</v>
      </c>
      <c r="BU10">
        <f t="shared" si="7"/>
        <v>6.25E-2</v>
      </c>
      <c r="BV10">
        <f t="shared" si="7"/>
        <v>6.25E-2</v>
      </c>
      <c r="BW10">
        <f t="shared" si="7"/>
        <v>6.25E-2</v>
      </c>
      <c r="BX10">
        <f t="shared" si="7"/>
        <v>6.25E-2</v>
      </c>
      <c r="BY10">
        <f t="shared" si="7"/>
        <v>6.25E-2</v>
      </c>
      <c r="BZ10">
        <f t="shared" si="7"/>
        <v>6.25E-2</v>
      </c>
      <c r="CA10">
        <f t="shared" si="7"/>
        <v>6.25E-2</v>
      </c>
      <c r="CB10">
        <f t="shared" si="7"/>
        <v>6.25E-2</v>
      </c>
      <c r="CC10">
        <f t="shared" si="7"/>
        <v>6.25E-2</v>
      </c>
      <c r="CD10">
        <f t="shared" si="7"/>
        <v>6.25E-2</v>
      </c>
      <c r="CE10">
        <f t="shared" si="7"/>
        <v>6.25E-2</v>
      </c>
      <c r="CF10">
        <f t="shared" si="7"/>
        <v>6.25E-2</v>
      </c>
      <c r="CG10">
        <f t="shared" si="7"/>
        <v>6.25E-2</v>
      </c>
      <c r="CH10">
        <f t="shared" si="7"/>
        <v>6.25E-2</v>
      </c>
      <c r="CI10">
        <f t="shared" si="7"/>
        <v>6.25E-2</v>
      </c>
      <c r="CJ10">
        <f t="shared" si="7"/>
        <v>6.25E-2</v>
      </c>
      <c r="CK10">
        <f t="shared" si="7"/>
        <v>6.25E-2</v>
      </c>
      <c r="CL10">
        <f t="shared" si="7"/>
        <v>6.25E-2</v>
      </c>
      <c r="CM10">
        <f t="shared" si="7"/>
        <v>6.25E-2</v>
      </c>
      <c r="CN10">
        <f t="shared" si="7"/>
        <v>6.25E-2</v>
      </c>
      <c r="CO10">
        <f t="shared" si="7"/>
        <v>6.25E-2</v>
      </c>
    </row>
    <row r="11" spans="1:93" x14ac:dyDescent="0.25">
      <c r="A11" t="s">
        <v>22</v>
      </c>
      <c r="B11" t="s">
        <v>138</v>
      </c>
      <c r="C11">
        <f t="shared" si="4"/>
        <v>6.25E-2</v>
      </c>
      <c r="D11">
        <f t="shared" si="5"/>
        <v>6.25E-2</v>
      </c>
      <c r="E11">
        <f t="shared" si="8"/>
        <v>6.25E-2</v>
      </c>
      <c r="F11">
        <f t="shared" si="8"/>
        <v>6.25E-2</v>
      </c>
      <c r="G11">
        <f t="shared" si="8"/>
        <v>6.25E-2</v>
      </c>
      <c r="H11">
        <f t="shared" si="8"/>
        <v>6.25E-2</v>
      </c>
      <c r="I11">
        <f t="shared" si="8"/>
        <v>6.25E-2</v>
      </c>
      <c r="J11">
        <f t="shared" si="8"/>
        <v>6.25E-2</v>
      </c>
      <c r="K11">
        <f t="shared" si="8"/>
        <v>6.25E-2</v>
      </c>
      <c r="L11">
        <f t="shared" si="8"/>
        <v>6.25E-2</v>
      </c>
      <c r="M11">
        <f t="shared" si="8"/>
        <v>6.25E-2</v>
      </c>
      <c r="N11">
        <f t="shared" si="8"/>
        <v>6.25E-2</v>
      </c>
      <c r="O11">
        <f t="shared" si="8"/>
        <v>6.25E-2</v>
      </c>
      <c r="P11">
        <f t="shared" si="8"/>
        <v>6.25E-2</v>
      </c>
      <c r="Q11">
        <f t="shared" si="8"/>
        <v>6.25E-2</v>
      </c>
      <c r="R11">
        <f t="shared" si="8"/>
        <v>6.25E-2</v>
      </c>
      <c r="S11">
        <f t="shared" si="8"/>
        <v>6.25E-2</v>
      </c>
      <c r="T11">
        <f t="shared" si="8"/>
        <v>6.25E-2</v>
      </c>
      <c r="U11">
        <f t="shared" si="8"/>
        <v>6.25E-2</v>
      </c>
      <c r="V11">
        <f t="shared" si="8"/>
        <v>6.25E-2</v>
      </c>
      <c r="W11">
        <f t="shared" si="8"/>
        <v>6.25E-2</v>
      </c>
      <c r="X11">
        <f t="shared" si="8"/>
        <v>6.25E-2</v>
      </c>
      <c r="Y11">
        <f t="shared" si="8"/>
        <v>6.25E-2</v>
      </c>
      <c r="Z11">
        <f t="shared" si="8"/>
        <v>6.25E-2</v>
      </c>
      <c r="AA11">
        <f t="shared" si="8"/>
        <v>6.25E-2</v>
      </c>
      <c r="AB11">
        <f t="shared" si="8"/>
        <v>6.25E-2</v>
      </c>
      <c r="AC11">
        <f t="shared" si="8"/>
        <v>6.25E-2</v>
      </c>
      <c r="AD11">
        <f t="shared" si="8"/>
        <v>6.25E-2</v>
      </c>
      <c r="AE11">
        <f t="shared" si="8"/>
        <v>6.25E-2</v>
      </c>
      <c r="AF11">
        <f t="shared" si="8"/>
        <v>6.25E-2</v>
      </c>
      <c r="AG11">
        <f t="shared" si="8"/>
        <v>6.25E-2</v>
      </c>
      <c r="AH11">
        <f t="shared" si="8"/>
        <v>6.25E-2</v>
      </c>
      <c r="AI11">
        <f t="shared" si="8"/>
        <v>6.25E-2</v>
      </c>
      <c r="AJ11">
        <f t="shared" si="8"/>
        <v>6.25E-2</v>
      </c>
      <c r="AK11">
        <f t="shared" si="8"/>
        <v>6.25E-2</v>
      </c>
      <c r="AL11">
        <f t="shared" si="8"/>
        <v>6.25E-2</v>
      </c>
      <c r="AM11">
        <f t="shared" si="8"/>
        <v>6.25E-2</v>
      </c>
      <c r="AN11">
        <f t="shared" si="8"/>
        <v>6.25E-2</v>
      </c>
      <c r="AO11">
        <f t="shared" si="8"/>
        <v>6.25E-2</v>
      </c>
      <c r="AP11">
        <f t="shared" si="8"/>
        <v>6.25E-2</v>
      </c>
      <c r="AQ11">
        <f t="shared" si="8"/>
        <v>6.25E-2</v>
      </c>
      <c r="AR11">
        <f t="shared" si="8"/>
        <v>6.25E-2</v>
      </c>
      <c r="AS11">
        <f t="shared" si="8"/>
        <v>6.25E-2</v>
      </c>
      <c r="AT11">
        <f t="shared" si="8"/>
        <v>6.25E-2</v>
      </c>
      <c r="AU11">
        <f t="shared" si="8"/>
        <v>6.25E-2</v>
      </c>
      <c r="AV11">
        <f t="shared" si="8"/>
        <v>6.25E-2</v>
      </c>
      <c r="AW11">
        <f t="shared" si="8"/>
        <v>6.25E-2</v>
      </c>
      <c r="AX11">
        <f t="shared" si="8"/>
        <v>6.25E-2</v>
      </c>
      <c r="AY11">
        <f t="shared" si="8"/>
        <v>6.25E-2</v>
      </c>
      <c r="AZ11">
        <f t="shared" si="8"/>
        <v>6.25E-2</v>
      </c>
      <c r="BA11">
        <f t="shared" si="8"/>
        <v>6.25E-2</v>
      </c>
      <c r="BB11">
        <f t="shared" si="8"/>
        <v>6.25E-2</v>
      </c>
      <c r="BC11">
        <f t="shared" si="8"/>
        <v>6.25E-2</v>
      </c>
      <c r="BD11">
        <f t="shared" si="8"/>
        <v>6.25E-2</v>
      </c>
      <c r="BE11">
        <f t="shared" si="8"/>
        <v>6.25E-2</v>
      </c>
      <c r="BF11">
        <f t="shared" si="8"/>
        <v>6.25E-2</v>
      </c>
      <c r="BG11">
        <f t="shared" si="8"/>
        <v>6.25E-2</v>
      </c>
      <c r="BH11">
        <f t="shared" si="8"/>
        <v>6.25E-2</v>
      </c>
      <c r="BI11">
        <f t="shared" si="8"/>
        <v>6.25E-2</v>
      </c>
      <c r="BJ11">
        <f t="shared" si="8"/>
        <v>6.25E-2</v>
      </c>
      <c r="BK11">
        <f t="shared" si="8"/>
        <v>6.25E-2</v>
      </c>
      <c r="BL11">
        <f t="shared" si="8"/>
        <v>6.25E-2</v>
      </c>
      <c r="BM11">
        <f t="shared" si="8"/>
        <v>6.25E-2</v>
      </c>
      <c r="BN11">
        <f t="shared" si="8"/>
        <v>6.25E-2</v>
      </c>
      <c r="BO11">
        <f t="shared" si="8"/>
        <v>6.25E-2</v>
      </c>
      <c r="BP11">
        <f t="shared" ref="BP11:CO14" si="9">BO11</f>
        <v>6.25E-2</v>
      </c>
      <c r="BQ11">
        <f t="shared" si="9"/>
        <v>6.25E-2</v>
      </c>
      <c r="BR11">
        <f t="shared" si="9"/>
        <v>6.25E-2</v>
      </c>
      <c r="BS11">
        <f t="shared" si="9"/>
        <v>6.25E-2</v>
      </c>
      <c r="BT11">
        <f t="shared" si="9"/>
        <v>6.25E-2</v>
      </c>
      <c r="BU11">
        <f t="shared" si="9"/>
        <v>6.25E-2</v>
      </c>
      <c r="BV11">
        <f t="shared" si="9"/>
        <v>6.25E-2</v>
      </c>
      <c r="BW11">
        <f t="shared" si="9"/>
        <v>6.25E-2</v>
      </c>
      <c r="BX11">
        <f t="shared" si="9"/>
        <v>6.25E-2</v>
      </c>
      <c r="BY11">
        <f t="shared" si="9"/>
        <v>6.25E-2</v>
      </c>
      <c r="BZ11">
        <f t="shared" si="9"/>
        <v>6.25E-2</v>
      </c>
      <c r="CA11">
        <f t="shared" si="9"/>
        <v>6.25E-2</v>
      </c>
      <c r="CB11">
        <f t="shared" si="9"/>
        <v>6.25E-2</v>
      </c>
      <c r="CC11">
        <f t="shared" si="9"/>
        <v>6.25E-2</v>
      </c>
      <c r="CD11">
        <f t="shared" si="9"/>
        <v>6.25E-2</v>
      </c>
      <c r="CE11">
        <f t="shared" si="9"/>
        <v>6.25E-2</v>
      </c>
      <c r="CF11">
        <f t="shared" si="9"/>
        <v>6.25E-2</v>
      </c>
      <c r="CG11">
        <f t="shared" si="9"/>
        <v>6.25E-2</v>
      </c>
      <c r="CH11">
        <f t="shared" si="9"/>
        <v>6.25E-2</v>
      </c>
      <c r="CI11">
        <f t="shared" si="9"/>
        <v>6.25E-2</v>
      </c>
      <c r="CJ11">
        <f t="shared" si="9"/>
        <v>6.25E-2</v>
      </c>
      <c r="CK11">
        <f t="shared" si="9"/>
        <v>6.25E-2</v>
      </c>
      <c r="CL11">
        <f t="shared" si="9"/>
        <v>6.25E-2</v>
      </c>
      <c r="CM11">
        <f t="shared" si="9"/>
        <v>6.25E-2</v>
      </c>
      <c r="CN11">
        <f t="shared" si="9"/>
        <v>6.25E-2</v>
      </c>
      <c r="CO11">
        <f t="shared" si="9"/>
        <v>6.25E-2</v>
      </c>
    </row>
    <row r="12" spans="1:93" x14ac:dyDescent="0.25">
      <c r="A12" t="s">
        <v>23</v>
      </c>
      <c r="B12" t="s">
        <v>138</v>
      </c>
      <c r="C12">
        <f t="shared" si="4"/>
        <v>6.25E-2</v>
      </c>
      <c r="D12">
        <f t="shared" si="5"/>
        <v>6.25E-2</v>
      </c>
      <c r="E12">
        <f t="shared" ref="E12:BP15" si="10">D12</f>
        <v>6.25E-2</v>
      </c>
      <c r="F12">
        <f t="shared" si="10"/>
        <v>6.25E-2</v>
      </c>
      <c r="G12">
        <f t="shared" si="10"/>
        <v>6.25E-2</v>
      </c>
      <c r="H12">
        <f t="shared" si="10"/>
        <v>6.25E-2</v>
      </c>
      <c r="I12">
        <f t="shared" si="10"/>
        <v>6.25E-2</v>
      </c>
      <c r="J12">
        <f t="shared" si="10"/>
        <v>6.25E-2</v>
      </c>
      <c r="K12">
        <f t="shared" si="10"/>
        <v>6.25E-2</v>
      </c>
      <c r="L12">
        <f t="shared" si="10"/>
        <v>6.25E-2</v>
      </c>
      <c r="M12">
        <f t="shared" si="10"/>
        <v>6.25E-2</v>
      </c>
      <c r="N12">
        <f t="shared" si="10"/>
        <v>6.25E-2</v>
      </c>
      <c r="O12">
        <f t="shared" si="10"/>
        <v>6.25E-2</v>
      </c>
      <c r="P12">
        <f t="shared" si="10"/>
        <v>6.25E-2</v>
      </c>
      <c r="Q12">
        <f t="shared" si="10"/>
        <v>6.25E-2</v>
      </c>
      <c r="R12">
        <f t="shared" si="10"/>
        <v>6.25E-2</v>
      </c>
      <c r="S12">
        <f t="shared" si="10"/>
        <v>6.25E-2</v>
      </c>
      <c r="T12">
        <f t="shared" si="10"/>
        <v>6.25E-2</v>
      </c>
      <c r="U12">
        <f t="shared" si="10"/>
        <v>6.25E-2</v>
      </c>
      <c r="V12">
        <f t="shared" si="10"/>
        <v>6.25E-2</v>
      </c>
      <c r="W12">
        <f t="shared" si="10"/>
        <v>6.25E-2</v>
      </c>
      <c r="X12">
        <f t="shared" si="10"/>
        <v>6.25E-2</v>
      </c>
      <c r="Y12">
        <f t="shared" si="10"/>
        <v>6.25E-2</v>
      </c>
      <c r="Z12">
        <f t="shared" si="10"/>
        <v>6.25E-2</v>
      </c>
      <c r="AA12">
        <f t="shared" si="10"/>
        <v>6.25E-2</v>
      </c>
      <c r="AB12">
        <f t="shared" si="10"/>
        <v>6.25E-2</v>
      </c>
      <c r="AC12">
        <f t="shared" si="10"/>
        <v>6.25E-2</v>
      </c>
      <c r="AD12">
        <f t="shared" si="10"/>
        <v>6.25E-2</v>
      </c>
      <c r="AE12">
        <f t="shared" si="10"/>
        <v>6.25E-2</v>
      </c>
      <c r="AF12">
        <f t="shared" si="10"/>
        <v>6.25E-2</v>
      </c>
      <c r="AG12">
        <f t="shared" si="10"/>
        <v>6.25E-2</v>
      </c>
      <c r="AH12">
        <f t="shared" si="10"/>
        <v>6.25E-2</v>
      </c>
      <c r="AI12">
        <f t="shared" si="10"/>
        <v>6.25E-2</v>
      </c>
      <c r="AJ12">
        <f t="shared" si="10"/>
        <v>6.25E-2</v>
      </c>
      <c r="AK12">
        <f t="shared" si="10"/>
        <v>6.25E-2</v>
      </c>
      <c r="AL12">
        <f t="shared" si="10"/>
        <v>6.25E-2</v>
      </c>
      <c r="AM12">
        <f t="shared" si="10"/>
        <v>6.25E-2</v>
      </c>
      <c r="AN12">
        <f t="shared" si="10"/>
        <v>6.25E-2</v>
      </c>
      <c r="AO12">
        <f t="shared" si="10"/>
        <v>6.25E-2</v>
      </c>
      <c r="AP12">
        <f t="shared" si="10"/>
        <v>6.25E-2</v>
      </c>
      <c r="AQ12">
        <f t="shared" si="10"/>
        <v>6.25E-2</v>
      </c>
      <c r="AR12">
        <f t="shared" si="10"/>
        <v>6.25E-2</v>
      </c>
      <c r="AS12">
        <f t="shared" si="10"/>
        <v>6.25E-2</v>
      </c>
      <c r="AT12">
        <f t="shared" si="10"/>
        <v>6.25E-2</v>
      </c>
      <c r="AU12">
        <f t="shared" si="10"/>
        <v>6.25E-2</v>
      </c>
      <c r="AV12">
        <f t="shared" si="10"/>
        <v>6.25E-2</v>
      </c>
      <c r="AW12">
        <f t="shared" si="10"/>
        <v>6.25E-2</v>
      </c>
      <c r="AX12">
        <f t="shared" si="10"/>
        <v>6.25E-2</v>
      </c>
      <c r="AY12">
        <f t="shared" si="10"/>
        <v>6.25E-2</v>
      </c>
      <c r="AZ12">
        <f t="shared" si="10"/>
        <v>6.25E-2</v>
      </c>
      <c r="BA12">
        <f t="shared" si="10"/>
        <v>6.25E-2</v>
      </c>
      <c r="BB12">
        <f t="shared" si="10"/>
        <v>6.25E-2</v>
      </c>
      <c r="BC12">
        <f t="shared" si="10"/>
        <v>6.25E-2</v>
      </c>
      <c r="BD12">
        <f t="shared" si="10"/>
        <v>6.25E-2</v>
      </c>
      <c r="BE12">
        <f t="shared" si="10"/>
        <v>6.25E-2</v>
      </c>
      <c r="BF12">
        <f t="shared" si="10"/>
        <v>6.25E-2</v>
      </c>
      <c r="BG12">
        <f t="shared" si="10"/>
        <v>6.25E-2</v>
      </c>
      <c r="BH12">
        <f t="shared" si="10"/>
        <v>6.25E-2</v>
      </c>
      <c r="BI12">
        <f t="shared" si="10"/>
        <v>6.25E-2</v>
      </c>
      <c r="BJ12">
        <f t="shared" si="10"/>
        <v>6.25E-2</v>
      </c>
      <c r="BK12">
        <f t="shared" si="10"/>
        <v>6.25E-2</v>
      </c>
      <c r="BL12">
        <f t="shared" si="10"/>
        <v>6.25E-2</v>
      </c>
      <c r="BM12">
        <f t="shared" si="10"/>
        <v>6.25E-2</v>
      </c>
      <c r="BN12">
        <f t="shared" si="10"/>
        <v>6.25E-2</v>
      </c>
      <c r="BO12">
        <f t="shared" si="10"/>
        <v>6.25E-2</v>
      </c>
      <c r="BP12">
        <f t="shared" si="10"/>
        <v>6.25E-2</v>
      </c>
      <c r="BQ12">
        <f t="shared" si="9"/>
        <v>6.25E-2</v>
      </c>
      <c r="BR12">
        <f t="shared" si="9"/>
        <v>6.25E-2</v>
      </c>
      <c r="BS12">
        <f t="shared" si="9"/>
        <v>6.25E-2</v>
      </c>
      <c r="BT12">
        <f t="shared" si="9"/>
        <v>6.25E-2</v>
      </c>
      <c r="BU12">
        <f t="shared" si="9"/>
        <v>6.25E-2</v>
      </c>
      <c r="BV12">
        <f t="shared" si="9"/>
        <v>6.25E-2</v>
      </c>
      <c r="BW12">
        <f t="shared" si="9"/>
        <v>6.25E-2</v>
      </c>
      <c r="BX12">
        <f t="shared" si="9"/>
        <v>6.25E-2</v>
      </c>
      <c r="BY12">
        <f t="shared" si="9"/>
        <v>6.25E-2</v>
      </c>
      <c r="BZ12">
        <f t="shared" si="9"/>
        <v>6.25E-2</v>
      </c>
      <c r="CA12">
        <f t="shared" si="9"/>
        <v>6.25E-2</v>
      </c>
      <c r="CB12">
        <f t="shared" si="9"/>
        <v>6.25E-2</v>
      </c>
      <c r="CC12">
        <f t="shared" si="9"/>
        <v>6.25E-2</v>
      </c>
      <c r="CD12">
        <f t="shared" si="9"/>
        <v>6.25E-2</v>
      </c>
      <c r="CE12">
        <f t="shared" si="9"/>
        <v>6.25E-2</v>
      </c>
      <c r="CF12">
        <f t="shared" si="9"/>
        <v>6.25E-2</v>
      </c>
      <c r="CG12">
        <f t="shared" si="9"/>
        <v>6.25E-2</v>
      </c>
      <c r="CH12">
        <f t="shared" si="9"/>
        <v>6.25E-2</v>
      </c>
      <c r="CI12">
        <f t="shared" si="9"/>
        <v>6.25E-2</v>
      </c>
      <c r="CJ12">
        <f t="shared" si="9"/>
        <v>6.25E-2</v>
      </c>
      <c r="CK12">
        <f t="shared" si="9"/>
        <v>6.25E-2</v>
      </c>
      <c r="CL12">
        <f t="shared" si="9"/>
        <v>6.25E-2</v>
      </c>
      <c r="CM12">
        <f t="shared" si="9"/>
        <v>6.25E-2</v>
      </c>
      <c r="CN12">
        <f t="shared" si="9"/>
        <v>6.25E-2</v>
      </c>
      <c r="CO12">
        <f t="shared" si="9"/>
        <v>6.25E-2</v>
      </c>
    </row>
    <row r="13" spans="1:93" x14ac:dyDescent="0.25">
      <c r="A13" t="s">
        <v>24</v>
      </c>
      <c r="B13" t="s">
        <v>137</v>
      </c>
      <c r="C13">
        <f t="shared" si="4"/>
        <v>0.16666666666666666</v>
      </c>
      <c r="D13">
        <f t="shared" si="5"/>
        <v>0.16666666666666666</v>
      </c>
      <c r="E13">
        <f t="shared" si="10"/>
        <v>0.16666666666666666</v>
      </c>
      <c r="F13">
        <f t="shared" si="10"/>
        <v>0.16666666666666666</v>
      </c>
      <c r="G13">
        <f t="shared" si="10"/>
        <v>0.16666666666666666</v>
      </c>
      <c r="H13">
        <f t="shared" si="10"/>
        <v>0.16666666666666666</v>
      </c>
      <c r="I13">
        <f t="shared" si="10"/>
        <v>0.16666666666666666</v>
      </c>
      <c r="J13">
        <f t="shared" si="10"/>
        <v>0.16666666666666666</v>
      </c>
      <c r="K13">
        <f t="shared" si="10"/>
        <v>0.16666666666666666</v>
      </c>
      <c r="L13">
        <f t="shared" si="10"/>
        <v>0.16666666666666666</v>
      </c>
      <c r="M13">
        <f t="shared" si="10"/>
        <v>0.16666666666666666</v>
      </c>
      <c r="N13">
        <f t="shared" si="10"/>
        <v>0.16666666666666666</v>
      </c>
      <c r="O13">
        <f t="shared" si="10"/>
        <v>0.16666666666666666</v>
      </c>
      <c r="P13">
        <f t="shared" si="10"/>
        <v>0.16666666666666666</v>
      </c>
      <c r="Q13">
        <f t="shared" si="10"/>
        <v>0.16666666666666666</v>
      </c>
      <c r="R13">
        <f t="shared" si="10"/>
        <v>0.16666666666666666</v>
      </c>
      <c r="S13">
        <f t="shared" si="10"/>
        <v>0.16666666666666666</v>
      </c>
      <c r="T13">
        <f t="shared" si="10"/>
        <v>0.16666666666666666</v>
      </c>
      <c r="U13">
        <f t="shared" si="10"/>
        <v>0.16666666666666666</v>
      </c>
      <c r="V13">
        <f t="shared" si="10"/>
        <v>0.16666666666666666</v>
      </c>
      <c r="W13">
        <f t="shared" si="10"/>
        <v>0.16666666666666666</v>
      </c>
      <c r="X13">
        <f t="shared" si="10"/>
        <v>0.16666666666666666</v>
      </c>
      <c r="Y13">
        <f t="shared" si="10"/>
        <v>0.16666666666666666</v>
      </c>
      <c r="Z13">
        <f t="shared" si="10"/>
        <v>0.16666666666666666</v>
      </c>
      <c r="AA13">
        <f t="shared" si="10"/>
        <v>0.16666666666666666</v>
      </c>
      <c r="AB13">
        <f t="shared" si="10"/>
        <v>0.16666666666666666</v>
      </c>
      <c r="AC13">
        <f t="shared" si="10"/>
        <v>0.16666666666666666</v>
      </c>
      <c r="AD13">
        <f t="shared" si="10"/>
        <v>0.16666666666666666</v>
      </c>
      <c r="AE13">
        <f t="shared" si="10"/>
        <v>0.16666666666666666</v>
      </c>
      <c r="AF13">
        <f t="shared" si="10"/>
        <v>0.16666666666666666</v>
      </c>
      <c r="AG13">
        <f t="shared" si="10"/>
        <v>0.16666666666666666</v>
      </c>
      <c r="AH13">
        <f t="shared" si="10"/>
        <v>0.16666666666666666</v>
      </c>
      <c r="AI13">
        <f t="shared" si="10"/>
        <v>0.16666666666666666</v>
      </c>
      <c r="AJ13">
        <f t="shared" si="10"/>
        <v>0.16666666666666666</v>
      </c>
      <c r="AK13">
        <f t="shared" si="10"/>
        <v>0.16666666666666666</v>
      </c>
      <c r="AL13">
        <f t="shared" si="10"/>
        <v>0.16666666666666666</v>
      </c>
      <c r="AM13">
        <f t="shared" si="10"/>
        <v>0.16666666666666666</v>
      </c>
      <c r="AN13">
        <f t="shared" si="10"/>
        <v>0.16666666666666666</v>
      </c>
      <c r="AO13">
        <f t="shared" si="10"/>
        <v>0.16666666666666666</v>
      </c>
      <c r="AP13">
        <f t="shared" si="10"/>
        <v>0.16666666666666666</v>
      </c>
      <c r="AQ13">
        <f t="shared" si="10"/>
        <v>0.16666666666666666</v>
      </c>
      <c r="AR13">
        <f t="shared" si="10"/>
        <v>0.16666666666666666</v>
      </c>
      <c r="AS13">
        <f t="shared" si="10"/>
        <v>0.16666666666666666</v>
      </c>
      <c r="AT13">
        <f t="shared" si="10"/>
        <v>0.16666666666666666</v>
      </c>
      <c r="AU13">
        <f t="shared" si="10"/>
        <v>0.16666666666666666</v>
      </c>
      <c r="AV13">
        <f t="shared" si="10"/>
        <v>0.16666666666666666</v>
      </c>
      <c r="AW13">
        <f t="shared" si="10"/>
        <v>0.16666666666666666</v>
      </c>
      <c r="AX13">
        <f t="shared" si="10"/>
        <v>0.16666666666666666</v>
      </c>
      <c r="AY13">
        <f t="shared" si="10"/>
        <v>0.16666666666666666</v>
      </c>
      <c r="AZ13">
        <f t="shared" si="10"/>
        <v>0.16666666666666666</v>
      </c>
      <c r="BA13">
        <f t="shared" si="10"/>
        <v>0.16666666666666666</v>
      </c>
      <c r="BB13">
        <f t="shared" si="10"/>
        <v>0.16666666666666666</v>
      </c>
      <c r="BC13">
        <f t="shared" si="10"/>
        <v>0.16666666666666666</v>
      </c>
      <c r="BD13">
        <f t="shared" si="10"/>
        <v>0.16666666666666666</v>
      </c>
      <c r="BE13">
        <f t="shared" si="10"/>
        <v>0.16666666666666666</v>
      </c>
      <c r="BF13">
        <f t="shared" si="10"/>
        <v>0.16666666666666666</v>
      </c>
      <c r="BG13">
        <f t="shared" si="10"/>
        <v>0.16666666666666666</v>
      </c>
      <c r="BH13">
        <f t="shared" si="10"/>
        <v>0.16666666666666666</v>
      </c>
      <c r="BI13">
        <f t="shared" si="10"/>
        <v>0.16666666666666666</v>
      </c>
      <c r="BJ13">
        <f t="shared" si="10"/>
        <v>0.16666666666666666</v>
      </c>
      <c r="BK13">
        <f t="shared" si="10"/>
        <v>0.16666666666666666</v>
      </c>
      <c r="BL13">
        <f t="shared" si="10"/>
        <v>0.16666666666666666</v>
      </c>
      <c r="BM13">
        <f t="shared" si="10"/>
        <v>0.16666666666666666</v>
      </c>
      <c r="BN13">
        <f t="shared" si="10"/>
        <v>0.16666666666666666</v>
      </c>
      <c r="BO13">
        <f t="shared" si="10"/>
        <v>0.16666666666666666</v>
      </c>
      <c r="BP13">
        <f t="shared" si="10"/>
        <v>0.16666666666666666</v>
      </c>
      <c r="BQ13">
        <f t="shared" si="9"/>
        <v>0.16666666666666666</v>
      </c>
      <c r="BR13">
        <f t="shared" si="9"/>
        <v>0.16666666666666666</v>
      </c>
      <c r="BS13">
        <f t="shared" si="9"/>
        <v>0.16666666666666666</v>
      </c>
      <c r="BT13">
        <f t="shared" si="9"/>
        <v>0.16666666666666666</v>
      </c>
      <c r="BU13">
        <f t="shared" si="9"/>
        <v>0.16666666666666666</v>
      </c>
      <c r="BV13">
        <f t="shared" si="9"/>
        <v>0.16666666666666666</v>
      </c>
      <c r="BW13">
        <f t="shared" si="9"/>
        <v>0.16666666666666666</v>
      </c>
      <c r="BX13">
        <f t="shared" si="9"/>
        <v>0.16666666666666666</v>
      </c>
      <c r="BY13">
        <f t="shared" si="9"/>
        <v>0.16666666666666666</v>
      </c>
      <c r="BZ13">
        <f t="shared" si="9"/>
        <v>0.16666666666666666</v>
      </c>
      <c r="CA13">
        <f t="shared" si="9"/>
        <v>0.16666666666666666</v>
      </c>
      <c r="CB13">
        <f t="shared" si="9"/>
        <v>0.16666666666666666</v>
      </c>
      <c r="CC13">
        <f t="shared" si="9"/>
        <v>0.16666666666666666</v>
      </c>
      <c r="CD13">
        <f t="shared" si="9"/>
        <v>0.16666666666666666</v>
      </c>
      <c r="CE13">
        <f t="shared" si="9"/>
        <v>0.16666666666666666</v>
      </c>
      <c r="CF13">
        <f t="shared" si="9"/>
        <v>0.16666666666666666</v>
      </c>
      <c r="CG13">
        <f t="shared" si="9"/>
        <v>0.16666666666666666</v>
      </c>
      <c r="CH13">
        <f t="shared" si="9"/>
        <v>0.16666666666666666</v>
      </c>
      <c r="CI13">
        <f t="shared" si="9"/>
        <v>0.16666666666666666</v>
      </c>
      <c r="CJ13">
        <f t="shared" si="9"/>
        <v>0.16666666666666666</v>
      </c>
      <c r="CK13">
        <f t="shared" si="9"/>
        <v>0.16666666666666666</v>
      </c>
      <c r="CL13">
        <f t="shared" si="9"/>
        <v>0.16666666666666666</v>
      </c>
      <c r="CM13">
        <f t="shared" si="9"/>
        <v>0.16666666666666666</v>
      </c>
      <c r="CN13">
        <f t="shared" si="9"/>
        <v>0.16666666666666666</v>
      </c>
      <c r="CO13">
        <f t="shared" si="9"/>
        <v>0.16666666666666666</v>
      </c>
    </row>
    <row r="14" spans="1:93" x14ac:dyDescent="0.25">
      <c r="A14" t="s">
        <v>25</v>
      </c>
      <c r="B14" t="s">
        <v>137</v>
      </c>
      <c r="C14">
        <f t="shared" si="4"/>
        <v>0.16666666666666666</v>
      </c>
      <c r="D14">
        <f t="shared" si="5"/>
        <v>0.16666666666666666</v>
      </c>
      <c r="E14">
        <f t="shared" si="10"/>
        <v>0.16666666666666666</v>
      </c>
      <c r="F14">
        <f t="shared" si="10"/>
        <v>0.16666666666666666</v>
      </c>
      <c r="G14">
        <f t="shared" si="10"/>
        <v>0.16666666666666666</v>
      </c>
      <c r="H14">
        <f t="shared" si="10"/>
        <v>0.16666666666666666</v>
      </c>
      <c r="I14">
        <f t="shared" si="10"/>
        <v>0.16666666666666666</v>
      </c>
      <c r="J14">
        <f t="shared" si="10"/>
        <v>0.16666666666666666</v>
      </c>
      <c r="K14">
        <f t="shared" si="10"/>
        <v>0.16666666666666666</v>
      </c>
      <c r="L14">
        <f t="shared" si="10"/>
        <v>0.16666666666666666</v>
      </c>
      <c r="M14">
        <f t="shared" si="10"/>
        <v>0.16666666666666666</v>
      </c>
      <c r="N14">
        <f t="shared" si="10"/>
        <v>0.16666666666666666</v>
      </c>
      <c r="O14">
        <f t="shared" si="10"/>
        <v>0.16666666666666666</v>
      </c>
      <c r="P14">
        <f t="shared" si="10"/>
        <v>0.16666666666666666</v>
      </c>
      <c r="Q14">
        <f t="shared" si="10"/>
        <v>0.16666666666666666</v>
      </c>
      <c r="R14">
        <f t="shared" si="10"/>
        <v>0.16666666666666666</v>
      </c>
      <c r="S14">
        <f t="shared" si="10"/>
        <v>0.16666666666666666</v>
      </c>
      <c r="T14">
        <f t="shared" si="10"/>
        <v>0.16666666666666666</v>
      </c>
      <c r="U14">
        <f t="shared" si="10"/>
        <v>0.16666666666666666</v>
      </c>
      <c r="V14">
        <f t="shared" si="10"/>
        <v>0.16666666666666666</v>
      </c>
      <c r="W14">
        <f t="shared" si="10"/>
        <v>0.16666666666666666</v>
      </c>
      <c r="X14">
        <f t="shared" si="10"/>
        <v>0.16666666666666666</v>
      </c>
      <c r="Y14">
        <f t="shared" si="10"/>
        <v>0.16666666666666666</v>
      </c>
      <c r="Z14">
        <f t="shared" si="10"/>
        <v>0.16666666666666666</v>
      </c>
      <c r="AA14">
        <f t="shared" si="10"/>
        <v>0.16666666666666666</v>
      </c>
      <c r="AB14">
        <f t="shared" si="10"/>
        <v>0.16666666666666666</v>
      </c>
      <c r="AC14">
        <f t="shared" si="10"/>
        <v>0.16666666666666666</v>
      </c>
      <c r="AD14">
        <f t="shared" si="10"/>
        <v>0.16666666666666666</v>
      </c>
      <c r="AE14">
        <f t="shared" si="10"/>
        <v>0.16666666666666666</v>
      </c>
      <c r="AF14">
        <f t="shared" si="10"/>
        <v>0.16666666666666666</v>
      </c>
      <c r="AG14">
        <f t="shared" si="10"/>
        <v>0.16666666666666666</v>
      </c>
      <c r="AH14">
        <f t="shared" si="10"/>
        <v>0.16666666666666666</v>
      </c>
      <c r="AI14">
        <f t="shared" si="10"/>
        <v>0.16666666666666666</v>
      </c>
      <c r="AJ14">
        <f t="shared" si="10"/>
        <v>0.16666666666666666</v>
      </c>
      <c r="AK14">
        <f t="shared" si="10"/>
        <v>0.16666666666666666</v>
      </c>
      <c r="AL14">
        <f t="shared" si="10"/>
        <v>0.16666666666666666</v>
      </c>
      <c r="AM14">
        <f t="shared" si="10"/>
        <v>0.16666666666666666</v>
      </c>
      <c r="AN14">
        <f t="shared" si="10"/>
        <v>0.16666666666666666</v>
      </c>
      <c r="AO14">
        <f t="shared" si="10"/>
        <v>0.16666666666666666</v>
      </c>
      <c r="AP14">
        <f t="shared" si="10"/>
        <v>0.16666666666666666</v>
      </c>
      <c r="AQ14">
        <f t="shared" si="10"/>
        <v>0.16666666666666666</v>
      </c>
      <c r="AR14">
        <f t="shared" si="10"/>
        <v>0.16666666666666666</v>
      </c>
      <c r="AS14">
        <f t="shared" si="10"/>
        <v>0.16666666666666666</v>
      </c>
      <c r="AT14">
        <f t="shared" si="10"/>
        <v>0.16666666666666666</v>
      </c>
      <c r="AU14">
        <f t="shared" si="10"/>
        <v>0.16666666666666666</v>
      </c>
      <c r="AV14">
        <f t="shared" si="10"/>
        <v>0.16666666666666666</v>
      </c>
      <c r="AW14">
        <f t="shared" si="10"/>
        <v>0.16666666666666666</v>
      </c>
      <c r="AX14">
        <f t="shared" si="10"/>
        <v>0.16666666666666666</v>
      </c>
      <c r="AY14">
        <f t="shared" si="10"/>
        <v>0.16666666666666666</v>
      </c>
      <c r="AZ14">
        <f t="shared" si="10"/>
        <v>0.16666666666666666</v>
      </c>
      <c r="BA14">
        <f t="shared" si="10"/>
        <v>0.16666666666666666</v>
      </c>
      <c r="BB14">
        <f t="shared" si="10"/>
        <v>0.16666666666666666</v>
      </c>
      <c r="BC14">
        <f t="shared" si="10"/>
        <v>0.16666666666666666</v>
      </c>
      <c r="BD14">
        <f t="shared" si="10"/>
        <v>0.16666666666666666</v>
      </c>
      <c r="BE14">
        <f t="shared" si="10"/>
        <v>0.16666666666666666</v>
      </c>
      <c r="BF14">
        <f t="shared" si="10"/>
        <v>0.16666666666666666</v>
      </c>
      <c r="BG14">
        <f t="shared" si="10"/>
        <v>0.16666666666666666</v>
      </c>
      <c r="BH14">
        <f t="shared" si="10"/>
        <v>0.16666666666666666</v>
      </c>
      <c r="BI14">
        <f t="shared" si="10"/>
        <v>0.16666666666666666</v>
      </c>
      <c r="BJ14">
        <f t="shared" si="10"/>
        <v>0.16666666666666666</v>
      </c>
      <c r="BK14">
        <f t="shared" si="10"/>
        <v>0.16666666666666666</v>
      </c>
      <c r="BL14">
        <f t="shared" si="10"/>
        <v>0.16666666666666666</v>
      </c>
      <c r="BM14">
        <f t="shared" si="10"/>
        <v>0.16666666666666666</v>
      </c>
      <c r="BN14">
        <f t="shared" si="10"/>
        <v>0.16666666666666666</v>
      </c>
      <c r="BO14">
        <f t="shared" si="10"/>
        <v>0.16666666666666666</v>
      </c>
      <c r="BP14">
        <f t="shared" si="10"/>
        <v>0.16666666666666666</v>
      </c>
      <c r="BQ14">
        <f t="shared" si="9"/>
        <v>0.16666666666666666</v>
      </c>
      <c r="BR14">
        <f t="shared" si="9"/>
        <v>0.16666666666666666</v>
      </c>
      <c r="BS14">
        <f t="shared" si="9"/>
        <v>0.16666666666666666</v>
      </c>
      <c r="BT14">
        <f t="shared" si="9"/>
        <v>0.16666666666666666</v>
      </c>
      <c r="BU14">
        <f t="shared" si="9"/>
        <v>0.16666666666666666</v>
      </c>
      <c r="BV14">
        <f t="shared" si="9"/>
        <v>0.16666666666666666</v>
      </c>
      <c r="BW14">
        <f t="shared" si="9"/>
        <v>0.16666666666666666</v>
      </c>
      <c r="BX14">
        <f t="shared" si="9"/>
        <v>0.16666666666666666</v>
      </c>
      <c r="BY14">
        <f t="shared" si="9"/>
        <v>0.16666666666666666</v>
      </c>
      <c r="BZ14">
        <f t="shared" si="9"/>
        <v>0.16666666666666666</v>
      </c>
      <c r="CA14">
        <f t="shared" si="9"/>
        <v>0.16666666666666666</v>
      </c>
      <c r="CB14">
        <f t="shared" si="9"/>
        <v>0.16666666666666666</v>
      </c>
      <c r="CC14">
        <f t="shared" si="9"/>
        <v>0.16666666666666666</v>
      </c>
      <c r="CD14">
        <f t="shared" si="9"/>
        <v>0.16666666666666666</v>
      </c>
      <c r="CE14">
        <f t="shared" si="9"/>
        <v>0.16666666666666666</v>
      </c>
      <c r="CF14">
        <f t="shared" si="9"/>
        <v>0.16666666666666666</v>
      </c>
      <c r="CG14">
        <f t="shared" si="9"/>
        <v>0.16666666666666666</v>
      </c>
      <c r="CH14">
        <f t="shared" si="9"/>
        <v>0.16666666666666666</v>
      </c>
      <c r="CI14">
        <f t="shared" si="9"/>
        <v>0.16666666666666666</v>
      </c>
      <c r="CJ14">
        <f t="shared" si="9"/>
        <v>0.16666666666666666</v>
      </c>
      <c r="CK14">
        <f t="shared" si="9"/>
        <v>0.16666666666666666</v>
      </c>
      <c r="CL14">
        <f t="shared" si="9"/>
        <v>0.16666666666666666</v>
      </c>
      <c r="CM14">
        <f t="shared" si="9"/>
        <v>0.16666666666666666</v>
      </c>
      <c r="CN14">
        <f t="shared" si="9"/>
        <v>0.16666666666666666</v>
      </c>
      <c r="CO14">
        <f t="shared" si="9"/>
        <v>0.16666666666666666</v>
      </c>
    </row>
    <row r="15" spans="1:93" x14ac:dyDescent="0.25">
      <c r="A15" t="s">
        <v>26</v>
      </c>
      <c r="B15" t="s">
        <v>137</v>
      </c>
      <c r="C15">
        <f t="shared" si="4"/>
        <v>0.16666666666666666</v>
      </c>
      <c r="D15">
        <f t="shared" si="5"/>
        <v>0.16666666666666666</v>
      </c>
      <c r="E15">
        <f t="shared" si="10"/>
        <v>0.16666666666666666</v>
      </c>
      <c r="F15">
        <f t="shared" si="10"/>
        <v>0.16666666666666666</v>
      </c>
      <c r="G15">
        <f t="shared" si="10"/>
        <v>0.16666666666666666</v>
      </c>
      <c r="H15">
        <f t="shared" si="10"/>
        <v>0.16666666666666666</v>
      </c>
      <c r="I15">
        <f t="shared" si="10"/>
        <v>0.16666666666666666</v>
      </c>
      <c r="J15">
        <f t="shared" si="10"/>
        <v>0.16666666666666666</v>
      </c>
      <c r="K15">
        <f t="shared" si="10"/>
        <v>0.16666666666666666</v>
      </c>
      <c r="L15">
        <f t="shared" si="10"/>
        <v>0.16666666666666666</v>
      </c>
      <c r="M15">
        <f t="shared" si="10"/>
        <v>0.16666666666666666</v>
      </c>
      <c r="N15">
        <f t="shared" si="10"/>
        <v>0.16666666666666666</v>
      </c>
      <c r="O15">
        <f t="shared" si="10"/>
        <v>0.16666666666666666</v>
      </c>
      <c r="P15">
        <f t="shared" si="10"/>
        <v>0.16666666666666666</v>
      </c>
      <c r="Q15">
        <f t="shared" si="10"/>
        <v>0.16666666666666666</v>
      </c>
      <c r="R15">
        <f t="shared" si="10"/>
        <v>0.16666666666666666</v>
      </c>
      <c r="S15">
        <f t="shared" si="10"/>
        <v>0.16666666666666666</v>
      </c>
      <c r="T15">
        <f t="shared" si="10"/>
        <v>0.16666666666666666</v>
      </c>
      <c r="U15">
        <f t="shared" si="10"/>
        <v>0.16666666666666666</v>
      </c>
      <c r="V15">
        <f t="shared" si="10"/>
        <v>0.16666666666666666</v>
      </c>
      <c r="W15">
        <f t="shared" si="10"/>
        <v>0.16666666666666666</v>
      </c>
      <c r="X15">
        <f t="shared" si="10"/>
        <v>0.16666666666666666</v>
      </c>
      <c r="Y15">
        <f t="shared" si="10"/>
        <v>0.16666666666666666</v>
      </c>
      <c r="Z15">
        <f t="shared" si="10"/>
        <v>0.16666666666666666</v>
      </c>
      <c r="AA15">
        <f t="shared" si="10"/>
        <v>0.16666666666666666</v>
      </c>
      <c r="AB15">
        <f t="shared" si="10"/>
        <v>0.16666666666666666</v>
      </c>
      <c r="AC15">
        <f t="shared" si="10"/>
        <v>0.16666666666666666</v>
      </c>
      <c r="AD15">
        <f t="shared" si="10"/>
        <v>0.16666666666666666</v>
      </c>
      <c r="AE15">
        <f t="shared" si="10"/>
        <v>0.16666666666666666</v>
      </c>
      <c r="AF15">
        <f t="shared" si="10"/>
        <v>0.16666666666666666</v>
      </c>
      <c r="AG15">
        <f t="shared" si="10"/>
        <v>0.16666666666666666</v>
      </c>
      <c r="AH15">
        <f t="shared" si="10"/>
        <v>0.16666666666666666</v>
      </c>
      <c r="AI15">
        <f t="shared" si="10"/>
        <v>0.16666666666666666</v>
      </c>
      <c r="AJ15">
        <f t="shared" si="10"/>
        <v>0.16666666666666666</v>
      </c>
      <c r="AK15">
        <f t="shared" si="10"/>
        <v>0.16666666666666666</v>
      </c>
      <c r="AL15">
        <f t="shared" si="10"/>
        <v>0.16666666666666666</v>
      </c>
      <c r="AM15">
        <f t="shared" si="10"/>
        <v>0.16666666666666666</v>
      </c>
      <c r="AN15">
        <f t="shared" si="10"/>
        <v>0.16666666666666666</v>
      </c>
      <c r="AO15">
        <f t="shared" si="10"/>
        <v>0.16666666666666666</v>
      </c>
      <c r="AP15">
        <f t="shared" si="10"/>
        <v>0.16666666666666666</v>
      </c>
      <c r="AQ15">
        <f t="shared" si="10"/>
        <v>0.16666666666666666</v>
      </c>
      <c r="AR15">
        <f t="shared" si="10"/>
        <v>0.16666666666666666</v>
      </c>
      <c r="AS15">
        <f t="shared" si="10"/>
        <v>0.16666666666666666</v>
      </c>
      <c r="AT15">
        <f t="shared" si="10"/>
        <v>0.16666666666666666</v>
      </c>
      <c r="AU15">
        <f t="shared" si="10"/>
        <v>0.16666666666666666</v>
      </c>
      <c r="AV15">
        <f t="shared" si="10"/>
        <v>0.16666666666666666</v>
      </c>
      <c r="AW15">
        <f t="shared" si="10"/>
        <v>0.16666666666666666</v>
      </c>
      <c r="AX15">
        <f t="shared" si="10"/>
        <v>0.16666666666666666</v>
      </c>
      <c r="AY15">
        <f t="shared" si="10"/>
        <v>0.16666666666666666</v>
      </c>
      <c r="AZ15">
        <f t="shared" si="10"/>
        <v>0.16666666666666666</v>
      </c>
      <c r="BA15">
        <f t="shared" si="10"/>
        <v>0.16666666666666666</v>
      </c>
      <c r="BB15">
        <f t="shared" si="10"/>
        <v>0.16666666666666666</v>
      </c>
      <c r="BC15">
        <f t="shared" si="10"/>
        <v>0.16666666666666666</v>
      </c>
      <c r="BD15">
        <f t="shared" si="10"/>
        <v>0.16666666666666666</v>
      </c>
      <c r="BE15">
        <f t="shared" si="10"/>
        <v>0.16666666666666666</v>
      </c>
      <c r="BF15">
        <f t="shared" si="10"/>
        <v>0.16666666666666666</v>
      </c>
      <c r="BG15">
        <f t="shared" si="10"/>
        <v>0.16666666666666666</v>
      </c>
      <c r="BH15">
        <f t="shared" si="10"/>
        <v>0.16666666666666666</v>
      </c>
      <c r="BI15">
        <f t="shared" si="10"/>
        <v>0.16666666666666666</v>
      </c>
      <c r="BJ15">
        <f t="shared" si="10"/>
        <v>0.16666666666666666</v>
      </c>
      <c r="BK15">
        <f t="shared" si="10"/>
        <v>0.16666666666666666</v>
      </c>
      <c r="BL15">
        <f t="shared" si="10"/>
        <v>0.16666666666666666</v>
      </c>
      <c r="BM15">
        <f t="shared" si="10"/>
        <v>0.16666666666666666</v>
      </c>
      <c r="BN15">
        <f t="shared" si="10"/>
        <v>0.16666666666666666</v>
      </c>
      <c r="BO15">
        <f t="shared" si="10"/>
        <v>0.16666666666666666</v>
      </c>
      <c r="BP15">
        <f t="shared" ref="BP15:CO18" si="11">BO15</f>
        <v>0.16666666666666666</v>
      </c>
      <c r="BQ15">
        <f t="shared" si="11"/>
        <v>0.16666666666666666</v>
      </c>
      <c r="BR15">
        <f t="shared" si="11"/>
        <v>0.16666666666666666</v>
      </c>
      <c r="BS15">
        <f t="shared" si="11"/>
        <v>0.16666666666666666</v>
      </c>
      <c r="BT15">
        <f t="shared" si="11"/>
        <v>0.16666666666666666</v>
      </c>
      <c r="BU15">
        <f t="shared" si="11"/>
        <v>0.16666666666666666</v>
      </c>
      <c r="BV15">
        <f t="shared" si="11"/>
        <v>0.16666666666666666</v>
      </c>
      <c r="BW15">
        <f t="shared" si="11"/>
        <v>0.16666666666666666</v>
      </c>
      <c r="BX15">
        <f t="shared" si="11"/>
        <v>0.16666666666666666</v>
      </c>
      <c r="BY15">
        <f t="shared" si="11"/>
        <v>0.16666666666666666</v>
      </c>
      <c r="BZ15">
        <f t="shared" si="11"/>
        <v>0.16666666666666666</v>
      </c>
      <c r="CA15">
        <f t="shared" si="11"/>
        <v>0.16666666666666666</v>
      </c>
      <c r="CB15">
        <f t="shared" si="11"/>
        <v>0.16666666666666666</v>
      </c>
      <c r="CC15">
        <f t="shared" si="11"/>
        <v>0.16666666666666666</v>
      </c>
      <c r="CD15">
        <f t="shared" si="11"/>
        <v>0.16666666666666666</v>
      </c>
      <c r="CE15">
        <f t="shared" si="11"/>
        <v>0.16666666666666666</v>
      </c>
      <c r="CF15">
        <f t="shared" si="11"/>
        <v>0.16666666666666666</v>
      </c>
      <c r="CG15">
        <f t="shared" si="11"/>
        <v>0.16666666666666666</v>
      </c>
      <c r="CH15">
        <f t="shared" si="11"/>
        <v>0.16666666666666666</v>
      </c>
      <c r="CI15">
        <f t="shared" si="11"/>
        <v>0.16666666666666666</v>
      </c>
      <c r="CJ15">
        <f t="shared" si="11"/>
        <v>0.16666666666666666</v>
      </c>
      <c r="CK15">
        <f t="shared" si="11"/>
        <v>0.16666666666666666</v>
      </c>
      <c r="CL15">
        <f t="shared" si="11"/>
        <v>0.16666666666666666</v>
      </c>
      <c r="CM15">
        <f t="shared" si="11"/>
        <v>0.16666666666666666</v>
      </c>
      <c r="CN15">
        <f t="shared" si="11"/>
        <v>0.16666666666666666</v>
      </c>
      <c r="CO15">
        <f t="shared" si="11"/>
        <v>0.16666666666666666</v>
      </c>
    </row>
    <row r="16" spans="1:93" x14ac:dyDescent="0.25">
      <c r="A16" t="s">
        <v>27</v>
      </c>
      <c r="B16" t="s">
        <v>137</v>
      </c>
      <c r="C16">
        <f t="shared" si="4"/>
        <v>0.16666666666666666</v>
      </c>
      <c r="D16">
        <f t="shared" si="5"/>
        <v>0.16666666666666666</v>
      </c>
      <c r="E16">
        <f t="shared" ref="E16:BP19" si="12">D16</f>
        <v>0.16666666666666666</v>
      </c>
      <c r="F16">
        <f t="shared" si="12"/>
        <v>0.16666666666666666</v>
      </c>
      <c r="G16">
        <f t="shared" si="12"/>
        <v>0.16666666666666666</v>
      </c>
      <c r="H16">
        <f t="shared" si="12"/>
        <v>0.16666666666666666</v>
      </c>
      <c r="I16">
        <f t="shared" si="12"/>
        <v>0.16666666666666666</v>
      </c>
      <c r="J16">
        <f t="shared" si="12"/>
        <v>0.16666666666666666</v>
      </c>
      <c r="K16">
        <f t="shared" si="12"/>
        <v>0.16666666666666666</v>
      </c>
      <c r="L16">
        <f t="shared" si="12"/>
        <v>0.16666666666666666</v>
      </c>
      <c r="M16">
        <f t="shared" si="12"/>
        <v>0.16666666666666666</v>
      </c>
      <c r="N16">
        <f t="shared" si="12"/>
        <v>0.16666666666666666</v>
      </c>
      <c r="O16">
        <f t="shared" si="12"/>
        <v>0.16666666666666666</v>
      </c>
      <c r="P16">
        <f t="shared" si="12"/>
        <v>0.16666666666666666</v>
      </c>
      <c r="Q16">
        <f t="shared" si="12"/>
        <v>0.16666666666666666</v>
      </c>
      <c r="R16">
        <f t="shared" si="12"/>
        <v>0.16666666666666666</v>
      </c>
      <c r="S16">
        <f t="shared" si="12"/>
        <v>0.16666666666666666</v>
      </c>
      <c r="T16">
        <f t="shared" si="12"/>
        <v>0.16666666666666666</v>
      </c>
      <c r="U16">
        <f t="shared" si="12"/>
        <v>0.16666666666666666</v>
      </c>
      <c r="V16">
        <f t="shared" si="12"/>
        <v>0.16666666666666666</v>
      </c>
      <c r="W16">
        <f t="shared" si="12"/>
        <v>0.16666666666666666</v>
      </c>
      <c r="X16">
        <f t="shared" si="12"/>
        <v>0.16666666666666666</v>
      </c>
      <c r="Y16">
        <f t="shared" si="12"/>
        <v>0.16666666666666666</v>
      </c>
      <c r="Z16">
        <f t="shared" si="12"/>
        <v>0.16666666666666666</v>
      </c>
      <c r="AA16">
        <f t="shared" si="12"/>
        <v>0.16666666666666666</v>
      </c>
      <c r="AB16">
        <f t="shared" si="12"/>
        <v>0.16666666666666666</v>
      </c>
      <c r="AC16">
        <f t="shared" si="12"/>
        <v>0.16666666666666666</v>
      </c>
      <c r="AD16">
        <f t="shared" si="12"/>
        <v>0.16666666666666666</v>
      </c>
      <c r="AE16">
        <f t="shared" si="12"/>
        <v>0.16666666666666666</v>
      </c>
      <c r="AF16">
        <f t="shared" si="12"/>
        <v>0.16666666666666666</v>
      </c>
      <c r="AG16">
        <f t="shared" si="12"/>
        <v>0.16666666666666666</v>
      </c>
      <c r="AH16">
        <f t="shared" si="12"/>
        <v>0.16666666666666666</v>
      </c>
      <c r="AI16">
        <f t="shared" si="12"/>
        <v>0.16666666666666666</v>
      </c>
      <c r="AJ16">
        <f t="shared" si="12"/>
        <v>0.16666666666666666</v>
      </c>
      <c r="AK16">
        <f t="shared" si="12"/>
        <v>0.16666666666666666</v>
      </c>
      <c r="AL16">
        <f t="shared" si="12"/>
        <v>0.16666666666666666</v>
      </c>
      <c r="AM16">
        <f t="shared" si="12"/>
        <v>0.16666666666666666</v>
      </c>
      <c r="AN16">
        <f t="shared" si="12"/>
        <v>0.16666666666666666</v>
      </c>
      <c r="AO16">
        <f t="shared" si="12"/>
        <v>0.16666666666666666</v>
      </c>
      <c r="AP16">
        <f t="shared" si="12"/>
        <v>0.16666666666666666</v>
      </c>
      <c r="AQ16">
        <f t="shared" si="12"/>
        <v>0.16666666666666666</v>
      </c>
      <c r="AR16">
        <f t="shared" si="12"/>
        <v>0.16666666666666666</v>
      </c>
      <c r="AS16">
        <f t="shared" si="12"/>
        <v>0.16666666666666666</v>
      </c>
      <c r="AT16">
        <f t="shared" si="12"/>
        <v>0.16666666666666666</v>
      </c>
      <c r="AU16">
        <f t="shared" si="12"/>
        <v>0.16666666666666666</v>
      </c>
      <c r="AV16">
        <f t="shared" si="12"/>
        <v>0.16666666666666666</v>
      </c>
      <c r="AW16">
        <f t="shared" si="12"/>
        <v>0.16666666666666666</v>
      </c>
      <c r="AX16">
        <f t="shared" si="12"/>
        <v>0.16666666666666666</v>
      </c>
      <c r="AY16">
        <f t="shared" si="12"/>
        <v>0.16666666666666666</v>
      </c>
      <c r="AZ16">
        <f t="shared" si="12"/>
        <v>0.16666666666666666</v>
      </c>
      <c r="BA16">
        <f t="shared" si="12"/>
        <v>0.16666666666666666</v>
      </c>
      <c r="BB16">
        <f t="shared" si="12"/>
        <v>0.16666666666666666</v>
      </c>
      <c r="BC16">
        <f t="shared" si="12"/>
        <v>0.16666666666666666</v>
      </c>
      <c r="BD16">
        <f t="shared" si="12"/>
        <v>0.16666666666666666</v>
      </c>
      <c r="BE16">
        <f t="shared" si="12"/>
        <v>0.16666666666666666</v>
      </c>
      <c r="BF16">
        <f t="shared" si="12"/>
        <v>0.16666666666666666</v>
      </c>
      <c r="BG16">
        <f t="shared" si="12"/>
        <v>0.16666666666666666</v>
      </c>
      <c r="BH16">
        <f t="shared" si="12"/>
        <v>0.16666666666666666</v>
      </c>
      <c r="BI16">
        <f t="shared" si="12"/>
        <v>0.16666666666666666</v>
      </c>
      <c r="BJ16">
        <f t="shared" si="12"/>
        <v>0.16666666666666666</v>
      </c>
      <c r="BK16">
        <f t="shared" si="12"/>
        <v>0.16666666666666666</v>
      </c>
      <c r="BL16">
        <f t="shared" si="12"/>
        <v>0.16666666666666666</v>
      </c>
      <c r="BM16">
        <f t="shared" si="12"/>
        <v>0.16666666666666666</v>
      </c>
      <c r="BN16">
        <f t="shared" si="12"/>
        <v>0.16666666666666666</v>
      </c>
      <c r="BO16">
        <f t="shared" si="12"/>
        <v>0.16666666666666666</v>
      </c>
      <c r="BP16">
        <f t="shared" si="12"/>
        <v>0.16666666666666666</v>
      </c>
      <c r="BQ16">
        <f t="shared" si="11"/>
        <v>0.16666666666666666</v>
      </c>
      <c r="BR16">
        <f t="shared" si="11"/>
        <v>0.16666666666666666</v>
      </c>
      <c r="BS16">
        <f t="shared" si="11"/>
        <v>0.16666666666666666</v>
      </c>
      <c r="BT16">
        <f t="shared" si="11"/>
        <v>0.16666666666666666</v>
      </c>
      <c r="BU16">
        <f t="shared" si="11"/>
        <v>0.16666666666666666</v>
      </c>
      <c r="BV16">
        <f t="shared" si="11"/>
        <v>0.16666666666666666</v>
      </c>
      <c r="BW16">
        <f t="shared" si="11"/>
        <v>0.16666666666666666</v>
      </c>
      <c r="BX16">
        <f t="shared" si="11"/>
        <v>0.16666666666666666</v>
      </c>
      <c r="BY16">
        <f t="shared" si="11"/>
        <v>0.16666666666666666</v>
      </c>
      <c r="BZ16">
        <f t="shared" si="11"/>
        <v>0.16666666666666666</v>
      </c>
      <c r="CA16">
        <f t="shared" si="11"/>
        <v>0.16666666666666666</v>
      </c>
      <c r="CB16">
        <f t="shared" si="11"/>
        <v>0.16666666666666666</v>
      </c>
      <c r="CC16">
        <f t="shared" si="11"/>
        <v>0.16666666666666666</v>
      </c>
      <c r="CD16">
        <f t="shared" si="11"/>
        <v>0.16666666666666666</v>
      </c>
      <c r="CE16">
        <f t="shared" si="11"/>
        <v>0.16666666666666666</v>
      </c>
      <c r="CF16">
        <f t="shared" si="11"/>
        <v>0.16666666666666666</v>
      </c>
      <c r="CG16">
        <f t="shared" si="11"/>
        <v>0.16666666666666666</v>
      </c>
      <c r="CH16">
        <f t="shared" si="11"/>
        <v>0.16666666666666666</v>
      </c>
      <c r="CI16">
        <f t="shared" si="11"/>
        <v>0.16666666666666666</v>
      </c>
      <c r="CJ16">
        <f t="shared" si="11"/>
        <v>0.16666666666666666</v>
      </c>
      <c r="CK16">
        <f t="shared" si="11"/>
        <v>0.16666666666666666</v>
      </c>
      <c r="CL16">
        <f t="shared" si="11"/>
        <v>0.16666666666666666</v>
      </c>
      <c r="CM16">
        <f t="shared" si="11"/>
        <v>0.16666666666666666</v>
      </c>
      <c r="CN16">
        <f t="shared" si="11"/>
        <v>0.16666666666666666</v>
      </c>
      <c r="CO16">
        <f t="shared" si="11"/>
        <v>0.16666666666666666</v>
      </c>
    </row>
    <row r="17" spans="1:93" x14ac:dyDescent="0.25">
      <c r="A17" t="s">
        <v>28</v>
      </c>
      <c r="B17" t="s">
        <v>137</v>
      </c>
      <c r="C17">
        <f t="shared" si="4"/>
        <v>0.16666666666666666</v>
      </c>
      <c r="D17">
        <f t="shared" si="5"/>
        <v>0.16666666666666666</v>
      </c>
      <c r="E17">
        <f t="shared" si="12"/>
        <v>0.16666666666666666</v>
      </c>
      <c r="F17">
        <f t="shared" si="12"/>
        <v>0.16666666666666666</v>
      </c>
      <c r="G17">
        <f t="shared" si="12"/>
        <v>0.16666666666666666</v>
      </c>
      <c r="H17">
        <f t="shared" si="12"/>
        <v>0.16666666666666666</v>
      </c>
      <c r="I17">
        <f t="shared" si="12"/>
        <v>0.16666666666666666</v>
      </c>
      <c r="J17">
        <f t="shared" si="12"/>
        <v>0.16666666666666666</v>
      </c>
      <c r="K17">
        <f t="shared" si="12"/>
        <v>0.16666666666666666</v>
      </c>
      <c r="L17">
        <f t="shared" si="12"/>
        <v>0.16666666666666666</v>
      </c>
      <c r="M17">
        <f t="shared" si="12"/>
        <v>0.16666666666666666</v>
      </c>
      <c r="N17">
        <f t="shared" si="12"/>
        <v>0.16666666666666666</v>
      </c>
      <c r="O17">
        <f t="shared" si="12"/>
        <v>0.16666666666666666</v>
      </c>
      <c r="P17">
        <f t="shared" si="12"/>
        <v>0.16666666666666666</v>
      </c>
      <c r="Q17">
        <f t="shared" si="12"/>
        <v>0.16666666666666666</v>
      </c>
      <c r="R17">
        <f t="shared" si="12"/>
        <v>0.16666666666666666</v>
      </c>
      <c r="S17">
        <f t="shared" si="12"/>
        <v>0.16666666666666666</v>
      </c>
      <c r="T17">
        <f t="shared" si="12"/>
        <v>0.16666666666666666</v>
      </c>
      <c r="U17">
        <f t="shared" si="12"/>
        <v>0.16666666666666666</v>
      </c>
      <c r="V17">
        <f t="shared" si="12"/>
        <v>0.16666666666666666</v>
      </c>
      <c r="W17">
        <f t="shared" si="12"/>
        <v>0.16666666666666666</v>
      </c>
      <c r="X17">
        <f t="shared" si="12"/>
        <v>0.16666666666666666</v>
      </c>
      <c r="Y17">
        <f t="shared" si="12"/>
        <v>0.16666666666666666</v>
      </c>
      <c r="Z17">
        <f t="shared" si="12"/>
        <v>0.16666666666666666</v>
      </c>
      <c r="AA17">
        <f t="shared" si="12"/>
        <v>0.16666666666666666</v>
      </c>
      <c r="AB17">
        <f t="shared" si="12"/>
        <v>0.16666666666666666</v>
      </c>
      <c r="AC17">
        <f t="shared" si="12"/>
        <v>0.16666666666666666</v>
      </c>
      <c r="AD17">
        <f t="shared" si="12"/>
        <v>0.16666666666666666</v>
      </c>
      <c r="AE17">
        <f t="shared" si="12"/>
        <v>0.16666666666666666</v>
      </c>
      <c r="AF17">
        <f t="shared" si="12"/>
        <v>0.16666666666666666</v>
      </c>
      <c r="AG17">
        <f t="shared" si="12"/>
        <v>0.16666666666666666</v>
      </c>
      <c r="AH17">
        <f t="shared" si="12"/>
        <v>0.16666666666666666</v>
      </c>
      <c r="AI17">
        <f t="shared" si="12"/>
        <v>0.16666666666666666</v>
      </c>
      <c r="AJ17">
        <f t="shared" si="12"/>
        <v>0.16666666666666666</v>
      </c>
      <c r="AK17">
        <f t="shared" si="12"/>
        <v>0.16666666666666666</v>
      </c>
      <c r="AL17">
        <f t="shared" si="12"/>
        <v>0.16666666666666666</v>
      </c>
      <c r="AM17">
        <f t="shared" si="12"/>
        <v>0.16666666666666666</v>
      </c>
      <c r="AN17">
        <f t="shared" si="12"/>
        <v>0.16666666666666666</v>
      </c>
      <c r="AO17">
        <f t="shared" si="12"/>
        <v>0.16666666666666666</v>
      </c>
      <c r="AP17">
        <f t="shared" si="12"/>
        <v>0.16666666666666666</v>
      </c>
      <c r="AQ17">
        <f t="shared" si="12"/>
        <v>0.16666666666666666</v>
      </c>
      <c r="AR17">
        <f t="shared" si="12"/>
        <v>0.16666666666666666</v>
      </c>
      <c r="AS17">
        <f t="shared" si="12"/>
        <v>0.16666666666666666</v>
      </c>
      <c r="AT17">
        <f t="shared" si="12"/>
        <v>0.16666666666666666</v>
      </c>
      <c r="AU17">
        <f t="shared" si="12"/>
        <v>0.16666666666666666</v>
      </c>
      <c r="AV17">
        <f t="shared" si="12"/>
        <v>0.16666666666666666</v>
      </c>
      <c r="AW17">
        <f t="shared" si="12"/>
        <v>0.16666666666666666</v>
      </c>
      <c r="AX17">
        <f t="shared" si="12"/>
        <v>0.16666666666666666</v>
      </c>
      <c r="AY17">
        <f t="shared" si="12"/>
        <v>0.16666666666666666</v>
      </c>
      <c r="AZ17">
        <f t="shared" si="12"/>
        <v>0.16666666666666666</v>
      </c>
      <c r="BA17">
        <f t="shared" si="12"/>
        <v>0.16666666666666666</v>
      </c>
      <c r="BB17">
        <f t="shared" si="12"/>
        <v>0.16666666666666666</v>
      </c>
      <c r="BC17">
        <f t="shared" si="12"/>
        <v>0.16666666666666666</v>
      </c>
      <c r="BD17">
        <f t="shared" si="12"/>
        <v>0.16666666666666666</v>
      </c>
      <c r="BE17">
        <f t="shared" si="12"/>
        <v>0.16666666666666666</v>
      </c>
      <c r="BF17">
        <f t="shared" si="12"/>
        <v>0.16666666666666666</v>
      </c>
      <c r="BG17">
        <f t="shared" si="12"/>
        <v>0.16666666666666666</v>
      </c>
      <c r="BH17">
        <f t="shared" si="12"/>
        <v>0.16666666666666666</v>
      </c>
      <c r="BI17">
        <f t="shared" si="12"/>
        <v>0.16666666666666666</v>
      </c>
      <c r="BJ17">
        <f t="shared" si="12"/>
        <v>0.16666666666666666</v>
      </c>
      <c r="BK17">
        <f t="shared" si="12"/>
        <v>0.16666666666666666</v>
      </c>
      <c r="BL17">
        <f t="shared" si="12"/>
        <v>0.16666666666666666</v>
      </c>
      <c r="BM17">
        <f t="shared" si="12"/>
        <v>0.16666666666666666</v>
      </c>
      <c r="BN17">
        <f t="shared" si="12"/>
        <v>0.16666666666666666</v>
      </c>
      <c r="BO17">
        <f t="shared" si="12"/>
        <v>0.16666666666666666</v>
      </c>
      <c r="BP17">
        <f t="shared" si="12"/>
        <v>0.16666666666666666</v>
      </c>
      <c r="BQ17">
        <f t="shared" si="11"/>
        <v>0.16666666666666666</v>
      </c>
      <c r="BR17">
        <f t="shared" si="11"/>
        <v>0.16666666666666666</v>
      </c>
      <c r="BS17">
        <f t="shared" si="11"/>
        <v>0.16666666666666666</v>
      </c>
      <c r="BT17">
        <f t="shared" si="11"/>
        <v>0.16666666666666666</v>
      </c>
      <c r="BU17">
        <f t="shared" si="11"/>
        <v>0.16666666666666666</v>
      </c>
      <c r="BV17">
        <f t="shared" si="11"/>
        <v>0.16666666666666666</v>
      </c>
      <c r="BW17">
        <f t="shared" si="11"/>
        <v>0.16666666666666666</v>
      </c>
      <c r="BX17">
        <f t="shared" si="11"/>
        <v>0.16666666666666666</v>
      </c>
      <c r="BY17">
        <f t="shared" si="11"/>
        <v>0.16666666666666666</v>
      </c>
      <c r="BZ17">
        <f t="shared" si="11"/>
        <v>0.16666666666666666</v>
      </c>
      <c r="CA17">
        <f t="shared" si="11"/>
        <v>0.16666666666666666</v>
      </c>
      <c r="CB17">
        <f t="shared" si="11"/>
        <v>0.16666666666666666</v>
      </c>
      <c r="CC17">
        <f t="shared" si="11"/>
        <v>0.16666666666666666</v>
      </c>
      <c r="CD17">
        <f t="shared" si="11"/>
        <v>0.16666666666666666</v>
      </c>
      <c r="CE17">
        <f t="shared" si="11"/>
        <v>0.16666666666666666</v>
      </c>
      <c r="CF17">
        <f t="shared" si="11"/>
        <v>0.16666666666666666</v>
      </c>
      <c r="CG17">
        <f t="shared" si="11"/>
        <v>0.16666666666666666</v>
      </c>
      <c r="CH17">
        <f t="shared" si="11"/>
        <v>0.16666666666666666</v>
      </c>
      <c r="CI17">
        <f t="shared" si="11"/>
        <v>0.16666666666666666</v>
      </c>
      <c r="CJ17">
        <f t="shared" si="11"/>
        <v>0.16666666666666666</v>
      </c>
      <c r="CK17">
        <f t="shared" si="11"/>
        <v>0.16666666666666666</v>
      </c>
      <c r="CL17">
        <f t="shared" si="11"/>
        <v>0.16666666666666666</v>
      </c>
      <c r="CM17">
        <f t="shared" si="11"/>
        <v>0.16666666666666666</v>
      </c>
      <c r="CN17">
        <f t="shared" si="11"/>
        <v>0.16666666666666666</v>
      </c>
      <c r="CO17">
        <f t="shared" si="11"/>
        <v>0.16666666666666666</v>
      </c>
    </row>
    <row r="18" spans="1:93" x14ac:dyDescent="0.25">
      <c r="A18" t="s">
        <v>29</v>
      </c>
      <c r="B18" t="s">
        <v>138</v>
      </c>
      <c r="C18">
        <f t="shared" si="4"/>
        <v>6.25E-2</v>
      </c>
      <c r="D18">
        <f t="shared" si="5"/>
        <v>6.25E-2</v>
      </c>
      <c r="E18">
        <f t="shared" si="12"/>
        <v>6.25E-2</v>
      </c>
      <c r="F18">
        <f t="shared" si="12"/>
        <v>6.25E-2</v>
      </c>
      <c r="G18">
        <f t="shared" si="12"/>
        <v>6.25E-2</v>
      </c>
      <c r="H18">
        <f t="shared" si="12"/>
        <v>6.25E-2</v>
      </c>
      <c r="I18">
        <f t="shared" si="12"/>
        <v>6.25E-2</v>
      </c>
      <c r="J18">
        <f t="shared" si="12"/>
        <v>6.25E-2</v>
      </c>
      <c r="K18">
        <f t="shared" si="12"/>
        <v>6.25E-2</v>
      </c>
      <c r="L18">
        <f t="shared" si="12"/>
        <v>6.25E-2</v>
      </c>
      <c r="M18">
        <f t="shared" si="12"/>
        <v>6.25E-2</v>
      </c>
      <c r="N18">
        <f t="shared" si="12"/>
        <v>6.25E-2</v>
      </c>
      <c r="O18">
        <f t="shared" si="12"/>
        <v>6.25E-2</v>
      </c>
      <c r="P18">
        <f t="shared" si="12"/>
        <v>6.25E-2</v>
      </c>
      <c r="Q18">
        <f t="shared" si="12"/>
        <v>6.25E-2</v>
      </c>
      <c r="R18">
        <f t="shared" si="12"/>
        <v>6.25E-2</v>
      </c>
      <c r="S18">
        <f t="shared" si="12"/>
        <v>6.25E-2</v>
      </c>
      <c r="T18">
        <f t="shared" si="12"/>
        <v>6.25E-2</v>
      </c>
      <c r="U18">
        <f t="shared" si="12"/>
        <v>6.25E-2</v>
      </c>
      <c r="V18">
        <f t="shared" si="12"/>
        <v>6.25E-2</v>
      </c>
      <c r="W18">
        <f t="shared" si="12"/>
        <v>6.25E-2</v>
      </c>
      <c r="X18">
        <f t="shared" si="12"/>
        <v>6.25E-2</v>
      </c>
      <c r="Y18">
        <f t="shared" si="12"/>
        <v>6.25E-2</v>
      </c>
      <c r="Z18">
        <f t="shared" si="12"/>
        <v>6.25E-2</v>
      </c>
      <c r="AA18">
        <f t="shared" si="12"/>
        <v>6.25E-2</v>
      </c>
      <c r="AB18">
        <f t="shared" si="12"/>
        <v>6.25E-2</v>
      </c>
      <c r="AC18">
        <f t="shared" si="12"/>
        <v>6.25E-2</v>
      </c>
      <c r="AD18">
        <f t="shared" si="12"/>
        <v>6.25E-2</v>
      </c>
      <c r="AE18">
        <f t="shared" si="12"/>
        <v>6.25E-2</v>
      </c>
      <c r="AF18">
        <f t="shared" si="12"/>
        <v>6.25E-2</v>
      </c>
      <c r="AG18">
        <f t="shared" si="12"/>
        <v>6.25E-2</v>
      </c>
      <c r="AH18">
        <f t="shared" si="12"/>
        <v>6.25E-2</v>
      </c>
      <c r="AI18">
        <f t="shared" si="12"/>
        <v>6.25E-2</v>
      </c>
      <c r="AJ18">
        <f t="shared" si="12"/>
        <v>6.25E-2</v>
      </c>
      <c r="AK18">
        <f t="shared" si="12"/>
        <v>6.25E-2</v>
      </c>
      <c r="AL18">
        <f t="shared" si="12"/>
        <v>6.25E-2</v>
      </c>
      <c r="AM18">
        <f t="shared" si="12"/>
        <v>6.25E-2</v>
      </c>
      <c r="AN18">
        <f t="shared" si="12"/>
        <v>6.25E-2</v>
      </c>
      <c r="AO18">
        <f t="shared" si="12"/>
        <v>6.25E-2</v>
      </c>
      <c r="AP18">
        <f t="shared" si="12"/>
        <v>6.25E-2</v>
      </c>
      <c r="AQ18">
        <f t="shared" si="12"/>
        <v>6.25E-2</v>
      </c>
      <c r="AR18">
        <f t="shared" si="12"/>
        <v>6.25E-2</v>
      </c>
      <c r="AS18">
        <f t="shared" si="12"/>
        <v>6.25E-2</v>
      </c>
      <c r="AT18">
        <f t="shared" si="12"/>
        <v>6.25E-2</v>
      </c>
      <c r="AU18">
        <f t="shared" si="12"/>
        <v>6.25E-2</v>
      </c>
      <c r="AV18">
        <f t="shared" si="12"/>
        <v>6.25E-2</v>
      </c>
      <c r="AW18">
        <f t="shared" si="12"/>
        <v>6.25E-2</v>
      </c>
      <c r="AX18">
        <f t="shared" si="12"/>
        <v>6.25E-2</v>
      </c>
      <c r="AY18">
        <f t="shared" si="12"/>
        <v>6.25E-2</v>
      </c>
      <c r="AZ18">
        <f t="shared" si="12"/>
        <v>6.25E-2</v>
      </c>
      <c r="BA18">
        <f t="shared" si="12"/>
        <v>6.25E-2</v>
      </c>
      <c r="BB18">
        <f t="shared" si="12"/>
        <v>6.25E-2</v>
      </c>
      <c r="BC18">
        <f t="shared" si="12"/>
        <v>6.25E-2</v>
      </c>
      <c r="BD18">
        <f t="shared" si="12"/>
        <v>6.25E-2</v>
      </c>
      <c r="BE18">
        <f t="shared" si="12"/>
        <v>6.25E-2</v>
      </c>
      <c r="BF18">
        <f t="shared" si="12"/>
        <v>6.25E-2</v>
      </c>
      <c r="BG18">
        <f t="shared" si="12"/>
        <v>6.25E-2</v>
      </c>
      <c r="BH18">
        <f t="shared" si="12"/>
        <v>6.25E-2</v>
      </c>
      <c r="BI18">
        <f t="shared" si="12"/>
        <v>6.25E-2</v>
      </c>
      <c r="BJ18">
        <f t="shared" si="12"/>
        <v>6.25E-2</v>
      </c>
      <c r="BK18">
        <f t="shared" si="12"/>
        <v>6.25E-2</v>
      </c>
      <c r="BL18">
        <f t="shared" si="12"/>
        <v>6.25E-2</v>
      </c>
      <c r="BM18">
        <f t="shared" si="12"/>
        <v>6.25E-2</v>
      </c>
      <c r="BN18">
        <f t="shared" si="12"/>
        <v>6.25E-2</v>
      </c>
      <c r="BO18">
        <f t="shared" si="12"/>
        <v>6.25E-2</v>
      </c>
      <c r="BP18">
        <f t="shared" si="12"/>
        <v>6.25E-2</v>
      </c>
      <c r="BQ18">
        <f t="shared" si="11"/>
        <v>6.25E-2</v>
      </c>
      <c r="BR18">
        <f t="shared" si="11"/>
        <v>6.25E-2</v>
      </c>
      <c r="BS18">
        <f t="shared" si="11"/>
        <v>6.25E-2</v>
      </c>
      <c r="BT18">
        <f t="shared" si="11"/>
        <v>6.25E-2</v>
      </c>
      <c r="BU18">
        <f t="shared" si="11"/>
        <v>6.25E-2</v>
      </c>
      <c r="BV18">
        <f t="shared" si="11"/>
        <v>6.25E-2</v>
      </c>
      <c r="BW18">
        <f t="shared" si="11"/>
        <v>6.25E-2</v>
      </c>
      <c r="BX18">
        <f t="shared" si="11"/>
        <v>6.25E-2</v>
      </c>
      <c r="BY18">
        <f t="shared" si="11"/>
        <v>6.25E-2</v>
      </c>
      <c r="BZ18">
        <f t="shared" si="11"/>
        <v>6.25E-2</v>
      </c>
      <c r="CA18">
        <f t="shared" si="11"/>
        <v>6.25E-2</v>
      </c>
      <c r="CB18">
        <f t="shared" si="11"/>
        <v>6.25E-2</v>
      </c>
      <c r="CC18">
        <f t="shared" si="11"/>
        <v>6.25E-2</v>
      </c>
      <c r="CD18">
        <f t="shared" si="11"/>
        <v>6.25E-2</v>
      </c>
      <c r="CE18">
        <f t="shared" si="11"/>
        <v>6.25E-2</v>
      </c>
      <c r="CF18">
        <f t="shared" si="11"/>
        <v>6.25E-2</v>
      </c>
      <c r="CG18">
        <f t="shared" si="11"/>
        <v>6.25E-2</v>
      </c>
      <c r="CH18">
        <f t="shared" si="11"/>
        <v>6.25E-2</v>
      </c>
      <c r="CI18">
        <f t="shared" si="11"/>
        <v>6.25E-2</v>
      </c>
      <c r="CJ18">
        <f t="shared" si="11"/>
        <v>6.25E-2</v>
      </c>
      <c r="CK18">
        <f t="shared" si="11"/>
        <v>6.25E-2</v>
      </c>
      <c r="CL18">
        <f t="shared" si="11"/>
        <v>6.25E-2</v>
      </c>
      <c r="CM18">
        <f t="shared" si="11"/>
        <v>6.25E-2</v>
      </c>
      <c r="CN18">
        <f t="shared" si="11"/>
        <v>6.25E-2</v>
      </c>
      <c r="CO18">
        <f t="shared" si="11"/>
        <v>6.25E-2</v>
      </c>
    </row>
    <row r="19" spans="1:93" x14ac:dyDescent="0.25">
      <c r="A19" t="s">
        <v>30</v>
      </c>
      <c r="B19" t="s">
        <v>138</v>
      </c>
      <c r="C19">
        <f t="shared" si="4"/>
        <v>6.25E-2</v>
      </c>
      <c r="D19">
        <f t="shared" si="5"/>
        <v>6.25E-2</v>
      </c>
      <c r="E19">
        <f t="shared" si="12"/>
        <v>6.25E-2</v>
      </c>
      <c r="F19">
        <f t="shared" si="12"/>
        <v>6.25E-2</v>
      </c>
      <c r="G19">
        <f t="shared" si="12"/>
        <v>6.25E-2</v>
      </c>
      <c r="H19">
        <f t="shared" si="12"/>
        <v>6.25E-2</v>
      </c>
      <c r="I19">
        <f t="shared" si="12"/>
        <v>6.25E-2</v>
      </c>
      <c r="J19">
        <f t="shared" si="12"/>
        <v>6.25E-2</v>
      </c>
      <c r="K19">
        <f t="shared" si="12"/>
        <v>6.25E-2</v>
      </c>
      <c r="L19">
        <f t="shared" si="12"/>
        <v>6.25E-2</v>
      </c>
      <c r="M19">
        <f t="shared" si="12"/>
        <v>6.25E-2</v>
      </c>
      <c r="N19">
        <f t="shared" si="12"/>
        <v>6.25E-2</v>
      </c>
      <c r="O19">
        <f t="shared" si="12"/>
        <v>6.25E-2</v>
      </c>
      <c r="P19">
        <f t="shared" si="12"/>
        <v>6.25E-2</v>
      </c>
      <c r="Q19">
        <f t="shared" si="12"/>
        <v>6.25E-2</v>
      </c>
      <c r="R19">
        <f t="shared" si="12"/>
        <v>6.25E-2</v>
      </c>
      <c r="S19">
        <f t="shared" si="12"/>
        <v>6.25E-2</v>
      </c>
      <c r="T19">
        <f t="shared" si="12"/>
        <v>6.25E-2</v>
      </c>
      <c r="U19">
        <f t="shared" si="12"/>
        <v>6.25E-2</v>
      </c>
      <c r="V19">
        <f t="shared" si="12"/>
        <v>6.25E-2</v>
      </c>
      <c r="W19">
        <f t="shared" si="12"/>
        <v>6.25E-2</v>
      </c>
      <c r="X19">
        <f t="shared" si="12"/>
        <v>6.25E-2</v>
      </c>
      <c r="Y19">
        <f t="shared" si="12"/>
        <v>6.25E-2</v>
      </c>
      <c r="Z19">
        <f t="shared" si="12"/>
        <v>6.25E-2</v>
      </c>
      <c r="AA19">
        <f t="shared" si="12"/>
        <v>6.25E-2</v>
      </c>
      <c r="AB19">
        <f t="shared" si="12"/>
        <v>6.25E-2</v>
      </c>
      <c r="AC19">
        <f t="shared" si="12"/>
        <v>6.25E-2</v>
      </c>
      <c r="AD19">
        <f t="shared" si="12"/>
        <v>6.25E-2</v>
      </c>
      <c r="AE19">
        <f t="shared" si="12"/>
        <v>6.25E-2</v>
      </c>
      <c r="AF19">
        <f t="shared" si="12"/>
        <v>6.25E-2</v>
      </c>
      <c r="AG19">
        <f t="shared" si="12"/>
        <v>6.25E-2</v>
      </c>
      <c r="AH19">
        <f t="shared" si="12"/>
        <v>6.25E-2</v>
      </c>
      <c r="AI19">
        <f t="shared" si="12"/>
        <v>6.25E-2</v>
      </c>
      <c r="AJ19">
        <f t="shared" si="12"/>
        <v>6.25E-2</v>
      </c>
      <c r="AK19">
        <f t="shared" si="12"/>
        <v>6.25E-2</v>
      </c>
      <c r="AL19">
        <f t="shared" si="12"/>
        <v>6.25E-2</v>
      </c>
      <c r="AM19">
        <f t="shared" si="12"/>
        <v>6.25E-2</v>
      </c>
      <c r="AN19">
        <f t="shared" si="12"/>
        <v>6.25E-2</v>
      </c>
      <c r="AO19">
        <f t="shared" si="12"/>
        <v>6.25E-2</v>
      </c>
      <c r="AP19">
        <f t="shared" si="12"/>
        <v>6.25E-2</v>
      </c>
      <c r="AQ19">
        <f t="shared" si="12"/>
        <v>6.25E-2</v>
      </c>
      <c r="AR19">
        <f t="shared" si="12"/>
        <v>6.25E-2</v>
      </c>
      <c r="AS19">
        <f t="shared" si="12"/>
        <v>6.25E-2</v>
      </c>
      <c r="AT19">
        <f t="shared" si="12"/>
        <v>6.25E-2</v>
      </c>
      <c r="AU19">
        <f t="shared" si="12"/>
        <v>6.25E-2</v>
      </c>
      <c r="AV19">
        <f t="shared" si="12"/>
        <v>6.25E-2</v>
      </c>
      <c r="AW19">
        <f t="shared" si="12"/>
        <v>6.25E-2</v>
      </c>
      <c r="AX19">
        <f t="shared" si="12"/>
        <v>6.25E-2</v>
      </c>
      <c r="AY19">
        <f t="shared" si="12"/>
        <v>6.25E-2</v>
      </c>
      <c r="AZ19">
        <f t="shared" si="12"/>
        <v>6.25E-2</v>
      </c>
      <c r="BA19">
        <f t="shared" si="12"/>
        <v>6.25E-2</v>
      </c>
      <c r="BB19">
        <f t="shared" si="12"/>
        <v>6.25E-2</v>
      </c>
      <c r="BC19">
        <f t="shared" si="12"/>
        <v>6.25E-2</v>
      </c>
      <c r="BD19">
        <f t="shared" si="12"/>
        <v>6.25E-2</v>
      </c>
      <c r="BE19">
        <f t="shared" si="12"/>
        <v>6.25E-2</v>
      </c>
      <c r="BF19">
        <f t="shared" si="12"/>
        <v>6.25E-2</v>
      </c>
      <c r="BG19">
        <f t="shared" si="12"/>
        <v>6.25E-2</v>
      </c>
      <c r="BH19">
        <f t="shared" si="12"/>
        <v>6.25E-2</v>
      </c>
      <c r="BI19">
        <f t="shared" si="12"/>
        <v>6.25E-2</v>
      </c>
      <c r="BJ19">
        <f t="shared" si="12"/>
        <v>6.25E-2</v>
      </c>
      <c r="BK19">
        <f t="shared" si="12"/>
        <v>6.25E-2</v>
      </c>
      <c r="BL19">
        <f t="shared" si="12"/>
        <v>6.25E-2</v>
      </c>
      <c r="BM19">
        <f t="shared" si="12"/>
        <v>6.25E-2</v>
      </c>
      <c r="BN19">
        <f t="shared" si="12"/>
        <v>6.25E-2</v>
      </c>
      <c r="BO19">
        <f t="shared" si="12"/>
        <v>6.25E-2</v>
      </c>
      <c r="BP19">
        <f t="shared" ref="BP19:CO22" si="13">BO19</f>
        <v>6.25E-2</v>
      </c>
      <c r="BQ19">
        <f t="shared" si="13"/>
        <v>6.25E-2</v>
      </c>
      <c r="BR19">
        <f t="shared" si="13"/>
        <v>6.25E-2</v>
      </c>
      <c r="BS19">
        <f t="shared" si="13"/>
        <v>6.25E-2</v>
      </c>
      <c r="BT19">
        <f t="shared" si="13"/>
        <v>6.25E-2</v>
      </c>
      <c r="BU19">
        <f t="shared" si="13"/>
        <v>6.25E-2</v>
      </c>
      <c r="BV19">
        <f t="shared" si="13"/>
        <v>6.25E-2</v>
      </c>
      <c r="BW19">
        <f t="shared" si="13"/>
        <v>6.25E-2</v>
      </c>
      <c r="BX19">
        <f t="shared" si="13"/>
        <v>6.25E-2</v>
      </c>
      <c r="BY19">
        <f t="shared" si="13"/>
        <v>6.25E-2</v>
      </c>
      <c r="BZ19">
        <f t="shared" si="13"/>
        <v>6.25E-2</v>
      </c>
      <c r="CA19">
        <f t="shared" si="13"/>
        <v>6.25E-2</v>
      </c>
      <c r="CB19">
        <f t="shared" si="13"/>
        <v>6.25E-2</v>
      </c>
      <c r="CC19">
        <f t="shared" si="13"/>
        <v>6.25E-2</v>
      </c>
      <c r="CD19">
        <f t="shared" si="13"/>
        <v>6.25E-2</v>
      </c>
      <c r="CE19">
        <f t="shared" si="13"/>
        <v>6.25E-2</v>
      </c>
      <c r="CF19">
        <f t="shared" si="13"/>
        <v>6.25E-2</v>
      </c>
      <c r="CG19">
        <f t="shared" si="13"/>
        <v>6.25E-2</v>
      </c>
      <c r="CH19">
        <f t="shared" si="13"/>
        <v>6.25E-2</v>
      </c>
      <c r="CI19">
        <f t="shared" si="13"/>
        <v>6.25E-2</v>
      </c>
      <c r="CJ19">
        <f t="shared" si="13"/>
        <v>6.25E-2</v>
      </c>
      <c r="CK19">
        <f t="shared" si="13"/>
        <v>6.25E-2</v>
      </c>
      <c r="CL19">
        <f t="shared" si="13"/>
        <v>6.25E-2</v>
      </c>
      <c r="CM19">
        <f t="shared" si="13"/>
        <v>6.25E-2</v>
      </c>
      <c r="CN19">
        <f t="shared" si="13"/>
        <v>6.25E-2</v>
      </c>
      <c r="CO19">
        <f t="shared" si="13"/>
        <v>6.25E-2</v>
      </c>
    </row>
    <row r="20" spans="1:93" x14ac:dyDescent="0.25">
      <c r="A20" t="s">
        <v>31</v>
      </c>
      <c r="B20" t="s">
        <v>138</v>
      </c>
      <c r="C20">
        <f t="shared" si="4"/>
        <v>6.25E-2</v>
      </c>
      <c r="D20">
        <f t="shared" si="5"/>
        <v>6.25E-2</v>
      </c>
      <c r="E20">
        <f t="shared" ref="E20:BP23" si="14">D20</f>
        <v>6.25E-2</v>
      </c>
      <c r="F20">
        <f t="shared" si="14"/>
        <v>6.25E-2</v>
      </c>
      <c r="G20">
        <f t="shared" si="14"/>
        <v>6.25E-2</v>
      </c>
      <c r="H20">
        <f t="shared" si="14"/>
        <v>6.25E-2</v>
      </c>
      <c r="I20">
        <f t="shared" si="14"/>
        <v>6.25E-2</v>
      </c>
      <c r="J20">
        <f t="shared" si="14"/>
        <v>6.25E-2</v>
      </c>
      <c r="K20">
        <f t="shared" si="14"/>
        <v>6.25E-2</v>
      </c>
      <c r="L20">
        <f t="shared" si="14"/>
        <v>6.25E-2</v>
      </c>
      <c r="M20">
        <f t="shared" si="14"/>
        <v>6.25E-2</v>
      </c>
      <c r="N20">
        <f t="shared" si="14"/>
        <v>6.25E-2</v>
      </c>
      <c r="O20">
        <f t="shared" si="14"/>
        <v>6.25E-2</v>
      </c>
      <c r="P20">
        <f t="shared" si="14"/>
        <v>6.25E-2</v>
      </c>
      <c r="Q20">
        <f t="shared" si="14"/>
        <v>6.25E-2</v>
      </c>
      <c r="R20">
        <f t="shared" si="14"/>
        <v>6.25E-2</v>
      </c>
      <c r="S20">
        <f t="shared" si="14"/>
        <v>6.25E-2</v>
      </c>
      <c r="T20">
        <f t="shared" si="14"/>
        <v>6.25E-2</v>
      </c>
      <c r="U20">
        <f t="shared" si="14"/>
        <v>6.25E-2</v>
      </c>
      <c r="V20">
        <f t="shared" si="14"/>
        <v>6.25E-2</v>
      </c>
      <c r="W20">
        <f t="shared" si="14"/>
        <v>6.25E-2</v>
      </c>
      <c r="X20">
        <f t="shared" si="14"/>
        <v>6.25E-2</v>
      </c>
      <c r="Y20">
        <f t="shared" si="14"/>
        <v>6.25E-2</v>
      </c>
      <c r="Z20">
        <f t="shared" si="14"/>
        <v>6.25E-2</v>
      </c>
      <c r="AA20">
        <f t="shared" si="14"/>
        <v>6.25E-2</v>
      </c>
      <c r="AB20">
        <f t="shared" si="14"/>
        <v>6.25E-2</v>
      </c>
      <c r="AC20">
        <f t="shared" si="14"/>
        <v>6.25E-2</v>
      </c>
      <c r="AD20">
        <f t="shared" si="14"/>
        <v>6.25E-2</v>
      </c>
      <c r="AE20">
        <f t="shared" si="14"/>
        <v>6.25E-2</v>
      </c>
      <c r="AF20">
        <f t="shared" si="14"/>
        <v>6.25E-2</v>
      </c>
      <c r="AG20">
        <f t="shared" si="14"/>
        <v>6.25E-2</v>
      </c>
      <c r="AH20">
        <f t="shared" si="14"/>
        <v>6.25E-2</v>
      </c>
      <c r="AI20">
        <f t="shared" si="14"/>
        <v>6.25E-2</v>
      </c>
      <c r="AJ20">
        <f t="shared" si="14"/>
        <v>6.25E-2</v>
      </c>
      <c r="AK20">
        <f t="shared" si="14"/>
        <v>6.25E-2</v>
      </c>
      <c r="AL20">
        <f t="shared" si="14"/>
        <v>6.25E-2</v>
      </c>
      <c r="AM20">
        <f t="shared" si="14"/>
        <v>6.25E-2</v>
      </c>
      <c r="AN20">
        <f t="shared" si="14"/>
        <v>6.25E-2</v>
      </c>
      <c r="AO20">
        <f t="shared" si="14"/>
        <v>6.25E-2</v>
      </c>
      <c r="AP20">
        <f t="shared" si="14"/>
        <v>6.25E-2</v>
      </c>
      <c r="AQ20">
        <f t="shared" si="14"/>
        <v>6.25E-2</v>
      </c>
      <c r="AR20">
        <f t="shared" si="14"/>
        <v>6.25E-2</v>
      </c>
      <c r="AS20">
        <f t="shared" si="14"/>
        <v>6.25E-2</v>
      </c>
      <c r="AT20">
        <f t="shared" si="14"/>
        <v>6.25E-2</v>
      </c>
      <c r="AU20">
        <f t="shared" si="14"/>
        <v>6.25E-2</v>
      </c>
      <c r="AV20">
        <f t="shared" si="14"/>
        <v>6.25E-2</v>
      </c>
      <c r="AW20">
        <f t="shared" si="14"/>
        <v>6.25E-2</v>
      </c>
      <c r="AX20">
        <f t="shared" si="14"/>
        <v>6.25E-2</v>
      </c>
      <c r="AY20">
        <f t="shared" si="14"/>
        <v>6.25E-2</v>
      </c>
      <c r="AZ20">
        <f t="shared" si="14"/>
        <v>6.25E-2</v>
      </c>
      <c r="BA20">
        <f t="shared" si="14"/>
        <v>6.25E-2</v>
      </c>
      <c r="BB20">
        <f t="shared" si="14"/>
        <v>6.25E-2</v>
      </c>
      <c r="BC20">
        <f t="shared" si="14"/>
        <v>6.25E-2</v>
      </c>
      <c r="BD20">
        <f t="shared" si="14"/>
        <v>6.25E-2</v>
      </c>
      <c r="BE20">
        <f t="shared" si="14"/>
        <v>6.25E-2</v>
      </c>
      <c r="BF20">
        <f t="shared" si="14"/>
        <v>6.25E-2</v>
      </c>
      <c r="BG20">
        <f t="shared" si="14"/>
        <v>6.25E-2</v>
      </c>
      <c r="BH20">
        <f t="shared" si="14"/>
        <v>6.25E-2</v>
      </c>
      <c r="BI20">
        <f t="shared" si="14"/>
        <v>6.25E-2</v>
      </c>
      <c r="BJ20">
        <f t="shared" si="14"/>
        <v>6.25E-2</v>
      </c>
      <c r="BK20">
        <f t="shared" si="14"/>
        <v>6.25E-2</v>
      </c>
      <c r="BL20">
        <f t="shared" si="14"/>
        <v>6.25E-2</v>
      </c>
      <c r="BM20">
        <f t="shared" si="14"/>
        <v>6.25E-2</v>
      </c>
      <c r="BN20">
        <f t="shared" si="14"/>
        <v>6.25E-2</v>
      </c>
      <c r="BO20">
        <f t="shared" si="14"/>
        <v>6.25E-2</v>
      </c>
      <c r="BP20">
        <f t="shared" si="14"/>
        <v>6.25E-2</v>
      </c>
      <c r="BQ20">
        <f t="shared" si="13"/>
        <v>6.25E-2</v>
      </c>
      <c r="BR20">
        <f t="shared" si="13"/>
        <v>6.25E-2</v>
      </c>
      <c r="BS20">
        <f t="shared" si="13"/>
        <v>6.25E-2</v>
      </c>
      <c r="BT20">
        <f t="shared" si="13"/>
        <v>6.25E-2</v>
      </c>
      <c r="BU20">
        <f t="shared" si="13"/>
        <v>6.25E-2</v>
      </c>
      <c r="BV20">
        <f t="shared" si="13"/>
        <v>6.25E-2</v>
      </c>
      <c r="BW20">
        <f t="shared" si="13"/>
        <v>6.25E-2</v>
      </c>
      <c r="BX20">
        <f t="shared" si="13"/>
        <v>6.25E-2</v>
      </c>
      <c r="BY20">
        <f t="shared" si="13"/>
        <v>6.25E-2</v>
      </c>
      <c r="BZ20">
        <f t="shared" si="13"/>
        <v>6.25E-2</v>
      </c>
      <c r="CA20">
        <f t="shared" si="13"/>
        <v>6.25E-2</v>
      </c>
      <c r="CB20">
        <f t="shared" si="13"/>
        <v>6.25E-2</v>
      </c>
      <c r="CC20">
        <f t="shared" si="13"/>
        <v>6.25E-2</v>
      </c>
      <c r="CD20">
        <f t="shared" si="13"/>
        <v>6.25E-2</v>
      </c>
      <c r="CE20">
        <f t="shared" si="13"/>
        <v>6.25E-2</v>
      </c>
      <c r="CF20">
        <f t="shared" si="13"/>
        <v>6.25E-2</v>
      </c>
      <c r="CG20">
        <f t="shared" si="13"/>
        <v>6.25E-2</v>
      </c>
      <c r="CH20">
        <f t="shared" si="13"/>
        <v>6.25E-2</v>
      </c>
      <c r="CI20">
        <f t="shared" si="13"/>
        <v>6.25E-2</v>
      </c>
      <c r="CJ20">
        <f t="shared" si="13"/>
        <v>6.25E-2</v>
      </c>
      <c r="CK20">
        <f t="shared" si="13"/>
        <v>6.25E-2</v>
      </c>
      <c r="CL20">
        <f t="shared" si="13"/>
        <v>6.25E-2</v>
      </c>
      <c r="CM20">
        <f t="shared" si="13"/>
        <v>6.25E-2</v>
      </c>
      <c r="CN20">
        <f t="shared" si="13"/>
        <v>6.25E-2</v>
      </c>
      <c r="CO20">
        <f t="shared" si="13"/>
        <v>6.25E-2</v>
      </c>
    </row>
    <row r="21" spans="1:93" x14ac:dyDescent="0.25">
      <c r="A21" t="s">
        <v>32</v>
      </c>
      <c r="B21" t="s">
        <v>138</v>
      </c>
      <c r="C21">
        <f t="shared" si="4"/>
        <v>6.25E-2</v>
      </c>
      <c r="D21">
        <f t="shared" si="5"/>
        <v>6.25E-2</v>
      </c>
      <c r="E21">
        <f t="shared" si="14"/>
        <v>6.25E-2</v>
      </c>
      <c r="F21">
        <f t="shared" si="14"/>
        <v>6.25E-2</v>
      </c>
      <c r="G21">
        <f t="shared" si="14"/>
        <v>6.25E-2</v>
      </c>
      <c r="H21">
        <f t="shared" si="14"/>
        <v>6.25E-2</v>
      </c>
      <c r="I21">
        <f t="shared" si="14"/>
        <v>6.25E-2</v>
      </c>
      <c r="J21">
        <f t="shared" si="14"/>
        <v>6.25E-2</v>
      </c>
      <c r="K21">
        <f t="shared" si="14"/>
        <v>6.25E-2</v>
      </c>
      <c r="L21">
        <f t="shared" si="14"/>
        <v>6.25E-2</v>
      </c>
      <c r="M21">
        <f t="shared" si="14"/>
        <v>6.25E-2</v>
      </c>
      <c r="N21">
        <f t="shared" si="14"/>
        <v>6.25E-2</v>
      </c>
      <c r="O21">
        <f t="shared" si="14"/>
        <v>6.25E-2</v>
      </c>
      <c r="P21">
        <f t="shared" si="14"/>
        <v>6.25E-2</v>
      </c>
      <c r="Q21">
        <f t="shared" si="14"/>
        <v>6.25E-2</v>
      </c>
      <c r="R21">
        <f t="shared" si="14"/>
        <v>6.25E-2</v>
      </c>
      <c r="S21">
        <f t="shared" si="14"/>
        <v>6.25E-2</v>
      </c>
      <c r="T21">
        <f t="shared" si="14"/>
        <v>6.25E-2</v>
      </c>
      <c r="U21">
        <f t="shared" si="14"/>
        <v>6.25E-2</v>
      </c>
      <c r="V21">
        <f t="shared" si="14"/>
        <v>6.25E-2</v>
      </c>
      <c r="W21">
        <f t="shared" si="14"/>
        <v>6.25E-2</v>
      </c>
      <c r="X21">
        <f t="shared" si="14"/>
        <v>6.25E-2</v>
      </c>
      <c r="Y21">
        <f t="shared" si="14"/>
        <v>6.25E-2</v>
      </c>
      <c r="Z21">
        <f t="shared" si="14"/>
        <v>6.25E-2</v>
      </c>
      <c r="AA21">
        <f t="shared" si="14"/>
        <v>6.25E-2</v>
      </c>
      <c r="AB21">
        <f t="shared" si="14"/>
        <v>6.25E-2</v>
      </c>
      <c r="AC21">
        <f t="shared" si="14"/>
        <v>6.25E-2</v>
      </c>
      <c r="AD21">
        <f t="shared" si="14"/>
        <v>6.25E-2</v>
      </c>
      <c r="AE21">
        <f t="shared" si="14"/>
        <v>6.25E-2</v>
      </c>
      <c r="AF21">
        <f t="shared" si="14"/>
        <v>6.25E-2</v>
      </c>
      <c r="AG21">
        <f t="shared" si="14"/>
        <v>6.25E-2</v>
      </c>
      <c r="AH21">
        <f t="shared" si="14"/>
        <v>6.25E-2</v>
      </c>
      <c r="AI21">
        <f t="shared" si="14"/>
        <v>6.25E-2</v>
      </c>
      <c r="AJ21">
        <f t="shared" si="14"/>
        <v>6.25E-2</v>
      </c>
      <c r="AK21">
        <f t="shared" si="14"/>
        <v>6.25E-2</v>
      </c>
      <c r="AL21">
        <f t="shared" si="14"/>
        <v>6.25E-2</v>
      </c>
      <c r="AM21">
        <f t="shared" si="14"/>
        <v>6.25E-2</v>
      </c>
      <c r="AN21">
        <f t="shared" si="14"/>
        <v>6.25E-2</v>
      </c>
      <c r="AO21">
        <f t="shared" si="14"/>
        <v>6.25E-2</v>
      </c>
      <c r="AP21">
        <f t="shared" si="14"/>
        <v>6.25E-2</v>
      </c>
      <c r="AQ21">
        <f t="shared" si="14"/>
        <v>6.25E-2</v>
      </c>
      <c r="AR21">
        <f t="shared" si="14"/>
        <v>6.25E-2</v>
      </c>
      <c r="AS21">
        <f t="shared" si="14"/>
        <v>6.25E-2</v>
      </c>
      <c r="AT21">
        <f t="shared" si="14"/>
        <v>6.25E-2</v>
      </c>
      <c r="AU21">
        <f t="shared" si="14"/>
        <v>6.25E-2</v>
      </c>
      <c r="AV21">
        <f t="shared" si="14"/>
        <v>6.25E-2</v>
      </c>
      <c r="AW21">
        <f t="shared" si="14"/>
        <v>6.25E-2</v>
      </c>
      <c r="AX21">
        <f t="shared" si="14"/>
        <v>6.25E-2</v>
      </c>
      <c r="AY21">
        <f t="shared" si="14"/>
        <v>6.25E-2</v>
      </c>
      <c r="AZ21">
        <f t="shared" si="14"/>
        <v>6.25E-2</v>
      </c>
      <c r="BA21">
        <f t="shared" si="14"/>
        <v>6.25E-2</v>
      </c>
      <c r="BB21">
        <f t="shared" si="14"/>
        <v>6.25E-2</v>
      </c>
      <c r="BC21">
        <f t="shared" si="14"/>
        <v>6.25E-2</v>
      </c>
      <c r="BD21">
        <f t="shared" si="14"/>
        <v>6.25E-2</v>
      </c>
      <c r="BE21">
        <f t="shared" si="14"/>
        <v>6.25E-2</v>
      </c>
      <c r="BF21">
        <f t="shared" si="14"/>
        <v>6.25E-2</v>
      </c>
      <c r="BG21">
        <f t="shared" si="14"/>
        <v>6.25E-2</v>
      </c>
      <c r="BH21">
        <f t="shared" si="14"/>
        <v>6.25E-2</v>
      </c>
      <c r="BI21">
        <f t="shared" si="14"/>
        <v>6.25E-2</v>
      </c>
      <c r="BJ21">
        <f t="shared" si="14"/>
        <v>6.25E-2</v>
      </c>
      <c r="BK21">
        <f t="shared" si="14"/>
        <v>6.25E-2</v>
      </c>
      <c r="BL21">
        <f t="shared" si="14"/>
        <v>6.25E-2</v>
      </c>
      <c r="BM21">
        <f t="shared" si="14"/>
        <v>6.25E-2</v>
      </c>
      <c r="BN21">
        <f t="shared" si="14"/>
        <v>6.25E-2</v>
      </c>
      <c r="BO21">
        <f t="shared" si="14"/>
        <v>6.25E-2</v>
      </c>
      <c r="BP21">
        <f t="shared" si="14"/>
        <v>6.25E-2</v>
      </c>
      <c r="BQ21">
        <f t="shared" si="13"/>
        <v>6.25E-2</v>
      </c>
      <c r="BR21">
        <f t="shared" si="13"/>
        <v>6.25E-2</v>
      </c>
      <c r="BS21">
        <f t="shared" si="13"/>
        <v>6.25E-2</v>
      </c>
      <c r="BT21">
        <f t="shared" si="13"/>
        <v>6.25E-2</v>
      </c>
      <c r="BU21">
        <f t="shared" si="13"/>
        <v>6.25E-2</v>
      </c>
      <c r="BV21">
        <f t="shared" si="13"/>
        <v>6.25E-2</v>
      </c>
      <c r="BW21">
        <f t="shared" si="13"/>
        <v>6.25E-2</v>
      </c>
      <c r="BX21">
        <f t="shared" si="13"/>
        <v>6.25E-2</v>
      </c>
      <c r="BY21">
        <f t="shared" si="13"/>
        <v>6.25E-2</v>
      </c>
      <c r="BZ21">
        <f t="shared" si="13"/>
        <v>6.25E-2</v>
      </c>
      <c r="CA21">
        <f t="shared" si="13"/>
        <v>6.25E-2</v>
      </c>
      <c r="CB21">
        <f t="shared" si="13"/>
        <v>6.25E-2</v>
      </c>
      <c r="CC21">
        <f t="shared" si="13"/>
        <v>6.25E-2</v>
      </c>
      <c r="CD21">
        <f t="shared" si="13"/>
        <v>6.25E-2</v>
      </c>
      <c r="CE21">
        <f t="shared" si="13"/>
        <v>6.25E-2</v>
      </c>
      <c r="CF21">
        <f t="shared" si="13"/>
        <v>6.25E-2</v>
      </c>
      <c r="CG21">
        <f t="shared" si="13"/>
        <v>6.25E-2</v>
      </c>
      <c r="CH21">
        <f t="shared" si="13"/>
        <v>6.25E-2</v>
      </c>
      <c r="CI21">
        <f t="shared" si="13"/>
        <v>6.25E-2</v>
      </c>
      <c r="CJ21">
        <f t="shared" si="13"/>
        <v>6.25E-2</v>
      </c>
      <c r="CK21">
        <f t="shared" si="13"/>
        <v>6.25E-2</v>
      </c>
      <c r="CL21">
        <f t="shared" si="13"/>
        <v>6.25E-2</v>
      </c>
      <c r="CM21">
        <f t="shared" si="13"/>
        <v>6.25E-2</v>
      </c>
      <c r="CN21">
        <f t="shared" si="13"/>
        <v>6.25E-2</v>
      </c>
      <c r="CO21">
        <f t="shared" si="13"/>
        <v>6.25E-2</v>
      </c>
    </row>
    <row r="22" spans="1:93" x14ac:dyDescent="0.25">
      <c r="A22" t="s">
        <v>33</v>
      </c>
      <c r="B22" t="s">
        <v>138</v>
      </c>
      <c r="C22">
        <f t="shared" si="4"/>
        <v>6.25E-2</v>
      </c>
      <c r="D22">
        <f t="shared" si="5"/>
        <v>6.25E-2</v>
      </c>
      <c r="E22">
        <f t="shared" si="14"/>
        <v>6.25E-2</v>
      </c>
      <c r="F22">
        <f t="shared" si="14"/>
        <v>6.25E-2</v>
      </c>
      <c r="G22">
        <f t="shared" si="14"/>
        <v>6.25E-2</v>
      </c>
      <c r="H22">
        <f t="shared" si="14"/>
        <v>6.25E-2</v>
      </c>
      <c r="I22">
        <f t="shared" si="14"/>
        <v>6.25E-2</v>
      </c>
      <c r="J22">
        <f t="shared" si="14"/>
        <v>6.25E-2</v>
      </c>
      <c r="K22">
        <f t="shared" si="14"/>
        <v>6.25E-2</v>
      </c>
      <c r="L22">
        <f t="shared" si="14"/>
        <v>6.25E-2</v>
      </c>
      <c r="M22">
        <f t="shared" si="14"/>
        <v>6.25E-2</v>
      </c>
      <c r="N22">
        <f t="shared" si="14"/>
        <v>6.25E-2</v>
      </c>
      <c r="O22">
        <f t="shared" si="14"/>
        <v>6.25E-2</v>
      </c>
      <c r="P22">
        <f t="shared" si="14"/>
        <v>6.25E-2</v>
      </c>
      <c r="Q22">
        <f t="shared" si="14"/>
        <v>6.25E-2</v>
      </c>
      <c r="R22">
        <f t="shared" si="14"/>
        <v>6.25E-2</v>
      </c>
      <c r="S22">
        <f t="shared" si="14"/>
        <v>6.25E-2</v>
      </c>
      <c r="T22">
        <f t="shared" si="14"/>
        <v>6.25E-2</v>
      </c>
      <c r="U22">
        <f t="shared" si="14"/>
        <v>6.25E-2</v>
      </c>
      <c r="V22">
        <f t="shared" si="14"/>
        <v>6.25E-2</v>
      </c>
      <c r="W22">
        <f t="shared" si="14"/>
        <v>6.25E-2</v>
      </c>
      <c r="X22">
        <f t="shared" si="14"/>
        <v>6.25E-2</v>
      </c>
      <c r="Y22">
        <f t="shared" si="14"/>
        <v>6.25E-2</v>
      </c>
      <c r="Z22">
        <f t="shared" si="14"/>
        <v>6.25E-2</v>
      </c>
      <c r="AA22">
        <f t="shared" si="14"/>
        <v>6.25E-2</v>
      </c>
      <c r="AB22">
        <f t="shared" si="14"/>
        <v>6.25E-2</v>
      </c>
      <c r="AC22">
        <f t="shared" si="14"/>
        <v>6.25E-2</v>
      </c>
      <c r="AD22">
        <f t="shared" si="14"/>
        <v>6.25E-2</v>
      </c>
      <c r="AE22">
        <f t="shared" si="14"/>
        <v>6.25E-2</v>
      </c>
      <c r="AF22">
        <f t="shared" si="14"/>
        <v>6.25E-2</v>
      </c>
      <c r="AG22">
        <f t="shared" si="14"/>
        <v>6.25E-2</v>
      </c>
      <c r="AH22">
        <f t="shared" si="14"/>
        <v>6.25E-2</v>
      </c>
      <c r="AI22">
        <f t="shared" si="14"/>
        <v>6.25E-2</v>
      </c>
      <c r="AJ22">
        <f t="shared" si="14"/>
        <v>6.25E-2</v>
      </c>
      <c r="AK22">
        <f t="shared" si="14"/>
        <v>6.25E-2</v>
      </c>
      <c r="AL22">
        <f t="shared" si="14"/>
        <v>6.25E-2</v>
      </c>
      <c r="AM22">
        <f t="shared" si="14"/>
        <v>6.25E-2</v>
      </c>
      <c r="AN22">
        <f t="shared" si="14"/>
        <v>6.25E-2</v>
      </c>
      <c r="AO22">
        <f t="shared" si="14"/>
        <v>6.25E-2</v>
      </c>
      <c r="AP22">
        <f t="shared" si="14"/>
        <v>6.25E-2</v>
      </c>
      <c r="AQ22">
        <f t="shared" si="14"/>
        <v>6.25E-2</v>
      </c>
      <c r="AR22">
        <f t="shared" si="14"/>
        <v>6.25E-2</v>
      </c>
      <c r="AS22">
        <f t="shared" si="14"/>
        <v>6.25E-2</v>
      </c>
      <c r="AT22">
        <f t="shared" si="14"/>
        <v>6.25E-2</v>
      </c>
      <c r="AU22">
        <f t="shared" si="14"/>
        <v>6.25E-2</v>
      </c>
      <c r="AV22">
        <f t="shared" si="14"/>
        <v>6.25E-2</v>
      </c>
      <c r="AW22">
        <f t="shared" si="14"/>
        <v>6.25E-2</v>
      </c>
      <c r="AX22">
        <f t="shared" si="14"/>
        <v>6.25E-2</v>
      </c>
      <c r="AY22">
        <f t="shared" si="14"/>
        <v>6.25E-2</v>
      </c>
      <c r="AZ22">
        <f t="shared" si="14"/>
        <v>6.25E-2</v>
      </c>
      <c r="BA22">
        <f t="shared" si="14"/>
        <v>6.25E-2</v>
      </c>
      <c r="BB22">
        <f t="shared" si="14"/>
        <v>6.25E-2</v>
      </c>
      <c r="BC22">
        <f t="shared" si="14"/>
        <v>6.25E-2</v>
      </c>
      <c r="BD22">
        <f t="shared" si="14"/>
        <v>6.25E-2</v>
      </c>
      <c r="BE22">
        <f t="shared" si="14"/>
        <v>6.25E-2</v>
      </c>
      <c r="BF22">
        <f t="shared" si="14"/>
        <v>6.25E-2</v>
      </c>
      <c r="BG22">
        <f t="shared" si="14"/>
        <v>6.25E-2</v>
      </c>
      <c r="BH22">
        <f t="shared" si="14"/>
        <v>6.25E-2</v>
      </c>
      <c r="BI22">
        <f t="shared" si="14"/>
        <v>6.25E-2</v>
      </c>
      <c r="BJ22">
        <f t="shared" si="14"/>
        <v>6.25E-2</v>
      </c>
      <c r="BK22">
        <f t="shared" si="14"/>
        <v>6.25E-2</v>
      </c>
      <c r="BL22">
        <f t="shared" si="14"/>
        <v>6.25E-2</v>
      </c>
      <c r="BM22">
        <f t="shared" si="14"/>
        <v>6.25E-2</v>
      </c>
      <c r="BN22">
        <f t="shared" si="14"/>
        <v>6.25E-2</v>
      </c>
      <c r="BO22">
        <f t="shared" si="14"/>
        <v>6.25E-2</v>
      </c>
      <c r="BP22">
        <f t="shared" si="14"/>
        <v>6.25E-2</v>
      </c>
      <c r="BQ22">
        <f t="shared" si="13"/>
        <v>6.25E-2</v>
      </c>
      <c r="BR22">
        <f t="shared" si="13"/>
        <v>6.25E-2</v>
      </c>
      <c r="BS22">
        <f t="shared" si="13"/>
        <v>6.25E-2</v>
      </c>
      <c r="BT22">
        <f t="shared" si="13"/>
        <v>6.25E-2</v>
      </c>
      <c r="BU22">
        <f t="shared" si="13"/>
        <v>6.25E-2</v>
      </c>
      <c r="BV22">
        <f t="shared" si="13"/>
        <v>6.25E-2</v>
      </c>
      <c r="BW22">
        <f t="shared" si="13"/>
        <v>6.25E-2</v>
      </c>
      <c r="BX22">
        <f t="shared" si="13"/>
        <v>6.25E-2</v>
      </c>
      <c r="BY22">
        <f t="shared" si="13"/>
        <v>6.25E-2</v>
      </c>
      <c r="BZ22">
        <f t="shared" si="13"/>
        <v>6.25E-2</v>
      </c>
      <c r="CA22">
        <f t="shared" si="13"/>
        <v>6.25E-2</v>
      </c>
      <c r="CB22">
        <f t="shared" si="13"/>
        <v>6.25E-2</v>
      </c>
      <c r="CC22">
        <f t="shared" si="13"/>
        <v>6.25E-2</v>
      </c>
      <c r="CD22">
        <f t="shared" si="13"/>
        <v>6.25E-2</v>
      </c>
      <c r="CE22">
        <f t="shared" si="13"/>
        <v>6.25E-2</v>
      </c>
      <c r="CF22">
        <f t="shared" si="13"/>
        <v>6.25E-2</v>
      </c>
      <c r="CG22">
        <f t="shared" si="13"/>
        <v>6.25E-2</v>
      </c>
      <c r="CH22">
        <f t="shared" si="13"/>
        <v>6.25E-2</v>
      </c>
      <c r="CI22">
        <f t="shared" si="13"/>
        <v>6.25E-2</v>
      </c>
      <c r="CJ22">
        <f t="shared" si="13"/>
        <v>6.25E-2</v>
      </c>
      <c r="CK22">
        <f t="shared" si="13"/>
        <v>6.25E-2</v>
      </c>
      <c r="CL22">
        <f t="shared" si="13"/>
        <v>6.25E-2</v>
      </c>
      <c r="CM22">
        <f t="shared" si="13"/>
        <v>6.25E-2</v>
      </c>
      <c r="CN22">
        <f t="shared" si="13"/>
        <v>6.25E-2</v>
      </c>
      <c r="CO22">
        <f t="shared" si="13"/>
        <v>6.25E-2</v>
      </c>
    </row>
    <row r="23" spans="1:93" x14ac:dyDescent="0.25">
      <c r="A23" t="s">
        <v>34</v>
      </c>
      <c r="B23" t="s">
        <v>138</v>
      </c>
      <c r="C23">
        <f t="shared" si="4"/>
        <v>6.25E-2</v>
      </c>
      <c r="D23">
        <f t="shared" si="5"/>
        <v>6.25E-2</v>
      </c>
      <c r="E23">
        <f t="shared" si="14"/>
        <v>6.25E-2</v>
      </c>
      <c r="F23">
        <f t="shared" si="14"/>
        <v>6.25E-2</v>
      </c>
      <c r="G23">
        <f t="shared" si="14"/>
        <v>6.25E-2</v>
      </c>
      <c r="H23">
        <f t="shared" si="14"/>
        <v>6.25E-2</v>
      </c>
      <c r="I23">
        <f t="shared" si="14"/>
        <v>6.25E-2</v>
      </c>
      <c r="J23">
        <f t="shared" si="14"/>
        <v>6.25E-2</v>
      </c>
      <c r="K23">
        <f t="shared" si="14"/>
        <v>6.25E-2</v>
      </c>
      <c r="L23">
        <f t="shared" si="14"/>
        <v>6.25E-2</v>
      </c>
      <c r="M23">
        <f t="shared" si="14"/>
        <v>6.25E-2</v>
      </c>
      <c r="N23">
        <f t="shared" si="14"/>
        <v>6.25E-2</v>
      </c>
      <c r="O23">
        <f t="shared" si="14"/>
        <v>6.25E-2</v>
      </c>
      <c r="P23">
        <f t="shared" si="14"/>
        <v>6.25E-2</v>
      </c>
      <c r="Q23">
        <f t="shared" si="14"/>
        <v>6.25E-2</v>
      </c>
      <c r="R23">
        <f t="shared" si="14"/>
        <v>6.25E-2</v>
      </c>
      <c r="S23">
        <f t="shared" si="14"/>
        <v>6.25E-2</v>
      </c>
      <c r="T23">
        <f t="shared" si="14"/>
        <v>6.25E-2</v>
      </c>
      <c r="U23">
        <f t="shared" si="14"/>
        <v>6.25E-2</v>
      </c>
      <c r="V23">
        <f t="shared" si="14"/>
        <v>6.25E-2</v>
      </c>
      <c r="W23">
        <f t="shared" si="14"/>
        <v>6.25E-2</v>
      </c>
      <c r="X23">
        <f t="shared" si="14"/>
        <v>6.25E-2</v>
      </c>
      <c r="Y23">
        <f t="shared" si="14"/>
        <v>6.25E-2</v>
      </c>
      <c r="Z23">
        <f t="shared" si="14"/>
        <v>6.25E-2</v>
      </c>
      <c r="AA23">
        <f t="shared" si="14"/>
        <v>6.25E-2</v>
      </c>
      <c r="AB23">
        <f t="shared" si="14"/>
        <v>6.25E-2</v>
      </c>
      <c r="AC23">
        <f t="shared" si="14"/>
        <v>6.25E-2</v>
      </c>
      <c r="AD23">
        <f t="shared" si="14"/>
        <v>6.25E-2</v>
      </c>
      <c r="AE23">
        <f t="shared" si="14"/>
        <v>6.25E-2</v>
      </c>
      <c r="AF23">
        <f t="shared" si="14"/>
        <v>6.25E-2</v>
      </c>
      <c r="AG23">
        <f t="shared" si="14"/>
        <v>6.25E-2</v>
      </c>
      <c r="AH23">
        <f t="shared" si="14"/>
        <v>6.25E-2</v>
      </c>
      <c r="AI23">
        <f t="shared" si="14"/>
        <v>6.25E-2</v>
      </c>
      <c r="AJ23">
        <f t="shared" si="14"/>
        <v>6.25E-2</v>
      </c>
      <c r="AK23">
        <f t="shared" si="14"/>
        <v>6.25E-2</v>
      </c>
      <c r="AL23">
        <f t="shared" si="14"/>
        <v>6.25E-2</v>
      </c>
      <c r="AM23">
        <f t="shared" si="14"/>
        <v>6.25E-2</v>
      </c>
      <c r="AN23">
        <f t="shared" si="14"/>
        <v>6.25E-2</v>
      </c>
      <c r="AO23">
        <f t="shared" si="14"/>
        <v>6.25E-2</v>
      </c>
      <c r="AP23">
        <f t="shared" si="14"/>
        <v>6.25E-2</v>
      </c>
      <c r="AQ23">
        <f t="shared" si="14"/>
        <v>6.25E-2</v>
      </c>
      <c r="AR23">
        <f t="shared" si="14"/>
        <v>6.25E-2</v>
      </c>
      <c r="AS23">
        <f t="shared" si="14"/>
        <v>6.25E-2</v>
      </c>
      <c r="AT23">
        <f t="shared" si="14"/>
        <v>6.25E-2</v>
      </c>
      <c r="AU23">
        <f t="shared" si="14"/>
        <v>6.25E-2</v>
      </c>
      <c r="AV23">
        <f t="shared" si="14"/>
        <v>6.25E-2</v>
      </c>
      <c r="AW23">
        <f t="shared" si="14"/>
        <v>6.25E-2</v>
      </c>
      <c r="AX23">
        <f t="shared" si="14"/>
        <v>6.25E-2</v>
      </c>
      <c r="AY23">
        <f t="shared" si="14"/>
        <v>6.25E-2</v>
      </c>
      <c r="AZ23">
        <f t="shared" si="14"/>
        <v>6.25E-2</v>
      </c>
      <c r="BA23">
        <f t="shared" si="14"/>
        <v>6.25E-2</v>
      </c>
      <c r="BB23">
        <f t="shared" si="14"/>
        <v>6.25E-2</v>
      </c>
      <c r="BC23">
        <f t="shared" si="14"/>
        <v>6.25E-2</v>
      </c>
      <c r="BD23">
        <f t="shared" si="14"/>
        <v>6.25E-2</v>
      </c>
      <c r="BE23">
        <f t="shared" si="14"/>
        <v>6.25E-2</v>
      </c>
      <c r="BF23">
        <f t="shared" si="14"/>
        <v>6.25E-2</v>
      </c>
      <c r="BG23">
        <f t="shared" si="14"/>
        <v>6.25E-2</v>
      </c>
      <c r="BH23">
        <f t="shared" si="14"/>
        <v>6.25E-2</v>
      </c>
      <c r="BI23">
        <f t="shared" si="14"/>
        <v>6.25E-2</v>
      </c>
      <c r="BJ23">
        <f t="shared" si="14"/>
        <v>6.25E-2</v>
      </c>
      <c r="BK23">
        <f t="shared" si="14"/>
        <v>6.25E-2</v>
      </c>
      <c r="BL23">
        <f t="shared" si="14"/>
        <v>6.25E-2</v>
      </c>
      <c r="BM23">
        <f t="shared" si="14"/>
        <v>6.25E-2</v>
      </c>
      <c r="BN23">
        <f t="shared" si="14"/>
        <v>6.25E-2</v>
      </c>
      <c r="BO23">
        <f t="shared" si="14"/>
        <v>6.25E-2</v>
      </c>
      <c r="BP23">
        <f t="shared" ref="BP23:CO23" si="15">BO23</f>
        <v>6.25E-2</v>
      </c>
      <c r="BQ23">
        <f t="shared" si="15"/>
        <v>6.25E-2</v>
      </c>
      <c r="BR23">
        <f t="shared" si="15"/>
        <v>6.25E-2</v>
      </c>
      <c r="BS23">
        <f t="shared" si="15"/>
        <v>6.25E-2</v>
      </c>
      <c r="BT23">
        <f t="shared" si="15"/>
        <v>6.25E-2</v>
      </c>
      <c r="BU23">
        <f t="shared" si="15"/>
        <v>6.25E-2</v>
      </c>
      <c r="BV23">
        <f t="shared" si="15"/>
        <v>6.25E-2</v>
      </c>
      <c r="BW23">
        <f t="shared" si="15"/>
        <v>6.25E-2</v>
      </c>
      <c r="BX23">
        <f t="shared" si="15"/>
        <v>6.25E-2</v>
      </c>
      <c r="BY23">
        <f t="shared" si="15"/>
        <v>6.25E-2</v>
      </c>
      <c r="BZ23">
        <f t="shared" si="15"/>
        <v>6.25E-2</v>
      </c>
      <c r="CA23">
        <f t="shared" si="15"/>
        <v>6.25E-2</v>
      </c>
      <c r="CB23">
        <f t="shared" si="15"/>
        <v>6.25E-2</v>
      </c>
      <c r="CC23">
        <f t="shared" si="15"/>
        <v>6.25E-2</v>
      </c>
      <c r="CD23">
        <f t="shared" si="15"/>
        <v>6.25E-2</v>
      </c>
      <c r="CE23">
        <f t="shared" si="15"/>
        <v>6.25E-2</v>
      </c>
      <c r="CF23">
        <f t="shared" si="15"/>
        <v>6.25E-2</v>
      </c>
      <c r="CG23">
        <f t="shared" si="15"/>
        <v>6.25E-2</v>
      </c>
      <c r="CH23">
        <f t="shared" si="15"/>
        <v>6.25E-2</v>
      </c>
      <c r="CI23">
        <f t="shared" si="15"/>
        <v>6.25E-2</v>
      </c>
      <c r="CJ23">
        <f t="shared" si="15"/>
        <v>6.25E-2</v>
      </c>
      <c r="CK23">
        <f t="shared" si="15"/>
        <v>6.25E-2</v>
      </c>
      <c r="CL23">
        <f t="shared" si="15"/>
        <v>6.25E-2</v>
      </c>
      <c r="CM23">
        <f t="shared" si="15"/>
        <v>6.25E-2</v>
      </c>
      <c r="CN23">
        <f t="shared" si="15"/>
        <v>6.25E-2</v>
      </c>
      <c r="CO23">
        <f t="shared" si="15"/>
        <v>6.25E-2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88EA9-B4CA-40BD-81B3-31D68C122409}">
  <sheetPr codeName="Sheet14"/>
  <dimension ref="A1:CN10"/>
  <sheetViews>
    <sheetView workbookViewId="0">
      <selection activeCell="C8" sqref="C8"/>
    </sheetView>
  </sheetViews>
  <sheetFormatPr defaultRowHeight="15" x14ac:dyDescent="0.25"/>
  <sheetData>
    <row r="1" spans="1:92" x14ac:dyDescent="0.25">
      <c r="A1" t="s">
        <v>571</v>
      </c>
      <c r="B1">
        <v>2010</v>
      </c>
      <c r="C1">
        <f>B1+1</f>
        <v>2011</v>
      </c>
      <c r="D1">
        <f t="shared" ref="D1:BO1" si="0">C1+1</f>
        <v>2012</v>
      </c>
      <c r="E1">
        <f t="shared" si="0"/>
        <v>2013</v>
      </c>
      <c r="F1">
        <f t="shared" si="0"/>
        <v>2014</v>
      </c>
      <c r="G1">
        <f t="shared" si="0"/>
        <v>2015</v>
      </c>
      <c r="H1">
        <f t="shared" si="0"/>
        <v>2016</v>
      </c>
      <c r="I1">
        <f t="shared" si="0"/>
        <v>2017</v>
      </c>
      <c r="J1">
        <f t="shared" si="0"/>
        <v>2018</v>
      </c>
      <c r="K1">
        <f t="shared" si="0"/>
        <v>2019</v>
      </c>
      <c r="L1">
        <f t="shared" si="0"/>
        <v>2020</v>
      </c>
      <c r="M1">
        <f t="shared" si="0"/>
        <v>2021</v>
      </c>
      <c r="N1">
        <f t="shared" si="0"/>
        <v>2022</v>
      </c>
      <c r="O1">
        <f t="shared" si="0"/>
        <v>2023</v>
      </c>
      <c r="P1">
        <f t="shared" si="0"/>
        <v>2024</v>
      </c>
      <c r="Q1">
        <f t="shared" si="0"/>
        <v>2025</v>
      </c>
      <c r="R1">
        <f t="shared" si="0"/>
        <v>2026</v>
      </c>
      <c r="S1">
        <f t="shared" si="0"/>
        <v>2027</v>
      </c>
      <c r="T1">
        <f t="shared" si="0"/>
        <v>2028</v>
      </c>
      <c r="U1">
        <f t="shared" si="0"/>
        <v>2029</v>
      </c>
      <c r="V1">
        <f t="shared" si="0"/>
        <v>2030</v>
      </c>
      <c r="W1">
        <f t="shared" si="0"/>
        <v>2031</v>
      </c>
      <c r="X1">
        <f t="shared" si="0"/>
        <v>2032</v>
      </c>
      <c r="Y1">
        <f t="shared" si="0"/>
        <v>2033</v>
      </c>
      <c r="Z1">
        <f t="shared" si="0"/>
        <v>2034</v>
      </c>
      <c r="AA1">
        <f t="shared" si="0"/>
        <v>2035</v>
      </c>
      <c r="AB1">
        <f t="shared" si="0"/>
        <v>2036</v>
      </c>
      <c r="AC1">
        <f t="shared" si="0"/>
        <v>2037</v>
      </c>
      <c r="AD1">
        <f t="shared" si="0"/>
        <v>2038</v>
      </c>
      <c r="AE1">
        <f t="shared" si="0"/>
        <v>2039</v>
      </c>
      <c r="AF1">
        <f t="shared" si="0"/>
        <v>2040</v>
      </c>
      <c r="AG1">
        <f t="shared" si="0"/>
        <v>2041</v>
      </c>
      <c r="AH1">
        <f t="shared" si="0"/>
        <v>2042</v>
      </c>
      <c r="AI1">
        <f t="shared" si="0"/>
        <v>2043</v>
      </c>
      <c r="AJ1">
        <f t="shared" si="0"/>
        <v>2044</v>
      </c>
      <c r="AK1">
        <f t="shared" si="0"/>
        <v>2045</v>
      </c>
      <c r="AL1">
        <f t="shared" si="0"/>
        <v>2046</v>
      </c>
      <c r="AM1">
        <f t="shared" si="0"/>
        <v>2047</v>
      </c>
      <c r="AN1">
        <f t="shared" si="0"/>
        <v>2048</v>
      </c>
      <c r="AO1">
        <f t="shared" si="0"/>
        <v>2049</v>
      </c>
      <c r="AP1">
        <f t="shared" si="0"/>
        <v>2050</v>
      </c>
      <c r="AQ1">
        <f t="shared" si="0"/>
        <v>2051</v>
      </c>
      <c r="AR1">
        <f t="shared" si="0"/>
        <v>2052</v>
      </c>
      <c r="AS1">
        <f t="shared" si="0"/>
        <v>2053</v>
      </c>
      <c r="AT1">
        <f t="shared" si="0"/>
        <v>2054</v>
      </c>
      <c r="AU1">
        <f t="shared" si="0"/>
        <v>2055</v>
      </c>
      <c r="AV1">
        <f t="shared" si="0"/>
        <v>2056</v>
      </c>
      <c r="AW1">
        <f t="shared" si="0"/>
        <v>2057</v>
      </c>
      <c r="AX1">
        <f t="shared" si="0"/>
        <v>2058</v>
      </c>
      <c r="AY1">
        <f t="shared" si="0"/>
        <v>2059</v>
      </c>
      <c r="AZ1">
        <f t="shared" si="0"/>
        <v>2060</v>
      </c>
      <c r="BA1">
        <f t="shared" si="0"/>
        <v>2061</v>
      </c>
      <c r="BB1">
        <f t="shared" si="0"/>
        <v>2062</v>
      </c>
      <c r="BC1">
        <f t="shared" si="0"/>
        <v>2063</v>
      </c>
      <c r="BD1">
        <f t="shared" si="0"/>
        <v>2064</v>
      </c>
      <c r="BE1">
        <f t="shared" si="0"/>
        <v>2065</v>
      </c>
      <c r="BF1">
        <f t="shared" si="0"/>
        <v>2066</v>
      </c>
      <c r="BG1">
        <f t="shared" si="0"/>
        <v>2067</v>
      </c>
      <c r="BH1">
        <f t="shared" si="0"/>
        <v>2068</v>
      </c>
      <c r="BI1">
        <f t="shared" si="0"/>
        <v>2069</v>
      </c>
      <c r="BJ1">
        <f t="shared" si="0"/>
        <v>2070</v>
      </c>
      <c r="BK1">
        <f t="shared" si="0"/>
        <v>2071</v>
      </c>
      <c r="BL1">
        <f t="shared" si="0"/>
        <v>2072</v>
      </c>
      <c r="BM1">
        <f t="shared" si="0"/>
        <v>2073</v>
      </c>
      <c r="BN1">
        <f t="shared" si="0"/>
        <v>2074</v>
      </c>
      <c r="BO1">
        <f t="shared" si="0"/>
        <v>2075</v>
      </c>
      <c r="BP1">
        <f t="shared" ref="BP1:CN1" si="1">BO1+1</f>
        <v>2076</v>
      </c>
      <c r="BQ1">
        <f t="shared" si="1"/>
        <v>2077</v>
      </c>
      <c r="BR1">
        <f t="shared" si="1"/>
        <v>2078</v>
      </c>
      <c r="BS1">
        <f t="shared" si="1"/>
        <v>2079</v>
      </c>
      <c r="BT1">
        <f t="shared" si="1"/>
        <v>2080</v>
      </c>
      <c r="BU1">
        <f t="shared" si="1"/>
        <v>2081</v>
      </c>
      <c r="BV1">
        <f t="shared" si="1"/>
        <v>2082</v>
      </c>
      <c r="BW1">
        <f t="shared" si="1"/>
        <v>2083</v>
      </c>
      <c r="BX1">
        <f t="shared" si="1"/>
        <v>2084</v>
      </c>
      <c r="BY1">
        <f t="shared" si="1"/>
        <v>2085</v>
      </c>
      <c r="BZ1">
        <f t="shared" si="1"/>
        <v>2086</v>
      </c>
      <c r="CA1">
        <f t="shared" si="1"/>
        <v>2087</v>
      </c>
      <c r="CB1">
        <f t="shared" si="1"/>
        <v>2088</v>
      </c>
      <c r="CC1">
        <f t="shared" si="1"/>
        <v>2089</v>
      </c>
      <c r="CD1">
        <f t="shared" si="1"/>
        <v>2090</v>
      </c>
      <c r="CE1">
        <f t="shared" si="1"/>
        <v>2091</v>
      </c>
      <c r="CF1">
        <f t="shared" si="1"/>
        <v>2092</v>
      </c>
      <c r="CG1">
        <f t="shared" si="1"/>
        <v>2093</v>
      </c>
      <c r="CH1">
        <f t="shared" si="1"/>
        <v>2094</v>
      </c>
      <c r="CI1">
        <f t="shared" si="1"/>
        <v>2095</v>
      </c>
      <c r="CJ1">
        <f t="shared" si="1"/>
        <v>2096</v>
      </c>
      <c r="CK1">
        <f t="shared" si="1"/>
        <v>2097</v>
      </c>
      <c r="CL1">
        <f t="shared" si="1"/>
        <v>2098</v>
      </c>
      <c r="CM1">
        <f t="shared" si="1"/>
        <v>2099</v>
      </c>
      <c r="CN1">
        <f t="shared" si="1"/>
        <v>2100</v>
      </c>
    </row>
    <row r="2" spans="1:92" x14ac:dyDescent="0.25">
      <c r="A2" t="s">
        <v>35</v>
      </c>
      <c r="B2">
        <f>B8/B$6</f>
        <v>1</v>
      </c>
      <c r="C2">
        <f>C8/C$6</f>
        <v>0.97560975609756106</v>
      </c>
      <c r="D2">
        <f>D8/D$6</f>
        <v>0.95238095238095233</v>
      </c>
      <c r="E2">
        <f>E8/E$6</f>
        <v>0.93023255813953487</v>
      </c>
      <c r="F2">
        <f>F8/F$6</f>
        <v>0.90909090909090906</v>
      </c>
      <c r="G2">
        <f>G8/G$6</f>
        <v>0.88888888888888884</v>
      </c>
      <c r="H2">
        <f>H8/H$6</f>
        <v>0.86956521739130443</v>
      </c>
      <c r="I2">
        <f>I8/I$6</f>
        <v>0.85106382978723405</v>
      </c>
      <c r="J2">
        <f>J8/J$6</f>
        <v>0.83333333333333337</v>
      </c>
      <c r="K2">
        <f>K8/K$6</f>
        <v>0.81632653061224481</v>
      </c>
      <c r="L2">
        <f>L8/L$6</f>
        <v>0.8</v>
      </c>
      <c r="M2">
        <f>M8/M$6</f>
        <v>0.78431372549019618</v>
      </c>
      <c r="N2">
        <f>N8/N$6</f>
        <v>0.76923076923076916</v>
      </c>
      <c r="O2">
        <f>O8/O$6</f>
        <v>0.75471698113207553</v>
      </c>
      <c r="P2">
        <f>P8/P$6</f>
        <v>0.72727272727272729</v>
      </c>
      <c r="Q2">
        <f>Q8/Q$6</f>
        <v>0.70175438596491224</v>
      </c>
      <c r="R2">
        <f>R8/R$6</f>
        <v>0.67796610169491522</v>
      </c>
      <c r="S2">
        <f>S8/S$6</f>
        <v>0.65573770491803274</v>
      </c>
      <c r="T2">
        <f>T8/T$6</f>
        <v>0.63492063492063489</v>
      </c>
      <c r="U2">
        <f>U8/U$6</f>
        <v>0.61538461538461542</v>
      </c>
      <c r="V2">
        <f>V8/V$6</f>
        <v>0.59701492537313428</v>
      </c>
      <c r="W2">
        <f>W8/W$6</f>
        <v>0.56716417910447758</v>
      </c>
      <c r="X2">
        <f>X8/X$6</f>
        <v>0.53731343283582078</v>
      </c>
      <c r="Y2">
        <f>Y8/Y$6</f>
        <v>0.50746268656716409</v>
      </c>
      <c r="Z2">
        <f>Z8/Z$6</f>
        <v>0.4776119402985074</v>
      </c>
      <c r="AA2">
        <f>AA8/AA$6</f>
        <v>0.4477611940298506</v>
      </c>
      <c r="AB2">
        <f>AB8/AB$6</f>
        <v>0.41791044776119385</v>
      </c>
      <c r="AC2">
        <f>AC8/AC$6</f>
        <v>0.3880597014925371</v>
      </c>
      <c r="AD2">
        <f>AD8/AD$6</f>
        <v>0.35820895522388041</v>
      </c>
      <c r="AE2">
        <f>AE8/AE$6</f>
        <v>0.32835820895522361</v>
      </c>
      <c r="AF2">
        <f>AF8/AF$6</f>
        <v>0.29850746268656692</v>
      </c>
      <c r="AG2">
        <f>AG8/AG$6</f>
        <v>0.26865671641791017</v>
      </c>
      <c r="AH2">
        <f>AH8/AH$6</f>
        <v>0.2388059701492535</v>
      </c>
      <c r="AI2">
        <f>AI8/AI$6</f>
        <v>0.20895522388059676</v>
      </c>
      <c r="AJ2">
        <f>AJ8/AJ$6</f>
        <v>0.17910447761194007</v>
      </c>
      <c r="AK2">
        <f>AK8/AK$6</f>
        <v>0.14925373134328335</v>
      </c>
      <c r="AL2">
        <f>AL8/AL$6</f>
        <v>0.11940298507462666</v>
      </c>
      <c r="AM2">
        <f>AM8/AM$6</f>
        <v>0.11594202898550703</v>
      </c>
      <c r="AN2">
        <f>AN8/AN$6</f>
        <v>0.11267605633802796</v>
      </c>
      <c r="AO2">
        <f>AO8/AO$6</f>
        <v>0.1095890410958902</v>
      </c>
      <c r="AP2">
        <f>AP8/AP$6</f>
        <v>0.10666666666666647</v>
      </c>
      <c r="AQ2">
        <f>AQ8/AQ$6</f>
        <v>0.10389610389610371</v>
      </c>
      <c r="AR2">
        <f>AR8/AR$6</f>
        <v>0.10126582278480994</v>
      </c>
      <c r="AS2">
        <f>AS8/AS$6</f>
        <v>9.876543209876526E-2</v>
      </c>
      <c r="AT2">
        <f>AT8/AT$6</f>
        <v>9.6385542168674537E-2</v>
      </c>
      <c r="AU2">
        <f>AU8/AU$6</f>
        <v>9.4117647058823375E-2</v>
      </c>
      <c r="AV2">
        <f>AV8/AV$6</f>
        <v>9.1954022988505607E-2</v>
      </c>
      <c r="AW2">
        <f>AW8/AW$6</f>
        <v>8.9887640449438047E-2</v>
      </c>
      <c r="AX2">
        <f>AX8/AX$6</f>
        <v>8.791208791208778E-2</v>
      </c>
      <c r="AY2">
        <f>AY8/AY$6</f>
        <v>8.6021505376343954E-2</v>
      </c>
      <c r="AZ2">
        <f>AZ8/AZ$6</f>
        <v>8.4210526315789333E-2</v>
      </c>
      <c r="BA2">
        <f>BA8/BA$6</f>
        <v>8.2474226804123585E-2</v>
      </c>
      <c r="BB2">
        <f>BB8/BB$6</f>
        <v>8.080808080808069E-2</v>
      </c>
      <c r="BC2">
        <f>BC8/BC$6</f>
        <v>7.9207920792079098E-2</v>
      </c>
      <c r="BD2">
        <f>BD8/BD$6</f>
        <v>7.7669902912621255E-2</v>
      </c>
      <c r="BE2">
        <f>BE8/BE$6</f>
        <v>7.61904761904761E-2</v>
      </c>
      <c r="BF2">
        <f>BF8/BF$6</f>
        <v>7.4766355140186827E-2</v>
      </c>
      <c r="BG2">
        <f>BG8/BG$6</f>
        <v>7.3394495412843958E-2</v>
      </c>
      <c r="BH2">
        <f>BH8/BH$6</f>
        <v>7.2072072072071988E-2</v>
      </c>
      <c r="BI2">
        <f>BI8/BI$6</f>
        <v>7.079646017699108E-2</v>
      </c>
      <c r="BJ2">
        <f>BJ8/BJ$6</f>
        <v>6.9565217391304279E-2</v>
      </c>
      <c r="BK2">
        <f>BK8/BK$6</f>
        <v>6.8376068376068314E-2</v>
      </c>
      <c r="BL2">
        <f>BL8/BL$6</f>
        <v>6.7226890756302463E-2</v>
      </c>
      <c r="BM2">
        <f>BM8/BM$6</f>
        <v>6.6115702479338789E-2</v>
      </c>
      <c r="BN2">
        <f>BN8/BN$6</f>
        <v>6.5040650406504016E-2</v>
      </c>
      <c r="BO2">
        <f>BO8/BO$6</f>
        <v>6.3999999999999946E-2</v>
      </c>
      <c r="BP2">
        <f>BP8/BP$6</f>
        <v>6.2992125984251926E-2</v>
      </c>
      <c r="BQ2">
        <f>BQ8/BQ$6</f>
        <v>6.201550387596895E-2</v>
      </c>
      <c r="BR2">
        <f>BR8/BR$6</f>
        <v>6.1068702290076299E-2</v>
      </c>
      <c r="BS2">
        <f>BS8/BS$6</f>
        <v>6.0150375939849586E-2</v>
      </c>
      <c r="BT2">
        <f>BT8/BT$6</f>
        <v>5.9259259259259227E-2</v>
      </c>
      <c r="BU2">
        <f>BU8/BU$6</f>
        <v>5.8394160583941576E-2</v>
      </c>
      <c r="BV2">
        <f>BV8/BV$6</f>
        <v>5.7553956834532349E-2</v>
      </c>
      <c r="BW2">
        <f>BW8/BW$6</f>
        <v>5.6737588652482247E-2</v>
      </c>
      <c r="BX2">
        <f>BX8/BX$6</f>
        <v>5.5944055944055923E-2</v>
      </c>
      <c r="BY2">
        <f>BY8/BY$6</f>
        <v>5.5172413793103427E-2</v>
      </c>
      <c r="BZ2">
        <f>BZ8/BZ$6</f>
        <v>5.4421768707482977E-2</v>
      </c>
      <c r="CA2">
        <f>CA8/CA$6</f>
        <v>5.369127516778522E-2</v>
      </c>
      <c r="CB2">
        <f>CB8/CB$6</f>
        <v>5.2980132450331112E-2</v>
      </c>
      <c r="CC2">
        <f>CC8/CC$6</f>
        <v>5.2287581699346393E-2</v>
      </c>
      <c r="CD2">
        <f>CD8/CD$6</f>
        <v>5.1612903225806438E-2</v>
      </c>
      <c r="CE2">
        <f>CE8/CE$6</f>
        <v>5.0955414012738842E-2</v>
      </c>
      <c r="CF2">
        <f>CF8/CF$6</f>
        <v>5.031446540880502E-2</v>
      </c>
      <c r="CG2">
        <f>CG8/CG$6</f>
        <v>4.968944099378881E-2</v>
      </c>
      <c r="CH2">
        <f>CH8/CH$6</f>
        <v>4.9079754601226988E-2</v>
      </c>
      <c r="CI2">
        <f>CI8/CI$6</f>
        <v>4.8484848484848478E-2</v>
      </c>
      <c r="CJ2">
        <f>CJ8/CJ$6</f>
        <v>4.7904191616766463E-2</v>
      </c>
      <c r="CK2">
        <f>CK8/CK$6</f>
        <v>4.7337278106508875E-2</v>
      </c>
      <c r="CL2">
        <f>CL8/CL$6</f>
        <v>4.6783625730994149E-2</v>
      </c>
      <c r="CM2">
        <f>CM8/CM$6</f>
        <v>4.6242774566473986E-2</v>
      </c>
      <c r="CN2">
        <f>CN8/CN$6</f>
        <v>4.5714285714285714E-2</v>
      </c>
    </row>
    <row r="3" spans="1:92" x14ac:dyDescent="0.25">
      <c r="A3" t="s">
        <v>36</v>
      </c>
      <c r="B3">
        <f>B9/B$6</f>
        <v>0</v>
      </c>
      <c r="C3">
        <f>C9/C$6</f>
        <v>2.4390243902439029E-2</v>
      </c>
      <c r="D3">
        <f>D9/D$6</f>
        <v>4.7619047619047616E-2</v>
      </c>
      <c r="E3">
        <f>E9/E$6</f>
        <v>6.9767441860465129E-2</v>
      </c>
      <c r="F3">
        <f>F9/F$6</f>
        <v>9.0909090909090912E-2</v>
      </c>
      <c r="G3">
        <f>G9/G$6</f>
        <v>0.1111111111111111</v>
      </c>
      <c r="H3">
        <f>H9/H$6</f>
        <v>0.13043478260869565</v>
      </c>
      <c r="I3">
        <f>I9/I$6</f>
        <v>0.14893617021276595</v>
      </c>
      <c r="J3">
        <f>J9/J$6</f>
        <v>0.16666666666666666</v>
      </c>
      <c r="K3">
        <f>K9/K$6</f>
        <v>0.18367346938775508</v>
      </c>
      <c r="L3">
        <f>L9/L$6</f>
        <v>0.19999999999999998</v>
      </c>
      <c r="M3">
        <f>M9/M$6</f>
        <v>0.2156862745098039</v>
      </c>
      <c r="N3">
        <f>N9/N$6</f>
        <v>0.23076923076923075</v>
      </c>
      <c r="O3">
        <f>O9/O$6</f>
        <v>0.24528301886792456</v>
      </c>
      <c r="P3">
        <f>P9/P$6</f>
        <v>0.25454545454545457</v>
      </c>
      <c r="Q3">
        <f>Q9/Q$6</f>
        <v>0.26315789473684215</v>
      </c>
      <c r="R3">
        <f>R9/R$6</f>
        <v>0.27118644067796616</v>
      </c>
      <c r="S3">
        <f>S9/S$6</f>
        <v>0.27868852459016397</v>
      </c>
      <c r="T3">
        <f>T9/T$6</f>
        <v>0.28571428571428575</v>
      </c>
      <c r="U3">
        <f>U9/U$6</f>
        <v>0.29230769230769238</v>
      </c>
      <c r="V3">
        <f>V9/V$6</f>
        <v>0.29850746268656725</v>
      </c>
      <c r="W3">
        <f>W9/W$6</f>
        <v>0.31343283582089559</v>
      </c>
      <c r="X3">
        <f>X9/X$6</f>
        <v>0.32835820895522394</v>
      </c>
      <c r="Y3">
        <f>Y9/Y$6</f>
        <v>0.34328358208955234</v>
      </c>
      <c r="Z3">
        <f>Z9/Z$6</f>
        <v>0.35820895522388074</v>
      </c>
      <c r="AA3">
        <f>AA9/AA$6</f>
        <v>0.37313432835820909</v>
      </c>
      <c r="AB3">
        <f>AB9/AB$6</f>
        <v>0.38805970149253743</v>
      </c>
      <c r="AC3">
        <f>AC9/AC$6</f>
        <v>0.40298507462686584</v>
      </c>
      <c r="AD3">
        <f>AD9/AD$6</f>
        <v>0.41791044776119424</v>
      </c>
      <c r="AE3">
        <f>AE9/AE$6</f>
        <v>0.43283582089552258</v>
      </c>
      <c r="AF3">
        <f>AF9/AF$6</f>
        <v>0.44776119402985093</v>
      </c>
      <c r="AG3">
        <f>AG9/AG$6</f>
        <v>0.46268656716417922</v>
      </c>
      <c r="AH3">
        <f>AH9/AH$6</f>
        <v>0.47761194029850768</v>
      </c>
      <c r="AI3">
        <f>AI9/AI$6</f>
        <v>0.49253731343283597</v>
      </c>
      <c r="AJ3">
        <f>AJ9/AJ$6</f>
        <v>0.50746268656716431</v>
      </c>
      <c r="AK3">
        <f>AK9/AK$6</f>
        <v>0.52238805970149271</v>
      </c>
      <c r="AL3">
        <f>AL9/AL$6</f>
        <v>0.53731343283582111</v>
      </c>
      <c r="AM3">
        <f>AM9/AM$6</f>
        <v>0.53623188405797118</v>
      </c>
      <c r="AN3">
        <f>AN9/AN$6</f>
        <v>0.53521126760563398</v>
      </c>
      <c r="AO3">
        <f>AO9/AO$6</f>
        <v>0.53424657534246589</v>
      </c>
      <c r="AP3">
        <f>AP9/AP$6</f>
        <v>0.53333333333333344</v>
      </c>
      <c r="AQ3">
        <f>AQ9/AQ$6</f>
        <v>0.53246753246753253</v>
      </c>
      <c r="AR3">
        <f>AR9/AR$6</f>
        <v>0.53164556962025322</v>
      </c>
      <c r="AS3">
        <f>AS9/AS$6</f>
        <v>0.53086419753086422</v>
      </c>
      <c r="AT3">
        <f>AT9/AT$6</f>
        <v>0.53012048192771088</v>
      </c>
      <c r="AU3">
        <f>AU9/AU$6</f>
        <v>0.52941176470588236</v>
      </c>
      <c r="AV3">
        <f>AV9/AV$6</f>
        <v>0.52873563218390807</v>
      </c>
      <c r="AW3">
        <f>AW9/AW$6</f>
        <v>0.52808988764044928</v>
      </c>
      <c r="AX3">
        <f>AX9/AX$6</f>
        <v>0.52747252747252737</v>
      </c>
      <c r="AY3">
        <f>AY9/AY$6</f>
        <v>0.52688172043010739</v>
      </c>
      <c r="AZ3">
        <f>AZ9/AZ$6</f>
        <v>0.52631578947368407</v>
      </c>
      <c r="BA3">
        <f>BA9/BA$6</f>
        <v>0.52577319587628846</v>
      </c>
      <c r="BB3">
        <f>BB9/BB$6</f>
        <v>0.52525252525252508</v>
      </c>
      <c r="BC3">
        <f>BC9/BC$6</f>
        <v>0.52475247524752455</v>
      </c>
      <c r="BD3">
        <f>BD9/BD$6</f>
        <v>0.52427184466019405</v>
      </c>
      <c r="BE3">
        <f>BE9/BE$6</f>
        <v>0.52380952380952361</v>
      </c>
      <c r="BF3">
        <f>BF9/BF$6</f>
        <v>0.52336448598130825</v>
      </c>
      <c r="BG3">
        <f>BG9/BG$6</f>
        <v>0.52293577981651362</v>
      </c>
      <c r="BH3">
        <f>BH9/BH$6</f>
        <v>0.5225225225225224</v>
      </c>
      <c r="BI3">
        <f>BI9/BI$6</f>
        <v>0.52212389380530955</v>
      </c>
      <c r="BJ3">
        <f>BJ9/BJ$6</f>
        <v>0.52173913043478248</v>
      </c>
      <c r="BK3">
        <f>BK9/BK$6</f>
        <v>0.52136752136752118</v>
      </c>
      <c r="BL3">
        <f>BL9/BL$6</f>
        <v>0.52100840336134435</v>
      </c>
      <c r="BM3">
        <f>BM9/BM$6</f>
        <v>0.52066115702479321</v>
      </c>
      <c r="BN3">
        <f>BN9/BN$6</f>
        <v>0.52032520325203235</v>
      </c>
      <c r="BO3">
        <f>BO9/BO$6</f>
        <v>0.51999999999999991</v>
      </c>
      <c r="BP3">
        <f>BP9/BP$6</f>
        <v>0.51968503937007859</v>
      </c>
      <c r="BQ3">
        <f>BQ9/BQ$6</f>
        <v>0.51937984496124023</v>
      </c>
      <c r="BR3">
        <f>BR9/BR$6</f>
        <v>0.51908396946564872</v>
      </c>
      <c r="BS3">
        <f>BS9/BS$6</f>
        <v>0.51879699248120292</v>
      </c>
      <c r="BT3">
        <f>BT9/BT$6</f>
        <v>0.51851851851851838</v>
      </c>
      <c r="BU3">
        <f>BU9/BU$6</f>
        <v>0.51824817518248167</v>
      </c>
      <c r="BV3">
        <f>BV9/BV$6</f>
        <v>0.51798561151079126</v>
      </c>
      <c r="BW3">
        <f>BW9/BW$6</f>
        <v>0.51773049645390057</v>
      </c>
      <c r="BX3">
        <f>BX9/BX$6</f>
        <v>0.51748251748251739</v>
      </c>
      <c r="BY3">
        <f>BY9/BY$6</f>
        <v>0.51724137931034475</v>
      </c>
      <c r="BZ3">
        <f>BZ9/BZ$6</f>
        <v>0.51700680272108834</v>
      </c>
      <c r="CA3">
        <f>CA9/CA$6</f>
        <v>0.51677852348993281</v>
      </c>
      <c r="CB3">
        <f>CB9/CB$6</f>
        <v>0.51655629139072834</v>
      </c>
      <c r="CC3">
        <f>CC9/CC$6</f>
        <v>0.51633986928104569</v>
      </c>
      <c r="CD3">
        <f>CD9/CD$6</f>
        <v>0.51612903225806439</v>
      </c>
      <c r="CE3">
        <f>CE9/CE$6</f>
        <v>0.51592356687898078</v>
      </c>
      <c r="CF3">
        <f>CF9/CF$6</f>
        <v>0.51572327044025146</v>
      </c>
      <c r="CG3">
        <f>CG9/CG$6</f>
        <v>0.51552795031055887</v>
      </c>
      <c r="CH3">
        <f>CH9/CH$6</f>
        <v>0.51533742331288335</v>
      </c>
      <c r="CI3">
        <f>CI9/CI$6</f>
        <v>0.51515151515151503</v>
      </c>
      <c r="CJ3">
        <f>CJ9/CJ$6</f>
        <v>0.51497005988023947</v>
      </c>
      <c r="CK3">
        <f>CK9/CK$6</f>
        <v>0.51479289940828399</v>
      </c>
      <c r="CL3">
        <f>CL9/CL$6</f>
        <v>0.51461988304093564</v>
      </c>
      <c r="CM3">
        <f>CM9/CM$6</f>
        <v>0.51445086705202303</v>
      </c>
      <c r="CN3">
        <f>CN9/CN$6</f>
        <v>0.51428571428571423</v>
      </c>
    </row>
    <row r="4" spans="1:92" x14ac:dyDescent="0.25">
      <c r="A4" t="s">
        <v>37</v>
      </c>
      <c r="B4">
        <f>B10/B$6</f>
        <v>0</v>
      </c>
      <c r="C4">
        <f>C10/C$6</f>
        <v>0</v>
      </c>
      <c r="D4">
        <f>D10/D$6</f>
        <v>0</v>
      </c>
      <c r="E4">
        <f>E10/E$6</f>
        <v>0</v>
      </c>
      <c r="F4">
        <f>F10/F$6</f>
        <v>0</v>
      </c>
      <c r="G4">
        <f>G10/G$6</f>
        <v>0</v>
      </c>
      <c r="H4">
        <f>H10/H$6</f>
        <v>0</v>
      </c>
      <c r="I4">
        <f>I10/I$6</f>
        <v>0</v>
      </c>
      <c r="J4">
        <f>J10/J$6</f>
        <v>0</v>
      </c>
      <c r="K4">
        <f>K10/K$6</f>
        <v>0</v>
      </c>
      <c r="L4">
        <f>L10/L$6</f>
        <v>0</v>
      </c>
      <c r="M4">
        <f>M10/M$6</f>
        <v>0</v>
      </c>
      <c r="N4">
        <f>N10/N$6</f>
        <v>0</v>
      </c>
      <c r="O4">
        <f>O10/O$6</f>
        <v>0</v>
      </c>
      <c r="P4">
        <f>P10/P$6</f>
        <v>1.8181818181818184E-2</v>
      </c>
      <c r="Q4">
        <f>Q10/Q$6</f>
        <v>3.5087719298245612E-2</v>
      </c>
      <c r="R4">
        <f>R10/R$6</f>
        <v>5.0847457627118647E-2</v>
      </c>
      <c r="S4">
        <f>S10/S$6</f>
        <v>6.5573770491803282E-2</v>
      </c>
      <c r="T4">
        <f>T10/T$6</f>
        <v>7.9365079365079361E-2</v>
      </c>
      <c r="U4">
        <f>U10/U$6</f>
        <v>9.2307692307692299E-2</v>
      </c>
      <c r="V4">
        <f>V10/V$6</f>
        <v>0.1044776119402985</v>
      </c>
      <c r="W4">
        <f>W10/W$6</f>
        <v>0.11940298507462685</v>
      </c>
      <c r="X4">
        <f>X10/X$6</f>
        <v>0.1343283582089552</v>
      </c>
      <c r="Y4">
        <f>Y10/Y$6</f>
        <v>0.14925373134328357</v>
      </c>
      <c r="Z4">
        <f>Z10/Z$6</f>
        <v>0.16417910447761194</v>
      </c>
      <c r="AA4">
        <f>AA10/AA$6</f>
        <v>0.17910447761194029</v>
      </c>
      <c r="AB4">
        <f>AB10/AB$6</f>
        <v>0.19402985074626866</v>
      </c>
      <c r="AC4">
        <f>AC10/AC$6</f>
        <v>0.20895522388059704</v>
      </c>
      <c r="AD4">
        <f>AD10/AD$6</f>
        <v>0.22388059701492544</v>
      </c>
      <c r="AE4">
        <f>AE10/AE$6</f>
        <v>0.23880597014925378</v>
      </c>
      <c r="AF4">
        <f>AF10/AF$6</f>
        <v>0.25373134328358216</v>
      </c>
      <c r="AG4">
        <f>AG10/AG$6</f>
        <v>0.2686567164179105</v>
      </c>
      <c r="AH4">
        <f>AH10/AH$6</f>
        <v>0.2835820895522389</v>
      </c>
      <c r="AI4">
        <f>AI10/AI$6</f>
        <v>0.29850746268656719</v>
      </c>
      <c r="AJ4">
        <f>AJ10/AJ$6</f>
        <v>0.31343283582089554</v>
      </c>
      <c r="AK4">
        <f>AK10/AK$6</f>
        <v>0.32835820895522394</v>
      </c>
      <c r="AL4">
        <f>AL10/AL$6</f>
        <v>0.34328358208955229</v>
      </c>
      <c r="AM4">
        <f>AM10/AM$6</f>
        <v>0.34782608695652173</v>
      </c>
      <c r="AN4">
        <f>AN10/AN$6</f>
        <v>0.35211267605633806</v>
      </c>
      <c r="AO4">
        <f>AO10/AO$6</f>
        <v>0.35616438356164387</v>
      </c>
      <c r="AP4">
        <f>AP10/AP$6</f>
        <v>0.36000000000000004</v>
      </c>
      <c r="AQ4">
        <f>AQ10/AQ$6</f>
        <v>0.36363636363636376</v>
      </c>
      <c r="AR4">
        <f>AR10/AR$6</f>
        <v>0.36708860759493683</v>
      </c>
      <c r="AS4">
        <f>AS10/AS$6</f>
        <v>0.37037037037037046</v>
      </c>
      <c r="AT4">
        <f>AT10/AT$6</f>
        <v>0.37349397590361461</v>
      </c>
      <c r="AU4">
        <f>AU10/AU$6</f>
        <v>0.37647058823529428</v>
      </c>
      <c r="AV4">
        <f>AV10/AV$6</f>
        <v>0.37931034482758641</v>
      </c>
      <c r="AW4">
        <f>AW10/AW$6</f>
        <v>0.38202247191011252</v>
      </c>
      <c r="AX4">
        <f>AX10/AX$6</f>
        <v>0.3846153846153848</v>
      </c>
      <c r="AY4">
        <f>AY10/AY$6</f>
        <v>0.38709677419354865</v>
      </c>
      <c r="AZ4">
        <f>AZ10/AZ$6</f>
        <v>0.38947368421052653</v>
      </c>
      <c r="BA4">
        <f>BA10/BA$6</f>
        <v>0.39175257731958785</v>
      </c>
      <c r="BB4">
        <f>BB10/BB$6</f>
        <v>0.3939393939393942</v>
      </c>
      <c r="BC4">
        <f>BC10/BC$6</f>
        <v>0.39603960396039628</v>
      </c>
      <c r="BD4">
        <f>BD10/BD$6</f>
        <v>0.39805825242718473</v>
      </c>
      <c r="BE4">
        <f>BE10/BE$6</f>
        <v>0.40000000000000024</v>
      </c>
      <c r="BF4">
        <f>BF10/BF$6</f>
        <v>0.40186915887850488</v>
      </c>
      <c r="BG4">
        <f>BG10/BG$6</f>
        <v>0.40366972477064245</v>
      </c>
      <c r="BH4">
        <f>BH10/BH$6</f>
        <v>0.40540540540540559</v>
      </c>
      <c r="BI4">
        <f>BI10/BI$6</f>
        <v>0.4070796460176993</v>
      </c>
      <c r="BJ4">
        <f>BJ10/BJ$6</f>
        <v>0.40869565217391324</v>
      </c>
      <c r="BK4">
        <f>BK10/BK$6</f>
        <v>0.41025641025641046</v>
      </c>
      <c r="BL4">
        <f>BL10/BL$6</f>
        <v>0.41176470588235314</v>
      </c>
      <c r="BM4">
        <f>BM10/BM$6</f>
        <v>0.41322314049586795</v>
      </c>
      <c r="BN4">
        <f>BN10/BN$6</f>
        <v>0.41463414634146356</v>
      </c>
      <c r="BO4">
        <f>BO10/BO$6</f>
        <v>0.41600000000000015</v>
      </c>
      <c r="BP4">
        <f>BP10/BP$6</f>
        <v>0.41732283464566944</v>
      </c>
      <c r="BQ4">
        <f>BQ10/BQ$6</f>
        <v>0.41860465116279083</v>
      </c>
      <c r="BR4">
        <f>BR10/BR$6</f>
        <v>0.41984732824427495</v>
      </c>
      <c r="BS4">
        <f>BS10/BS$6</f>
        <v>0.42105263157894751</v>
      </c>
      <c r="BT4">
        <f>BT10/BT$6</f>
        <v>0.42222222222222233</v>
      </c>
      <c r="BU4">
        <f>BU10/BU$6</f>
        <v>0.42335766423357679</v>
      </c>
      <c r="BV4">
        <f>BV10/BV$6</f>
        <v>0.4244604316546764</v>
      </c>
      <c r="BW4">
        <f>BW10/BW$6</f>
        <v>0.42553191489361714</v>
      </c>
      <c r="BX4">
        <f>BX10/BX$6</f>
        <v>0.42657342657342667</v>
      </c>
      <c r="BY4">
        <f>BY10/BY$6</f>
        <v>0.42758620689655186</v>
      </c>
      <c r="BZ4">
        <f>BZ10/BZ$6</f>
        <v>0.42857142857142866</v>
      </c>
      <c r="CA4">
        <f>CA10/CA$6</f>
        <v>0.42953020134228198</v>
      </c>
      <c r="CB4">
        <f>CB10/CB$6</f>
        <v>0.43046357615894049</v>
      </c>
      <c r="CC4">
        <f>CC10/CC$6</f>
        <v>0.43137254901960792</v>
      </c>
      <c r="CD4">
        <f>CD10/CD$6</f>
        <v>0.43225806451612914</v>
      </c>
      <c r="CE4">
        <f>CE10/CE$6</f>
        <v>0.43312101910828033</v>
      </c>
      <c r="CF4">
        <f>CF10/CF$6</f>
        <v>0.43396226415094347</v>
      </c>
      <c r="CG4">
        <f>CG10/CG$6</f>
        <v>0.43478260869565227</v>
      </c>
      <c r="CH4">
        <f>CH10/CH$6</f>
        <v>0.43558282208588966</v>
      </c>
      <c r="CI4">
        <f>CI10/CI$6</f>
        <v>0.43636363636363645</v>
      </c>
      <c r="CJ4">
        <f>CJ10/CJ$6</f>
        <v>0.43712574850299407</v>
      </c>
      <c r="CK4">
        <f>CK10/CK$6</f>
        <v>0.43786982248520717</v>
      </c>
      <c r="CL4">
        <f>CL10/CL$6</f>
        <v>0.43859649122807026</v>
      </c>
      <c r="CM4">
        <f>CM10/CM$6</f>
        <v>0.43930635838150295</v>
      </c>
      <c r="CN4">
        <f>CN10/CN$6</f>
        <v>0.44000000000000006</v>
      </c>
    </row>
    <row r="6" spans="1:92" x14ac:dyDescent="0.25">
      <c r="A6" t="s">
        <v>104</v>
      </c>
      <c r="B6">
        <f>SUM(B8:B10)</f>
        <v>1</v>
      </c>
      <c r="C6">
        <f>SUM(C8:C10)</f>
        <v>1.0249999999999999</v>
      </c>
      <c r="D6">
        <f>SUM(D8:D10)</f>
        <v>1.05</v>
      </c>
      <c r="E6">
        <f>SUM(E8:E10)</f>
        <v>1.075</v>
      </c>
      <c r="F6">
        <f>SUM(F8:F10)</f>
        <v>1.1000000000000001</v>
      </c>
      <c r="G6">
        <f>SUM(G8:G10)</f>
        <v>1.125</v>
      </c>
      <c r="H6">
        <f>SUM(H8:H10)</f>
        <v>1.1499999999999999</v>
      </c>
      <c r="I6">
        <f>SUM(I8:I10)</f>
        <v>1.175</v>
      </c>
      <c r="J6">
        <f>SUM(J8:J10)</f>
        <v>1.2</v>
      </c>
      <c r="K6">
        <f>SUM(K8:K10)</f>
        <v>1.2250000000000001</v>
      </c>
      <c r="L6">
        <f>SUM(L8:L10)</f>
        <v>1.25</v>
      </c>
      <c r="M6">
        <f>SUM(M8:M10)</f>
        <v>1.2749999999999999</v>
      </c>
      <c r="N6">
        <f>SUM(N8:N10)</f>
        <v>1.3</v>
      </c>
      <c r="O6">
        <f>SUM(O8:O10)</f>
        <v>1.325</v>
      </c>
      <c r="P6">
        <f>SUM(P8:P10)</f>
        <v>1.375</v>
      </c>
      <c r="Q6">
        <f>SUM(Q8:Q10)</f>
        <v>1.425</v>
      </c>
      <c r="R6">
        <f>SUM(R8:R10)</f>
        <v>1.4750000000000001</v>
      </c>
      <c r="S6">
        <f>SUM(S8:S10)</f>
        <v>1.5250000000000001</v>
      </c>
      <c r="T6">
        <f>SUM(T8:T10)</f>
        <v>1.5750000000000002</v>
      </c>
      <c r="U6">
        <f>SUM(U8:U10)</f>
        <v>1.625</v>
      </c>
      <c r="V6">
        <f>SUM(V8:V10)</f>
        <v>1.675</v>
      </c>
      <c r="W6">
        <f>SUM(W8:W10)</f>
        <v>1.675</v>
      </c>
      <c r="X6">
        <f>SUM(X8:X10)</f>
        <v>1.6750000000000003</v>
      </c>
      <c r="Y6">
        <f>SUM(Y8:Y10)</f>
        <v>1.675</v>
      </c>
      <c r="Z6">
        <f>SUM(Z8:Z10)</f>
        <v>1.6749999999999998</v>
      </c>
      <c r="AA6">
        <f>SUM(AA8:AA10)</f>
        <v>1.675</v>
      </c>
      <c r="AB6">
        <f>SUM(AB8:AB10)</f>
        <v>1.675</v>
      </c>
      <c r="AC6">
        <f>SUM(AC8:AC10)</f>
        <v>1.675</v>
      </c>
      <c r="AD6">
        <f>SUM(AD8:AD10)</f>
        <v>1.6749999999999998</v>
      </c>
      <c r="AE6">
        <f>SUM(AE8:AE10)</f>
        <v>1.675</v>
      </c>
      <c r="AF6">
        <f>SUM(AF8:AF10)</f>
        <v>1.675</v>
      </c>
      <c r="AG6">
        <f>SUM(AG8:AG10)</f>
        <v>1.6750000000000003</v>
      </c>
      <c r="AH6">
        <f>SUM(AH8:AH10)</f>
        <v>1.675</v>
      </c>
      <c r="AI6">
        <f>SUM(AI8:AI10)</f>
        <v>1.6750000000000003</v>
      </c>
      <c r="AJ6">
        <f>SUM(AJ8:AJ10)</f>
        <v>1.6750000000000003</v>
      </c>
      <c r="AK6">
        <f>SUM(AK8:AK10)</f>
        <v>1.6750000000000003</v>
      </c>
      <c r="AL6">
        <f>SUM(AL8:AL10)</f>
        <v>1.6750000000000003</v>
      </c>
      <c r="AM6">
        <f>SUM(AM8:AM10)</f>
        <v>1.7250000000000005</v>
      </c>
      <c r="AN6">
        <f>SUM(AN8:AN10)</f>
        <v>1.7750000000000004</v>
      </c>
      <c r="AO6">
        <f>SUM(AO8:AO10)</f>
        <v>1.8250000000000006</v>
      </c>
      <c r="AP6">
        <f>SUM(AP8:AP10)</f>
        <v>1.8750000000000004</v>
      </c>
      <c r="AQ6">
        <f>SUM(AQ8:AQ10)</f>
        <v>1.9250000000000003</v>
      </c>
      <c r="AR6">
        <f>SUM(AR8:AR10)</f>
        <v>1.9750000000000003</v>
      </c>
      <c r="AS6">
        <f>SUM(AS8:AS10)</f>
        <v>2.0250000000000004</v>
      </c>
      <c r="AT6">
        <f>SUM(AT8:AT10)</f>
        <v>2.0750000000000002</v>
      </c>
      <c r="AU6">
        <f>SUM(AU8:AU10)</f>
        <v>2.125</v>
      </c>
      <c r="AV6">
        <f>SUM(AV8:AV10)</f>
        <v>2.1749999999999998</v>
      </c>
      <c r="AW6">
        <f>SUM(AW8:AW10)</f>
        <v>2.2250000000000001</v>
      </c>
      <c r="AX6">
        <f>SUM(AX8:AX10)</f>
        <v>2.2749999999999999</v>
      </c>
      <c r="AY6">
        <f>SUM(AY8:AY10)</f>
        <v>2.3249999999999997</v>
      </c>
      <c r="AZ6">
        <f>SUM(AZ8:AZ10)</f>
        <v>2.375</v>
      </c>
      <c r="BA6">
        <f>SUM(BA8:BA10)</f>
        <v>2.4249999999999998</v>
      </c>
      <c r="BB6">
        <f>SUM(BB8:BB10)</f>
        <v>2.4749999999999996</v>
      </c>
      <c r="BC6">
        <f>SUM(BC8:BC10)</f>
        <v>2.5249999999999995</v>
      </c>
      <c r="BD6">
        <f>SUM(BD8:BD10)</f>
        <v>2.5749999999999993</v>
      </c>
      <c r="BE6">
        <f>SUM(BE8:BE10)</f>
        <v>2.6249999999999991</v>
      </c>
      <c r="BF6">
        <f>SUM(BF8:BF10)</f>
        <v>2.6749999999999989</v>
      </c>
      <c r="BG6">
        <f>SUM(BG8:BG10)</f>
        <v>2.7249999999999988</v>
      </c>
      <c r="BH6">
        <f>SUM(BH8:BH10)</f>
        <v>2.7749999999999986</v>
      </c>
      <c r="BI6">
        <f>SUM(BI8:BI10)</f>
        <v>2.8249999999999984</v>
      </c>
      <c r="BJ6">
        <f>SUM(BJ8:BJ10)</f>
        <v>2.8749999999999982</v>
      </c>
      <c r="BK6">
        <f>SUM(BK8:BK10)</f>
        <v>2.924999999999998</v>
      </c>
      <c r="BL6">
        <f>SUM(BL8:BL10)</f>
        <v>2.9749999999999979</v>
      </c>
      <c r="BM6">
        <f>SUM(BM8:BM10)</f>
        <v>3.0249999999999977</v>
      </c>
      <c r="BN6">
        <f>SUM(BN8:BN10)</f>
        <v>3.0749999999999975</v>
      </c>
      <c r="BO6">
        <f>SUM(BO8:BO10)</f>
        <v>3.1249999999999973</v>
      </c>
      <c r="BP6">
        <f>SUM(BP8:BP10)</f>
        <v>3.1749999999999972</v>
      </c>
      <c r="BQ6">
        <f>SUM(BQ8:BQ10)</f>
        <v>3.224999999999997</v>
      </c>
      <c r="BR6">
        <f>SUM(BR8:BR10)</f>
        <v>3.2749999999999968</v>
      </c>
      <c r="BS6">
        <f>SUM(BS8:BS10)</f>
        <v>3.3249999999999966</v>
      </c>
      <c r="BT6">
        <f>SUM(BT8:BT10)</f>
        <v>3.3749999999999964</v>
      </c>
      <c r="BU6">
        <f>SUM(BU8:BU10)</f>
        <v>3.4249999999999963</v>
      </c>
      <c r="BV6">
        <f>SUM(BV8:BV10)</f>
        <v>3.4749999999999961</v>
      </c>
      <c r="BW6">
        <f>SUM(BW8:BW10)</f>
        <v>3.5249999999999959</v>
      </c>
      <c r="BX6">
        <f>SUM(BX8:BX10)</f>
        <v>3.5749999999999957</v>
      </c>
      <c r="BY6">
        <f>SUM(BY8:BY10)</f>
        <v>3.6249999999999956</v>
      </c>
      <c r="BZ6">
        <f>SUM(BZ8:BZ10)</f>
        <v>3.6749999999999954</v>
      </c>
      <c r="CA6">
        <f>SUM(CA8:CA10)</f>
        <v>3.7249999999999952</v>
      </c>
      <c r="CB6">
        <f>SUM(CB8:CB10)</f>
        <v>3.774999999999995</v>
      </c>
      <c r="CC6">
        <f>SUM(CC8:CC10)</f>
        <v>3.8249999999999948</v>
      </c>
      <c r="CD6">
        <f>SUM(CD8:CD10)</f>
        <v>3.8749999999999947</v>
      </c>
      <c r="CE6">
        <f>SUM(CE8:CE10)</f>
        <v>3.9249999999999945</v>
      </c>
      <c r="CF6">
        <f>SUM(CF8:CF10)</f>
        <v>3.9749999999999943</v>
      </c>
      <c r="CG6">
        <f>SUM(CG8:CG10)</f>
        <v>4.0249999999999941</v>
      </c>
      <c r="CH6">
        <f>SUM(CH8:CH10)</f>
        <v>4.074999999999994</v>
      </c>
      <c r="CI6">
        <f>SUM(CI8:CI10)</f>
        <v>4.1249999999999938</v>
      </c>
      <c r="CJ6">
        <f>SUM(CJ8:CJ10)</f>
        <v>4.1749999999999936</v>
      </c>
      <c r="CK6">
        <f>SUM(CK8:CK10)</f>
        <v>4.2249999999999934</v>
      </c>
      <c r="CL6">
        <f>SUM(CL8:CL10)</f>
        <v>4.2749999999999932</v>
      </c>
      <c r="CM6">
        <f>SUM(CM8:CM10)</f>
        <v>4.3249999999999931</v>
      </c>
      <c r="CN6">
        <f>SUM(CN8:CN10)</f>
        <v>4.3749999999999929</v>
      </c>
    </row>
    <row r="8" spans="1:92" x14ac:dyDescent="0.25">
      <c r="A8" t="s">
        <v>35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f>V8-0.05</f>
        <v>0.95</v>
      </c>
      <c r="X8">
        <f t="shared" ref="X8:CI8" si="2">W8-0.05</f>
        <v>0.89999999999999991</v>
      </c>
      <c r="Y8">
        <f t="shared" si="2"/>
        <v>0.84999999999999987</v>
      </c>
      <c r="Z8">
        <f t="shared" si="2"/>
        <v>0.79999999999999982</v>
      </c>
      <c r="AA8">
        <f t="shared" si="2"/>
        <v>0.74999999999999978</v>
      </c>
      <c r="AB8">
        <f t="shared" si="2"/>
        <v>0.69999999999999973</v>
      </c>
      <c r="AC8">
        <f t="shared" si="2"/>
        <v>0.64999999999999969</v>
      </c>
      <c r="AD8">
        <f t="shared" si="2"/>
        <v>0.59999999999999964</v>
      </c>
      <c r="AE8">
        <f t="shared" si="2"/>
        <v>0.5499999999999996</v>
      </c>
      <c r="AF8">
        <f t="shared" si="2"/>
        <v>0.49999999999999961</v>
      </c>
      <c r="AG8">
        <f t="shared" si="2"/>
        <v>0.44999999999999962</v>
      </c>
      <c r="AH8">
        <f t="shared" si="2"/>
        <v>0.39999999999999963</v>
      </c>
      <c r="AI8">
        <f t="shared" si="2"/>
        <v>0.34999999999999964</v>
      </c>
      <c r="AJ8">
        <f t="shared" si="2"/>
        <v>0.29999999999999966</v>
      </c>
      <c r="AK8">
        <f t="shared" si="2"/>
        <v>0.24999999999999967</v>
      </c>
      <c r="AL8">
        <v>0.19999999999999968</v>
      </c>
      <c r="AM8">
        <v>0.19999999999999968</v>
      </c>
      <c r="AN8">
        <v>0.19999999999999968</v>
      </c>
      <c r="AO8">
        <v>0.19999999999999968</v>
      </c>
      <c r="AP8">
        <v>0.19999999999999968</v>
      </c>
      <c r="AQ8">
        <v>0.19999999999999968</v>
      </c>
      <c r="AR8">
        <v>0.19999999999999968</v>
      </c>
      <c r="AS8">
        <v>0.19999999999999968</v>
      </c>
      <c r="AT8">
        <v>0.19999999999999968</v>
      </c>
      <c r="AU8">
        <v>0.19999999999999968</v>
      </c>
      <c r="AV8">
        <v>0.19999999999999968</v>
      </c>
      <c r="AW8">
        <v>0.19999999999999968</v>
      </c>
      <c r="AX8">
        <v>0.19999999999999968</v>
      </c>
      <c r="AY8">
        <v>0.19999999999999968</v>
      </c>
      <c r="AZ8">
        <v>0.19999999999999968</v>
      </c>
      <c r="BA8">
        <v>0.19999999999999968</v>
      </c>
      <c r="BB8">
        <v>0.19999999999999968</v>
      </c>
      <c r="BC8">
        <v>0.19999999999999968</v>
      </c>
      <c r="BD8">
        <v>0.19999999999999968</v>
      </c>
      <c r="BE8">
        <v>0.19999999999999968</v>
      </c>
      <c r="BF8">
        <v>0.19999999999999968</v>
      </c>
      <c r="BG8">
        <v>0.19999999999999968</v>
      </c>
      <c r="BH8">
        <v>0.19999999999999968</v>
      </c>
      <c r="BI8">
        <v>0.19999999999999968</v>
      </c>
      <c r="BJ8">
        <v>0.19999999999999968</v>
      </c>
      <c r="BK8">
        <v>0.19999999999999968</v>
      </c>
      <c r="BL8">
        <v>0.19999999999999968</v>
      </c>
      <c r="BM8">
        <v>0.19999999999999968</v>
      </c>
      <c r="BN8">
        <v>0.19999999999999968</v>
      </c>
      <c r="BO8">
        <v>0.19999999999999968</v>
      </c>
      <c r="BP8">
        <v>0.19999999999999968</v>
      </c>
      <c r="BQ8">
        <v>0.19999999999999968</v>
      </c>
      <c r="BR8">
        <v>0.19999999999999968</v>
      </c>
      <c r="BS8">
        <v>0.19999999999999968</v>
      </c>
      <c r="BT8">
        <v>0.19999999999999968</v>
      </c>
      <c r="BU8">
        <v>0.19999999999999968</v>
      </c>
      <c r="BV8">
        <v>0.19999999999999968</v>
      </c>
      <c r="BW8">
        <v>0.19999999999999968</v>
      </c>
      <c r="BX8">
        <v>0.19999999999999968</v>
      </c>
      <c r="BY8">
        <v>0.19999999999999968</v>
      </c>
      <c r="BZ8">
        <v>0.19999999999999968</v>
      </c>
      <c r="CA8">
        <v>0.19999999999999968</v>
      </c>
      <c r="CB8">
        <v>0.19999999999999968</v>
      </c>
      <c r="CC8">
        <v>0.19999999999999968</v>
      </c>
      <c r="CD8">
        <v>0.19999999999999968</v>
      </c>
      <c r="CE8">
        <v>0.19999999999999968</v>
      </c>
      <c r="CF8">
        <v>0.19999999999999968</v>
      </c>
      <c r="CG8">
        <v>0.19999999999999968</v>
      </c>
      <c r="CH8">
        <v>0.19999999999999968</v>
      </c>
      <c r="CI8">
        <v>0.19999999999999968</v>
      </c>
      <c r="CJ8">
        <v>0.19999999999999968</v>
      </c>
      <c r="CK8">
        <v>0.19999999999999968</v>
      </c>
      <c r="CL8">
        <v>0.19999999999999968</v>
      </c>
      <c r="CM8">
        <v>0.19999999999999968</v>
      </c>
      <c r="CN8">
        <v>0.19999999999999968</v>
      </c>
    </row>
    <row r="9" spans="1:92" x14ac:dyDescent="0.25">
      <c r="A9" t="s">
        <v>36</v>
      </c>
      <c r="B9">
        <v>0</v>
      </c>
      <c r="C9">
        <f>B9+0.025</f>
        <v>2.5000000000000001E-2</v>
      </c>
      <c r="D9">
        <f t="shared" ref="D9:BO9" si="3">C9+0.025</f>
        <v>0.05</v>
      </c>
      <c r="E9">
        <f t="shared" si="3"/>
        <v>7.5000000000000011E-2</v>
      </c>
      <c r="F9">
        <f t="shared" si="3"/>
        <v>0.1</v>
      </c>
      <c r="G9">
        <f t="shared" si="3"/>
        <v>0.125</v>
      </c>
      <c r="H9">
        <f t="shared" si="3"/>
        <v>0.15</v>
      </c>
      <c r="I9">
        <f t="shared" si="3"/>
        <v>0.17499999999999999</v>
      </c>
      <c r="J9">
        <f t="shared" si="3"/>
        <v>0.19999999999999998</v>
      </c>
      <c r="K9">
        <f t="shared" si="3"/>
        <v>0.22499999999999998</v>
      </c>
      <c r="L9">
        <f t="shared" si="3"/>
        <v>0.24999999999999997</v>
      </c>
      <c r="M9">
        <f t="shared" si="3"/>
        <v>0.27499999999999997</v>
      </c>
      <c r="N9">
        <f t="shared" si="3"/>
        <v>0.3</v>
      </c>
      <c r="O9">
        <f t="shared" si="3"/>
        <v>0.32500000000000001</v>
      </c>
      <c r="P9">
        <f t="shared" si="3"/>
        <v>0.35000000000000003</v>
      </c>
      <c r="Q9">
        <f t="shared" si="3"/>
        <v>0.37500000000000006</v>
      </c>
      <c r="R9">
        <f t="shared" si="3"/>
        <v>0.40000000000000008</v>
      </c>
      <c r="S9">
        <f t="shared" si="3"/>
        <v>0.4250000000000001</v>
      </c>
      <c r="T9">
        <f t="shared" si="3"/>
        <v>0.45000000000000012</v>
      </c>
      <c r="U9">
        <f t="shared" si="3"/>
        <v>0.47500000000000014</v>
      </c>
      <c r="V9">
        <f t="shared" si="3"/>
        <v>0.50000000000000011</v>
      </c>
      <c r="W9">
        <f t="shared" si="3"/>
        <v>0.52500000000000013</v>
      </c>
      <c r="X9">
        <f t="shared" si="3"/>
        <v>0.55000000000000016</v>
      </c>
      <c r="Y9">
        <f t="shared" si="3"/>
        <v>0.57500000000000018</v>
      </c>
      <c r="Z9">
        <f t="shared" si="3"/>
        <v>0.6000000000000002</v>
      </c>
      <c r="AA9">
        <f t="shared" si="3"/>
        <v>0.62500000000000022</v>
      </c>
      <c r="AB9">
        <f t="shared" si="3"/>
        <v>0.65000000000000024</v>
      </c>
      <c r="AC9">
        <f t="shared" si="3"/>
        <v>0.67500000000000027</v>
      </c>
      <c r="AD9">
        <f t="shared" si="3"/>
        <v>0.70000000000000029</v>
      </c>
      <c r="AE9">
        <f t="shared" si="3"/>
        <v>0.72500000000000031</v>
      </c>
      <c r="AF9">
        <f t="shared" si="3"/>
        <v>0.75000000000000033</v>
      </c>
      <c r="AG9">
        <f t="shared" si="3"/>
        <v>0.77500000000000036</v>
      </c>
      <c r="AH9">
        <f t="shared" si="3"/>
        <v>0.80000000000000038</v>
      </c>
      <c r="AI9">
        <f t="shared" si="3"/>
        <v>0.8250000000000004</v>
      </c>
      <c r="AJ9">
        <f t="shared" si="3"/>
        <v>0.85000000000000042</v>
      </c>
      <c r="AK9">
        <f t="shared" si="3"/>
        <v>0.87500000000000044</v>
      </c>
      <c r="AL9">
        <f t="shared" si="3"/>
        <v>0.90000000000000047</v>
      </c>
      <c r="AM9">
        <f t="shared" si="3"/>
        <v>0.92500000000000049</v>
      </c>
      <c r="AN9">
        <f t="shared" si="3"/>
        <v>0.95000000000000051</v>
      </c>
      <c r="AO9">
        <f t="shared" si="3"/>
        <v>0.97500000000000053</v>
      </c>
      <c r="AP9">
        <f t="shared" si="3"/>
        <v>1.0000000000000004</v>
      </c>
      <c r="AQ9">
        <f t="shared" si="3"/>
        <v>1.0250000000000004</v>
      </c>
      <c r="AR9">
        <f t="shared" si="3"/>
        <v>1.0500000000000003</v>
      </c>
      <c r="AS9">
        <f t="shared" si="3"/>
        <v>1.0750000000000002</v>
      </c>
      <c r="AT9">
        <f t="shared" si="3"/>
        <v>1.1000000000000001</v>
      </c>
      <c r="AU9">
        <f t="shared" si="3"/>
        <v>1.125</v>
      </c>
      <c r="AV9">
        <f t="shared" si="3"/>
        <v>1.1499999999999999</v>
      </c>
      <c r="AW9">
        <f t="shared" si="3"/>
        <v>1.1749999999999998</v>
      </c>
      <c r="AX9">
        <f t="shared" si="3"/>
        <v>1.1999999999999997</v>
      </c>
      <c r="AY9">
        <f t="shared" si="3"/>
        <v>1.2249999999999996</v>
      </c>
      <c r="AZ9">
        <f t="shared" si="3"/>
        <v>1.2499999999999996</v>
      </c>
      <c r="BA9">
        <f t="shared" si="3"/>
        <v>1.2749999999999995</v>
      </c>
      <c r="BB9">
        <f t="shared" si="3"/>
        <v>1.2999999999999994</v>
      </c>
      <c r="BC9">
        <f t="shared" si="3"/>
        <v>1.3249999999999993</v>
      </c>
      <c r="BD9">
        <f t="shared" si="3"/>
        <v>1.3499999999999992</v>
      </c>
      <c r="BE9">
        <f t="shared" si="3"/>
        <v>1.3749999999999991</v>
      </c>
      <c r="BF9">
        <f t="shared" si="3"/>
        <v>1.399999999999999</v>
      </c>
      <c r="BG9">
        <f t="shared" si="3"/>
        <v>1.4249999999999989</v>
      </c>
      <c r="BH9">
        <f t="shared" si="3"/>
        <v>1.4499999999999988</v>
      </c>
      <c r="BI9">
        <f t="shared" si="3"/>
        <v>1.4749999999999988</v>
      </c>
      <c r="BJ9">
        <f t="shared" si="3"/>
        <v>1.4999999999999987</v>
      </c>
      <c r="BK9">
        <f t="shared" si="3"/>
        <v>1.5249999999999986</v>
      </c>
      <c r="BL9">
        <f t="shared" si="3"/>
        <v>1.5499999999999985</v>
      </c>
      <c r="BM9">
        <f t="shared" si="3"/>
        <v>1.5749999999999984</v>
      </c>
      <c r="BN9">
        <f t="shared" si="3"/>
        <v>1.5999999999999983</v>
      </c>
      <c r="BO9">
        <f t="shared" si="3"/>
        <v>1.6249999999999982</v>
      </c>
      <c r="BP9">
        <f t="shared" ref="BP9:CN9" si="4">BO9+0.025</f>
        <v>1.6499999999999981</v>
      </c>
      <c r="BQ9">
        <f t="shared" si="4"/>
        <v>1.674999999999998</v>
      </c>
      <c r="BR9">
        <f t="shared" si="4"/>
        <v>1.699999999999998</v>
      </c>
      <c r="BS9">
        <f t="shared" si="4"/>
        <v>1.7249999999999979</v>
      </c>
      <c r="BT9">
        <f t="shared" si="4"/>
        <v>1.7499999999999978</v>
      </c>
      <c r="BU9">
        <f t="shared" si="4"/>
        <v>1.7749999999999977</v>
      </c>
      <c r="BV9">
        <f t="shared" si="4"/>
        <v>1.7999999999999976</v>
      </c>
      <c r="BW9">
        <f t="shared" si="4"/>
        <v>1.8249999999999975</v>
      </c>
      <c r="BX9">
        <f t="shared" si="4"/>
        <v>1.8499999999999974</v>
      </c>
      <c r="BY9">
        <f t="shared" si="4"/>
        <v>1.8749999999999973</v>
      </c>
      <c r="BZ9">
        <f t="shared" si="4"/>
        <v>1.8999999999999972</v>
      </c>
      <c r="CA9">
        <f t="shared" si="4"/>
        <v>1.9249999999999972</v>
      </c>
      <c r="CB9">
        <f t="shared" si="4"/>
        <v>1.9499999999999971</v>
      </c>
      <c r="CC9">
        <f t="shared" si="4"/>
        <v>1.974999999999997</v>
      </c>
      <c r="CD9">
        <f t="shared" si="4"/>
        <v>1.9999999999999969</v>
      </c>
      <c r="CE9">
        <f t="shared" si="4"/>
        <v>2.0249999999999968</v>
      </c>
      <c r="CF9">
        <f t="shared" si="4"/>
        <v>2.0499999999999967</v>
      </c>
      <c r="CG9">
        <f t="shared" si="4"/>
        <v>2.0749999999999966</v>
      </c>
      <c r="CH9">
        <f t="shared" si="4"/>
        <v>2.0999999999999965</v>
      </c>
      <c r="CI9">
        <f t="shared" si="4"/>
        <v>2.1249999999999964</v>
      </c>
      <c r="CJ9">
        <f t="shared" si="4"/>
        <v>2.1499999999999964</v>
      </c>
      <c r="CK9">
        <f t="shared" si="4"/>
        <v>2.1749999999999963</v>
      </c>
      <c r="CL9">
        <f t="shared" si="4"/>
        <v>2.1999999999999962</v>
      </c>
      <c r="CM9">
        <f t="shared" si="4"/>
        <v>2.2249999999999961</v>
      </c>
      <c r="CN9">
        <f t="shared" si="4"/>
        <v>2.249999999999996</v>
      </c>
    </row>
    <row r="10" spans="1:92" x14ac:dyDescent="0.25">
      <c r="A10" t="s">
        <v>37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f>O10+0.025</f>
        <v>2.5000000000000001E-2</v>
      </c>
      <c r="Q10">
        <f t="shared" ref="Q10:CB10" si="5">P10+0.025</f>
        <v>0.05</v>
      </c>
      <c r="R10">
        <f t="shared" si="5"/>
        <v>7.5000000000000011E-2</v>
      </c>
      <c r="S10">
        <f t="shared" si="5"/>
        <v>0.1</v>
      </c>
      <c r="T10">
        <f t="shared" si="5"/>
        <v>0.125</v>
      </c>
      <c r="U10">
        <f t="shared" si="5"/>
        <v>0.15</v>
      </c>
      <c r="V10">
        <f t="shared" si="5"/>
        <v>0.17499999999999999</v>
      </c>
      <c r="W10">
        <f t="shared" si="5"/>
        <v>0.19999999999999998</v>
      </c>
      <c r="X10">
        <f t="shared" si="5"/>
        <v>0.22499999999999998</v>
      </c>
      <c r="Y10">
        <f t="shared" si="5"/>
        <v>0.24999999999999997</v>
      </c>
      <c r="Z10">
        <f t="shared" si="5"/>
        <v>0.27499999999999997</v>
      </c>
      <c r="AA10">
        <f t="shared" si="5"/>
        <v>0.3</v>
      </c>
      <c r="AB10">
        <f t="shared" si="5"/>
        <v>0.32500000000000001</v>
      </c>
      <c r="AC10">
        <f t="shared" si="5"/>
        <v>0.35000000000000003</v>
      </c>
      <c r="AD10">
        <f t="shared" si="5"/>
        <v>0.37500000000000006</v>
      </c>
      <c r="AE10">
        <f t="shared" si="5"/>
        <v>0.40000000000000008</v>
      </c>
      <c r="AF10">
        <f t="shared" si="5"/>
        <v>0.4250000000000001</v>
      </c>
      <c r="AG10">
        <f t="shared" si="5"/>
        <v>0.45000000000000012</v>
      </c>
      <c r="AH10">
        <f t="shared" si="5"/>
        <v>0.47500000000000014</v>
      </c>
      <c r="AI10">
        <f t="shared" si="5"/>
        <v>0.50000000000000011</v>
      </c>
      <c r="AJ10">
        <f t="shared" si="5"/>
        <v>0.52500000000000013</v>
      </c>
      <c r="AK10">
        <f t="shared" si="5"/>
        <v>0.55000000000000016</v>
      </c>
      <c r="AL10">
        <f t="shared" si="5"/>
        <v>0.57500000000000018</v>
      </c>
      <c r="AM10">
        <f t="shared" si="5"/>
        <v>0.6000000000000002</v>
      </c>
      <c r="AN10">
        <f t="shared" si="5"/>
        <v>0.62500000000000022</v>
      </c>
      <c r="AO10">
        <f t="shared" si="5"/>
        <v>0.65000000000000024</v>
      </c>
      <c r="AP10">
        <f t="shared" si="5"/>
        <v>0.67500000000000027</v>
      </c>
      <c r="AQ10">
        <f t="shared" si="5"/>
        <v>0.70000000000000029</v>
      </c>
      <c r="AR10">
        <f t="shared" si="5"/>
        <v>0.72500000000000031</v>
      </c>
      <c r="AS10">
        <f t="shared" si="5"/>
        <v>0.75000000000000033</v>
      </c>
      <c r="AT10">
        <f t="shared" si="5"/>
        <v>0.77500000000000036</v>
      </c>
      <c r="AU10">
        <f t="shared" si="5"/>
        <v>0.80000000000000038</v>
      </c>
      <c r="AV10">
        <f t="shared" si="5"/>
        <v>0.8250000000000004</v>
      </c>
      <c r="AW10">
        <f t="shared" si="5"/>
        <v>0.85000000000000042</v>
      </c>
      <c r="AX10">
        <f t="shared" si="5"/>
        <v>0.87500000000000044</v>
      </c>
      <c r="AY10">
        <f t="shared" si="5"/>
        <v>0.90000000000000047</v>
      </c>
      <c r="AZ10">
        <f t="shared" si="5"/>
        <v>0.92500000000000049</v>
      </c>
      <c r="BA10">
        <f t="shared" si="5"/>
        <v>0.95000000000000051</v>
      </c>
      <c r="BB10">
        <f t="shared" si="5"/>
        <v>0.97500000000000053</v>
      </c>
      <c r="BC10">
        <f t="shared" si="5"/>
        <v>1.0000000000000004</v>
      </c>
      <c r="BD10">
        <f t="shared" si="5"/>
        <v>1.0250000000000004</v>
      </c>
      <c r="BE10">
        <f t="shared" si="5"/>
        <v>1.0500000000000003</v>
      </c>
      <c r="BF10">
        <f t="shared" si="5"/>
        <v>1.0750000000000002</v>
      </c>
      <c r="BG10">
        <f t="shared" si="5"/>
        <v>1.1000000000000001</v>
      </c>
      <c r="BH10">
        <f t="shared" si="5"/>
        <v>1.125</v>
      </c>
      <c r="BI10">
        <f t="shared" si="5"/>
        <v>1.1499999999999999</v>
      </c>
      <c r="BJ10">
        <f t="shared" si="5"/>
        <v>1.1749999999999998</v>
      </c>
      <c r="BK10">
        <f t="shared" si="5"/>
        <v>1.1999999999999997</v>
      </c>
      <c r="BL10">
        <f t="shared" si="5"/>
        <v>1.2249999999999996</v>
      </c>
      <c r="BM10">
        <f t="shared" si="5"/>
        <v>1.2499999999999996</v>
      </c>
      <c r="BN10">
        <f t="shared" si="5"/>
        <v>1.2749999999999995</v>
      </c>
      <c r="BO10">
        <f t="shared" si="5"/>
        <v>1.2999999999999994</v>
      </c>
      <c r="BP10">
        <f t="shared" si="5"/>
        <v>1.3249999999999993</v>
      </c>
      <c r="BQ10">
        <f t="shared" si="5"/>
        <v>1.3499999999999992</v>
      </c>
      <c r="BR10">
        <f t="shared" si="5"/>
        <v>1.3749999999999991</v>
      </c>
      <c r="BS10">
        <f t="shared" si="5"/>
        <v>1.399999999999999</v>
      </c>
      <c r="BT10">
        <f t="shared" si="5"/>
        <v>1.4249999999999989</v>
      </c>
      <c r="BU10">
        <f t="shared" si="5"/>
        <v>1.4499999999999988</v>
      </c>
      <c r="BV10">
        <f t="shared" si="5"/>
        <v>1.4749999999999988</v>
      </c>
      <c r="BW10">
        <f t="shared" si="5"/>
        <v>1.4999999999999987</v>
      </c>
      <c r="BX10">
        <f t="shared" si="5"/>
        <v>1.5249999999999986</v>
      </c>
      <c r="BY10">
        <f t="shared" si="5"/>
        <v>1.5499999999999985</v>
      </c>
      <c r="BZ10">
        <f t="shared" si="5"/>
        <v>1.5749999999999984</v>
      </c>
      <c r="CA10">
        <f t="shared" si="5"/>
        <v>1.5999999999999983</v>
      </c>
      <c r="CB10">
        <f t="shared" si="5"/>
        <v>1.6249999999999982</v>
      </c>
      <c r="CC10">
        <f t="shared" ref="CC10:CN10" si="6">CB10+0.025</f>
        <v>1.6499999999999981</v>
      </c>
      <c r="CD10">
        <f t="shared" si="6"/>
        <v>1.674999999999998</v>
      </c>
      <c r="CE10">
        <f t="shared" si="6"/>
        <v>1.699999999999998</v>
      </c>
      <c r="CF10">
        <f t="shared" si="6"/>
        <v>1.7249999999999979</v>
      </c>
      <c r="CG10">
        <f t="shared" si="6"/>
        <v>1.7499999999999978</v>
      </c>
      <c r="CH10">
        <f t="shared" si="6"/>
        <v>1.7749999999999977</v>
      </c>
      <c r="CI10">
        <f t="shared" si="6"/>
        <v>1.7999999999999976</v>
      </c>
      <c r="CJ10">
        <f t="shared" si="6"/>
        <v>1.8249999999999975</v>
      </c>
      <c r="CK10">
        <f t="shared" si="6"/>
        <v>1.8499999999999974</v>
      </c>
      <c r="CL10">
        <f t="shared" si="6"/>
        <v>1.8749999999999973</v>
      </c>
      <c r="CM10">
        <f t="shared" si="6"/>
        <v>1.8999999999999972</v>
      </c>
      <c r="CN10">
        <f t="shared" si="6"/>
        <v>1.9249999999999972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50D52-2C98-487E-A0B6-0074FBA08C32}">
  <sheetPr codeName="Sheet6"/>
  <dimension ref="A1:CN32"/>
  <sheetViews>
    <sheetView workbookViewId="0"/>
  </sheetViews>
  <sheetFormatPr defaultRowHeight="15" x14ac:dyDescent="0.25"/>
  <sheetData>
    <row r="1" spans="1:92" x14ac:dyDescent="0.25">
      <c r="B1">
        <v>2010</v>
      </c>
      <c r="C1">
        <f>B1+1</f>
        <v>2011</v>
      </c>
      <c r="D1">
        <f t="shared" ref="D1:BO1" si="0">C1+1</f>
        <v>2012</v>
      </c>
      <c r="E1">
        <f t="shared" si="0"/>
        <v>2013</v>
      </c>
      <c r="F1">
        <f t="shared" si="0"/>
        <v>2014</v>
      </c>
      <c r="G1">
        <f t="shared" si="0"/>
        <v>2015</v>
      </c>
      <c r="H1">
        <f t="shared" si="0"/>
        <v>2016</v>
      </c>
      <c r="I1">
        <f t="shared" si="0"/>
        <v>2017</v>
      </c>
      <c r="J1">
        <f t="shared" si="0"/>
        <v>2018</v>
      </c>
      <c r="K1">
        <f t="shared" si="0"/>
        <v>2019</v>
      </c>
      <c r="L1">
        <f t="shared" si="0"/>
        <v>2020</v>
      </c>
      <c r="M1">
        <f t="shared" si="0"/>
        <v>2021</v>
      </c>
      <c r="N1">
        <f t="shared" si="0"/>
        <v>2022</v>
      </c>
      <c r="O1">
        <f t="shared" si="0"/>
        <v>2023</v>
      </c>
      <c r="P1">
        <f t="shared" si="0"/>
        <v>2024</v>
      </c>
      <c r="Q1">
        <f t="shared" si="0"/>
        <v>2025</v>
      </c>
      <c r="R1">
        <f t="shared" si="0"/>
        <v>2026</v>
      </c>
      <c r="S1">
        <f t="shared" si="0"/>
        <v>2027</v>
      </c>
      <c r="T1">
        <f t="shared" si="0"/>
        <v>2028</v>
      </c>
      <c r="U1">
        <f t="shared" si="0"/>
        <v>2029</v>
      </c>
      <c r="V1">
        <f t="shared" si="0"/>
        <v>2030</v>
      </c>
      <c r="W1">
        <f t="shared" si="0"/>
        <v>2031</v>
      </c>
      <c r="X1">
        <f t="shared" si="0"/>
        <v>2032</v>
      </c>
      <c r="Y1">
        <f t="shared" si="0"/>
        <v>2033</v>
      </c>
      <c r="Z1">
        <f t="shared" si="0"/>
        <v>2034</v>
      </c>
      <c r="AA1">
        <f t="shared" si="0"/>
        <v>2035</v>
      </c>
      <c r="AB1">
        <f t="shared" si="0"/>
        <v>2036</v>
      </c>
      <c r="AC1">
        <f t="shared" si="0"/>
        <v>2037</v>
      </c>
      <c r="AD1">
        <f t="shared" si="0"/>
        <v>2038</v>
      </c>
      <c r="AE1">
        <f t="shared" si="0"/>
        <v>2039</v>
      </c>
      <c r="AF1">
        <f t="shared" si="0"/>
        <v>2040</v>
      </c>
      <c r="AG1">
        <f t="shared" si="0"/>
        <v>2041</v>
      </c>
      <c r="AH1">
        <f t="shared" si="0"/>
        <v>2042</v>
      </c>
      <c r="AI1">
        <f t="shared" si="0"/>
        <v>2043</v>
      </c>
      <c r="AJ1">
        <f t="shared" si="0"/>
        <v>2044</v>
      </c>
      <c r="AK1">
        <f t="shared" si="0"/>
        <v>2045</v>
      </c>
      <c r="AL1">
        <f t="shared" si="0"/>
        <v>2046</v>
      </c>
      <c r="AM1">
        <f t="shared" si="0"/>
        <v>2047</v>
      </c>
      <c r="AN1">
        <f t="shared" si="0"/>
        <v>2048</v>
      </c>
      <c r="AO1">
        <f t="shared" si="0"/>
        <v>2049</v>
      </c>
      <c r="AP1">
        <f t="shared" si="0"/>
        <v>2050</v>
      </c>
      <c r="AQ1">
        <f t="shared" si="0"/>
        <v>2051</v>
      </c>
      <c r="AR1">
        <f t="shared" si="0"/>
        <v>2052</v>
      </c>
      <c r="AS1">
        <f t="shared" si="0"/>
        <v>2053</v>
      </c>
      <c r="AT1">
        <f t="shared" si="0"/>
        <v>2054</v>
      </c>
      <c r="AU1">
        <f t="shared" si="0"/>
        <v>2055</v>
      </c>
      <c r="AV1">
        <f t="shared" si="0"/>
        <v>2056</v>
      </c>
      <c r="AW1">
        <f t="shared" si="0"/>
        <v>2057</v>
      </c>
      <c r="AX1">
        <f t="shared" si="0"/>
        <v>2058</v>
      </c>
      <c r="AY1">
        <f t="shared" si="0"/>
        <v>2059</v>
      </c>
      <c r="AZ1">
        <f t="shared" si="0"/>
        <v>2060</v>
      </c>
      <c r="BA1">
        <f t="shared" si="0"/>
        <v>2061</v>
      </c>
      <c r="BB1">
        <f t="shared" si="0"/>
        <v>2062</v>
      </c>
      <c r="BC1">
        <f t="shared" si="0"/>
        <v>2063</v>
      </c>
      <c r="BD1">
        <f t="shared" si="0"/>
        <v>2064</v>
      </c>
      <c r="BE1">
        <f t="shared" si="0"/>
        <v>2065</v>
      </c>
      <c r="BF1">
        <f t="shared" si="0"/>
        <v>2066</v>
      </c>
      <c r="BG1">
        <f t="shared" si="0"/>
        <v>2067</v>
      </c>
      <c r="BH1">
        <f t="shared" si="0"/>
        <v>2068</v>
      </c>
      <c r="BI1">
        <f t="shared" si="0"/>
        <v>2069</v>
      </c>
      <c r="BJ1">
        <f t="shared" si="0"/>
        <v>2070</v>
      </c>
      <c r="BK1">
        <f t="shared" si="0"/>
        <v>2071</v>
      </c>
      <c r="BL1">
        <f t="shared" si="0"/>
        <v>2072</v>
      </c>
      <c r="BM1">
        <f t="shared" si="0"/>
        <v>2073</v>
      </c>
      <c r="BN1">
        <f t="shared" si="0"/>
        <v>2074</v>
      </c>
      <c r="BO1">
        <f t="shared" si="0"/>
        <v>2075</v>
      </c>
      <c r="BP1">
        <f t="shared" ref="BP1:CN1" si="1">BO1+1</f>
        <v>2076</v>
      </c>
      <c r="BQ1">
        <f t="shared" si="1"/>
        <v>2077</v>
      </c>
      <c r="BR1">
        <f t="shared" si="1"/>
        <v>2078</v>
      </c>
      <c r="BS1">
        <f t="shared" si="1"/>
        <v>2079</v>
      </c>
      <c r="BT1">
        <f t="shared" si="1"/>
        <v>2080</v>
      </c>
      <c r="BU1">
        <f t="shared" si="1"/>
        <v>2081</v>
      </c>
      <c r="BV1">
        <f t="shared" si="1"/>
        <v>2082</v>
      </c>
      <c r="BW1">
        <f t="shared" si="1"/>
        <v>2083</v>
      </c>
      <c r="BX1">
        <f t="shared" si="1"/>
        <v>2084</v>
      </c>
      <c r="BY1">
        <f t="shared" si="1"/>
        <v>2085</v>
      </c>
      <c r="BZ1">
        <f t="shared" si="1"/>
        <v>2086</v>
      </c>
      <c r="CA1">
        <f t="shared" si="1"/>
        <v>2087</v>
      </c>
      <c r="CB1">
        <f t="shared" si="1"/>
        <v>2088</v>
      </c>
      <c r="CC1">
        <f t="shared" si="1"/>
        <v>2089</v>
      </c>
      <c r="CD1">
        <f t="shared" si="1"/>
        <v>2090</v>
      </c>
      <c r="CE1">
        <f t="shared" si="1"/>
        <v>2091</v>
      </c>
      <c r="CF1">
        <f t="shared" si="1"/>
        <v>2092</v>
      </c>
      <c r="CG1">
        <f t="shared" si="1"/>
        <v>2093</v>
      </c>
      <c r="CH1">
        <f t="shared" si="1"/>
        <v>2094</v>
      </c>
      <c r="CI1">
        <f t="shared" si="1"/>
        <v>2095</v>
      </c>
      <c r="CJ1">
        <f t="shared" si="1"/>
        <v>2096</v>
      </c>
      <c r="CK1">
        <f t="shared" si="1"/>
        <v>2097</v>
      </c>
      <c r="CL1">
        <f t="shared" si="1"/>
        <v>2098</v>
      </c>
      <c r="CM1">
        <f t="shared" si="1"/>
        <v>2099</v>
      </c>
      <c r="CN1">
        <f t="shared" si="1"/>
        <v>2100</v>
      </c>
    </row>
    <row r="2" spans="1:92" x14ac:dyDescent="0.25">
      <c r="A2" t="s">
        <v>99</v>
      </c>
      <c r="B2">
        <f>B20/B$18</f>
        <v>0.13441460253456222</v>
      </c>
      <c r="C2">
        <f t="shared" ref="C2:BN2" si="2">C20/C$18</f>
        <v>0.13441460253456222</v>
      </c>
      <c r="D2">
        <f t="shared" si="2"/>
        <v>0.13441460253456222</v>
      </c>
      <c r="E2">
        <f t="shared" si="2"/>
        <v>0.13441460253456222</v>
      </c>
      <c r="F2">
        <f t="shared" si="2"/>
        <v>0.13441460253456222</v>
      </c>
      <c r="G2">
        <f t="shared" si="2"/>
        <v>0.13441460253456222</v>
      </c>
      <c r="H2">
        <f t="shared" si="2"/>
        <v>0.13441460253456222</v>
      </c>
      <c r="I2">
        <f t="shared" si="2"/>
        <v>0.13441460253456222</v>
      </c>
      <c r="J2">
        <f t="shared" si="2"/>
        <v>0.13441460253456222</v>
      </c>
      <c r="K2">
        <f t="shared" si="2"/>
        <v>0.13441460253456222</v>
      </c>
      <c r="L2">
        <f t="shared" si="2"/>
        <v>0.13441460253456222</v>
      </c>
      <c r="M2">
        <f t="shared" si="2"/>
        <v>0.13314692074012704</v>
      </c>
      <c r="N2">
        <f t="shared" si="2"/>
        <v>0.13648510441753819</v>
      </c>
      <c r="O2">
        <f t="shared" si="2"/>
        <v>0.13737300090345692</v>
      </c>
      <c r="P2">
        <f t="shared" si="2"/>
        <v>0.13635739670240837</v>
      </c>
      <c r="Q2">
        <f t="shared" si="2"/>
        <v>0.13549114992380729</v>
      </c>
      <c r="R2">
        <f t="shared" si="2"/>
        <v>0.13676294890716142</v>
      </c>
      <c r="S2">
        <f t="shared" si="2"/>
        <v>0.1410918833210312</v>
      </c>
      <c r="T2">
        <f t="shared" si="2"/>
        <v>0.14434826883910387</v>
      </c>
      <c r="U2">
        <f t="shared" si="2"/>
        <v>0.1476720593731646</v>
      </c>
      <c r="V2">
        <f t="shared" si="2"/>
        <v>0.14873133828747406</v>
      </c>
      <c r="W2">
        <f t="shared" si="2"/>
        <v>0.14866274404921101</v>
      </c>
      <c r="X2">
        <f t="shared" si="2"/>
        <v>0.14865621500559911</v>
      </c>
      <c r="Y2">
        <f t="shared" si="2"/>
        <v>0.14866239991430791</v>
      </c>
      <c r="Z2">
        <f t="shared" si="2"/>
        <v>0.14865481688325635</v>
      </c>
      <c r="AA2">
        <f t="shared" si="2"/>
        <v>0.14866023579849946</v>
      </c>
      <c r="AB2">
        <f t="shared" si="2"/>
        <v>0.14865555256789459</v>
      </c>
      <c r="AC2">
        <f t="shared" si="2"/>
        <v>0.14866446881517864</v>
      </c>
      <c r="AD2">
        <f t="shared" si="2"/>
        <v>0.14865424430641822</v>
      </c>
      <c r="AE2">
        <f t="shared" si="2"/>
        <v>0.14866603871207398</v>
      </c>
      <c r="AF2">
        <f t="shared" si="2"/>
        <v>0.1486573060701511</v>
      </c>
      <c r="AG2">
        <f t="shared" si="2"/>
        <v>0.14866468447087372</v>
      </c>
      <c r="AH2">
        <f t="shared" si="2"/>
        <v>0.14866468447087372</v>
      </c>
      <c r="AI2">
        <f t="shared" si="2"/>
        <v>0.14866468447087372</v>
      </c>
      <c r="AJ2">
        <f t="shared" si="2"/>
        <v>0.14866468447087372</v>
      </c>
      <c r="AK2">
        <f t="shared" si="2"/>
        <v>0.14866468447087372</v>
      </c>
      <c r="AL2">
        <f t="shared" si="2"/>
        <v>0.14866468447087372</v>
      </c>
      <c r="AM2">
        <f t="shared" si="2"/>
        <v>0.14866468447087372</v>
      </c>
      <c r="AN2">
        <f t="shared" si="2"/>
        <v>0.14866468447087372</v>
      </c>
      <c r="AO2">
        <f t="shared" si="2"/>
        <v>0.14866468447087372</v>
      </c>
      <c r="AP2">
        <f t="shared" si="2"/>
        <v>0.14866468447087372</v>
      </c>
      <c r="AQ2">
        <f t="shared" si="2"/>
        <v>0.14866468447087372</v>
      </c>
      <c r="AR2">
        <f t="shared" si="2"/>
        <v>0.14866468447087372</v>
      </c>
      <c r="AS2">
        <f t="shared" si="2"/>
        <v>0.14866468447087372</v>
      </c>
      <c r="AT2">
        <f t="shared" si="2"/>
        <v>0.14866468447087372</v>
      </c>
      <c r="AU2">
        <f t="shared" si="2"/>
        <v>0.14866468447087372</v>
      </c>
      <c r="AV2">
        <f t="shared" si="2"/>
        <v>0.14866468447087372</v>
      </c>
      <c r="AW2">
        <f t="shared" si="2"/>
        <v>0.14866468447087372</v>
      </c>
      <c r="AX2">
        <f t="shared" si="2"/>
        <v>0.14866468447087372</v>
      </c>
      <c r="AY2">
        <f t="shared" si="2"/>
        <v>0.14866468447087372</v>
      </c>
      <c r="AZ2">
        <f t="shared" si="2"/>
        <v>0.14866468447087372</v>
      </c>
      <c r="BA2">
        <f t="shared" si="2"/>
        <v>0.14866468447087372</v>
      </c>
      <c r="BB2">
        <f t="shared" si="2"/>
        <v>0.14866468447087372</v>
      </c>
      <c r="BC2">
        <f t="shared" si="2"/>
        <v>0.14866468447087372</v>
      </c>
      <c r="BD2">
        <f t="shared" si="2"/>
        <v>0.14866468447087372</v>
      </c>
      <c r="BE2">
        <f t="shared" si="2"/>
        <v>0.14866468447087372</v>
      </c>
      <c r="BF2">
        <f t="shared" si="2"/>
        <v>0.14866468447087372</v>
      </c>
      <c r="BG2">
        <f t="shared" si="2"/>
        <v>0.14866468447087372</v>
      </c>
      <c r="BH2">
        <f t="shared" si="2"/>
        <v>0.14866468447087372</v>
      </c>
      <c r="BI2">
        <f t="shared" si="2"/>
        <v>0.14866468447087372</v>
      </c>
      <c r="BJ2">
        <f t="shared" si="2"/>
        <v>0.15866567005834981</v>
      </c>
      <c r="BK2">
        <f t="shared" si="2"/>
        <v>0.15866567005834981</v>
      </c>
      <c r="BL2">
        <f t="shared" si="2"/>
        <v>0.15866567005834981</v>
      </c>
      <c r="BM2">
        <f t="shared" si="2"/>
        <v>0.15866567005834981</v>
      </c>
      <c r="BN2">
        <f t="shared" si="2"/>
        <v>0.15866567005834981</v>
      </c>
      <c r="BO2">
        <f t="shared" ref="BO2:CN2" si="3">BO20/BO$18</f>
        <v>0.15866567005834981</v>
      </c>
      <c r="BP2">
        <f t="shared" si="3"/>
        <v>0.15866567005834981</v>
      </c>
      <c r="BQ2">
        <f t="shared" si="3"/>
        <v>0.15866567005834981</v>
      </c>
      <c r="BR2">
        <f t="shared" si="3"/>
        <v>0.15866567005834981</v>
      </c>
      <c r="BS2">
        <f t="shared" si="3"/>
        <v>0.15866567005834981</v>
      </c>
      <c r="BT2">
        <f t="shared" si="3"/>
        <v>0.15866567005834981</v>
      </c>
      <c r="BU2">
        <f t="shared" si="3"/>
        <v>0.15866567005834981</v>
      </c>
      <c r="BV2">
        <f t="shared" si="3"/>
        <v>0.15866567005834981</v>
      </c>
      <c r="BW2">
        <f t="shared" si="3"/>
        <v>0.15866567005834981</v>
      </c>
      <c r="BX2">
        <f t="shared" si="3"/>
        <v>0.15866567005834981</v>
      </c>
      <c r="BY2">
        <f t="shared" si="3"/>
        <v>0.15866567005834981</v>
      </c>
      <c r="BZ2">
        <f t="shared" si="3"/>
        <v>0.15866567005834981</v>
      </c>
      <c r="CA2">
        <f t="shared" si="3"/>
        <v>0.15866567005834981</v>
      </c>
      <c r="CB2">
        <f t="shared" si="3"/>
        <v>0.15866567005834981</v>
      </c>
      <c r="CC2">
        <f t="shared" si="3"/>
        <v>0.15866567005834981</v>
      </c>
      <c r="CD2">
        <f t="shared" si="3"/>
        <v>0.15866567005834981</v>
      </c>
      <c r="CE2">
        <f t="shared" si="3"/>
        <v>0.15866567005834981</v>
      </c>
      <c r="CF2">
        <f t="shared" si="3"/>
        <v>0.15866567005834981</v>
      </c>
      <c r="CG2">
        <f t="shared" si="3"/>
        <v>0.15866567005834981</v>
      </c>
      <c r="CH2">
        <f t="shared" si="3"/>
        <v>0.15866567005834981</v>
      </c>
      <c r="CI2">
        <f t="shared" si="3"/>
        <v>0.15866567005834981</v>
      </c>
      <c r="CJ2">
        <f t="shared" si="3"/>
        <v>0.15866567005834981</v>
      </c>
      <c r="CK2">
        <f t="shared" si="3"/>
        <v>0.15866567005834981</v>
      </c>
      <c r="CL2">
        <f t="shared" si="3"/>
        <v>0.15866567005834981</v>
      </c>
      <c r="CM2">
        <f t="shared" si="3"/>
        <v>0.15866567005834981</v>
      </c>
      <c r="CN2">
        <f t="shared" si="3"/>
        <v>0.15866567005834981</v>
      </c>
    </row>
    <row r="3" spans="1:92" x14ac:dyDescent="0.25">
      <c r="A3" t="s">
        <v>11</v>
      </c>
      <c r="B3">
        <f t="shared" ref="B3:BM3" si="4">B21/B$18</f>
        <v>2.9017857142857144E-2</v>
      </c>
      <c r="C3">
        <f t="shared" si="4"/>
        <v>2.9017857142857144E-2</v>
      </c>
      <c r="D3">
        <f t="shared" si="4"/>
        <v>2.9017857142857144E-2</v>
      </c>
      <c r="E3">
        <f t="shared" si="4"/>
        <v>2.9017857142857144E-2</v>
      </c>
      <c r="F3">
        <f t="shared" si="4"/>
        <v>2.9017857142857144E-2</v>
      </c>
      <c r="G3">
        <f t="shared" si="4"/>
        <v>2.9017857142857144E-2</v>
      </c>
      <c r="H3">
        <f t="shared" si="4"/>
        <v>2.9017857142857144E-2</v>
      </c>
      <c r="I3">
        <f t="shared" si="4"/>
        <v>2.9017857142857144E-2</v>
      </c>
      <c r="J3">
        <f t="shared" si="4"/>
        <v>2.9017857142857144E-2</v>
      </c>
      <c r="K3">
        <f t="shared" si="4"/>
        <v>2.9017857142857144E-2</v>
      </c>
      <c r="L3">
        <f t="shared" si="4"/>
        <v>2.9017857142857144E-2</v>
      </c>
      <c r="M3">
        <f t="shared" si="4"/>
        <v>2.9687931510632422E-2</v>
      </c>
      <c r="N3">
        <f t="shared" si="4"/>
        <v>2.9411764705882353E-2</v>
      </c>
      <c r="O3">
        <f t="shared" si="4"/>
        <v>3.3443755844732213E-2</v>
      </c>
      <c r="P3">
        <f t="shared" si="4"/>
        <v>3.5782377255464209E-2</v>
      </c>
      <c r="Q3">
        <f t="shared" si="4"/>
        <v>3.6762982065408512E-2</v>
      </c>
      <c r="R3">
        <f t="shared" si="4"/>
        <v>3.7767938716705321E-2</v>
      </c>
      <c r="S3">
        <f t="shared" si="4"/>
        <v>3.868339757784521E-2</v>
      </c>
      <c r="T3">
        <f t="shared" si="4"/>
        <v>3.9339693429092076E-2</v>
      </c>
      <c r="U3">
        <f t="shared" si="4"/>
        <v>3.9697794863580542E-2</v>
      </c>
      <c r="V3">
        <f t="shared" si="4"/>
        <v>3.9726852781683065E-2</v>
      </c>
      <c r="W3">
        <f t="shared" si="4"/>
        <v>3.9796737095480074E-2</v>
      </c>
      <c r="X3">
        <f t="shared" si="4"/>
        <v>3.9806964219058286E-2</v>
      </c>
      <c r="Y3">
        <f t="shared" si="4"/>
        <v>3.9806657204830891E-2</v>
      </c>
      <c r="Z3">
        <f t="shared" si="4"/>
        <v>3.9805069272903018E-2</v>
      </c>
      <c r="AA3">
        <f t="shared" si="4"/>
        <v>3.9804394426580923E-2</v>
      </c>
      <c r="AB3">
        <f t="shared" si="4"/>
        <v>3.9809088464641033E-2</v>
      </c>
      <c r="AC3">
        <f t="shared" si="4"/>
        <v>3.9803538989436858E-2</v>
      </c>
      <c r="AD3">
        <f t="shared" si="4"/>
        <v>3.9804982301475993E-2</v>
      </c>
      <c r="AE3">
        <f t="shared" si="4"/>
        <v>3.9799938973426909E-2</v>
      </c>
      <c r="AF3">
        <f t="shared" si="4"/>
        <v>3.9800331002082107E-2</v>
      </c>
      <c r="AG3">
        <f t="shared" si="4"/>
        <v>3.9799469340408795E-2</v>
      </c>
      <c r="AH3">
        <f t="shared" si="4"/>
        <v>3.9799469340408795E-2</v>
      </c>
      <c r="AI3">
        <f t="shared" si="4"/>
        <v>3.9799469340408795E-2</v>
      </c>
      <c r="AJ3">
        <f t="shared" si="4"/>
        <v>3.9799469340408795E-2</v>
      </c>
      <c r="AK3">
        <f t="shared" si="4"/>
        <v>3.9799469340408795E-2</v>
      </c>
      <c r="AL3">
        <f t="shared" si="4"/>
        <v>3.9799469340408795E-2</v>
      </c>
      <c r="AM3">
        <f t="shared" si="4"/>
        <v>3.9799469340408795E-2</v>
      </c>
      <c r="AN3">
        <f t="shared" si="4"/>
        <v>3.9799469340408795E-2</v>
      </c>
      <c r="AO3">
        <f t="shared" si="4"/>
        <v>3.9799469340408795E-2</v>
      </c>
      <c r="AP3">
        <f t="shared" si="4"/>
        <v>3.9799469340408795E-2</v>
      </c>
      <c r="AQ3">
        <f t="shared" si="4"/>
        <v>3.9799469340408795E-2</v>
      </c>
      <c r="AR3">
        <f t="shared" si="4"/>
        <v>3.9799469340408795E-2</v>
      </c>
      <c r="AS3">
        <f t="shared" si="4"/>
        <v>3.9799469340408795E-2</v>
      </c>
      <c r="AT3">
        <f t="shared" si="4"/>
        <v>3.9799469340408795E-2</v>
      </c>
      <c r="AU3">
        <f t="shared" si="4"/>
        <v>3.9799469340408795E-2</v>
      </c>
      <c r="AV3">
        <f t="shared" si="4"/>
        <v>3.9799469340408795E-2</v>
      </c>
      <c r="AW3">
        <f t="shared" si="4"/>
        <v>3.9799469340408795E-2</v>
      </c>
      <c r="AX3">
        <f t="shared" si="4"/>
        <v>3.9799469340408795E-2</v>
      </c>
      <c r="AY3">
        <f t="shared" si="4"/>
        <v>3.9799469340408795E-2</v>
      </c>
      <c r="AZ3">
        <f t="shared" si="4"/>
        <v>3.9799469340408795E-2</v>
      </c>
      <c r="BA3">
        <f t="shared" si="4"/>
        <v>3.9799469340408795E-2</v>
      </c>
      <c r="BB3">
        <f t="shared" si="4"/>
        <v>3.9799469340408795E-2</v>
      </c>
      <c r="BC3">
        <f t="shared" si="4"/>
        <v>3.9799469340408795E-2</v>
      </c>
      <c r="BD3">
        <f t="shared" si="4"/>
        <v>3.9799469340408795E-2</v>
      </c>
      <c r="BE3">
        <f t="shared" si="4"/>
        <v>3.9799469340408795E-2</v>
      </c>
      <c r="BF3">
        <f t="shared" si="4"/>
        <v>3.9799469340408795E-2</v>
      </c>
      <c r="BG3">
        <f t="shared" si="4"/>
        <v>3.9799469340408795E-2</v>
      </c>
      <c r="BH3">
        <f t="shared" si="4"/>
        <v>3.9799469340408795E-2</v>
      </c>
      <c r="BI3">
        <f t="shared" si="4"/>
        <v>3.9799469340408795E-2</v>
      </c>
      <c r="BJ3">
        <f t="shared" si="4"/>
        <v>3.5986401118773208E-2</v>
      </c>
      <c r="BK3">
        <f t="shared" si="4"/>
        <v>3.5986401118773208E-2</v>
      </c>
      <c r="BL3">
        <f t="shared" si="4"/>
        <v>3.5986401118773208E-2</v>
      </c>
      <c r="BM3">
        <f t="shared" si="4"/>
        <v>3.5986401118773208E-2</v>
      </c>
      <c r="BN3">
        <f t="shared" ref="BN3:CN3" si="5">BN21/BN$18</f>
        <v>3.5986401118773208E-2</v>
      </c>
      <c r="BO3">
        <f t="shared" si="5"/>
        <v>3.5986401118773208E-2</v>
      </c>
      <c r="BP3">
        <f t="shared" si="5"/>
        <v>3.5986401118773208E-2</v>
      </c>
      <c r="BQ3">
        <f t="shared" si="5"/>
        <v>3.5986401118773208E-2</v>
      </c>
      <c r="BR3">
        <f t="shared" si="5"/>
        <v>3.5986401118773208E-2</v>
      </c>
      <c r="BS3">
        <f t="shared" si="5"/>
        <v>3.5986401118773208E-2</v>
      </c>
      <c r="BT3">
        <f t="shared" si="5"/>
        <v>3.5986401118773208E-2</v>
      </c>
      <c r="BU3">
        <f t="shared" si="5"/>
        <v>3.5986401118773208E-2</v>
      </c>
      <c r="BV3">
        <f t="shared" si="5"/>
        <v>3.5986401118773208E-2</v>
      </c>
      <c r="BW3">
        <f t="shared" si="5"/>
        <v>3.5986401118773208E-2</v>
      </c>
      <c r="BX3">
        <f t="shared" si="5"/>
        <v>3.5986401118773208E-2</v>
      </c>
      <c r="BY3">
        <f t="shared" si="5"/>
        <v>3.5986401118773208E-2</v>
      </c>
      <c r="BZ3">
        <f t="shared" si="5"/>
        <v>3.5986401118773208E-2</v>
      </c>
      <c r="CA3">
        <f t="shared" si="5"/>
        <v>3.5986401118773208E-2</v>
      </c>
      <c r="CB3">
        <f t="shared" si="5"/>
        <v>3.5986401118773208E-2</v>
      </c>
      <c r="CC3">
        <f t="shared" si="5"/>
        <v>3.5986401118773208E-2</v>
      </c>
      <c r="CD3">
        <f t="shared" si="5"/>
        <v>3.5986401118773208E-2</v>
      </c>
      <c r="CE3">
        <f t="shared" si="5"/>
        <v>3.5986401118773208E-2</v>
      </c>
      <c r="CF3">
        <f t="shared" si="5"/>
        <v>3.5986401118773208E-2</v>
      </c>
      <c r="CG3">
        <f t="shared" si="5"/>
        <v>3.5986401118773208E-2</v>
      </c>
      <c r="CH3">
        <f t="shared" si="5"/>
        <v>3.5986401118773208E-2</v>
      </c>
      <c r="CI3">
        <f t="shared" si="5"/>
        <v>3.5986401118773208E-2</v>
      </c>
      <c r="CJ3">
        <f t="shared" si="5"/>
        <v>3.5986401118773208E-2</v>
      </c>
      <c r="CK3">
        <f t="shared" si="5"/>
        <v>3.5986401118773208E-2</v>
      </c>
      <c r="CL3">
        <f t="shared" si="5"/>
        <v>3.5986401118773208E-2</v>
      </c>
      <c r="CM3">
        <f t="shared" si="5"/>
        <v>3.5986401118773208E-2</v>
      </c>
      <c r="CN3">
        <f t="shared" si="5"/>
        <v>3.5986401118773208E-2</v>
      </c>
    </row>
    <row r="4" spans="1:92" x14ac:dyDescent="0.25">
      <c r="A4" t="s">
        <v>12</v>
      </c>
      <c r="B4">
        <f t="shared" ref="B4:BM4" si="6">B22/B$18</f>
        <v>4.8315092165898618E-2</v>
      </c>
      <c r="C4">
        <f t="shared" si="6"/>
        <v>4.8315092165898618E-2</v>
      </c>
      <c r="D4">
        <f t="shared" si="6"/>
        <v>4.8315092165898618E-2</v>
      </c>
      <c r="E4">
        <f t="shared" si="6"/>
        <v>4.8315092165898618E-2</v>
      </c>
      <c r="F4">
        <f t="shared" si="6"/>
        <v>4.8315092165898618E-2</v>
      </c>
      <c r="G4">
        <f t="shared" si="6"/>
        <v>4.8315092165898618E-2</v>
      </c>
      <c r="H4">
        <f t="shared" si="6"/>
        <v>4.8315092165898618E-2</v>
      </c>
      <c r="I4">
        <f t="shared" si="6"/>
        <v>4.8315092165898618E-2</v>
      </c>
      <c r="J4">
        <f t="shared" si="6"/>
        <v>4.8315092165898618E-2</v>
      </c>
      <c r="K4">
        <f t="shared" si="6"/>
        <v>4.8315092165898618E-2</v>
      </c>
      <c r="L4">
        <f t="shared" si="6"/>
        <v>4.8315092165898618E-2</v>
      </c>
      <c r="M4">
        <f t="shared" si="6"/>
        <v>4.6862054681027339E-2</v>
      </c>
      <c r="N4">
        <f t="shared" si="6"/>
        <v>4.4208373197848969E-2</v>
      </c>
      <c r="O4">
        <f t="shared" si="6"/>
        <v>4.5156995451015203E-2</v>
      </c>
      <c r="P4">
        <f t="shared" si="6"/>
        <v>4.6733676006284031E-2</v>
      </c>
      <c r="Q4">
        <f t="shared" si="6"/>
        <v>4.8631461727816197E-2</v>
      </c>
      <c r="R4">
        <f t="shared" si="6"/>
        <v>5.0418160095579451E-2</v>
      </c>
      <c r="S4">
        <f t="shared" si="6"/>
        <v>5.2325104568194863E-2</v>
      </c>
      <c r="T4">
        <f t="shared" si="6"/>
        <v>5.4333261871583237E-2</v>
      </c>
      <c r="U4">
        <f t="shared" si="6"/>
        <v>5.643654226066528E-2</v>
      </c>
      <c r="V4">
        <f t="shared" si="6"/>
        <v>5.8873937202918926E-2</v>
      </c>
      <c r="W4">
        <f t="shared" si="6"/>
        <v>6.1206204867611663E-2</v>
      </c>
      <c r="X4">
        <f t="shared" si="6"/>
        <v>6.1203540766810643E-2</v>
      </c>
      <c r="Y4">
        <f t="shared" si="6"/>
        <v>6.1202902819805588E-2</v>
      </c>
      <c r="Z4">
        <f t="shared" si="6"/>
        <v>6.1204489313714958E-2</v>
      </c>
      <c r="AA4">
        <f t="shared" si="6"/>
        <v>6.1200428724544481E-2</v>
      </c>
      <c r="AB4">
        <f t="shared" si="6"/>
        <v>6.1199247109438019E-2</v>
      </c>
      <c r="AC4">
        <f t="shared" si="6"/>
        <v>6.1198950413779186E-2</v>
      </c>
      <c r="AD4">
        <f t="shared" si="6"/>
        <v>6.1203499632672145E-2</v>
      </c>
      <c r="AE4">
        <f t="shared" si="6"/>
        <v>6.1199039494806109E-2</v>
      </c>
      <c r="AF4">
        <f t="shared" si="6"/>
        <v>6.1195344615877424E-2</v>
      </c>
      <c r="AG4">
        <f t="shared" si="6"/>
        <v>6.1199184010879856E-2</v>
      </c>
      <c r="AH4">
        <f t="shared" si="6"/>
        <v>6.1199184010879856E-2</v>
      </c>
      <c r="AI4">
        <f t="shared" si="6"/>
        <v>6.1199184010879856E-2</v>
      </c>
      <c r="AJ4">
        <f t="shared" si="6"/>
        <v>6.1199184010879856E-2</v>
      </c>
      <c r="AK4">
        <f t="shared" si="6"/>
        <v>6.1199184010879856E-2</v>
      </c>
      <c r="AL4">
        <f t="shared" si="6"/>
        <v>6.1199184010879856E-2</v>
      </c>
      <c r="AM4">
        <f t="shared" si="6"/>
        <v>6.1199184010879856E-2</v>
      </c>
      <c r="AN4">
        <f t="shared" si="6"/>
        <v>6.1199184010879856E-2</v>
      </c>
      <c r="AO4">
        <f t="shared" si="6"/>
        <v>6.1199184010879856E-2</v>
      </c>
      <c r="AP4">
        <f t="shared" si="6"/>
        <v>6.1199184010879856E-2</v>
      </c>
      <c r="AQ4">
        <f t="shared" si="6"/>
        <v>6.1199184010879856E-2</v>
      </c>
      <c r="AR4">
        <f t="shared" si="6"/>
        <v>6.1199184010879856E-2</v>
      </c>
      <c r="AS4">
        <f t="shared" si="6"/>
        <v>6.1199184010879856E-2</v>
      </c>
      <c r="AT4">
        <f t="shared" si="6"/>
        <v>6.1199184010879856E-2</v>
      </c>
      <c r="AU4">
        <f t="shared" si="6"/>
        <v>6.1199184010879856E-2</v>
      </c>
      <c r="AV4">
        <f t="shared" si="6"/>
        <v>6.1199184010879856E-2</v>
      </c>
      <c r="AW4">
        <f t="shared" si="6"/>
        <v>6.1199184010879856E-2</v>
      </c>
      <c r="AX4">
        <f t="shared" si="6"/>
        <v>6.1199184010879856E-2</v>
      </c>
      <c r="AY4">
        <f t="shared" si="6"/>
        <v>6.1199184010879856E-2</v>
      </c>
      <c r="AZ4">
        <f t="shared" si="6"/>
        <v>6.1199184010879856E-2</v>
      </c>
      <c r="BA4">
        <f t="shared" si="6"/>
        <v>6.1199184010879856E-2</v>
      </c>
      <c r="BB4">
        <f t="shared" si="6"/>
        <v>6.1199184010879856E-2</v>
      </c>
      <c r="BC4">
        <f t="shared" si="6"/>
        <v>6.1199184010879856E-2</v>
      </c>
      <c r="BD4">
        <f t="shared" si="6"/>
        <v>6.1199184010879856E-2</v>
      </c>
      <c r="BE4">
        <f t="shared" si="6"/>
        <v>6.1199184010879856E-2</v>
      </c>
      <c r="BF4">
        <f t="shared" si="6"/>
        <v>6.1199184010879856E-2</v>
      </c>
      <c r="BG4">
        <f t="shared" si="6"/>
        <v>6.1199184010879856E-2</v>
      </c>
      <c r="BH4">
        <f t="shared" si="6"/>
        <v>6.1199184010879856E-2</v>
      </c>
      <c r="BI4">
        <f t="shared" si="6"/>
        <v>6.1199184010879856E-2</v>
      </c>
      <c r="BJ4">
        <f t="shared" si="6"/>
        <v>5.5335873077108549E-2</v>
      </c>
      <c r="BK4">
        <f t="shared" si="6"/>
        <v>5.5335873077108549E-2</v>
      </c>
      <c r="BL4">
        <f t="shared" si="6"/>
        <v>5.5335873077108549E-2</v>
      </c>
      <c r="BM4">
        <f t="shared" si="6"/>
        <v>5.5335873077108549E-2</v>
      </c>
      <c r="BN4">
        <f t="shared" ref="BN4:CN4" si="7">BN22/BN$18</f>
        <v>5.5335873077108549E-2</v>
      </c>
      <c r="BO4">
        <f t="shared" si="7"/>
        <v>5.5335873077108549E-2</v>
      </c>
      <c r="BP4">
        <f t="shared" si="7"/>
        <v>5.5335873077108549E-2</v>
      </c>
      <c r="BQ4">
        <f t="shared" si="7"/>
        <v>5.5335873077108549E-2</v>
      </c>
      <c r="BR4">
        <f t="shared" si="7"/>
        <v>5.5335873077108549E-2</v>
      </c>
      <c r="BS4">
        <f t="shared" si="7"/>
        <v>5.5335873077108549E-2</v>
      </c>
      <c r="BT4">
        <f t="shared" si="7"/>
        <v>5.5335873077108549E-2</v>
      </c>
      <c r="BU4">
        <f t="shared" si="7"/>
        <v>5.5335873077108549E-2</v>
      </c>
      <c r="BV4">
        <f t="shared" si="7"/>
        <v>5.5335873077108549E-2</v>
      </c>
      <c r="BW4">
        <f t="shared" si="7"/>
        <v>5.5335873077108549E-2</v>
      </c>
      <c r="BX4">
        <f t="shared" si="7"/>
        <v>5.5335873077108549E-2</v>
      </c>
      <c r="BY4">
        <f t="shared" si="7"/>
        <v>5.5335873077108549E-2</v>
      </c>
      <c r="BZ4">
        <f t="shared" si="7"/>
        <v>5.5335873077108549E-2</v>
      </c>
      <c r="CA4">
        <f t="shared" si="7"/>
        <v>5.5335873077108549E-2</v>
      </c>
      <c r="CB4">
        <f t="shared" si="7"/>
        <v>5.5335873077108549E-2</v>
      </c>
      <c r="CC4">
        <f t="shared" si="7"/>
        <v>5.5335873077108549E-2</v>
      </c>
      <c r="CD4">
        <f t="shared" si="7"/>
        <v>5.5335873077108549E-2</v>
      </c>
      <c r="CE4">
        <f t="shared" si="7"/>
        <v>5.5335873077108549E-2</v>
      </c>
      <c r="CF4">
        <f t="shared" si="7"/>
        <v>5.5335873077108549E-2</v>
      </c>
      <c r="CG4">
        <f t="shared" si="7"/>
        <v>5.5335873077108549E-2</v>
      </c>
      <c r="CH4">
        <f t="shared" si="7"/>
        <v>5.5335873077108549E-2</v>
      </c>
      <c r="CI4">
        <f t="shared" si="7"/>
        <v>5.5335873077108549E-2</v>
      </c>
      <c r="CJ4">
        <f t="shared" si="7"/>
        <v>5.5335873077108549E-2</v>
      </c>
      <c r="CK4">
        <f t="shared" si="7"/>
        <v>5.5335873077108549E-2</v>
      </c>
      <c r="CL4">
        <f t="shared" si="7"/>
        <v>5.5335873077108549E-2</v>
      </c>
      <c r="CM4">
        <f t="shared" si="7"/>
        <v>5.5335873077108549E-2</v>
      </c>
      <c r="CN4">
        <f t="shared" si="7"/>
        <v>5.5335873077108549E-2</v>
      </c>
    </row>
    <row r="5" spans="1:92" x14ac:dyDescent="0.25">
      <c r="A5" t="s">
        <v>95</v>
      </c>
      <c r="B5">
        <f t="shared" ref="B5:BM5" si="8">B23/B$18</f>
        <v>4.1276641705069124E-2</v>
      </c>
      <c r="C5">
        <f t="shared" si="8"/>
        <v>4.1276641705069124E-2</v>
      </c>
      <c r="D5">
        <f t="shared" si="8"/>
        <v>4.1276641705069124E-2</v>
      </c>
      <c r="E5">
        <f t="shared" si="8"/>
        <v>4.1276641705069124E-2</v>
      </c>
      <c r="F5">
        <f t="shared" si="8"/>
        <v>4.1276641705069124E-2</v>
      </c>
      <c r="G5">
        <f t="shared" si="8"/>
        <v>4.1276641705069124E-2</v>
      </c>
      <c r="H5">
        <f t="shared" si="8"/>
        <v>4.1276641705069124E-2</v>
      </c>
      <c r="I5">
        <f t="shared" si="8"/>
        <v>4.1276641705069124E-2</v>
      </c>
      <c r="J5">
        <f t="shared" si="8"/>
        <v>4.1276641705069124E-2</v>
      </c>
      <c r="K5">
        <f t="shared" si="8"/>
        <v>4.1276641705069124E-2</v>
      </c>
      <c r="L5">
        <f t="shared" si="8"/>
        <v>4.1276641705069124E-2</v>
      </c>
      <c r="M5">
        <f t="shared" si="8"/>
        <v>4.3375448771057722E-2</v>
      </c>
      <c r="N5">
        <f t="shared" si="8"/>
        <v>4.4686747385437632E-2</v>
      </c>
      <c r="O5">
        <f t="shared" si="8"/>
        <v>4.68212581826251E-2</v>
      </c>
      <c r="P5">
        <f t="shared" si="8"/>
        <v>5.4237908576483689E-2</v>
      </c>
      <c r="Q5">
        <f t="shared" si="8"/>
        <v>6.3459735083811974E-2</v>
      </c>
      <c r="R5">
        <f t="shared" si="8"/>
        <v>7.1965703844261722E-2</v>
      </c>
      <c r="S5">
        <f t="shared" si="8"/>
        <v>7.958118045873315E-2</v>
      </c>
      <c r="T5">
        <f t="shared" si="8"/>
        <v>8.6772430056812094E-2</v>
      </c>
      <c r="U5">
        <f t="shared" si="8"/>
        <v>9.1916279566447753E-2</v>
      </c>
      <c r="V5">
        <f t="shared" si="8"/>
        <v>9.4369686014594625E-2</v>
      </c>
      <c r="W5">
        <f t="shared" si="8"/>
        <v>9.455736828028885E-2</v>
      </c>
      <c r="X5">
        <f t="shared" si="8"/>
        <v>9.4558204020690026E-2</v>
      </c>
      <c r="Y5">
        <f t="shared" si="8"/>
        <v>9.4555873925501438E-2</v>
      </c>
      <c r="Z5">
        <f t="shared" si="8"/>
        <v>9.4552142627000318E-2</v>
      </c>
      <c r="AA5">
        <f t="shared" si="8"/>
        <v>9.4560557341907825E-2</v>
      </c>
      <c r="AB5">
        <f t="shared" si="8"/>
        <v>9.4554987899973117E-2</v>
      </c>
      <c r="AC5">
        <f t="shared" si="8"/>
        <v>9.4556953508712918E-2</v>
      </c>
      <c r="AD5">
        <f t="shared" si="8"/>
        <v>9.4556869030922322E-2</v>
      </c>
      <c r="AE5">
        <f t="shared" si="8"/>
        <v>9.4551388354537858E-2</v>
      </c>
      <c r="AF5">
        <f t="shared" si="8"/>
        <v>9.4562489989856391E-2</v>
      </c>
      <c r="AG5">
        <f t="shared" si="8"/>
        <v>9.4558739216810447E-2</v>
      </c>
      <c r="AH5">
        <f t="shared" si="8"/>
        <v>9.4558739216810447E-2</v>
      </c>
      <c r="AI5">
        <f t="shared" si="8"/>
        <v>9.4558739216810447E-2</v>
      </c>
      <c r="AJ5">
        <f t="shared" si="8"/>
        <v>9.4558739216810447E-2</v>
      </c>
      <c r="AK5">
        <f t="shared" si="8"/>
        <v>9.4558739216810447E-2</v>
      </c>
      <c r="AL5">
        <f t="shared" si="8"/>
        <v>9.4558739216810447E-2</v>
      </c>
      <c r="AM5">
        <f t="shared" si="8"/>
        <v>9.4558739216810447E-2</v>
      </c>
      <c r="AN5">
        <f t="shared" si="8"/>
        <v>9.4558739216810447E-2</v>
      </c>
      <c r="AO5">
        <f t="shared" si="8"/>
        <v>9.4558739216810447E-2</v>
      </c>
      <c r="AP5">
        <f t="shared" si="8"/>
        <v>9.4558739216810447E-2</v>
      </c>
      <c r="AQ5">
        <f t="shared" si="8"/>
        <v>9.4558739216810447E-2</v>
      </c>
      <c r="AR5">
        <f t="shared" si="8"/>
        <v>9.4558739216810447E-2</v>
      </c>
      <c r="AS5">
        <f t="shared" si="8"/>
        <v>9.4558739216810447E-2</v>
      </c>
      <c r="AT5">
        <f t="shared" si="8"/>
        <v>9.4558739216810447E-2</v>
      </c>
      <c r="AU5">
        <f t="shared" si="8"/>
        <v>9.4558739216810447E-2</v>
      </c>
      <c r="AV5">
        <f t="shared" si="8"/>
        <v>9.4558739216810447E-2</v>
      </c>
      <c r="AW5">
        <f t="shared" si="8"/>
        <v>9.4558739216810447E-2</v>
      </c>
      <c r="AX5">
        <f t="shared" si="8"/>
        <v>9.4558739216810447E-2</v>
      </c>
      <c r="AY5">
        <f t="shared" si="8"/>
        <v>9.4558739216810447E-2</v>
      </c>
      <c r="AZ5">
        <f t="shared" si="8"/>
        <v>9.4558739216810447E-2</v>
      </c>
      <c r="BA5">
        <f t="shared" si="8"/>
        <v>9.4558739216810447E-2</v>
      </c>
      <c r="BB5">
        <f t="shared" si="8"/>
        <v>9.4558739216810447E-2</v>
      </c>
      <c r="BC5">
        <f t="shared" si="8"/>
        <v>9.4558739216810447E-2</v>
      </c>
      <c r="BD5">
        <f t="shared" si="8"/>
        <v>9.4558739216810447E-2</v>
      </c>
      <c r="BE5">
        <f t="shared" si="8"/>
        <v>9.4558739216810447E-2</v>
      </c>
      <c r="BF5">
        <f t="shared" si="8"/>
        <v>9.4558739216810447E-2</v>
      </c>
      <c r="BG5">
        <f t="shared" si="8"/>
        <v>9.4558739216810447E-2</v>
      </c>
      <c r="BH5">
        <f t="shared" si="8"/>
        <v>9.4558739216810447E-2</v>
      </c>
      <c r="BI5">
        <f t="shared" si="8"/>
        <v>9.4558739216810447E-2</v>
      </c>
      <c r="BJ5">
        <f t="shared" si="8"/>
        <v>8.549934898972851E-2</v>
      </c>
      <c r="BK5">
        <f t="shared" si="8"/>
        <v>8.549934898972851E-2</v>
      </c>
      <c r="BL5">
        <f t="shared" si="8"/>
        <v>8.549934898972851E-2</v>
      </c>
      <c r="BM5">
        <f t="shared" si="8"/>
        <v>8.549934898972851E-2</v>
      </c>
      <c r="BN5">
        <f t="shared" ref="BN5:CN5" si="9">BN23/BN$18</f>
        <v>8.549934898972851E-2</v>
      </c>
      <c r="BO5">
        <f t="shared" si="9"/>
        <v>8.549934898972851E-2</v>
      </c>
      <c r="BP5">
        <f t="shared" si="9"/>
        <v>8.549934898972851E-2</v>
      </c>
      <c r="BQ5">
        <f t="shared" si="9"/>
        <v>8.549934898972851E-2</v>
      </c>
      <c r="BR5">
        <f t="shared" si="9"/>
        <v>8.549934898972851E-2</v>
      </c>
      <c r="BS5">
        <f t="shared" si="9"/>
        <v>8.549934898972851E-2</v>
      </c>
      <c r="BT5">
        <f t="shared" si="9"/>
        <v>8.549934898972851E-2</v>
      </c>
      <c r="BU5">
        <f t="shared" si="9"/>
        <v>8.549934898972851E-2</v>
      </c>
      <c r="BV5">
        <f t="shared" si="9"/>
        <v>8.549934898972851E-2</v>
      </c>
      <c r="BW5">
        <f t="shared" si="9"/>
        <v>8.549934898972851E-2</v>
      </c>
      <c r="BX5">
        <f t="shared" si="9"/>
        <v>8.549934898972851E-2</v>
      </c>
      <c r="BY5">
        <f t="shared" si="9"/>
        <v>8.549934898972851E-2</v>
      </c>
      <c r="BZ5">
        <f t="shared" si="9"/>
        <v>8.549934898972851E-2</v>
      </c>
      <c r="CA5">
        <f t="shared" si="9"/>
        <v>8.549934898972851E-2</v>
      </c>
      <c r="CB5">
        <f t="shared" si="9"/>
        <v>8.549934898972851E-2</v>
      </c>
      <c r="CC5">
        <f t="shared" si="9"/>
        <v>8.549934898972851E-2</v>
      </c>
      <c r="CD5">
        <f t="shared" si="9"/>
        <v>8.549934898972851E-2</v>
      </c>
      <c r="CE5">
        <f t="shared" si="9"/>
        <v>8.549934898972851E-2</v>
      </c>
      <c r="CF5">
        <f t="shared" si="9"/>
        <v>8.549934898972851E-2</v>
      </c>
      <c r="CG5">
        <f t="shared" si="9"/>
        <v>8.549934898972851E-2</v>
      </c>
      <c r="CH5">
        <f t="shared" si="9"/>
        <v>8.549934898972851E-2</v>
      </c>
      <c r="CI5">
        <f t="shared" si="9"/>
        <v>8.549934898972851E-2</v>
      </c>
      <c r="CJ5">
        <f t="shared" si="9"/>
        <v>8.549934898972851E-2</v>
      </c>
      <c r="CK5">
        <f t="shared" si="9"/>
        <v>8.549934898972851E-2</v>
      </c>
      <c r="CL5">
        <f t="shared" si="9"/>
        <v>8.549934898972851E-2</v>
      </c>
      <c r="CM5">
        <f t="shared" si="9"/>
        <v>8.549934898972851E-2</v>
      </c>
      <c r="CN5">
        <f t="shared" si="9"/>
        <v>8.549934898972851E-2</v>
      </c>
    </row>
    <row r="6" spans="1:92" x14ac:dyDescent="0.25">
      <c r="A6" t="s">
        <v>101</v>
      </c>
      <c r="B6">
        <f t="shared" ref="B6:BM6" si="10">B24/B$18</f>
        <v>6.4012096774193547E-2</v>
      </c>
      <c r="C6">
        <f t="shared" si="10"/>
        <v>6.4012096774193547E-2</v>
      </c>
      <c r="D6">
        <f t="shared" si="10"/>
        <v>6.4012096774193547E-2</v>
      </c>
      <c r="E6">
        <f t="shared" si="10"/>
        <v>6.4012096774193547E-2</v>
      </c>
      <c r="F6">
        <f t="shared" si="10"/>
        <v>6.4012096774193547E-2</v>
      </c>
      <c r="G6">
        <f t="shared" si="10"/>
        <v>6.4012096774193547E-2</v>
      </c>
      <c r="H6">
        <f t="shared" si="10"/>
        <v>6.4012096774193547E-2</v>
      </c>
      <c r="I6">
        <f t="shared" si="10"/>
        <v>6.4012096774193547E-2</v>
      </c>
      <c r="J6">
        <f t="shared" si="10"/>
        <v>6.4012096774193547E-2</v>
      </c>
      <c r="K6">
        <f t="shared" si="10"/>
        <v>6.4012096774193547E-2</v>
      </c>
      <c r="L6">
        <f t="shared" si="10"/>
        <v>6.4012096774193547E-2</v>
      </c>
      <c r="M6">
        <f t="shared" si="10"/>
        <v>6.9542253521126765E-2</v>
      </c>
      <c r="N6">
        <f t="shared" si="10"/>
        <v>7.6242948104648475E-2</v>
      </c>
      <c r="O6">
        <f t="shared" si="10"/>
        <v>7.4352918799828818E-2</v>
      </c>
      <c r="P6">
        <f t="shared" si="10"/>
        <v>7.3913640315421802E-2</v>
      </c>
      <c r="Q6">
        <f t="shared" si="10"/>
        <v>7.4522330324698155E-2</v>
      </c>
      <c r="R6">
        <f t="shared" si="10"/>
        <v>7.4875254761402762E-2</v>
      </c>
      <c r="S6">
        <f t="shared" si="10"/>
        <v>7.4263921922414503E-2</v>
      </c>
      <c r="T6">
        <f t="shared" si="10"/>
        <v>7.2274627505627617E-2</v>
      </c>
      <c r="U6">
        <f t="shared" si="10"/>
        <v>7.0292060441027288E-2</v>
      </c>
      <c r="V6">
        <f t="shared" si="10"/>
        <v>6.9103568320278502E-2</v>
      </c>
      <c r="W6">
        <f t="shared" si="10"/>
        <v>6.7785504145493447E-2</v>
      </c>
      <c r="X6">
        <f t="shared" si="10"/>
        <v>6.777582253506105E-2</v>
      </c>
      <c r="Y6">
        <f t="shared" si="10"/>
        <v>6.7777093431165142E-2</v>
      </c>
      <c r="Z6">
        <f t="shared" si="10"/>
        <v>6.778273010417786E-2</v>
      </c>
      <c r="AA6">
        <f t="shared" si="10"/>
        <v>6.7778670953912115E-2</v>
      </c>
      <c r="AB6">
        <f t="shared" si="10"/>
        <v>6.7787039526754508E-2</v>
      </c>
      <c r="AC6">
        <f t="shared" si="10"/>
        <v>6.7779048644284468E-2</v>
      </c>
      <c r="AD6">
        <f t="shared" si="10"/>
        <v>6.7775328925399045E-2</v>
      </c>
      <c r="AE6">
        <f t="shared" si="10"/>
        <v>6.7779296071746029E-2</v>
      </c>
      <c r="AF6">
        <f t="shared" si="10"/>
        <v>6.7775345683626073E-2</v>
      </c>
      <c r="AG6">
        <f t="shared" si="10"/>
        <v>6.7785762856495249E-2</v>
      </c>
      <c r="AH6">
        <f t="shared" si="10"/>
        <v>6.7785762856495249E-2</v>
      </c>
      <c r="AI6">
        <f t="shared" si="10"/>
        <v>6.7785762856495249E-2</v>
      </c>
      <c r="AJ6">
        <f t="shared" si="10"/>
        <v>6.7785762856495249E-2</v>
      </c>
      <c r="AK6">
        <f t="shared" si="10"/>
        <v>6.7785762856495249E-2</v>
      </c>
      <c r="AL6">
        <f t="shared" si="10"/>
        <v>6.7785762856495249E-2</v>
      </c>
      <c r="AM6">
        <f t="shared" si="10"/>
        <v>6.7785762856495249E-2</v>
      </c>
      <c r="AN6">
        <f t="shared" si="10"/>
        <v>6.7785762856495249E-2</v>
      </c>
      <c r="AO6">
        <f t="shared" si="10"/>
        <v>6.7785762856495249E-2</v>
      </c>
      <c r="AP6">
        <f t="shared" si="10"/>
        <v>6.7785762856495249E-2</v>
      </c>
      <c r="AQ6">
        <f t="shared" si="10"/>
        <v>6.7785762856495249E-2</v>
      </c>
      <c r="AR6">
        <f t="shared" si="10"/>
        <v>6.7785762856495249E-2</v>
      </c>
      <c r="AS6">
        <f t="shared" si="10"/>
        <v>6.7785762856495249E-2</v>
      </c>
      <c r="AT6">
        <f t="shared" si="10"/>
        <v>6.7785762856495249E-2</v>
      </c>
      <c r="AU6">
        <f t="shared" si="10"/>
        <v>6.7785762856495249E-2</v>
      </c>
      <c r="AV6">
        <f t="shared" si="10"/>
        <v>6.7785762856495249E-2</v>
      </c>
      <c r="AW6">
        <f t="shared" si="10"/>
        <v>6.7785762856495249E-2</v>
      </c>
      <c r="AX6">
        <f t="shared" si="10"/>
        <v>6.7785762856495249E-2</v>
      </c>
      <c r="AY6">
        <f t="shared" si="10"/>
        <v>6.7785762856495249E-2</v>
      </c>
      <c r="AZ6">
        <f t="shared" si="10"/>
        <v>6.7785762856495249E-2</v>
      </c>
      <c r="BA6">
        <f t="shared" si="10"/>
        <v>6.7785762856495249E-2</v>
      </c>
      <c r="BB6">
        <f t="shared" si="10"/>
        <v>6.7785762856495249E-2</v>
      </c>
      <c r="BC6">
        <f t="shared" si="10"/>
        <v>6.7785762856495249E-2</v>
      </c>
      <c r="BD6">
        <f t="shared" si="10"/>
        <v>6.7785762856495249E-2</v>
      </c>
      <c r="BE6">
        <f t="shared" si="10"/>
        <v>6.7785762856495249E-2</v>
      </c>
      <c r="BF6">
        <f t="shared" si="10"/>
        <v>6.7785762856495249E-2</v>
      </c>
      <c r="BG6">
        <f t="shared" si="10"/>
        <v>6.7785762856495249E-2</v>
      </c>
      <c r="BH6">
        <f t="shared" si="10"/>
        <v>6.7785762856495249E-2</v>
      </c>
      <c r="BI6">
        <f t="shared" si="10"/>
        <v>6.7785762856495249E-2</v>
      </c>
      <c r="BJ6">
        <f t="shared" si="10"/>
        <v>7.2346530356367844E-2</v>
      </c>
      <c r="BK6">
        <f t="shared" si="10"/>
        <v>7.2346530356367844E-2</v>
      </c>
      <c r="BL6">
        <f t="shared" si="10"/>
        <v>7.2346530356367844E-2</v>
      </c>
      <c r="BM6">
        <f t="shared" si="10"/>
        <v>7.2346530356367844E-2</v>
      </c>
      <c r="BN6">
        <f t="shared" ref="BN6:CN6" si="11">BN24/BN$18</f>
        <v>7.2346530356367844E-2</v>
      </c>
      <c r="BO6">
        <f t="shared" si="11"/>
        <v>7.2346530356367844E-2</v>
      </c>
      <c r="BP6">
        <f t="shared" si="11"/>
        <v>7.2346530356367844E-2</v>
      </c>
      <c r="BQ6">
        <f t="shared" si="11"/>
        <v>7.2346530356367844E-2</v>
      </c>
      <c r="BR6">
        <f t="shared" si="11"/>
        <v>7.2346530356367844E-2</v>
      </c>
      <c r="BS6">
        <f t="shared" si="11"/>
        <v>7.2346530356367844E-2</v>
      </c>
      <c r="BT6">
        <f t="shared" si="11"/>
        <v>7.2346530356367844E-2</v>
      </c>
      <c r="BU6">
        <f t="shared" si="11"/>
        <v>7.2346530356367844E-2</v>
      </c>
      <c r="BV6">
        <f t="shared" si="11"/>
        <v>7.2346530356367844E-2</v>
      </c>
      <c r="BW6">
        <f t="shared" si="11"/>
        <v>7.2346530356367844E-2</v>
      </c>
      <c r="BX6">
        <f t="shared" si="11"/>
        <v>7.2346530356367844E-2</v>
      </c>
      <c r="BY6">
        <f t="shared" si="11"/>
        <v>7.2346530356367844E-2</v>
      </c>
      <c r="BZ6">
        <f t="shared" si="11"/>
        <v>7.2346530356367844E-2</v>
      </c>
      <c r="CA6">
        <f t="shared" si="11"/>
        <v>7.2346530356367844E-2</v>
      </c>
      <c r="CB6">
        <f t="shared" si="11"/>
        <v>7.2346530356367844E-2</v>
      </c>
      <c r="CC6">
        <f t="shared" si="11"/>
        <v>7.2346530356367844E-2</v>
      </c>
      <c r="CD6">
        <f t="shared" si="11"/>
        <v>7.2346530356367844E-2</v>
      </c>
      <c r="CE6">
        <f t="shared" si="11"/>
        <v>7.2346530356367844E-2</v>
      </c>
      <c r="CF6">
        <f t="shared" si="11"/>
        <v>7.2346530356367844E-2</v>
      </c>
      <c r="CG6">
        <f t="shared" si="11"/>
        <v>7.2346530356367844E-2</v>
      </c>
      <c r="CH6">
        <f t="shared" si="11"/>
        <v>7.2346530356367844E-2</v>
      </c>
      <c r="CI6">
        <f t="shared" si="11"/>
        <v>7.2346530356367844E-2</v>
      </c>
      <c r="CJ6">
        <f t="shared" si="11"/>
        <v>7.2346530356367844E-2</v>
      </c>
      <c r="CK6">
        <f t="shared" si="11"/>
        <v>7.2346530356367844E-2</v>
      </c>
      <c r="CL6">
        <f t="shared" si="11"/>
        <v>7.2346530356367844E-2</v>
      </c>
      <c r="CM6">
        <f t="shared" si="11"/>
        <v>7.2346530356367844E-2</v>
      </c>
      <c r="CN6">
        <f t="shared" si="11"/>
        <v>7.2346530356367844E-2</v>
      </c>
    </row>
    <row r="7" spans="1:92" x14ac:dyDescent="0.25">
      <c r="A7" t="s">
        <v>7</v>
      </c>
      <c r="B7">
        <f t="shared" ref="B7:BM7" si="12">B25/B$18</f>
        <v>0.10978902649769585</v>
      </c>
      <c r="C7">
        <f t="shared" si="12"/>
        <v>0.10978902649769585</v>
      </c>
      <c r="D7">
        <f t="shared" si="12"/>
        <v>0.10978902649769585</v>
      </c>
      <c r="E7">
        <f t="shared" si="12"/>
        <v>0.10978902649769585</v>
      </c>
      <c r="F7">
        <f t="shared" si="12"/>
        <v>0.10978902649769585</v>
      </c>
      <c r="G7">
        <f t="shared" si="12"/>
        <v>0.10978902649769585</v>
      </c>
      <c r="H7">
        <f t="shared" si="12"/>
        <v>0.10978902649769585</v>
      </c>
      <c r="I7">
        <f t="shared" si="12"/>
        <v>0.10978902649769585</v>
      </c>
      <c r="J7">
        <f t="shared" si="12"/>
        <v>0.10978902649769585</v>
      </c>
      <c r="K7">
        <f t="shared" si="12"/>
        <v>0.10978902649769585</v>
      </c>
      <c r="L7">
        <f t="shared" si="12"/>
        <v>0.10978902649769585</v>
      </c>
      <c r="M7">
        <f t="shared" si="12"/>
        <v>0.11105357636012152</v>
      </c>
      <c r="N7">
        <f t="shared" si="12"/>
        <v>0.11306126488733463</v>
      </c>
      <c r="O7">
        <f t="shared" si="12"/>
        <v>0.11107764974402054</v>
      </c>
      <c r="P7">
        <f t="shared" si="12"/>
        <v>0.10975702759178195</v>
      </c>
      <c r="Q7">
        <f t="shared" si="12"/>
        <v>0.10930723244637205</v>
      </c>
      <c r="R7">
        <f t="shared" si="12"/>
        <v>0.1087216248506571</v>
      </c>
      <c r="S7">
        <f t="shared" si="12"/>
        <v>0.10776675141474616</v>
      </c>
      <c r="T7">
        <f t="shared" si="12"/>
        <v>0.10711223067852932</v>
      </c>
      <c r="U7">
        <f t="shared" si="12"/>
        <v>0.10689305355331305</v>
      </c>
      <c r="V7">
        <f t="shared" si="12"/>
        <v>0.10731739974559817</v>
      </c>
      <c r="W7">
        <f t="shared" si="12"/>
        <v>0.10782294731211554</v>
      </c>
      <c r="X7">
        <f t="shared" si="12"/>
        <v>0.10782274836026236</v>
      </c>
      <c r="Y7">
        <f t="shared" si="12"/>
        <v>0.10782475966044507</v>
      </c>
      <c r="Z7">
        <f t="shared" si="12"/>
        <v>0.10781602405756632</v>
      </c>
      <c r="AA7">
        <f t="shared" si="12"/>
        <v>0.10782422293676314</v>
      </c>
      <c r="AB7">
        <f t="shared" si="12"/>
        <v>0.10782468405485346</v>
      </c>
      <c r="AC7">
        <f t="shared" si="12"/>
        <v>0.10782479983852519</v>
      </c>
      <c r="AD7">
        <f t="shared" si="12"/>
        <v>0.10782074400587724</v>
      </c>
      <c r="AE7">
        <f t="shared" si="12"/>
        <v>0.10783130132533797</v>
      </c>
      <c r="AF7">
        <f t="shared" si="12"/>
        <v>0.10782926699055043</v>
      </c>
      <c r="AG7">
        <f t="shared" si="12"/>
        <v>0.1078252289969467</v>
      </c>
      <c r="AH7">
        <f t="shared" si="12"/>
        <v>0.1078252289969467</v>
      </c>
      <c r="AI7">
        <f t="shared" si="12"/>
        <v>0.1078252289969467</v>
      </c>
      <c r="AJ7">
        <f t="shared" si="12"/>
        <v>0.1078252289969467</v>
      </c>
      <c r="AK7">
        <f t="shared" si="12"/>
        <v>0.1078252289969467</v>
      </c>
      <c r="AL7">
        <f t="shared" si="12"/>
        <v>0.1078252289969467</v>
      </c>
      <c r="AM7">
        <f t="shared" si="12"/>
        <v>0.1078252289969467</v>
      </c>
      <c r="AN7">
        <f t="shared" si="12"/>
        <v>0.1078252289969467</v>
      </c>
      <c r="AO7">
        <f t="shared" si="12"/>
        <v>0.1078252289969467</v>
      </c>
      <c r="AP7">
        <f t="shared" si="12"/>
        <v>0.1078252289969467</v>
      </c>
      <c r="AQ7">
        <f t="shared" si="12"/>
        <v>0.1078252289969467</v>
      </c>
      <c r="AR7">
        <f t="shared" si="12"/>
        <v>0.1078252289969467</v>
      </c>
      <c r="AS7">
        <f t="shared" si="12"/>
        <v>0.1078252289969467</v>
      </c>
      <c r="AT7">
        <f t="shared" si="12"/>
        <v>0.1078252289969467</v>
      </c>
      <c r="AU7">
        <f t="shared" si="12"/>
        <v>0.1078252289969467</v>
      </c>
      <c r="AV7">
        <f t="shared" si="12"/>
        <v>0.1078252289969467</v>
      </c>
      <c r="AW7">
        <f t="shared" si="12"/>
        <v>0.1078252289969467</v>
      </c>
      <c r="AX7">
        <f t="shared" si="12"/>
        <v>0.1078252289969467</v>
      </c>
      <c r="AY7">
        <f t="shared" si="12"/>
        <v>0.1078252289969467</v>
      </c>
      <c r="AZ7">
        <f t="shared" si="12"/>
        <v>0.1078252289969467</v>
      </c>
      <c r="BA7">
        <f t="shared" si="12"/>
        <v>0.1078252289969467</v>
      </c>
      <c r="BB7">
        <f t="shared" si="12"/>
        <v>0.1078252289969467</v>
      </c>
      <c r="BC7">
        <f t="shared" si="12"/>
        <v>0.1078252289969467</v>
      </c>
      <c r="BD7">
        <f t="shared" si="12"/>
        <v>0.1078252289969467</v>
      </c>
      <c r="BE7">
        <f t="shared" si="12"/>
        <v>0.1078252289969467</v>
      </c>
      <c r="BF7">
        <f t="shared" si="12"/>
        <v>0.1078252289969467</v>
      </c>
      <c r="BG7">
        <f t="shared" si="12"/>
        <v>0.1078252289969467</v>
      </c>
      <c r="BH7">
        <f t="shared" si="12"/>
        <v>0.1078252289969467</v>
      </c>
      <c r="BI7">
        <f t="shared" si="12"/>
        <v>0.1078252289969467</v>
      </c>
      <c r="BJ7">
        <f t="shared" si="12"/>
        <v>9.7494816029319573E-2</v>
      </c>
      <c r="BK7">
        <f t="shared" si="12"/>
        <v>9.7494816029319573E-2</v>
      </c>
      <c r="BL7">
        <f t="shared" si="12"/>
        <v>9.7494816029319573E-2</v>
      </c>
      <c r="BM7">
        <f t="shared" si="12"/>
        <v>9.7494816029319573E-2</v>
      </c>
      <c r="BN7">
        <f t="shared" ref="BN7:CN7" si="13">BN25/BN$18</f>
        <v>9.7494816029319573E-2</v>
      </c>
      <c r="BO7">
        <f t="shared" si="13"/>
        <v>9.7494816029319573E-2</v>
      </c>
      <c r="BP7">
        <f t="shared" si="13"/>
        <v>9.7494816029319573E-2</v>
      </c>
      <c r="BQ7">
        <f t="shared" si="13"/>
        <v>9.7494816029319573E-2</v>
      </c>
      <c r="BR7">
        <f t="shared" si="13"/>
        <v>9.7494816029319573E-2</v>
      </c>
      <c r="BS7">
        <f t="shared" si="13"/>
        <v>9.7494816029319573E-2</v>
      </c>
      <c r="BT7">
        <f t="shared" si="13"/>
        <v>9.7494816029319573E-2</v>
      </c>
      <c r="BU7">
        <f t="shared" si="13"/>
        <v>9.7494816029319573E-2</v>
      </c>
      <c r="BV7">
        <f t="shared" si="13"/>
        <v>9.7494816029319573E-2</v>
      </c>
      <c r="BW7">
        <f t="shared" si="13"/>
        <v>9.7494816029319573E-2</v>
      </c>
      <c r="BX7">
        <f t="shared" si="13"/>
        <v>9.7494816029319573E-2</v>
      </c>
      <c r="BY7">
        <f t="shared" si="13"/>
        <v>9.7494816029319573E-2</v>
      </c>
      <c r="BZ7">
        <f t="shared" si="13"/>
        <v>9.7494816029319573E-2</v>
      </c>
      <c r="CA7">
        <f t="shared" si="13"/>
        <v>9.7494816029319573E-2</v>
      </c>
      <c r="CB7">
        <f t="shared" si="13"/>
        <v>9.7494816029319573E-2</v>
      </c>
      <c r="CC7">
        <f t="shared" si="13"/>
        <v>9.7494816029319573E-2</v>
      </c>
      <c r="CD7">
        <f t="shared" si="13"/>
        <v>9.7494816029319573E-2</v>
      </c>
      <c r="CE7">
        <f t="shared" si="13"/>
        <v>9.7494816029319573E-2</v>
      </c>
      <c r="CF7">
        <f t="shared" si="13"/>
        <v>9.7494816029319573E-2</v>
      </c>
      <c r="CG7">
        <f t="shared" si="13"/>
        <v>9.7494816029319573E-2</v>
      </c>
      <c r="CH7">
        <f t="shared" si="13"/>
        <v>9.7494816029319573E-2</v>
      </c>
      <c r="CI7">
        <f t="shared" si="13"/>
        <v>9.7494816029319573E-2</v>
      </c>
      <c r="CJ7">
        <f t="shared" si="13"/>
        <v>9.7494816029319573E-2</v>
      </c>
      <c r="CK7">
        <f t="shared" si="13"/>
        <v>9.7494816029319573E-2</v>
      </c>
      <c r="CL7">
        <f t="shared" si="13"/>
        <v>9.7494816029319573E-2</v>
      </c>
      <c r="CM7">
        <f t="shared" si="13"/>
        <v>9.7494816029319573E-2</v>
      </c>
      <c r="CN7">
        <f t="shared" si="13"/>
        <v>9.7494816029319573E-2</v>
      </c>
    </row>
    <row r="8" spans="1:92" x14ac:dyDescent="0.25">
      <c r="A8" t="s">
        <v>96</v>
      </c>
      <c r="B8">
        <f t="shared" ref="B8:BM8" si="14">B26/B$18</f>
        <v>0.21138752880184331</v>
      </c>
      <c r="C8">
        <f t="shared" si="14"/>
        <v>0.21138752880184331</v>
      </c>
      <c r="D8">
        <f t="shared" si="14"/>
        <v>0.21138752880184331</v>
      </c>
      <c r="E8">
        <f t="shared" si="14"/>
        <v>0.21138752880184331</v>
      </c>
      <c r="F8">
        <f t="shared" si="14"/>
        <v>0.21138752880184331</v>
      </c>
      <c r="G8">
        <f t="shared" si="14"/>
        <v>0.21138752880184331</v>
      </c>
      <c r="H8">
        <f t="shared" si="14"/>
        <v>0.21138752880184331</v>
      </c>
      <c r="I8">
        <f t="shared" si="14"/>
        <v>0.21138752880184331</v>
      </c>
      <c r="J8">
        <f t="shared" si="14"/>
        <v>0.21138752880184331</v>
      </c>
      <c r="K8">
        <f t="shared" si="14"/>
        <v>0.21138752880184331</v>
      </c>
      <c r="L8">
        <f t="shared" si="14"/>
        <v>0.21138752880184331</v>
      </c>
      <c r="M8">
        <f t="shared" si="14"/>
        <v>0.20757387462027063</v>
      </c>
      <c r="N8">
        <f t="shared" si="14"/>
        <v>0.20830721520240178</v>
      </c>
      <c r="O8">
        <f t="shared" si="14"/>
        <v>0.21017260782044983</v>
      </c>
      <c r="P8">
        <f t="shared" si="14"/>
        <v>0.20895932156856764</v>
      </c>
      <c r="Q8">
        <f t="shared" si="14"/>
        <v>0.20717090610713867</v>
      </c>
      <c r="R8">
        <f t="shared" si="14"/>
        <v>0.20465247030711925</v>
      </c>
      <c r="S8">
        <f t="shared" si="14"/>
        <v>0.20045654610568905</v>
      </c>
      <c r="T8">
        <f t="shared" si="14"/>
        <v>0.1968190588487512</v>
      </c>
      <c r="U8">
        <f t="shared" si="14"/>
        <v>0.19349671632228096</v>
      </c>
      <c r="V8">
        <f t="shared" si="14"/>
        <v>0.19139050679520653</v>
      </c>
      <c r="W8">
        <f t="shared" si="14"/>
        <v>0.19049211018989035</v>
      </c>
      <c r="X8">
        <f t="shared" si="14"/>
        <v>0.19047619047619047</v>
      </c>
      <c r="Y8">
        <f t="shared" si="14"/>
        <v>0.19047746565621401</v>
      </c>
      <c r="Z8">
        <f t="shared" si="14"/>
        <v>0.19048705831811835</v>
      </c>
      <c r="AA8">
        <f t="shared" si="14"/>
        <v>0.1904876741693462</v>
      </c>
      <c r="AB8">
        <f t="shared" si="14"/>
        <v>0.19048131218069372</v>
      </c>
      <c r="AC8">
        <f t="shared" si="14"/>
        <v>0.19048644284464777</v>
      </c>
      <c r="AD8">
        <f t="shared" si="14"/>
        <v>0.1904895478528017</v>
      </c>
      <c r="AE8">
        <f t="shared" si="14"/>
        <v>0.19048250792682117</v>
      </c>
      <c r="AF8">
        <f t="shared" si="14"/>
        <v>0.19048635951097112</v>
      </c>
      <c r="AG8">
        <f t="shared" si="14"/>
        <v>0.19047746030052934</v>
      </c>
      <c r="AH8">
        <f t="shared" si="14"/>
        <v>0.19047746030052934</v>
      </c>
      <c r="AI8">
        <f t="shared" si="14"/>
        <v>0.19047746030052934</v>
      </c>
      <c r="AJ8">
        <f t="shared" si="14"/>
        <v>0.19047746030052934</v>
      </c>
      <c r="AK8">
        <f t="shared" si="14"/>
        <v>0.19047746030052934</v>
      </c>
      <c r="AL8">
        <f t="shared" si="14"/>
        <v>0.19047746030052934</v>
      </c>
      <c r="AM8">
        <f t="shared" si="14"/>
        <v>0.19047746030052934</v>
      </c>
      <c r="AN8">
        <f t="shared" si="14"/>
        <v>0.19047746030052934</v>
      </c>
      <c r="AO8">
        <f t="shared" si="14"/>
        <v>0.19047746030052934</v>
      </c>
      <c r="AP8">
        <f t="shared" si="14"/>
        <v>0.19047746030052934</v>
      </c>
      <c r="AQ8">
        <f t="shared" si="14"/>
        <v>0.19047746030052934</v>
      </c>
      <c r="AR8">
        <f t="shared" si="14"/>
        <v>0.19047746030052934</v>
      </c>
      <c r="AS8">
        <f t="shared" si="14"/>
        <v>0.19047746030052934</v>
      </c>
      <c r="AT8">
        <f t="shared" si="14"/>
        <v>0.19047746030052934</v>
      </c>
      <c r="AU8">
        <f t="shared" si="14"/>
        <v>0.19047746030052934</v>
      </c>
      <c r="AV8">
        <f t="shared" si="14"/>
        <v>0.19047746030052934</v>
      </c>
      <c r="AW8">
        <f t="shared" si="14"/>
        <v>0.19047746030052934</v>
      </c>
      <c r="AX8">
        <f t="shared" si="14"/>
        <v>0.19047746030052934</v>
      </c>
      <c r="AY8">
        <f t="shared" si="14"/>
        <v>0.19047746030052934</v>
      </c>
      <c r="AZ8">
        <f t="shared" si="14"/>
        <v>0.19047746030052934</v>
      </c>
      <c r="BA8">
        <f t="shared" si="14"/>
        <v>0.19047746030052934</v>
      </c>
      <c r="BB8">
        <f t="shared" si="14"/>
        <v>0.19047746030052934</v>
      </c>
      <c r="BC8">
        <f t="shared" si="14"/>
        <v>0.19047746030052934</v>
      </c>
      <c r="BD8">
        <f t="shared" si="14"/>
        <v>0.19047746030052934</v>
      </c>
      <c r="BE8">
        <f t="shared" si="14"/>
        <v>0.19047746030052934</v>
      </c>
      <c r="BF8">
        <f t="shared" si="14"/>
        <v>0.19047746030052934</v>
      </c>
      <c r="BG8">
        <f t="shared" si="14"/>
        <v>0.19047746030052934</v>
      </c>
      <c r="BH8">
        <f t="shared" si="14"/>
        <v>0.19047746030052934</v>
      </c>
      <c r="BI8">
        <f t="shared" si="14"/>
        <v>0.19047746030052934</v>
      </c>
      <c r="BJ8">
        <f t="shared" si="14"/>
        <v>0.20330809663885807</v>
      </c>
      <c r="BK8">
        <f t="shared" si="14"/>
        <v>0.20330809663885807</v>
      </c>
      <c r="BL8">
        <f t="shared" si="14"/>
        <v>0.20330809663885807</v>
      </c>
      <c r="BM8">
        <f t="shared" si="14"/>
        <v>0.20330809663885807</v>
      </c>
      <c r="BN8">
        <f t="shared" ref="BN8:CN8" si="15">BN26/BN$18</f>
        <v>0.20330809663885807</v>
      </c>
      <c r="BO8">
        <f t="shared" si="15"/>
        <v>0.20330809663885807</v>
      </c>
      <c r="BP8">
        <f t="shared" si="15"/>
        <v>0.20330809663885807</v>
      </c>
      <c r="BQ8">
        <f t="shared" si="15"/>
        <v>0.20330809663885807</v>
      </c>
      <c r="BR8">
        <f t="shared" si="15"/>
        <v>0.20330809663885807</v>
      </c>
      <c r="BS8">
        <f t="shared" si="15"/>
        <v>0.20330809663885807</v>
      </c>
      <c r="BT8">
        <f t="shared" si="15"/>
        <v>0.20330809663885807</v>
      </c>
      <c r="BU8">
        <f t="shared" si="15"/>
        <v>0.20330809663885807</v>
      </c>
      <c r="BV8">
        <f t="shared" si="15"/>
        <v>0.20330809663885807</v>
      </c>
      <c r="BW8">
        <f t="shared" si="15"/>
        <v>0.20330809663885807</v>
      </c>
      <c r="BX8">
        <f t="shared" si="15"/>
        <v>0.20330809663885807</v>
      </c>
      <c r="BY8">
        <f t="shared" si="15"/>
        <v>0.20330809663885807</v>
      </c>
      <c r="BZ8">
        <f t="shared" si="15"/>
        <v>0.20330809663885807</v>
      </c>
      <c r="CA8">
        <f t="shared" si="15"/>
        <v>0.20330809663885807</v>
      </c>
      <c r="CB8">
        <f t="shared" si="15"/>
        <v>0.20330809663885807</v>
      </c>
      <c r="CC8">
        <f t="shared" si="15"/>
        <v>0.20330809663885807</v>
      </c>
      <c r="CD8">
        <f t="shared" si="15"/>
        <v>0.20330809663885807</v>
      </c>
      <c r="CE8">
        <f t="shared" si="15"/>
        <v>0.20330809663885807</v>
      </c>
      <c r="CF8">
        <f t="shared" si="15"/>
        <v>0.20330809663885807</v>
      </c>
      <c r="CG8">
        <f t="shared" si="15"/>
        <v>0.20330809663885807</v>
      </c>
      <c r="CH8">
        <f t="shared" si="15"/>
        <v>0.20330809663885807</v>
      </c>
      <c r="CI8">
        <f t="shared" si="15"/>
        <v>0.20330809663885807</v>
      </c>
      <c r="CJ8">
        <f t="shared" si="15"/>
        <v>0.20330809663885807</v>
      </c>
      <c r="CK8">
        <f t="shared" si="15"/>
        <v>0.20330809663885807</v>
      </c>
      <c r="CL8">
        <f t="shared" si="15"/>
        <v>0.20330809663885807</v>
      </c>
      <c r="CM8">
        <f t="shared" si="15"/>
        <v>0.20330809663885807</v>
      </c>
      <c r="CN8">
        <f t="shared" si="15"/>
        <v>0.20330809663885807</v>
      </c>
    </row>
    <row r="9" spans="1:92" x14ac:dyDescent="0.25">
      <c r="A9" t="s">
        <v>9</v>
      </c>
      <c r="B9">
        <f t="shared" ref="B9:BM9" si="16">B27/B$18</f>
        <v>6.8386376728110598E-2</v>
      </c>
      <c r="C9">
        <f t="shared" si="16"/>
        <v>6.8386376728110598E-2</v>
      </c>
      <c r="D9">
        <f t="shared" si="16"/>
        <v>6.8386376728110598E-2</v>
      </c>
      <c r="E9">
        <f t="shared" si="16"/>
        <v>6.8386376728110598E-2</v>
      </c>
      <c r="F9">
        <f t="shared" si="16"/>
        <v>6.8386376728110598E-2</v>
      </c>
      <c r="G9">
        <f t="shared" si="16"/>
        <v>6.8386376728110598E-2</v>
      </c>
      <c r="H9">
        <f t="shared" si="16"/>
        <v>6.8386376728110598E-2</v>
      </c>
      <c r="I9">
        <f t="shared" si="16"/>
        <v>6.8386376728110598E-2</v>
      </c>
      <c r="J9">
        <f t="shared" si="16"/>
        <v>6.8386376728110598E-2</v>
      </c>
      <c r="K9">
        <f t="shared" si="16"/>
        <v>6.8386376728110598E-2</v>
      </c>
      <c r="L9">
        <f t="shared" si="16"/>
        <v>6.8386376728110598E-2</v>
      </c>
      <c r="M9">
        <f t="shared" si="16"/>
        <v>6.7833471416735708E-2</v>
      </c>
      <c r="N9">
        <f t="shared" si="16"/>
        <v>6.53888027448781E-2</v>
      </c>
      <c r="O9">
        <f t="shared" si="16"/>
        <v>6.6919211931971284E-2</v>
      </c>
      <c r="P9">
        <f t="shared" si="16"/>
        <v>6.7187285511645281E-2</v>
      </c>
      <c r="Q9">
        <f t="shared" si="16"/>
        <v>6.5496424803657249E-2</v>
      </c>
      <c r="R9">
        <f t="shared" si="16"/>
        <v>6.3644669337268964E-2</v>
      </c>
      <c r="S9">
        <f t="shared" si="16"/>
        <v>6.1852428989310808E-2</v>
      </c>
      <c r="T9">
        <f t="shared" si="16"/>
        <v>6.0135062707685712E-2</v>
      </c>
      <c r="U9">
        <f t="shared" si="16"/>
        <v>5.877249185754712E-2</v>
      </c>
      <c r="V9">
        <f t="shared" si="16"/>
        <v>5.7950056905670483E-2</v>
      </c>
      <c r="W9">
        <f t="shared" si="16"/>
        <v>5.7448515645894621E-2</v>
      </c>
      <c r="X9">
        <f t="shared" si="16"/>
        <v>5.7457473470911319E-2</v>
      </c>
      <c r="Y9">
        <f t="shared" si="16"/>
        <v>5.7453873550598507E-2</v>
      </c>
      <c r="Z9">
        <f t="shared" si="16"/>
        <v>5.7458919557512617E-2</v>
      </c>
      <c r="AA9">
        <f t="shared" si="16"/>
        <v>5.7449088960342981E-2</v>
      </c>
      <c r="AB9">
        <f t="shared" si="16"/>
        <v>5.7448238773863944E-2</v>
      </c>
      <c r="AC9">
        <f t="shared" si="16"/>
        <v>5.7458117472919332E-2</v>
      </c>
      <c r="AD9">
        <f t="shared" si="16"/>
        <v>5.7450076804915512E-2</v>
      </c>
      <c r="AE9">
        <f t="shared" si="16"/>
        <v>5.7457845231303976E-2</v>
      </c>
      <c r="AF9">
        <f t="shared" si="16"/>
        <v>5.7458224333991781E-2</v>
      </c>
      <c r="AG9">
        <f t="shared" si="16"/>
        <v>5.7452567299102676E-2</v>
      </c>
      <c r="AH9">
        <f t="shared" si="16"/>
        <v>5.7452567299102676E-2</v>
      </c>
      <c r="AI9">
        <f t="shared" si="16"/>
        <v>5.7452567299102676E-2</v>
      </c>
      <c r="AJ9">
        <f t="shared" si="16"/>
        <v>5.7452567299102676E-2</v>
      </c>
      <c r="AK9">
        <f t="shared" si="16"/>
        <v>5.7452567299102676E-2</v>
      </c>
      <c r="AL9">
        <f t="shared" si="16"/>
        <v>5.7452567299102676E-2</v>
      </c>
      <c r="AM9">
        <f t="shared" si="16"/>
        <v>5.7452567299102676E-2</v>
      </c>
      <c r="AN9">
        <f t="shared" si="16"/>
        <v>5.7452567299102676E-2</v>
      </c>
      <c r="AO9">
        <f t="shared" si="16"/>
        <v>5.7452567299102676E-2</v>
      </c>
      <c r="AP9">
        <f t="shared" si="16"/>
        <v>5.7452567299102676E-2</v>
      </c>
      <c r="AQ9">
        <f t="shared" si="16"/>
        <v>5.7452567299102676E-2</v>
      </c>
      <c r="AR9">
        <f t="shared" si="16"/>
        <v>5.7452567299102676E-2</v>
      </c>
      <c r="AS9">
        <f t="shared" si="16"/>
        <v>5.7452567299102676E-2</v>
      </c>
      <c r="AT9">
        <f t="shared" si="16"/>
        <v>5.7452567299102676E-2</v>
      </c>
      <c r="AU9">
        <f t="shared" si="16"/>
        <v>5.7452567299102676E-2</v>
      </c>
      <c r="AV9">
        <f t="shared" si="16"/>
        <v>5.7452567299102676E-2</v>
      </c>
      <c r="AW9">
        <f t="shared" si="16"/>
        <v>5.7452567299102676E-2</v>
      </c>
      <c r="AX9">
        <f t="shared" si="16"/>
        <v>5.7452567299102676E-2</v>
      </c>
      <c r="AY9">
        <f t="shared" si="16"/>
        <v>5.7452567299102676E-2</v>
      </c>
      <c r="AZ9">
        <f t="shared" si="16"/>
        <v>5.7452567299102676E-2</v>
      </c>
      <c r="BA9">
        <f t="shared" si="16"/>
        <v>5.7452567299102676E-2</v>
      </c>
      <c r="BB9">
        <f t="shared" si="16"/>
        <v>5.7452567299102676E-2</v>
      </c>
      <c r="BC9">
        <f t="shared" si="16"/>
        <v>5.7452567299102676E-2</v>
      </c>
      <c r="BD9">
        <f t="shared" si="16"/>
        <v>5.7452567299102676E-2</v>
      </c>
      <c r="BE9">
        <f t="shared" si="16"/>
        <v>5.7452567299102676E-2</v>
      </c>
      <c r="BF9">
        <f t="shared" si="16"/>
        <v>5.7452567299102676E-2</v>
      </c>
      <c r="BG9">
        <f t="shared" si="16"/>
        <v>5.7452567299102676E-2</v>
      </c>
      <c r="BH9">
        <f t="shared" si="16"/>
        <v>5.7452567299102676E-2</v>
      </c>
      <c r="BI9">
        <f t="shared" si="16"/>
        <v>5.7452567299102676E-2</v>
      </c>
      <c r="BJ9">
        <f t="shared" si="16"/>
        <v>5.1948208516178811E-2</v>
      </c>
      <c r="BK9">
        <f t="shared" si="16"/>
        <v>5.1948208516178811E-2</v>
      </c>
      <c r="BL9">
        <f t="shared" si="16"/>
        <v>5.1948208516178811E-2</v>
      </c>
      <c r="BM9">
        <f t="shared" si="16"/>
        <v>5.1948208516178811E-2</v>
      </c>
      <c r="BN9">
        <f t="shared" ref="BN9:CN9" si="17">BN27/BN$18</f>
        <v>5.1948208516178811E-2</v>
      </c>
      <c r="BO9">
        <f t="shared" si="17"/>
        <v>5.1948208516178811E-2</v>
      </c>
      <c r="BP9">
        <f t="shared" si="17"/>
        <v>5.1948208516178811E-2</v>
      </c>
      <c r="BQ9">
        <f t="shared" si="17"/>
        <v>5.1948208516178811E-2</v>
      </c>
      <c r="BR9">
        <f t="shared" si="17"/>
        <v>5.1948208516178811E-2</v>
      </c>
      <c r="BS9">
        <f t="shared" si="17"/>
        <v>5.1948208516178811E-2</v>
      </c>
      <c r="BT9">
        <f t="shared" si="17"/>
        <v>5.1948208516178811E-2</v>
      </c>
      <c r="BU9">
        <f t="shared" si="17"/>
        <v>5.1948208516178811E-2</v>
      </c>
      <c r="BV9">
        <f t="shared" si="17"/>
        <v>5.1948208516178811E-2</v>
      </c>
      <c r="BW9">
        <f t="shared" si="17"/>
        <v>5.1948208516178811E-2</v>
      </c>
      <c r="BX9">
        <f t="shared" si="17"/>
        <v>5.1948208516178811E-2</v>
      </c>
      <c r="BY9">
        <f t="shared" si="17"/>
        <v>5.1948208516178811E-2</v>
      </c>
      <c r="BZ9">
        <f t="shared" si="17"/>
        <v>5.1948208516178811E-2</v>
      </c>
      <c r="CA9">
        <f t="shared" si="17"/>
        <v>5.1948208516178811E-2</v>
      </c>
      <c r="CB9">
        <f t="shared" si="17"/>
        <v>5.1948208516178811E-2</v>
      </c>
      <c r="CC9">
        <f t="shared" si="17"/>
        <v>5.1948208516178811E-2</v>
      </c>
      <c r="CD9">
        <f t="shared" si="17"/>
        <v>5.1948208516178811E-2</v>
      </c>
      <c r="CE9">
        <f t="shared" si="17"/>
        <v>5.1948208516178811E-2</v>
      </c>
      <c r="CF9">
        <f t="shared" si="17"/>
        <v>5.1948208516178811E-2</v>
      </c>
      <c r="CG9">
        <f t="shared" si="17"/>
        <v>5.1948208516178811E-2</v>
      </c>
      <c r="CH9">
        <f t="shared" si="17"/>
        <v>5.1948208516178811E-2</v>
      </c>
      <c r="CI9">
        <f t="shared" si="17"/>
        <v>5.1948208516178811E-2</v>
      </c>
      <c r="CJ9">
        <f t="shared" si="17"/>
        <v>5.1948208516178811E-2</v>
      </c>
      <c r="CK9">
        <f t="shared" si="17"/>
        <v>5.1948208516178811E-2</v>
      </c>
      <c r="CL9">
        <f t="shared" si="17"/>
        <v>5.1948208516178811E-2</v>
      </c>
      <c r="CM9">
        <f t="shared" si="17"/>
        <v>5.1948208516178811E-2</v>
      </c>
      <c r="CN9">
        <f t="shared" si="17"/>
        <v>5.1948208516178811E-2</v>
      </c>
    </row>
    <row r="10" spans="1:92" x14ac:dyDescent="0.25">
      <c r="A10" t="s">
        <v>98</v>
      </c>
      <c r="B10">
        <f t="shared" ref="B10:BM10" si="18">B28/B$18</f>
        <v>9.857430875576037E-2</v>
      </c>
      <c r="C10">
        <f t="shared" si="18"/>
        <v>9.857430875576037E-2</v>
      </c>
      <c r="D10">
        <f t="shared" si="18"/>
        <v>9.857430875576037E-2</v>
      </c>
      <c r="E10">
        <f t="shared" si="18"/>
        <v>9.857430875576037E-2</v>
      </c>
      <c r="F10">
        <f t="shared" si="18"/>
        <v>9.857430875576037E-2</v>
      </c>
      <c r="G10">
        <f t="shared" si="18"/>
        <v>9.857430875576037E-2</v>
      </c>
      <c r="H10">
        <f t="shared" si="18"/>
        <v>9.857430875576037E-2</v>
      </c>
      <c r="I10">
        <f t="shared" si="18"/>
        <v>9.857430875576037E-2</v>
      </c>
      <c r="J10">
        <f t="shared" si="18"/>
        <v>9.857430875576037E-2</v>
      </c>
      <c r="K10">
        <f t="shared" si="18"/>
        <v>9.857430875576037E-2</v>
      </c>
      <c r="L10">
        <f t="shared" si="18"/>
        <v>9.857430875576037E-2</v>
      </c>
      <c r="M10">
        <f t="shared" si="18"/>
        <v>9.6969069317867987E-2</v>
      </c>
      <c r="N10">
        <f t="shared" si="18"/>
        <v>9.2870575038764808E-2</v>
      </c>
      <c r="O10">
        <f t="shared" si="18"/>
        <v>9.0947995752167499E-2</v>
      </c>
      <c r="P10">
        <f t="shared" si="18"/>
        <v>8.913564052895688E-2</v>
      </c>
      <c r="Q10">
        <f t="shared" si="18"/>
        <v>8.6830383307935757E-2</v>
      </c>
      <c r="R10">
        <f t="shared" si="18"/>
        <v>8.4222362780237536E-2</v>
      </c>
      <c r="S10">
        <f t="shared" si="18"/>
        <v>8.2588370376445508E-2</v>
      </c>
      <c r="T10">
        <f t="shared" si="18"/>
        <v>8.1814771143745316E-2</v>
      </c>
      <c r="U10">
        <f t="shared" si="18"/>
        <v>8.1077473436916014E-2</v>
      </c>
      <c r="V10">
        <f t="shared" si="18"/>
        <v>8.049809198634264E-2</v>
      </c>
      <c r="W10">
        <f t="shared" si="18"/>
        <v>8.1479005081572617E-2</v>
      </c>
      <c r="X10">
        <f t="shared" si="18"/>
        <v>8.1480296485895595E-2</v>
      </c>
      <c r="Y10">
        <f t="shared" si="18"/>
        <v>8.1474439654018155E-2</v>
      </c>
      <c r="Z10">
        <f t="shared" si="18"/>
        <v>8.1476210933304691E-2</v>
      </c>
      <c r="AA10">
        <f t="shared" si="18"/>
        <v>8.1484458735262597E-2</v>
      </c>
      <c r="AB10">
        <f t="shared" si="18"/>
        <v>8.1473514385587517E-2</v>
      </c>
      <c r="AC10">
        <f t="shared" si="18"/>
        <v>8.1477494449303633E-2</v>
      </c>
      <c r="AD10">
        <f t="shared" si="18"/>
        <v>8.1479997328524678E-2</v>
      </c>
      <c r="AE10">
        <f t="shared" si="18"/>
        <v>8.1483741724929351E-2</v>
      </c>
      <c r="AF10">
        <f t="shared" si="18"/>
        <v>8.1482569003256636E-2</v>
      </c>
      <c r="AG10">
        <f t="shared" si="18"/>
        <v>8.1478913614485143E-2</v>
      </c>
      <c r="AH10">
        <f t="shared" si="18"/>
        <v>8.1478913614485143E-2</v>
      </c>
      <c r="AI10">
        <f t="shared" si="18"/>
        <v>8.1478913614485143E-2</v>
      </c>
      <c r="AJ10">
        <f t="shared" si="18"/>
        <v>8.1478913614485143E-2</v>
      </c>
      <c r="AK10">
        <f t="shared" si="18"/>
        <v>8.1478913614485143E-2</v>
      </c>
      <c r="AL10">
        <f t="shared" si="18"/>
        <v>8.1478913614485143E-2</v>
      </c>
      <c r="AM10">
        <f t="shared" si="18"/>
        <v>8.1478913614485143E-2</v>
      </c>
      <c r="AN10">
        <f t="shared" si="18"/>
        <v>8.1478913614485143E-2</v>
      </c>
      <c r="AO10">
        <f t="shared" si="18"/>
        <v>8.1478913614485143E-2</v>
      </c>
      <c r="AP10">
        <f t="shared" si="18"/>
        <v>8.1478913614485143E-2</v>
      </c>
      <c r="AQ10">
        <f t="shared" si="18"/>
        <v>8.1478913614485143E-2</v>
      </c>
      <c r="AR10">
        <f t="shared" si="18"/>
        <v>8.1478913614485143E-2</v>
      </c>
      <c r="AS10">
        <f t="shared" si="18"/>
        <v>8.1478913614485143E-2</v>
      </c>
      <c r="AT10">
        <f t="shared" si="18"/>
        <v>8.1478913614485143E-2</v>
      </c>
      <c r="AU10">
        <f t="shared" si="18"/>
        <v>8.1478913614485143E-2</v>
      </c>
      <c r="AV10">
        <f t="shared" si="18"/>
        <v>8.1478913614485143E-2</v>
      </c>
      <c r="AW10">
        <f t="shared" si="18"/>
        <v>8.1478913614485143E-2</v>
      </c>
      <c r="AX10">
        <f t="shared" si="18"/>
        <v>8.1478913614485143E-2</v>
      </c>
      <c r="AY10">
        <f t="shared" si="18"/>
        <v>8.1478913614485143E-2</v>
      </c>
      <c r="AZ10">
        <f t="shared" si="18"/>
        <v>8.1478913614485143E-2</v>
      </c>
      <c r="BA10">
        <f t="shared" si="18"/>
        <v>8.1478913614485143E-2</v>
      </c>
      <c r="BB10">
        <f t="shared" si="18"/>
        <v>8.1478913614485143E-2</v>
      </c>
      <c r="BC10">
        <f t="shared" si="18"/>
        <v>8.1478913614485143E-2</v>
      </c>
      <c r="BD10">
        <f t="shared" si="18"/>
        <v>8.1478913614485143E-2</v>
      </c>
      <c r="BE10">
        <f t="shared" si="18"/>
        <v>8.1478913614485143E-2</v>
      </c>
      <c r="BF10">
        <f t="shared" si="18"/>
        <v>8.1478913614485143E-2</v>
      </c>
      <c r="BG10">
        <f t="shared" si="18"/>
        <v>8.1478913614485143E-2</v>
      </c>
      <c r="BH10">
        <f t="shared" si="18"/>
        <v>8.1478913614485143E-2</v>
      </c>
      <c r="BI10">
        <f t="shared" si="18"/>
        <v>8.1478913614485143E-2</v>
      </c>
      <c r="BJ10">
        <f t="shared" si="18"/>
        <v>8.6958094227708921E-2</v>
      </c>
      <c r="BK10">
        <f t="shared" si="18"/>
        <v>8.6958094227708921E-2</v>
      </c>
      <c r="BL10">
        <f t="shared" si="18"/>
        <v>8.6958094227708921E-2</v>
      </c>
      <c r="BM10">
        <f t="shared" si="18"/>
        <v>8.6958094227708921E-2</v>
      </c>
      <c r="BN10">
        <f t="shared" ref="BN10:CN10" si="19">BN28/BN$18</f>
        <v>8.6958094227708921E-2</v>
      </c>
      <c r="BO10">
        <f t="shared" si="19"/>
        <v>8.6958094227708921E-2</v>
      </c>
      <c r="BP10">
        <f t="shared" si="19"/>
        <v>8.6958094227708921E-2</v>
      </c>
      <c r="BQ10">
        <f t="shared" si="19"/>
        <v>8.6958094227708921E-2</v>
      </c>
      <c r="BR10">
        <f t="shared" si="19"/>
        <v>8.6958094227708921E-2</v>
      </c>
      <c r="BS10">
        <f t="shared" si="19"/>
        <v>8.6958094227708921E-2</v>
      </c>
      <c r="BT10">
        <f t="shared" si="19"/>
        <v>8.6958094227708921E-2</v>
      </c>
      <c r="BU10">
        <f t="shared" si="19"/>
        <v>8.6958094227708921E-2</v>
      </c>
      <c r="BV10">
        <f t="shared" si="19"/>
        <v>8.6958094227708921E-2</v>
      </c>
      <c r="BW10">
        <f t="shared" si="19"/>
        <v>8.6958094227708921E-2</v>
      </c>
      <c r="BX10">
        <f t="shared" si="19"/>
        <v>8.6958094227708921E-2</v>
      </c>
      <c r="BY10">
        <f t="shared" si="19"/>
        <v>8.6958094227708921E-2</v>
      </c>
      <c r="BZ10">
        <f t="shared" si="19"/>
        <v>8.6958094227708921E-2</v>
      </c>
      <c r="CA10">
        <f t="shared" si="19"/>
        <v>8.6958094227708921E-2</v>
      </c>
      <c r="CB10">
        <f t="shared" si="19"/>
        <v>8.6958094227708921E-2</v>
      </c>
      <c r="CC10">
        <f t="shared" si="19"/>
        <v>8.6958094227708921E-2</v>
      </c>
      <c r="CD10">
        <f t="shared" si="19"/>
        <v>8.6958094227708921E-2</v>
      </c>
      <c r="CE10">
        <f t="shared" si="19"/>
        <v>8.6958094227708921E-2</v>
      </c>
      <c r="CF10">
        <f t="shared" si="19"/>
        <v>8.6958094227708921E-2</v>
      </c>
      <c r="CG10">
        <f t="shared" si="19"/>
        <v>8.6958094227708921E-2</v>
      </c>
      <c r="CH10">
        <f t="shared" si="19"/>
        <v>8.6958094227708921E-2</v>
      </c>
      <c r="CI10">
        <f t="shared" si="19"/>
        <v>8.6958094227708921E-2</v>
      </c>
      <c r="CJ10">
        <f t="shared" si="19"/>
        <v>8.6958094227708921E-2</v>
      </c>
      <c r="CK10">
        <f t="shared" si="19"/>
        <v>8.6958094227708921E-2</v>
      </c>
      <c r="CL10">
        <f t="shared" si="19"/>
        <v>8.6958094227708921E-2</v>
      </c>
      <c r="CM10">
        <f t="shared" si="19"/>
        <v>8.6958094227708921E-2</v>
      </c>
      <c r="CN10">
        <f t="shared" si="19"/>
        <v>8.6958094227708921E-2</v>
      </c>
    </row>
    <row r="11" spans="1:92" x14ac:dyDescent="0.25">
      <c r="A11" t="s">
        <v>100</v>
      </c>
      <c r="B11">
        <f t="shared" ref="B11:BM11" si="20">B29/B$18</f>
        <v>0.13270449308755761</v>
      </c>
      <c r="C11">
        <f t="shared" si="20"/>
        <v>0.13270449308755761</v>
      </c>
      <c r="D11">
        <f t="shared" si="20"/>
        <v>0.13270449308755761</v>
      </c>
      <c r="E11">
        <f t="shared" si="20"/>
        <v>0.13270449308755761</v>
      </c>
      <c r="F11">
        <f t="shared" si="20"/>
        <v>0.13270449308755761</v>
      </c>
      <c r="G11">
        <f t="shared" si="20"/>
        <v>0.13270449308755761</v>
      </c>
      <c r="H11">
        <f t="shared" si="20"/>
        <v>0.13270449308755761</v>
      </c>
      <c r="I11">
        <f t="shared" si="20"/>
        <v>0.13270449308755761</v>
      </c>
      <c r="J11">
        <f t="shared" si="20"/>
        <v>0.13270449308755761</v>
      </c>
      <c r="K11">
        <f t="shared" si="20"/>
        <v>0.13270449308755761</v>
      </c>
      <c r="L11">
        <f t="shared" si="20"/>
        <v>0.13270449308755761</v>
      </c>
      <c r="M11">
        <f t="shared" si="20"/>
        <v>0.13199047224523613</v>
      </c>
      <c r="N11">
        <f t="shared" si="20"/>
        <v>0.12965590049816897</v>
      </c>
      <c r="O11">
        <f t="shared" si="20"/>
        <v>0.12367849614049548</v>
      </c>
      <c r="P11">
        <f t="shared" si="20"/>
        <v>0.11834418803288441</v>
      </c>
      <c r="Q11">
        <f t="shared" si="20"/>
        <v>0.1138641425389755</v>
      </c>
      <c r="R11">
        <f t="shared" si="20"/>
        <v>0.10987420057628786</v>
      </c>
      <c r="S11">
        <f t="shared" si="20"/>
        <v>0.10615380409524591</v>
      </c>
      <c r="T11">
        <f t="shared" si="20"/>
        <v>0.10319969986064959</v>
      </c>
      <c r="U11">
        <f t="shared" si="20"/>
        <v>0.10099311228576005</v>
      </c>
      <c r="V11">
        <f t="shared" si="20"/>
        <v>9.9939746937135976E-2</v>
      </c>
      <c r="W11">
        <f t="shared" si="20"/>
        <v>9.8956940358384593E-2</v>
      </c>
      <c r="X11">
        <f t="shared" si="20"/>
        <v>9.8957500133312004E-2</v>
      </c>
      <c r="Y11">
        <f t="shared" si="20"/>
        <v>9.8960983316819753E-2</v>
      </c>
      <c r="Z11">
        <f t="shared" si="20"/>
        <v>9.8955536462248958E-2</v>
      </c>
      <c r="AA11">
        <f t="shared" si="20"/>
        <v>9.8954983922829587E-2</v>
      </c>
      <c r="AB11">
        <f t="shared" si="20"/>
        <v>9.8964775477278832E-2</v>
      </c>
      <c r="AC11">
        <f t="shared" si="20"/>
        <v>9.8957141895983314E-2</v>
      </c>
      <c r="AD11">
        <f t="shared" si="20"/>
        <v>9.8964803312629399E-2</v>
      </c>
      <c r="AE11">
        <f t="shared" si="20"/>
        <v>9.895591493426377E-2</v>
      </c>
      <c r="AF11">
        <f t="shared" si="20"/>
        <v>9.8953606321072016E-2</v>
      </c>
      <c r="AG11">
        <f t="shared" si="20"/>
        <v>9.8958680550925993E-2</v>
      </c>
      <c r="AH11">
        <f t="shared" si="20"/>
        <v>9.8958680550925993E-2</v>
      </c>
      <c r="AI11">
        <f t="shared" si="20"/>
        <v>9.8958680550925993E-2</v>
      </c>
      <c r="AJ11">
        <f t="shared" si="20"/>
        <v>9.8958680550925993E-2</v>
      </c>
      <c r="AK11">
        <f t="shared" si="20"/>
        <v>9.8958680550925993E-2</v>
      </c>
      <c r="AL11">
        <f t="shared" si="20"/>
        <v>9.8958680550925993E-2</v>
      </c>
      <c r="AM11">
        <f t="shared" si="20"/>
        <v>9.8958680550925993E-2</v>
      </c>
      <c r="AN11">
        <f t="shared" si="20"/>
        <v>9.8958680550925993E-2</v>
      </c>
      <c r="AO11">
        <f t="shared" si="20"/>
        <v>9.8958680550925993E-2</v>
      </c>
      <c r="AP11">
        <f t="shared" si="20"/>
        <v>9.8958680550925993E-2</v>
      </c>
      <c r="AQ11">
        <f t="shared" si="20"/>
        <v>9.8958680550925993E-2</v>
      </c>
      <c r="AR11">
        <f t="shared" si="20"/>
        <v>9.8958680550925993E-2</v>
      </c>
      <c r="AS11">
        <f t="shared" si="20"/>
        <v>9.8958680550925993E-2</v>
      </c>
      <c r="AT11">
        <f t="shared" si="20"/>
        <v>9.8958680550925993E-2</v>
      </c>
      <c r="AU11">
        <f t="shared" si="20"/>
        <v>9.8958680550925993E-2</v>
      </c>
      <c r="AV11">
        <f t="shared" si="20"/>
        <v>9.8958680550925993E-2</v>
      </c>
      <c r="AW11">
        <f t="shared" si="20"/>
        <v>9.8958680550925993E-2</v>
      </c>
      <c r="AX11">
        <f t="shared" si="20"/>
        <v>9.8958680550925993E-2</v>
      </c>
      <c r="AY11">
        <f t="shared" si="20"/>
        <v>9.8958680550925993E-2</v>
      </c>
      <c r="AZ11">
        <f t="shared" si="20"/>
        <v>9.8958680550925993E-2</v>
      </c>
      <c r="BA11">
        <f t="shared" si="20"/>
        <v>9.8958680550925993E-2</v>
      </c>
      <c r="BB11">
        <f t="shared" si="20"/>
        <v>9.8958680550925993E-2</v>
      </c>
      <c r="BC11">
        <f t="shared" si="20"/>
        <v>9.8958680550925993E-2</v>
      </c>
      <c r="BD11">
        <f t="shared" si="20"/>
        <v>9.8958680550925993E-2</v>
      </c>
      <c r="BE11">
        <f t="shared" si="20"/>
        <v>9.8958680550925993E-2</v>
      </c>
      <c r="BF11">
        <f t="shared" si="20"/>
        <v>9.8958680550925993E-2</v>
      </c>
      <c r="BG11">
        <f t="shared" si="20"/>
        <v>9.8958680550925993E-2</v>
      </c>
      <c r="BH11">
        <f t="shared" si="20"/>
        <v>9.8958680550925993E-2</v>
      </c>
      <c r="BI11">
        <f t="shared" si="20"/>
        <v>9.8958680550925993E-2</v>
      </c>
      <c r="BJ11">
        <f t="shared" si="20"/>
        <v>0.10562038867724358</v>
      </c>
      <c r="BK11">
        <f t="shared" si="20"/>
        <v>0.10562038867724358</v>
      </c>
      <c r="BL11">
        <f t="shared" si="20"/>
        <v>0.10562038867724358</v>
      </c>
      <c r="BM11">
        <f t="shared" si="20"/>
        <v>0.10562038867724358</v>
      </c>
      <c r="BN11">
        <f t="shared" ref="BN11:CN11" si="21">BN29/BN$18</f>
        <v>0.10562038867724358</v>
      </c>
      <c r="BO11">
        <f t="shared" si="21"/>
        <v>0.10562038867724358</v>
      </c>
      <c r="BP11">
        <f t="shared" si="21"/>
        <v>0.10562038867724358</v>
      </c>
      <c r="BQ11">
        <f t="shared" si="21"/>
        <v>0.10562038867724358</v>
      </c>
      <c r="BR11">
        <f t="shared" si="21"/>
        <v>0.10562038867724358</v>
      </c>
      <c r="BS11">
        <f t="shared" si="21"/>
        <v>0.10562038867724358</v>
      </c>
      <c r="BT11">
        <f t="shared" si="21"/>
        <v>0.10562038867724358</v>
      </c>
      <c r="BU11">
        <f t="shared" si="21"/>
        <v>0.10562038867724358</v>
      </c>
      <c r="BV11">
        <f t="shared" si="21"/>
        <v>0.10562038867724358</v>
      </c>
      <c r="BW11">
        <f t="shared" si="21"/>
        <v>0.10562038867724358</v>
      </c>
      <c r="BX11">
        <f t="shared" si="21"/>
        <v>0.10562038867724358</v>
      </c>
      <c r="BY11">
        <f t="shared" si="21"/>
        <v>0.10562038867724358</v>
      </c>
      <c r="BZ11">
        <f t="shared" si="21"/>
        <v>0.10562038867724358</v>
      </c>
      <c r="CA11">
        <f t="shared" si="21"/>
        <v>0.10562038867724358</v>
      </c>
      <c r="CB11">
        <f t="shared" si="21"/>
        <v>0.10562038867724358</v>
      </c>
      <c r="CC11">
        <f t="shared" si="21"/>
        <v>0.10562038867724358</v>
      </c>
      <c r="CD11">
        <f t="shared" si="21"/>
        <v>0.10562038867724358</v>
      </c>
      <c r="CE11">
        <f t="shared" si="21"/>
        <v>0.10562038867724358</v>
      </c>
      <c r="CF11">
        <f t="shared" si="21"/>
        <v>0.10562038867724358</v>
      </c>
      <c r="CG11">
        <f t="shared" si="21"/>
        <v>0.10562038867724358</v>
      </c>
      <c r="CH11">
        <f t="shared" si="21"/>
        <v>0.10562038867724358</v>
      </c>
      <c r="CI11">
        <f t="shared" si="21"/>
        <v>0.10562038867724358</v>
      </c>
      <c r="CJ11">
        <f t="shared" si="21"/>
        <v>0.10562038867724358</v>
      </c>
      <c r="CK11">
        <f t="shared" si="21"/>
        <v>0.10562038867724358</v>
      </c>
      <c r="CL11">
        <f t="shared" si="21"/>
        <v>0.10562038867724358</v>
      </c>
      <c r="CM11">
        <f t="shared" si="21"/>
        <v>0.10562038867724358</v>
      </c>
      <c r="CN11">
        <f t="shared" si="21"/>
        <v>0.10562038867724358</v>
      </c>
    </row>
    <row r="12" spans="1:92" x14ac:dyDescent="0.25">
      <c r="A12" t="s">
        <v>10</v>
      </c>
      <c r="B12">
        <f t="shared" ref="B12:BM12" si="22">B30/B$18</f>
        <v>8.6405529953917058E-3</v>
      </c>
      <c r="C12">
        <f t="shared" si="22"/>
        <v>8.6405529953917058E-3</v>
      </c>
      <c r="D12">
        <f t="shared" si="22"/>
        <v>8.6405529953917058E-3</v>
      </c>
      <c r="E12">
        <f t="shared" si="22"/>
        <v>8.6405529953917058E-3</v>
      </c>
      <c r="F12">
        <f t="shared" si="22"/>
        <v>8.6405529953917058E-3</v>
      </c>
      <c r="G12">
        <f t="shared" si="22"/>
        <v>8.6405529953917058E-3</v>
      </c>
      <c r="H12">
        <f t="shared" si="22"/>
        <v>8.6405529953917058E-3</v>
      </c>
      <c r="I12">
        <f t="shared" si="22"/>
        <v>8.6405529953917058E-3</v>
      </c>
      <c r="J12">
        <f t="shared" si="22"/>
        <v>8.6405529953917058E-3</v>
      </c>
      <c r="K12">
        <f t="shared" si="22"/>
        <v>8.6405529953917058E-3</v>
      </c>
      <c r="L12">
        <f t="shared" si="22"/>
        <v>8.6405529953917058E-3</v>
      </c>
      <c r="M12">
        <f t="shared" si="22"/>
        <v>8.3367854183927087E-3</v>
      </c>
      <c r="N12">
        <f t="shared" si="22"/>
        <v>7.9344132493154307E-3</v>
      </c>
      <c r="O12">
        <f t="shared" si="22"/>
        <v>8.7651170531454561E-3</v>
      </c>
      <c r="P12">
        <f t="shared" si="22"/>
        <v>8.3583728627427047E-3</v>
      </c>
      <c r="Q12">
        <f t="shared" si="22"/>
        <v>8.0002344391044422E-3</v>
      </c>
      <c r="R12">
        <f t="shared" si="22"/>
        <v>7.6885234380490546E-3</v>
      </c>
      <c r="S12">
        <f t="shared" si="22"/>
        <v>7.3949533885562758E-3</v>
      </c>
      <c r="T12">
        <f t="shared" si="22"/>
        <v>7.1685068067316969E-3</v>
      </c>
      <c r="U12">
        <f t="shared" si="22"/>
        <v>6.9811522238240166E-3</v>
      </c>
      <c r="V12">
        <f t="shared" si="22"/>
        <v>6.8688491664992968E-3</v>
      </c>
      <c r="W12">
        <f t="shared" si="22"/>
        <v>6.7798876705001338E-3</v>
      </c>
      <c r="X12">
        <f t="shared" si="22"/>
        <v>6.7855809737108726E-3</v>
      </c>
      <c r="Y12">
        <f t="shared" si="22"/>
        <v>6.7750314650670811E-3</v>
      </c>
      <c r="Z12">
        <f t="shared" si="22"/>
        <v>6.779615508538288E-3</v>
      </c>
      <c r="AA12">
        <f t="shared" si="22"/>
        <v>6.7792068595927115E-3</v>
      </c>
      <c r="AB12">
        <f t="shared" si="22"/>
        <v>6.77601505781124E-3</v>
      </c>
      <c r="AC12">
        <f t="shared" si="22"/>
        <v>6.781941734508511E-3</v>
      </c>
      <c r="AD12">
        <f t="shared" si="22"/>
        <v>6.7855473185066449E-3</v>
      </c>
      <c r="AE12">
        <f t="shared" si="22"/>
        <v>6.77925627180705E-3</v>
      </c>
      <c r="AF12">
        <f t="shared" si="22"/>
        <v>6.7802039399925259E-3</v>
      </c>
      <c r="AG12">
        <f t="shared" si="22"/>
        <v>6.7732430234263546E-3</v>
      </c>
      <c r="AH12">
        <f t="shared" si="22"/>
        <v>6.7732430234263546E-3</v>
      </c>
      <c r="AI12">
        <f t="shared" si="22"/>
        <v>6.7732430234263546E-3</v>
      </c>
      <c r="AJ12">
        <f t="shared" si="22"/>
        <v>6.7732430234263546E-3</v>
      </c>
      <c r="AK12">
        <f t="shared" si="22"/>
        <v>6.7732430234263546E-3</v>
      </c>
      <c r="AL12">
        <f t="shared" si="22"/>
        <v>6.7732430234263546E-3</v>
      </c>
      <c r="AM12">
        <f t="shared" si="22"/>
        <v>6.7732430234263546E-3</v>
      </c>
      <c r="AN12">
        <f t="shared" si="22"/>
        <v>6.7732430234263546E-3</v>
      </c>
      <c r="AO12">
        <f t="shared" si="22"/>
        <v>6.7732430234263546E-3</v>
      </c>
      <c r="AP12">
        <f t="shared" si="22"/>
        <v>6.7732430234263546E-3</v>
      </c>
      <c r="AQ12">
        <f t="shared" si="22"/>
        <v>6.7732430234263546E-3</v>
      </c>
      <c r="AR12">
        <f t="shared" si="22"/>
        <v>6.7732430234263546E-3</v>
      </c>
      <c r="AS12">
        <f t="shared" si="22"/>
        <v>6.7732430234263546E-3</v>
      </c>
      <c r="AT12">
        <f t="shared" si="22"/>
        <v>6.7732430234263546E-3</v>
      </c>
      <c r="AU12">
        <f t="shared" si="22"/>
        <v>6.7732430234263546E-3</v>
      </c>
      <c r="AV12">
        <f t="shared" si="22"/>
        <v>6.7732430234263546E-3</v>
      </c>
      <c r="AW12">
        <f t="shared" si="22"/>
        <v>6.7732430234263546E-3</v>
      </c>
      <c r="AX12">
        <f t="shared" si="22"/>
        <v>6.7732430234263546E-3</v>
      </c>
      <c r="AY12">
        <f t="shared" si="22"/>
        <v>6.7732430234263546E-3</v>
      </c>
      <c r="AZ12">
        <f t="shared" si="22"/>
        <v>6.7732430234263546E-3</v>
      </c>
      <c r="BA12">
        <f t="shared" si="22"/>
        <v>6.7732430234263546E-3</v>
      </c>
      <c r="BB12">
        <f t="shared" si="22"/>
        <v>6.7732430234263546E-3</v>
      </c>
      <c r="BC12">
        <f t="shared" si="22"/>
        <v>6.7732430234263546E-3</v>
      </c>
      <c r="BD12">
        <f t="shared" si="22"/>
        <v>6.7732430234263546E-3</v>
      </c>
      <c r="BE12">
        <f t="shared" si="22"/>
        <v>6.7732430234263546E-3</v>
      </c>
      <c r="BF12">
        <f t="shared" si="22"/>
        <v>6.7732430234263546E-3</v>
      </c>
      <c r="BG12">
        <f t="shared" si="22"/>
        <v>6.7732430234263546E-3</v>
      </c>
      <c r="BH12">
        <f t="shared" si="22"/>
        <v>6.7732430234263546E-3</v>
      </c>
      <c r="BI12">
        <f t="shared" si="22"/>
        <v>6.7732430234263546E-3</v>
      </c>
      <c r="BJ12">
        <f t="shared" si="22"/>
        <v>6.1243188503640831E-3</v>
      </c>
      <c r="BK12">
        <f t="shared" si="22"/>
        <v>6.1243188503640831E-3</v>
      </c>
      <c r="BL12">
        <f t="shared" si="22"/>
        <v>6.1243188503640831E-3</v>
      </c>
      <c r="BM12">
        <f t="shared" si="22"/>
        <v>6.1243188503640831E-3</v>
      </c>
      <c r="BN12">
        <f t="shared" ref="BN12:CN12" si="23">BN30/BN$18</f>
        <v>6.1243188503640831E-3</v>
      </c>
      <c r="BO12">
        <f t="shared" si="23"/>
        <v>6.1243188503640831E-3</v>
      </c>
      <c r="BP12">
        <f t="shared" si="23"/>
        <v>6.1243188503640831E-3</v>
      </c>
      <c r="BQ12">
        <f t="shared" si="23"/>
        <v>6.1243188503640831E-3</v>
      </c>
      <c r="BR12">
        <f t="shared" si="23"/>
        <v>6.1243188503640831E-3</v>
      </c>
      <c r="BS12">
        <f t="shared" si="23"/>
        <v>6.1243188503640831E-3</v>
      </c>
      <c r="BT12">
        <f t="shared" si="23"/>
        <v>6.1243188503640831E-3</v>
      </c>
      <c r="BU12">
        <f t="shared" si="23"/>
        <v>6.1243188503640831E-3</v>
      </c>
      <c r="BV12">
        <f t="shared" si="23"/>
        <v>6.1243188503640831E-3</v>
      </c>
      <c r="BW12">
        <f t="shared" si="23"/>
        <v>6.1243188503640831E-3</v>
      </c>
      <c r="BX12">
        <f t="shared" si="23"/>
        <v>6.1243188503640831E-3</v>
      </c>
      <c r="BY12">
        <f t="shared" si="23"/>
        <v>6.1243188503640831E-3</v>
      </c>
      <c r="BZ12">
        <f t="shared" si="23"/>
        <v>6.1243188503640831E-3</v>
      </c>
      <c r="CA12">
        <f t="shared" si="23"/>
        <v>6.1243188503640831E-3</v>
      </c>
      <c r="CB12">
        <f t="shared" si="23"/>
        <v>6.1243188503640831E-3</v>
      </c>
      <c r="CC12">
        <f t="shared" si="23"/>
        <v>6.1243188503640831E-3</v>
      </c>
      <c r="CD12">
        <f t="shared" si="23"/>
        <v>6.1243188503640831E-3</v>
      </c>
      <c r="CE12">
        <f t="shared" si="23"/>
        <v>6.1243188503640831E-3</v>
      </c>
      <c r="CF12">
        <f t="shared" si="23"/>
        <v>6.1243188503640831E-3</v>
      </c>
      <c r="CG12">
        <f t="shared" si="23"/>
        <v>6.1243188503640831E-3</v>
      </c>
      <c r="CH12">
        <f t="shared" si="23"/>
        <v>6.1243188503640831E-3</v>
      </c>
      <c r="CI12">
        <f t="shared" si="23"/>
        <v>6.1243188503640831E-3</v>
      </c>
      <c r="CJ12">
        <f t="shared" si="23"/>
        <v>6.1243188503640831E-3</v>
      </c>
      <c r="CK12">
        <f t="shared" si="23"/>
        <v>6.1243188503640831E-3</v>
      </c>
      <c r="CL12">
        <f t="shared" si="23"/>
        <v>6.1243188503640831E-3</v>
      </c>
      <c r="CM12">
        <f t="shared" si="23"/>
        <v>6.1243188503640831E-3</v>
      </c>
      <c r="CN12">
        <f t="shared" si="23"/>
        <v>6.1243188503640831E-3</v>
      </c>
    </row>
    <row r="13" spans="1:92" x14ac:dyDescent="0.25">
      <c r="A13" t="s">
        <v>97</v>
      </c>
      <c r="B13">
        <f t="shared" ref="B13:BM13" si="24">B31/B$18</f>
        <v>3.0277937788018433E-2</v>
      </c>
      <c r="C13">
        <f t="shared" si="24"/>
        <v>3.0277937788018433E-2</v>
      </c>
      <c r="D13">
        <f t="shared" si="24"/>
        <v>3.0277937788018433E-2</v>
      </c>
      <c r="E13">
        <f t="shared" si="24"/>
        <v>3.0277937788018433E-2</v>
      </c>
      <c r="F13">
        <f t="shared" si="24"/>
        <v>3.0277937788018433E-2</v>
      </c>
      <c r="G13">
        <f t="shared" si="24"/>
        <v>3.0277937788018433E-2</v>
      </c>
      <c r="H13">
        <f t="shared" si="24"/>
        <v>3.0277937788018433E-2</v>
      </c>
      <c r="I13">
        <f t="shared" si="24"/>
        <v>3.0277937788018433E-2</v>
      </c>
      <c r="J13">
        <f t="shared" si="24"/>
        <v>3.0277937788018433E-2</v>
      </c>
      <c r="K13">
        <f t="shared" si="24"/>
        <v>3.0277937788018433E-2</v>
      </c>
      <c r="L13">
        <f t="shared" si="24"/>
        <v>3.0277937788018433E-2</v>
      </c>
      <c r="M13">
        <f t="shared" si="24"/>
        <v>3.1275890637945322E-2</v>
      </c>
      <c r="N13">
        <f t="shared" si="24"/>
        <v>3.0352017419418693E-2</v>
      </c>
      <c r="O13">
        <f t="shared" si="24"/>
        <v>2.9845778320204151E-2</v>
      </c>
      <c r="P13">
        <f t="shared" si="24"/>
        <v>2.9605112639751078E-2</v>
      </c>
      <c r="Q13">
        <f t="shared" si="24"/>
        <v>2.8674832962138085E-2</v>
      </c>
      <c r="R13">
        <f t="shared" si="24"/>
        <v>2.7689929018202265E-2</v>
      </c>
      <c r="S13">
        <f t="shared" si="24"/>
        <v>2.6832335493042456E-2</v>
      </c>
      <c r="T13">
        <f t="shared" si="24"/>
        <v>2.6195197770393398E-2</v>
      </c>
      <c r="U13">
        <f t="shared" si="24"/>
        <v>2.5708793849111004E-2</v>
      </c>
      <c r="V13">
        <f t="shared" si="24"/>
        <v>2.5426792528620203E-2</v>
      </c>
      <c r="W13">
        <f t="shared" si="24"/>
        <v>2.5314255148435411E-2</v>
      </c>
      <c r="X13">
        <f t="shared" si="24"/>
        <v>2.5315949448088307E-2</v>
      </c>
      <c r="Y13">
        <f t="shared" si="24"/>
        <v>2.531933695739496E-2</v>
      </c>
      <c r="Z13">
        <f t="shared" si="24"/>
        <v>2.5319514552679626E-2</v>
      </c>
      <c r="AA13">
        <f t="shared" si="24"/>
        <v>2.5308145766345123E-2</v>
      </c>
      <c r="AB13">
        <f t="shared" si="24"/>
        <v>2.5315945146544769E-2</v>
      </c>
      <c r="AC13">
        <f t="shared" si="24"/>
        <v>2.531117540200498E-2</v>
      </c>
      <c r="AD13">
        <f t="shared" si="24"/>
        <v>2.5312228678287585E-2</v>
      </c>
      <c r="AE13">
        <f t="shared" si="24"/>
        <v>2.5312761187099513E-2</v>
      </c>
      <c r="AF13">
        <f t="shared" si="24"/>
        <v>2.5318989909775238E-2</v>
      </c>
      <c r="AG13">
        <f t="shared" si="24"/>
        <v>2.5319662404501272E-2</v>
      </c>
      <c r="AH13">
        <f t="shared" si="24"/>
        <v>2.5319662404501272E-2</v>
      </c>
      <c r="AI13">
        <f t="shared" si="24"/>
        <v>2.5319662404501272E-2</v>
      </c>
      <c r="AJ13">
        <f t="shared" si="24"/>
        <v>2.5319662404501272E-2</v>
      </c>
      <c r="AK13">
        <f t="shared" si="24"/>
        <v>2.5319662404501272E-2</v>
      </c>
      <c r="AL13">
        <f t="shared" si="24"/>
        <v>2.5319662404501272E-2</v>
      </c>
      <c r="AM13">
        <f t="shared" si="24"/>
        <v>2.5319662404501272E-2</v>
      </c>
      <c r="AN13">
        <f t="shared" si="24"/>
        <v>2.5319662404501272E-2</v>
      </c>
      <c r="AO13">
        <f t="shared" si="24"/>
        <v>2.5319662404501272E-2</v>
      </c>
      <c r="AP13">
        <f t="shared" si="24"/>
        <v>2.5319662404501272E-2</v>
      </c>
      <c r="AQ13">
        <f t="shared" si="24"/>
        <v>2.5319662404501272E-2</v>
      </c>
      <c r="AR13">
        <f t="shared" si="24"/>
        <v>2.5319662404501272E-2</v>
      </c>
      <c r="AS13">
        <f t="shared" si="24"/>
        <v>2.5319662404501272E-2</v>
      </c>
      <c r="AT13">
        <f t="shared" si="24"/>
        <v>2.5319662404501272E-2</v>
      </c>
      <c r="AU13">
        <f t="shared" si="24"/>
        <v>2.5319662404501272E-2</v>
      </c>
      <c r="AV13">
        <f t="shared" si="24"/>
        <v>2.5319662404501272E-2</v>
      </c>
      <c r="AW13">
        <f t="shared" si="24"/>
        <v>2.5319662404501272E-2</v>
      </c>
      <c r="AX13">
        <f t="shared" si="24"/>
        <v>2.5319662404501272E-2</v>
      </c>
      <c r="AY13">
        <f t="shared" si="24"/>
        <v>2.5319662404501272E-2</v>
      </c>
      <c r="AZ13">
        <f t="shared" si="24"/>
        <v>2.5319662404501272E-2</v>
      </c>
      <c r="BA13">
        <f t="shared" si="24"/>
        <v>2.5319662404501272E-2</v>
      </c>
      <c r="BB13">
        <f t="shared" si="24"/>
        <v>2.5319662404501272E-2</v>
      </c>
      <c r="BC13">
        <f t="shared" si="24"/>
        <v>2.5319662404501272E-2</v>
      </c>
      <c r="BD13">
        <f t="shared" si="24"/>
        <v>2.5319662404501272E-2</v>
      </c>
      <c r="BE13">
        <f t="shared" si="24"/>
        <v>2.5319662404501272E-2</v>
      </c>
      <c r="BF13">
        <f t="shared" si="24"/>
        <v>2.5319662404501272E-2</v>
      </c>
      <c r="BG13">
        <f t="shared" si="24"/>
        <v>2.5319662404501272E-2</v>
      </c>
      <c r="BH13">
        <f t="shared" si="24"/>
        <v>2.5319662404501272E-2</v>
      </c>
      <c r="BI13">
        <f t="shared" si="24"/>
        <v>2.5319662404501272E-2</v>
      </c>
      <c r="BJ13">
        <f t="shared" si="24"/>
        <v>2.2893861214254713E-2</v>
      </c>
      <c r="BK13">
        <f t="shared" si="24"/>
        <v>2.2893861214254713E-2</v>
      </c>
      <c r="BL13">
        <f t="shared" si="24"/>
        <v>2.2893861214254713E-2</v>
      </c>
      <c r="BM13">
        <f t="shared" si="24"/>
        <v>2.2893861214254713E-2</v>
      </c>
      <c r="BN13">
        <f t="shared" ref="BN13:CN13" si="25">BN31/BN$18</f>
        <v>2.2893861214254713E-2</v>
      </c>
      <c r="BO13">
        <f t="shared" si="25"/>
        <v>2.2893861214254713E-2</v>
      </c>
      <c r="BP13">
        <f t="shared" si="25"/>
        <v>2.2893861214254713E-2</v>
      </c>
      <c r="BQ13">
        <f t="shared" si="25"/>
        <v>2.2893861214254713E-2</v>
      </c>
      <c r="BR13">
        <f t="shared" si="25"/>
        <v>2.2893861214254713E-2</v>
      </c>
      <c r="BS13">
        <f t="shared" si="25"/>
        <v>2.2893861214254713E-2</v>
      </c>
      <c r="BT13">
        <f t="shared" si="25"/>
        <v>2.2893861214254713E-2</v>
      </c>
      <c r="BU13">
        <f t="shared" si="25"/>
        <v>2.2893861214254713E-2</v>
      </c>
      <c r="BV13">
        <f t="shared" si="25"/>
        <v>2.2893861214254713E-2</v>
      </c>
      <c r="BW13">
        <f t="shared" si="25"/>
        <v>2.2893861214254713E-2</v>
      </c>
      <c r="BX13">
        <f t="shared" si="25"/>
        <v>2.2893861214254713E-2</v>
      </c>
      <c r="BY13">
        <f t="shared" si="25"/>
        <v>2.2893861214254713E-2</v>
      </c>
      <c r="BZ13">
        <f t="shared" si="25"/>
        <v>2.2893861214254713E-2</v>
      </c>
      <c r="CA13">
        <f t="shared" si="25"/>
        <v>2.2893861214254713E-2</v>
      </c>
      <c r="CB13">
        <f t="shared" si="25"/>
        <v>2.2893861214254713E-2</v>
      </c>
      <c r="CC13">
        <f t="shared" si="25"/>
        <v>2.2893861214254713E-2</v>
      </c>
      <c r="CD13">
        <f t="shared" si="25"/>
        <v>2.2893861214254713E-2</v>
      </c>
      <c r="CE13">
        <f t="shared" si="25"/>
        <v>2.2893861214254713E-2</v>
      </c>
      <c r="CF13">
        <f t="shared" si="25"/>
        <v>2.2893861214254713E-2</v>
      </c>
      <c r="CG13">
        <f t="shared" si="25"/>
        <v>2.2893861214254713E-2</v>
      </c>
      <c r="CH13">
        <f t="shared" si="25"/>
        <v>2.2893861214254713E-2</v>
      </c>
      <c r="CI13">
        <f t="shared" si="25"/>
        <v>2.2893861214254713E-2</v>
      </c>
      <c r="CJ13">
        <f t="shared" si="25"/>
        <v>2.2893861214254713E-2</v>
      </c>
      <c r="CK13">
        <f t="shared" si="25"/>
        <v>2.2893861214254713E-2</v>
      </c>
      <c r="CL13">
        <f t="shared" si="25"/>
        <v>2.2893861214254713E-2</v>
      </c>
      <c r="CM13">
        <f t="shared" si="25"/>
        <v>2.2893861214254713E-2</v>
      </c>
      <c r="CN13">
        <f t="shared" si="25"/>
        <v>2.2893861214254713E-2</v>
      </c>
    </row>
    <row r="14" spans="1:92" x14ac:dyDescent="0.25">
      <c r="A14" t="s">
        <v>8</v>
      </c>
      <c r="B14">
        <f t="shared" ref="B14:BM14" si="26">B32/B$18</f>
        <v>2.3203485023041474E-2</v>
      </c>
      <c r="C14">
        <f t="shared" si="26"/>
        <v>2.3203485023041474E-2</v>
      </c>
      <c r="D14">
        <f t="shared" si="26"/>
        <v>2.3203485023041474E-2</v>
      </c>
      <c r="E14">
        <f t="shared" si="26"/>
        <v>2.3203485023041474E-2</v>
      </c>
      <c r="F14">
        <f t="shared" si="26"/>
        <v>2.3203485023041474E-2</v>
      </c>
      <c r="G14">
        <f t="shared" si="26"/>
        <v>2.3203485023041474E-2</v>
      </c>
      <c r="H14">
        <f t="shared" si="26"/>
        <v>2.3203485023041474E-2</v>
      </c>
      <c r="I14">
        <f t="shared" si="26"/>
        <v>2.3203485023041474E-2</v>
      </c>
      <c r="J14">
        <f t="shared" si="26"/>
        <v>2.3203485023041474E-2</v>
      </c>
      <c r="K14">
        <f t="shared" si="26"/>
        <v>2.3203485023041474E-2</v>
      </c>
      <c r="L14">
        <f t="shared" si="26"/>
        <v>2.3203485023041474E-2</v>
      </c>
      <c r="M14">
        <f t="shared" si="26"/>
        <v>2.2352250759458712E-2</v>
      </c>
      <c r="N14">
        <f t="shared" si="26"/>
        <v>2.1394873148361981E-2</v>
      </c>
      <c r="O14">
        <f t="shared" si="26"/>
        <v>2.1445214055887528E-2</v>
      </c>
      <c r="P14">
        <f t="shared" si="26"/>
        <v>2.1628052407607949E-2</v>
      </c>
      <c r="Q14">
        <f t="shared" si="26"/>
        <v>2.1788184269136091E-2</v>
      </c>
      <c r="R14">
        <f t="shared" si="26"/>
        <v>2.1716213367067257E-2</v>
      </c>
      <c r="S14">
        <f t="shared" si="26"/>
        <v>2.1009322288744907E-2</v>
      </c>
      <c r="T14">
        <f t="shared" si="26"/>
        <v>2.0487190481294888E-2</v>
      </c>
      <c r="U14">
        <f t="shared" si="26"/>
        <v>2.0062469966362326E-2</v>
      </c>
      <c r="V14">
        <f t="shared" si="26"/>
        <v>1.9803173327977507E-2</v>
      </c>
      <c r="W14">
        <f t="shared" si="26"/>
        <v>1.9697780155121691E-2</v>
      </c>
      <c r="X14">
        <f t="shared" si="26"/>
        <v>1.9703514104409962E-2</v>
      </c>
      <c r="Y14">
        <f t="shared" si="26"/>
        <v>1.9709182443831508E-2</v>
      </c>
      <c r="Z14">
        <f t="shared" si="26"/>
        <v>1.9707872408978627E-2</v>
      </c>
      <c r="AA14">
        <f t="shared" si="26"/>
        <v>1.9707931404072884E-2</v>
      </c>
      <c r="AB14">
        <f t="shared" si="26"/>
        <v>1.9709599354665232E-2</v>
      </c>
      <c r="AC14">
        <f t="shared" si="26"/>
        <v>1.9699925990715197E-2</v>
      </c>
      <c r="AD14">
        <f t="shared" si="26"/>
        <v>1.9702130501569493E-2</v>
      </c>
      <c r="AE14">
        <f t="shared" si="26"/>
        <v>1.970096979184632E-2</v>
      </c>
      <c r="AF14">
        <f t="shared" si="26"/>
        <v>1.9699962628797182E-2</v>
      </c>
      <c r="AG14">
        <f t="shared" si="26"/>
        <v>1.9706403914614472E-2</v>
      </c>
      <c r="AH14">
        <f t="shared" si="26"/>
        <v>1.9706403914614472E-2</v>
      </c>
      <c r="AI14">
        <f t="shared" si="26"/>
        <v>1.9706403914614472E-2</v>
      </c>
      <c r="AJ14">
        <f t="shared" si="26"/>
        <v>1.9706403914614472E-2</v>
      </c>
      <c r="AK14">
        <f t="shared" si="26"/>
        <v>1.9706403914614472E-2</v>
      </c>
      <c r="AL14">
        <f t="shared" si="26"/>
        <v>1.9706403914614472E-2</v>
      </c>
      <c r="AM14">
        <f t="shared" si="26"/>
        <v>1.9706403914614472E-2</v>
      </c>
      <c r="AN14">
        <f t="shared" si="26"/>
        <v>1.9706403914614472E-2</v>
      </c>
      <c r="AO14">
        <f t="shared" si="26"/>
        <v>1.9706403914614472E-2</v>
      </c>
      <c r="AP14">
        <f t="shared" si="26"/>
        <v>1.9706403914614472E-2</v>
      </c>
      <c r="AQ14">
        <f t="shared" si="26"/>
        <v>1.9706403914614472E-2</v>
      </c>
      <c r="AR14">
        <f t="shared" si="26"/>
        <v>1.9706403914614472E-2</v>
      </c>
      <c r="AS14">
        <f t="shared" si="26"/>
        <v>1.9706403914614472E-2</v>
      </c>
      <c r="AT14">
        <f t="shared" si="26"/>
        <v>1.9706403914614472E-2</v>
      </c>
      <c r="AU14">
        <f t="shared" si="26"/>
        <v>1.9706403914614472E-2</v>
      </c>
      <c r="AV14">
        <f t="shared" si="26"/>
        <v>1.9706403914614472E-2</v>
      </c>
      <c r="AW14">
        <f t="shared" si="26"/>
        <v>1.9706403914614472E-2</v>
      </c>
      <c r="AX14">
        <f t="shared" si="26"/>
        <v>1.9706403914614472E-2</v>
      </c>
      <c r="AY14">
        <f t="shared" si="26"/>
        <v>1.9706403914614472E-2</v>
      </c>
      <c r="AZ14">
        <f t="shared" si="26"/>
        <v>1.9706403914614472E-2</v>
      </c>
      <c r="BA14">
        <f t="shared" si="26"/>
        <v>1.9706403914614472E-2</v>
      </c>
      <c r="BB14">
        <f t="shared" si="26"/>
        <v>1.9706403914614472E-2</v>
      </c>
      <c r="BC14">
        <f t="shared" si="26"/>
        <v>1.9706403914614472E-2</v>
      </c>
      <c r="BD14">
        <f t="shared" si="26"/>
        <v>1.9706403914614472E-2</v>
      </c>
      <c r="BE14">
        <f t="shared" si="26"/>
        <v>1.9706403914614472E-2</v>
      </c>
      <c r="BF14">
        <f t="shared" si="26"/>
        <v>1.9706403914614472E-2</v>
      </c>
      <c r="BG14">
        <f t="shared" si="26"/>
        <v>1.9706403914614472E-2</v>
      </c>
      <c r="BH14">
        <f t="shared" si="26"/>
        <v>1.9706403914614472E-2</v>
      </c>
      <c r="BI14">
        <f t="shared" si="26"/>
        <v>1.9706403914614472E-2</v>
      </c>
      <c r="BJ14">
        <f t="shared" si="26"/>
        <v>1.7818392245744323E-2</v>
      </c>
      <c r="BK14">
        <f t="shared" si="26"/>
        <v>1.7818392245744323E-2</v>
      </c>
      <c r="BL14">
        <f t="shared" si="26"/>
        <v>1.7818392245744323E-2</v>
      </c>
      <c r="BM14">
        <f t="shared" si="26"/>
        <v>1.7818392245744323E-2</v>
      </c>
      <c r="BN14">
        <f t="shared" ref="BN14:CN14" si="27">BN32/BN$18</f>
        <v>1.7818392245744323E-2</v>
      </c>
      <c r="BO14">
        <f t="shared" si="27"/>
        <v>1.7818392245744323E-2</v>
      </c>
      <c r="BP14">
        <f t="shared" si="27"/>
        <v>1.7818392245744323E-2</v>
      </c>
      <c r="BQ14">
        <f t="shared" si="27"/>
        <v>1.7818392245744323E-2</v>
      </c>
      <c r="BR14">
        <f t="shared" si="27"/>
        <v>1.7818392245744323E-2</v>
      </c>
      <c r="BS14">
        <f t="shared" si="27"/>
        <v>1.7818392245744323E-2</v>
      </c>
      <c r="BT14">
        <f t="shared" si="27"/>
        <v>1.7818392245744323E-2</v>
      </c>
      <c r="BU14">
        <f t="shared" si="27"/>
        <v>1.7818392245744323E-2</v>
      </c>
      <c r="BV14">
        <f t="shared" si="27"/>
        <v>1.7818392245744323E-2</v>
      </c>
      <c r="BW14">
        <f t="shared" si="27"/>
        <v>1.7818392245744323E-2</v>
      </c>
      <c r="BX14">
        <f t="shared" si="27"/>
        <v>1.7818392245744323E-2</v>
      </c>
      <c r="BY14">
        <f t="shared" si="27"/>
        <v>1.7818392245744323E-2</v>
      </c>
      <c r="BZ14">
        <f t="shared" si="27"/>
        <v>1.7818392245744323E-2</v>
      </c>
      <c r="CA14">
        <f t="shared" si="27"/>
        <v>1.7818392245744323E-2</v>
      </c>
      <c r="CB14">
        <f t="shared" si="27"/>
        <v>1.7818392245744323E-2</v>
      </c>
      <c r="CC14">
        <f t="shared" si="27"/>
        <v>1.7818392245744323E-2</v>
      </c>
      <c r="CD14">
        <f t="shared" si="27"/>
        <v>1.7818392245744323E-2</v>
      </c>
      <c r="CE14">
        <f t="shared" si="27"/>
        <v>1.7818392245744323E-2</v>
      </c>
      <c r="CF14">
        <f t="shared" si="27"/>
        <v>1.7818392245744323E-2</v>
      </c>
      <c r="CG14">
        <f t="shared" si="27"/>
        <v>1.7818392245744323E-2</v>
      </c>
      <c r="CH14">
        <f t="shared" si="27"/>
        <v>1.7818392245744323E-2</v>
      </c>
      <c r="CI14">
        <f t="shared" si="27"/>
        <v>1.7818392245744323E-2</v>
      </c>
      <c r="CJ14">
        <f t="shared" si="27"/>
        <v>1.7818392245744323E-2</v>
      </c>
      <c r="CK14">
        <f t="shared" si="27"/>
        <v>1.7818392245744323E-2</v>
      </c>
      <c r="CL14">
        <f t="shared" si="27"/>
        <v>1.7818392245744323E-2</v>
      </c>
      <c r="CM14">
        <f t="shared" si="27"/>
        <v>1.7818392245744323E-2</v>
      </c>
      <c r="CN14">
        <f t="shared" si="27"/>
        <v>1.7818392245744323E-2</v>
      </c>
    </row>
    <row r="18" spans="1:92" x14ac:dyDescent="0.25">
      <c r="B18">
        <f>SUM(B20:B32)</f>
        <v>55552</v>
      </c>
      <c r="C18">
        <f t="shared" ref="C18:BN18" si="28">SUM(C20:C32)</f>
        <v>55552</v>
      </c>
      <c r="D18">
        <f t="shared" si="28"/>
        <v>55552</v>
      </c>
      <c r="E18">
        <f t="shared" si="28"/>
        <v>55552</v>
      </c>
      <c r="F18">
        <f t="shared" si="28"/>
        <v>55552</v>
      </c>
      <c r="G18">
        <f t="shared" si="28"/>
        <v>55552</v>
      </c>
      <c r="H18">
        <f t="shared" si="28"/>
        <v>55552</v>
      </c>
      <c r="I18">
        <f t="shared" si="28"/>
        <v>55552</v>
      </c>
      <c r="J18">
        <f t="shared" si="28"/>
        <v>55552</v>
      </c>
      <c r="K18">
        <f t="shared" si="28"/>
        <v>55552</v>
      </c>
      <c r="L18">
        <f t="shared" si="28"/>
        <v>55552</v>
      </c>
      <c r="M18">
        <f t="shared" si="28"/>
        <v>57936</v>
      </c>
      <c r="N18">
        <f t="shared" si="28"/>
        <v>60622</v>
      </c>
      <c r="O18">
        <f t="shared" si="28"/>
        <v>63091</v>
      </c>
      <c r="P18">
        <f t="shared" si="28"/>
        <v>65563</v>
      </c>
      <c r="Q18">
        <f t="shared" si="28"/>
        <v>68248</v>
      </c>
      <c r="R18">
        <f t="shared" si="28"/>
        <v>71145</v>
      </c>
      <c r="S18">
        <f t="shared" si="28"/>
        <v>73158</v>
      </c>
      <c r="T18">
        <f t="shared" si="28"/>
        <v>74632</v>
      </c>
      <c r="U18">
        <f t="shared" si="28"/>
        <v>74916</v>
      </c>
      <c r="V18">
        <f t="shared" si="28"/>
        <v>74685</v>
      </c>
      <c r="W18">
        <f t="shared" si="28"/>
        <v>74780</v>
      </c>
      <c r="X18">
        <f t="shared" si="28"/>
        <v>75012</v>
      </c>
      <c r="Y18">
        <f t="shared" si="28"/>
        <v>74686</v>
      </c>
      <c r="Z18">
        <f t="shared" si="28"/>
        <v>74488</v>
      </c>
      <c r="AA18">
        <f t="shared" si="28"/>
        <v>74640</v>
      </c>
      <c r="AB18">
        <f t="shared" si="28"/>
        <v>74380</v>
      </c>
      <c r="AC18">
        <f t="shared" si="28"/>
        <v>74315</v>
      </c>
      <c r="AD18">
        <f t="shared" si="28"/>
        <v>74865</v>
      </c>
      <c r="AE18">
        <f t="shared" si="28"/>
        <v>75377</v>
      </c>
      <c r="AF18">
        <f t="shared" si="28"/>
        <v>74924</v>
      </c>
      <c r="AG18">
        <f t="shared" si="28"/>
        <v>75001</v>
      </c>
      <c r="AH18">
        <f t="shared" si="28"/>
        <v>75001</v>
      </c>
      <c r="AI18">
        <f t="shared" si="28"/>
        <v>75001</v>
      </c>
      <c r="AJ18">
        <f t="shared" si="28"/>
        <v>75001</v>
      </c>
      <c r="AK18">
        <f t="shared" si="28"/>
        <v>75001</v>
      </c>
      <c r="AL18">
        <f t="shared" si="28"/>
        <v>75001</v>
      </c>
      <c r="AM18">
        <f t="shared" si="28"/>
        <v>75001</v>
      </c>
      <c r="AN18">
        <f t="shared" si="28"/>
        <v>75001</v>
      </c>
      <c r="AO18">
        <f t="shared" si="28"/>
        <v>75001</v>
      </c>
      <c r="AP18">
        <f t="shared" si="28"/>
        <v>75001</v>
      </c>
      <c r="AQ18">
        <f t="shared" si="28"/>
        <v>75001</v>
      </c>
      <c r="AR18">
        <f t="shared" si="28"/>
        <v>75001</v>
      </c>
      <c r="AS18">
        <f t="shared" si="28"/>
        <v>75001</v>
      </c>
      <c r="AT18">
        <f t="shared" si="28"/>
        <v>75001</v>
      </c>
      <c r="AU18">
        <f t="shared" si="28"/>
        <v>75001</v>
      </c>
      <c r="AV18">
        <f t="shared" si="28"/>
        <v>75001</v>
      </c>
      <c r="AW18">
        <f t="shared" si="28"/>
        <v>75001</v>
      </c>
      <c r="AX18">
        <f t="shared" si="28"/>
        <v>75001</v>
      </c>
      <c r="AY18">
        <f t="shared" si="28"/>
        <v>75001</v>
      </c>
      <c r="AZ18">
        <f t="shared" si="28"/>
        <v>75001</v>
      </c>
      <c r="BA18">
        <f t="shared" si="28"/>
        <v>75001</v>
      </c>
      <c r="BB18">
        <f t="shared" si="28"/>
        <v>75001</v>
      </c>
      <c r="BC18">
        <f t="shared" si="28"/>
        <v>75001</v>
      </c>
      <c r="BD18">
        <f t="shared" si="28"/>
        <v>75001</v>
      </c>
      <c r="BE18">
        <f t="shared" si="28"/>
        <v>75001</v>
      </c>
      <c r="BF18">
        <f t="shared" si="28"/>
        <v>75001</v>
      </c>
      <c r="BG18">
        <f t="shared" si="28"/>
        <v>75001</v>
      </c>
      <c r="BH18">
        <f t="shared" si="28"/>
        <v>75001</v>
      </c>
      <c r="BI18">
        <f t="shared" si="28"/>
        <v>75001</v>
      </c>
      <c r="BJ18">
        <f t="shared" si="28"/>
        <v>82948</v>
      </c>
      <c r="BK18">
        <f t="shared" si="28"/>
        <v>82948</v>
      </c>
      <c r="BL18">
        <f t="shared" si="28"/>
        <v>82948</v>
      </c>
      <c r="BM18">
        <f t="shared" si="28"/>
        <v>82948</v>
      </c>
      <c r="BN18">
        <f t="shared" si="28"/>
        <v>82948</v>
      </c>
      <c r="BO18">
        <f t="shared" ref="BO18:CN18" si="29">SUM(BO20:BO32)</f>
        <v>82948</v>
      </c>
      <c r="BP18">
        <f t="shared" si="29"/>
        <v>82948</v>
      </c>
      <c r="BQ18">
        <f t="shared" si="29"/>
        <v>82948</v>
      </c>
      <c r="BR18">
        <f t="shared" si="29"/>
        <v>82948</v>
      </c>
      <c r="BS18">
        <f t="shared" si="29"/>
        <v>82948</v>
      </c>
      <c r="BT18">
        <f t="shared" si="29"/>
        <v>82948</v>
      </c>
      <c r="BU18">
        <f t="shared" si="29"/>
        <v>82948</v>
      </c>
      <c r="BV18">
        <f t="shared" si="29"/>
        <v>82948</v>
      </c>
      <c r="BW18">
        <f t="shared" si="29"/>
        <v>82948</v>
      </c>
      <c r="BX18">
        <f t="shared" si="29"/>
        <v>82948</v>
      </c>
      <c r="BY18">
        <f t="shared" si="29"/>
        <v>82948</v>
      </c>
      <c r="BZ18">
        <f t="shared" si="29"/>
        <v>82948</v>
      </c>
      <c r="CA18">
        <f t="shared" si="29"/>
        <v>82948</v>
      </c>
      <c r="CB18">
        <f t="shared" si="29"/>
        <v>82948</v>
      </c>
      <c r="CC18">
        <f t="shared" si="29"/>
        <v>82948</v>
      </c>
      <c r="CD18">
        <f t="shared" si="29"/>
        <v>82948</v>
      </c>
      <c r="CE18">
        <f t="shared" si="29"/>
        <v>82948</v>
      </c>
      <c r="CF18">
        <f t="shared" si="29"/>
        <v>82948</v>
      </c>
      <c r="CG18">
        <f t="shared" si="29"/>
        <v>82948</v>
      </c>
      <c r="CH18">
        <f t="shared" si="29"/>
        <v>82948</v>
      </c>
      <c r="CI18">
        <f t="shared" si="29"/>
        <v>82948</v>
      </c>
      <c r="CJ18">
        <f t="shared" si="29"/>
        <v>82948</v>
      </c>
      <c r="CK18">
        <f t="shared" si="29"/>
        <v>82948</v>
      </c>
      <c r="CL18">
        <f t="shared" si="29"/>
        <v>82948</v>
      </c>
      <c r="CM18">
        <f t="shared" si="29"/>
        <v>82948</v>
      </c>
      <c r="CN18">
        <f t="shared" si="29"/>
        <v>82948</v>
      </c>
    </row>
    <row r="20" spans="1:92" x14ac:dyDescent="0.25">
      <c r="A20" t="s">
        <v>99</v>
      </c>
      <c r="B20">
        <f t="shared" ref="B20:K20" si="30">C20</f>
        <v>7467</v>
      </c>
      <c r="C20">
        <f t="shared" si="30"/>
        <v>7467</v>
      </c>
      <c r="D20">
        <f t="shared" si="30"/>
        <v>7467</v>
      </c>
      <c r="E20">
        <f t="shared" si="30"/>
        <v>7467</v>
      </c>
      <c r="F20">
        <f t="shared" si="30"/>
        <v>7467</v>
      </c>
      <c r="G20">
        <f t="shared" si="30"/>
        <v>7467</v>
      </c>
      <c r="H20">
        <f t="shared" si="30"/>
        <v>7467</v>
      </c>
      <c r="I20">
        <f t="shared" si="30"/>
        <v>7467</v>
      </c>
      <c r="J20">
        <f t="shared" si="30"/>
        <v>7467</v>
      </c>
      <c r="K20">
        <f t="shared" si="30"/>
        <v>7467</v>
      </c>
      <c r="L20">
        <v>7467</v>
      </c>
      <c r="M20">
        <v>7714</v>
      </c>
      <c r="N20">
        <v>8274</v>
      </c>
      <c r="O20">
        <v>8667</v>
      </c>
      <c r="P20">
        <v>8940</v>
      </c>
      <c r="Q20">
        <v>9247</v>
      </c>
      <c r="R20">
        <v>9730</v>
      </c>
      <c r="S20">
        <v>10322</v>
      </c>
      <c r="T20">
        <v>10773</v>
      </c>
      <c r="U20">
        <v>11063</v>
      </c>
      <c r="V20">
        <v>11108</v>
      </c>
      <c r="W20">
        <v>11117</v>
      </c>
      <c r="X20">
        <v>11151</v>
      </c>
      <c r="Y20">
        <v>11103</v>
      </c>
      <c r="Z20">
        <v>11073</v>
      </c>
      <c r="AA20">
        <v>11096</v>
      </c>
      <c r="AB20">
        <v>11057</v>
      </c>
      <c r="AC20">
        <v>11048</v>
      </c>
      <c r="AD20">
        <v>11129</v>
      </c>
      <c r="AE20">
        <v>11206</v>
      </c>
      <c r="AF20">
        <v>11138</v>
      </c>
      <c r="AG20">
        <v>11150</v>
      </c>
      <c r="AH20">
        <v>11150</v>
      </c>
      <c r="AI20">
        <v>11150</v>
      </c>
      <c r="AJ20">
        <v>11150</v>
      </c>
      <c r="AK20">
        <v>11150</v>
      </c>
      <c r="AL20">
        <v>11150</v>
      </c>
      <c r="AM20">
        <v>11150</v>
      </c>
      <c r="AN20">
        <v>11150</v>
      </c>
      <c r="AO20">
        <v>11150</v>
      </c>
      <c r="AP20">
        <v>11150</v>
      </c>
      <c r="AQ20">
        <v>11150</v>
      </c>
      <c r="AR20">
        <v>11150</v>
      </c>
      <c r="AS20">
        <v>11150</v>
      </c>
      <c r="AT20">
        <v>11150</v>
      </c>
      <c r="AU20">
        <v>11150</v>
      </c>
      <c r="AV20">
        <v>11150</v>
      </c>
      <c r="AW20">
        <v>11150</v>
      </c>
      <c r="AX20">
        <v>11150</v>
      </c>
      <c r="AY20">
        <v>11150</v>
      </c>
      <c r="AZ20">
        <v>11150</v>
      </c>
      <c r="BA20">
        <v>11150</v>
      </c>
      <c r="BB20">
        <v>11150</v>
      </c>
      <c r="BC20">
        <v>11150</v>
      </c>
      <c r="BD20">
        <v>11150</v>
      </c>
      <c r="BE20">
        <v>11150</v>
      </c>
      <c r="BF20">
        <v>11150</v>
      </c>
      <c r="BG20">
        <v>11150</v>
      </c>
      <c r="BH20">
        <v>11150</v>
      </c>
      <c r="BI20">
        <v>11150</v>
      </c>
      <c r="BJ20">
        <v>13161</v>
      </c>
      <c r="BK20">
        <v>13161</v>
      </c>
      <c r="BL20">
        <v>13161</v>
      </c>
      <c r="BM20">
        <v>13161</v>
      </c>
      <c r="BN20">
        <v>13161</v>
      </c>
      <c r="BO20">
        <v>13161</v>
      </c>
      <c r="BP20">
        <v>13161</v>
      </c>
      <c r="BQ20">
        <v>13161</v>
      </c>
      <c r="BR20">
        <v>13161</v>
      </c>
      <c r="BS20">
        <v>13161</v>
      </c>
      <c r="BT20">
        <v>13161</v>
      </c>
      <c r="BU20">
        <v>13161</v>
      </c>
      <c r="BV20">
        <v>13161</v>
      </c>
      <c r="BW20">
        <v>13161</v>
      </c>
      <c r="BX20">
        <v>13161</v>
      </c>
      <c r="BY20">
        <v>13161</v>
      </c>
      <c r="BZ20">
        <v>13161</v>
      </c>
      <c r="CA20">
        <v>13161</v>
      </c>
      <c r="CB20">
        <v>13161</v>
      </c>
      <c r="CC20">
        <v>13161</v>
      </c>
      <c r="CD20">
        <v>13161</v>
      </c>
      <c r="CE20">
        <v>13161</v>
      </c>
      <c r="CF20">
        <v>13161</v>
      </c>
      <c r="CG20">
        <v>13161</v>
      </c>
      <c r="CH20">
        <v>13161</v>
      </c>
      <c r="CI20">
        <v>13161</v>
      </c>
      <c r="CJ20">
        <v>13161</v>
      </c>
      <c r="CK20">
        <v>13161</v>
      </c>
      <c r="CL20">
        <v>13161</v>
      </c>
      <c r="CM20">
        <v>13161</v>
      </c>
      <c r="CN20">
        <v>13161</v>
      </c>
    </row>
    <row r="21" spans="1:92" x14ac:dyDescent="0.25">
      <c r="A21" t="s">
        <v>11</v>
      </c>
      <c r="B21">
        <v>1612</v>
      </c>
      <c r="C21">
        <v>1612</v>
      </c>
      <c r="D21">
        <v>1612</v>
      </c>
      <c r="E21">
        <v>1612</v>
      </c>
      <c r="F21">
        <v>1612</v>
      </c>
      <c r="G21">
        <v>1612</v>
      </c>
      <c r="H21">
        <v>1612</v>
      </c>
      <c r="I21">
        <v>1612</v>
      </c>
      <c r="J21">
        <v>1612</v>
      </c>
      <c r="K21">
        <v>1612</v>
      </c>
      <c r="L21">
        <v>1612</v>
      </c>
      <c r="M21">
        <v>1720</v>
      </c>
      <c r="N21">
        <v>1783</v>
      </c>
      <c r="O21">
        <v>2110</v>
      </c>
      <c r="P21">
        <v>2346</v>
      </c>
      <c r="Q21">
        <v>2509</v>
      </c>
      <c r="R21">
        <v>2687</v>
      </c>
      <c r="S21">
        <v>2830</v>
      </c>
      <c r="T21">
        <v>2936</v>
      </c>
      <c r="U21">
        <v>2974</v>
      </c>
      <c r="V21">
        <v>2967</v>
      </c>
      <c r="W21">
        <v>2976</v>
      </c>
      <c r="X21">
        <v>2986</v>
      </c>
      <c r="Y21">
        <v>2973</v>
      </c>
      <c r="Z21">
        <v>2965</v>
      </c>
      <c r="AA21">
        <v>2971</v>
      </c>
      <c r="AB21">
        <v>2961</v>
      </c>
      <c r="AC21">
        <v>2958</v>
      </c>
      <c r="AD21">
        <v>2980</v>
      </c>
      <c r="AE21">
        <v>3000</v>
      </c>
      <c r="AF21">
        <v>2982</v>
      </c>
      <c r="AG21">
        <v>2985</v>
      </c>
      <c r="AH21">
        <v>2985</v>
      </c>
      <c r="AI21">
        <v>2985</v>
      </c>
      <c r="AJ21">
        <v>2985</v>
      </c>
      <c r="AK21">
        <v>2985</v>
      </c>
      <c r="AL21">
        <v>2985</v>
      </c>
      <c r="AM21">
        <v>2985</v>
      </c>
      <c r="AN21">
        <v>2985</v>
      </c>
      <c r="AO21">
        <v>2985</v>
      </c>
      <c r="AP21">
        <v>2985</v>
      </c>
      <c r="AQ21">
        <v>2985</v>
      </c>
      <c r="AR21">
        <v>2985</v>
      </c>
      <c r="AS21">
        <v>2985</v>
      </c>
      <c r="AT21">
        <v>2985</v>
      </c>
      <c r="AU21">
        <v>2985</v>
      </c>
      <c r="AV21">
        <v>2985</v>
      </c>
      <c r="AW21">
        <v>2985</v>
      </c>
      <c r="AX21">
        <v>2985</v>
      </c>
      <c r="AY21">
        <v>2985</v>
      </c>
      <c r="AZ21">
        <v>2985</v>
      </c>
      <c r="BA21">
        <v>2985</v>
      </c>
      <c r="BB21">
        <v>2985</v>
      </c>
      <c r="BC21">
        <v>2985</v>
      </c>
      <c r="BD21">
        <v>2985</v>
      </c>
      <c r="BE21">
        <v>2985</v>
      </c>
      <c r="BF21">
        <v>2985</v>
      </c>
      <c r="BG21">
        <v>2985</v>
      </c>
      <c r="BH21">
        <v>2985</v>
      </c>
      <c r="BI21">
        <v>2985</v>
      </c>
      <c r="BJ21">
        <v>2985</v>
      </c>
      <c r="BK21">
        <v>2985</v>
      </c>
      <c r="BL21">
        <v>2985</v>
      </c>
      <c r="BM21">
        <v>2985</v>
      </c>
      <c r="BN21">
        <v>2985</v>
      </c>
      <c r="BO21">
        <v>2985</v>
      </c>
      <c r="BP21">
        <v>2985</v>
      </c>
      <c r="BQ21">
        <v>2985</v>
      </c>
      <c r="BR21">
        <v>2985</v>
      </c>
      <c r="BS21">
        <v>2985</v>
      </c>
      <c r="BT21">
        <v>2985</v>
      </c>
      <c r="BU21">
        <v>2985</v>
      </c>
      <c r="BV21">
        <v>2985</v>
      </c>
      <c r="BW21">
        <v>2985</v>
      </c>
      <c r="BX21">
        <v>2985</v>
      </c>
      <c r="BY21">
        <v>2985</v>
      </c>
      <c r="BZ21">
        <v>2985</v>
      </c>
      <c r="CA21">
        <v>2985</v>
      </c>
      <c r="CB21">
        <v>2985</v>
      </c>
      <c r="CC21">
        <v>2985</v>
      </c>
      <c r="CD21">
        <v>2985</v>
      </c>
      <c r="CE21">
        <v>2985</v>
      </c>
      <c r="CF21">
        <v>2985</v>
      </c>
      <c r="CG21">
        <v>2985</v>
      </c>
      <c r="CH21">
        <v>2985</v>
      </c>
      <c r="CI21">
        <v>2985</v>
      </c>
      <c r="CJ21">
        <v>2985</v>
      </c>
      <c r="CK21">
        <v>2985</v>
      </c>
      <c r="CL21">
        <v>2985</v>
      </c>
      <c r="CM21">
        <v>2985</v>
      </c>
      <c r="CN21">
        <v>2985</v>
      </c>
    </row>
    <row r="22" spans="1:92" x14ac:dyDescent="0.25">
      <c r="A22" t="s">
        <v>12</v>
      </c>
      <c r="B22">
        <v>2684</v>
      </c>
      <c r="C22">
        <v>2684</v>
      </c>
      <c r="D22">
        <v>2684</v>
      </c>
      <c r="E22">
        <v>2684</v>
      </c>
      <c r="F22">
        <v>2684</v>
      </c>
      <c r="G22">
        <v>2684</v>
      </c>
      <c r="H22">
        <v>2684</v>
      </c>
      <c r="I22">
        <v>2684</v>
      </c>
      <c r="J22">
        <v>2684</v>
      </c>
      <c r="K22">
        <v>2684</v>
      </c>
      <c r="L22">
        <v>2684</v>
      </c>
      <c r="M22">
        <v>2715</v>
      </c>
      <c r="N22">
        <v>2680</v>
      </c>
      <c r="O22">
        <v>2849</v>
      </c>
      <c r="P22">
        <v>3064</v>
      </c>
      <c r="Q22">
        <v>3319</v>
      </c>
      <c r="R22">
        <v>3587</v>
      </c>
      <c r="S22">
        <v>3828</v>
      </c>
      <c r="T22">
        <v>4055</v>
      </c>
      <c r="U22">
        <v>4228</v>
      </c>
      <c r="V22">
        <v>4397</v>
      </c>
      <c r="W22">
        <v>4577</v>
      </c>
      <c r="X22">
        <v>4591</v>
      </c>
      <c r="Y22">
        <v>4571</v>
      </c>
      <c r="Z22">
        <v>4559</v>
      </c>
      <c r="AA22">
        <v>4568</v>
      </c>
      <c r="AB22">
        <v>4552</v>
      </c>
      <c r="AC22">
        <v>4548</v>
      </c>
      <c r="AD22">
        <v>4582</v>
      </c>
      <c r="AE22">
        <v>4613</v>
      </c>
      <c r="AF22">
        <v>4585</v>
      </c>
      <c r="AG22">
        <v>4590</v>
      </c>
      <c r="AH22">
        <v>4590</v>
      </c>
      <c r="AI22">
        <v>4590</v>
      </c>
      <c r="AJ22">
        <v>4590</v>
      </c>
      <c r="AK22">
        <v>4590</v>
      </c>
      <c r="AL22">
        <v>4590</v>
      </c>
      <c r="AM22">
        <v>4590</v>
      </c>
      <c r="AN22">
        <v>4590</v>
      </c>
      <c r="AO22">
        <v>4590</v>
      </c>
      <c r="AP22">
        <v>4590</v>
      </c>
      <c r="AQ22">
        <v>4590</v>
      </c>
      <c r="AR22">
        <v>4590</v>
      </c>
      <c r="AS22">
        <v>4590</v>
      </c>
      <c r="AT22">
        <v>4590</v>
      </c>
      <c r="AU22">
        <v>4590</v>
      </c>
      <c r="AV22">
        <v>4590</v>
      </c>
      <c r="AW22">
        <v>4590</v>
      </c>
      <c r="AX22">
        <v>4590</v>
      </c>
      <c r="AY22">
        <v>4590</v>
      </c>
      <c r="AZ22">
        <v>4590</v>
      </c>
      <c r="BA22">
        <v>4590</v>
      </c>
      <c r="BB22">
        <v>4590</v>
      </c>
      <c r="BC22">
        <v>4590</v>
      </c>
      <c r="BD22">
        <v>4590</v>
      </c>
      <c r="BE22">
        <v>4590</v>
      </c>
      <c r="BF22">
        <v>4590</v>
      </c>
      <c r="BG22">
        <v>4590</v>
      </c>
      <c r="BH22">
        <v>4590</v>
      </c>
      <c r="BI22">
        <v>4590</v>
      </c>
      <c r="BJ22">
        <v>4590</v>
      </c>
      <c r="BK22">
        <v>4590</v>
      </c>
      <c r="BL22">
        <v>4590</v>
      </c>
      <c r="BM22">
        <v>4590</v>
      </c>
      <c r="BN22">
        <v>4590</v>
      </c>
      <c r="BO22">
        <v>4590</v>
      </c>
      <c r="BP22">
        <v>4590</v>
      </c>
      <c r="BQ22">
        <v>4590</v>
      </c>
      <c r="BR22">
        <v>4590</v>
      </c>
      <c r="BS22">
        <v>4590</v>
      </c>
      <c r="BT22">
        <v>4590</v>
      </c>
      <c r="BU22">
        <v>4590</v>
      </c>
      <c r="BV22">
        <v>4590</v>
      </c>
      <c r="BW22">
        <v>4590</v>
      </c>
      <c r="BX22">
        <v>4590</v>
      </c>
      <c r="BY22">
        <v>4590</v>
      </c>
      <c r="BZ22">
        <v>4590</v>
      </c>
      <c r="CA22">
        <v>4590</v>
      </c>
      <c r="CB22">
        <v>4590</v>
      </c>
      <c r="CC22">
        <v>4590</v>
      </c>
      <c r="CD22">
        <v>4590</v>
      </c>
      <c r="CE22">
        <v>4590</v>
      </c>
      <c r="CF22">
        <v>4590</v>
      </c>
      <c r="CG22">
        <v>4590</v>
      </c>
      <c r="CH22">
        <v>4590</v>
      </c>
      <c r="CI22">
        <v>4590</v>
      </c>
      <c r="CJ22">
        <v>4590</v>
      </c>
      <c r="CK22">
        <v>4590</v>
      </c>
      <c r="CL22">
        <v>4590</v>
      </c>
      <c r="CM22">
        <v>4590</v>
      </c>
      <c r="CN22">
        <v>4590</v>
      </c>
    </row>
    <row r="23" spans="1:92" x14ac:dyDescent="0.25">
      <c r="A23" t="s">
        <v>95</v>
      </c>
      <c r="B23">
        <v>2293</v>
      </c>
      <c r="C23">
        <v>2293</v>
      </c>
      <c r="D23">
        <v>2293</v>
      </c>
      <c r="E23">
        <v>2293</v>
      </c>
      <c r="F23">
        <v>2293</v>
      </c>
      <c r="G23">
        <v>2293</v>
      </c>
      <c r="H23">
        <v>2293</v>
      </c>
      <c r="I23">
        <v>2293</v>
      </c>
      <c r="J23">
        <v>2293</v>
      </c>
      <c r="K23">
        <v>2293</v>
      </c>
      <c r="L23">
        <v>2293</v>
      </c>
      <c r="M23">
        <v>2513</v>
      </c>
      <c r="N23">
        <v>2709</v>
      </c>
      <c r="O23">
        <v>2954</v>
      </c>
      <c r="P23">
        <v>3556</v>
      </c>
      <c r="Q23">
        <v>4331</v>
      </c>
      <c r="R23">
        <v>5120</v>
      </c>
      <c r="S23">
        <v>5822</v>
      </c>
      <c r="T23">
        <v>6476</v>
      </c>
      <c r="U23">
        <v>6886</v>
      </c>
      <c r="V23">
        <v>7048</v>
      </c>
      <c r="W23">
        <v>7071</v>
      </c>
      <c r="X23">
        <v>7093</v>
      </c>
      <c r="Y23">
        <v>7062</v>
      </c>
      <c r="Z23">
        <v>7043</v>
      </c>
      <c r="AA23">
        <v>7058</v>
      </c>
      <c r="AB23">
        <v>7033</v>
      </c>
      <c r="AC23">
        <v>7027</v>
      </c>
      <c r="AD23">
        <v>7079</v>
      </c>
      <c r="AE23">
        <v>7127</v>
      </c>
      <c r="AF23">
        <v>7085</v>
      </c>
      <c r="AG23">
        <v>7092</v>
      </c>
      <c r="AH23">
        <v>7092</v>
      </c>
      <c r="AI23">
        <v>7092</v>
      </c>
      <c r="AJ23">
        <v>7092</v>
      </c>
      <c r="AK23">
        <v>7092</v>
      </c>
      <c r="AL23">
        <v>7092</v>
      </c>
      <c r="AM23">
        <v>7092</v>
      </c>
      <c r="AN23">
        <v>7092</v>
      </c>
      <c r="AO23">
        <v>7092</v>
      </c>
      <c r="AP23">
        <v>7092</v>
      </c>
      <c r="AQ23">
        <v>7092</v>
      </c>
      <c r="AR23">
        <v>7092</v>
      </c>
      <c r="AS23">
        <v>7092</v>
      </c>
      <c r="AT23">
        <v>7092</v>
      </c>
      <c r="AU23">
        <v>7092</v>
      </c>
      <c r="AV23">
        <v>7092</v>
      </c>
      <c r="AW23">
        <v>7092</v>
      </c>
      <c r="AX23">
        <v>7092</v>
      </c>
      <c r="AY23">
        <v>7092</v>
      </c>
      <c r="AZ23">
        <v>7092</v>
      </c>
      <c r="BA23">
        <v>7092</v>
      </c>
      <c r="BB23">
        <v>7092</v>
      </c>
      <c r="BC23">
        <v>7092</v>
      </c>
      <c r="BD23">
        <v>7092</v>
      </c>
      <c r="BE23">
        <v>7092</v>
      </c>
      <c r="BF23">
        <v>7092</v>
      </c>
      <c r="BG23">
        <v>7092</v>
      </c>
      <c r="BH23">
        <v>7092</v>
      </c>
      <c r="BI23">
        <v>7092</v>
      </c>
      <c r="BJ23">
        <v>7092</v>
      </c>
      <c r="BK23">
        <v>7092</v>
      </c>
      <c r="BL23">
        <v>7092</v>
      </c>
      <c r="BM23">
        <v>7092</v>
      </c>
      <c r="BN23">
        <v>7092</v>
      </c>
      <c r="BO23">
        <v>7092</v>
      </c>
      <c r="BP23">
        <v>7092</v>
      </c>
      <c r="BQ23">
        <v>7092</v>
      </c>
      <c r="BR23">
        <v>7092</v>
      </c>
      <c r="BS23">
        <v>7092</v>
      </c>
      <c r="BT23">
        <v>7092</v>
      </c>
      <c r="BU23">
        <v>7092</v>
      </c>
      <c r="BV23">
        <v>7092</v>
      </c>
      <c r="BW23">
        <v>7092</v>
      </c>
      <c r="BX23">
        <v>7092</v>
      </c>
      <c r="BY23">
        <v>7092</v>
      </c>
      <c r="BZ23">
        <v>7092</v>
      </c>
      <c r="CA23">
        <v>7092</v>
      </c>
      <c r="CB23">
        <v>7092</v>
      </c>
      <c r="CC23">
        <v>7092</v>
      </c>
      <c r="CD23">
        <v>7092</v>
      </c>
      <c r="CE23">
        <v>7092</v>
      </c>
      <c r="CF23">
        <v>7092</v>
      </c>
      <c r="CG23">
        <v>7092</v>
      </c>
      <c r="CH23">
        <v>7092</v>
      </c>
      <c r="CI23">
        <v>7092</v>
      </c>
      <c r="CJ23">
        <v>7092</v>
      </c>
      <c r="CK23">
        <v>7092</v>
      </c>
      <c r="CL23">
        <v>7092</v>
      </c>
      <c r="CM23">
        <v>7092</v>
      </c>
      <c r="CN23">
        <v>7092</v>
      </c>
    </row>
    <row r="24" spans="1:92" x14ac:dyDescent="0.25">
      <c r="A24" t="s">
        <v>101</v>
      </c>
      <c r="B24">
        <f t="shared" ref="B24:K24" si="31">C24</f>
        <v>3556</v>
      </c>
      <c r="C24">
        <f t="shared" si="31"/>
        <v>3556</v>
      </c>
      <c r="D24">
        <f t="shared" si="31"/>
        <v>3556</v>
      </c>
      <c r="E24">
        <f t="shared" si="31"/>
        <v>3556</v>
      </c>
      <c r="F24">
        <f t="shared" si="31"/>
        <v>3556</v>
      </c>
      <c r="G24">
        <f t="shared" si="31"/>
        <v>3556</v>
      </c>
      <c r="H24">
        <f t="shared" si="31"/>
        <v>3556</v>
      </c>
      <c r="I24">
        <f t="shared" si="31"/>
        <v>3556</v>
      </c>
      <c r="J24">
        <f t="shared" si="31"/>
        <v>3556</v>
      </c>
      <c r="K24">
        <f t="shared" si="31"/>
        <v>3556</v>
      </c>
      <c r="L24">
        <v>3556</v>
      </c>
      <c r="M24">
        <v>4029</v>
      </c>
      <c r="N24">
        <v>4622</v>
      </c>
      <c r="O24">
        <v>4691</v>
      </c>
      <c r="P24">
        <v>4846</v>
      </c>
      <c r="Q24">
        <v>5086</v>
      </c>
      <c r="R24">
        <v>5327</v>
      </c>
      <c r="S24">
        <v>5433</v>
      </c>
      <c r="T24">
        <v>5394</v>
      </c>
      <c r="U24">
        <v>5266</v>
      </c>
      <c r="V24">
        <v>5161</v>
      </c>
      <c r="W24">
        <v>5069</v>
      </c>
      <c r="X24">
        <v>5084</v>
      </c>
      <c r="Y24">
        <v>5062</v>
      </c>
      <c r="Z24">
        <v>5049</v>
      </c>
      <c r="AA24">
        <v>5059</v>
      </c>
      <c r="AB24">
        <v>5042</v>
      </c>
      <c r="AC24">
        <v>5037</v>
      </c>
      <c r="AD24">
        <v>5074</v>
      </c>
      <c r="AE24">
        <v>5109</v>
      </c>
      <c r="AF24">
        <v>5078</v>
      </c>
      <c r="AG24">
        <v>5084</v>
      </c>
      <c r="AH24">
        <v>5084</v>
      </c>
      <c r="AI24">
        <v>5084</v>
      </c>
      <c r="AJ24">
        <v>5084</v>
      </c>
      <c r="AK24">
        <v>5084</v>
      </c>
      <c r="AL24">
        <v>5084</v>
      </c>
      <c r="AM24">
        <v>5084</v>
      </c>
      <c r="AN24">
        <v>5084</v>
      </c>
      <c r="AO24">
        <v>5084</v>
      </c>
      <c r="AP24">
        <v>5084</v>
      </c>
      <c r="AQ24">
        <v>5084</v>
      </c>
      <c r="AR24">
        <v>5084</v>
      </c>
      <c r="AS24">
        <v>5084</v>
      </c>
      <c r="AT24">
        <v>5084</v>
      </c>
      <c r="AU24">
        <v>5084</v>
      </c>
      <c r="AV24">
        <v>5084</v>
      </c>
      <c r="AW24">
        <v>5084</v>
      </c>
      <c r="AX24">
        <v>5084</v>
      </c>
      <c r="AY24">
        <v>5084</v>
      </c>
      <c r="AZ24">
        <v>5084</v>
      </c>
      <c r="BA24">
        <v>5084</v>
      </c>
      <c r="BB24">
        <v>5084</v>
      </c>
      <c r="BC24">
        <v>5084</v>
      </c>
      <c r="BD24">
        <v>5084</v>
      </c>
      <c r="BE24">
        <v>5084</v>
      </c>
      <c r="BF24">
        <v>5084</v>
      </c>
      <c r="BG24">
        <v>5084</v>
      </c>
      <c r="BH24">
        <v>5084</v>
      </c>
      <c r="BI24">
        <v>5084</v>
      </c>
      <c r="BJ24">
        <v>6001</v>
      </c>
      <c r="BK24">
        <v>6001</v>
      </c>
      <c r="BL24">
        <v>6001</v>
      </c>
      <c r="BM24">
        <v>6001</v>
      </c>
      <c r="BN24">
        <v>6001</v>
      </c>
      <c r="BO24">
        <v>6001</v>
      </c>
      <c r="BP24">
        <v>6001</v>
      </c>
      <c r="BQ24">
        <v>6001</v>
      </c>
      <c r="BR24">
        <v>6001</v>
      </c>
      <c r="BS24">
        <v>6001</v>
      </c>
      <c r="BT24">
        <v>6001</v>
      </c>
      <c r="BU24">
        <v>6001</v>
      </c>
      <c r="BV24">
        <v>6001</v>
      </c>
      <c r="BW24">
        <v>6001</v>
      </c>
      <c r="BX24">
        <v>6001</v>
      </c>
      <c r="BY24">
        <v>6001</v>
      </c>
      <c r="BZ24">
        <v>6001</v>
      </c>
      <c r="CA24">
        <v>6001</v>
      </c>
      <c r="CB24">
        <v>6001</v>
      </c>
      <c r="CC24">
        <v>6001</v>
      </c>
      <c r="CD24">
        <v>6001</v>
      </c>
      <c r="CE24">
        <v>6001</v>
      </c>
      <c r="CF24">
        <v>6001</v>
      </c>
      <c r="CG24">
        <v>6001</v>
      </c>
      <c r="CH24">
        <v>6001</v>
      </c>
      <c r="CI24">
        <v>6001</v>
      </c>
      <c r="CJ24">
        <v>6001</v>
      </c>
      <c r="CK24">
        <v>6001</v>
      </c>
      <c r="CL24">
        <v>6001</v>
      </c>
      <c r="CM24">
        <v>6001</v>
      </c>
      <c r="CN24">
        <v>6001</v>
      </c>
    </row>
    <row r="25" spans="1:92" x14ac:dyDescent="0.25">
      <c r="A25" t="s">
        <v>7</v>
      </c>
      <c r="B25">
        <v>6099</v>
      </c>
      <c r="C25">
        <v>6099</v>
      </c>
      <c r="D25">
        <v>6099</v>
      </c>
      <c r="E25">
        <v>6099</v>
      </c>
      <c r="F25">
        <v>6099</v>
      </c>
      <c r="G25">
        <v>6099</v>
      </c>
      <c r="H25">
        <v>6099</v>
      </c>
      <c r="I25">
        <v>6099</v>
      </c>
      <c r="J25">
        <v>6099</v>
      </c>
      <c r="K25">
        <v>6099</v>
      </c>
      <c r="L25">
        <v>6099</v>
      </c>
      <c r="M25">
        <v>6434</v>
      </c>
      <c r="N25">
        <v>6854</v>
      </c>
      <c r="O25">
        <v>7008</v>
      </c>
      <c r="P25">
        <v>7196</v>
      </c>
      <c r="Q25">
        <v>7460</v>
      </c>
      <c r="R25">
        <v>7735</v>
      </c>
      <c r="S25">
        <v>7884</v>
      </c>
      <c r="T25">
        <v>7994</v>
      </c>
      <c r="U25">
        <v>8008</v>
      </c>
      <c r="V25">
        <v>8015</v>
      </c>
      <c r="W25">
        <v>8063</v>
      </c>
      <c r="X25">
        <v>8088</v>
      </c>
      <c r="Y25">
        <v>8053</v>
      </c>
      <c r="Z25">
        <v>8031</v>
      </c>
      <c r="AA25">
        <v>8048</v>
      </c>
      <c r="AB25">
        <v>8020</v>
      </c>
      <c r="AC25">
        <v>8013</v>
      </c>
      <c r="AD25">
        <v>8072</v>
      </c>
      <c r="AE25">
        <v>8128</v>
      </c>
      <c r="AF25">
        <v>8079</v>
      </c>
      <c r="AG25">
        <v>8087</v>
      </c>
      <c r="AH25">
        <v>8087</v>
      </c>
      <c r="AI25">
        <v>8087</v>
      </c>
      <c r="AJ25">
        <v>8087</v>
      </c>
      <c r="AK25">
        <v>8087</v>
      </c>
      <c r="AL25">
        <v>8087</v>
      </c>
      <c r="AM25">
        <v>8087</v>
      </c>
      <c r="AN25">
        <v>8087</v>
      </c>
      <c r="AO25">
        <v>8087</v>
      </c>
      <c r="AP25">
        <v>8087</v>
      </c>
      <c r="AQ25">
        <v>8087</v>
      </c>
      <c r="AR25">
        <v>8087</v>
      </c>
      <c r="AS25">
        <v>8087</v>
      </c>
      <c r="AT25">
        <v>8087</v>
      </c>
      <c r="AU25">
        <v>8087</v>
      </c>
      <c r="AV25">
        <v>8087</v>
      </c>
      <c r="AW25">
        <v>8087</v>
      </c>
      <c r="AX25">
        <v>8087</v>
      </c>
      <c r="AY25">
        <v>8087</v>
      </c>
      <c r="AZ25">
        <v>8087</v>
      </c>
      <c r="BA25">
        <v>8087</v>
      </c>
      <c r="BB25">
        <v>8087</v>
      </c>
      <c r="BC25">
        <v>8087</v>
      </c>
      <c r="BD25">
        <v>8087</v>
      </c>
      <c r="BE25">
        <v>8087</v>
      </c>
      <c r="BF25">
        <v>8087</v>
      </c>
      <c r="BG25">
        <v>8087</v>
      </c>
      <c r="BH25">
        <v>8087</v>
      </c>
      <c r="BI25">
        <v>8087</v>
      </c>
      <c r="BJ25">
        <v>8087</v>
      </c>
      <c r="BK25">
        <v>8087</v>
      </c>
      <c r="BL25">
        <v>8087</v>
      </c>
      <c r="BM25">
        <v>8087</v>
      </c>
      <c r="BN25">
        <v>8087</v>
      </c>
      <c r="BO25">
        <v>8087</v>
      </c>
      <c r="BP25">
        <v>8087</v>
      </c>
      <c r="BQ25">
        <v>8087</v>
      </c>
      <c r="BR25">
        <v>8087</v>
      </c>
      <c r="BS25">
        <v>8087</v>
      </c>
      <c r="BT25">
        <v>8087</v>
      </c>
      <c r="BU25">
        <v>8087</v>
      </c>
      <c r="BV25">
        <v>8087</v>
      </c>
      <c r="BW25">
        <v>8087</v>
      </c>
      <c r="BX25">
        <v>8087</v>
      </c>
      <c r="BY25">
        <v>8087</v>
      </c>
      <c r="BZ25">
        <v>8087</v>
      </c>
      <c r="CA25">
        <v>8087</v>
      </c>
      <c r="CB25">
        <v>8087</v>
      </c>
      <c r="CC25">
        <v>8087</v>
      </c>
      <c r="CD25">
        <v>8087</v>
      </c>
      <c r="CE25">
        <v>8087</v>
      </c>
      <c r="CF25">
        <v>8087</v>
      </c>
      <c r="CG25">
        <v>8087</v>
      </c>
      <c r="CH25">
        <v>8087</v>
      </c>
      <c r="CI25">
        <v>8087</v>
      </c>
      <c r="CJ25">
        <v>8087</v>
      </c>
      <c r="CK25">
        <v>8087</v>
      </c>
      <c r="CL25">
        <v>8087</v>
      </c>
      <c r="CM25">
        <v>8087</v>
      </c>
      <c r="CN25">
        <v>8087</v>
      </c>
    </row>
    <row r="26" spans="1:92" x14ac:dyDescent="0.25">
      <c r="A26" t="s">
        <v>96</v>
      </c>
      <c r="B26">
        <f t="shared" ref="B26:K26" si="32">C26</f>
        <v>11743</v>
      </c>
      <c r="C26">
        <f t="shared" si="32"/>
        <v>11743</v>
      </c>
      <c r="D26">
        <f t="shared" si="32"/>
        <v>11743</v>
      </c>
      <c r="E26">
        <f t="shared" si="32"/>
        <v>11743</v>
      </c>
      <c r="F26">
        <f t="shared" si="32"/>
        <v>11743</v>
      </c>
      <c r="G26">
        <f t="shared" si="32"/>
        <v>11743</v>
      </c>
      <c r="H26">
        <f t="shared" si="32"/>
        <v>11743</v>
      </c>
      <c r="I26">
        <f t="shared" si="32"/>
        <v>11743</v>
      </c>
      <c r="J26">
        <f t="shared" si="32"/>
        <v>11743</v>
      </c>
      <c r="K26">
        <f t="shared" si="32"/>
        <v>11743</v>
      </c>
      <c r="L26">
        <v>11743</v>
      </c>
      <c r="M26">
        <v>12026</v>
      </c>
      <c r="N26">
        <v>12628</v>
      </c>
      <c r="O26">
        <v>13260</v>
      </c>
      <c r="P26">
        <v>13700</v>
      </c>
      <c r="Q26">
        <v>14139</v>
      </c>
      <c r="R26">
        <v>14560</v>
      </c>
      <c r="S26">
        <v>14665</v>
      </c>
      <c r="T26">
        <v>14689</v>
      </c>
      <c r="U26">
        <v>14496</v>
      </c>
      <c r="V26">
        <v>14294</v>
      </c>
      <c r="W26">
        <v>14245</v>
      </c>
      <c r="X26">
        <v>14288</v>
      </c>
      <c r="Y26">
        <v>14226</v>
      </c>
      <c r="Z26">
        <v>14189</v>
      </c>
      <c r="AA26">
        <v>14218</v>
      </c>
      <c r="AB26">
        <v>14168</v>
      </c>
      <c r="AC26">
        <v>14156</v>
      </c>
      <c r="AD26">
        <v>14261</v>
      </c>
      <c r="AE26">
        <v>14358</v>
      </c>
      <c r="AF26">
        <v>14272</v>
      </c>
      <c r="AG26">
        <v>14286</v>
      </c>
      <c r="AH26">
        <v>14286</v>
      </c>
      <c r="AI26">
        <v>14286</v>
      </c>
      <c r="AJ26">
        <v>14286</v>
      </c>
      <c r="AK26">
        <v>14286</v>
      </c>
      <c r="AL26">
        <v>14286</v>
      </c>
      <c r="AM26">
        <v>14286</v>
      </c>
      <c r="AN26">
        <v>14286</v>
      </c>
      <c r="AO26">
        <v>14286</v>
      </c>
      <c r="AP26">
        <v>14286</v>
      </c>
      <c r="AQ26">
        <v>14286</v>
      </c>
      <c r="AR26">
        <v>14286</v>
      </c>
      <c r="AS26">
        <v>14286</v>
      </c>
      <c r="AT26">
        <v>14286</v>
      </c>
      <c r="AU26">
        <v>14286</v>
      </c>
      <c r="AV26">
        <v>14286</v>
      </c>
      <c r="AW26">
        <v>14286</v>
      </c>
      <c r="AX26">
        <v>14286</v>
      </c>
      <c r="AY26">
        <v>14286</v>
      </c>
      <c r="AZ26">
        <v>14286</v>
      </c>
      <c r="BA26">
        <v>14286</v>
      </c>
      <c r="BB26">
        <v>14286</v>
      </c>
      <c r="BC26">
        <v>14286</v>
      </c>
      <c r="BD26">
        <v>14286</v>
      </c>
      <c r="BE26">
        <v>14286</v>
      </c>
      <c r="BF26">
        <v>14286</v>
      </c>
      <c r="BG26">
        <v>14286</v>
      </c>
      <c r="BH26">
        <v>14286</v>
      </c>
      <c r="BI26">
        <v>14286</v>
      </c>
      <c r="BJ26">
        <v>16864</v>
      </c>
      <c r="BK26">
        <v>16864</v>
      </c>
      <c r="BL26">
        <v>16864</v>
      </c>
      <c r="BM26">
        <v>16864</v>
      </c>
      <c r="BN26">
        <v>16864</v>
      </c>
      <c r="BO26">
        <v>16864</v>
      </c>
      <c r="BP26">
        <v>16864</v>
      </c>
      <c r="BQ26">
        <v>16864</v>
      </c>
      <c r="BR26">
        <v>16864</v>
      </c>
      <c r="BS26">
        <v>16864</v>
      </c>
      <c r="BT26">
        <v>16864</v>
      </c>
      <c r="BU26">
        <v>16864</v>
      </c>
      <c r="BV26">
        <v>16864</v>
      </c>
      <c r="BW26">
        <v>16864</v>
      </c>
      <c r="BX26">
        <v>16864</v>
      </c>
      <c r="BY26">
        <v>16864</v>
      </c>
      <c r="BZ26">
        <v>16864</v>
      </c>
      <c r="CA26">
        <v>16864</v>
      </c>
      <c r="CB26">
        <v>16864</v>
      </c>
      <c r="CC26">
        <v>16864</v>
      </c>
      <c r="CD26">
        <v>16864</v>
      </c>
      <c r="CE26">
        <v>16864</v>
      </c>
      <c r="CF26">
        <v>16864</v>
      </c>
      <c r="CG26">
        <v>16864</v>
      </c>
      <c r="CH26">
        <v>16864</v>
      </c>
      <c r="CI26">
        <v>16864</v>
      </c>
      <c r="CJ26">
        <v>16864</v>
      </c>
      <c r="CK26">
        <v>16864</v>
      </c>
      <c r="CL26">
        <v>16864</v>
      </c>
      <c r="CM26">
        <v>16864</v>
      </c>
      <c r="CN26">
        <v>16864</v>
      </c>
    </row>
    <row r="27" spans="1:92" x14ac:dyDescent="0.25">
      <c r="A27" t="s">
        <v>9</v>
      </c>
      <c r="B27">
        <v>3799</v>
      </c>
      <c r="C27">
        <v>3799</v>
      </c>
      <c r="D27">
        <v>3799</v>
      </c>
      <c r="E27">
        <v>3799</v>
      </c>
      <c r="F27">
        <v>3799</v>
      </c>
      <c r="G27">
        <v>3799</v>
      </c>
      <c r="H27">
        <v>3799</v>
      </c>
      <c r="I27">
        <v>3799</v>
      </c>
      <c r="J27">
        <v>3799</v>
      </c>
      <c r="K27">
        <v>3799</v>
      </c>
      <c r="L27">
        <v>3799</v>
      </c>
      <c r="M27">
        <v>3930</v>
      </c>
      <c r="N27">
        <v>3964</v>
      </c>
      <c r="O27">
        <v>4222</v>
      </c>
      <c r="P27">
        <v>4405</v>
      </c>
      <c r="Q27">
        <v>4470</v>
      </c>
      <c r="R27">
        <v>4528</v>
      </c>
      <c r="S27">
        <v>4525</v>
      </c>
      <c r="T27">
        <v>4488</v>
      </c>
      <c r="U27">
        <v>4403</v>
      </c>
      <c r="V27">
        <v>4328</v>
      </c>
      <c r="W27">
        <v>4296</v>
      </c>
      <c r="X27">
        <v>4310</v>
      </c>
      <c r="Y27">
        <v>4291</v>
      </c>
      <c r="Z27">
        <v>4280</v>
      </c>
      <c r="AA27">
        <v>4288</v>
      </c>
      <c r="AB27">
        <v>4273</v>
      </c>
      <c r="AC27">
        <v>4270</v>
      </c>
      <c r="AD27">
        <v>4301</v>
      </c>
      <c r="AE27">
        <v>4331</v>
      </c>
      <c r="AF27">
        <v>4305</v>
      </c>
      <c r="AG27">
        <v>4309</v>
      </c>
      <c r="AH27">
        <v>4309</v>
      </c>
      <c r="AI27">
        <v>4309</v>
      </c>
      <c r="AJ27">
        <v>4309</v>
      </c>
      <c r="AK27">
        <v>4309</v>
      </c>
      <c r="AL27">
        <v>4309</v>
      </c>
      <c r="AM27">
        <v>4309</v>
      </c>
      <c r="AN27">
        <v>4309</v>
      </c>
      <c r="AO27">
        <v>4309</v>
      </c>
      <c r="AP27">
        <v>4309</v>
      </c>
      <c r="AQ27">
        <v>4309</v>
      </c>
      <c r="AR27">
        <v>4309</v>
      </c>
      <c r="AS27">
        <v>4309</v>
      </c>
      <c r="AT27">
        <v>4309</v>
      </c>
      <c r="AU27">
        <v>4309</v>
      </c>
      <c r="AV27">
        <v>4309</v>
      </c>
      <c r="AW27">
        <v>4309</v>
      </c>
      <c r="AX27">
        <v>4309</v>
      </c>
      <c r="AY27">
        <v>4309</v>
      </c>
      <c r="AZ27">
        <v>4309</v>
      </c>
      <c r="BA27">
        <v>4309</v>
      </c>
      <c r="BB27">
        <v>4309</v>
      </c>
      <c r="BC27">
        <v>4309</v>
      </c>
      <c r="BD27">
        <v>4309</v>
      </c>
      <c r="BE27">
        <v>4309</v>
      </c>
      <c r="BF27">
        <v>4309</v>
      </c>
      <c r="BG27">
        <v>4309</v>
      </c>
      <c r="BH27">
        <v>4309</v>
      </c>
      <c r="BI27">
        <v>4309</v>
      </c>
      <c r="BJ27">
        <v>4309</v>
      </c>
      <c r="BK27">
        <v>4309</v>
      </c>
      <c r="BL27">
        <v>4309</v>
      </c>
      <c r="BM27">
        <v>4309</v>
      </c>
      <c r="BN27">
        <v>4309</v>
      </c>
      <c r="BO27">
        <v>4309</v>
      </c>
      <c r="BP27">
        <v>4309</v>
      </c>
      <c r="BQ27">
        <v>4309</v>
      </c>
      <c r="BR27">
        <v>4309</v>
      </c>
      <c r="BS27">
        <v>4309</v>
      </c>
      <c r="BT27">
        <v>4309</v>
      </c>
      <c r="BU27">
        <v>4309</v>
      </c>
      <c r="BV27">
        <v>4309</v>
      </c>
      <c r="BW27">
        <v>4309</v>
      </c>
      <c r="BX27">
        <v>4309</v>
      </c>
      <c r="BY27">
        <v>4309</v>
      </c>
      <c r="BZ27">
        <v>4309</v>
      </c>
      <c r="CA27">
        <v>4309</v>
      </c>
      <c r="CB27">
        <v>4309</v>
      </c>
      <c r="CC27">
        <v>4309</v>
      </c>
      <c r="CD27">
        <v>4309</v>
      </c>
      <c r="CE27">
        <v>4309</v>
      </c>
      <c r="CF27">
        <v>4309</v>
      </c>
      <c r="CG27">
        <v>4309</v>
      </c>
      <c r="CH27">
        <v>4309</v>
      </c>
      <c r="CI27">
        <v>4309</v>
      </c>
      <c r="CJ27">
        <v>4309</v>
      </c>
      <c r="CK27">
        <v>4309</v>
      </c>
      <c r="CL27">
        <v>4309</v>
      </c>
      <c r="CM27">
        <v>4309</v>
      </c>
      <c r="CN27">
        <v>4309</v>
      </c>
    </row>
    <row r="28" spans="1:92" x14ac:dyDescent="0.25">
      <c r="A28" t="s">
        <v>98</v>
      </c>
      <c r="B28">
        <f t="shared" ref="B28:K28" si="33">C28</f>
        <v>5476</v>
      </c>
      <c r="C28">
        <f t="shared" si="33"/>
        <v>5476</v>
      </c>
      <c r="D28">
        <f t="shared" si="33"/>
        <v>5476</v>
      </c>
      <c r="E28">
        <f t="shared" si="33"/>
        <v>5476</v>
      </c>
      <c r="F28">
        <f t="shared" si="33"/>
        <v>5476</v>
      </c>
      <c r="G28">
        <f t="shared" si="33"/>
        <v>5476</v>
      </c>
      <c r="H28">
        <f t="shared" si="33"/>
        <v>5476</v>
      </c>
      <c r="I28">
        <f t="shared" si="33"/>
        <v>5476</v>
      </c>
      <c r="J28">
        <f t="shared" si="33"/>
        <v>5476</v>
      </c>
      <c r="K28">
        <f t="shared" si="33"/>
        <v>5476</v>
      </c>
      <c r="L28">
        <v>5476</v>
      </c>
      <c r="M28">
        <v>5618</v>
      </c>
      <c r="N28">
        <v>5630</v>
      </c>
      <c r="O28">
        <v>5738</v>
      </c>
      <c r="P28">
        <v>5844</v>
      </c>
      <c r="Q28">
        <v>5926</v>
      </c>
      <c r="R28">
        <v>5992</v>
      </c>
      <c r="S28">
        <v>6042</v>
      </c>
      <c r="T28">
        <v>6106</v>
      </c>
      <c r="U28">
        <v>6074</v>
      </c>
      <c r="V28">
        <v>6012</v>
      </c>
      <c r="W28">
        <v>6093</v>
      </c>
      <c r="X28">
        <v>6112</v>
      </c>
      <c r="Y28">
        <v>6085</v>
      </c>
      <c r="Z28">
        <v>6069</v>
      </c>
      <c r="AA28">
        <v>6082</v>
      </c>
      <c r="AB28">
        <v>6060</v>
      </c>
      <c r="AC28">
        <v>6055</v>
      </c>
      <c r="AD28">
        <v>6100</v>
      </c>
      <c r="AE28">
        <v>6142</v>
      </c>
      <c r="AF28">
        <v>6105</v>
      </c>
      <c r="AG28">
        <v>6111</v>
      </c>
      <c r="AH28">
        <v>6111</v>
      </c>
      <c r="AI28">
        <v>6111</v>
      </c>
      <c r="AJ28">
        <v>6111</v>
      </c>
      <c r="AK28">
        <v>6111</v>
      </c>
      <c r="AL28">
        <v>6111</v>
      </c>
      <c r="AM28">
        <v>6111</v>
      </c>
      <c r="AN28">
        <v>6111</v>
      </c>
      <c r="AO28">
        <v>6111</v>
      </c>
      <c r="AP28">
        <v>6111</v>
      </c>
      <c r="AQ28">
        <v>6111</v>
      </c>
      <c r="AR28">
        <v>6111</v>
      </c>
      <c r="AS28">
        <v>6111</v>
      </c>
      <c r="AT28">
        <v>6111</v>
      </c>
      <c r="AU28">
        <v>6111</v>
      </c>
      <c r="AV28">
        <v>6111</v>
      </c>
      <c r="AW28">
        <v>6111</v>
      </c>
      <c r="AX28">
        <v>6111</v>
      </c>
      <c r="AY28">
        <v>6111</v>
      </c>
      <c r="AZ28">
        <v>6111</v>
      </c>
      <c r="BA28">
        <v>6111</v>
      </c>
      <c r="BB28">
        <v>6111</v>
      </c>
      <c r="BC28">
        <v>6111</v>
      </c>
      <c r="BD28">
        <v>6111</v>
      </c>
      <c r="BE28">
        <v>6111</v>
      </c>
      <c r="BF28">
        <v>6111</v>
      </c>
      <c r="BG28">
        <v>6111</v>
      </c>
      <c r="BH28">
        <v>6111</v>
      </c>
      <c r="BI28">
        <v>6111</v>
      </c>
      <c r="BJ28">
        <v>7213</v>
      </c>
      <c r="BK28">
        <v>7213</v>
      </c>
      <c r="BL28">
        <v>7213</v>
      </c>
      <c r="BM28">
        <v>7213</v>
      </c>
      <c r="BN28">
        <v>7213</v>
      </c>
      <c r="BO28">
        <v>7213</v>
      </c>
      <c r="BP28">
        <v>7213</v>
      </c>
      <c r="BQ28">
        <v>7213</v>
      </c>
      <c r="BR28">
        <v>7213</v>
      </c>
      <c r="BS28">
        <v>7213</v>
      </c>
      <c r="BT28">
        <v>7213</v>
      </c>
      <c r="BU28">
        <v>7213</v>
      </c>
      <c r="BV28">
        <v>7213</v>
      </c>
      <c r="BW28">
        <v>7213</v>
      </c>
      <c r="BX28">
        <v>7213</v>
      </c>
      <c r="BY28">
        <v>7213</v>
      </c>
      <c r="BZ28">
        <v>7213</v>
      </c>
      <c r="CA28">
        <v>7213</v>
      </c>
      <c r="CB28">
        <v>7213</v>
      </c>
      <c r="CC28">
        <v>7213</v>
      </c>
      <c r="CD28">
        <v>7213</v>
      </c>
      <c r="CE28">
        <v>7213</v>
      </c>
      <c r="CF28">
        <v>7213</v>
      </c>
      <c r="CG28">
        <v>7213</v>
      </c>
      <c r="CH28">
        <v>7213</v>
      </c>
      <c r="CI28">
        <v>7213</v>
      </c>
      <c r="CJ28">
        <v>7213</v>
      </c>
      <c r="CK28">
        <v>7213</v>
      </c>
      <c r="CL28">
        <v>7213</v>
      </c>
      <c r="CM28">
        <v>7213</v>
      </c>
      <c r="CN28">
        <v>7213</v>
      </c>
    </row>
    <row r="29" spans="1:92" x14ac:dyDescent="0.25">
      <c r="A29" t="s">
        <v>100</v>
      </c>
      <c r="B29">
        <f t="shared" ref="B29:K29" si="34">C29</f>
        <v>7372</v>
      </c>
      <c r="C29">
        <f t="shared" si="34"/>
        <v>7372</v>
      </c>
      <c r="D29">
        <f t="shared" si="34"/>
        <v>7372</v>
      </c>
      <c r="E29">
        <f t="shared" si="34"/>
        <v>7372</v>
      </c>
      <c r="F29">
        <f t="shared" si="34"/>
        <v>7372</v>
      </c>
      <c r="G29">
        <f t="shared" si="34"/>
        <v>7372</v>
      </c>
      <c r="H29">
        <f t="shared" si="34"/>
        <v>7372</v>
      </c>
      <c r="I29">
        <f t="shared" si="34"/>
        <v>7372</v>
      </c>
      <c r="J29">
        <f t="shared" si="34"/>
        <v>7372</v>
      </c>
      <c r="K29">
        <f t="shared" si="34"/>
        <v>7372</v>
      </c>
      <c r="L29">
        <v>7372</v>
      </c>
      <c r="M29">
        <v>7647</v>
      </c>
      <c r="N29">
        <v>7860</v>
      </c>
      <c r="O29">
        <v>7803</v>
      </c>
      <c r="P29">
        <v>7759</v>
      </c>
      <c r="Q29">
        <v>7771</v>
      </c>
      <c r="R29">
        <v>7817</v>
      </c>
      <c r="S29">
        <v>7766</v>
      </c>
      <c r="T29">
        <v>7702</v>
      </c>
      <c r="U29">
        <v>7566</v>
      </c>
      <c r="V29">
        <v>7464</v>
      </c>
      <c r="W29">
        <v>7400</v>
      </c>
      <c r="X29">
        <v>7423</v>
      </c>
      <c r="Y29">
        <v>7391</v>
      </c>
      <c r="Z29">
        <v>7371</v>
      </c>
      <c r="AA29">
        <v>7386</v>
      </c>
      <c r="AB29">
        <v>7361</v>
      </c>
      <c r="AC29">
        <v>7354</v>
      </c>
      <c r="AD29">
        <v>7409</v>
      </c>
      <c r="AE29">
        <v>7459</v>
      </c>
      <c r="AF29">
        <v>7414</v>
      </c>
      <c r="AG29">
        <v>7422</v>
      </c>
      <c r="AH29">
        <v>7422</v>
      </c>
      <c r="AI29">
        <v>7422</v>
      </c>
      <c r="AJ29">
        <v>7422</v>
      </c>
      <c r="AK29">
        <v>7422</v>
      </c>
      <c r="AL29">
        <v>7422</v>
      </c>
      <c r="AM29">
        <v>7422</v>
      </c>
      <c r="AN29">
        <v>7422</v>
      </c>
      <c r="AO29">
        <v>7422</v>
      </c>
      <c r="AP29">
        <v>7422</v>
      </c>
      <c r="AQ29">
        <v>7422</v>
      </c>
      <c r="AR29">
        <v>7422</v>
      </c>
      <c r="AS29">
        <v>7422</v>
      </c>
      <c r="AT29">
        <v>7422</v>
      </c>
      <c r="AU29">
        <v>7422</v>
      </c>
      <c r="AV29">
        <v>7422</v>
      </c>
      <c r="AW29">
        <v>7422</v>
      </c>
      <c r="AX29">
        <v>7422</v>
      </c>
      <c r="AY29">
        <v>7422</v>
      </c>
      <c r="AZ29">
        <v>7422</v>
      </c>
      <c r="BA29">
        <v>7422</v>
      </c>
      <c r="BB29">
        <v>7422</v>
      </c>
      <c r="BC29">
        <v>7422</v>
      </c>
      <c r="BD29">
        <v>7422</v>
      </c>
      <c r="BE29">
        <v>7422</v>
      </c>
      <c r="BF29">
        <v>7422</v>
      </c>
      <c r="BG29">
        <v>7422</v>
      </c>
      <c r="BH29">
        <v>7422</v>
      </c>
      <c r="BI29">
        <v>7422</v>
      </c>
      <c r="BJ29">
        <v>8761</v>
      </c>
      <c r="BK29">
        <v>8761</v>
      </c>
      <c r="BL29">
        <v>8761</v>
      </c>
      <c r="BM29">
        <v>8761</v>
      </c>
      <c r="BN29">
        <v>8761</v>
      </c>
      <c r="BO29">
        <v>8761</v>
      </c>
      <c r="BP29">
        <v>8761</v>
      </c>
      <c r="BQ29">
        <v>8761</v>
      </c>
      <c r="BR29">
        <v>8761</v>
      </c>
      <c r="BS29">
        <v>8761</v>
      </c>
      <c r="BT29">
        <v>8761</v>
      </c>
      <c r="BU29">
        <v>8761</v>
      </c>
      <c r="BV29">
        <v>8761</v>
      </c>
      <c r="BW29">
        <v>8761</v>
      </c>
      <c r="BX29">
        <v>8761</v>
      </c>
      <c r="BY29">
        <v>8761</v>
      </c>
      <c r="BZ29">
        <v>8761</v>
      </c>
      <c r="CA29">
        <v>8761</v>
      </c>
      <c r="CB29">
        <v>8761</v>
      </c>
      <c r="CC29">
        <v>8761</v>
      </c>
      <c r="CD29">
        <v>8761</v>
      </c>
      <c r="CE29">
        <v>8761</v>
      </c>
      <c r="CF29">
        <v>8761</v>
      </c>
      <c r="CG29">
        <v>8761</v>
      </c>
      <c r="CH29">
        <v>8761</v>
      </c>
      <c r="CI29">
        <v>8761</v>
      </c>
      <c r="CJ29">
        <v>8761</v>
      </c>
      <c r="CK29">
        <v>8761</v>
      </c>
      <c r="CL29">
        <v>8761</v>
      </c>
      <c r="CM29">
        <v>8761</v>
      </c>
      <c r="CN29">
        <v>8761</v>
      </c>
    </row>
    <row r="30" spans="1:92" x14ac:dyDescent="0.25">
      <c r="A30" t="s">
        <v>10</v>
      </c>
      <c r="B30">
        <v>480</v>
      </c>
      <c r="C30">
        <v>480</v>
      </c>
      <c r="D30">
        <v>480</v>
      </c>
      <c r="E30">
        <v>480</v>
      </c>
      <c r="F30">
        <v>480</v>
      </c>
      <c r="G30">
        <v>480</v>
      </c>
      <c r="H30">
        <v>480</v>
      </c>
      <c r="I30">
        <v>480</v>
      </c>
      <c r="J30">
        <v>480</v>
      </c>
      <c r="K30">
        <v>480</v>
      </c>
      <c r="L30">
        <v>480</v>
      </c>
      <c r="M30">
        <v>483</v>
      </c>
      <c r="N30">
        <v>481</v>
      </c>
      <c r="O30">
        <v>553</v>
      </c>
      <c r="P30">
        <v>548</v>
      </c>
      <c r="Q30">
        <v>546</v>
      </c>
      <c r="R30">
        <v>547</v>
      </c>
      <c r="S30">
        <v>541</v>
      </c>
      <c r="T30">
        <v>535</v>
      </c>
      <c r="U30">
        <v>523</v>
      </c>
      <c r="V30">
        <v>513</v>
      </c>
      <c r="W30">
        <v>507</v>
      </c>
      <c r="X30">
        <v>509</v>
      </c>
      <c r="Y30">
        <v>506</v>
      </c>
      <c r="Z30">
        <v>505</v>
      </c>
      <c r="AA30">
        <v>506</v>
      </c>
      <c r="AB30">
        <v>504</v>
      </c>
      <c r="AC30">
        <v>504</v>
      </c>
      <c r="AD30">
        <v>508</v>
      </c>
      <c r="AE30">
        <v>511</v>
      </c>
      <c r="AF30">
        <v>508</v>
      </c>
      <c r="AG30">
        <v>508</v>
      </c>
      <c r="AH30">
        <v>508</v>
      </c>
      <c r="AI30">
        <v>508</v>
      </c>
      <c r="AJ30">
        <v>508</v>
      </c>
      <c r="AK30">
        <v>508</v>
      </c>
      <c r="AL30">
        <v>508</v>
      </c>
      <c r="AM30">
        <v>508</v>
      </c>
      <c r="AN30">
        <v>508</v>
      </c>
      <c r="AO30">
        <v>508</v>
      </c>
      <c r="AP30">
        <v>508</v>
      </c>
      <c r="AQ30">
        <v>508</v>
      </c>
      <c r="AR30">
        <v>508</v>
      </c>
      <c r="AS30">
        <v>508</v>
      </c>
      <c r="AT30">
        <v>508</v>
      </c>
      <c r="AU30">
        <v>508</v>
      </c>
      <c r="AV30">
        <v>508</v>
      </c>
      <c r="AW30">
        <v>508</v>
      </c>
      <c r="AX30">
        <v>508</v>
      </c>
      <c r="AY30">
        <v>508</v>
      </c>
      <c r="AZ30">
        <v>508</v>
      </c>
      <c r="BA30">
        <v>508</v>
      </c>
      <c r="BB30">
        <v>508</v>
      </c>
      <c r="BC30">
        <v>508</v>
      </c>
      <c r="BD30">
        <v>508</v>
      </c>
      <c r="BE30">
        <v>508</v>
      </c>
      <c r="BF30">
        <v>508</v>
      </c>
      <c r="BG30">
        <v>508</v>
      </c>
      <c r="BH30">
        <v>508</v>
      </c>
      <c r="BI30">
        <v>508</v>
      </c>
      <c r="BJ30">
        <v>508</v>
      </c>
      <c r="BK30">
        <v>508</v>
      </c>
      <c r="BL30">
        <v>508</v>
      </c>
      <c r="BM30">
        <v>508</v>
      </c>
      <c r="BN30">
        <v>508</v>
      </c>
      <c r="BO30">
        <v>508</v>
      </c>
      <c r="BP30">
        <v>508</v>
      </c>
      <c r="BQ30">
        <v>508</v>
      </c>
      <c r="BR30">
        <v>508</v>
      </c>
      <c r="BS30">
        <v>508</v>
      </c>
      <c r="BT30">
        <v>508</v>
      </c>
      <c r="BU30">
        <v>508</v>
      </c>
      <c r="BV30">
        <v>508</v>
      </c>
      <c r="BW30">
        <v>508</v>
      </c>
      <c r="BX30">
        <v>508</v>
      </c>
      <c r="BY30">
        <v>508</v>
      </c>
      <c r="BZ30">
        <v>508</v>
      </c>
      <c r="CA30">
        <v>508</v>
      </c>
      <c r="CB30">
        <v>508</v>
      </c>
      <c r="CC30">
        <v>508</v>
      </c>
      <c r="CD30">
        <v>508</v>
      </c>
      <c r="CE30">
        <v>508</v>
      </c>
      <c r="CF30">
        <v>508</v>
      </c>
      <c r="CG30">
        <v>508</v>
      </c>
      <c r="CH30">
        <v>508</v>
      </c>
      <c r="CI30">
        <v>508</v>
      </c>
      <c r="CJ30">
        <v>508</v>
      </c>
      <c r="CK30">
        <v>508</v>
      </c>
      <c r="CL30">
        <v>508</v>
      </c>
      <c r="CM30">
        <v>508</v>
      </c>
      <c r="CN30">
        <v>508</v>
      </c>
    </row>
    <row r="31" spans="1:92" x14ac:dyDescent="0.25">
      <c r="A31" t="s">
        <v>97</v>
      </c>
      <c r="B31">
        <v>1682</v>
      </c>
      <c r="C31">
        <v>1682</v>
      </c>
      <c r="D31">
        <v>1682</v>
      </c>
      <c r="E31">
        <v>1682</v>
      </c>
      <c r="F31">
        <v>1682</v>
      </c>
      <c r="G31">
        <v>1682</v>
      </c>
      <c r="H31">
        <v>1682</v>
      </c>
      <c r="I31">
        <v>1682</v>
      </c>
      <c r="J31">
        <v>1682</v>
      </c>
      <c r="K31">
        <v>1682</v>
      </c>
      <c r="L31">
        <v>1682</v>
      </c>
      <c r="M31">
        <v>1812</v>
      </c>
      <c r="N31">
        <v>1840</v>
      </c>
      <c r="O31">
        <v>1883</v>
      </c>
      <c r="P31">
        <v>1941</v>
      </c>
      <c r="Q31">
        <v>1957</v>
      </c>
      <c r="R31">
        <v>1970</v>
      </c>
      <c r="S31">
        <v>1963</v>
      </c>
      <c r="T31">
        <v>1955</v>
      </c>
      <c r="U31">
        <v>1926</v>
      </c>
      <c r="V31">
        <v>1899</v>
      </c>
      <c r="W31">
        <v>1893</v>
      </c>
      <c r="X31">
        <v>1899</v>
      </c>
      <c r="Y31">
        <v>1891</v>
      </c>
      <c r="Z31">
        <v>1886</v>
      </c>
      <c r="AA31">
        <v>1889</v>
      </c>
      <c r="AB31">
        <v>1883</v>
      </c>
      <c r="AC31">
        <v>1881</v>
      </c>
      <c r="AD31">
        <v>1895</v>
      </c>
      <c r="AE31">
        <v>1908</v>
      </c>
      <c r="AF31">
        <v>1897</v>
      </c>
      <c r="AG31">
        <v>1899</v>
      </c>
      <c r="AH31">
        <v>1899</v>
      </c>
      <c r="AI31">
        <v>1899</v>
      </c>
      <c r="AJ31">
        <v>1899</v>
      </c>
      <c r="AK31">
        <v>1899</v>
      </c>
      <c r="AL31">
        <v>1899</v>
      </c>
      <c r="AM31">
        <v>1899</v>
      </c>
      <c r="AN31">
        <v>1899</v>
      </c>
      <c r="AO31">
        <v>1899</v>
      </c>
      <c r="AP31">
        <v>1899</v>
      </c>
      <c r="AQ31">
        <v>1899</v>
      </c>
      <c r="AR31">
        <v>1899</v>
      </c>
      <c r="AS31">
        <v>1899</v>
      </c>
      <c r="AT31">
        <v>1899</v>
      </c>
      <c r="AU31">
        <v>1899</v>
      </c>
      <c r="AV31">
        <v>1899</v>
      </c>
      <c r="AW31">
        <v>1899</v>
      </c>
      <c r="AX31">
        <v>1899</v>
      </c>
      <c r="AY31">
        <v>1899</v>
      </c>
      <c r="AZ31">
        <v>1899</v>
      </c>
      <c r="BA31">
        <v>1899</v>
      </c>
      <c r="BB31">
        <v>1899</v>
      </c>
      <c r="BC31">
        <v>1899</v>
      </c>
      <c r="BD31">
        <v>1899</v>
      </c>
      <c r="BE31">
        <v>1899</v>
      </c>
      <c r="BF31">
        <v>1899</v>
      </c>
      <c r="BG31">
        <v>1899</v>
      </c>
      <c r="BH31">
        <v>1899</v>
      </c>
      <c r="BI31">
        <v>1899</v>
      </c>
      <c r="BJ31">
        <v>1899</v>
      </c>
      <c r="BK31">
        <v>1899</v>
      </c>
      <c r="BL31">
        <v>1899</v>
      </c>
      <c r="BM31">
        <v>1899</v>
      </c>
      <c r="BN31">
        <v>1899</v>
      </c>
      <c r="BO31">
        <v>1899</v>
      </c>
      <c r="BP31">
        <v>1899</v>
      </c>
      <c r="BQ31">
        <v>1899</v>
      </c>
      <c r="BR31">
        <v>1899</v>
      </c>
      <c r="BS31">
        <v>1899</v>
      </c>
      <c r="BT31">
        <v>1899</v>
      </c>
      <c r="BU31">
        <v>1899</v>
      </c>
      <c r="BV31">
        <v>1899</v>
      </c>
      <c r="BW31">
        <v>1899</v>
      </c>
      <c r="BX31">
        <v>1899</v>
      </c>
      <c r="BY31">
        <v>1899</v>
      </c>
      <c r="BZ31">
        <v>1899</v>
      </c>
      <c r="CA31">
        <v>1899</v>
      </c>
      <c r="CB31">
        <v>1899</v>
      </c>
      <c r="CC31">
        <v>1899</v>
      </c>
      <c r="CD31">
        <v>1899</v>
      </c>
      <c r="CE31">
        <v>1899</v>
      </c>
      <c r="CF31">
        <v>1899</v>
      </c>
      <c r="CG31">
        <v>1899</v>
      </c>
      <c r="CH31">
        <v>1899</v>
      </c>
      <c r="CI31">
        <v>1899</v>
      </c>
      <c r="CJ31">
        <v>1899</v>
      </c>
      <c r="CK31">
        <v>1899</v>
      </c>
      <c r="CL31">
        <v>1899</v>
      </c>
      <c r="CM31">
        <v>1899</v>
      </c>
      <c r="CN31">
        <v>1899</v>
      </c>
    </row>
    <row r="32" spans="1:92" x14ac:dyDescent="0.25">
      <c r="A32" t="s">
        <v>8</v>
      </c>
      <c r="B32">
        <v>1289</v>
      </c>
      <c r="C32">
        <v>1289</v>
      </c>
      <c r="D32">
        <v>1289</v>
      </c>
      <c r="E32">
        <v>1289</v>
      </c>
      <c r="F32">
        <v>1289</v>
      </c>
      <c r="G32">
        <v>1289</v>
      </c>
      <c r="H32">
        <v>1289</v>
      </c>
      <c r="I32">
        <v>1289</v>
      </c>
      <c r="J32">
        <v>1289</v>
      </c>
      <c r="K32">
        <v>1289</v>
      </c>
      <c r="L32">
        <v>1289</v>
      </c>
      <c r="M32">
        <v>1295</v>
      </c>
      <c r="N32">
        <v>1297</v>
      </c>
      <c r="O32">
        <v>1353</v>
      </c>
      <c r="P32">
        <v>1418</v>
      </c>
      <c r="Q32">
        <v>1487</v>
      </c>
      <c r="R32">
        <v>1545</v>
      </c>
      <c r="S32">
        <v>1537</v>
      </c>
      <c r="T32">
        <v>1529</v>
      </c>
      <c r="U32">
        <v>1503</v>
      </c>
      <c r="V32">
        <v>1479</v>
      </c>
      <c r="W32">
        <v>1473</v>
      </c>
      <c r="X32">
        <v>1478</v>
      </c>
      <c r="Y32">
        <v>1472</v>
      </c>
      <c r="Z32">
        <v>1468</v>
      </c>
      <c r="AA32">
        <v>1471</v>
      </c>
      <c r="AB32">
        <v>1466</v>
      </c>
      <c r="AC32">
        <v>1464</v>
      </c>
      <c r="AD32">
        <v>1475</v>
      </c>
      <c r="AE32">
        <v>1485</v>
      </c>
      <c r="AF32">
        <v>1476</v>
      </c>
      <c r="AG32">
        <v>1478</v>
      </c>
      <c r="AH32">
        <v>1478</v>
      </c>
      <c r="AI32">
        <v>1478</v>
      </c>
      <c r="AJ32">
        <v>1478</v>
      </c>
      <c r="AK32">
        <v>1478</v>
      </c>
      <c r="AL32">
        <v>1478</v>
      </c>
      <c r="AM32">
        <v>1478</v>
      </c>
      <c r="AN32">
        <v>1478</v>
      </c>
      <c r="AO32">
        <v>1478</v>
      </c>
      <c r="AP32">
        <v>1478</v>
      </c>
      <c r="AQ32">
        <v>1478</v>
      </c>
      <c r="AR32">
        <v>1478</v>
      </c>
      <c r="AS32">
        <v>1478</v>
      </c>
      <c r="AT32">
        <v>1478</v>
      </c>
      <c r="AU32">
        <v>1478</v>
      </c>
      <c r="AV32">
        <v>1478</v>
      </c>
      <c r="AW32">
        <v>1478</v>
      </c>
      <c r="AX32">
        <v>1478</v>
      </c>
      <c r="AY32">
        <v>1478</v>
      </c>
      <c r="AZ32">
        <v>1478</v>
      </c>
      <c r="BA32">
        <v>1478</v>
      </c>
      <c r="BB32">
        <v>1478</v>
      </c>
      <c r="BC32">
        <v>1478</v>
      </c>
      <c r="BD32">
        <v>1478</v>
      </c>
      <c r="BE32">
        <v>1478</v>
      </c>
      <c r="BF32">
        <v>1478</v>
      </c>
      <c r="BG32">
        <v>1478</v>
      </c>
      <c r="BH32">
        <v>1478</v>
      </c>
      <c r="BI32">
        <v>1478</v>
      </c>
      <c r="BJ32">
        <v>1478</v>
      </c>
      <c r="BK32">
        <v>1478</v>
      </c>
      <c r="BL32">
        <v>1478</v>
      </c>
      <c r="BM32">
        <v>1478</v>
      </c>
      <c r="BN32">
        <v>1478</v>
      </c>
      <c r="BO32">
        <v>1478</v>
      </c>
      <c r="BP32">
        <v>1478</v>
      </c>
      <c r="BQ32">
        <v>1478</v>
      </c>
      <c r="BR32">
        <v>1478</v>
      </c>
      <c r="BS32">
        <v>1478</v>
      </c>
      <c r="BT32">
        <v>1478</v>
      </c>
      <c r="BU32">
        <v>1478</v>
      </c>
      <c r="BV32">
        <v>1478</v>
      </c>
      <c r="BW32">
        <v>1478</v>
      </c>
      <c r="BX32">
        <v>1478</v>
      </c>
      <c r="BY32">
        <v>1478</v>
      </c>
      <c r="BZ32">
        <v>1478</v>
      </c>
      <c r="CA32">
        <v>1478</v>
      </c>
      <c r="CB32">
        <v>1478</v>
      </c>
      <c r="CC32">
        <v>1478</v>
      </c>
      <c r="CD32">
        <v>1478</v>
      </c>
      <c r="CE32">
        <v>1478</v>
      </c>
      <c r="CF32">
        <v>1478</v>
      </c>
      <c r="CG32">
        <v>1478</v>
      </c>
      <c r="CH32">
        <v>1478</v>
      </c>
      <c r="CI32">
        <v>1478</v>
      </c>
      <c r="CJ32">
        <v>1478</v>
      </c>
      <c r="CK32">
        <v>1478</v>
      </c>
      <c r="CL32">
        <v>1478</v>
      </c>
      <c r="CM32">
        <v>1478</v>
      </c>
      <c r="CN32">
        <v>1478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4995B-DC2D-4AE8-A3A6-9D879CFB7508}">
  <sheetPr codeName="Sheet7"/>
  <dimension ref="A1:CO58"/>
  <sheetViews>
    <sheetView workbookViewId="0"/>
  </sheetViews>
  <sheetFormatPr defaultRowHeight="15" x14ac:dyDescent="0.25"/>
  <cols>
    <col min="1" max="1" width="30.28515625" bestFit="1" customWidth="1"/>
  </cols>
  <sheetData>
    <row r="1" spans="1:93" x14ac:dyDescent="0.25">
      <c r="C1">
        <v>2010</v>
      </c>
      <c r="D1">
        <f>C1+1</f>
        <v>2011</v>
      </c>
      <c r="E1">
        <f t="shared" ref="E1:BP1" si="0">D1+1</f>
        <v>2012</v>
      </c>
      <c r="F1">
        <f t="shared" si="0"/>
        <v>2013</v>
      </c>
      <c r="G1">
        <f t="shared" si="0"/>
        <v>2014</v>
      </c>
      <c r="H1">
        <f t="shared" si="0"/>
        <v>2015</v>
      </c>
      <c r="I1">
        <f t="shared" si="0"/>
        <v>2016</v>
      </c>
      <c r="J1">
        <f t="shared" si="0"/>
        <v>2017</v>
      </c>
      <c r="K1">
        <f t="shared" si="0"/>
        <v>2018</v>
      </c>
      <c r="L1">
        <f t="shared" si="0"/>
        <v>2019</v>
      </c>
      <c r="M1">
        <f t="shared" si="0"/>
        <v>2020</v>
      </c>
      <c r="N1">
        <f t="shared" si="0"/>
        <v>2021</v>
      </c>
      <c r="O1">
        <f t="shared" si="0"/>
        <v>2022</v>
      </c>
      <c r="P1">
        <f t="shared" si="0"/>
        <v>2023</v>
      </c>
      <c r="Q1">
        <f t="shared" si="0"/>
        <v>2024</v>
      </c>
      <c r="R1">
        <f t="shared" si="0"/>
        <v>2025</v>
      </c>
      <c r="S1">
        <f t="shared" si="0"/>
        <v>2026</v>
      </c>
      <c r="T1">
        <f t="shared" si="0"/>
        <v>2027</v>
      </c>
      <c r="U1">
        <f t="shared" si="0"/>
        <v>2028</v>
      </c>
      <c r="V1">
        <f t="shared" si="0"/>
        <v>2029</v>
      </c>
      <c r="W1">
        <f t="shared" si="0"/>
        <v>2030</v>
      </c>
      <c r="X1">
        <f t="shared" si="0"/>
        <v>2031</v>
      </c>
      <c r="Y1">
        <f t="shared" si="0"/>
        <v>2032</v>
      </c>
      <c r="Z1">
        <f t="shared" si="0"/>
        <v>2033</v>
      </c>
      <c r="AA1">
        <f t="shared" si="0"/>
        <v>2034</v>
      </c>
      <c r="AB1">
        <f t="shared" si="0"/>
        <v>2035</v>
      </c>
      <c r="AC1">
        <f t="shared" si="0"/>
        <v>2036</v>
      </c>
      <c r="AD1">
        <f t="shared" si="0"/>
        <v>2037</v>
      </c>
      <c r="AE1">
        <f t="shared" si="0"/>
        <v>2038</v>
      </c>
      <c r="AF1">
        <f t="shared" si="0"/>
        <v>2039</v>
      </c>
      <c r="AG1">
        <f t="shared" si="0"/>
        <v>2040</v>
      </c>
      <c r="AH1">
        <f t="shared" si="0"/>
        <v>2041</v>
      </c>
      <c r="AI1">
        <f t="shared" si="0"/>
        <v>2042</v>
      </c>
      <c r="AJ1">
        <f t="shared" si="0"/>
        <v>2043</v>
      </c>
      <c r="AK1">
        <f t="shared" si="0"/>
        <v>2044</v>
      </c>
      <c r="AL1">
        <f t="shared" si="0"/>
        <v>2045</v>
      </c>
      <c r="AM1">
        <f t="shared" si="0"/>
        <v>2046</v>
      </c>
      <c r="AN1">
        <f t="shared" si="0"/>
        <v>2047</v>
      </c>
      <c r="AO1">
        <f t="shared" si="0"/>
        <v>2048</v>
      </c>
      <c r="AP1">
        <f t="shared" si="0"/>
        <v>2049</v>
      </c>
      <c r="AQ1">
        <f t="shared" si="0"/>
        <v>2050</v>
      </c>
      <c r="AR1">
        <f t="shared" si="0"/>
        <v>2051</v>
      </c>
      <c r="AS1">
        <f t="shared" si="0"/>
        <v>2052</v>
      </c>
      <c r="AT1">
        <f t="shared" si="0"/>
        <v>2053</v>
      </c>
      <c r="AU1">
        <f t="shared" si="0"/>
        <v>2054</v>
      </c>
      <c r="AV1">
        <f t="shared" si="0"/>
        <v>2055</v>
      </c>
      <c r="AW1">
        <f t="shared" si="0"/>
        <v>2056</v>
      </c>
      <c r="AX1">
        <f t="shared" si="0"/>
        <v>2057</v>
      </c>
      <c r="AY1">
        <f t="shared" si="0"/>
        <v>2058</v>
      </c>
      <c r="AZ1">
        <f t="shared" si="0"/>
        <v>2059</v>
      </c>
      <c r="BA1">
        <f t="shared" si="0"/>
        <v>2060</v>
      </c>
      <c r="BB1">
        <f t="shared" si="0"/>
        <v>2061</v>
      </c>
      <c r="BC1">
        <f t="shared" si="0"/>
        <v>2062</v>
      </c>
      <c r="BD1">
        <f t="shared" si="0"/>
        <v>2063</v>
      </c>
      <c r="BE1">
        <f t="shared" si="0"/>
        <v>2064</v>
      </c>
      <c r="BF1">
        <f t="shared" si="0"/>
        <v>2065</v>
      </c>
      <c r="BG1">
        <f t="shared" si="0"/>
        <v>2066</v>
      </c>
      <c r="BH1">
        <f t="shared" si="0"/>
        <v>2067</v>
      </c>
      <c r="BI1">
        <f t="shared" si="0"/>
        <v>2068</v>
      </c>
      <c r="BJ1">
        <f t="shared" si="0"/>
        <v>2069</v>
      </c>
      <c r="BK1">
        <f t="shared" si="0"/>
        <v>2070</v>
      </c>
      <c r="BL1">
        <f t="shared" si="0"/>
        <v>2071</v>
      </c>
      <c r="BM1">
        <f t="shared" si="0"/>
        <v>2072</v>
      </c>
      <c r="BN1">
        <f t="shared" si="0"/>
        <v>2073</v>
      </c>
      <c r="BO1">
        <f t="shared" si="0"/>
        <v>2074</v>
      </c>
      <c r="BP1">
        <f t="shared" si="0"/>
        <v>2075</v>
      </c>
      <c r="BQ1">
        <f t="shared" ref="BQ1:CY1" si="1">BP1+1</f>
        <v>2076</v>
      </c>
      <c r="BR1">
        <f t="shared" si="1"/>
        <v>2077</v>
      </c>
      <c r="BS1">
        <f t="shared" si="1"/>
        <v>2078</v>
      </c>
      <c r="BT1">
        <f t="shared" si="1"/>
        <v>2079</v>
      </c>
      <c r="BU1">
        <f t="shared" si="1"/>
        <v>2080</v>
      </c>
      <c r="BV1">
        <f t="shared" si="1"/>
        <v>2081</v>
      </c>
      <c r="BW1">
        <f t="shared" si="1"/>
        <v>2082</v>
      </c>
      <c r="BX1">
        <f t="shared" si="1"/>
        <v>2083</v>
      </c>
      <c r="BY1">
        <f t="shared" si="1"/>
        <v>2084</v>
      </c>
      <c r="BZ1">
        <f t="shared" si="1"/>
        <v>2085</v>
      </c>
      <c r="CA1">
        <f t="shared" si="1"/>
        <v>2086</v>
      </c>
      <c r="CB1">
        <f t="shared" si="1"/>
        <v>2087</v>
      </c>
      <c r="CC1">
        <f t="shared" si="1"/>
        <v>2088</v>
      </c>
      <c r="CD1">
        <f t="shared" si="1"/>
        <v>2089</v>
      </c>
      <c r="CE1">
        <f t="shared" si="1"/>
        <v>2090</v>
      </c>
      <c r="CF1">
        <f t="shared" si="1"/>
        <v>2091</v>
      </c>
      <c r="CG1">
        <f t="shared" si="1"/>
        <v>2092</v>
      </c>
      <c r="CH1">
        <f t="shared" si="1"/>
        <v>2093</v>
      </c>
      <c r="CI1">
        <f t="shared" si="1"/>
        <v>2094</v>
      </c>
      <c r="CJ1">
        <f t="shared" si="1"/>
        <v>2095</v>
      </c>
      <c r="CK1">
        <f t="shared" si="1"/>
        <v>2096</v>
      </c>
      <c r="CL1">
        <f t="shared" si="1"/>
        <v>2097</v>
      </c>
      <c r="CM1">
        <f t="shared" si="1"/>
        <v>2098</v>
      </c>
      <c r="CN1">
        <f t="shared" si="1"/>
        <v>2099</v>
      </c>
      <c r="CO1">
        <f t="shared" si="1"/>
        <v>2100</v>
      </c>
    </row>
    <row r="2" spans="1:93" x14ac:dyDescent="0.25">
      <c r="A2" t="s">
        <v>74</v>
      </c>
      <c r="B2" t="s">
        <v>99</v>
      </c>
      <c r="C2">
        <f>1/COUNTIF($B$2:$B$58,$B2)</f>
        <v>0.25</v>
      </c>
      <c r="D2">
        <f>C2</f>
        <v>0.25</v>
      </c>
      <c r="E2">
        <f t="shared" ref="E2:BP3" si="2">D2</f>
        <v>0.25</v>
      </c>
      <c r="F2">
        <f t="shared" si="2"/>
        <v>0.25</v>
      </c>
      <c r="G2">
        <f t="shared" si="2"/>
        <v>0.25</v>
      </c>
      <c r="H2">
        <f t="shared" si="2"/>
        <v>0.25</v>
      </c>
      <c r="I2">
        <f t="shared" si="2"/>
        <v>0.25</v>
      </c>
      <c r="J2">
        <f t="shared" si="2"/>
        <v>0.25</v>
      </c>
      <c r="K2">
        <f t="shared" si="2"/>
        <v>0.25</v>
      </c>
      <c r="L2">
        <f t="shared" si="2"/>
        <v>0.25</v>
      </c>
      <c r="M2">
        <f t="shared" si="2"/>
        <v>0.25</v>
      </c>
      <c r="N2">
        <f t="shared" si="2"/>
        <v>0.25</v>
      </c>
      <c r="O2">
        <f t="shared" si="2"/>
        <v>0.25</v>
      </c>
      <c r="P2">
        <f t="shared" si="2"/>
        <v>0.25</v>
      </c>
      <c r="Q2">
        <f t="shared" si="2"/>
        <v>0.25</v>
      </c>
      <c r="R2">
        <f t="shared" si="2"/>
        <v>0.25</v>
      </c>
      <c r="S2">
        <f t="shared" si="2"/>
        <v>0.25</v>
      </c>
      <c r="T2">
        <f t="shared" si="2"/>
        <v>0.25</v>
      </c>
      <c r="U2">
        <f t="shared" si="2"/>
        <v>0.25</v>
      </c>
      <c r="V2">
        <f t="shared" si="2"/>
        <v>0.25</v>
      </c>
      <c r="W2">
        <f t="shared" si="2"/>
        <v>0.25</v>
      </c>
      <c r="X2">
        <f t="shared" si="2"/>
        <v>0.25</v>
      </c>
      <c r="Y2">
        <f t="shared" si="2"/>
        <v>0.25</v>
      </c>
      <c r="Z2">
        <f t="shared" si="2"/>
        <v>0.25</v>
      </c>
      <c r="AA2">
        <f t="shared" si="2"/>
        <v>0.25</v>
      </c>
      <c r="AB2">
        <f t="shared" si="2"/>
        <v>0.25</v>
      </c>
      <c r="AC2">
        <f t="shared" si="2"/>
        <v>0.25</v>
      </c>
      <c r="AD2">
        <f t="shared" si="2"/>
        <v>0.25</v>
      </c>
      <c r="AE2">
        <f t="shared" si="2"/>
        <v>0.25</v>
      </c>
      <c r="AF2">
        <f t="shared" si="2"/>
        <v>0.25</v>
      </c>
      <c r="AG2">
        <f t="shared" si="2"/>
        <v>0.25</v>
      </c>
      <c r="AH2">
        <f t="shared" si="2"/>
        <v>0.25</v>
      </c>
      <c r="AI2">
        <f t="shared" si="2"/>
        <v>0.25</v>
      </c>
      <c r="AJ2">
        <f t="shared" si="2"/>
        <v>0.25</v>
      </c>
      <c r="AK2">
        <f t="shared" si="2"/>
        <v>0.25</v>
      </c>
      <c r="AL2">
        <f t="shared" si="2"/>
        <v>0.25</v>
      </c>
      <c r="AM2">
        <f t="shared" si="2"/>
        <v>0.25</v>
      </c>
      <c r="AN2">
        <f t="shared" si="2"/>
        <v>0.25</v>
      </c>
      <c r="AO2">
        <f t="shared" si="2"/>
        <v>0.25</v>
      </c>
      <c r="AP2">
        <f t="shared" si="2"/>
        <v>0.25</v>
      </c>
      <c r="AQ2">
        <f t="shared" si="2"/>
        <v>0.25</v>
      </c>
      <c r="AR2">
        <f t="shared" si="2"/>
        <v>0.25</v>
      </c>
      <c r="AS2">
        <f t="shared" si="2"/>
        <v>0.25</v>
      </c>
      <c r="AT2">
        <f t="shared" si="2"/>
        <v>0.25</v>
      </c>
      <c r="AU2">
        <f t="shared" si="2"/>
        <v>0.25</v>
      </c>
      <c r="AV2">
        <f t="shared" si="2"/>
        <v>0.25</v>
      </c>
      <c r="AW2">
        <f t="shared" si="2"/>
        <v>0.25</v>
      </c>
      <c r="AX2">
        <f t="shared" si="2"/>
        <v>0.25</v>
      </c>
      <c r="AY2">
        <f t="shared" si="2"/>
        <v>0.25</v>
      </c>
      <c r="AZ2">
        <f t="shared" si="2"/>
        <v>0.25</v>
      </c>
      <c r="BA2">
        <f t="shared" si="2"/>
        <v>0.25</v>
      </c>
      <c r="BB2">
        <f t="shared" si="2"/>
        <v>0.25</v>
      </c>
      <c r="BC2">
        <f t="shared" si="2"/>
        <v>0.25</v>
      </c>
      <c r="BD2">
        <f t="shared" si="2"/>
        <v>0.25</v>
      </c>
      <c r="BE2">
        <f t="shared" si="2"/>
        <v>0.25</v>
      </c>
      <c r="BF2">
        <f t="shared" si="2"/>
        <v>0.25</v>
      </c>
      <c r="BG2">
        <f t="shared" si="2"/>
        <v>0.25</v>
      </c>
      <c r="BH2">
        <f t="shared" si="2"/>
        <v>0.25</v>
      </c>
      <c r="BI2">
        <f t="shared" si="2"/>
        <v>0.25</v>
      </c>
      <c r="BJ2">
        <f t="shared" si="2"/>
        <v>0.25</v>
      </c>
      <c r="BK2">
        <f t="shared" si="2"/>
        <v>0.25</v>
      </c>
      <c r="BL2">
        <f t="shared" si="2"/>
        <v>0.25</v>
      </c>
      <c r="BM2">
        <f t="shared" si="2"/>
        <v>0.25</v>
      </c>
      <c r="BN2">
        <f t="shared" si="2"/>
        <v>0.25</v>
      </c>
      <c r="BO2">
        <f t="shared" si="2"/>
        <v>0.25</v>
      </c>
      <c r="BP2">
        <f t="shared" si="2"/>
        <v>0.25</v>
      </c>
      <c r="BQ2">
        <f t="shared" ref="BQ2:CO6" si="3">BP2</f>
        <v>0.25</v>
      </c>
      <c r="BR2">
        <f t="shared" si="3"/>
        <v>0.25</v>
      </c>
      <c r="BS2">
        <f t="shared" si="3"/>
        <v>0.25</v>
      </c>
      <c r="BT2">
        <f t="shared" si="3"/>
        <v>0.25</v>
      </c>
      <c r="BU2">
        <f t="shared" si="3"/>
        <v>0.25</v>
      </c>
      <c r="BV2">
        <f t="shared" si="3"/>
        <v>0.25</v>
      </c>
      <c r="BW2">
        <f t="shared" si="3"/>
        <v>0.25</v>
      </c>
      <c r="BX2">
        <f t="shared" si="3"/>
        <v>0.25</v>
      </c>
      <c r="BY2">
        <f t="shared" si="3"/>
        <v>0.25</v>
      </c>
      <c r="BZ2">
        <f t="shared" si="3"/>
        <v>0.25</v>
      </c>
      <c r="CA2">
        <f t="shared" si="3"/>
        <v>0.25</v>
      </c>
      <c r="CB2">
        <f t="shared" si="3"/>
        <v>0.25</v>
      </c>
      <c r="CC2">
        <f t="shared" si="3"/>
        <v>0.25</v>
      </c>
      <c r="CD2">
        <f t="shared" si="3"/>
        <v>0.25</v>
      </c>
      <c r="CE2">
        <f t="shared" si="3"/>
        <v>0.25</v>
      </c>
      <c r="CF2">
        <f t="shared" si="3"/>
        <v>0.25</v>
      </c>
      <c r="CG2">
        <f t="shared" si="3"/>
        <v>0.25</v>
      </c>
      <c r="CH2">
        <f t="shared" si="3"/>
        <v>0.25</v>
      </c>
      <c r="CI2">
        <f t="shared" si="3"/>
        <v>0.25</v>
      </c>
      <c r="CJ2">
        <f t="shared" si="3"/>
        <v>0.25</v>
      </c>
      <c r="CK2">
        <f t="shared" si="3"/>
        <v>0.25</v>
      </c>
      <c r="CL2">
        <f t="shared" si="3"/>
        <v>0.25</v>
      </c>
      <c r="CM2">
        <f t="shared" si="3"/>
        <v>0.25</v>
      </c>
      <c r="CN2">
        <f t="shared" si="3"/>
        <v>0.25</v>
      </c>
      <c r="CO2">
        <f t="shared" si="3"/>
        <v>0.25</v>
      </c>
    </row>
    <row r="3" spans="1:93" x14ac:dyDescent="0.25">
      <c r="A3" t="s">
        <v>80</v>
      </c>
      <c r="B3" t="s">
        <v>99</v>
      </c>
      <c r="C3">
        <f t="shared" ref="C3:C58" si="4">1/COUNTIF($B$2:$B$58,$B3)</f>
        <v>0.25</v>
      </c>
      <c r="D3">
        <f t="shared" ref="D3:S58" si="5">C3</f>
        <v>0.25</v>
      </c>
      <c r="E3">
        <f t="shared" si="5"/>
        <v>0.25</v>
      </c>
      <c r="F3">
        <f t="shared" si="5"/>
        <v>0.25</v>
      </c>
      <c r="G3">
        <f t="shared" si="5"/>
        <v>0.25</v>
      </c>
      <c r="H3">
        <f t="shared" si="5"/>
        <v>0.25</v>
      </c>
      <c r="I3">
        <f t="shared" si="5"/>
        <v>0.25</v>
      </c>
      <c r="J3">
        <f t="shared" si="5"/>
        <v>0.25</v>
      </c>
      <c r="K3">
        <f t="shared" si="5"/>
        <v>0.25</v>
      </c>
      <c r="L3">
        <f t="shared" si="5"/>
        <v>0.25</v>
      </c>
      <c r="M3">
        <f t="shared" si="5"/>
        <v>0.25</v>
      </c>
      <c r="N3">
        <f t="shared" si="5"/>
        <v>0.25</v>
      </c>
      <c r="O3">
        <f t="shared" si="5"/>
        <v>0.25</v>
      </c>
      <c r="P3">
        <f t="shared" si="5"/>
        <v>0.25</v>
      </c>
      <c r="Q3">
        <f t="shared" si="5"/>
        <v>0.25</v>
      </c>
      <c r="R3">
        <f t="shared" si="5"/>
        <v>0.25</v>
      </c>
      <c r="S3">
        <f t="shared" si="5"/>
        <v>0.25</v>
      </c>
      <c r="T3">
        <f t="shared" si="2"/>
        <v>0.25</v>
      </c>
      <c r="U3">
        <f t="shared" si="2"/>
        <v>0.25</v>
      </c>
      <c r="V3">
        <f t="shared" si="2"/>
        <v>0.25</v>
      </c>
      <c r="W3">
        <f t="shared" si="2"/>
        <v>0.25</v>
      </c>
      <c r="X3">
        <f t="shared" si="2"/>
        <v>0.25</v>
      </c>
      <c r="Y3">
        <f t="shared" si="2"/>
        <v>0.25</v>
      </c>
      <c r="Z3">
        <f t="shared" si="2"/>
        <v>0.25</v>
      </c>
      <c r="AA3">
        <f t="shared" si="2"/>
        <v>0.25</v>
      </c>
      <c r="AB3">
        <f t="shared" si="2"/>
        <v>0.25</v>
      </c>
      <c r="AC3">
        <f t="shared" si="2"/>
        <v>0.25</v>
      </c>
      <c r="AD3">
        <f t="shared" si="2"/>
        <v>0.25</v>
      </c>
      <c r="AE3">
        <f t="shared" si="2"/>
        <v>0.25</v>
      </c>
      <c r="AF3">
        <f t="shared" si="2"/>
        <v>0.25</v>
      </c>
      <c r="AG3">
        <f t="shared" si="2"/>
        <v>0.25</v>
      </c>
      <c r="AH3">
        <f t="shared" si="2"/>
        <v>0.25</v>
      </c>
      <c r="AI3">
        <f t="shared" si="2"/>
        <v>0.25</v>
      </c>
      <c r="AJ3">
        <f t="shared" si="2"/>
        <v>0.25</v>
      </c>
      <c r="AK3">
        <f t="shared" si="2"/>
        <v>0.25</v>
      </c>
      <c r="AL3">
        <f t="shared" si="2"/>
        <v>0.25</v>
      </c>
      <c r="AM3">
        <f t="shared" si="2"/>
        <v>0.25</v>
      </c>
      <c r="AN3">
        <f t="shared" si="2"/>
        <v>0.25</v>
      </c>
      <c r="AO3">
        <f t="shared" si="2"/>
        <v>0.25</v>
      </c>
      <c r="AP3">
        <f t="shared" si="2"/>
        <v>0.25</v>
      </c>
      <c r="AQ3">
        <f t="shared" si="2"/>
        <v>0.25</v>
      </c>
      <c r="AR3">
        <f t="shared" si="2"/>
        <v>0.25</v>
      </c>
      <c r="AS3">
        <f t="shared" si="2"/>
        <v>0.25</v>
      </c>
      <c r="AT3">
        <f t="shared" si="2"/>
        <v>0.25</v>
      </c>
      <c r="AU3">
        <f t="shared" si="2"/>
        <v>0.25</v>
      </c>
      <c r="AV3">
        <f t="shared" si="2"/>
        <v>0.25</v>
      </c>
      <c r="AW3">
        <f t="shared" si="2"/>
        <v>0.25</v>
      </c>
      <c r="AX3">
        <f t="shared" si="2"/>
        <v>0.25</v>
      </c>
      <c r="AY3">
        <f t="shared" si="2"/>
        <v>0.25</v>
      </c>
      <c r="AZ3">
        <f t="shared" si="2"/>
        <v>0.25</v>
      </c>
      <c r="BA3">
        <f t="shared" si="2"/>
        <v>0.25</v>
      </c>
      <c r="BB3">
        <f t="shared" si="2"/>
        <v>0.25</v>
      </c>
      <c r="BC3">
        <f t="shared" si="2"/>
        <v>0.25</v>
      </c>
      <c r="BD3">
        <f t="shared" si="2"/>
        <v>0.25</v>
      </c>
      <c r="BE3">
        <f t="shared" si="2"/>
        <v>0.25</v>
      </c>
      <c r="BF3">
        <f t="shared" si="2"/>
        <v>0.25</v>
      </c>
      <c r="BG3">
        <f t="shared" si="2"/>
        <v>0.25</v>
      </c>
      <c r="BH3">
        <f t="shared" si="2"/>
        <v>0.25</v>
      </c>
      <c r="BI3">
        <f t="shared" si="2"/>
        <v>0.25</v>
      </c>
      <c r="BJ3">
        <f t="shared" si="2"/>
        <v>0.25</v>
      </c>
      <c r="BK3">
        <f t="shared" si="2"/>
        <v>0.25</v>
      </c>
      <c r="BL3">
        <f t="shared" si="2"/>
        <v>0.25</v>
      </c>
      <c r="BM3">
        <f t="shared" si="2"/>
        <v>0.25</v>
      </c>
      <c r="BN3">
        <f t="shared" si="2"/>
        <v>0.25</v>
      </c>
      <c r="BO3">
        <f t="shared" si="2"/>
        <v>0.25</v>
      </c>
      <c r="BP3">
        <f t="shared" si="2"/>
        <v>0.25</v>
      </c>
      <c r="BQ3">
        <f t="shared" si="3"/>
        <v>0.25</v>
      </c>
      <c r="BR3">
        <f t="shared" si="3"/>
        <v>0.25</v>
      </c>
      <c r="BS3">
        <f t="shared" si="3"/>
        <v>0.25</v>
      </c>
      <c r="BT3">
        <f t="shared" si="3"/>
        <v>0.25</v>
      </c>
      <c r="BU3">
        <f t="shared" si="3"/>
        <v>0.25</v>
      </c>
      <c r="BV3">
        <f t="shared" si="3"/>
        <v>0.25</v>
      </c>
      <c r="BW3">
        <f t="shared" si="3"/>
        <v>0.25</v>
      </c>
      <c r="BX3">
        <f t="shared" si="3"/>
        <v>0.25</v>
      </c>
      <c r="BY3">
        <f t="shared" si="3"/>
        <v>0.25</v>
      </c>
      <c r="BZ3">
        <f t="shared" si="3"/>
        <v>0.25</v>
      </c>
      <c r="CA3">
        <f t="shared" si="3"/>
        <v>0.25</v>
      </c>
      <c r="CB3">
        <f t="shared" si="3"/>
        <v>0.25</v>
      </c>
      <c r="CC3">
        <f t="shared" si="3"/>
        <v>0.25</v>
      </c>
      <c r="CD3">
        <f t="shared" si="3"/>
        <v>0.25</v>
      </c>
      <c r="CE3">
        <f t="shared" si="3"/>
        <v>0.25</v>
      </c>
      <c r="CF3">
        <f t="shared" si="3"/>
        <v>0.25</v>
      </c>
      <c r="CG3">
        <f t="shared" si="3"/>
        <v>0.25</v>
      </c>
      <c r="CH3">
        <f t="shared" si="3"/>
        <v>0.25</v>
      </c>
      <c r="CI3">
        <f t="shared" si="3"/>
        <v>0.25</v>
      </c>
      <c r="CJ3">
        <f t="shared" si="3"/>
        <v>0.25</v>
      </c>
      <c r="CK3">
        <f t="shared" si="3"/>
        <v>0.25</v>
      </c>
      <c r="CL3">
        <f t="shared" si="3"/>
        <v>0.25</v>
      </c>
      <c r="CM3">
        <f t="shared" si="3"/>
        <v>0.25</v>
      </c>
      <c r="CN3">
        <f t="shared" si="3"/>
        <v>0.25</v>
      </c>
      <c r="CO3">
        <f t="shared" si="3"/>
        <v>0.25</v>
      </c>
    </row>
    <row r="4" spans="1:93" x14ac:dyDescent="0.25">
      <c r="A4" t="s">
        <v>85</v>
      </c>
      <c r="B4" t="s">
        <v>99</v>
      </c>
      <c r="C4">
        <f t="shared" si="4"/>
        <v>0.25</v>
      </c>
      <c r="D4">
        <f t="shared" si="5"/>
        <v>0.25</v>
      </c>
      <c r="E4">
        <f t="shared" ref="E4:BP7" si="6">D4</f>
        <v>0.25</v>
      </c>
      <c r="F4">
        <f t="shared" si="6"/>
        <v>0.25</v>
      </c>
      <c r="G4">
        <f t="shared" si="6"/>
        <v>0.25</v>
      </c>
      <c r="H4">
        <f t="shared" si="6"/>
        <v>0.25</v>
      </c>
      <c r="I4">
        <f t="shared" si="6"/>
        <v>0.25</v>
      </c>
      <c r="J4">
        <f t="shared" si="6"/>
        <v>0.25</v>
      </c>
      <c r="K4">
        <f t="shared" si="6"/>
        <v>0.25</v>
      </c>
      <c r="L4">
        <f t="shared" si="6"/>
        <v>0.25</v>
      </c>
      <c r="M4">
        <f t="shared" si="6"/>
        <v>0.25</v>
      </c>
      <c r="N4">
        <f t="shared" si="6"/>
        <v>0.25</v>
      </c>
      <c r="O4">
        <f t="shared" si="6"/>
        <v>0.25</v>
      </c>
      <c r="P4">
        <f t="shared" si="6"/>
        <v>0.25</v>
      </c>
      <c r="Q4">
        <f t="shared" si="6"/>
        <v>0.25</v>
      </c>
      <c r="R4">
        <f t="shared" si="6"/>
        <v>0.25</v>
      </c>
      <c r="S4">
        <f t="shared" si="6"/>
        <v>0.25</v>
      </c>
      <c r="T4">
        <f t="shared" si="6"/>
        <v>0.25</v>
      </c>
      <c r="U4">
        <f t="shared" si="6"/>
        <v>0.25</v>
      </c>
      <c r="V4">
        <f t="shared" si="6"/>
        <v>0.25</v>
      </c>
      <c r="W4">
        <f t="shared" si="6"/>
        <v>0.25</v>
      </c>
      <c r="X4">
        <f t="shared" si="6"/>
        <v>0.25</v>
      </c>
      <c r="Y4">
        <f t="shared" si="6"/>
        <v>0.25</v>
      </c>
      <c r="Z4">
        <f t="shared" si="6"/>
        <v>0.25</v>
      </c>
      <c r="AA4">
        <f t="shared" si="6"/>
        <v>0.25</v>
      </c>
      <c r="AB4">
        <f t="shared" si="6"/>
        <v>0.25</v>
      </c>
      <c r="AC4">
        <f t="shared" si="6"/>
        <v>0.25</v>
      </c>
      <c r="AD4">
        <f t="shared" si="6"/>
        <v>0.25</v>
      </c>
      <c r="AE4">
        <f t="shared" si="6"/>
        <v>0.25</v>
      </c>
      <c r="AF4">
        <f t="shared" si="6"/>
        <v>0.25</v>
      </c>
      <c r="AG4">
        <f t="shared" si="6"/>
        <v>0.25</v>
      </c>
      <c r="AH4">
        <f t="shared" si="6"/>
        <v>0.25</v>
      </c>
      <c r="AI4">
        <f t="shared" si="6"/>
        <v>0.25</v>
      </c>
      <c r="AJ4">
        <f t="shared" si="6"/>
        <v>0.25</v>
      </c>
      <c r="AK4">
        <f t="shared" si="6"/>
        <v>0.25</v>
      </c>
      <c r="AL4">
        <f t="shared" si="6"/>
        <v>0.25</v>
      </c>
      <c r="AM4">
        <f t="shared" si="6"/>
        <v>0.25</v>
      </c>
      <c r="AN4">
        <f t="shared" si="6"/>
        <v>0.25</v>
      </c>
      <c r="AO4">
        <f t="shared" si="6"/>
        <v>0.25</v>
      </c>
      <c r="AP4">
        <f t="shared" si="6"/>
        <v>0.25</v>
      </c>
      <c r="AQ4">
        <f t="shared" si="6"/>
        <v>0.25</v>
      </c>
      <c r="AR4">
        <f t="shared" si="6"/>
        <v>0.25</v>
      </c>
      <c r="AS4">
        <f t="shared" si="6"/>
        <v>0.25</v>
      </c>
      <c r="AT4">
        <f t="shared" si="6"/>
        <v>0.25</v>
      </c>
      <c r="AU4">
        <f t="shared" si="6"/>
        <v>0.25</v>
      </c>
      <c r="AV4">
        <f t="shared" si="6"/>
        <v>0.25</v>
      </c>
      <c r="AW4">
        <f t="shared" si="6"/>
        <v>0.25</v>
      </c>
      <c r="AX4">
        <f t="shared" si="6"/>
        <v>0.25</v>
      </c>
      <c r="AY4">
        <f t="shared" si="6"/>
        <v>0.25</v>
      </c>
      <c r="AZ4">
        <f t="shared" si="6"/>
        <v>0.25</v>
      </c>
      <c r="BA4">
        <f t="shared" si="6"/>
        <v>0.25</v>
      </c>
      <c r="BB4">
        <f t="shared" si="6"/>
        <v>0.25</v>
      </c>
      <c r="BC4">
        <f t="shared" si="6"/>
        <v>0.25</v>
      </c>
      <c r="BD4">
        <f t="shared" si="6"/>
        <v>0.25</v>
      </c>
      <c r="BE4">
        <f t="shared" si="6"/>
        <v>0.25</v>
      </c>
      <c r="BF4">
        <f t="shared" si="6"/>
        <v>0.25</v>
      </c>
      <c r="BG4">
        <f t="shared" si="6"/>
        <v>0.25</v>
      </c>
      <c r="BH4">
        <f t="shared" si="6"/>
        <v>0.25</v>
      </c>
      <c r="BI4">
        <f t="shared" si="6"/>
        <v>0.25</v>
      </c>
      <c r="BJ4">
        <f t="shared" si="6"/>
        <v>0.25</v>
      </c>
      <c r="BK4">
        <f t="shared" si="6"/>
        <v>0.25</v>
      </c>
      <c r="BL4">
        <f t="shared" si="6"/>
        <v>0.25</v>
      </c>
      <c r="BM4">
        <f t="shared" si="6"/>
        <v>0.25</v>
      </c>
      <c r="BN4">
        <f t="shared" si="6"/>
        <v>0.25</v>
      </c>
      <c r="BO4">
        <f t="shared" si="6"/>
        <v>0.25</v>
      </c>
      <c r="BP4">
        <f t="shared" si="6"/>
        <v>0.25</v>
      </c>
      <c r="BQ4">
        <f t="shared" si="3"/>
        <v>0.25</v>
      </c>
      <c r="BR4">
        <f t="shared" si="3"/>
        <v>0.25</v>
      </c>
      <c r="BS4">
        <f t="shared" si="3"/>
        <v>0.25</v>
      </c>
      <c r="BT4">
        <f t="shared" si="3"/>
        <v>0.25</v>
      </c>
      <c r="BU4">
        <f t="shared" si="3"/>
        <v>0.25</v>
      </c>
      <c r="BV4">
        <f t="shared" si="3"/>
        <v>0.25</v>
      </c>
      <c r="BW4">
        <f t="shared" si="3"/>
        <v>0.25</v>
      </c>
      <c r="BX4">
        <f t="shared" si="3"/>
        <v>0.25</v>
      </c>
      <c r="BY4">
        <f t="shared" si="3"/>
        <v>0.25</v>
      </c>
      <c r="BZ4">
        <f t="shared" si="3"/>
        <v>0.25</v>
      </c>
      <c r="CA4">
        <f t="shared" si="3"/>
        <v>0.25</v>
      </c>
      <c r="CB4">
        <f t="shared" si="3"/>
        <v>0.25</v>
      </c>
      <c r="CC4">
        <f t="shared" si="3"/>
        <v>0.25</v>
      </c>
      <c r="CD4">
        <f t="shared" si="3"/>
        <v>0.25</v>
      </c>
      <c r="CE4">
        <f t="shared" si="3"/>
        <v>0.25</v>
      </c>
      <c r="CF4">
        <f t="shared" si="3"/>
        <v>0.25</v>
      </c>
      <c r="CG4">
        <f t="shared" si="3"/>
        <v>0.25</v>
      </c>
      <c r="CH4">
        <f t="shared" si="3"/>
        <v>0.25</v>
      </c>
      <c r="CI4">
        <f t="shared" si="3"/>
        <v>0.25</v>
      </c>
      <c r="CJ4">
        <f t="shared" si="3"/>
        <v>0.25</v>
      </c>
      <c r="CK4">
        <f t="shared" si="3"/>
        <v>0.25</v>
      </c>
      <c r="CL4">
        <f t="shared" si="3"/>
        <v>0.25</v>
      </c>
      <c r="CM4">
        <f t="shared" si="3"/>
        <v>0.25</v>
      </c>
      <c r="CN4">
        <f t="shared" si="3"/>
        <v>0.25</v>
      </c>
      <c r="CO4">
        <f t="shared" si="3"/>
        <v>0.25</v>
      </c>
    </row>
    <row r="5" spans="1:93" x14ac:dyDescent="0.25">
      <c r="A5" t="s">
        <v>86</v>
      </c>
      <c r="B5" t="s">
        <v>99</v>
      </c>
      <c r="C5">
        <f t="shared" si="4"/>
        <v>0.25</v>
      </c>
      <c r="D5">
        <f t="shared" si="5"/>
        <v>0.25</v>
      </c>
      <c r="E5">
        <f t="shared" si="6"/>
        <v>0.25</v>
      </c>
      <c r="F5">
        <f t="shared" si="6"/>
        <v>0.25</v>
      </c>
      <c r="G5">
        <f t="shared" si="6"/>
        <v>0.25</v>
      </c>
      <c r="H5">
        <f t="shared" si="6"/>
        <v>0.25</v>
      </c>
      <c r="I5">
        <f t="shared" si="6"/>
        <v>0.25</v>
      </c>
      <c r="J5">
        <f t="shared" si="6"/>
        <v>0.25</v>
      </c>
      <c r="K5">
        <f t="shared" si="6"/>
        <v>0.25</v>
      </c>
      <c r="L5">
        <f t="shared" si="6"/>
        <v>0.25</v>
      </c>
      <c r="M5">
        <f t="shared" si="6"/>
        <v>0.25</v>
      </c>
      <c r="N5">
        <f t="shared" si="6"/>
        <v>0.25</v>
      </c>
      <c r="O5">
        <f t="shared" si="6"/>
        <v>0.25</v>
      </c>
      <c r="P5">
        <f t="shared" si="6"/>
        <v>0.25</v>
      </c>
      <c r="Q5">
        <f t="shared" si="6"/>
        <v>0.25</v>
      </c>
      <c r="R5">
        <f t="shared" si="6"/>
        <v>0.25</v>
      </c>
      <c r="S5">
        <f t="shared" si="6"/>
        <v>0.25</v>
      </c>
      <c r="T5">
        <f t="shared" si="6"/>
        <v>0.25</v>
      </c>
      <c r="U5">
        <f t="shared" si="6"/>
        <v>0.25</v>
      </c>
      <c r="V5">
        <f t="shared" si="6"/>
        <v>0.25</v>
      </c>
      <c r="W5">
        <f t="shared" si="6"/>
        <v>0.25</v>
      </c>
      <c r="X5">
        <f t="shared" si="6"/>
        <v>0.25</v>
      </c>
      <c r="Y5">
        <f t="shared" si="6"/>
        <v>0.25</v>
      </c>
      <c r="Z5">
        <f t="shared" si="6"/>
        <v>0.25</v>
      </c>
      <c r="AA5">
        <f t="shared" si="6"/>
        <v>0.25</v>
      </c>
      <c r="AB5">
        <f t="shared" si="6"/>
        <v>0.25</v>
      </c>
      <c r="AC5">
        <f t="shared" si="6"/>
        <v>0.25</v>
      </c>
      <c r="AD5">
        <f t="shared" si="6"/>
        <v>0.25</v>
      </c>
      <c r="AE5">
        <f t="shared" si="6"/>
        <v>0.25</v>
      </c>
      <c r="AF5">
        <f t="shared" si="6"/>
        <v>0.25</v>
      </c>
      <c r="AG5">
        <f t="shared" si="6"/>
        <v>0.25</v>
      </c>
      <c r="AH5">
        <f t="shared" si="6"/>
        <v>0.25</v>
      </c>
      <c r="AI5">
        <f t="shared" si="6"/>
        <v>0.25</v>
      </c>
      <c r="AJ5">
        <f t="shared" si="6"/>
        <v>0.25</v>
      </c>
      <c r="AK5">
        <f t="shared" si="6"/>
        <v>0.25</v>
      </c>
      <c r="AL5">
        <f t="shared" si="6"/>
        <v>0.25</v>
      </c>
      <c r="AM5">
        <f t="shared" si="6"/>
        <v>0.25</v>
      </c>
      <c r="AN5">
        <f t="shared" si="6"/>
        <v>0.25</v>
      </c>
      <c r="AO5">
        <f t="shared" si="6"/>
        <v>0.25</v>
      </c>
      <c r="AP5">
        <f t="shared" si="6"/>
        <v>0.25</v>
      </c>
      <c r="AQ5">
        <f t="shared" si="6"/>
        <v>0.25</v>
      </c>
      <c r="AR5">
        <f t="shared" si="6"/>
        <v>0.25</v>
      </c>
      <c r="AS5">
        <f t="shared" si="6"/>
        <v>0.25</v>
      </c>
      <c r="AT5">
        <f t="shared" si="6"/>
        <v>0.25</v>
      </c>
      <c r="AU5">
        <f t="shared" si="6"/>
        <v>0.25</v>
      </c>
      <c r="AV5">
        <f t="shared" si="6"/>
        <v>0.25</v>
      </c>
      <c r="AW5">
        <f t="shared" si="6"/>
        <v>0.25</v>
      </c>
      <c r="AX5">
        <f t="shared" si="6"/>
        <v>0.25</v>
      </c>
      <c r="AY5">
        <f t="shared" si="6"/>
        <v>0.25</v>
      </c>
      <c r="AZ5">
        <f t="shared" si="6"/>
        <v>0.25</v>
      </c>
      <c r="BA5">
        <f t="shared" si="6"/>
        <v>0.25</v>
      </c>
      <c r="BB5">
        <f t="shared" si="6"/>
        <v>0.25</v>
      </c>
      <c r="BC5">
        <f t="shared" si="6"/>
        <v>0.25</v>
      </c>
      <c r="BD5">
        <f t="shared" si="6"/>
        <v>0.25</v>
      </c>
      <c r="BE5">
        <f t="shared" si="6"/>
        <v>0.25</v>
      </c>
      <c r="BF5">
        <f t="shared" si="6"/>
        <v>0.25</v>
      </c>
      <c r="BG5">
        <f t="shared" si="6"/>
        <v>0.25</v>
      </c>
      <c r="BH5">
        <f t="shared" si="6"/>
        <v>0.25</v>
      </c>
      <c r="BI5">
        <f t="shared" si="6"/>
        <v>0.25</v>
      </c>
      <c r="BJ5">
        <f t="shared" si="6"/>
        <v>0.25</v>
      </c>
      <c r="BK5">
        <f t="shared" si="6"/>
        <v>0.25</v>
      </c>
      <c r="BL5">
        <f t="shared" si="6"/>
        <v>0.25</v>
      </c>
      <c r="BM5">
        <f t="shared" si="6"/>
        <v>0.25</v>
      </c>
      <c r="BN5">
        <f t="shared" si="6"/>
        <v>0.25</v>
      </c>
      <c r="BO5">
        <f t="shared" si="6"/>
        <v>0.25</v>
      </c>
      <c r="BP5">
        <f t="shared" si="6"/>
        <v>0.25</v>
      </c>
      <c r="BQ5">
        <f t="shared" si="3"/>
        <v>0.25</v>
      </c>
      <c r="BR5">
        <f t="shared" si="3"/>
        <v>0.25</v>
      </c>
      <c r="BS5">
        <f t="shared" si="3"/>
        <v>0.25</v>
      </c>
      <c r="BT5">
        <f t="shared" si="3"/>
        <v>0.25</v>
      </c>
      <c r="BU5">
        <f t="shared" si="3"/>
        <v>0.25</v>
      </c>
      <c r="BV5">
        <f t="shared" si="3"/>
        <v>0.25</v>
      </c>
      <c r="BW5">
        <f t="shared" si="3"/>
        <v>0.25</v>
      </c>
      <c r="BX5">
        <f t="shared" si="3"/>
        <v>0.25</v>
      </c>
      <c r="BY5">
        <f t="shared" si="3"/>
        <v>0.25</v>
      </c>
      <c r="BZ5">
        <f t="shared" si="3"/>
        <v>0.25</v>
      </c>
      <c r="CA5">
        <f t="shared" si="3"/>
        <v>0.25</v>
      </c>
      <c r="CB5">
        <f t="shared" si="3"/>
        <v>0.25</v>
      </c>
      <c r="CC5">
        <f t="shared" si="3"/>
        <v>0.25</v>
      </c>
      <c r="CD5">
        <f t="shared" si="3"/>
        <v>0.25</v>
      </c>
      <c r="CE5">
        <f t="shared" si="3"/>
        <v>0.25</v>
      </c>
      <c r="CF5">
        <f t="shared" si="3"/>
        <v>0.25</v>
      </c>
      <c r="CG5">
        <f t="shared" si="3"/>
        <v>0.25</v>
      </c>
      <c r="CH5">
        <f t="shared" si="3"/>
        <v>0.25</v>
      </c>
      <c r="CI5">
        <f t="shared" si="3"/>
        <v>0.25</v>
      </c>
      <c r="CJ5">
        <f t="shared" si="3"/>
        <v>0.25</v>
      </c>
      <c r="CK5">
        <f t="shared" si="3"/>
        <v>0.25</v>
      </c>
      <c r="CL5">
        <f t="shared" si="3"/>
        <v>0.25</v>
      </c>
      <c r="CM5">
        <f t="shared" si="3"/>
        <v>0.25</v>
      </c>
      <c r="CN5">
        <f t="shared" si="3"/>
        <v>0.25</v>
      </c>
      <c r="CO5">
        <f t="shared" si="3"/>
        <v>0.25</v>
      </c>
    </row>
    <row r="6" spans="1:93" x14ac:dyDescent="0.25">
      <c r="A6" t="s">
        <v>38</v>
      </c>
      <c r="B6" t="s">
        <v>11</v>
      </c>
      <c r="C6">
        <f t="shared" si="4"/>
        <v>0.33333333333333331</v>
      </c>
      <c r="D6">
        <f t="shared" si="5"/>
        <v>0.33333333333333331</v>
      </c>
      <c r="E6">
        <f t="shared" si="6"/>
        <v>0.33333333333333331</v>
      </c>
      <c r="F6">
        <f t="shared" si="6"/>
        <v>0.33333333333333331</v>
      </c>
      <c r="G6">
        <f t="shared" si="6"/>
        <v>0.33333333333333331</v>
      </c>
      <c r="H6">
        <f t="shared" si="6"/>
        <v>0.33333333333333331</v>
      </c>
      <c r="I6">
        <f t="shared" si="6"/>
        <v>0.33333333333333331</v>
      </c>
      <c r="J6">
        <f t="shared" si="6"/>
        <v>0.33333333333333331</v>
      </c>
      <c r="K6">
        <f t="shared" si="6"/>
        <v>0.33333333333333331</v>
      </c>
      <c r="L6">
        <f t="shared" si="6"/>
        <v>0.33333333333333331</v>
      </c>
      <c r="M6">
        <f t="shared" si="6"/>
        <v>0.33333333333333331</v>
      </c>
      <c r="N6">
        <f t="shared" si="6"/>
        <v>0.33333333333333331</v>
      </c>
      <c r="O6">
        <f t="shared" si="6"/>
        <v>0.33333333333333331</v>
      </c>
      <c r="P6">
        <f t="shared" si="6"/>
        <v>0.33333333333333331</v>
      </c>
      <c r="Q6">
        <f t="shared" si="6"/>
        <v>0.33333333333333331</v>
      </c>
      <c r="R6">
        <f t="shared" si="6"/>
        <v>0.33333333333333331</v>
      </c>
      <c r="S6">
        <f t="shared" si="6"/>
        <v>0.33333333333333331</v>
      </c>
      <c r="T6">
        <f t="shared" si="6"/>
        <v>0.33333333333333331</v>
      </c>
      <c r="U6">
        <f t="shared" si="6"/>
        <v>0.33333333333333331</v>
      </c>
      <c r="V6">
        <f t="shared" si="6"/>
        <v>0.33333333333333331</v>
      </c>
      <c r="W6">
        <f t="shared" si="6"/>
        <v>0.33333333333333331</v>
      </c>
      <c r="X6">
        <f t="shared" si="6"/>
        <v>0.33333333333333331</v>
      </c>
      <c r="Y6">
        <f t="shared" si="6"/>
        <v>0.33333333333333331</v>
      </c>
      <c r="Z6">
        <f t="shared" si="6"/>
        <v>0.33333333333333331</v>
      </c>
      <c r="AA6">
        <f t="shared" si="6"/>
        <v>0.33333333333333331</v>
      </c>
      <c r="AB6">
        <f t="shared" si="6"/>
        <v>0.33333333333333331</v>
      </c>
      <c r="AC6">
        <f t="shared" si="6"/>
        <v>0.33333333333333331</v>
      </c>
      <c r="AD6">
        <f t="shared" si="6"/>
        <v>0.33333333333333331</v>
      </c>
      <c r="AE6">
        <f t="shared" si="6"/>
        <v>0.33333333333333331</v>
      </c>
      <c r="AF6">
        <f t="shared" si="6"/>
        <v>0.33333333333333331</v>
      </c>
      <c r="AG6">
        <f t="shared" si="6"/>
        <v>0.33333333333333331</v>
      </c>
      <c r="AH6">
        <f t="shared" si="6"/>
        <v>0.33333333333333331</v>
      </c>
      <c r="AI6">
        <f t="shared" si="6"/>
        <v>0.33333333333333331</v>
      </c>
      <c r="AJ6">
        <f t="shared" si="6"/>
        <v>0.33333333333333331</v>
      </c>
      <c r="AK6">
        <f t="shared" si="6"/>
        <v>0.33333333333333331</v>
      </c>
      <c r="AL6">
        <f t="shared" si="6"/>
        <v>0.33333333333333331</v>
      </c>
      <c r="AM6">
        <f t="shared" si="6"/>
        <v>0.33333333333333331</v>
      </c>
      <c r="AN6">
        <f t="shared" si="6"/>
        <v>0.33333333333333331</v>
      </c>
      <c r="AO6">
        <f t="shared" si="6"/>
        <v>0.33333333333333331</v>
      </c>
      <c r="AP6">
        <f t="shared" si="6"/>
        <v>0.33333333333333331</v>
      </c>
      <c r="AQ6">
        <f t="shared" si="6"/>
        <v>0.33333333333333331</v>
      </c>
      <c r="AR6">
        <f t="shared" si="6"/>
        <v>0.33333333333333331</v>
      </c>
      <c r="AS6">
        <f t="shared" si="6"/>
        <v>0.33333333333333331</v>
      </c>
      <c r="AT6">
        <f t="shared" si="6"/>
        <v>0.33333333333333331</v>
      </c>
      <c r="AU6">
        <f t="shared" si="6"/>
        <v>0.33333333333333331</v>
      </c>
      <c r="AV6">
        <f t="shared" si="6"/>
        <v>0.33333333333333331</v>
      </c>
      <c r="AW6">
        <f t="shared" si="6"/>
        <v>0.33333333333333331</v>
      </c>
      <c r="AX6">
        <f t="shared" si="6"/>
        <v>0.33333333333333331</v>
      </c>
      <c r="AY6">
        <f t="shared" si="6"/>
        <v>0.33333333333333331</v>
      </c>
      <c r="AZ6">
        <f t="shared" si="6"/>
        <v>0.33333333333333331</v>
      </c>
      <c r="BA6">
        <f t="shared" si="6"/>
        <v>0.33333333333333331</v>
      </c>
      <c r="BB6">
        <f t="shared" si="6"/>
        <v>0.33333333333333331</v>
      </c>
      <c r="BC6">
        <f t="shared" si="6"/>
        <v>0.33333333333333331</v>
      </c>
      <c r="BD6">
        <f t="shared" si="6"/>
        <v>0.33333333333333331</v>
      </c>
      <c r="BE6">
        <f t="shared" si="6"/>
        <v>0.33333333333333331</v>
      </c>
      <c r="BF6">
        <f t="shared" si="6"/>
        <v>0.33333333333333331</v>
      </c>
      <c r="BG6">
        <f t="shared" si="6"/>
        <v>0.33333333333333331</v>
      </c>
      <c r="BH6">
        <f t="shared" si="6"/>
        <v>0.33333333333333331</v>
      </c>
      <c r="BI6">
        <f t="shared" si="6"/>
        <v>0.33333333333333331</v>
      </c>
      <c r="BJ6">
        <f t="shared" si="6"/>
        <v>0.33333333333333331</v>
      </c>
      <c r="BK6">
        <f t="shared" si="6"/>
        <v>0.33333333333333331</v>
      </c>
      <c r="BL6">
        <f t="shared" si="6"/>
        <v>0.33333333333333331</v>
      </c>
      <c r="BM6">
        <f t="shared" si="6"/>
        <v>0.33333333333333331</v>
      </c>
      <c r="BN6">
        <f t="shared" si="6"/>
        <v>0.33333333333333331</v>
      </c>
      <c r="BO6">
        <f t="shared" si="6"/>
        <v>0.33333333333333331</v>
      </c>
      <c r="BP6">
        <f t="shared" si="6"/>
        <v>0.33333333333333331</v>
      </c>
      <c r="BQ6">
        <f t="shared" si="3"/>
        <v>0.33333333333333331</v>
      </c>
      <c r="BR6">
        <f t="shared" si="3"/>
        <v>0.33333333333333331</v>
      </c>
      <c r="BS6">
        <f t="shared" si="3"/>
        <v>0.33333333333333331</v>
      </c>
      <c r="BT6">
        <f t="shared" si="3"/>
        <v>0.33333333333333331</v>
      </c>
      <c r="BU6">
        <f t="shared" si="3"/>
        <v>0.33333333333333331</v>
      </c>
      <c r="BV6">
        <f t="shared" si="3"/>
        <v>0.33333333333333331</v>
      </c>
      <c r="BW6">
        <f t="shared" si="3"/>
        <v>0.33333333333333331</v>
      </c>
      <c r="BX6">
        <f t="shared" si="3"/>
        <v>0.33333333333333331</v>
      </c>
      <c r="BY6">
        <f t="shared" si="3"/>
        <v>0.33333333333333331</v>
      </c>
      <c r="BZ6">
        <f t="shared" si="3"/>
        <v>0.33333333333333331</v>
      </c>
      <c r="CA6">
        <f t="shared" si="3"/>
        <v>0.33333333333333331</v>
      </c>
      <c r="CB6">
        <f t="shared" si="3"/>
        <v>0.33333333333333331</v>
      </c>
      <c r="CC6">
        <f t="shared" si="3"/>
        <v>0.33333333333333331</v>
      </c>
      <c r="CD6">
        <f t="shared" si="3"/>
        <v>0.33333333333333331</v>
      </c>
      <c r="CE6">
        <f t="shared" si="3"/>
        <v>0.33333333333333331</v>
      </c>
      <c r="CF6">
        <f t="shared" si="3"/>
        <v>0.33333333333333331</v>
      </c>
      <c r="CG6">
        <f t="shared" si="3"/>
        <v>0.33333333333333331</v>
      </c>
      <c r="CH6">
        <f t="shared" si="3"/>
        <v>0.33333333333333331</v>
      </c>
      <c r="CI6">
        <f t="shared" si="3"/>
        <v>0.33333333333333331</v>
      </c>
      <c r="CJ6">
        <f t="shared" si="3"/>
        <v>0.33333333333333331</v>
      </c>
      <c r="CK6">
        <f t="shared" si="3"/>
        <v>0.33333333333333331</v>
      </c>
      <c r="CL6">
        <f t="shared" si="3"/>
        <v>0.33333333333333331</v>
      </c>
      <c r="CM6">
        <f t="shared" si="3"/>
        <v>0.33333333333333331</v>
      </c>
      <c r="CN6">
        <f t="shared" si="3"/>
        <v>0.33333333333333331</v>
      </c>
      <c r="CO6">
        <f t="shared" si="3"/>
        <v>0.33333333333333331</v>
      </c>
    </row>
    <row r="7" spans="1:93" x14ac:dyDescent="0.25">
      <c r="A7" t="s">
        <v>41</v>
      </c>
      <c r="B7" t="s">
        <v>11</v>
      </c>
      <c r="C7">
        <f t="shared" si="4"/>
        <v>0.33333333333333331</v>
      </c>
      <c r="D7">
        <f t="shared" si="5"/>
        <v>0.33333333333333331</v>
      </c>
      <c r="E7">
        <f t="shared" si="6"/>
        <v>0.33333333333333331</v>
      </c>
      <c r="F7">
        <f t="shared" si="6"/>
        <v>0.33333333333333331</v>
      </c>
      <c r="G7">
        <f t="shared" si="6"/>
        <v>0.33333333333333331</v>
      </c>
      <c r="H7">
        <f t="shared" si="6"/>
        <v>0.33333333333333331</v>
      </c>
      <c r="I7">
        <f t="shared" si="6"/>
        <v>0.33333333333333331</v>
      </c>
      <c r="J7">
        <f t="shared" si="6"/>
        <v>0.33333333333333331</v>
      </c>
      <c r="K7">
        <f t="shared" si="6"/>
        <v>0.33333333333333331</v>
      </c>
      <c r="L7">
        <f t="shared" si="6"/>
        <v>0.33333333333333331</v>
      </c>
      <c r="M7">
        <f t="shared" si="6"/>
        <v>0.33333333333333331</v>
      </c>
      <c r="N7">
        <f t="shared" si="6"/>
        <v>0.33333333333333331</v>
      </c>
      <c r="O7">
        <f t="shared" si="6"/>
        <v>0.33333333333333331</v>
      </c>
      <c r="P7">
        <f t="shared" si="6"/>
        <v>0.33333333333333331</v>
      </c>
      <c r="Q7">
        <f t="shared" si="6"/>
        <v>0.33333333333333331</v>
      </c>
      <c r="R7">
        <f t="shared" si="6"/>
        <v>0.33333333333333331</v>
      </c>
      <c r="S7">
        <f t="shared" si="6"/>
        <v>0.33333333333333331</v>
      </c>
      <c r="T7">
        <f t="shared" si="6"/>
        <v>0.33333333333333331</v>
      </c>
      <c r="U7">
        <f t="shared" si="6"/>
        <v>0.33333333333333331</v>
      </c>
      <c r="V7">
        <f t="shared" si="6"/>
        <v>0.33333333333333331</v>
      </c>
      <c r="W7">
        <f t="shared" si="6"/>
        <v>0.33333333333333331</v>
      </c>
      <c r="X7">
        <f t="shared" si="6"/>
        <v>0.33333333333333331</v>
      </c>
      <c r="Y7">
        <f t="shared" si="6"/>
        <v>0.33333333333333331</v>
      </c>
      <c r="Z7">
        <f t="shared" si="6"/>
        <v>0.33333333333333331</v>
      </c>
      <c r="AA7">
        <f t="shared" si="6"/>
        <v>0.33333333333333331</v>
      </c>
      <c r="AB7">
        <f t="shared" si="6"/>
        <v>0.33333333333333331</v>
      </c>
      <c r="AC7">
        <f t="shared" si="6"/>
        <v>0.33333333333333331</v>
      </c>
      <c r="AD7">
        <f t="shared" si="6"/>
        <v>0.33333333333333331</v>
      </c>
      <c r="AE7">
        <f t="shared" si="6"/>
        <v>0.33333333333333331</v>
      </c>
      <c r="AF7">
        <f t="shared" si="6"/>
        <v>0.33333333333333331</v>
      </c>
      <c r="AG7">
        <f t="shared" si="6"/>
        <v>0.33333333333333331</v>
      </c>
      <c r="AH7">
        <f t="shared" si="6"/>
        <v>0.33333333333333331</v>
      </c>
      <c r="AI7">
        <f t="shared" si="6"/>
        <v>0.33333333333333331</v>
      </c>
      <c r="AJ7">
        <f t="shared" si="6"/>
        <v>0.33333333333333331</v>
      </c>
      <c r="AK7">
        <f t="shared" si="6"/>
        <v>0.33333333333333331</v>
      </c>
      <c r="AL7">
        <f t="shared" si="6"/>
        <v>0.33333333333333331</v>
      </c>
      <c r="AM7">
        <f t="shared" si="6"/>
        <v>0.33333333333333331</v>
      </c>
      <c r="AN7">
        <f t="shared" si="6"/>
        <v>0.33333333333333331</v>
      </c>
      <c r="AO7">
        <f t="shared" si="6"/>
        <v>0.33333333333333331</v>
      </c>
      <c r="AP7">
        <f t="shared" si="6"/>
        <v>0.33333333333333331</v>
      </c>
      <c r="AQ7">
        <f t="shared" si="6"/>
        <v>0.33333333333333331</v>
      </c>
      <c r="AR7">
        <f t="shared" si="6"/>
        <v>0.33333333333333331</v>
      </c>
      <c r="AS7">
        <f t="shared" si="6"/>
        <v>0.33333333333333331</v>
      </c>
      <c r="AT7">
        <f t="shared" si="6"/>
        <v>0.33333333333333331</v>
      </c>
      <c r="AU7">
        <f t="shared" si="6"/>
        <v>0.33333333333333331</v>
      </c>
      <c r="AV7">
        <f t="shared" si="6"/>
        <v>0.33333333333333331</v>
      </c>
      <c r="AW7">
        <f t="shared" si="6"/>
        <v>0.33333333333333331</v>
      </c>
      <c r="AX7">
        <f t="shared" si="6"/>
        <v>0.33333333333333331</v>
      </c>
      <c r="AY7">
        <f t="shared" si="6"/>
        <v>0.33333333333333331</v>
      </c>
      <c r="AZ7">
        <f t="shared" si="6"/>
        <v>0.33333333333333331</v>
      </c>
      <c r="BA7">
        <f t="shared" si="6"/>
        <v>0.33333333333333331</v>
      </c>
      <c r="BB7">
        <f t="shared" si="6"/>
        <v>0.33333333333333331</v>
      </c>
      <c r="BC7">
        <f t="shared" si="6"/>
        <v>0.33333333333333331</v>
      </c>
      <c r="BD7">
        <f t="shared" si="6"/>
        <v>0.33333333333333331</v>
      </c>
      <c r="BE7">
        <f t="shared" si="6"/>
        <v>0.33333333333333331</v>
      </c>
      <c r="BF7">
        <f t="shared" si="6"/>
        <v>0.33333333333333331</v>
      </c>
      <c r="BG7">
        <f t="shared" si="6"/>
        <v>0.33333333333333331</v>
      </c>
      <c r="BH7">
        <f t="shared" si="6"/>
        <v>0.33333333333333331</v>
      </c>
      <c r="BI7">
        <f t="shared" si="6"/>
        <v>0.33333333333333331</v>
      </c>
      <c r="BJ7">
        <f t="shared" si="6"/>
        <v>0.33333333333333331</v>
      </c>
      <c r="BK7">
        <f t="shared" si="6"/>
        <v>0.33333333333333331</v>
      </c>
      <c r="BL7">
        <f t="shared" si="6"/>
        <v>0.33333333333333331</v>
      </c>
      <c r="BM7">
        <f t="shared" si="6"/>
        <v>0.33333333333333331</v>
      </c>
      <c r="BN7">
        <f t="shared" si="6"/>
        <v>0.33333333333333331</v>
      </c>
      <c r="BO7">
        <f t="shared" si="6"/>
        <v>0.33333333333333331</v>
      </c>
      <c r="BP7">
        <f t="shared" ref="BP7:CO10" si="7">BO7</f>
        <v>0.33333333333333331</v>
      </c>
      <c r="BQ7">
        <f t="shared" si="7"/>
        <v>0.33333333333333331</v>
      </c>
      <c r="BR7">
        <f t="shared" si="7"/>
        <v>0.33333333333333331</v>
      </c>
      <c r="BS7">
        <f t="shared" si="7"/>
        <v>0.33333333333333331</v>
      </c>
      <c r="BT7">
        <f t="shared" si="7"/>
        <v>0.33333333333333331</v>
      </c>
      <c r="BU7">
        <f t="shared" si="7"/>
        <v>0.33333333333333331</v>
      </c>
      <c r="BV7">
        <f t="shared" si="7"/>
        <v>0.33333333333333331</v>
      </c>
      <c r="BW7">
        <f t="shared" si="7"/>
        <v>0.33333333333333331</v>
      </c>
      <c r="BX7">
        <f t="shared" si="7"/>
        <v>0.33333333333333331</v>
      </c>
      <c r="BY7">
        <f t="shared" si="7"/>
        <v>0.33333333333333331</v>
      </c>
      <c r="BZ7">
        <f t="shared" si="7"/>
        <v>0.33333333333333331</v>
      </c>
      <c r="CA7">
        <f t="shared" si="7"/>
        <v>0.33333333333333331</v>
      </c>
      <c r="CB7">
        <f t="shared" si="7"/>
        <v>0.33333333333333331</v>
      </c>
      <c r="CC7">
        <f t="shared" si="7"/>
        <v>0.33333333333333331</v>
      </c>
      <c r="CD7">
        <f t="shared" si="7"/>
        <v>0.33333333333333331</v>
      </c>
      <c r="CE7">
        <f t="shared" si="7"/>
        <v>0.33333333333333331</v>
      </c>
      <c r="CF7">
        <f t="shared" si="7"/>
        <v>0.33333333333333331</v>
      </c>
      <c r="CG7">
        <f t="shared" si="7"/>
        <v>0.33333333333333331</v>
      </c>
      <c r="CH7">
        <f t="shared" si="7"/>
        <v>0.33333333333333331</v>
      </c>
      <c r="CI7">
        <f t="shared" si="7"/>
        <v>0.33333333333333331</v>
      </c>
      <c r="CJ7">
        <f t="shared" si="7"/>
        <v>0.33333333333333331</v>
      </c>
      <c r="CK7">
        <f t="shared" si="7"/>
        <v>0.33333333333333331</v>
      </c>
      <c r="CL7">
        <f t="shared" si="7"/>
        <v>0.33333333333333331</v>
      </c>
      <c r="CM7">
        <f t="shared" si="7"/>
        <v>0.33333333333333331</v>
      </c>
      <c r="CN7">
        <f t="shared" si="7"/>
        <v>0.33333333333333331</v>
      </c>
      <c r="CO7">
        <f t="shared" si="7"/>
        <v>0.33333333333333331</v>
      </c>
    </row>
    <row r="8" spans="1:93" x14ac:dyDescent="0.25">
      <c r="A8" t="s">
        <v>46</v>
      </c>
      <c r="B8" t="s">
        <v>11</v>
      </c>
      <c r="C8">
        <f t="shared" si="4"/>
        <v>0.33333333333333331</v>
      </c>
      <c r="D8">
        <f t="shared" si="5"/>
        <v>0.33333333333333331</v>
      </c>
      <c r="E8">
        <f t="shared" ref="E8:BP11" si="8">D8</f>
        <v>0.33333333333333331</v>
      </c>
      <c r="F8">
        <f t="shared" si="8"/>
        <v>0.33333333333333331</v>
      </c>
      <c r="G8">
        <f t="shared" si="8"/>
        <v>0.33333333333333331</v>
      </c>
      <c r="H8">
        <f t="shared" si="8"/>
        <v>0.33333333333333331</v>
      </c>
      <c r="I8">
        <f t="shared" si="8"/>
        <v>0.33333333333333331</v>
      </c>
      <c r="J8">
        <f t="shared" si="8"/>
        <v>0.33333333333333331</v>
      </c>
      <c r="K8">
        <f t="shared" si="8"/>
        <v>0.33333333333333331</v>
      </c>
      <c r="L8">
        <f t="shared" si="8"/>
        <v>0.33333333333333331</v>
      </c>
      <c r="M8">
        <f t="shared" si="8"/>
        <v>0.33333333333333331</v>
      </c>
      <c r="N8">
        <f t="shared" si="8"/>
        <v>0.33333333333333331</v>
      </c>
      <c r="O8">
        <f t="shared" si="8"/>
        <v>0.33333333333333331</v>
      </c>
      <c r="P8">
        <f t="shared" si="8"/>
        <v>0.33333333333333331</v>
      </c>
      <c r="Q8">
        <f t="shared" si="8"/>
        <v>0.33333333333333331</v>
      </c>
      <c r="R8">
        <f t="shared" si="8"/>
        <v>0.33333333333333331</v>
      </c>
      <c r="S8">
        <f t="shared" si="8"/>
        <v>0.33333333333333331</v>
      </c>
      <c r="T8">
        <f t="shared" si="8"/>
        <v>0.33333333333333331</v>
      </c>
      <c r="U8">
        <f t="shared" si="8"/>
        <v>0.33333333333333331</v>
      </c>
      <c r="V8">
        <f t="shared" si="8"/>
        <v>0.33333333333333331</v>
      </c>
      <c r="W8">
        <f t="shared" si="8"/>
        <v>0.33333333333333331</v>
      </c>
      <c r="X8">
        <f t="shared" si="8"/>
        <v>0.33333333333333331</v>
      </c>
      <c r="Y8">
        <f t="shared" si="8"/>
        <v>0.33333333333333331</v>
      </c>
      <c r="Z8">
        <f t="shared" si="8"/>
        <v>0.33333333333333331</v>
      </c>
      <c r="AA8">
        <f t="shared" si="8"/>
        <v>0.33333333333333331</v>
      </c>
      <c r="AB8">
        <f t="shared" si="8"/>
        <v>0.33333333333333331</v>
      </c>
      <c r="AC8">
        <f t="shared" si="8"/>
        <v>0.33333333333333331</v>
      </c>
      <c r="AD8">
        <f t="shared" si="8"/>
        <v>0.33333333333333331</v>
      </c>
      <c r="AE8">
        <f t="shared" si="8"/>
        <v>0.33333333333333331</v>
      </c>
      <c r="AF8">
        <f t="shared" si="8"/>
        <v>0.33333333333333331</v>
      </c>
      <c r="AG8">
        <f t="shared" si="8"/>
        <v>0.33333333333333331</v>
      </c>
      <c r="AH8">
        <f t="shared" si="8"/>
        <v>0.33333333333333331</v>
      </c>
      <c r="AI8">
        <f t="shared" si="8"/>
        <v>0.33333333333333331</v>
      </c>
      <c r="AJ8">
        <f t="shared" si="8"/>
        <v>0.33333333333333331</v>
      </c>
      <c r="AK8">
        <f t="shared" si="8"/>
        <v>0.33333333333333331</v>
      </c>
      <c r="AL8">
        <f t="shared" si="8"/>
        <v>0.33333333333333331</v>
      </c>
      <c r="AM8">
        <f t="shared" si="8"/>
        <v>0.33333333333333331</v>
      </c>
      <c r="AN8">
        <f t="shared" si="8"/>
        <v>0.33333333333333331</v>
      </c>
      <c r="AO8">
        <f t="shared" si="8"/>
        <v>0.33333333333333331</v>
      </c>
      <c r="AP8">
        <f t="shared" si="8"/>
        <v>0.33333333333333331</v>
      </c>
      <c r="AQ8">
        <f t="shared" si="8"/>
        <v>0.33333333333333331</v>
      </c>
      <c r="AR8">
        <f t="shared" si="8"/>
        <v>0.33333333333333331</v>
      </c>
      <c r="AS8">
        <f t="shared" si="8"/>
        <v>0.33333333333333331</v>
      </c>
      <c r="AT8">
        <f t="shared" si="8"/>
        <v>0.33333333333333331</v>
      </c>
      <c r="AU8">
        <f t="shared" si="8"/>
        <v>0.33333333333333331</v>
      </c>
      <c r="AV8">
        <f t="shared" si="8"/>
        <v>0.33333333333333331</v>
      </c>
      <c r="AW8">
        <f t="shared" si="8"/>
        <v>0.33333333333333331</v>
      </c>
      <c r="AX8">
        <f t="shared" si="8"/>
        <v>0.33333333333333331</v>
      </c>
      <c r="AY8">
        <f t="shared" si="8"/>
        <v>0.33333333333333331</v>
      </c>
      <c r="AZ8">
        <f t="shared" si="8"/>
        <v>0.33333333333333331</v>
      </c>
      <c r="BA8">
        <f t="shared" si="8"/>
        <v>0.33333333333333331</v>
      </c>
      <c r="BB8">
        <f t="shared" si="8"/>
        <v>0.33333333333333331</v>
      </c>
      <c r="BC8">
        <f t="shared" si="8"/>
        <v>0.33333333333333331</v>
      </c>
      <c r="BD8">
        <f t="shared" si="8"/>
        <v>0.33333333333333331</v>
      </c>
      <c r="BE8">
        <f t="shared" si="8"/>
        <v>0.33333333333333331</v>
      </c>
      <c r="BF8">
        <f t="shared" si="8"/>
        <v>0.33333333333333331</v>
      </c>
      <c r="BG8">
        <f t="shared" si="8"/>
        <v>0.33333333333333331</v>
      </c>
      <c r="BH8">
        <f t="shared" si="8"/>
        <v>0.33333333333333331</v>
      </c>
      <c r="BI8">
        <f t="shared" si="8"/>
        <v>0.33333333333333331</v>
      </c>
      <c r="BJ8">
        <f t="shared" si="8"/>
        <v>0.33333333333333331</v>
      </c>
      <c r="BK8">
        <f t="shared" si="8"/>
        <v>0.33333333333333331</v>
      </c>
      <c r="BL8">
        <f t="shared" si="8"/>
        <v>0.33333333333333331</v>
      </c>
      <c r="BM8">
        <f t="shared" si="8"/>
        <v>0.33333333333333331</v>
      </c>
      <c r="BN8">
        <f t="shared" si="8"/>
        <v>0.33333333333333331</v>
      </c>
      <c r="BO8">
        <f t="shared" si="8"/>
        <v>0.33333333333333331</v>
      </c>
      <c r="BP8">
        <f t="shared" si="8"/>
        <v>0.33333333333333331</v>
      </c>
      <c r="BQ8">
        <f t="shared" si="7"/>
        <v>0.33333333333333331</v>
      </c>
      <c r="BR8">
        <f t="shared" si="7"/>
        <v>0.33333333333333331</v>
      </c>
      <c r="BS8">
        <f t="shared" si="7"/>
        <v>0.33333333333333331</v>
      </c>
      <c r="BT8">
        <f t="shared" si="7"/>
        <v>0.33333333333333331</v>
      </c>
      <c r="BU8">
        <f t="shared" si="7"/>
        <v>0.33333333333333331</v>
      </c>
      <c r="BV8">
        <f t="shared" si="7"/>
        <v>0.33333333333333331</v>
      </c>
      <c r="BW8">
        <f t="shared" si="7"/>
        <v>0.33333333333333331</v>
      </c>
      <c r="BX8">
        <f t="shared" si="7"/>
        <v>0.33333333333333331</v>
      </c>
      <c r="BY8">
        <f t="shared" si="7"/>
        <v>0.33333333333333331</v>
      </c>
      <c r="BZ8">
        <f t="shared" si="7"/>
        <v>0.33333333333333331</v>
      </c>
      <c r="CA8">
        <f t="shared" si="7"/>
        <v>0.33333333333333331</v>
      </c>
      <c r="CB8">
        <f t="shared" si="7"/>
        <v>0.33333333333333331</v>
      </c>
      <c r="CC8">
        <f t="shared" si="7"/>
        <v>0.33333333333333331</v>
      </c>
      <c r="CD8">
        <f t="shared" si="7"/>
        <v>0.33333333333333331</v>
      </c>
      <c r="CE8">
        <f t="shared" si="7"/>
        <v>0.33333333333333331</v>
      </c>
      <c r="CF8">
        <f t="shared" si="7"/>
        <v>0.33333333333333331</v>
      </c>
      <c r="CG8">
        <f t="shared" si="7"/>
        <v>0.33333333333333331</v>
      </c>
      <c r="CH8">
        <f t="shared" si="7"/>
        <v>0.33333333333333331</v>
      </c>
      <c r="CI8">
        <f t="shared" si="7"/>
        <v>0.33333333333333331</v>
      </c>
      <c r="CJ8">
        <f t="shared" si="7"/>
        <v>0.33333333333333331</v>
      </c>
      <c r="CK8">
        <f t="shared" si="7"/>
        <v>0.33333333333333331</v>
      </c>
      <c r="CL8">
        <f t="shared" si="7"/>
        <v>0.33333333333333331</v>
      </c>
      <c r="CM8">
        <f t="shared" si="7"/>
        <v>0.33333333333333331</v>
      </c>
      <c r="CN8">
        <f t="shared" si="7"/>
        <v>0.33333333333333331</v>
      </c>
      <c r="CO8">
        <f t="shared" si="7"/>
        <v>0.33333333333333331</v>
      </c>
    </row>
    <row r="9" spans="1:93" x14ac:dyDescent="0.25">
      <c r="A9" t="s">
        <v>39</v>
      </c>
      <c r="B9" t="s">
        <v>12</v>
      </c>
      <c r="C9">
        <f t="shared" si="4"/>
        <v>0.16666666666666666</v>
      </c>
      <c r="D9">
        <f t="shared" si="5"/>
        <v>0.16666666666666666</v>
      </c>
      <c r="E9">
        <f t="shared" si="8"/>
        <v>0.16666666666666666</v>
      </c>
      <c r="F9">
        <f t="shared" si="8"/>
        <v>0.16666666666666666</v>
      </c>
      <c r="G9">
        <f t="shared" si="8"/>
        <v>0.16666666666666666</v>
      </c>
      <c r="H9">
        <f t="shared" si="8"/>
        <v>0.16666666666666666</v>
      </c>
      <c r="I9">
        <f t="shared" si="8"/>
        <v>0.16666666666666666</v>
      </c>
      <c r="J9">
        <f t="shared" si="8"/>
        <v>0.16666666666666666</v>
      </c>
      <c r="K9">
        <f t="shared" si="8"/>
        <v>0.16666666666666666</v>
      </c>
      <c r="L9">
        <f t="shared" si="8"/>
        <v>0.16666666666666666</v>
      </c>
      <c r="M9">
        <f t="shared" si="8"/>
        <v>0.16666666666666666</v>
      </c>
      <c r="N9">
        <f t="shared" si="8"/>
        <v>0.16666666666666666</v>
      </c>
      <c r="O9">
        <f t="shared" si="8"/>
        <v>0.16666666666666666</v>
      </c>
      <c r="P9">
        <f t="shared" si="8"/>
        <v>0.16666666666666666</v>
      </c>
      <c r="Q9">
        <f t="shared" si="8"/>
        <v>0.16666666666666666</v>
      </c>
      <c r="R9">
        <f t="shared" si="8"/>
        <v>0.16666666666666666</v>
      </c>
      <c r="S9">
        <f t="shared" si="8"/>
        <v>0.16666666666666666</v>
      </c>
      <c r="T9">
        <f t="shared" si="8"/>
        <v>0.16666666666666666</v>
      </c>
      <c r="U9">
        <f t="shared" si="8"/>
        <v>0.16666666666666666</v>
      </c>
      <c r="V9">
        <f t="shared" si="8"/>
        <v>0.16666666666666666</v>
      </c>
      <c r="W9">
        <f t="shared" si="8"/>
        <v>0.16666666666666666</v>
      </c>
      <c r="X9">
        <f t="shared" si="8"/>
        <v>0.16666666666666666</v>
      </c>
      <c r="Y9">
        <f t="shared" si="8"/>
        <v>0.16666666666666666</v>
      </c>
      <c r="Z9">
        <f t="shared" si="8"/>
        <v>0.16666666666666666</v>
      </c>
      <c r="AA9">
        <f t="shared" si="8"/>
        <v>0.16666666666666666</v>
      </c>
      <c r="AB9">
        <f t="shared" si="8"/>
        <v>0.16666666666666666</v>
      </c>
      <c r="AC9">
        <f t="shared" si="8"/>
        <v>0.16666666666666666</v>
      </c>
      <c r="AD9">
        <f t="shared" si="8"/>
        <v>0.16666666666666666</v>
      </c>
      <c r="AE9">
        <f t="shared" si="8"/>
        <v>0.16666666666666666</v>
      </c>
      <c r="AF9">
        <f t="shared" si="8"/>
        <v>0.16666666666666666</v>
      </c>
      <c r="AG9">
        <f t="shared" si="8"/>
        <v>0.16666666666666666</v>
      </c>
      <c r="AH9">
        <f t="shared" si="8"/>
        <v>0.16666666666666666</v>
      </c>
      <c r="AI9">
        <f t="shared" si="8"/>
        <v>0.16666666666666666</v>
      </c>
      <c r="AJ9">
        <f t="shared" si="8"/>
        <v>0.16666666666666666</v>
      </c>
      <c r="AK9">
        <f t="shared" si="8"/>
        <v>0.16666666666666666</v>
      </c>
      <c r="AL9">
        <f t="shared" si="8"/>
        <v>0.16666666666666666</v>
      </c>
      <c r="AM9">
        <f t="shared" si="8"/>
        <v>0.16666666666666666</v>
      </c>
      <c r="AN9">
        <f t="shared" si="8"/>
        <v>0.16666666666666666</v>
      </c>
      <c r="AO9">
        <f t="shared" si="8"/>
        <v>0.16666666666666666</v>
      </c>
      <c r="AP9">
        <f t="shared" si="8"/>
        <v>0.16666666666666666</v>
      </c>
      <c r="AQ9">
        <f t="shared" si="8"/>
        <v>0.16666666666666666</v>
      </c>
      <c r="AR9">
        <f t="shared" si="8"/>
        <v>0.16666666666666666</v>
      </c>
      <c r="AS9">
        <f t="shared" si="8"/>
        <v>0.16666666666666666</v>
      </c>
      <c r="AT9">
        <f t="shared" si="8"/>
        <v>0.16666666666666666</v>
      </c>
      <c r="AU9">
        <f t="shared" si="8"/>
        <v>0.16666666666666666</v>
      </c>
      <c r="AV9">
        <f t="shared" si="8"/>
        <v>0.16666666666666666</v>
      </c>
      <c r="AW9">
        <f t="shared" si="8"/>
        <v>0.16666666666666666</v>
      </c>
      <c r="AX9">
        <f t="shared" si="8"/>
        <v>0.16666666666666666</v>
      </c>
      <c r="AY9">
        <f t="shared" si="8"/>
        <v>0.16666666666666666</v>
      </c>
      <c r="AZ9">
        <f t="shared" si="8"/>
        <v>0.16666666666666666</v>
      </c>
      <c r="BA9">
        <f t="shared" si="8"/>
        <v>0.16666666666666666</v>
      </c>
      <c r="BB9">
        <f t="shared" si="8"/>
        <v>0.16666666666666666</v>
      </c>
      <c r="BC9">
        <f t="shared" si="8"/>
        <v>0.16666666666666666</v>
      </c>
      <c r="BD9">
        <f t="shared" si="8"/>
        <v>0.16666666666666666</v>
      </c>
      <c r="BE9">
        <f t="shared" si="8"/>
        <v>0.16666666666666666</v>
      </c>
      <c r="BF9">
        <f t="shared" si="8"/>
        <v>0.16666666666666666</v>
      </c>
      <c r="BG9">
        <f t="shared" si="8"/>
        <v>0.16666666666666666</v>
      </c>
      <c r="BH9">
        <f t="shared" si="8"/>
        <v>0.16666666666666666</v>
      </c>
      <c r="BI9">
        <f t="shared" si="8"/>
        <v>0.16666666666666666</v>
      </c>
      <c r="BJ9">
        <f t="shared" si="8"/>
        <v>0.16666666666666666</v>
      </c>
      <c r="BK9">
        <f t="shared" si="8"/>
        <v>0.16666666666666666</v>
      </c>
      <c r="BL9">
        <f t="shared" si="8"/>
        <v>0.16666666666666666</v>
      </c>
      <c r="BM9">
        <f t="shared" si="8"/>
        <v>0.16666666666666666</v>
      </c>
      <c r="BN9">
        <f t="shared" si="8"/>
        <v>0.16666666666666666</v>
      </c>
      <c r="BO9">
        <f t="shared" si="8"/>
        <v>0.16666666666666666</v>
      </c>
      <c r="BP9">
        <f t="shared" si="8"/>
        <v>0.16666666666666666</v>
      </c>
      <c r="BQ9">
        <f t="shared" si="7"/>
        <v>0.16666666666666666</v>
      </c>
      <c r="BR9">
        <f t="shared" si="7"/>
        <v>0.16666666666666666</v>
      </c>
      <c r="BS9">
        <f t="shared" si="7"/>
        <v>0.16666666666666666</v>
      </c>
      <c r="BT9">
        <f t="shared" si="7"/>
        <v>0.16666666666666666</v>
      </c>
      <c r="BU9">
        <f t="shared" si="7"/>
        <v>0.16666666666666666</v>
      </c>
      <c r="BV9">
        <f t="shared" si="7"/>
        <v>0.16666666666666666</v>
      </c>
      <c r="BW9">
        <f t="shared" si="7"/>
        <v>0.16666666666666666</v>
      </c>
      <c r="BX9">
        <f t="shared" si="7"/>
        <v>0.16666666666666666</v>
      </c>
      <c r="BY9">
        <f t="shared" si="7"/>
        <v>0.16666666666666666</v>
      </c>
      <c r="BZ9">
        <f t="shared" si="7"/>
        <v>0.16666666666666666</v>
      </c>
      <c r="CA9">
        <f t="shared" si="7"/>
        <v>0.16666666666666666</v>
      </c>
      <c r="CB9">
        <f t="shared" si="7"/>
        <v>0.16666666666666666</v>
      </c>
      <c r="CC9">
        <f t="shared" si="7"/>
        <v>0.16666666666666666</v>
      </c>
      <c r="CD9">
        <f t="shared" si="7"/>
        <v>0.16666666666666666</v>
      </c>
      <c r="CE9">
        <f t="shared" si="7"/>
        <v>0.16666666666666666</v>
      </c>
      <c r="CF9">
        <f t="shared" si="7"/>
        <v>0.16666666666666666</v>
      </c>
      <c r="CG9">
        <f t="shared" si="7"/>
        <v>0.16666666666666666</v>
      </c>
      <c r="CH9">
        <f t="shared" si="7"/>
        <v>0.16666666666666666</v>
      </c>
      <c r="CI9">
        <f t="shared" si="7"/>
        <v>0.16666666666666666</v>
      </c>
      <c r="CJ9">
        <f t="shared" si="7"/>
        <v>0.16666666666666666</v>
      </c>
      <c r="CK9">
        <f t="shared" si="7"/>
        <v>0.16666666666666666</v>
      </c>
      <c r="CL9">
        <f t="shared" si="7"/>
        <v>0.16666666666666666</v>
      </c>
      <c r="CM9">
        <f t="shared" si="7"/>
        <v>0.16666666666666666</v>
      </c>
      <c r="CN9">
        <f t="shared" si="7"/>
        <v>0.16666666666666666</v>
      </c>
      <c r="CO9">
        <f t="shared" si="7"/>
        <v>0.16666666666666666</v>
      </c>
    </row>
    <row r="10" spans="1:93" x14ac:dyDescent="0.25">
      <c r="A10" t="s">
        <v>40</v>
      </c>
      <c r="B10" t="s">
        <v>12</v>
      </c>
      <c r="C10">
        <f t="shared" si="4"/>
        <v>0.16666666666666666</v>
      </c>
      <c r="D10">
        <f t="shared" si="5"/>
        <v>0.16666666666666666</v>
      </c>
      <c r="E10">
        <f t="shared" si="8"/>
        <v>0.16666666666666666</v>
      </c>
      <c r="F10">
        <f t="shared" si="8"/>
        <v>0.16666666666666666</v>
      </c>
      <c r="G10">
        <f t="shared" si="8"/>
        <v>0.16666666666666666</v>
      </c>
      <c r="H10">
        <f t="shared" si="8"/>
        <v>0.16666666666666666</v>
      </c>
      <c r="I10">
        <f t="shared" si="8"/>
        <v>0.16666666666666666</v>
      </c>
      <c r="J10">
        <f t="shared" si="8"/>
        <v>0.16666666666666666</v>
      </c>
      <c r="K10">
        <f t="shared" si="8"/>
        <v>0.16666666666666666</v>
      </c>
      <c r="L10">
        <f t="shared" si="8"/>
        <v>0.16666666666666666</v>
      </c>
      <c r="M10">
        <f t="shared" si="8"/>
        <v>0.16666666666666666</v>
      </c>
      <c r="N10">
        <f t="shared" si="8"/>
        <v>0.16666666666666666</v>
      </c>
      <c r="O10">
        <f t="shared" si="8"/>
        <v>0.16666666666666666</v>
      </c>
      <c r="P10">
        <f t="shared" si="8"/>
        <v>0.16666666666666666</v>
      </c>
      <c r="Q10">
        <f t="shared" si="8"/>
        <v>0.16666666666666666</v>
      </c>
      <c r="R10">
        <f t="shared" si="8"/>
        <v>0.16666666666666666</v>
      </c>
      <c r="S10">
        <f t="shared" si="8"/>
        <v>0.16666666666666666</v>
      </c>
      <c r="T10">
        <f t="shared" si="8"/>
        <v>0.16666666666666666</v>
      </c>
      <c r="U10">
        <f t="shared" si="8"/>
        <v>0.16666666666666666</v>
      </c>
      <c r="V10">
        <f t="shared" si="8"/>
        <v>0.16666666666666666</v>
      </c>
      <c r="W10">
        <f t="shared" si="8"/>
        <v>0.16666666666666666</v>
      </c>
      <c r="X10">
        <f t="shared" si="8"/>
        <v>0.16666666666666666</v>
      </c>
      <c r="Y10">
        <f t="shared" si="8"/>
        <v>0.16666666666666666</v>
      </c>
      <c r="Z10">
        <f t="shared" si="8"/>
        <v>0.16666666666666666</v>
      </c>
      <c r="AA10">
        <f t="shared" si="8"/>
        <v>0.16666666666666666</v>
      </c>
      <c r="AB10">
        <f t="shared" si="8"/>
        <v>0.16666666666666666</v>
      </c>
      <c r="AC10">
        <f t="shared" si="8"/>
        <v>0.16666666666666666</v>
      </c>
      <c r="AD10">
        <f t="shared" si="8"/>
        <v>0.16666666666666666</v>
      </c>
      <c r="AE10">
        <f t="shared" si="8"/>
        <v>0.16666666666666666</v>
      </c>
      <c r="AF10">
        <f t="shared" si="8"/>
        <v>0.16666666666666666</v>
      </c>
      <c r="AG10">
        <f t="shared" si="8"/>
        <v>0.16666666666666666</v>
      </c>
      <c r="AH10">
        <f t="shared" si="8"/>
        <v>0.16666666666666666</v>
      </c>
      <c r="AI10">
        <f t="shared" si="8"/>
        <v>0.16666666666666666</v>
      </c>
      <c r="AJ10">
        <f t="shared" si="8"/>
        <v>0.16666666666666666</v>
      </c>
      <c r="AK10">
        <f t="shared" si="8"/>
        <v>0.16666666666666666</v>
      </c>
      <c r="AL10">
        <f t="shared" si="8"/>
        <v>0.16666666666666666</v>
      </c>
      <c r="AM10">
        <f t="shared" si="8"/>
        <v>0.16666666666666666</v>
      </c>
      <c r="AN10">
        <f t="shared" si="8"/>
        <v>0.16666666666666666</v>
      </c>
      <c r="AO10">
        <f t="shared" si="8"/>
        <v>0.16666666666666666</v>
      </c>
      <c r="AP10">
        <f t="shared" si="8"/>
        <v>0.16666666666666666</v>
      </c>
      <c r="AQ10">
        <f t="shared" si="8"/>
        <v>0.16666666666666666</v>
      </c>
      <c r="AR10">
        <f t="shared" si="8"/>
        <v>0.16666666666666666</v>
      </c>
      <c r="AS10">
        <f t="shared" si="8"/>
        <v>0.16666666666666666</v>
      </c>
      <c r="AT10">
        <f t="shared" si="8"/>
        <v>0.16666666666666666</v>
      </c>
      <c r="AU10">
        <f t="shared" si="8"/>
        <v>0.16666666666666666</v>
      </c>
      <c r="AV10">
        <f t="shared" si="8"/>
        <v>0.16666666666666666</v>
      </c>
      <c r="AW10">
        <f t="shared" si="8"/>
        <v>0.16666666666666666</v>
      </c>
      <c r="AX10">
        <f t="shared" si="8"/>
        <v>0.16666666666666666</v>
      </c>
      <c r="AY10">
        <f t="shared" si="8"/>
        <v>0.16666666666666666</v>
      </c>
      <c r="AZ10">
        <f t="shared" si="8"/>
        <v>0.16666666666666666</v>
      </c>
      <c r="BA10">
        <f t="shared" si="8"/>
        <v>0.16666666666666666</v>
      </c>
      <c r="BB10">
        <f t="shared" si="8"/>
        <v>0.16666666666666666</v>
      </c>
      <c r="BC10">
        <f t="shared" si="8"/>
        <v>0.16666666666666666</v>
      </c>
      <c r="BD10">
        <f t="shared" si="8"/>
        <v>0.16666666666666666</v>
      </c>
      <c r="BE10">
        <f t="shared" si="8"/>
        <v>0.16666666666666666</v>
      </c>
      <c r="BF10">
        <f t="shared" si="8"/>
        <v>0.16666666666666666</v>
      </c>
      <c r="BG10">
        <f t="shared" si="8"/>
        <v>0.16666666666666666</v>
      </c>
      <c r="BH10">
        <f t="shared" si="8"/>
        <v>0.16666666666666666</v>
      </c>
      <c r="BI10">
        <f t="shared" si="8"/>
        <v>0.16666666666666666</v>
      </c>
      <c r="BJ10">
        <f t="shared" si="8"/>
        <v>0.16666666666666666</v>
      </c>
      <c r="BK10">
        <f t="shared" si="8"/>
        <v>0.16666666666666666</v>
      </c>
      <c r="BL10">
        <f t="shared" si="8"/>
        <v>0.16666666666666666</v>
      </c>
      <c r="BM10">
        <f t="shared" si="8"/>
        <v>0.16666666666666666</v>
      </c>
      <c r="BN10">
        <f t="shared" si="8"/>
        <v>0.16666666666666666</v>
      </c>
      <c r="BO10">
        <f t="shared" si="8"/>
        <v>0.16666666666666666</v>
      </c>
      <c r="BP10">
        <f t="shared" si="8"/>
        <v>0.16666666666666666</v>
      </c>
      <c r="BQ10">
        <f t="shared" si="7"/>
        <v>0.16666666666666666</v>
      </c>
      <c r="BR10">
        <f t="shared" si="7"/>
        <v>0.16666666666666666</v>
      </c>
      <c r="BS10">
        <f t="shared" si="7"/>
        <v>0.16666666666666666</v>
      </c>
      <c r="BT10">
        <f t="shared" si="7"/>
        <v>0.16666666666666666</v>
      </c>
      <c r="BU10">
        <f t="shared" si="7"/>
        <v>0.16666666666666666</v>
      </c>
      <c r="BV10">
        <f t="shared" si="7"/>
        <v>0.16666666666666666</v>
      </c>
      <c r="BW10">
        <f t="shared" si="7"/>
        <v>0.16666666666666666</v>
      </c>
      <c r="BX10">
        <f t="shared" si="7"/>
        <v>0.16666666666666666</v>
      </c>
      <c r="BY10">
        <f t="shared" si="7"/>
        <v>0.16666666666666666</v>
      </c>
      <c r="BZ10">
        <f t="shared" si="7"/>
        <v>0.16666666666666666</v>
      </c>
      <c r="CA10">
        <f t="shared" si="7"/>
        <v>0.16666666666666666</v>
      </c>
      <c r="CB10">
        <f t="shared" si="7"/>
        <v>0.16666666666666666</v>
      </c>
      <c r="CC10">
        <f t="shared" si="7"/>
        <v>0.16666666666666666</v>
      </c>
      <c r="CD10">
        <f t="shared" si="7"/>
        <v>0.16666666666666666</v>
      </c>
      <c r="CE10">
        <f t="shared" si="7"/>
        <v>0.16666666666666666</v>
      </c>
      <c r="CF10">
        <f t="shared" si="7"/>
        <v>0.16666666666666666</v>
      </c>
      <c r="CG10">
        <f t="shared" si="7"/>
        <v>0.16666666666666666</v>
      </c>
      <c r="CH10">
        <f t="shared" si="7"/>
        <v>0.16666666666666666</v>
      </c>
      <c r="CI10">
        <f t="shared" si="7"/>
        <v>0.16666666666666666</v>
      </c>
      <c r="CJ10">
        <f t="shared" si="7"/>
        <v>0.16666666666666666</v>
      </c>
      <c r="CK10">
        <f t="shared" si="7"/>
        <v>0.16666666666666666</v>
      </c>
      <c r="CL10">
        <f t="shared" si="7"/>
        <v>0.16666666666666666</v>
      </c>
      <c r="CM10">
        <f t="shared" si="7"/>
        <v>0.16666666666666666</v>
      </c>
      <c r="CN10">
        <f t="shared" si="7"/>
        <v>0.16666666666666666</v>
      </c>
      <c r="CO10">
        <f t="shared" si="7"/>
        <v>0.16666666666666666</v>
      </c>
    </row>
    <row r="11" spans="1:93" x14ac:dyDescent="0.25">
      <c r="A11" t="s">
        <v>42</v>
      </c>
      <c r="B11" t="s">
        <v>12</v>
      </c>
      <c r="C11">
        <f t="shared" si="4"/>
        <v>0.16666666666666666</v>
      </c>
      <c r="D11">
        <f t="shared" si="5"/>
        <v>0.16666666666666666</v>
      </c>
      <c r="E11">
        <f t="shared" si="8"/>
        <v>0.16666666666666666</v>
      </c>
      <c r="F11">
        <f t="shared" si="8"/>
        <v>0.16666666666666666</v>
      </c>
      <c r="G11">
        <f t="shared" si="8"/>
        <v>0.16666666666666666</v>
      </c>
      <c r="H11">
        <f t="shared" si="8"/>
        <v>0.16666666666666666</v>
      </c>
      <c r="I11">
        <f t="shared" si="8"/>
        <v>0.16666666666666666</v>
      </c>
      <c r="J11">
        <f t="shared" si="8"/>
        <v>0.16666666666666666</v>
      </c>
      <c r="K11">
        <f t="shared" si="8"/>
        <v>0.16666666666666666</v>
      </c>
      <c r="L11">
        <f t="shared" si="8"/>
        <v>0.16666666666666666</v>
      </c>
      <c r="M11">
        <f t="shared" si="8"/>
        <v>0.16666666666666666</v>
      </c>
      <c r="N11">
        <f t="shared" si="8"/>
        <v>0.16666666666666666</v>
      </c>
      <c r="O11">
        <f t="shared" si="8"/>
        <v>0.16666666666666666</v>
      </c>
      <c r="P11">
        <f t="shared" si="8"/>
        <v>0.16666666666666666</v>
      </c>
      <c r="Q11">
        <f t="shared" si="8"/>
        <v>0.16666666666666666</v>
      </c>
      <c r="R11">
        <f t="shared" si="8"/>
        <v>0.16666666666666666</v>
      </c>
      <c r="S11">
        <f t="shared" si="8"/>
        <v>0.16666666666666666</v>
      </c>
      <c r="T11">
        <f t="shared" si="8"/>
        <v>0.16666666666666666</v>
      </c>
      <c r="U11">
        <f t="shared" si="8"/>
        <v>0.16666666666666666</v>
      </c>
      <c r="V11">
        <f t="shared" si="8"/>
        <v>0.16666666666666666</v>
      </c>
      <c r="W11">
        <f t="shared" si="8"/>
        <v>0.16666666666666666</v>
      </c>
      <c r="X11">
        <f t="shared" si="8"/>
        <v>0.16666666666666666</v>
      </c>
      <c r="Y11">
        <f t="shared" si="8"/>
        <v>0.16666666666666666</v>
      </c>
      <c r="Z11">
        <f t="shared" si="8"/>
        <v>0.16666666666666666</v>
      </c>
      <c r="AA11">
        <f t="shared" si="8"/>
        <v>0.16666666666666666</v>
      </c>
      <c r="AB11">
        <f t="shared" si="8"/>
        <v>0.16666666666666666</v>
      </c>
      <c r="AC11">
        <f t="shared" si="8"/>
        <v>0.16666666666666666</v>
      </c>
      <c r="AD11">
        <f t="shared" si="8"/>
        <v>0.16666666666666666</v>
      </c>
      <c r="AE11">
        <f t="shared" si="8"/>
        <v>0.16666666666666666</v>
      </c>
      <c r="AF11">
        <f t="shared" si="8"/>
        <v>0.16666666666666666</v>
      </c>
      <c r="AG11">
        <f t="shared" si="8"/>
        <v>0.16666666666666666</v>
      </c>
      <c r="AH11">
        <f t="shared" si="8"/>
        <v>0.16666666666666666</v>
      </c>
      <c r="AI11">
        <f t="shared" si="8"/>
        <v>0.16666666666666666</v>
      </c>
      <c r="AJ11">
        <f t="shared" si="8"/>
        <v>0.16666666666666666</v>
      </c>
      <c r="AK11">
        <f t="shared" si="8"/>
        <v>0.16666666666666666</v>
      </c>
      <c r="AL11">
        <f t="shared" si="8"/>
        <v>0.16666666666666666</v>
      </c>
      <c r="AM11">
        <f t="shared" si="8"/>
        <v>0.16666666666666666</v>
      </c>
      <c r="AN11">
        <f t="shared" si="8"/>
        <v>0.16666666666666666</v>
      </c>
      <c r="AO11">
        <f t="shared" si="8"/>
        <v>0.16666666666666666</v>
      </c>
      <c r="AP11">
        <f t="shared" si="8"/>
        <v>0.16666666666666666</v>
      </c>
      <c r="AQ11">
        <f t="shared" si="8"/>
        <v>0.16666666666666666</v>
      </c>
      <c r="AR11">
        <f t="shared" si="8"/>
        <v>0.16666666666666666</v>
      </c>
      <c r="AS11">
        <f t="shared" si="8"/>
        <v>0.16666666666666666</v>
      </c>
      <c r="AT11">
        <f t="shared" si="8"/>
        <v>0.16666666666666666</v>
      </c>
      <c r="AU11">
        <f t="shared" si="8"/>
        <v>0.16666666666666666</v>
      </c>
      <c r="AV11">
        <f t="shared" si="8"/>
        <v>0.16666666666666666</v>
      </c>
      <c r="AW11">
        <f t="shared" si="8"/>
        <v>0.16666666666666666</v>
      </c>
      <c r="AX11">
        <f t="shared" si="8"/>
        <v>0.16666666666666666</v>
      </c>
      <c r="AY11">
        <f t="shared" si="8"/>
        <v>0.16666666666666666</v>
      </c>
      <c r="AZ11">
        <f t="shared" si="8"/>
        <v>0.16666666666666666</v>
      </c>
      <c r="BA11">
        <f t="shared" si="8"/>
        <v>0.16666666666666666</v>
      </c>
      <c r="BB11">
        <f t="shared" si="8"/>
        <v>0.16666666666666666</v>
      </c>
      <c r="BC11">
        <f t="shared" si="8"/>
        <v>0.16666666666666666</v>
      </c>
      <c r="BD11">
        <f t="shared" si="8"/>
        <v>0.16666666666666666</v>
      </c>
      <c r="BE11">
        <f t="shared" si="8"/>
        <v>0.16666666666666666</v>
      </c>
      <c r="BF11">
        <f t="shared" si="8"/>
        <v>0.16666666666666666</v>
      </c>
      <c r="BG11">
        <f t="shared" si="8"/>
        <v>0.16666666666666666</v>
      </c>
      <c r="BH11">
        <f t="shared" si="8"/>
        <v>0.16666666666666666</v>
      </c>
      <c r="BI11">
        <f t="shared" si="8"/>
        <v>0.16666666666666666</v>
      </c>
      <c r="BJ11">
        <f t="shared" si="8"/>
        <v>0.16666666666666666</v>
      </c>
      <c r="BK11">
        <f t="shared" si="8"/>
        <v>0.16666666666666666</v>
      </c>
      <c r="BL11">
        <f t="shared" si="8"/>
        <v>0.16666666666666666</v>
      </c>
      <c r="BM11">
        <f t="shared" si="8"/>
        <v>0.16666666666666666</v>
      </c>
      <c r="BN11">
        <f t="shared" si="8"/>
        <v>0.16666666666666666</v>
      </c>
      <c r="BO11">
        <f t="shared" si="8"/>
        <v>0.16666666666666666</v>
      </c>
      <c r="BP11">
        <f t="shared" ref="BP11:CO14" si="9">BO11</f>
        <v>0.16666666666666666</v>
      </c>
      <c r="BQ11">
        <f t="shared" si="9"/>
        <v>0.16666666666666666</v>
      </c>
      <c r="BR11">
        <f t="shared" si="9"/>
        <v>0.16666666666666666</v>
      </c>
      <c r="BS11">
        <f t="shared" si="9"/>
        <v>0.16666666666666666</v>
      </c>
      <c r="BT11">
        <f t="shared" si="9"/>
        <v>0.16666666666666666</v>
      </c>
      <c r="BU11">
        <f t="shared" si="9"/>
        <v>0.16666666666666666</v>
      </c>
      <c r="BV11">
        <f t="shared" si="9"/>
        <v>0.16666666666666666</v>
      </c>
      <c r="BW11">
        <f t="shared" si="9"/>
        <v>0.16666666666666666</v>
      </c>
      <c r="BX11">
        <f t="shared" si="9"/>
        <v>0.16666666666666666</v>
      </c>
      <c r="BY11">
        <f t="shared" si="9"/>
        <v>0.16666666666666666</v>
      </c>
      <c r="BZ11">
        <f t="shared" si="9"/>
        <v>0.16666666666666666</v>
      </c>
      <c r="CA11">
        <f t="shared" si="9"/>
        <v>0.16666666666666666</v>
      </c>
      <c r="CB11">
        <f t="shared" si="9"/>
        <v>0.16666666666666666</v>
      </c>
      <c r="CC11">
        <f t="shared" si="9"/>
        <v>0.16666666666666666</v>
      </c>
      <c r="CD11">
        <f t="shared" si="9"/>
        <v>0.16666666666666666</v>
      </c>
      <c r="CE11">
        <f t="shared" si="9"/>
        <v>0.16666666666666666</v>
      </c>
      <c r="CF11">
        <f t="shared" si="9"/>
        <v>0.16666666666666666</v>
      </c>
      <c r="CG11">
        <f t="shared" si="9"/>
        <v>0.16666666666666666</v>
      </c>
      <c r="CH11">
        <f t="shared" si="9"/>
        <v>0.16666666666666666</v>
      </c>
      <c r="CI11">
        <f t="shared" si="9"/>
        <v>0.16666666666666666</v>
      </c>
      <c r="CJ11">
        <f t="shared" si="9"/>
        <v>0.16666666666666666</v>
      </c>
      <c r="CK11">
        <f t="shared" si="9"/>
        <v>0.16666666666666666</v>
      </c>
      <c r="CL11">
        <f t="shared" si="9"/>
        <v>0.16666666666666666</v>
      </c>
      <c r="CM11">
        <f t="shared" si="9"/>
        <v>0.16666666666666666</v>
      </c>
      <c r="CN11">
        <f t="shared" si="9"/>
        <v>0.16666666666666666</v>
      </c>
      <c r="CO11">
        <f t="shared" si="9"/>
        <v>0.16666666666666666</v>
      </c>
    </row>
    <row r="12" spans="1:93" x14ac:dyDescent="0.25">
      <c r="A12" t="s">
        <v>43</v>
      </c>
      <c r="B12" t="s">
        <v>12</v>
      </c>
      <c r="C12">
        <f t="shared" si="4"/>
        <v>0.16666666666666666</v>
      </c>
      <c r="D12">
        <f t="shared" si="5"/>
        <v>0.16666666666666666</v>
      </c>
      <c r="E12">
        <f t="shared" ref="E12:BP15" si="10">D12</f>
        <v>0.16666666666666666</v>
      </c>
      <c r="F12">
        <f t="shared" si="10"/>
        <v>0.16666666666666666</v>
      </c>
      <c r="G12">
        <f t="shared" si="10"/>
        <v>0.16666666666666666</v>
      </c>
      <c r="H12">
        <f t="shared" si="10"/>
        <v>0.16666666666666666</v>
      </c>
      <c r="I12">
        <f t="shared" si="10"/>
        <v>0.16666666666666666</v>
      </c>
      <c r="J12">
        <f t="shared" si="10"/>
        <v>0.16666666666666666</v>
      </c>
      <c r="K12">
        <f t="shared" si="10"/>
        <v>0.16666666666666666</v>
      </c>
      <c r="L12">
        <f t="shared" si="10"/>
        <v>0.16666666666666666</v>
      </c>
      <c r="M12">
        <f t="shared" si="10"/>
        <v>0.16666666666666666</v>
      </c>
      <c r="N12">
        <f t="shared" si="10"/>
        <v>0.16666666666666666</v>
      </c>
      <c r="O12">
        <f t="shared" si="10"/>
        <v>0.16666666666666666</v>
      </c>
      <c r="P12">
        <f t="shared" si="10"/>
        <v>0.16666666666666666</v>
      </c>
      <c r="Q12">
        <f t="shared" si="10"/>
        <v>0.16666666666666666</v>
      </c>
      <c r="R12">
        <f t="shared" si="10"/>
        <v>0.16666666666666666</v>
      </c>
      <c r="S12">
        <f t="shared" si="10"/>
        <v>0.16666666666666666</v>
      </c>
      <c r="T12">
        <f t="shared" si="10"/>
        <v>0.16666666666666666</v>
      </c>
      <c r="U12">
        <f t="shared" si="10"/>
        <v>0.16666666666666666</v>
      </c>
      <c r="V12">
        <f t="shared" si="10"/>
        <v>0.16666666666666666</v>
      </c>
      <c r="W12">
        <f t="shared" si="10"/>
        <v>0.16666666666666666</v>
      </c>
      <c r="X12">
        <f t="shared" si="10"/>
        <v>0.16666666666666666</v>
      </c>
      <c r="Y12">
        <f t="shared" si="10"/>
        <v>0.16666666666666666</v>
      </c>
      <c r="Z12">
        <f t="shared" si="10"/>
        <v>0.16666666666666666</v>
      </c>
      <c r="AA12">
        <f t="shared" si="10"/>
        <v>0.16666666666666666</v>
      </c>
      <c r="AB12">
        <f t="shared" si="10"/>
        <v>0.16666666666666666</v>
      </c>
      <c r="AC12">
        <f t="shared" si="10"/>
        <v>0.16666666666666666</v>
      </c>
      <c r="AD12">
        <f t="shared" si="10"/>
        <v>0.16666666666666666</v>
      </c>
      <c r="AE12">
        <f t="shared" si="10"/>
        <v>0.16666666666666666</v>
      </c>
      <c r="AF12">
        <f t="shared" si="10"/>
        <v>0.16666666666666666</v>
      </c>
      <c r="AG12">
        <f t="shared" si="10"/>
        <v>0.16666666666666666</v>
      </c>
      <c r="AH12">
        <f t="shared" si="10"/>
        <v>0.16666666666666666</v>
      </c>
      <c r="AI12">
        <f t="shared" si="10"/>
        <v>0.16666666666666666</v>
      </c>
      <c r="AJ12">
        <f t="shared" si="10"/>
        <v>0.16666666666666666</v>
      </c>
      <c r="AK12">
        <f t="shared" si="10"/>
        <v>0.16666666666666666</v>
      </c>
      <c r="AL12">
        <f t="shared" si="10"/>
        <v>0.16666666666666666</v>
      </c>
      <c r="AM12">
        <f t="shared" si="10"/>
        <v>0.16666666666666666</v>
      </c>
      <c r="AN12">
        <f t="shared" si="10"/>
        <v>0.16666666666666666</v>
      </c>
      <c r="AO12">
        <f t="shared" si="10"/>
        <v>0.16666666666666666</v>
      </c>
      <c r="AP12">
        <f t="shared" si="10"/>
        <v>0.16666666666666666</v>
      </c>
      <c r="AQ12">
        <f t="shared" si="10"/>
        <v>0.16666666666666666</v>
      </c>
      <c r="AR12">
        <f t="shared" si="10"/>
        <v>0.16666666666666666</v>
      </c>
      <c r="AS12">
        <f t="shared" si="10"/>
        <v>0.16666666666666666</v>
      </c>
      <c r="AT12">
        <f t="shared" si="10"/>
        <v>0.16666666666666666</v>
      </c>
      <c r="AU12">
        <f t="shared" si="10"/>
        <v>0.16666666666666666</v>
      </c>
      <c r="AV12">
        <f t="shared" si="10"/>
        <v>0.16666666666666666</v>
      </c>
      <c r="AW12">
        <f t="shared" si="10"/>
        <v>0.16666666666666666</v>
      </c>
      <c r="AX12">
        <f t="shared" si="10"/>
        <v>0.16666666666666666</v>
      </c>
      <c r="AY12">
        <f t="shared" si="10"/>
        <v>0.16666666666666666</v>
      </c>
      <c r="AZ12">
        <f t="shared" si="10"/>
        <v>0.16666666666666666</v>
      </c>
      <c r="BA12">
        <f t="shared" si="10"/>
        <v>0.16666666666666666</v>
      </c>
      <c r="BB12">
        <f t="shared" si="10"/>
        <v>0.16666666666666666</v>
      </c>
      <c r="BC12">
        <f t="shared" si="10"/>
        <v>0.16666666666666666</v>
      </c>
      <c r="BD12">
        <f t="shared" si="10"/>
        <v>0.16666666666666666</v>
      </c>
      <c r="BE12">
        <f t="shared" si="10"/>
        <v>0.16666666666666666</v>
      </c>
      <c r="BF12">
        <f t="shared" si="10"/>
        <v>0.16666666666666666</v>
      </c>
      <c r="BG12">
        <f t="shared" si="10"/>
        <v>0.16666666666666666</v>
      </c>
      <c r="BH12">
        <f t="shared" si="10"/>
        <v>0.16666666666666666</v>
      </c>
      <c r="BI12">
        <f t="shared" si="10"/>
        <v>0.16666666666666666</v>
      </c>
      <c r="BJ12">
        <f t="shared" si="10"/>
        <v>0.16666666666666666</v>
      </c>
      <c r="BK12">
        <f t="shared" si="10"/>
        <v>0.16666666666666666</v>
      </c>
      <c r="BL12">
        <f t="shared" si="10"/>
        <v>0.16666666666666666</v>
      </c>
      <c r="BM12">
        <f t="shared" si="10"/>
        <v>0.16666666666666666</v>
      </c>
      <c r="BN12">
        <f t="shared" si="10"/>
        <v>0.16666666666666666</v>
      </c>
      <c r="BO12">
        <f t="shared" si="10"/>
        <v>0.16666666666666666</v>
      </c>
      <c r="BP12">
        <f t="shared" si="10"/>
        <v>0.16666666666666666</v>
      </c>
      <c r="BQ12">
        <f t="shared" si="9"/>
        <v>0.16666666666666666</v>
      </c>
      <c r="BR12">
        <f t="shared" si="9"/>
        <v>0.16666666666666666</v>
      </c>
      <c r="BS12">
        <f t="shared" si="9"/>
        <v>0.16666666666666666</v>
      </c>
      <c r="BT12">
        <f t="shared" si="9"/>
        <v>0.16666666666666666</v>
      </c>
      <c r="BU12">
        <f t="shared" si="9"/>
        <v>0.16666666666666666</v>
      </c>
      <c r="BV12">
        <f t="shared" si="9"/>
        <v>0.16666666666666666</v>
      </c>
      <c r="BW12">
        <f t="shared" si="9"/>
        <v>0.16666666666666666</v>
      </c>
      <c r="BX12">
        <f t="shared" si="9"/>
        <v>0.16666666666666666</v>
      </c>
      <c r="BY12">
        <f t="shared" si="9"/>
        <v>0.16666666666666666</v>
      </c>
      <c r="BZ12">
        <f t="shared" si="9"/>
        <v>0.16666666666666666</v>
      </c>
      <c r="CA12">
        <f t="shared" si="9"/>
        <v>0.16666666666666666</v>
      </c>
      <c r="CB12">
        <f t="shared" si="9"/>
        <v>0.16666666666666666</v>
      </c>
      <c r="CC12">
        <f t="shared" si="9"/>
        <v>0.16666666666666666</v>
      </c>
      <c r="CD12">
        <f t="shared" si="9"/>
        <v>0.16666666666666666</v>
      </c>
      <c r="CE12">
        <f t="shared" si="9"/>
        <v>0.16666666666666666</v>
      </c>
      <c r="CF12">
        <f t="shared" si="9"/>
        <v>0.16666666666666666</v>
      </c>
      <c r="CG12">
        <f t="shared" si="9"/>
        <v>0.16666666666666666</v>
      </c>
      <c r="CH12">
        <f t="shared" si="9"/>
        <v>0.16666666666666666</v>
      </c>
      <c r="CI12">
        <f t="shared" si="9"/>
        <v>0.16666666666666666</v>
      </c>
      <c r="CJ12">
        <f t="shared" si="9"/>
        <v>0.16666666666666666</v>
      </c>
      <c r="CK12">
        <f t="shared" si="9"/>
        <v>0.16666666666666666</v>
      </c>
      <c r="CL12">
        <f t="shared" si="9"/>
        <v>0.16666666666666666</v>
      </c>
      <c r="CM12">
        <f t="shared" si="9"/>
        <v>0.16666666666666666</v>
      </c>
      <c r="CN12">
        <f t="shared" si="9"/>
        <v>0.16666666666666666</v>
      </c>
      <c r="CO12">
        <f t="shared" si="9"/>
        <v>0.16666666666666666</v>
      </c>
    </row>
    <row r="13" spans="1:93" x14ac:dyDescent="0.25">
      <c r="A13" t="s">
        <v>47</v>
      </c>
      <c r="B13" t="s">
        <v>12</v>
      </c>
      <c r="C13">
        <f t="shared" si="4"/>
        <v>0.16666666666666666</v>
      </c>
      <c r="D13">
        <f t="shared" si="5"/>
        <v>0.16666666666666666</v>
      </c>
      <c r="E13">
        <f t="shared" si="10"/>
        <v>0.16666666666666666</v>
      </c>
      <c r="F13">
        <f t="shared" si="10"/>
        <v>0.16666666666666666</v>
      </c>
      <c r="G13">
        <f t="shared" si="10"/>
        <v>0.16666666666666666</v>
      </c>
      <c r="H13">
        <f t="shared" si="10"/>
        <v>0.16666666666666666</v>
      </c>
      <c r="I13">
        <f t="shared" si="10"/>
        <v>0.16666666666666666</v>
      </c>
      <c r="J13">
        <f t="shared" si="10"/>
        <v>0.16666666666666666</v>
      </c>
      <c r="K13">
        <f t="shared" si="10"/>
        <v>0.16666666666666666</v>
      </c>
      <c r="L13">
        <f t="shared" si="10"/>
        <v>0.16666666666666666</v>
      </c>
      <c r="M13">
        <f t="shared" si="10"/>
        <v>0.16666666666666666</v>
      </c>
      <c r="N13">
        <f t="shared" si="10"/>
        <v>0.16666666666666666</v>
      </c>
      <c r="O13">
        <f t="shared" si="10"/>
        <v>0.16666666666666666</v>
      </c>
      <c r="P13">
        <f t="shared" si="10"/>
        <v>0.16666666666666666</v>
      </c>
      <c r="Q13">
        <f t="shared" si="10"/>
        <v>0.16666666666666666</v>
      </c>
      <c r="R13">
        <f t="shared" si="10"/>
        <v>0.16666666666666666</v>
      </c>
      <c r="S13">
        <f t="shared" si="10"/>
        <v>0.16666666666666666</v>
      </c>
      <c r="T13">
        <f t="shared" si="10"/>
        <v>0.16666666666666666</v>
      </c>
      <c r="U13">
        <f t="shared" si="10"/>
        <v>0.16666666666666666</v>
      </c>
      <c r="V13">
        <f t="shared" si="10"/>
        <v>0.16666666666666666</v>
      </c>
      <c r="W13">
        <f t="shared" si="10"/>
        <v>0.16666666666666666</v>
      </c>
      <c r="X13">
        <f t="shared" si="10"/>
        <v>0.16666666666666666</v>
      </c>
      <c r="Y13">
        <f t="shared" si="10"/>
        <v>0.16666666666666666</v>
      </c>
      <c r="Z13">
        <f t="shared" si="10"/>
        <v>0.16666666666666666</v>
      </c>
      <c r="AA13">
        <f t="shared" si="10"/>
        <v>0.16666666666666666</v>
      </c>
      <c r="AB13">
        <f t="shared" si="10"/>
        <v>0.16666666666666666</v>
      </c>
      <c r="AC13">
        <f t="shared" si="10"/>
        <v>0.16666666666666666</v>
      </c>
      <c r="AD13">
        <f t="shared" si="10"/>
        <v>0.16666666666666666</v>
      </c>
      <c r="AE13">
        <f t="shared" si="10"/>
        <v>0.16666666666666666</v>
      </c>
      <c r="AF13">
        <f t="shared" si="10"/>
        <v>0.16666666666666666</v>
      </c>
      <c r="AG13">
        <f t="shared" si="10"/>
        <v>0.16666666666666666</v>
      </c>
      <c r="AH13">
        <f t="shared" si="10"/>
        <v>0.16666666666666666</v>
      </c>
      <c r="AI13">
        <f t="shared" si="10"/>
        <v>0.16666666666666666</v>
      </c>
      <c r="AJ13">
        <f t="shared" si="10"/>
        <v>0.16666666666666666</v>
      </c>
      <c r="AK13">
        <f t="shared" si="10"/>
        <v>0.16666666666666666</v>
      </c>
      <c r="AL13">
        <f t="shared" si="10"/>
        <v>0.16666666666666666</v>
      </c>
      <c r="AM13">
        <f t="shared" si="10"/>
        <v>0.16666666666666666</v>
      </c>
      <c r="AN13">
        <f t="shared" si="10"/>
        <v>0.16666666666666666</v>
      </c>
      <c r="AO13">
        <f t="shared" si="10"/>
        <v>0.16666666666666666</v>
      </c>
      <c r="AP13">
        <f t="shared" si="10"/>
        <v>0.16666666666666666</v>
      </c>
      <c r="AQ13">
        <f t="shared" si="10"/>
        <v>0.16666666666666666</v>
      </c>
      <c r="AR13">
        <f t="shared" si="10"/>
        <v>0.16666666666666666</v>
      </c>
      <c r="AS13">
        <f t="shared" si="10"/>
        <v>0.16666666666666666</v>
      </c>
      <c r="AT13">
        <f t="shared" si="10"/>
        <v>0.16666666666666666</v>
      </c>
      <c r="AU13">
        <f t="shared" si="10"/>
        <v>0.16666666666666666</v>
      </c>
      <c r="AV13">
        <f t="shared" si="10"/>
        <v>0.16666666666666666</v>
      </c>
      <c r="AW13">
        <f t="shared" si="10"/>
        <v>0.16666666666666666</v>
      </c>
      <c r="AX13">
        <f t="shared" si="10"/>
        <v>0.16666666666666666</v>
      </c>
      <c r="AY13">
        <f t="shared" si="10"/>
        <v>0.16666666666666666</v>
      </c>
      <c r="AZ13">
        <f t="shared" si="10"/>
        <v>0.16666666666666666</v>
      </c>
      <c r="BA13">
        <f t="shared" si="10"/>
        <v>0.16666666666666666</v>
      </c>
      <c r="BB13">
        <f t="shared" si="10"/>
        <v>0.16666666666666666</v>
      </c>
      <c r="BC13">
        <f t="shared" si="10"/>
        <v>0.16666666666666666</v>
      </c>
      <c r="BD13">
        <f t="shared" si="10"/>
        <v>0.16666666666666666</v>
      </c>
      <c r="BE13">
        <f t="shared" si="10"/>
        <v>0.16666666666666666</v>
      </c>
      <c r="BF13">
        <f t="shared" si="10"/>
        <v>0.16666666666666666</v>
      </c>
      <c r="BG13">
        <f t="shared" si="10"/>
        <v>0.16666666666666666</v>
      </c>
      <c r="BH13">
        <f t="shared" si="10"/>
        <v>0.16666666666666666</v>
      </c>
      <c r="BI13">
        <f t="shared" si="10"/>
        <v>0.16666666666666666</v>
      </c>
      <c r="BJ13">
        <f t="shared" si="10"/>
        <v>0.16666666666666666</v>
      </c>
      <c r="BK13">
        <f t="shared" si="10"/>
        <v>0.16666666666666666</v>
      </c>
      <c r="BL13">
        <f t="shared" si="10"/>
        <v>0.16666666666666666</v>
      </c>
      <c r="BM13">
        <f t="shared" si="10"/>
        <v>0.16666666666666666</v>
      </c>
      <c r="BN13">
        <f t="shared" si="10"/>
        <v>0.16666666666666666</v>
      </c>
      <c r="BO13">
        <f t="shared" si="10"/>
        <v>0.16666666666666666</v>
      </c>
      <c r="BP13">
        <f t="shared" si="10"/>
        <v>0.16666666666666666</v>
      </c>
      <c r="BQ13">
        <f t="shared" si="9"/>
        <v>0.16666666666666666</v>
      </c>
      <c r="BR13">
        <f t="shared" si="9"/>
        <v>0.16666666666666666</v>
      </c>
      <c r="BS13">
        <f t="shared" si="9"/>
        <v>0.16666666666666666</v>
      </c>
      <c r="BT13">
        <f t="shared" si="9"/>
        <v>0.16666666666666666</v>
      </c>
      <c r="BU13">
        <f t="shared" si="9"/>
        <v>0.16666666666666666</v>
      </c>
      <c r="BV13">
        <f t="shared" si="9"/>
        <v>0.16666666666666666</v>
      </c>
      <c r="BW13">
        <f t="shared" si="9"/>
        <v>0.16666666666666666</v>
      </c>
      <c r="BX13">
        <f t="shared" si="9"/>
        <v>0.16666666666666666</v>
      </c>
      <c r="BY13">
        <f t="shared" si="9"/>
        <v>0.16666666666666666</v>
      </c>
      <c r="BZ13">
        <f t="shared" si="9"/>
        <v>0.16666666666666666</v>
      </c>
      <c r="CA13">
        <f t="shared" si="9"/>
        <v>0.16666666666666666</v>
      </c>
      <c r="CB13">
        <f t="shared" si="9"/>
        <v>0.16666666666666666</v>
      </c>
      <c r="CC13">
        <f t="shared" si="9"/>
        <v>0.16666666666666666</v>
      </c>
      <c r="CD13">
        <f t="shared" si="9"/>
        <v>0.16666666666666666</v>
      </c>
      <c r="CE13">
        <f t="shared" si="9"/>
        <v>0.16666666666666666</v>
      </c>
      <c r="CF13">
        <f t="shared" si="9"/>
        <v>0.16666666666666666</v>
      </c>
      <c r="CG13">
        <f t="shared" si="9"/>
        <v>0.16666666666666666</v>
      </c>
      <c r="CH13">
        <f t="shared" si="9"/>
        <v>0.16666666666666666</v>
      </c>
      <c r="CI13">
        <f t="shared" si="9"/>
        <v>0.16666666666666666</v>
      </c>
      <c r="CJ13">
        <f t="shared" si="9"/>
        <v>0.16666666666666666</v>
      </c>
      <c r="CK13">
        <f t="shared" si="9"/>
        <v>0.16666666666666666</v>
      </c>
      <c r="CL13">
        <f t="shared" si="9"/>
        <v>0.16666666666666666</v>
      </c>
      <c r="CM13">
        <f t="shared" si="9"/>
        <v>0.16666666666666666</v>
      </c>
      <c r="CN13">
        <f t="shared" si="9"/>
        <v>0.16666666666666666</v>
      </c>
      <c r="CO13">
        <f t="shared" si="9"/>
        <v>0.16666666666666666</v>
      </c>
    </row>
    <row r="14" spans="1:93" x14ac:dyDescent="0.25">
      <c r="A14" t="s">
        <v>48</v>
      </c>
      <c r="B14" t="s">
        <v>12</v>
      </c>
      <c r="C14">
        <f t="shared" si="4"/>
        <v>0.16666666666666666</v>
      </c>
      <c r="D14">
        <f t="shared" si="5"/>
        <v>0.16666666666666666</v>
      </c>
      <c r="E14">
        <f t="shared" si="10"/>
        <v>0.16666666666666666</v>
      </c>
      <c r="F14">
        <f t="shared" si="10"/>
        <v>0.16666666666666666</v>
      </c>
      <c r="G14">
        <f t="shared" si="10"/>
        <v>0.16666666666666666</v>
      </c>
      <c r="H14">
        <f t="shared" si="10"/>
        <v>0.16666666666666666</v>
      </c>
      <c r="I14">
        <f t="shared" si="10"/>
        <v>0.16666666666666666</v>
      </c>
      <c r="J14">
        <f t="shared" si="10"/>
        <v>0.16666666666666666</v>
      </c>
      <c r="K14">
        <f t="shared" si="10"/>
        <v>0.16666666666666666</v>
      </c>
      <c r="L14">
        <f t="shared" si="10"/>
        <v>0.16666666666666666</v>
      </c>
      <c r="M14">
        <f t="shared" si="10"/>
        <v>0.16666666666666666</v>
      </c>
      <c r="N14">
        <f t="shared" si="10"/>
        <v>0.16666666666666666</v>
      </c>
      <c r="O14">
        <f t="shared" si="10"/>
        <v>0.16666666666666666</v>
      </c>
      <c r="P14">
        <f t="shared" si="10"/>
        <v>0.16666666666666666</v>
      </c>
      <c r="Q14">
        <f t="shared" si="10"/>
        <v>0.16666666666666666</v>
      </c>
      <c r="R14">
        <f t="shared" si="10"/>
        <v>0.16666666666666666</v>
      </c>
      <c r="S14">
        <f t="shared" si="10"/>
        <v>0.16666666666666666</v>
      </c>
      <c r="T14">
        <f t="shared" si="10"/>
        <v>0.16666666666666666</v>
      </c>
      <c r="U14">
        <f t="shared" si="10"/>
        <v>0.16666666666666666</v>
      </c>
      <c r="V14">
        <f t="shared" si="10"/>
        <v>0.16666666666666666</v>
      </c>
      <c r="W14">
        <f t="shared" si="10"/>
        <v>0.16666666666666666</v>
      </c>
      <c r="X14">
        <f t="shared" si="10"/>
        <v>0.16666666666666666</v>
      </c>
      <c r="Y14">
        <f t="shared" si="10"/>
        <v>0.16666666666666666</v>
      </c>
      <c r="Z14">
        <f t="shared" si="10"/>
        <v>0.16666666666666666</v>
      </c>
      <c r="AA14">
        <f t="shared" si="10"/>
        <v>0.16666666666666666</v>
      </c>
      <c r="AB14">
        <f t="shared" si="10"/>
        <v>0.16666666666666666</v>
      </c>
      <c r="AC14">
        <f t="shared" si="10"/>
        <v>0.16666666666666666</v>
      </c>
      <c r="AD14">
        <f t="shared" si="10"/>
        <v>0.16666666666666666</v>
      </c>
      <c r="AE14">
        <f t="shared" si="10"/>
        <v>0.16666666666666666</v>
      </c>
      <c r="AF14">
        <f t="shared" si="10"/>
        <v>0.16666666666666666</v>
      </c>
      <c r="AG14">
        <f t="shared" si="10"/>
        <v>0.16666666666666666</v>
      </c>
      <c r="AH14">
        <f t="shared" si="10"/>
        <v>0.16666666666666666</v>
      </c>
      <c r="AI14">
        <f t="shared" si="10"/>
        <v>0.16666666666666666</v>
      </c>
      <c r="AJ14">
        <f t="shared" si="10"/>
        <v>0.16666666666666666</v>
      </c>
      <c r="AK14">
        <f t="shared" si="10"/>
        <v>0.16666666666666666</v>
      </c>
      <c r="AL14">
        <f t="shared" si="10"/>
        <v>0.16666666666666666</v>
      </c>
      <c r="AM14">
        <f t="shared" si="10"/>
        <v>0.16666666666666666</v>
      </c>
      <c r="AN14">
        <f t="shared" si="10"/>
        <v>0.16666666666666666</v>
      </c>
      <c r="AO14">
        <f t="shared" si="10"/>
        <v>0.16666666666666666</v>
      </c>
      <c r="AP14">
        <f t="shared" si="10"/>
        <v>0.16666666666666666</v>
      </c>
      <c r="AQ14">
        <f t="shared" si="10"/>
        <v>0.16666666666666666</v>
      </c>
      <c r="AR14">
        <f t="shared" si="10"/>
        <v>0.16666666666666666</v>
      </c>
      <c r="AS14">
        <f t="shared" si="10"/>
        <v>0.16666666666666666</v>
      </c>
      <c r="AT14">
        <f t="shared" si="10"/>
        <v>0.16666666666666666</v>
      </c>
      <c r="AU14">
        <f t="shared" si="10"/>
        <v>0.16666666666666666</v>
      </c>
      <c r="AV14">
        <f t="shared" si="10"/>
        <v>0.16666666666666666</v>
      </c>
      <c r="AW14">
        <f t="shared" si="10"/>
        <v>0.16666666666666666</v>
      </c>
      <c r="AX14">
        <f t="shared" si="10"/>
        <v>0.16666666666666666</v>
      </c>
      <c r="AY14">
        <f t="shared" si="10"/>
        <v>0.16666666666666666</v>
      </c>
      <c r="AZ14">
        <f t="shared" si="10"/>
        <v>0.16666666666666666</v>
      </c>
      <c r="BA14">
        <f t="shared" si="10"/>
        <v>0.16666666666666666</v>
      </c>
      <c r="BB14">
        <f t="shared" si="10"/>
        <v>0.16666666666666666</v>
      </c>
      <c r="BC14">
        <f t="shared" si="10"/>
        <v>0.16666666666666666</v>
      </c>
      <c r="BD14">
        <f t="shared" si="10"/>
        <v>0.16666666666666666</v>
      </c>
      <c r="BE14">
        <f t="shared" si="10"/>
        <v>0.16666666666666666</v>
      </c>
      <c r="BF14">
        <f t="shared" si="10"/>
        <v>0.16666666666666666</v>
      </c>
      <c r="BG14">
        <f t="shared" si="10"/>
        <v>0.16666666666666666</v>
      </c>
      <c r="BH14">
        <f t="shared" si="10"/>
        <v>0.16666666666666666</v>
      </c>
      <c r="BI14">
        <f t="shared" si="10"/>
        <v>0.16666666666666666</v>
      </c>
      <c r="BJ14">
        <f t="shared" si="10"/>
        <v>0.16666666666666666</v>
      </c>
      <c r="BK14">
        <f t="shared" si="10"/>
        <v>0.16666666666666666</v>
      </c>
      <c r="BL14">
        <f t="shared" si="10"/>
        <v>0.16666666666666666</v>
      </c>
      <c r="BM14">
        <f t="shared" si="10"/>
        <v>0.16666666666666666</v>
      </c>
      <c r="BN14">
        <f t="shared" si="10"/>
        <v>0.16666666666666666</v>
      </c>
      <c r="BO14">
        <f t="shared" si="10"/>
        <v>0.16666666666666666</v>
      </c>
      <c r="BP14">
        <f t="shared" si="10"/>
        <v>0.16666666666666666</v>
      </c>
      <c r="BQ14">
        <f t="shared" si="9"/>
        <v>0.16666666666666666</v>
      </c>
      <c r="BR14">
        <f t="shared" si="9"/>
        <v>0.16666666666666666</v>
      </c>
      <c r="BS14">
        <f t="shared" si="9"/>
        <v>0.16666666666666666</v>
      </c>
      <c r="BT14">
        <f t="shared" si="9"/>
        <v>0.16666666666666666</v>
      </c>
      <c r="BU14">
        <f t="shared" si="9"/>
        <v>0.16666666666666666</v>
      </c>
      <c r="BV14">
        <f t="shared" si="9"/>
        <v>0.16666666666666666</v>
      </c>
      <c r="BW14">
        <f t="shared" si="9"/>
        <v>0.16666666666666666</v>
      </c>
      <c r="BX14">
        <f t="shared" si="9"/>
        <v>0.16666666666666666</v>
      </c>
      <c r="BY14">
        <f t="shared" si="9"/>
        <v>0.16666666666666666</v>
      </c>
      <c r="BZ14">
        <f t="shared" si="9"/>
        <v>0.16666666666666666</v>
      </c>
      <c r="CA14">
        <f t="shared" si="9"/>
        <v>0.16666666666666666</v>
      </c>
      <c r="CB14">
        <f t="shared" si="9"/>
        <v>0.16666666666666666</v>
      </c>
      <c r="CC14">
        <f t="shared" si="9"/>
        <v>0.16666666666666666</v>
      </c>
      <c r="CD14">
        <f t="shared" si="9"/>
        <v>0.16666666666666666</v>
      </c>
      <c r="CE14">
        <f t="shared" si="9"/>
        <v>0.16666666666666666</v>
      </c>
      <c r="CF14">
        <f t="shared" si="9"/>
        <v>0.16666666666666666</v>
      </c>
      <c r="CG14">
        <f t="shared" si="9"/>
        <v>0.16666666666666666</v>
      </c>
      <c r="CH14">
        <f t="shared" si="9"/>
        <v>0.16666666666666666</v>
      </c>
      <c r="CI14">
        <f t="shared" si="9"/>
        <v>0.16666666666666666</v>
      </c>
      <c r="CJ14">
        <f t="shared" si="9"/>
        <v>0.16666666666666666</v>
      </c>
      <c r="CK14">
        <f t="shared" si="9"/>
        <v>0.16666666666666666</v>
      </c>
      <c r="CL14">
        <f t="shared" si="9"/>
        <v>0.16666666666666666</v>
      </c>
      <c r="CM14">
        <f t="shared" si="9"/>
        <v>0.16666666666666666</v>
      </c>
      <c r="CN14">
        <f t="shared" si="9"/>
        <v>0.16666666666666666</v>
      </c>
      <c r="CO14">
        <f t="shared" si="9"/>
        <v>0.16666666666666666</v>
      </c>
    </row>
    <row r="15" spans="1:93" x14ac:dyDescent="0.25">
      <c r="A15" t="s">
        <v>54</v>
      </c>
      <c r="B15" t="s">
        <v>95</v>
      </c>
      <c r="C15">
        <f t="shared" si="4"/>
        <v>0.5</v>
      </c>
      <c r="D15">
        <f t="shared" si="5"/>
        <v>0.5</v>
      </c>
      <c r="E15">
        <f t="shared" si="10"/>
        <v>0.5</v>
      </c>
      <c r="F15">
        <f t="shared" si="10"/>
        <v>0.5</v>
      </c>
      <c r="G15">
        <f t="shared" si="10"/>
        <v>0.5</v>
      </c>
      <c r="H15">
        <f t="shared" si="10"/>
        <v>0.5</v>
      </c>
      <c r="I15">
        <f t="shared" si="10"/>
        <v>0.5</v>
      </c>
      <c r="J15">
        <f t="shared" si="10"/>
        <v>0.5</v>
      </c>
      <c r="K15">
        <f t="shared" si="10"/>
        <v>0.5</v>
      </c>
      <c r="L15">
        <f t="shared" si="10"/>
        <v>0.5</v>
      </c>
      <c r="M15">
        <f t="shared" si="10"/>
        <v>0.5</v>
      </c>
      <c r="N15">
        <f t="shared" si="10"/>
        <v>0.5</v>
      </c>
      <c r="O15">
        <f t="shared" si="10"/>
        <v>0.5</v>
      </c>
      <c r="P15">
        <f t="shared" si="10"/>
        <v>0.5</v>
      </c>
      <c r="Q15">
        <f t="shared" si="10"/>
        <v>0.5</v>
      </c>
      <c r="R15">
        <f t="shared" si="10"/>
        <v>0.5</v>
      </c>
      <c r="S15">
        <f t="shared" si="10"/>
        <v>0.5</v>
      </c>
      <c r="T15">
        <f t="shared" si="10"/>
        <v>0.5</v>
      </c>
      <c r="U15">
        <f t="shared" si="10"/>
        <v>0.5</v>
      </c>
      <c r="V15">
        <f t="shared" si="10"/>
        <v>0.5</v>
      </c>
      <c r="W15">
        <f t="shared" si="10"/>
        <v>0.5</v>
      </c>
      <c r="X15">
        <f t="shared" si="10"/>
        <v>0.5</v>
      </c>
      <c r="Y15">
        <f t="shared" si="10"/>
        <v>0.5</v>
      </c>
      <c r="Z15">
        <f t="shared" si="10"/>
        <v>0.5</v>
      </c>
      <c r="AA15">
        <f t="shared" si="10"/>
        <v>0.5</v>
      </c>
      <c r="AB15">
        <f t="shared" si="10"/>
        <v>0.5</v>
      </c>
      <c r="AC15">
        <f t="shared" si="10"/>
        <v>0.5</v>
      </c>
      <c r="AD15">
        <f t="shared" si="10"/>
        <v>0.5</v>
      </c>
      <c r="AE15">
        <f t="shared" si="10"/>
        <v>0.5</v>
      </c>
      <c r="AF15">
        <f t="shared" si="10"/>
        <v>0.5</v>
      </c>
      <c r="AG15">
        <f t="shared" si="10"/>
        <v>0.5</v>
      </c>
      <c r="AH15">
        <f t="shared" si="10"/>
        <v>0.5</v>
      </c>
      <c r="AI15">
        <f t="shared" si="10"/>
        <v>0.5</v>
      </c>
      <c r="AJ15">
        <f t="shared" si="10"/>
        <v>0.5</v>
      </c>
      <c r="AK15">
        <f t="shared" si="10"/>
        <v>0.5</v>
      </c>
      <c r="AL15">
        <f t="shared" si="10"/>
        <v>0.5</v>
      </c>
      <c r="AM15">
        <f t="shared" si="10"/>
        <v>0.5</v>
      </c>
      <c r="AN15">
        <f t="shared" si="10"/>
        <v>0.5</v>
      </c>
      <c r="AO15">
        <f t="shared" si="10"/>
        <v>0.5</v>
      </c>
      <c r="AP15">
        <f t="shared" si="10"/>
        <v>0.5</v>
      </c>
      <c r="AQ15">
        <f t="shared" si="10"/>
        <v>0.5</v>
      </c>
      <c r="AR15">
        <f t="shared" si="10"/>
        <v>0.5</v>
      </c>
      <c r="AS15">
        <f t="shared" si="10"/>
        <v>0.5</v>
      </c>
      <c r="AT15">
        <f t="shared" si="10"/>
        <v>0.5</v>
      </c>
      <c r="AU15">
        <f t="shared" si="10"/>
        <v>0.5</v>
      </c>
      <c r="AV15">
        <f t="shared" si="10"/>
        <v>0.5</v>
      </c>
      <c r="AW15">
        <f t="shared" si="10"/>
        <v>0.5</v>
      </c>
      <c r="AX15">
        <f t="shared" si="10"/>
        <v>0.5</v>
      </c>
      <c r="AY15">
        <f t="shared" si="10"/>
        <v>0.5</v>
      </c>
      <c r="AZ15">
        <f t="shared" si="10"/>
        <v>0.5</v>
      </c>
      <c r="BA15">
        <f t="shared" si="10"/>
        <v>0.5</v>
      </c>
      <c r="BB15">
        <f t="shared" si="10"/>
        <v>0.5</v>
      </c>
      <c r="BC15">
        <f t="shared" si="10"/>
        <v>0.5</v>
      </c>
      <c r="BD15">
        <f t="shared" si="10"/>
        <v>0.5</v>
      </c>
      <c r="BE15">
        <f t="shared" si="10"/>
        <v>0.5</v>
      </c>
      <c r="BF15">
        <f t="shared" si="10"/>
        <v>0.5</v>
      </c>
      <c r="BG15">
        <f t="shared" si="10"/>
        <v>0.5</v>
      </c>
      <c r="BH15">
        <f t="shared" si="10"/>
        <v>0.5</v>
      </c>
      <c r="BI15">
        <f t="shared" si="10"/>
        <v>0.5</v>
      </c>
      <c r="BJ15">
        <f t="shared" si="10"/>
        <v>0.5</v>
      </c>
      <c r="BK15">
        <f t="shared" si="10"/>
        <v>0.5</v>
      </c>
      <c r="BL15">
        <f t="shared" si="10"/>
        <v>0.5</v>
      </c>
      <c r="BM15">
        <f t="shared" si="10"/>
        <v>0.5</v>
      </c>
      <c r="BN15">
        <f t="shared" si="10"/>
        <v>0.5</v>
      </c>
      <c r="BO15">
        <f t="shared" si="10"/>
        <v>0.5</v>
      </c>
      <c r="BP15">
        <f t="shared" ref="BP15:CO18" si="11">BO15</f>
        <v>0.5</v>
      </c>
      <c r="BQ15">
        <f t="shared" si="11"/>
        <v>0.5</v>
      </c>
      <c r="BR15">
        <f t="shared" si="11"/>
        <v>0.5</v>
      </c>
      <c r="BS15">
        <f t="shared" si="11"/>
        <v>0.5</v>
      </c>
      <c r="BT15">
        <f t="shared" si="11"/>
        <v>0.5</v>
      </c>
      <c r="BU15">
        <f t="shared" si="11"/>
        <v>0.5</v>
      </c>
      <c r="BV15">
        <f t="shared" si="11"/>
        <v>0.5</v>
      </c>
      <c r="BW15">
        <f t="shared" si="11"/>
        <v>0.5</v>
      </c>
      <c r="BX15">
        <f t="shared" si="11"/>
        <v>0.5</v>
      </c>
      <c r="BY15">
        <f t="shared" si="11"/>
        <v>0.5</v>
      </c>
      <c r="BZ15">
        <f t="shared" si="11"/>
        <v>0.5</v>
      </c>
      <c r="CA15">
        <f t="shared" si="11"/>
        <v>0.5</v>
      </c>
      <c r="CB15">
        <f t="shared" si="11"/>
        <v>0.5</v>
      </c>
      <c r="CC15">
        <f t="shared" si="11"/>
        <v>0.5</v>
      </c>
      <c r="CD15">
        <f t="shared" si="11"/>
        <v>0.5</v>
      </c>
      <c r="CE15">
        <f t="shared" si="11"/>
        <v>0.5</v>
      </c>
      <c r="CF15">
        <f t="shared" si="11"/>
        <v>0.5</v>
      </c>
      <c r="CG15">
        <f t="shared" si="11"/>
        <v>0.5</v>
      </c>
      <c r="CH15">
        <f t="shared" si="11"/>
        <v>0.5</v>
      </c>
      <c r="CI15">
        <f t="shared" si="11"/>
        <v>0.5</v>
      </c>
      <c r="CJ15">
        <f t="shared" si="11"/>
        <v>0.5</v>
      </c>
      <c r="CK15">
        <f t="shared" si="11"/>
        <v>0.5</v>
      </c>
      <c r="CL15">
        <f t="shared" si="11"/>
        <v>0.5</v>
      </c>
      <c r="CM15">
        <f t="shared" si="11"/>
        <v>0.5</v>
      </c>
      <c r="CN15">
        <f t="shared" si="11"/>
        <v>0.5</v>
      </c>
      <c r="CO15">
        <f t="shared" si="11"/>
        <v>0.5</v>
      </c>
    </row>
    <row r="16" spans="1:93" x14ac:dyDescent="0.25">
      <c r="A16" t="s">
        <v>59</v>
      </c>
      <c r="B16" t="s">
        <v>95</v>
      </c>
      <c r="C16">
        <f t="shared" si="4"/>
        <v>0.5</v>
      </c>
      <c r="D16">
        <f t="shared" si="5"/>
        <v>0.5</v>
      </c>
      <c r="E16">
        <f t="shared" ref="E16:BP19" si="12">D16</f>
        <v>0.5</v>
      </c>
      <c r="F16">
        <f t="shared" si="12"/>
        <v>0.5</v>
      </c>
      <c r="G16">
        <f t="shared" si="12"/>
        <v>0.5</v>
      </c>
      <c r="H16">
        <f t="shared" si="12"/>
        <v>0.5</v>
      </c>
      <c r="I16">
        <f t="shared" si="12"/>
        <v>0.5</v>
      </c>
      <c r="J16">
        <f t="shared" si="12"/>
        <v>0.5</v>
      </c>
      <c r="K16">
        <f t="shared" si="12"/>
        <v>0.5</v>
      </c>
      <c r="L16">
        <f t="shared" si="12"/>
        <v>0.5</v>
      </c>
      <c r="M16">
        <f t="shared" si="12"/>
        <v>0.5</v>
      </c>
      <c r="N16">
        <f t="shared" si="12"/>
        <v>0.5</v>
      </c>
      <c r="O16">
        <f t="shared" si="12"/>
        <v>0.5</v>
      </c>
      <c r="P16">
        <f t="shared" si="12"/>
        <v>0.5</v>
      </c>
      <c r="Q16">
        <f t="shared" si="12"/>
        <v>0.5</v>
      </c>
      <c r="R16">
        <f t="shared" si="12"/>
        <v>0.5</v>
      </c>
      <c r="S16">
        <f t="shared" si="12"/>
        <v>0.5</v>
      </c>
      <c r="T16">
        <f t="shared" si="12"/>
        <v>0.5</v>
      </c>
      <c r="U16">
        <f t="shared" si="12"/>
        <v>0.5</v>
      </c>
      <c r="V16">
        <f t="shared" si="12"/>
        <v>0.5</v>
      </c>
      <c r="W16">
        <f t="shared" si="12"/>
        <v>0.5</v>
      </c>
      <c r="X16">
        <f t="shared" si="12"/>
        <v>0.5</v>
      </c>
      <c r="Y16">
        <f t="shared" si="12"/>
        <v>0.5</v>
      </c>
      <c r="Z16">
        <f t="shared" si="12"/>
        <v>0.5</v>
      </c>
      <c r="AA16">
        <f t="shared" si="12"/>
        <v>0.5</v>
      </c>
      <c r="AB16">
        <f t="shared" si="12"/>
        <v>0.5</v>
      </c>
      <c r="AC16">
        <f t="shared" si="12"/>
        <v>0.5</v>
      </c>
      <c r="AD16">
        <f t="shared" si="12"/>
        <v>0.5</v>
      </c>
      <c r="AE16">
        <f t="shared" si="12"/>
        <v>0.5</v>
      </c>
      <c r="AF16">
        <f t="shared" si="12"/>
        <v>0.5</v>
      </c>
      <c r="AG16">
        <f t="shared" si="12"/>
        <v>0.5</v>
      </c>
      <c r="AH16">
        <f t="shared" si="12"/>
        <v>0.5</v>
      </c>
      <c r="AI16">
        <f t="shared" si="12"/>
        <v>0.5</v>
      </c>
      <c r="AJ16">
        <f t="shared" si="12"/>
        <v>0.5</v>
      </c>
      <c r="AK16">
        <f t="shared" si="12"/>
        <v>0.5</v>
      </c>
      <c r="AL16">
        <f t="shared" si="12"/>
        <v>0.5</v>
      </c>
      <c r="AM16">
        <f t="shared" si="12"/>
        <v>0.5</v>
      </c>
      <c r="AN16">
        <f t="shared" si="12"/>
        <v>0.5</v>
      </c>
      <c r="AO16">
        <f t="shared" si="12"/>
        <v>0.5</v>
      </c>
      <c r="AP16">
        <f t="shared" si="12"/>
        <v>0.5</v>
      </c>
      <c r="AQ16">
        <f t="shared" si="12"/>
        <v>0.5</v>
      </c>
      <c r="AR16">
        <f t="shared" si="12"/>
        <v>0.5</v>
      </c>
      <c r="AS16">
        <f t="shared" si="12"/>
        <v>0.5</v>
      </c>
      <c r="AT16">
        <f t="shared" si="12"/>
        <v>0.5</v>
      </c>
      <c r="AU16">
        <f t="shared" si="12"/>
        <v>0.5</v>
      </c>
      <c r="AV16">
        <f t="shared" si="12"/>
        <v>0.5</v>
      </c>
      <c r="AW16">
        <f t="shared" si="12"/>
        <v>0.5</v>
      </c>
      <c r="AX16">
        <f t="shared" si="12"/>
        <v>0.5</v>
      </c>
      <c r="AY16">
        <f t="shared" si="12"/>
        <v>0.5</v>
      </c>
      <c r="AZ16">
        <f t="shared" si="12"/>
        <v>0.5</v>
      </c>
      <c r="BA16">
        <f t="shared" si="12"/>
        <v>0.5</v>
      </c>
      <c r="BB16">
        <f t="shared" si="12"/>
        <v>0.5</v>
      </c>
      <c r="BC16">
        <f t="shared" si="12"/>
        <v>0.5</v>
      </c>
      <c r="BD16">
        <f t="shared" si="12"/>
        <v>0.5</v>
      </c>
      <c r="BE16">
        <f t="shared" si="12"/>
        <v>0.5</v>
      </c>
      <c r="BF16">
        <f t="shared" si="12"/>
        <v>0.5</v>
      </c>
      <c r="BG16">
        <f t="shared" si="12"/>
        <v>0.5</v>
      </c>
      <c r="BH16">
        <f t="shared" si="12"/>
        <v>0.5</v>
      </c>
      <c r="BI16">
        <f t="shared" si="12"/>
        <v>0.5</v>
      </c>
      <c r="BJ16">
        <f t="shared" si="12"/>
        <v>0.5</v>
      </c>
      <c r="BK16">
        <f t="shared" si="12"/>
        <v>0.5</v>
      </c>
      <c r="BL16">
        <f t="shared" si="12"/>
        <v>0.5</v>
      </c>
      <c r="BM16">
        <f t="shared" si="12"/>
        <v>0.5</v>
      </c>
      <c r="BN16">
        <f t="shared" si="12"/>
        <v>0.5</v>
      </c>
      <c r="BO16">
        <f t="shared" si="12"/>
        <v>0.5</v>
      </c>
      <c r="BP16">
        <f t="shared" si="12"/>
        <v>0.5</v>
      </c>
      <c r="BQ16">
        <f t="shared" si="11"/>
        <v>0.5</v>
      </c>
      <c r="BR16">
        <f t="shared" si="11"/>
        <v>0.5</v>
      </c>
      <c r="BS16">
        <f t="shared" si="11"/>
        <v>0.5</v>
      </c>
      <c r="BT16">
        <f t="shared" si="11"/>
        <v>0.5</v>
      </c>
      <c r="BU16">
        <f t="shared" si="11"/>
        <v>0.5</v>
      </c>
      <c r="BV16">
        <f t="shared" si="11"/>
        <v>0.5</v>
      </c>
      <c r="BW16">
        <f t="shared" si="11"/>
        <v>0.5</v>
      </c>
      <c r="BX16">
        <f t="shared" si="11"/>
        <v>0.5</v>
      </c>
      <c r="BY16">
        <f t="shared" si="11"/>
        <v>0.5</v>
      </c>
      <c r="BZ16">
        <f t="shared" si="11"/>
        <v>0.5</v>
      </c>
      <c r="CA16">
        <f t="shared" si="11"/>
        <v>0.5</v>
      </c>
      <c r="CB16">
        <f t="shared" si="11"/>
        <v>0.5</v>
      </c>
      <c r="CC16">
        <f t="shared" si="11"/>
        <v>0.5</v>
      </c>
      <c r="CD16">
        <f t="shared" si="11"/>
        <v>0.5</v>
      </c>
      <c r="CE16">
        <f t="shared" si="11"/>
        <v>0.5</v>
      </c>
      <c r="CF16">
        <f t="shared" si="11"/>
        <v>0.5</v>
      </c>
      <c r="CG16">
        <f t="shared" si="11"/>
        <v>0.5</v>
      </c>
      <c r="CH16">
        <f t="shared" si="11"/>
        <v>0.5</v>
      </c>
      <c r="CI16">
        <f t="shared" si="11"/>
        <v>0.5</v>
      </c>
      <c r="CJ16">
        <f t="shared" si="11"/>
        <v>0.5</v>
      </c>
      <c r="CK16">
        <f t="shared" si="11"/>
        <v>0.5</v>
      </c>
      <c r="CL16">
        <f t="shared" si="11"/>
        <v>0.5</v>
      </c>
      <c r="CM16">
        <f t="shared" si="11"/>
        <v>0.5</v>
      </c>
      <c r="CN16">
        <f t="shared" si="11"/>
        <v>0.5</v>
      </c>
      <c r="CO16">
        <f t="shared" si="11"/>
        <v>0.5</v>
      </c>
    </row>
    <row r="17" spans="1:93" x14ac:dyDescent="0.25">
      <c r="A17" t="s">
        <v>90</v>
      </c>
      <c r="B17" t="s">
        <v>101</v>
      </c>
      <c r="C17">
        <f t="shared" si="4"/>
        <v>0.5</v>
      </c>
      <c r="D17">
        <f t="shared" si="5"/>
        <v>0.5</v>
      </c>
      <c r="E17">
        <f t="shared" si="12"/>
        <v>0.5</v>
      </c>
      <c r="F17">
        <f t="shared" si="12"/>
        <v>0.5</v>
      </c>
      <c r="G17">
        <f t="shared" si="12"/>
        <v>0.5</v>
      </c>
      <c r="H17">
        <f t="shared" si="12"/>
        <v>0.5</v>
      </c>
      <c r="I17">
        <f t="shared" si="12"/>
        <v>0.5</v>
      </c>
      <c r="J17">
        <f t="shared" si="12"/>
        <v>0.5</v>
      </c>
      <c r="K17">
        <f t="shared" si="12"/>
        <v>0.5</v>
      </c>
      <c r="L17">
        <f t="shared" si="12"/>
        <v>0.5</v>
      </c>
      <c r="M17">
        <f t="shared" si="12"/>
        <v>0.5</v>
      </c>
      <c r="N17">
        <f t="shared" si="12"/>
        <v>0.5</v>
      </c>
      <c r="O17">
        <f t="shared" si="12"/>
        <v>0.5</v>
      </c>
      <c r="P17">
        <f t="shared" si="12"/>
        <v>0.5</v>
      </c>
      <c r="Q17">
        <f t="shared" si="12"/>
        <v>0.5</v>
      </c>
      <c r="R17">
        <f t="shared" si="12"/>
        <v>0.5</v>
      </c>
      <c r="S17">
        <f t="shared" si="12"/>
        <v>0.5</v>
      </c>
      <c r="T17">
        <f t="shared" si="12"/>
        <v>0.5</v>
      </c>
      <c r="U17">
        <f t="shared" si="12"/>
        <v>0.5</v>
      </c>
      <c r="V17">
        <f t="shared" si="12"/>
        <v>0.5</v>
      </c>
      <c r="W17">
        <f t="shared" si="12"/>
        <v>0.5</v>
      </c>
      <c r="X17">
        <f t="shared" si="12"/>
        <v>0.5</v>
      </c>
      <c r="Y17">
        <f t="shared" si="12"/>
        <v>0.5</v>
      </c>
      <c r="Z17">
        <f t="shared" si="12"/>
        <v>0.5</v>
      </c>
      <c r="AA17">
        <f t="shared" si="12"/>
        <v>0.5</v>
      </c>
      <c r="AB17">
        <f t="shared" si="12"/>
        <v>0.5</v>
      </c>
      <c r="AC17">
        <f t="shared" si="12"/>
        <v>0.5</v>
      </c>
      <c r="AD17">
        <f t="shared" si="12"/>
        <v>0.5</v>
      </c>
      <c r="AE17">
        <f t="shared" si="12"/>
        <v>0.5</v>
      </c>
      <c r="AF17">
        <f t="shared" si="12"/>
        <v>0.5</v>
      </c>
      <c r="AG17">
        <f t="shared" si="12"/>
        <v>0.5</v>
      </c>
      <c r="AH17">
        <f t="shared" si="12"/>
        <v>0.5</v>
      </c>
      <c r="AI17">
        <f t="shared" si="12"/>
        <v>0.5</v>
      </c>
      <c r="AJ17">
        <f t="shared" si="12"/>
        <v>0.5</v>
      </c>
      <c r="AK17">
        <f t="shared" si="12"/>
        <v>0.5</v>
      </c>
      <c r="AL17">
        <f t="shared" si="12"/>
        <v>0.5</v>
      </c>
      <c r="AM17">
        <f t="shared" si="12"/>
        <v>0.5</v>
      </c>
      <c r="AN17">
        <f t="shared" si="12"/>
        <v>0.5</v>
      </c>
      <c r="AO17">
        <f t="shared" si="12"/>
        <v>0.5</v>
      </c>
      <c r="AP17">
        <f t="shared" si="12"/>
        <v>0.5</v>
      </c>
      <c r="AQ17">
        <f t="shared" si="12"/>
        <v>0.5</v>
      </c>
      <c r="AR17">
        <f t="shared" si="12"/>
        <v>0.5</v>
      </c>
      <c r="AS17">
        <f t="shared" si="12"/>
        <v>0.5</v>
      </c>
      <c r="AT17">
        <f t="shared" si="12"/>
        <v>0.5</v>
      </c>
      <c r="AU17">
        <f t="shared" si="12"/>
        <v>0.5</v>
      </c>
      <c r="AV17">
        <f t="shared" si="12"/>
        <v>0.5</v>
      </c>
      <c r="AW17">
        <f t="shared" si="12"/>
        <v>0.5</v>
      </c>
      <c r="AX17">
        <f t="shared" si="12"/>
        <v>0.5</v>
      </c>
      <c r="AY17">
        <f t="shared" si="12"/>
        <v>0.5</v>
      </c>
      <c r="AZ17">
        <f t="shared" si="12"/>
        <v>0.5</v>
      </c>
      <c r="BA17">
        <f t="shared" si="12"/>
        <v>0.5</v>
      </c>
      <c r="BB17">
        <f t="shared" si="12"/>
        <v>0.5</v>
      </c>
      <c r="BC17">
        <f t="shared" si="12"/>
        <v>0.5</v>
      </c>
      <c r="BD17">
        <f t="shared" si="12"/>
        <v>0.5</v>
      </c>
      <c r="BE17">
        <f t="shared" si="12"/>
        <v>0.5</v>
      </c>
      <c r="BF17">
        <f t="shared" si="12"/>
        <v>0.5</v>
      </c>
      <c r="BG17">
        <f t="shared" si="12"/>
        <v>0.5</v>
      </c>
      <c r="BH17">
        <f t="shared" si="12"/>
        <v>0.5</v>
      </c>
      <c r="BI17">
        <f t="shared" si="12"/>
        <v>0.5</v>
      </c>
      <c r="BJ17">
        <f t="shared" si="12"/>
        <v>0.5</v>
      </c>
      <c r="BK17">
        <f t="shared" si="12"/>
        <v>0.5</v>
      </c>
      <c r="BL17">
        <f t="shared" si="12"/>
        <v>0.5</v>
      </c>
      <c r="BM17">
        <f t="shared" si="12"/>
        <v>0.5</v>
      </c>
      <c r="BN17">
        <f t="shared" si="12"/>
        <v>0.5</v>
      </c>
      <c r="BO17">
        <f t="shared" si="12"/>
        <v>0.5</v>
      </c>
      <c r="BP17">
        <f t="shared" si="12"/>
        <v>0.5</v>
      </c>
      <c r="BQ17">
        <f t="shared" si="11"/>
        <v>0.5</v>
      </c>
      <c r="BR17">
        <f t="shared" si="11"/>
        <v>0.5</v>
      </c>
      <c r="BS17">
        <f t="shared" si="11"/>
        <v>0.5</v>
      </c>
      <c r="BT17">
        <f t="shared" si="11"/>
        <v>0.5</v>
      </c>
      <c r="BU17">
        <f t="shared" si="11"/>
        <v>0.5</v>
      </c>
      <c r="BV17">
        <f t="shared" si="11"/>
        <v>0.5</v>
      </c>
      <c r="BW17">
        <f t="shared" si="11"/>
        <v>0.5</v>
      </c>
      <c r="BX17">
        <f t="shared" si="11"/>
        <v>0.5</v>
      </c>
      <c r="BY17">
        <f t="shared" si="11"/>
        <v>0.5</v>
      </c>
      <c r="BZ17">
        <f t="shared" si="11"/>
        <v>0.5</v>
      </c>
      <c r="CA17">
        <f t="shared" si="11"/>
        <v>0.5</v>
      </c>
      <c r="CB17">
        <f t="shared" si="11"/>
        <v>0.5</v>
      </c>
      <c r="CC17">
        <f t="shared" si="11"/>
        <v>0.5</v>
      </c>
      <c r="CD17">
        <f t="shared" si="11"/>
        <v>0.5</v>
      </c>
      <c r="CE17">
        <f t="shared" si="11"/>
        <v>0.5</v>
      </c>
      <c r="CF17">
        <f t="shared" si="11"/>
        <v>0.5</v>
      </c>
      <c r="CG17">
        <f t="shared" si="11"/>
        <v>0.5</v>
      </c>
      <c r="CH17">
        <f t="shared" si="11"/>
        <v>0.5</v>
      </c>
      <c r="CI17">
        <f t="shared" si="11"/>
        <v>0.5</v>
      </c>
      <c r="CJ17">
        <f t="shared" si="11"/>
        <v>0.5</v>
      </c>
      <c r="CK17">
        <f t="shared" si="11"/>
        <v>0.5</v>
      </c>
      <c r="CL17">
        <f t="shared" si="11"/>
        <v>0.5</v>
      </c>
      <c r="CM17">
        <f t="shared" si="11"/>
        <v>0.5</v>
      </c>
      <c r="CN17">
        <f t="shared" si="11"/>
        <v>0.5</v>
      </c>
      <c r="CO17">
        <f t="shared" si="11"/>
        <v>0.5</v>
      </c>
    </row>
    <row r="18" spans="1:93" x14ac:dyDescent="0.25">
      <c r="A18" t="s">
        <v>93</v>
      </c>
      <c r="B18" t="s">
        <v>101</v>
      </c>
      <c r="C18">
        <f t="shared" si="4"/>
        <v>0.5</v>
      </c>
      <c r="D18">
        <f t="shared" si="5"/>
        <v>0.5</v>
      </c>
      <c r="E18">
        <f t="shared" si="12"/>
        <v>0.5</v>
      </c>
      <c r="F18">
        <f t="shared" si="12"/>
        <v>0.5</v>
      </c>
      <c r="G18">
        <f t="shared" si="12"/>
        <v>0.5</v>
      </c>
      <c r="H18">
        <f t="shared" si="12"/>
        <v>0.5</v>
      </c>
      <c r="I18">
        <f t="shared" si="12"/>
        <v>0.5</v>
      </c>
      <c r="J18">
        <f t="shared" si="12"/>
        <v>0.5</v>
      </c>
      <c r="K18">
        <f t="shared" si="12"/>
        <v>0.5</v>
      </c>
      <c r="L18">
        <f t="shared" si="12"/>
        <v>0.5</v>
      </c>
      <c r="M18">
        <f t="shared" si="12"/>
        <v>0.5</v>
      </c>
      <c r="N18">
        <f t="shared" si="12"/>
        <v>0.5</v>
      </c>
      <c r="O18">
        <f t="shared" si="12"/>
        <v>0.5</v>
      </c>
      <c r="P18">
        <f t="shared" si="12"/>
        <v>0.5</v>
      </c>
      <c r="Q18">
        <f t="shared" si="12"/>
        <v>0.5</v>
      </c>
      <c r="R18">
        <f t="shared" si="12"/>
        <v>0.5</v>
      </c>
      <c r="S18">
        <f t="shared" si="12"/>
        <v>0.5</v>
      </c>
      <c r="T18">
        <f t="shared" si="12"/>
        <v>0.5</v>
      </c>
      <c r="U18">
        <f t="shared" si="12"/>
        <v>0.5</v>
      </c>
      <c r="V18">
        <f t="shared" si="12"/>
        <v>0.5</v>
      </c>
      <c r="W18">
        <f t="shared" si="12"/>
        <v>0.5</v>
      </c>
      <c r="X18">
        <f t="shared" si="12"/>
        <v>0.5</v>
      </c>
      <c r="Y18">
        <f t="shared" si="12"/>
        <v>0.5</v>
      </c>
      <c r="Z18">
        <f t="shared" si="12"/>
        <v>0.5</v>
      </c>
      <c r="AA18">
        <f t="shared" si="12"/>
        <v>0.5</v>
      </c>
      <c r="AB18">
        <f t="shared" si="12"/>
        <v>0.5</v>
      </c>
      <c r="AC18">
        <f t="shared" si="12"/>
        <v>0.5</v>
      </c>
      <c r="AD18">
        <f t="shared" si="12"/>
        <v>0.5</v>
      </c>
      <c r="AE18">
        <f t="shared" si="12"/>
        <v>0.5</v>
      </c>
      <c r="AF18">
        <f t="shared" si="12"/>
        <v>0.5</v>
      </c>
      <c r="AG18">
        <f t="shared" si="12"/>
        <v>0.5</v>
      </c>
      <c r="AH18">
        <f t="shared" si="12"/>
        <v>0.5</v>
      </c>
      <c r="AI18">
        <f t="shared" si="12"/>
        <v>0.5</v>
      </c>
      <c r="AJ18">
        <f t="shared" si="12"/>
        <v>0.5</v>
      </c>
      <c r="AK18">
        <f t="shared" si="12"/>
        <v>0.5</v>
      </c>
      <c r="AL18">
        <f t="shared" si="12"/>
        <v>0.5</v>
      </c>
      <c r="AM18">
        <f t="shared" si="12"/>
        <v>0.5</v>
      </c>
      <c r="AN18">
        <f t="shared" si="12"/>
        <v>0.5</v>
      </c>
      <c r="AO18">
        <f t="shared" si="12"/>
        <v>0.5</v>
      </c>
      <c r="AP18">
        <f t="shared" si="12"/>
        <v>0.5</v>
      </c>
      <c r="AQ18">
        <f t="shared" si="12"/>
        <v>0.5</v>
      </c>
      <c r="AR18">
        <f t="shared" si="12"/>
        <v>0.5</v>
      </c>
      <c r="AS18">
        <f t="shared" si="12"/>
        <v>0.5</v>
      </c>
      <c r="AT18">
        <f t="shared" si="12"/>
        <v>0.5</v>
      </c>
      <c r="AU18">
        <f t="shared" si="12"/>
        <v>0.5</v>
      </c>
      <c r="AV18">
        <f t="shared" si="12"/>
        <v>0.5</v>
      </c>
      <c r="AW18">
        <f t="shared" si="12"/>
        <v>0.5</v>
      </c>
      <c r="AX18">
        <f t="shared" si="12"/>
        <v>0.5</v>
      </c>
      <c r="AY18">
        <f t="shared" si="12"/>
        <v>0.5</v>
      </c>
      <c r="AZ18">
        <f t="shared" si="12"/>
        <v>0.5</v>
      </c>
      <c r="BA18">
        <f t="shared" si="12"/>
        <v>0.5</v>
      </c>
      <c r="BB18">
        <f t="shared" si="12"/>
        <v>0.5</v>
      </c>
      <c r="BC18">
        <f t="shared" si="12"/>
        <v>0.5</v>
      </c>
      <c r="BD18">
        <f t="shared" si="12"/>
        <v>0.5</v>
      </c>
      <c r="BE18">
        <f t="shared" si="12"/>
        <v>0.5</v>
      </c>
      <c r="BF18">
        <f t="shared" si="12"/>
        <v>0.5</v>
      </c>
      <c r="BG18">
        <f t="shared" si="12"/>
        <v>0.5</v>
      </c>
      <c r="BH18">
        <f t="shared" si="12"/>
        <v>0.5</v>
      </c>
      <c r="BI18">
        <f t="shared" si="12"/>
        <v>0.5</v>
      </c>
      <c r="BJ18">
        <f t="shared" si="12"/>
        <v>0.5</v>
      </c>
      <c r="BK18">
        <f t="shared" si="12"/>
        <v>0.5</v>
      </c>
      <c r="BL18">
        <f t="shared" si="12"/>
        <v>0.5</v>
      </c>
      <c r="BM18">
        <f t="shared" si="12"/>
        <v>0.5</v>
      </c>
      <c r="BN18">
        <f t="shared" si="12"/>
        <v>0.5</v>
      </c>
      <c r="BO18">
        <f t="shared" si="12"/>
        <v>0.5</v>
      </c>
      <c r="BP18">
        <f t="shared" si="12"/>
        <v>0.5</v>
      </c>
      <c r="BQ18">
        <f t="shared" si="11"/>
        <v>0.5</v>
      </c>
      <c r="BR18">
        <f t="shared" si="11"/>
        <v>0.5</v>
      </c>
      <c r="BS18">
        <f t="shared" si="11"/>
        <v>0.5</v>
      </c>
      <c r="BT18">
        <f t="shared" si="11"/>
        <v>0.5</v>
      </c>
      <c r="BU18">
        <f t="shared" si="11"/>
        <v>0.5</v>
      </c>
      <c r="BV18">
        <f t="shared" si="11"/>
        <v>0.5</v>
      </c>
      <c r="BW18">
        <f t="shared" si="11"/>
        <v>0.5</v>
      </c>
      <c r="BX18">
        <f t="shared" si="11"/>
        <v>0.5</v>
      </c>
      <c r="BY18">
        <f t="shared" si="11"/>
        <v>0.5</v>
      </c>
      <c r="BZ18">
        <f t="shared" si="11"/>
        <v>0.5</v>
      </c>
      <c r="CA18">
        <f t="shared" si="11"/>
        <v>0.5</v>
      </c>
      <c r="CB18">
        <f t="shared" si="11"/>
        <v>0.5</v>
      </c>
      <c r="CC18">
        <f t="shared" si="11"/>
        <v>0.5</v>
      </c>
      <c r="CD18">
        <f t="shared" si="11"/>
        <v>0.5</v>
      </c>
      <c r="CE18">
        <f t="shared" si="11"/>
        <v>0.5</v>
      </c>
      <c r="CF18">
        <f t="shared" si="11"/>
        <v>0.5</v>
      </c>
      <c r="CG18">
        <f t="shared" si="11"/>
        <v>0.5</v>
      </c>
      <c r="CH18">
        <f t="shared" si="11"/>
        <v>0.5</v>
      </c>
      <c r="CI18">
        <f t="shared" si="11"/>
        <v>0.5</v>
      </c>
      <c r="CJ18">
        <f t="shared" si="11"/>
        <v>0.5</v>
      </c>
      <c r="CK18">
        <f t="shared" si="11"/>
        <v>0.5</v>
      </c>
      <c r="CL18">
        <f t="shared" si="11"/>
        <v>0.5</v>
      </c>
      <c r="CM18">
        <f t="shared" si="11"/>
        <v>0.5</v>
      </c>
      <c r="CN18">
        <f t="shared" si="11"/>
        <v>0.5</v>
      </c>
      <c r="CO18">
        <f t="shared" si="11"/>
        <v>0.5</v>
      </c>
    </row>
    <row r="19" spans="1:93" x14ac:dyDescent="0.25">
      <c r="A19" t="s">
        <v>52</v>
      </c>
      <c r="B19" t="s">
        <v>7</v>
      </c>
      <c r="C19">
        <f t="shared" si="4"/>
        <v>0.1111111111111111</v>
      </c>
      <c r="D19">
        <f t="shared" si="5"/>
        <v>0.1111111111111111</v>
      </c>
      <c r="E19">
        <f t="shared" si="12"/>
        <v>0.1111111111111111</v>
      </c>
      <c r="F19">
        <f t="shared" si="12"/>
        <v>0.1111111111111111</v>
      </c>
      <c r="G19">
        <f t="shared" si="12"/>
        <v>0.1111111111111111</v>
      </c>
      <c r="H19">
        <f t="shared" si="12"/>
        <v>0.1111111111111111</v>
      </c>
      <c r="I19">
        <f t="shared" si="12"/>
        <v>0.1111111111111111</v>
      </c>
      <c r="J19">
        <f t="shared" si="12"/>
        <v>0.1111111111111111</v>
      </c>
      <c r="K19">
        <f t="shared" si="12"/>
        <v>0.1111111111111111</v>
      </c>
      <c r="L19">
        <f t="shared" si="12"/>
        <v>0.1111111111111111</v>
      </c>
      <c r="M19">
        <f t="shared" si="12"/>
        <v>0.1111111111111111</v>
      </c>
      <c r="N19">
        <f t="shared" si="12"/>
        <v>0.1111111111111111</v>
      </c>
      <c r="O19">
        <f t="shared" si="12"/>
        <v>0.1111111111111111</v>
      </c>
      <c r="P19">
        <f t="shared" si="12"/>
        <v>0.1111111111111111</v>
      </c>
      <c r="Q19">
        <f t="shared" si="12"/>
        <v>0.1111111111111111</v>
      </c>
      <c r="R19">
        <f t="shared" si="12"/>
        <v>0.1111111111111111</v>
      </c>
      <c r="S19">
        <f t="shared" si="12"/>
        <v>0.1111111111111111</v>
      </c>
      <c r="T19">
        <f t="shared" si="12"/>
        <v>0.1111111111111111</v>
      </c>
      <c r="U19">
        <f t="shared" si="12"/>
        <v>0.1111111111111111</v>
      </c>
      <c r="V19">
        <f t="shared" si="12"/>
        <v>0.1111111111111111</v>
      </c>
      <c r="W19">
        <f t="shared" si="12"/>
        <v>0.1111111111111111</v>
      </c>
      <c r="X19">
        <f t="shared" si="12"/>
        <v>0.1111111111111111</v>
      </c>
      <c r="Y19">
        <f t="shared" si="12"/>
        <v>0.1111111111111111</v>
      </c>
      <c r="Z19">
        <f t="shared" si="12"/>
        <v>0.1111111111111111</v>
      </c>
      <c r="AA19">
        <f t="shared" si="12"/>
        <v>0.1111111111111111</v>
      </c>
      <c r="AB19">
        <f t="shared" si="12"/>
        <v>0.1111111111111111</v>
      </c>
      <c r="AC19">
        <f t="shared" si="12"/>
        <v>0.1111111111111111</v>
      </c>
      <c r="AD19">
        <f t="shared" si="12"/>
        <v>0.1111111111111111</v>
      </c>
      <c r="AE19">
        <f t="shared" si="12"/>
        <v>0.1111111111111111</v>
      </c>
      <c r="AF19">
        <f t="shared" si="12"/>
        <v>0.1111111111111111</v>
      </c>
      <c r="AG19">
        <f t="shared" si="12"/>
        <v>0.1111111111111111</v>
      </c>
      <c r="AH19">
        <f t="shared" si="12"/>
        <v>0.1111111111111111</v>
      </c>
      <c r="AI19">
        <f t="shared" si="12"/>
        <v>0.1111111111111111</v>
      </c>
      <c r="AJ19">
        <f t="shared" si="12"/>
        <v>0.1111111111111111</v>
      </c>
      <c r="AK19">
        <f t="shared" si="12"/>
        <v>0.1111111111111111</v>
      </c>
      <c r="AL19">
        <f t="shared" si="12"/>
        <v>0.1111111111111111</v>
      </c>
      <c r="AM19">
        <f t="shared" si="12"/>
        <v>0.1111111111111111</v>
      </c>
      <c r="AN19">
        <f t="shared" si="12"/>
        <v>0.1111111111111111</v>
      </c>
      <c r="AO19">
        <f t="shared" si="12"/>
        <v>0.1111111111111111</v>
      </c>
      <c r="AP19">
        <f t="shared" si="12"/>
        <v>0.1111111111111111</v>
      </c>
      <c r="AQ19">
        <f t="shared" si="12"/>
        <v>0.1111111111111111</v>
      </c>
      <c r="AR19">
        <f t="shared" si="12"/>
        <v>0.1111111111111111</v>
      </c>
      <c r="AS19">
        <f t="shared" si="12"/>
        <v>0.1111111111111111</v>
      </c>
      <c r="AT19">
        <f t="shared" si="12"/>
        <v>0.1111111111111111</v>
      </c>
      <c r="AU19">
        <f t="shared" si="12"/>
        <v>0.1111111111111111</v>
      </c>
      <c r="AV19">
        <f t="shared" si="12"/>
        <v>0.1111111111111111</v>
      </c>
      <c r="AW19">
        <f t="shared" si="12"/>
        <v>0.1111111111111111</v>
      </c>
      <c r="AX19">
        <f t="shared" si="12"/>
        <v>0.1111111111111111</v>
      </c>
      <c r="AY19">
        <f t="shared" si="12"/>
        <v>0.1111111111111111</v>
      </c>
      <c r="AZ19">
        <f t="shared" si="12"/>
        <v>0.1111111111111111</v>
      </c>
      <c r="BA19">
        <f t="shared" si="12"/>
        <v>0.1111111111111111</v>
      </c>
      <c r="BB19">
        <f t="shared" si="12"/>
        <v>0.1111111111111111</v>
      </c>
      <c r="BC19">
        <f t="shared" si="12"/>
        <v>0.1111111111111111</v>
      </c>
      <c r="BD19">
        <f t="shared" si="12"/>
        <v>0.1111111111111111</v>
      </c>
      <c r="BE19">
        <f t="shared" si="12"/>
        <v>0.1111111111111111</v>
      </c>
      <c r="BF19">
        <f t="shared" si="12"/>
        <v>0.1111111111111111</v>
      </c>
      <c r="BG19">
        <f t="shared" si="12"/>
        <v>0.1111111111111111</v>
      </c>
      <c r="BH19">
        <f t="shared" si="12"/>
        <v>0.1111111111111111</v>
      </c>
      <c r="BI19">
        <f t="shared" si="12"/>
        <v>0.1111111111111111</v>
      </c>
      <c r="BJ19">
        <f t="shared" si="12"/>
        <v>0.1111111111111111</v>
      </c>
      <c r="BK19">
        <f t="shared" si="12"/>
        <v>0.1111111111111111</v>
      </c>
      <c r="BL19">
        <f t="shared" si="12"/>
        <v>0.1111111111111111</v>
      </c>
      <c r="BM19">
        <f t="shared" si="12"/>
        <v>0.1111111111111111</v>
      </c>
      <c r="BN19">
        <f t="shared" si="12"/>
        <v>0.1111111111111111</v>
      </c>
      <c r="BO19">
        <f t="shared" si="12"/>
        <v>0.1111111111111111</v>
      </c>
      <c r="BP19">
        <f t="shared" ref="BP19:CO22" si="13">BO19</f>
        <v>0.1111111111111111</v>
      </c>
      <c r="BQ19">
        <f t="shared" si="13"/>
        <v>0.1111111111111111</v>
      </c>
      <c r="BR19">
        <f t="shared" si="13"/>
        <v>0.1111111111111111</v>
      </c>
      <c r="BS19">
        <f t="shared" si="13"/>
        <v>0.1111111111111111</v>
      </c>
      <c r="BT19">
        <f t="shared" si="13"/>
        <v>0.1111111111111111</v>
      </c>
      <c r="BU19">
        <f t="shared" si="13"/>
        <v>0.1111111111111111</v>
      </c>
      <c r="BV19">
        <f t="shared" si="13"/>
        <v>0.1111111111111111</v>
      </c>
      <c r="BW19">
        <f t="shared" si="13"/>
        <v>0.1111111111111111</v>
      </c>
      <c r="BX19">
        <f t="shared" si="13"/>
        <v>0.1111111111111111</v>
      </c>
      <c r="BY19">
        <f t="shared" si="13"/>
        <v>0.1111111111111111</v>
      </c>
      <c r="BZ19">
        <f t="shared" si="13"/>
        <v>0.1111111111111111</v>
      </c>
      <c r="CA19">
        <f t="shared" si="13"/>
        <v>0.1111111111111111</v>
      </c>
      <c r="CB19">
        <f t="shared" si="13"/>
        <v>0.1111111111111111</v>
      </c>
      <c r="CC19">
        <f t="shared" si="13"/>
        <v>0.1111111111111111</v>
      </c>
      <c r="CD19">
        <f t="shared" si="13"/>
        <v>0.1111111111111111</v>
      </c>
      <c r="CE19">
        <f t="shared" si="13"/>
        <v>0.1111111111111111</v>
      </c>
      <c r="CF19">
        <f t="shared" si="13"/>
        <v>0.1111111111111111</v>
      </c>
      <c r="CG19">
        <f t="shared" si="13"/>
        <v>0.1111111111111111</v>
      </c>
      <c r="CH19">
        <f t="shared" si="13"/>
        <v>0.1111111111111111</v>
      </c>
      <c r="CI19">
        <f t="shared" si="13"/>
        <v>0.1111111111111111</v>
      </c>
      <c r="CJ19">
        <f t="shared" si="13"/>
        <v>0.1111111111111111</v>
      </c>
      <c r="CK19">
        <f t="shared" si="13"/>
        <v>0.1111111111111111</v>
      </c>
      <c r="CL19">
        <f t="shared" si="13"/>
        <v>0.1111111111111111</v>
      </c>
      <c r="CM19">
        <f t="shared" si="13"/>
        <v>0.1111111111111111</v>
      </c>
      <c r="CN19">
        <f t="shared" si="13"/>
        <v>0.1111111111111111</v>
      </c>
      <c r="CO19">
        <f t="shared" si="13"/>
        <v>0.1111111111111111</v>
      </c>
    </row>
    <row r="20" spans="1:93" x14ac:dyDescent="0.25">
      <c r="A20" t="s">
        <v>56</v>
      </c>
      <c r="B20" t="s">
        <v>7</v>
      </c>
      <c r="C20">
        <f t="shared" si="4"/>
        <v>0.1111111111111111</v>
      </c>
      <c r="D20">
        <f t="shared" si="5"/>
        <v>0.1111111111111111</v>
      </c>
      <c r="E20">
        <f t="shared" ref="E20:BP23" si="14">D20</f>
        <v>0.1111111111111111</v>
      </c>
      <c r="F20">
        <f t="shared" si="14"/>
        <v>0.1111111111111111</v>
      </c>
      <c r="G20">
        <f t="shared" si="14"/>
        <v>0.1111111111111111</v>
      </c>
      <c r="H20">
        <f t="shared" si="14"/>
        <v>0.1111111111111111</v>
      </c>
      <c r="I20">
        <f t="shared" si="14"/>
        <v>0.1111111111111111</v>
      </c>
      <c r="J20">
        <f t="shared" si="14"/>
        <v>0.1111111111111111</v>
      </c>
      <c r="K20">
        <f t="shared" si="14"/>
        <v>0.1111111111111111</v>
      </c>
      <c r="L20">
        <f t="shared" si="14"/>
        <v>0.1111111111111111</v>
      </c>
      <c r="M20">
        <f t="shared" si="14"/>
        <v>0.1111111111111111</v>
      </c>
      <c r="N20">
        <f t="shared" si="14"/>
        <v>0.1111111111111111</v>
      </c>
      <c r="O20">
        <f t="shared" si="14"/>
        <v>0.1111111111111111</v>
      </c>
      <c r="P20">
        <f t="shared" si="14"/>
        <v>0.1111111111111111</v>
      </c>
      <c r="Q20">
        <f t="shared" si="14"/>
        <v>0.1111111111111111</v>
      </c>
      <c r="R20">
        <f t="shared" si="14"/>
        <v>0.1111111111111111</v>
      </c>
      <c r="S20">
        <f t="shared" si="14"/>
        <v>0.1111111111111111</v>
      </c>
      <c r="T20">
        <f t="shared" si="14"/>
        <v>0.1111111111111111</v>
      </c>
      <c r="U20">
        <f t="shared" si="14"/>
        <v>0.1111111111111111</v>
      </c>
      <c r="V20">
        <f t="shared" si="14"/>
        <v>0.1111111111111111</v>
      </c>
      <c r="W20">
        <f t="shared" si="14"/>
        <v>0.1111111111111111</v>
      </c>
      <c r="X20">
        <f t="shared" si="14"/>
        <v>0.1111111111111111</v>
      </c>
      <c r="Y20">
        <f t="shared" si="14"/>
        <v>0.1111111111111111</v>
      </c>
      <c r="Z20">
        <f t="shared" si="14"/>
        <v>0.1111111111111111</v>
      </c>
      <c r="AA20">
        <f t="shared" si="14"/>
        <v>0.1111111111111111</v>
      </c>
      <c r="AB20">
        <f t="shared" si="14"/>
        <v>0.1111111111111111</v>
      </c>
      <c r="AC20">
        <f t="shared" si="14"/>
        <v>0.1111111111111111</v>
      </c>
      <c r="AD20">
        <f t="shared" si="14"/>
        <v>0.1111111111111111</v>
      </c>
      <c r="AE20">
        <f t="shared" si="14"/>
        <v>0.1111111111111111</v>
      </c>
      <c r="AF20">
        <f t="shared" si="14"/>
        <v>0.1111111111111111</v>
      </c>
      <c r="AG20">
        <f t="shared" si="14"/>
        <v>0.1111111111111111</v>
      </c>
      <c r="AH20">
        <f t="shared" si="14"/>
        <v>0.1111111111111111</v>
      </c>
      <c r="AI20">
        <f t="shared" si="14"/>
        <v>0.1111111111111111</v>
      </c>
      <c r="AJ20">
        <f t="shared" si="14"/>
        <v>0.1111111111111111</v>
      </c>
      <c r="AK20">
        <f t="shared" si="14"/>
        <v>0.1111111111111111</v>
      </c>
      <c r="AL20">
        <f t="shared" si="14"/>
        <v>0.1111111111111111</v>
      </c>
      <c r="AM20">
        <f t="shared" si="14"/>
        <v>0.1111111111111111</v>
      </c>
      <c r="AN20">
        <f t="shared" si="14"/>
        <v>0.1111111111111111</v>
      </c>
      <c r="AO20">
        <f t="shared" si="14"/>
        <v>0.1111111111111111</v>
      </c>
      <c r="AP20">
        <f t="shared" si="14"/>
        <v>0.1111111111111111</v>
      </c>
      <c r="AQ20">
        <f t="shared" si="14"/>
        <v>0.1111111111111111</v>
      </c>
      <c r="AR20">
        <f t="shared" si="14"/>
        <v>0.1111111111111111</v>
      </c>
      <c r="AS20">
        <f t="shared" si="14"/>
        <v>0.1111111111111111</v>
      </c>
      <c r="AT20">
        <f t="shared" si="14"/>
        <v>0.1111111111111111</v>
      </c>
      <c r="AU20">
        <f t="shared" si="14"/>
        <v>0.1111111111111111</v>
      </c>
      <c r="AV20">
        <f t="shared" si="14"/>
        <v>0.1111111111111111</v>
      </c>
      <c r="AW20">
        <f t="shared" si="14"/>
        <v>0.1111111111111111</v>
      </c>
      <c r="AX20">
        <f t="shared" si="14"/>
        <v>0.1111111111111111</v>
      </c>
      <c r="AY20">
        <f t="shared" si="14"/>
        <v>0.1111111111111111</v>
      </c>
      <c r="AZ20">
        <f t="shared" si="14"/>
        <v>0.1111111111111111</v>
      </c>
      <c r="BA20">
        <f t="shared" si="14"/>
        <v>0.1111111111111111</v>
      </c>
      <c r="BB20">
        <f t="shared" si="14"/>
        <v>0.1111111111111111</v>
      </c>
      <c r="BC20">
        <f t="shared" si="14"/>
        <v>0.1111111111111111</v>
      </c>
      <c r="BD20">
        <f t="shared" si="14"/>
        <v>0.1111111111111111</v>
      </c>
      <c r="BE20">
        <f t="shared" si="14"/>
        <v>0.1111111111111111</v>
      </c>
      <c r="BF20">
        <f t="shared" si="14"/>
        <v>0.1111111111111111</v>
      </c>
      <c r="BG20">
        <f t="shared" si="14"/>
        <v>0.1111111111111111</v>
      </c>
      <c r="BH20">
        <f t="shared" si="14"/>
        <v>0.1111111111111111</v>
      </c>
      <c r="BI20">
        <f t="shared" si="14"/>
        <v>0.1111111111111111</v>
      </c>
      <c r="BJ20">
        <f t="shared" si="14"/>
        <v>0.1111111111111111</v>
      </c>
      <c r="BK20">
        <f t="shared" si="14"/>
        <v>0.1111111111111111</v>
      </c>
      <c r="BL20">
        <f t="shared" si="14"/>
        <v>0.1111111111111111</v>
      </c>
      <c r="BM20">
        <f t="shared" si="14"/>
        <v>0.1111111111111111</v>
      </c>
      <c r="BN20">
        <f t="shared" si="14"/>
        <v>0.1111111111111111</v>
      </c>
      <c r="BO20">
        <f t="shared" si="14"/>
        <v>0.1111111111111111</v>
      </c>
      <c r="BP20">
        <f t="shared" si="14"/>
        <v>0.1111111111111111</v>
      </c>
      <c r="BQ20">
        <f t="shared" si="13"/>
        <v>0.1111111111111111</v>
      </c>
      <c r="BR20">
        <f t="shared" si="13"/>
        <v>0.1111111111111111</v>
      </c>
      <c r="BS20">
        <f t="shared" si="13"/>
        <v>0.1111111111111111</v>
      </c>
      <c r="BT20">
        <f t="shared" si="13"/>
        <v>0.1111111111111111</v>
      </c>
      <c r="BU20">
        <f t="shared" si="13"/>
        <v>0.1111111111111111</v>
      </c>
      <c r="BV20">
        <f t="shared" si="13"/>
        <v>0.1111111111111111</v>
      </c>
      <c r="BW20">
        <f t="shared" si="13"/>
        <v>0.1111111111111111</v>
      </c>
      <c r="BX20">
        <f t="shared" si="13"/>
        <v>0.1111111111111111</v>
      </c>
      <c r="BY20">
        <f t="shared" si="13"/>
        <v>0.1111111111111111</v>
      </c>
      <c r="BZ20">
        <f t="shared" si="13"/>
        <v>0.1111111111111111</v>
      </c>
      <c r="CA20">
        <f t="shared" si="13"/>
        <v>0.1111111111111111</v>
      </c>
      <c r="CB20">
        <f t="shared" si="13"/>
        <v>0.1111111111111111</v>
      </c>
      <c r="CC20">
        <f t="shared" si="13"/>
        <v>0.1111111111111111</v>
      </c>
      <c r="CD20">
        <f t="shared" si="13"/>
        <v>0.1111111111111111</v>
      </c>
      <c r="CE20">
        <f t="shared" si="13"/>
        <v>0.1111111111111111</v>
      </c>
      <c r="CF20">
        <f t="shared" si="13"/>
        <v>0.1111111111111111</v>
      </c>
      <c r="CG20">
        <f t="shared" si="13"/>
        <v>0.1111111111111111</v>
      </c>
      <c r="CH20">
        <f t="shared" si="13"/>
        <v>0.1111111111111111</v>
      </c>
      <c r="CI20">
        <f t="shared" si="13"/>
        <v>0.1111111111111111</v>
      </c>
      <c r="CJ20">
        <f t="shared" si="13"/>
        <v>0.1111111111111111</v>
      </c>
      <c r="CK20">
        <f t="shared" si="13"/>
        <v>0.1111111111111111</v>
      </c>
      <c r="CL20">
        <f t="shared" si="13"/>
        <v>0.1111111111111111</v>
      </c>
      <c r="CM20">
        <f t="shared" si="13"/>
        <v>0.1111111111111111</v>
      </c>
      <c r="CN20">
        <f t="shared" si="13"/>
        <v>0.1111111111111111</v>
      </c>
      <c r="CO20">
        <f t="shared" si="13"/>
        <v>0.1111111111111111</v>
      </c>
    </row>
    <row r="21" spans="1:93" x14ac:dyDescent="0.25">
      <c r="A21" t="s">
        <v>57</v>
      </c>
      <c r="B21" t="s">
        <v>7</v>
      </c>
      <c r="C21">
        <f t="shared" si="4"/>
        <v>0.1111111111111111</v>
      </c>
      <c r="D21">
        <f t="shared" si="5"/>
        <v>0.1111111111111111</v>
      </c>
      <c r="E21">
        <f t="shared" si="14"/>
        <v>0.1111111111111111</v>
      </c>
      <c r="F21">
        <f t="shared" si="14"/>
        <v>0.1111111111111111</v>
      </c>
      <c r="G21">
        <f t="shared" si="14"/>
        <v>0.1111111111111111</v>
      </c>
      <c r="H21">
        <f t="shared" si="14"/>
        <v>0.1111111111111111</v>
      </c>
      <c r="I21">
        <f t="shared" si="14"/>
        <v>0.1111111111111111</v>
      </c>
      <c r="J21">
        <f t="shared" si="14"/>
        <v>0.1111111111111111</v>
      </c>
      <c r="K21">
        <f t="shared" si="14"/>
        <v>0.1111111111111111</v>
      </c>
      <c r="L21">
        <f t="shared" si="14"/>
        <v>0.1111111111111111</v>
      </c>
      <c r="M21">
        <f t="shared" si="14"/>
        <v>0.1111111111111111</v>
      </c>
      <c r="N21">
        <f t="shared" si="14"/>
        <v>0.1111111111111111</v>
      </c>
      <c r="O21">
        <f t="shared" si="14"/>
        <v>0.1111111111111111</v>
      </c>
      <c r="P21">
        <f t="shared" si="14"/>
        <v>0.1111111111111111</v>
      </c>
      <c r="Q21">
        <f t="shared" si="14"/>
        <v>0.1111111111111111</v>
      </c>
      <c r="R21">
        <f t="shared" si="14"/>
        <v>0.1111111111111111</v>
      </c>
      <c r="S21">
        <f t="shared" si="14"/>
        <v>0.1111111111111111</v>
      </c>
      <c r="T21">
        <f t="shared" si="14"/>
        <v>0.1111111111111111</v>
      </c>
      <c r="U21">
        <f t="shared" si="14"/>
        <v>0.1111111111111111</v>
      </c>
      <c r="V21">
        <f t="shared" si="14"/>
        <v>0.1111111111111111</v>
      </c>
      <c r="W21">
        <f t="shared" si="14"/>
        <v>0.1111111111111111</v>
      </c>
      <c r="X21">
        <f t="shared" si="14"/>
        <v>0.1111111111111111</v>
      </c>
      <c r="Y21">
        <f t="shared" si="14"/>
        <v>0.1111111111111111</v>
      </c>
      <c r="Z21">
        <f t="shared" si="14"/>
        <v>0.1111111111111111</v>
      </c>
      <c r="AA21">
        <f t="shared" si="14"/>
        <v>0.1111111111111111</v>
      </c>
      <c r="AB21">
        <f t="shared" si="14"/>
        <v>0.1111111111111111</v>
      </c>
      <c r="AC21">
        <f t="shared" si="14"/>
        <v>0.1111111111111111</v>
      </c>
      <c r="AD21">
        <f t="shared" si="14"/>
        <v>0.1111111111111111</v>
      </c>
      <c r="AE21">
        <f t="shared" si="14"/>
        <v>0.1111111111111111</v>
      </c>
      <c r="AF21">
        <f t="shared" si="14"/>
        <v>0.1111111111111111</v>
      </c>
      <c r="AG21">
        <f t="shared" si="14"/>
        <v>0.1111111111111111</v>
      </c>
      <c r="AH21">
        <f t="shared" si="14"/>
        <v>0.1111111111111111</v>
      </c>
      <c r="AI21">
        <f t="shared" si="14"/>
        <v>0.1111111111111111</v>
      </c>
      <c r="AJ21">
        <f t="shared" si="14"/>
        <v>0.1111111111111111</v>
      </c>
      <c r="AK21">
        <f t="shared" si="14"/>
        <v>0.1111111111111111</v>
      </c>
      <c r="AL21">
        <f t="shared" si="14"/>
        <v>0.1111111111111111</v>
      </c>
      <c r="AM21">
        <f t="shared" si="14"/>
        <v>0.1111111111111111</v>
      </c>
      <c r="AN21">
        <f t="shared" si="14"/>
        <v>0.1111111111111111</v>
      </c>
      <c r="AO21">
        <f t="shared" si="14"/>
        <v>0.1111111111111111</v>
      </c>
      <c r="AP21">
        <f t="shared" si="14"/>
        <v>0.1111111111111111</v>
      </c>
      <c r="AQ21">
        <f t="shared" si="14"/>
        <v>0.1111111111111111</v>
      </c>
      <c r="AR21">
        <f t="shared" si="14"/>
        <v>0.1111111111111111</v>
      </c>
      <c r="AS21">
        <f t="shared" si="14"/>
        <v>0.1111111111111111</v>
      </c>
      <c r="AT21">
        <f t="shared" si="14"/>
        <v>0.1111111111111111</v>
      </c>
      <c r="AU21">
        <f t="shared" si="14"/>
        <v>0.1111111111111111</v>
      </c>
      <c r="AV21">
        <f t="shared" si="14"/>
        <v>0.1111111111111111</v>
      </c>
      <c r="AW21">
        <f t="shared" si="14"/>
        <v>0.1111111111111111</v>
      </c>
      <c r="AX21">
        <f t="shared" si="14"/>
        <v>0.1111111111111111</v>
      </c>
      <c r="AY21">
        <f t="shared" si="14"/>
        <v>0.1111111111111111</v>
      </c>
      <c r="AZ21">
        <f t="shared" si="14"/>
        <v>0.1111111111111111</v>
      </c>
      <c r="BA21">
        <f t="shared" si="14"/>
        <v>0.1111111111111111</v>
      </c>
      <c r="BB21">
        <f t="shared" si="14"/>
        <v>0.1111111111111111</v>
      </c>
      <c r="BC21">
        <f t="shared" si="14"/>
        <v>0.1111111111111111</v>
      </c>
      <c r="BD21">
        <f t="shared" si="14"/>
        <v>0.1111111111111111</v>
      </c>
      <c r="BE21">
        <f t="shared" si="14"/>
        <v>0.1111111111111111</v>
      </c>
      <c r="BF21">
        <f t="shared" si="14"/>
        <v>0.1111111111111111</v>
      </c>
      <c r="BG21">
        <f t="shared" si="14"/>
        <v>0.1111111111111111</v>
      </c>
      <c r="BH21">
        <f t="shared" si="14"/>
        <v>0.1111111111111111</v>
      </c>
      <c r="BI21">
        <f t="shared" si="14"/>
        <v>0.1111111111111111</v>
      </c>
      <c r="BJ21">
        <f t="shared" si="14"/>
        <v>0.1111111111111111</v>
      </c>
      <c r="BK21">
        <f t="shared" si="14"/>
        <v>0.1111111111111111</v>
      </c>
      <c r="BL21">
        <f t="shared" si="14"/>
        <v>0.1111111111111111</v>
      </c>
      <c r="BM21">
        <f t="shared" si="14"/>
        <v>0.1111111111111111</v>
      </c>
      <c r="BN21">
        <f t="shared" si="14"/>
        <v>0.1111111111111111</v>
      </c>
      <c r="BO21">
        <f t="shared" si="14"/>
        <v>0.1111111111111111</v>
      </c>
      <c r="BP21">
        <f t="shared" si="14"/>
        <v>0.1111111111111111</v>
      </c>
      <c r="BQ21">
        <f t="shared" si="13"/>
        <v>0.1111111111111111</v>
      </c>
      <c r="BR21">
        <f t="shared" si="13"/>
        <v>0.1111111111111111</v>
      </c>
      <c r="BS21">
        <f t="shared" si="13"/>
        <v>0.1111111111111111</v>
      </c>
      <c r="BT21">
        <f t="shared" si="13"/>
        <v>0.1111111111111111</v>
      </c>
      <c r="BU21">
        <f t="shared" si="13"/>
        <v>0.1111111111111111</v>
      </c>
      <c r="BV21">
        <f t="shared" si="13"/>
        <v>0.1111111111111111</v>
      </c>
      <c r="BW21">
        <f t="shared" si="13"/>
        <v>0.1111111111111111</v>
      </c>
      <c r="BX21">
        <f t="shared" si="13"/>
        <v>0.1111111111111111</v>
      </c>
      <c r="BY21">
        <f t="shared" si="13"/>
        <v>0.1111111111111111</v>
      </c>
      <c r="BZ21">
        <f t="shared" si="13"/>
        <v>0.1111111111111111</v>
      </c>
      <c r="CA21">
        <f t="shared" si="13"/>
        <v>0.1111111111111111</v>
      </c>
      <c r="CB21">
        <f t="shared" si="13"/>
        <v>0.1111111111111111</v>
      </c>
      <c r="CC21">
        <f t="shared" si="13"/>
        <v>0.1111111111111111</v>
      </c>
      <c r="CD21">
        <f t="shared" si="13"/>
        <v>0.1111111111111111</v>
      </c>
      <c r="CE21">
        <f t="shared" si="13"/>
        <v>0.1111111111111111</v>
      </c>
      <c r="CF21">
        <f t="shared" si="13"/>
        <v>0.1111111111111111</v>
      </c>
      <c r="CG21">
        <f t="shared" si="13"/>
        <v>0.1111111111111111</v>
      </c>
      <c r="CH21">
        <f t="shared" si="13"/>
        <v>0.1111111111111111</v>
      </c>
      <c r="CI21">
        <f t="shared" si="13"/>
        <v>0.1111111111111111</v>
      </c>
      <c r="CJ21">
        <f t="shared" si="13"/>
        <v>0.1111111111111111</v>
      </c>
      <c r="CK21">
        <f t="shared" si="13"/>
        <v>0.1111111111111111</v>
      </c>
      <c r="CL21">
        <f t="shared" si="13"/>
        <v>0.1111111111111111</v>
      </c>
      <c r="CM21">
        <f t="shared" si="13"/>
        <v>0.1111111111111111</v>
      </c>
      <c r="CN21">
        <f t="shared" si="13"/>
        <v>0.1111111111111111</v>
      </c>
      <c r="CO21">
        <f t="shared" si="13"/>
        <v>0.1111111111111111</v>
      </c>
    </row>
    <row r="22" spans="1:93" x14ac:dyDescent="0.25">
      <c r="A22" t="s">
        <v>58</v>
      </c>
      <c r="B22" t="s">
        <v>7</v>
      </c>
      <c r="C22">
        <f t="shared" si="4"/>
        <v>0.1111111111111111</v>
      </c>
      <c r="D22">
        <f t="shared" si="5"/>
        <v>0.1111111111111111</v>
      </c>
      <c r="E22">
        <f t="shared" si="14"/>
        <v>0.1111111111111111</v>
      </c>
      <c r="F22">
        <f t="shared" si="14"/>
        <v>0.1111111111111111</v>
      </c>
      <c r="G22">
        <f t="shared" si="14"/>
        <v>0.1111111111111111</v>
      </c>
      <c r="H22">
        <f t="shared" si="14"/>
        <v>0.1111111111111111</v>
      </c>
      <c r="I22">
        <f t="shared" si="14"/>
        <v>0.1111111111111111</v>
      </c>
      <c r="J22">
        <f t="shared" si="14"/>
        <v>0.1111111111111111</v>
      </c>
      <c r="K22">
        <f t="shared" si="14"/>
        <v>0.1111111111111111</v>
      </c>
      <c r="L22">
        <f t="shared" si="14"/>
        <v>0.1111111111111111</v>
      </c>
      <c r="M22">
        <f t="shared" si="14"/>
        <v>0.1111111111111111</v>
      </c>
      <c r="N22">
        <f t="shared" si="14"/>
        <v>0.1111111111111111</v>
      </c>
      <c r="O22">
        <f t="shared" si="14"/>
        <v>0.1111111111111111</v>
      </c>
      <c r="P22">
        <f t="shared" si="14"/>
        <v>0.1111111111111111</v>
      </c>
      <c r="Q22">
        <f t="shared" si="14"/>
        <v>0.1111111111111111</v>
      </c>
      <c r="R22">
        <f t="shared" si="14"/>
        <v>0.1111111111111111</v>
      </c>
      <c r="S22">
        <f t="shared" si="14"/>
        <v>0.1111111111111111</v>
      </c>
      <c r="T22">
        <f t="shared" si="14"/>
        <v>0.1111111111111111</v>
      </c>
      <c r="U22">
        <f t="shared" si="14"/>
        <v>0.1111111111111111</v>
      </c>
      <c r="V22">
        <f t="shared" si="14"/>
        <v>0.1111111111111111</v>
      </c>
      <c r="W22">
        <f t="shared" si="14"/>
        <v>0.1111111111111111</v>
      </c>
      <c r="X22">
        <f t="shared" si="14"/>
        <v>0.1111111111111111</v>
      </c>
      <c r="Y22">
        <f t="shared" si="14"/>
        <v>0.1111111111111111</v>
      </c>
      <c r="Z22">
        <f t="shared" si="14"/>
        <v>0.1111111111111111</v>
      </c>
      <c r="AA22">
        <f t="shared" si="14"/>
        <v>0.1111111111111111</v>
      </c>
      <c r="AB22">
        <f t="shared" si="14"/>
        <v>0.1111111111111111</v>
      </c>
      <c r="AC22">
        <f t="shared" si="14"/>
        <v>0.1111111111111111</v>
      </c>
      <c r="AD22">
        <f t="shared" si="14"/>
        <v>0.1111111111111111</v>
      </c>
      <c r="AE22">
        <f t="shared" si="14"/>
        <v>0.1111111111111111</v>
      </c>
      <c r="AF22">
        <f t="shared" si="14"/>
        <v>0.1111111111111111</v>
      </c>
      <c r="AG22">
        <f t="shared" si="14"/>
        <v>0.1111111111111111</v>
      </c>
      <c r="AH22">
        <f t="shared" si="14"/>
        <v>0.1111111111111111</v>
      </c>
      <c r="AI22">
        <f t="shared" si="14"/>
        <v>0.1111111111111111</v>
      </c>
      <c r="AJ22">
        <f t="shared" si="14"/>
        <v>0.1111111111111111</v>
      </c>
      <c r="AK22">
        <f t="shared" si="14"/>
        <v>0.1111111111111111</v>
      </c>
      <c r="AL22">
        <f t="shared" si="14"/>
        <v>0.1111111111111111</v>
      </c>
      <c r="AM22">
        <f t="shared" si="14"/>
        <v>0.1111111111111111</v>
      </c>
      <c r="AN22">
        <f t="shared" si="14"/>
        <v>0.1111111111111111</v>
      </c>
      <c r="AO22">
        <f t="shared" si="14"/>
        <v>0.1111111111111111</v>
      </c>
      <c r="AP22">
        <f t="shared" si="14"/>
        <v>0.1111111111111111</v>
      </c>
      <c r="AQ22">
        <f t="shared" si="14"/>
        <v>0.1111111111111111</v>
      </c>
      <c r="AR22">
        <f t="shared" si="14"/>
        <v>0.1111111111111111</v>
      </c>
      <c r="AS22">
        <f t="shared" si="14"/>
        <v>0.1111111111111111</v>
      </c>
      <c r="AT22">
        <f t="shared" si="14"/>
        <v>0.1111111111111111</v>
      </c>
      <c r="AU22">
        <f t="shared" si="14"/>
        <v>0.1111111111111111</v>
      </c>
      <c r="AV22">
        <f t="shared" si="14"/>
        <v>0.1111111111111111</v>
      </c>
      <c r="AW22">
        <f t="shared" si="14"/>
        <v>0.1111111111111111</v>
      </c>
      <c r="AX22">
        <f t="shared" si="14"/>
        <v>0.1111111111111111</v>
      </c>
      <c r="AY22">
        <f t="shared" si="14"/>
        <v>0.1111111111111111</v>
      </c>
      <c r="AZ22">
        <f t="shared" si="14"/>
        <v>0.1111111111111111</v>
      </c>
      <c r="BA22">
        <f t="shared" si="14"/>
        <v>0.1111111111111111</v>
      </c>
      <c r="BB22">
        <f t="shared" si="14"/>
        <v>0.1111111111111111</v>
      </c>
      <c r="BC22">
        <f t="shared" si="14"/>
        <v>0.1111111111111111</v>
      </c>
      <c r="BD22">
        <f t="shared" si="14"/>
        <v>0.1111111111111111</v>
      </c>
      <c r="BE22">
        <f t="shared" si="14"/>
        <v>0.1111111111111111</v>
      </c>
      <c r="BF22">
        <f t="shared" si="14"/>
        <v>0.1111111111111111</v>
      </c>
      <c r="BG22">
        <f t="shared" si="14"/>
        <v>0.1111111111111111</v>
      </c>
      <c r="BH22">
        <f t="shared" si="14"/>
        <v>0.1111111111111111</v>
      </c>
      <c r="BI22">
        <f t="shared" si="14"/>
        <v>0.1111111111111111</v>
      </c>
      <c r="BJ22">
        <f t="shared" si="14"/>
        <v>0.1111111111111111</v>
      </c>
      <c r="BK22">
        <f t="shared" si="14"/>
        <v>0.1111111111111111</v>
      </c>
      <c r="BL22">
        <f t="shared" si="14"/>
        <v>0.1111111111111111</v>
      </c>
      <c r="BM22">
        <f t="shared" si="14"/>
        <v>0.1111111111111111</v>
      </c>
      <c r="BN22">
        <f t="shared" si="14"/>
        <v>0.1111111111111111</v>
      </c>
      <c r="BO22">
        <f t="shared" si="14"/>
        <v>0.1111111111111111</v>
      </c>
      <c r="BP22">
        <f t="shared" si="14"/>
        <v>0.1111111111111111</v>
      </c>
      <c r="BQ22">
        <f t="shared" si="13"/>
        <v>0.1111111111111111</v>
      </c>
      <c r="BR22">
        <f t="shared" si="13"/>
        <v>0.1111111111111111</v>
      </c>
      <c r="BS22">
        <f t="shared" si="13"/>
        <v>0.1111111111111111</v>
      </c>
      <c r="BT22">
        <f t="shared" si="13"/>
        <v>0.1111111111111111</v>
      </c>
      <c r="BU22">
        <f t="shared" si="13"/>
        <v>0.1111111111111111</v>
      </c>
      <c r="BV22">
        <f t="shared" si="13"/>
        <v>0.1111111111111111</v>
      </c>
      <c r="BW22">
        <f t="shared" si="13"/>
        <v>0.1111111111111111</v>
      </c>
      <c r="BX22">
        <f t="shared" si="13"/>
        <v>0.1111111111111111</v>
      </c>
      <c r="BY22">
        <f t="shared" si="13"/>
        <v>0.1111111111111111</v>
      </c>
      <c r="BZ22">
        <f t="shared" si="13"/>
        <v>0.1111111111111111</v>
      </c>
      <c r="CA22">
        <f t="shared" si="13"/>
        <v>0.1111111111111111</v>
      </c>
      <c r="CB22">
        <f t="shared" si="13"/>
        <v>0.1111111111111111</v>
      </c>
      <c r="CC22">
        <f t="shared" si="13"/>
        <v>0.1111111111111111</v>
      </c>
      <c r="CD22">
        <f t="shared" si="13"/>
        <v>0.1111111111111111</v>
      </c>
      <c r="CE22">
        <f t="shared" si="13"/>
        <v>0.1111111111111111</v>
      </c>
      <c r="CF22">
        <f t="shared" si="13"/>
        <v>0.1111111111111111</v>
      </c>
      <c r="CG22">
        <f t="shared" si="13"/>
        <v>0.1111111111111111</v>
      </c>
      <c r="CH22">
        <f t="shared" si="13"/>
        <v>0.1111111111111111</v>
      </c>
      <c r="CI22">
        <f t="shared" si="13"/>
        <v>0.1111111111111111</v>
      </c>
      <c r="CJ22">
        <f t="shared" si="13"/>
        <v>0.1111111111111111</v>
      </c>
      <c r="CK22">
        <f t="shared" si="13"/>
        <v>0.1111111111111111</v>
      </c>
      <c r="CL22">
        <f t="shared" si="13"/>
        <v>0.1111111111111111</v>
      </c>
      <c r="CM22">
        <f t="shared" si="13"/>
        <v>0.1111111111111111</v>
      </c>
      <c r="CN22">
        <f t="shared" si="13"/>
        <v>0.1111111111111111</v>
      </c>
      <c r="CO22">
        <f t="shared" si="13"/>
        <v>0.1111111111111111</v>
      </c>
    </row>
    <row r="23" spans="1:93" x14ac:dyDescent="0.25">
      <c r="A23" t="s">
        <v>61</v>
      </c>
      <c r="B23" t="s">
        <v>7</v>
      </c>
      <c r="C23">
        <f t="shared" si="4"/>
        <v>0.1111111111111111</v>
      </c>
      <c r="D23">
        <f t="shared" si="5"/>
        <v>0.1111111111111111</v>
      </c>
      <c r="E23">
        <f t="shared" si="14"/>
        <v>0.1111111111111111</v>
      </c>
      <c r="F23">
        <f t="shared" si="14"/>
        <v>0.1111111111111111</v>
      </c>
      <c r="G23">
        <f t="shared" si="14"/>
        <v>0.1111111111111111</v>
      </c>
      <c r="H23">
        <f t="shared" si="14"/>
        <v>0.1111111111111111</v>
      </c>
      <c r="I23">
        <f t="shared" si="14"/>
        <v>0.1111111111111111</v>
      </c>
      <c r="J23">
        <f t="shared" si="14"/>
        <v>0.1111111111111111</v>
      </c>
      <c r="K23">
        <f t="shared" si="14"/>
        <v>0.1111111111111111</v>
      </c>
      <c r="L23">
        <f t="shared" si="14"/>
        <v>0.1111111111111111</v>
      </c>
      <c r="M23">
        <f t="shared" si="14"/>
        <v>0.1111111111111111</v>
      </c>
      <c r="N23">
        <f t="shared" si="14"/>
        <v>0.1111111111111111</v>
      </c>
      <c r="O23">
        <f t="shared" si="14"/>
        <v>0.1111111111111111</v>
      </c>
      <c r="P23">
        <f t="shared" si="14"/>
        <v>0.1111111111111111</v>
      </c>
      <c r="Q23">
        <f t="shared" si="14"/>
        <v>0.1111111111111111</v>
      </c>
      <c r="R23">
        <f t="shared" si="14"/>
        <v>0.1111111111111111</v>
      </c>
      <c r="S23">
        <f t="shared" si="14"/>
        <v>0.1111111111111111</v>
      </c>
      <c r="T23">
        <f t="shared" si="14"/>
        <v>0.1111111111111111</v>
      </c>
      <c r="U23">
        <f t="shared" si="14"/>
        <v>0.1111111111111111</v>
      </c>
      <c r="V23">
        <f t="shared" si="14"/>
        <v>0.1111111111111111</v>
      </c>
      <c r="W23">
        <f t="shared" si="14"/>
        <v>0.1111111111111111</v>
      </c>
      <c r="X23">
        <f t="shared" si="14"/>
        <v>0.1111111111111111</v>
      </c>
      <c r="Y23">
        <f t="shared" si="14"/>
        <v>0.1111111111111111</v>
      </c>
      <c r="Z23">
        <f t="shared" si="14"/>
        <v>0.1111111111111111</v>
      </c>
      <c r="AA23">
        <f t="shared" si="14"/>
        <v>0.1111111111111111</v>
      </c>
      <c r="AB23">
        <f t="shared" si="14"/>
        <v>0.1111111111111111</v>
      </c>
      <c r="AC23">
        <f t="shared" si="14"/>
        <v>0.1111111111111111</v>
      </c>
      <c r="AD23">
        <f t="shared" si="14"/>
        <v>0.1111111111111111</v>
      </c>
      <c r="AE23">
        <f t="shared" si="14"/>
        <v>0.1111111111111111</v>
      </c>
      <c r="AF23">
        <f t="shared" si="14"/>
        <v>0.1111111111111111</v>
      </c>
      <c r="AG23">
        <f t="shared" si="14"/>
        <v>0.1111111111111111</v>
      </c>
      <c r="AH23">
        <f t="shared" si="14"/>
        <v>0.1111111111111111</v>
      </c>
      <c r="AI23">
        <f t="shared" si="14"/>
        <v>0.1111111111111111</v>
      </c>
      <c r="AJ23">
        <f t="shared" si="14"/>
        <v>0.1111111111111111</v>
      </c>
      <c r="AK23">
        <f t="shared" si="14"/>
        <v>0.1111111111111111</v>
      </c>
      <c r="AL23">
        <f t="shared" si="14"/>
        <v>0.1111111111111111</v>
      </c>
      <c r="AM23">
        <f t="shared" si="14"/>
        <v>0.1111111111111111</v>
      </c>
      <c r="AN23">
        <f t="shared" si="14"/>
        <v>0.1111111111111111</v>
      </c>
      <c r="AO23">
        <f t="shared" si="14"/>
        <v>0.1111111111111111</v>
      </c>
      <c r="AP23">
        <f t="shared" si="14"/>
        <v>0.1111111111111111</v>
      </c>
      <c r="AQ23">
        <f t="shared" si="14"/>
        <v>0.1111111111111111</v>
      </c>
      <c r="AR23">
        <f t="shared" si="14"/>
        <v>0.1111111111111111</v>
      </c>
      <c r="AS23">
        <f t="shared" si="14"/>
        <v>0.1111111111111111</v>
      </c>
      <c r="AT23">
        <f t="shared" si="14"/>
        <v>0.1111111111111111</v>
      </c>
      <c r="AU23">
        <f t="shared" si="14"/>
        <v>0.1111111111111111</v>
      </c>
      <c r="AV23">
        <f t="shared" si="14"/>
        <v>0.1111111111111111</v>
      </c>
      <c r="AW23">
        <f t="shared" si="14"/>
        <v>0.1111111111111111</v>
      </c>
      <c r="AX23">
        <f t="shared" si="14"/>
        <v>0.1111111111111111</v>
      </c>
      <c r="AY23">
        <f t="shared" si="14"/>
        <v>0.1111111111111111</v>
      </c>
      <c r="AZ23">
        <f t="shared" si="14"/>
        <v>0.1111111111111111</v>
      </c>
      <c r="BA23">
        <f t="shared" si="14"/>
        <v>0.1111111111111111</v>
      </c>
      <c r="BB23">
        <f t="shared" si="14"/>
        <v>0.1111111111111111</v>
      </c>
      <c r="BC23">
        <f t="shared" si="14"/>
        <v>0.1111111111111111</v>
      </c>
      <c r="BD23">
        <f t="shared" si="14"/>
        <v>0.1111111111111111</v>
      </c>
      <c r="BE23">
        <f t="shared" si="14"/>
        <v>0.1111111111111111</v>
      </c>
      <c r="BF23">
        <f t="shared" si="14"/>
        <v>0.1111111111111111</v>
      </c>
      <c r="BG23">
        <f t="shared" si="14"/>
        <v>0.1111111111111111</v>
      </c>
      <c r="BH23">
        <f t="shared" si="14"/>
        <v>0.1111111111111111</v>
      </c>
      <c r="BI23">
        <f t="shared" si="14"/>
        <v>0.1111111111111111</v>
      </c>
      <c r="BJ23">
        <f t="shared" si="14"/>
        <v>0.1111111111111111</v>
      </c>
      <c r="BK23">
        <f t="shared" si="14"/>
        <v>0.1111111111111111</v>
      </c>
      <c r="BL23">
        <f t="shared" si="14"/>
        <v>0.1111111111111111</v>
      </c>
      <c r="BM23">
        <f t="shared" si="14"/>
        <v>0.1111111111111111</v>
      </c>
      <c r="BN23">
        <f t="shared" si="14"/>
        <v>0.1111111111111111</v>
      </c>
      <c r="BO23">
        <f t="shared" si="14"/>
        <v>0.1111111111111111</v>
      </c>
      <c r="BP23">
        <f t="shared" ref="BP23:CO26" si="15">BO23</f>
        <v>0.1111111111111111</v>
      </c>
      <c r="BQ23">
        <f t="shared" si="15"/>
        <v>0.1111111111111111</v>
      </c>
      <c r="BR23">
        <f t="shared" si="15"/>
        <v>0.1111111111111111</v>
      </c>
      <c r="BS23">
        <f t="shared" si="15"/>
        <v>0.1111111111111111</v>
      </c>
      <c r="BT23">
        <f t="shared" si="15"/>
        <v>0.1111111111111111</v>
      </c>
      <c r="BU23">
        <f t="shared" si="15"/>
        <v>0.1111111111111111</v>
      </c>
      <c r="BV23">
        <f t="shared" si="15"/>
        <v>0.1111111111111111</v>
      </c>
      <c r="BW23">
        <f t="shared" si="15"/>
        <v>0.1111111111111111</v>
      </c>
      <c r="BX23">
        <f t="shared" si="15"/>
        <v>0.1111111111111111</v>
      </c>
      <c r="BY23">
        <f t="shared" si="15"/>
        <v>0.1111111111111111</v>
      </c>
      <c r="BZ23">
        <f t="shared" si="15"/>
        <v>0.1111111111111111</v>
      </c>
      <c r="CA23">
        <f t="shared" si="15"/>
        <v>0.1111111111111111</v>
      </c>
      <c r="CB23">
        <f t="shared" si="15"/>
        <v>0.1111111111111111</v>
      </c>
      <c r="CC23">
        <f t="shared" si="15"/>
        <v>0.1111111111111111</v>
      </c>
      <c r="CD23">
        <f t="shared" si="15"/>
        <v>0.1111111111111111</v>
      </c>
      <c r="CE23">
        <f t="shared" si="15"/>
        <v>0.1111111111111111</v>
      </c>
      <c r="CF23">
        <f t="shared" si="15"/>
        <v>0.1111111111111111</v>
      </c>
      <c r="CG23">
        <f t="shared" si="15"/>
        <v>0.1111111111111111</v>
      </c>
      <c r="CH23">
        <f t="shared" si="15"/>
        <v>0.1111111111111111</v>
      </c>
      <c r="CI23">
        <f t="shared" si="15"/>
        <v>0.1111111111111111</v>
      </c>
      <c r="CJ23">
        <f t="shared" si="15"/>
        <v>0.1111111111111111</v>
      </c>
      <c r="CK23">
        <f t="shared" si="15"/>
        <v>0.1111111111111111</v>
      </c>
      <c r="CL23">
        <f t="shared" si="15"/>
        <v>0.1111111111111111</v>
      </c>
      <c r="CM23">
        <f t="shared" si="15"/>
        <v>0.1111111111111111</v>
      </c>
      <c r="CN23">
        <f t="shared" si="15"/>
        <v>0.1111111111111111</v>
      </c>
      <c r="CO23">
        <f t="shared" si="15"/>
        <v>0.1111111111111111</v>
      </c>
    </row>
    <row r="24" spans="1:93" x14ac:dyDescent="0.25">
      <c r="A24" t="s">
        <v>62</v>
      </c>
      <c r="B24" t="s">
        <v>7</v>
      </c>
      <c r="C24">
        <f t="shared" si="4"/>
        <v>0.1111111111111111</v>
      </c>
      <c r="D24">
        <f t="shared" si="5"/>
        <v>0.1111111111111111</v>
      </c>
      <c r="E24">
        <f t="shared" ref="E24:BP27" si="16">D24</f>
        <v>0.1111111111111111</v>
      </c>
      <c r="F24">
        <f t="shared" si="16"/>
        <v>0.1111111111111111</v>
      </c>
      <c r="G24">
        <f t="shared" si="16"/>
        <v>0.1111111111111111</v>
      </c>
      <c r="H24">
        <f t="shared" si="16"/>
        <v>0.1111111111111111</v>
      </c>
      <c r="I24">
        <f t="shared" si="16"/>
        <v>0.1111111111111111</v>
      </c>
      <c r="J24">
        <f t="shared" si="16"/>
        <v>0.1111111111111111</v>
      </c>
      <c r="K24">
        <f t="shared" si="16"/>
        <v>0.1111111111111111</v>
      </c>
      <c r="L24">
        <f t="shared" si="16"/>
        <v>0.1111111111111111</v>
      </c>
      <c r="M24">
        <f t="shared" si="16"/>
        <v>0.1111111111111111</v>
      </c>
      <c r="N24">
        <f t="shared" si="16"/>
        <v>0.1111111111111111</v>
      </c>
      <c r="O24">
        <f t="shared" si="16"/>
        <v>0.1111111111111111</v>
      </c>
      <c r="P24">
        <f t="shared" si="16"/>
        <v>0.1111111111111111</v>
      </c>
      <c r="Q24">
        <f t="shared" si="16"/>
        <v>0.1111111111111111</v>
      </c>
      <c r="R24">
        <f t="shared" si="16"/>
        <v>0.1111111111111111</v>
      </c>
      <c r="S24">
        <f t="shared" si="16"/>
        <v>0.1111111111111111</v>
      </c>
      <c r="T24">
        <f t="shared" si="16"/>
        <v>0.1111111111111111</v>
      </c>
      <c r="U24">
        <f t="shared" si="16"/>
        <v>0.1111111111111111</v>
      </c>
      <c r="V24">
        <f t="shared" si="16"/>
        <v>0.1111111111111111</v>
      </c>
      <c r="W24">
        <f t="shared" si="16"/>
        <v>0.1111111111111111</v>
      </c>
      <c r="X24">
        <f t="shared" si="16"/>
        <v>0.1111111111111111</v>
      </c>
      <c r="Y24">
        <f t="shared" si="16"/>
        <v>0.1111111111111111</v>
      </c>
      <c r="Z24">
        <f t="shared" si="16"/>
        <v>0.1111111111111111</v>
      </c>
      <c r="AA24">
        <f t="shared" si="16"/>
        <v>0.1111111111111111</v>
      </c>
      <c r="AB24">
        <f t="shared" si="16"/>
        <v>0.1111111111111111</v>
      </c>
      <c r="AC24">
        <f t="shared" si="16"/>
        <v>0.1111111111111111</v>
      </c>
      <c r="AD24">
        <f t="shared" si="16"/>
        <v>0.1111111111111111</v>
      </c>
      <c r="AE24">
        <f t="shared" si="16"/>
        <v>0.1111111111111111</v>
      </c>
      <c r="AF24">
        <f t="shared" si="16"/>
        <v>0.1111111111111111</v>
      </c>
      <c r="AG24">
        <f t="shared" si="16"/>
        <v>0.1111111111111111</v>
      </c>
      <c r="AH24">
        <f t="shared" si="16"/>
        <v>0.1111111111111111</v>
      </c>
      <c r="AI24">
        <f t="shared" si="16"/>
        <v>0.1111111111111111</v>
      </c>
      <c r="AJ24">
        <f t="shared" si="16"/>
        <v>0.1111111111111111</v>
      </c>
      <c r="AK24">
        <f t="shared" si="16"/>
        <v>0.1111111111111111</v>
      </c>
      <c r="AL24">
        <f t="shared" si="16"/>
        <v>0.1111111111111111</v>
      </c>
      <c r="AM24">
        <f t="shared" si="16"/>
        <v>0.1111111111111111</v>
      </c>
      <c r="AN24">
        <f t="shared" si="16"/>
        <v>0.1111111111111111</v>
      </c>
      <c r="AO24">
        <f t="shared" si="16"/>
        <v>0.1111111111111111</v>
      </c>
      <c r="AP24">
        <f t="shared" si="16"/>
        <v>0.1111111111111111</v>
      </c>
      <c r="AQ24">
        <f t="shared" si="16"/>
        <v>0.1111111111111111</v>
      </c>
      <c r="AR24">
        <f t="shared" si="16"/>
        <v>0.1111111111111111</v>
      </c>
      <c r="AS24">
        <f t="shared" si="16"/>
        <v>0.1111111111111111</v>
      </c>
      <c r="AT24">
        <f t="shared" si="16"/>
        <v>0.1111111111111111</v>
      </c>
      <c r="AU24">
        <f t="shared" si="16"/>
        <v>0.1111111111111111</v>
      </c>
      <c r="AV24">
        <f t="shared" si="16"/>
        <v>0.1111111111111111</v>
      </c>
      <c r="AW24">
        <f t="shared" si="16"/>
        <v>0.1111111111111111</v>
      </c>
      <c r="AX24">
        <f t="shared" si="16"/>
        <v>0.1111111111111111</v>
      </c>
      <c r="AY24">
        <f t="shared" si="16"/>
        <v>0.1111111111111111</v>
      </c>
      <c r="AZ24">
        <f t="shared" si="16"/>
        <v>0.1111111111111111</v>
      </c>
      <c r="BA24">
        <f t="shared" si="16"/>
        <v>0.1111111111111111</v>
      </c>
      <c r="BB24">
        <f t="shared" si="16"/>
        <v>0.1111111111111111</v>
      </c>
      <c r="BC24">
        <f t="shared" si="16"/>
        <v>0.1111111111111111</v>
      </c>
      <c r="BD24">
        <f t="shared" si="16"/>
        <v>0.1111111111111111</v>
      </c>
      <c r="BE24">
        <f t="shared" si="16"/>
        <v>0.1111111111111111</v>
      </c>
      <c r="BF24">
        <f t="shared" si="16"/>
        <v>0.1111111111111111</v>
      </c>
      <c r="BG24">
        <f t="shared" si="16"/>
        <v>0.1111111111111111</v>
      </c>
      <c r="BH24">
        <f t="shared" si="16"/>
        <v>0.1111111111111111</v>
      </c>
      <c r="BI24">
        <f t="shared" si="16"/>
        <v>0.1111111111111111</v>
      </c>
      <c r="BJ24">
        <f t="shared" si="16"/>
        <v>0.1111111111111111</v>
      </c>
      <c r="BK24">
        <f t="shared" si="16"/>
        <v>0.1111111111111111</v>
      </c>
      <c r="BL24">
        <f t="shared" si="16"/>
        <v>0.1111111111111111</v>
      </c>
      <c r="BM24">
        <f t="shared" si="16"/>
        <v>0.1111111111111111</v>
      </c>
      <c r="BN24">
        <f t="shared" si="16"/>
        <v>0.1111111111111111</v>
      </c>
      <c r="BO24">
        <f t="shared" si="16"/>
        <v>0.1111111111111111</v>
      </c>
      <c r="BP24">
        <f t="shared" si="16"/>
        <v>0.1111111111111111</v>
      </c>
      <c r="BQ24">
        <f t="shared" si="15"/>
        <v>0.1111111111111111</v>
      </c>
      <c r="BR24">
        <f t="shared" si="15"/>
        <v>0.1111111111111111</v>
      </c>
      <c r="BS24">
        <f t="shared" si="15"/>
        <v>0.1111111111111111</v>
      </c>
      <c r="BT24">
        <f t="shared" si="15"/>
        <v>0.1111111111111111</v>
      </c>
      <c r="BU24">
        <f t="shared" si="15"/>
        <v>0.1111111111111111</v>
      </c>
      <c r="BV24">
        <f t="shared" si="15"/>
        <v>0.1111111111111111</v>
      </c>
      <c r="BW24">
        <f t="shared" si="15"/>
        <v>0.1111111111111111</v>
      </c>
      <c r="BX24">
        <f t="shared" si="15"/>
        <v>0.1111111111111111</v>
      </c>
      <c r="BY24">
        <f t="shared" si="15"/>
        <v>0.1111111111111111</v>
      </c>
      <c r="BZ24">
        <f t="shared" si="15"/>
        <v>0.1111111111111111</v>
      </c>
      <c r="CA24">
        <f t="shared" si="15"/>
        <v>0.1111111111111111</v>
      </c>
      <c r="CB24">
        <f t="shared" si="15"/>
        <v>0.1111111111111111</v>
      </c>
      <c r="CC24">
        <f t="shared" si="15"/>
        <v>0.1111111111111111</v>
      </c>
      <c r="CD24">
        <f t="shared" si="15"/>
        <v>0.1111111111111111</v>
      </c>
      <c r="CE24">
        <f t="shared" si="15"/>
        <v>0.1111111111111111</v>
      </c>
      <c r="CF24">
        <f t="shared" si="15"/>
        <v>0.1111111111111111</v>
      </c>
      <c r="CG24">
        <f t="shared" si="15"/>
        <v>0.1111111111111111</v>
      </c>
      <c r="CH24">
        <f t="shared" si="15"/>
        <v>0.1111111111111111</v>
      </c>
      <c r="CI24">
        <f t="shared" si="15"/>
        <v>0.1111111111111111</v>
      </c>
      <c r="CJ24">
        <f t="shared" si="15"/>
        <v>0.1111111111111111</v>
      </c>
      <c r="CK24">
        <f t="shared" si="15"/>
        <v>0.1111111111111111</v>
      </c>
      <c r="CL24">
        <f t="shared" si="15"/>
        <v>0.1111111111111111</v>
      </c>
      <c r="CM24">
        <f t="shared" si="15"/>
        <v>0.1111111111111111</v>
      </c>
      <c r="CN24">
        <f t="shared" si="15"/>
        <v>0.1111111111111111</v>
      </c>
      <c r="CO24">
        <f t="shared" si="15"/>
        <v>0.1111111111111111</v>
      </c>
    </row>
    <row r="25" spans="1:93" x14ac:dyDescent="0.25">
      <c r="A25" t="s">
        <v>63</v>
      </c>
      <c r="B25" t="s">
        <v>7</v>
      </c>
      <c r="C25">
        <f t="shared" si="4"/>
        <v>0.1111111111111111</v>
      </c>
      <c r="D25">
        <f t="shared" si="5"/>
        <v>0.1111111111111111</v>
      </c>
      <c r="E25">
        <f t="shared" si="16"/>
        <v>0.1111111111111111</v>
      </c>
      <c r="F25">
        <f t="shared" si="16"/>
        <v>0.1111111111111111</v>
      </c>
      <c r="G25">
        <f t="shared" si="16"/>
        <v>0.1111111111111111</v>
      </c>
      <c r="H25">
        <f t="shared" si="16"/>
        <v>0.1111111111111111</v>
      </c>
      <c r="I25">
        <f t="shared" si="16"/>
        <v>0.1111111111111111</v>
      </c>
      <c r="J25">
        <f t="shared" si="16"/>
        <v>0.1111111111111111</v>
      </c>
      <c r="K25">
        <f t="shared" si="16"/>
        <v>0.1111111111111111</v>
      </c>
      <c r="L25">
        <f t="shared" si="16"/>
        <v>0.1111111111111111</v>
      </c>
      <c r="M25">
        <f t="shared" si="16"/>
        <v>0.1111111111111111</v>
      </c>
      <c r="N25">
        <f t="shared" si="16"/>
        <v>0.1111111111111111</v>
      </c>
      <c r="O25">
        <f t="shared" si="16"/>
        <v>0.1111111111111111</v>
      </c>
      <c r="P25">
        <f t="shared" si="16"/>
        <v>0.1111111111111111</v>
      </c>
      <c r="Q25">
        <f t="shared" si="16"/>
        <v>0.1111111111111111</v>
      </c>
      <c r="R25">
        <f t="shared" si="16"/>
        <v>0.1111111111111111</v>
      </c>
      <c r="S25">
        <f t="shared" si="16"/>
        <v>0.1111111111111111</v>
      </c>
      <c r="T25">
        <f t="shared" si="16"/>
        <v>0.1111111111111111</v>
      </c>
      <c r="U25">
        <f t="shared" si="16"/>
        <v>0.1111111111111111</v>
      </c>
      <c r="V25">
        <f t="shared" si="16"/>
        <v>0.1111111111111111</v>
      </c>
      <c r="W25">
        <f t="shared" si="16"/>
        <v>0.1111111111111111</v>
      </c>
      <c r="X25">
        <f t="shared" si="16"/>
        <v>0.1111111111111111</v>
      </c>
      <c r="Y25">
        <f t="shared" si="16"/>
        <v>0.1111111111111111</v>
      </c>
      <c r="Z25">
        <f t="shared" si="16"/>
        <v>0.1111111111111111</v>
      </c>
      <c r="AA25">
        <f t="shared" si="16"/>
        <v>0.1111111111111111</v>
      </c>
      <c r="AB25">
        <f t="shared" si="16"/>
        <v>0.1111111111111111</v>
      </c>
      <c r="AC25">
        <f t="shared" si="16"/>
        <v>0.1111111111111111</v>
      </c>
      <c r="AD25">
        <f t="shared" si="16"/>
        <v>0.1111111111111111</v>
      </c>
      <c r="AE25">
        <f t="shared" si="16"/>
        <v>0.1111111111111111</v>
      </c>
      <c r="AF25">
        <f t="shared" si="16"/>
        <v>0.1111111111111111</v>
      </c>
      <c r="AG25">
        <f t="shared" si="16"/>
        <v>0.1111111111111111</v>
      </c>
      <c r="AH25">
        <f t="shared" si="16"/>
        <v>0.1111111111111111</v>
      </c>
      <c r="AI25">
        <f t="shared" si="16"/>
        <v>0.1111111111111111</v>
      </c>
      <c r="AJ25">
        <f t="shared" si="16"/>
        <v>0.1111111111111111</v>
      </c>
      <c r="AK25">
        <f t="shared" si="16"/>
        <v>0.1111111111111111</v>
      </c>
      <c r="AL25">
        <f t="shared" si="16"/>
        <v>0.1111111111111111</v>
      </c>
      <c r="AM25">
        <f t="shared" si="16"/>
        <v>0.1111111111111111</v>
      </c>
      <c r="AN25">
        <f t="shared" si="16"/>
        <v>0.1111111111111111</v>
      </c>
      <c r="AO25">
        <f t="shared" si="16"/>
        <v>0.1111111111111111</v>
      </c>
      <c r="AP25">
        <f t="shared" si="16"/>
        <v>0.1111111111111111</v>
      </c>
      <c r="AQ25">
        <f t="shared" si="16"/>
        <v>0.1111111111111111</v>
      </c>
      <c r="AR25">
        <f t="shared" si="16"/>
        <v>0.1111111111111111</v>
      </c>
      <c r="AS25">
        <f t="shared" si="16"/>
        <v>0.1111111111111111</v>
      </c>
      <c r="AT25">
        <f t="shared" si="16"/>
        <v>0.1111111111111111</v>
      </c>
      <c r="AU25">
        <f t="shared" si="16"/>
        <v>0.1111111111111111</v>
      </c>
      <c r="AV25">
        <f t="shared" si="16"/>
        <v>0.1111111111111111</v>
      </c>
      <c r="AW25">
        <f t="shared" si="16"/>
        <v>0.1111111111111111</v>
      </c>
      <c r="AX25">
        <f t="shared" si="16"/>
        <v>0.1111111111111111</v>
      </c>
      <c r="AY25">
        <f t="shared" si="16"/>
        <v>0.1111111111111111</v>
      </c>
      <c r="AZ25">
        <f t="shared" si="16"/>
        <v>0.1111111111111111</v>
      </c>
      <c r="BA25">
        <f t="shared" si="16"/>
        <v>0.1111111111111111</v>
      </c>
      <c r="BB25">
        <f t="shared" si="16"/>
        <v>0.1111111111111111</v>
      </c>
      <c r="BC25">
        <f t="shared" si="16"/>
        <v>0.1111111111111111</v>
      </c>
      <c r="BD25">
        <f t="shared" si="16"/>
        <v>0.1111111111111111</v>
      </c>
      <c r="BE25">
        <f t="shared" si="16"/>
        <v>0.1111111111111111</v>
      </c>
      <c r="BF25">
        <f t="shared" si="16"/>
        <v>0.1111111111111111</v>
      </c>
      <c r="BG25">
        <f t="shared" si="16"/>
        <v>0.1111111111111111</v>
      </c>
      <c r="BH25">
        <f t="shared" si="16"/>
        <v>0.1111111111111111</v>
      </c>
      <c r="BI25">
        <f t="shared" si="16"/>
        <v>0.1111111111111111</v>
      </c>
      <c r="BJ25">
        <f t="shared" si="16"/>
        <v>0.1111111111111111</v>
      </c>
      <c r="BK25">
        <f t="shared" si="16"/>
        <v>0.1111111111111111</v>
      </c>
      <c r="BL25">
        <f t="shared" si="16"/>
        <v>0.1111111111111111</v>
      </c>
      <c r="BM25">
        <f t="shared" si="16"/>
        <v>0.1111111111111111</v>
      </c>
      <c r="BN25">
        <f t="shared" si="16"/>
        <v>0.1111111111111111</v>
      </c>
      <c r="BO25">
        <f t="shared" si="16"/>
        <v>0.1111111111111111</v>
      </c>
      <c r="BP25">
        <f t="shared" si="16"/>
        <v>0.1111111111111111</v>
      </c>
      <c r="BQ25">
        <f t="shared" si="15"/>
        <v>0.1111111111111111</v>
      </c>
      <c r="BR25">
        <f t="shared" si="15"/>
        <v>0.1111111111111111</v>
      </c>
      <c r="BS25">
        <f t="shared" si="15"/>
        <v>0.1111111111111111</v>
      </c>
      <c r="BT25">
        <f t="shared" si="15"/>
        <v>0.1111111111111111</v>
      </c>
      <c r="BU25">
        <f t="shared" si="15"/>
        <v>0.1111111111111111</v>
      </c>
      <c r="BV25">
        <f t="shared" si="15"/>
        <v>0.1111111111111111</v>
      </c>
      <c r="BW25">
        <f t="shared" si="15"/>
        <v>0.1111111111111111</v>
      </c>
      <c r="BX25">
        <f t="shared" si="15"/>
        <v>0.1111111111111111</v>
      </c>
      <c r="BY25">
        <f t="shared" si="15"/>
        <v>0.1111111111111111</v>
      </c>
      <c r="BZ25">
        <f t="shared" si="15"/>
        <v>0.1111111111111111</v>
      </c>
      <c r="CA25">
        <f t="shared" si="15"/>
        <v>0.1111111111111111</v>
      </c>
      <c r="CB25">
        <f t="shared" si="15"/>
        <v>0.1111111111111111</v>
      </c>
      <c r="CC25">
        <f t="shared" si="15"/>
        <v>0.1111111111111111</v>
      </c>
      <c r="CD25">
        <f t="shared" si="15"/>
        <v>0.1111111111111111</v>
      </c>
      <c r="CE25">
        <f t="shared" si="15"/>
        <v>0.1111111111111111</v>
      </c>
      <c r="CF25">
        <f t="shared" si="15"/>
        <v>0.1111111111111111</v>
      </c>
      <c r="CG25">
        <f t="shared" si="15"/>
        <v>0.1111111111111111</v>
      </c>
      <c r="CH25">
        <f t="shared" si="15"/>
        <v>0.1111111111111111</v>
      </c>
      <c r="CI25">
        <f t="shared" si="15"/>
        <v>0.1111111111111111</v>
      </c>
      <c r="CJ25">
        <f t="shared" si="15"/>
        <v>0.1111111111111111</v>
      </c>
      <c r="CK25">
        <f t="shared" si="15"/>
        <v>0.1111111111111111</v>
      </c>
      <c r="CL25">
        <f t="shared" si="15"/>
        <v>0.1111111111111111</v>
      </c>
      <c r="CM25">
        <f t="shared" si="15"/>
        <v>0.1111111111111111</v>
      </c>
      <c r="CN25">
        <f t="shared" si="15"/>
        <v>0.1111111111111111</v>
      </c>
      <c r="CO25">
        <f t="shared" si="15"/>
        <v>0.1111111111111111</v>
      </c>
    </row>
    <row r="26" spans="1:93" x14ac:dyDescent="0.25">
      <c r="A26" t="s">
        <v>64</v>
      </c>
      <c r="B26" t="s">
        <v>7</v>
      </c>
      <c r="C26">
        <f t="shared" si="4"/>
        <v>0.1111111111111111</v>
      </c>
      <c r="D26">
        <f t="shared" si="5"/>
        <v>0.1111111111111111</v>
      </c>
      <c r="E26">
        <f t="shared" si="16"/>
        <v>0.1111111111111111</v>
      </c>
      <c r="F26">
        <f t="shared" si="16"/>
        <v>0.1111111111111111</v>
      </c>
      <c r="G26">
        <f t="shared" si="16"/>
        <v>0.1111111111111111</v>
      </c>
      <c r="H26">
        <f t="shared" si="16"/>
        <v>0.1111111111111111</v>
      </c>
      <c r="I26">
        <f t="shared" si="16"/>
        <v>0.1111111111111111</v>
      </c>
      <c r="J26">
        <f t="shared" si="16"/>
        <v>0.1111111111111111</v>
      </c>
      <c r="K26">
        <f t="shared" si="16"/>
        <v>0.1111111111111111</v>
      </c>
      <c r="L26">
        <f t="shared" si="16"/>
        <v>0.1111111111111111</v>
      </c>
      <c r="M26">
        <f t="shared" si="16"/>
        <v>0.1111111111111111</v>
      </c>
      <c r="N26">
        <f t="shared" si="16"/>
        <v>0.1111111111111111</v>
      </c>
      <c r="O26">
        <f t="shared" si="16"/>
        <v>0.1111111111111111</v>
      </c>
      <c r="P26">
        <f t="shared" si="16"/>
        <v>0.1111111111111111</v>
      </c>
      <c r="Q26">
        <f t="shared" si="16"/>
        <v>0.1111111111111111</v>
      </c>
      <c r="R26">
        <f t="shared" si="16"/>
        <v>0.1111111111111111</v>
      </c>
      <c r="S26">
        <f t="shared" si="16"/>
        <v>0.1111111111111111</v>
      </c>
      <c r="T26">
        <f t="shared" si="16"/>
        <v>0.1111111111111111</v>
      </c>
      <c r="U26">
        <f t="shared" si="16"/>
        <v>0.1111111111111111</v>
      </c>
      <c r="V26">
        <f t="shared" si="16"/>
        <v>0.1111111111111111</v>
      </c>
      <c r="W26">
        <f t="shared" si="16"/>
        <v>0.1111111111111111</v>
      </c>
      <c r="X26">
        <f t="shared" si="16"/>
        <v>0.1111111111111111</v>
      </c>
      <c r="Y26">
        <f t="shared" si="16"/>
        <v>0.1111111111111111</v>
      </c>
      <c r="Z26">
        <f t="shared" si="16"/>
        <v>0.1111111111111111</v>
      </c>
      <c r="AA26">
        <f t="shared" si="16"/>
        <v>0.1111111111111111</v>
      </c>
      <c r="AB26">
        <f t="shared" si="16"/>
        <v>0.1111111111111111</v>
      </c>
      <c r="AC26">
        <f t="shared" si="16"/>
        <v>0.1111111111111111</v>
      </c>
      <c r="AD26">
        <f t="shared" si="16"/>
        <v>0.1111111111111111</v>
      </c>
      <c r="AE26">
        <f t="shared" si="16"/>
        <v>0.1111111111111111</v>
      </c>
      <c r="AF26">
        <f t="shared" si="16"/>
        <v>0.1111111111111111</v>
      </c>
      <c r="AG26">
        <f t="shared" si="16"/>
        <v>0.1111111111111111</v>
      </c>
      <c r="AH26">
        <f t="shared" si="16"/>
        <v>0.1111111111111111</v>
      </c>
      <c r="AI26">
        <f t="shared" si="16"/>
        <v>0.1111111111111111</v>
      </c>
      <c r="AJ26">
        <f t="shared" si="16"/>
        <v>0.1111111111111111</v>
      </c>
      <c r="AK26">
        <f t="shared" si="16"/>
        <v>0.1111111111111111</v>
      </c>
      <c r="AL26">
        <f t="shared" si="16"/>
        <v>0.1111111111111111</v>
      </c>
      <c r="AM26">
        <f t="shared" si="16"/>
        <v>0.1111111111111111</v>
      </c>
      <c r="AN26">
        <f t="shared" si="16"/>
        <v>0.1111111111111111</v>
      </c>
      <c r="AO26">
        <f t="shared" si="16"/>
        <v>0.1111111111111111</v>
      </c>
      <c r="AP26">
        <f t="shared" si="16"/>
        <v>0.1111111111111111</v>
      </c>
      <c r="AQ26">
        <f t="shared" si="16"/>
        <v>0.1111111111111111</v>
      </c>
      <c r="AR26">
        <f t="shared" si="16"/>
        <v>0.1111111111111111</v>
      </c>
      <c r="AS26">
        <f t="shared" si="16"/>
        <v>0.1111111111111111</v>
      </c>
      <c r="AT26">
        <f t="shared" si="16"/>
        <v>0.1111111111111111</v>
      </c>
      <c r="AU26">
        <f t="shared" si="16"/>
        <v>0.1111111111111111</v>
      </c>
      <c r="AV26">
        <f t="shared" si="16"/>
        <v>0.1111111111111111</v>
      </c>
      <c r="AW26">
        <f t="shared" si="16"/>
        <v>0.1111111111111111</v>
      </c>
      <c r="AX26">
        <f t="shared" si="16"/>
        <v>0.1111111111111111</v>
      </c>
      <c r="AY26">
        <f t="shared" si="16"/>
        <v>0.1111111111111111</v>
      </c>
      <c r="AZ26">
        <f t="shared" si="16"/>
        <v>0.1111111111111111</v>
      </c>
      <c r="BA26">
        <f t="shared" si="16"/>
        <v>0.1111111111111111</v>
      </c>
      <c r="BB26">
        <f t="shared" si="16"/>
        <v>0.1111111111111111</v>
      </c>
      <c r="BC26">
        <f t="shared" si="16"/>
        <v>0.1111111111111111</v>
      </c>
      <c r="BD26">
        <f t="shared" si="16"/>
        <v>0.1111111111111111</v>
      </c>
      <c r="BE26">
        <f t="shared" si="16"/>
        <v>0.1111111111111111</v>
      </c>
      <c r="BF26">
        <f t="shared" si="16"/>
        <v>0.1111111111111111</v>
      </c>
      <c r="BG26">
        <f t="shared" si="16"/>
        <v>0.1111111111111111</v>
      </c>
      <c r="BH26">
        <f t="shared" si="16"/>
        <v>0.1111111111111111</v>
      </c>
      <c r="BI26">
        <f t="shared" si="16"/>
        <v>0.1111111111111111</v>
      </c>
      <c r="BJ26">
        <f t="shared" si="16"/>
        <v>0.1111111111111111</v>
      </c>
      <c r="BK26">
        <f t="shared" si="16"/>
        <v>0.1111111111111111</v>
      </c>
      <c r="BL26">
        <f t="shared" si="16"/>
        <v>0.1111111111111111</v>
      </c>
      <c r="BM26">
        <f t="shared" si="16"/>
        <v>0.1111111111111111</v>
      </c>
      <c r="BN26">
        <f t="shared" si="16"/>
        <v>0.1111111111111111</v>
      </c>
      <c r="BO26">
        <f t="shared" si="16"/>
        <v>0.1111111111111111</v>
      </c>
      <c r="BP26">
        <f t="shared" si="16"/>
        <v>0.1111111111111111</v>
      </c>
      <c r="BQ26">
        <f t="shared" si="15"/>
        <v>0.1111111111111111</v>
      </c>
      <c r="BR26">
        <f t="shared" si="15"/>
        <v>0.1111111111111111</v>
      </c>
      <c r="BS26">
        <f t="shared" si="15"/>
        <v>0.1111111111111111</v>
      </c>
      <c r="BT26">
        <f t="shared" si="15"/>
        <v>0.1111111111111111</v>
      </c>
      <c r="BU26">
        <f t="shared" si="15"/>
        <v>0.1111111111111111</v>
      </c>
      <c r="BV26">
        <f t="shared" si="15"/>
        <v>0.1111111111111111</v>
      </c>
      <c r="BW26">
        <f t="shared" si="15"/>
        <v>0.1111111111111111</v>
      </c>
      <c r="BX26">
        <f t="shared" si="15"/>
        <v>0.1111111111111111</v>
      </c>
      <c r="BY26">
        <f t="shared" si="15"/>
        <v>0.1111111111111111</v>
      </c>
      <c r="BZ26">
        <f t="shared" si="15"/>
        <v>0.1111111111111111</v>
      </c>
      <c r="CA26">
        <f t="shared" si="15"/>
        <v>0.1111111111111111</v>
      </c>
      <c r="CB26">
        <f t="shared" si="15"/>
        <v>0.1111111111111111</v>
      </c>
      <c r="CC26">
        <f t="shared" si="15"/>
        <v>0.1111111111111111</v>
      </c>
      <c r="CD26">
        <f t="shared" si="15"/>
        <v>0.1111111111111111</v>
      </c>
      <c r="CE26">
        <f t="shared" si="15"/>
        <v>0.1111111111111111</v>
      </c>
      <c r="CF26">
        <f t="shared" si="15"/>
        <v>0.1111111111111111</v>
      </c>
      <c r="CG26">
        <f t="shared" si="15"/>
        <v>0.1111111111111111</v>
      </c>
      <c r="CH26">
        <f t="shared" si="15"/>
        <v>0.1111111111111111</v>
      </c>
      <c r="CI26">
        <f t="shared" si="15"/>
        <v>0.1111111111111111</v>
      </c>
      <c r="CJ26">
        <f t="shared" si="15"/>
        <v>0.1111111111111111</v>
      </c>
      <c r="CK26">
        <f t="shared" si="15"/>
        <v>0.1111111111111111</v>
      </c>
      <c r="CL26">
        <f t="shared" si="15"/>
        <v>0.1111111111111111</v>
      </c>
      <c r="CM26">
        <f t="shared" si="15"/>
        <v>0.1111111111111111</v>
      </c>
      <c r="CN26">
        <f t="shared" si="15"/>
        <v>0.1111111111111111</v>
      </c>
      <c r="CO26">
        <f t="shared" si="15"/>
        <v>0.1111111111111111</v>
      </c>
    </row>
    <row r="27" spans="1:93" x14ac:dyDescent="0.25">
      <c r="A27" t="s">
        <v>69</v>
      </c>
      <c r="B27" t="s">
        <v>7</v>
      </c>
      <c r="C27">
        <f t="shared" si="4"/>
        <v>0.1111111111111111</v>
      </c>
      <c r="D27">
        <f t="shared" si="5"/>
        <v>0.1111111111111111</v>
      </c>
      <c r="E27">
        <f t="shared" si="16"/>
        <v>0.1111111111111111</v>
      </c>
      <c r="F27">
        <f t="shared" si="16"/>
        <v>0.1111111111111111</v>
      </c>
      <c r="G27">
        <f t="shared" si="16"/>
        <v>0.1111111111111111</v>
      </c>
      <c r="H27">
        <f t="shared" si="16"/>
        <v>0.1111111111111111</v>
      </c>
      <c r="I27">
        <f t="shared" si="16"/>
        <v>0.1111111111111111</v>
      </c>
      <c r="J27">
        <f t="shared" si="16"/>
        <v>0.1111111111111111</v>
      </c>
      <c r="K27">
        <f t="shared" si="16"/>
        <v>0.1111111111111111</v>
      </c>
      <c r="L27">
        <f t="shared" si="16"/>
        <v>0.1111111111111111</v>
      </c>
      <c r="M27">
        <f t="shared" si="16"/>
        <v>0.1111111111111111</v>
      </c>
      <c r="N27">
        <f t="shared" si="16"/>
        <v>0.1111111111111111</v>
      </c>
      <c r="O27">
        <f t="shared" si="16"/>
        <v>0.1111111111111111</v>
      </c>
      <c r="P27">
        <f t="shared" si="16"/>
        <v>0.1111111111111111</v>
      </c>
      <c r="Q27">
        <f t="shared" si="16"/>
        <v>0.1111111111111111</v>
      </c>
      <c r="R27">
        <f t="shared" si="16"/>
        <v>0.1111111111111111</v>
      </c>
      <c r="S27">
        <f t="shared" si="16"/>
        <v>0.1111111111111111</v>
      </c>
      <c r="T27">
        <f t="shared" si="16"/>
        <v>0.1111111111111111</v>
      </c>
      <c r="U27">
        <f t="shared" si="16"/>
        <v>0.1111111111111111</v>
      </c>
      <c r="V27">
        <f t="shared" si="16"/>
        <v>0.1111111111111111</v>
      </c>
      <c r="W27">
        <f t="shared" si="16"/>
        <v>0.1111111111111111</v>
      </c>
      <c r="X27">
        <f t="shared" si="16"/>
        <v>0.1111111111111111</v>
      </c>
      <c r="Y27">
        <f t="shared" si="16"/>
        <v>0.1111111111111111</v>
      </c>
      <c r="Z27">
        <f t="shared" si="16"/>
        <v>0.1111111111111111</v>
      </c>
      <c r="AA27">
        <f t="shared" si="16"/>
        <v>0.1111111111111111</v>
      </c>
      <c r="AB27">
        <f t="shared" si="16"/>
        <v>0.1111111111111111</v>
      </c>
      <c r="AC27">
        <f t="shared" si="16"/>
        <v>0.1111111111111111</v>
      </c>
      <c r="AD27">
        <f t="shared" si="16"/>
        <v>0.1111111111111111</v>
      </c>
      <c r="AE27">
        <f t="shared" si="16"/>
        <v>0.1111111111111111</v>
      </c>
      <c r="AF27">
        <f t="shared" si="16"/>
        <v>0.1111111111111111</v>
      </c>
      <c r="AG27">
        <f t="shared" si="16"/>
        <v>0.1111111111111111</v>
      </c>
      <c r="AH27">
        <f t="shared" si="16"/>
        <v>0.1111111111111111</v>
      </c>
      <c r="AI27">
        <f t="shared" si="16"/>
        <v>0.1111111111111111</v>
      </c>
      <c r="AJ27">
        <f t="shared" si="16"/>
        <v>0.1111111111111111</v>
      </c>
      <c r="AK27">
        <f t="shared" si="16"/>
        <v>0.1111111111111111</v>
      </c>
      <c r="AL27">
        <f t="shared" si="16"/>
        <v>0.1111111111111111</v>
      </c>
      <c r="AM27">
        <f t="shared" si="16"/>
        <v>0.1111111111111111</v>
      </c>
      <c r="AN27">
        <f t="shared" si="16"/>
        <v>0.1111111111111111</v>
      </c>
      <c r="AO27">
        <f t="shared" si="16"/>
        <v>0.1111111111111111</v>
      </c>
      <c r="AP27">
        <f t="shared" si="16"/>
        <v>0.1111111111111111</v>
      </c>
      <c r="AQ27">
        <f t="shared" si="16"/>
        <v>0.1111111111111111</v>
      </c>
      <c r="AR27">
        <f t="shared" si="16"/>
        <v>0.1111111111111111</v>
      </c>
      <c r="AS27">
        <f t="shared" si="16"/>
        <v>0.1111111111111111</v>
      </c>
      <c r="AT27">
        <f t="shared" si="16"/>
        <v>0.1111111111111111</v>
      </c>
      <c r="AU27">
        <f t="shared" si="16"/>
        <v>0.1111111111111111</v>
      </c>
      <c r="AV27">
        <f t="shared" si="16"/>
        <v>0.1111111111111111</v>
      </c>
      <c r="AW27">
        <f t="shared" si="16"/>
        <v>0.1111111111111111</v>
      </c>
      <c r="AX27">
        <f t="shared" si="16"/>
        <v>0.1111111111111111</v>
      </c>
      <c r="AY27">
        <f t="shared" si="16"/>
        <v>0.1111111111111111</v>
      </c>
      <c r="AZ27">
        <f t="shared" si="16"/>
        <v>0.1111111111111111</v>
      </c>
      <c r="BA27">
        <f t="shared" si="16"/>
        <v>0.1111111111111111</v>
      </c>
      <c r="BB27">
        <f t="shared" si="16"/>
        <v>0.1111111111111111</v>
      </c>
      <c r="BC27">
        <f t="shared" si="16"/>
        <v>0.1111111111111111</v>
      </c>
      <c r="BD27">
        <f t="shared" si="16"/>
        <v>0.1111111111111111</v>
      </c>
      <c r="BE27">
        <f t="shared" si="16"/>
        <v>0.1111111111111111</v>
      </c>
      <c r="BF27">
        <f t="shared" si="16"/>
        <v>0.1111111111111111</v>
      </c>
      <c r="BG27">
        <f t="shared" si="16"/>
        <v>0.1111111111111111</v>
      </c>
      <c r="BH27">
        <f t="shared" si="16"/>
        <v>0.1111111111111111</v>
      </c>
      <c r="BI27">
        <f t="shared" si="16"/>
        <v>0.1111111111111111</v>
      </c>
      <c r="BJ27">
        <f t="shared" si="16"/>
        <v>0.1111111111111111</v>
      </c>
      <c r="BK27">
        <f t="shared" si="16"/>
        <v>0.1111111111111111</v>
      </c>
      <c r="BL27">
        <f t="shared" si="16"/>
        <v>0.1111111111111111</v>
      </c>
      <c r="BM27">
        <f t="shared" si="16"/>
        <v>0.1111111111111111</v>
      </c>
      <c r="BN27">
        <f t="shared" si="16"/>
        <v>0.1111111111111111</v>
      </c>
      <c r="BO27">
        <f t="shared" si="16"/>
        <v>0.1111111111111111</v>
      </c>
      <c r="BP27">
        <f t="shared" ref="BP27:CO30" si="17">BO27</f>
        <v>0.1111111111111111</v>
      </c>
      <c r="BQ27">
        <f t="shared" si="17"/>
        <v>0.1111111111111111</v>
      </c>
      <c r="BR27">
        <f t="shared" si="17"/>
        <v>0.1111111111111111</v>
      </c>
      <c r="BS27">
        <f t="shared" si="17"/>
        <v>0.1111111111111111</v>
      </c>
      <c r="BT27">
        <f t="shared" si="17"/>
        <v>0.1111111111111111</v>
      </c>
      <c r="BU27">
        <f t="shared" si="17"/>
        <v>0.1111111111111111</v>
      </c>
      <c r="BV27">
        <f t="shared" si="17"/>
        <v>0.1111111111111111</v>
      </c>
      <c r="BW27">
        <f t="shared" si="17"/>
        <v>0.1111111111111111</v>
      </c>
      <c r="BX27">
        <f t="shared" si="17"/>
        <v>0.1111111111111111</v>
      </c>
      <c r="BY27">
        <f t="shared" si="17"/>
        <v>0.1111111111111111</v>
      </c>
      <c r="BZ27">
        <f t="shared" si="17"/>
        <v>0.1111111111111111</v>
      </c>
      <c r="CA27">
        <f t="shared" si="17"/>
        <v>0.1111111111111111</v>
      </c>
      <c r="CB27">
        <f t="shared" si="17"/>
        <v>0.1111111111111111</v>
      </c>
      <c r="CC27">
        <f t="shared" si="17"/>
        <v>0.1111111111111111</v>
      </c>
      <c r="CD27">
        <f t="shared" si="17"/>
        <v>0.1111111111111111</v>
      </c>
      <c r="CE27">
        <f t="shared" si="17"/>
        <v>0.1111111111111111</v>
      </c>
      <c r="CF27">
        <f t="shared" si="17"/>
        <v>0.1111111111111111</v>
      </c>
      <c r="CG27">
        <f t="shared" si="17"/>
        <v>0.1111111111111111</v>
      </c>
      <c r="CH27">
        <f t="shared" si="17"/>
        <v>0.1111111111111111</v>
      </c>
      <c r="CI27">
        <f t="shared" si="17"/>
        <v>0.1111111111111111</v>
      </c>
      <c r="CJ27">
        <f t="shared" si="17"/>
        <v>0.1111111111111111</v>
      </c>
      <c r="CK27">
        <f t="shared" si="17"/>
        <v>0.1111111111111111</v>
      </c>
      <c r="CL27">
        <f t="shared" si="17"/>
        <v>0.1111111111111111</v>
      </c>
      <c r="CM27">
        <f t="shared" si="17"/>
        <v>0.1111111111111111</v>
      </c>
      <c r="CN27">
        <f t="shared" si="17"/>
        <v>0.1111111111111111</v>
      </c>
      <c r="CO27">
        <f t="shared" si="17"/>
        <v>0.1111111111111111</v>
      </c>
    </row>
    <row r="28" spans="1:93" x14ac:dyDescent="0.25">
      <c r="A28" t="s">
        <v>65</v>
      </c>
      <c r="B28" t="s">
        <v>96</v>
      </c>
      <c r="C28">
        <f t="shared" si="4"/>
        <v>9.0909090909090912E-2</v>
      </c>
      <c r="D28">
        <f t="shared" si="5"/>
        <v>9.0909090909090912E-2</v>
      </c>
      <c r="E28">
        <f t="shared" ref="E28:BP31" si="18">D28</f>
        <v>9.0909090909090912E-2</v>
      </c>
      <c r="F28">
        <f t="shared" si="18"/>
        <v>9.0909090909090912E-2</v>
      </c>
      <c r="G28">
        <f t="shared" si="18"/>
        <v>9.0909090909090912E-2</v>
      </c>
      <c r="H28">
        <f t="shared" si="18"/>
        <v>9.0909090909090912E-2</v>
      </c>
      <c r="I28">
        <f t="shared" si="18"/>
        <v>9.0909090909090912E-2</v>
      </c>
      <c r="J28">
        <f t="shared" si="18"/>
        <v>9.0909090909090912E-2</v>
      </c>
      <c r="K28">
        <f t="shared" si="18"/>
        <v>9.0909090909090912E-2</v>
      </c>
      <c r="L28">
        <f t="shared" si="18"/>
        <v>9.0909090909090912E-2</v>
      </c>
      <c r="M28">
        <f t="shared" si="18"/>
        <v>9.0909090909090912E-2</v>
      </c>
      <c r="N28">
        <f t="shared" si="18"/>
        <v>9.0909090909090912E-2</v>
      </c>
      <c r="O28">
        <f t="shared" si="18"/>
        <v>9.0909090909090912E-2</v>
      </c>
      <c r="P28">
        <f t="shared" si="18"/>
        <v>9.0909090909090912E-2</v>
      </c>
      <c r="Q28">
        <f t="shared" si="18"/>
        <v>9.0909090909090912E-2</v>
      </c>
      <c r="R28">
        <f t="shared" si="18"/>
        <v>9.0909090909090912E-2</v>
      </c>
      <c r="S28">
        <f t="shared" si="18"/>
        <v>9.0909090909090912E-2</v>
      </c>
      <c r="T28">
        <f t="shared" si="18"/>
        <v>9.0909090909090912E-2</v>
      </c>
      <c r="U28">
        <f t="shared" si="18"/>
        <v>9.0909090909090912E-2</v>
      </c>
      <c r="V28">
        <f t="shared" si="18"/>
        <v>9.0909090909090912E-2</v>
      </c>
      <c r="W28">
        <f t="shared" si="18"/>
        <v>9.0909090909090912E-2</v>
      </c>
      <c r="X28">
        <f t="shared" si="18"/>
        <v>9.0909090909090912E-2</v>
      </c>
      <c r="Y28">
        <f t="shared" si="18"/>
        <v>9.0909090909090912E-2</v>
      </c>
      <c r="Z28">
        <f t="shared" si="18"/>
        <v>9.0909090909090912E-2</v>
      </c>
      <c r="AA28">
        <f t="shared" si="18"/>
        <v>9.0909090909090912E-2</v>
      </c>
      <c r="AB28">
        <f t="shared" si="18"/>
        <v>9.0909090909090912E-2</v>
      </c>
      <c r="AC28">
        <f t="shared" si="18"/>
        <v>9.0909090909090912E-2</v>
      </c>
      <c r="AD28">
        <f t="shared" si="18"/>
        <v>9.0909090909090912E-2</v>
      </c>
      <c r="AE28">
        <f t="shared" si="18"/>
        <v>9.0909090909090912E-2</v>
      </c>
      <c r="AF28">
        <f t="shared" si="18"/>
        <v>9.0909090909090912E-2</v>
      </c>
      <c r="AG28">
        <f t="shared" si="18"/>
        <v>9.0909090909090912E-2</v>
      </c>
      <c r="AH28">
        <f t="shared" si="18"/>
        <v>9.0909090909090912E-2</v>
      </c>
      <c r="AI28">
        <f t="shared" si="18"/>
        <v>9.0909090909090912E-2</v>
      </c>
      <c r="AJ28">
        <f t="shared" si="18"/>
        <v>9.0909090909090912E-2</v>
      </c>
      <c r="AK28">
        <f t="shared" si="18"/>
        <v>9.0909090909090912E-2</v>
      </c>
      <c r="AL28">
        <f t="shared" si="18"/>
        <v>9.0909090909090912E-2</v>
      </c>
      <c r="AM28">
        <f t="shared" si="18"/>
        <v>9.0909090909090912E-2</v>
      </c>
      <c r="AN28">
        <f t="shared" si="18"/>
        <v>9.0909090909090912E-2</v>
      </c>
      <c r="AO28">
        <f t="shared" si="18"/>
        <v>9.0909090909090912E-2</v>
      </c>
      <c r="AP28">
        <f t="shared" si="18"/>
        <v>9.0909090909090912E-2</v>
      </c>
      <c r="AQ28">
        <f t="shared" si="18"/>
        <v>9.0909090909090912E-2</v>
      </c>
      <c r="AR28">
        <f t="shared" si="18"/>
        <v>9.0909090909090912E-2</v>
      </c>
      <c r="AS28">
        <f t="shared" si="18"/>
        <v>9.0909090909090912E-2</v>
      </c>
      <c r="AT28">
        <f t="shared" si="18"/>
        <v>9.0909090909090912E-2</v>
      </c>
      <c r="AU28">
        <f t="shared" si="18"/>
        <v>9.0909090909090912E-2</v>
      </c>
      <c r="AV28">
        <f t="shared" si="18"/>
        <v>9.0909090909090912E-2</v>
      </c>
      <c r="AW28">
        <f t="shared" si="18"/>
        <v>9.0909090909090912E-2</v>
      </c>
      <c r="AX28">
        <f t="shared" si="18"/>
        <v>9.0909090909090912E-2</v>
      </c>
      <c r="AY28">
        <f t="shared" si="18"/>
        <v>9.0909090909090912E-2</v>
      </c>
      <c r="AZ28">
        <f t="shared" si="18"/>
        <v>9.0909090909090912E-2</v>
      </c>
      <c r="BA28">
        <f t="shared" si="18"/>
        <v>9.0909090909090912E-2</v>
      </c>
      <c r="BB28">
        <f t="shared" si="18"/>
        <v>9.0909090909090912E-2</v>
      </c>
      <c r="BC28">
        <f t="shared" si="18"/>
        <v>9.0909090909090912E-2</v>
      </c>
      <c r="BD28">
        <f t="shared" si="18"/>
        <v>9.0909090909090912E-2</v>
      </c>
      <c r="BE28">
        <f t="shared" si="18"/>
        <v>9.0909090909090912E-2</v>
      </c>
      <c r="BF28">
        <f t="shared" si="18"/>
        <v>9.0909090909090912E-2</v>
      </c>
      <c r="BG28">
        <f t="shared" si="18"/>
        <v>9.0909090909090912E-2</v>
      </c>
      <c r="BH28">
        <f t="shared" si="18"/>
        <v>9.0909090909090912E-2</v>
      </c>
      <c r="BI28">
        <f t="shared" si="18"/>
        <v>9.0909090909090912E-2</v>
      </c>
      <c r="BJ28">
        <f t="shared" si="18"/>
        <v>9.0909090909090912E-2</v>
      </c>
      <c r="BK28">
        <f t="shared" si="18"/>
        <v>9.0909090909090912E-2</v>
      </c>
      <c r="BL28">
        <f t="shared" si="18"/>
        <v>9.0909090909090912E-2</v>
      </c>
      <c r="BM28">
        <f t="shared" si="18"/>
        <v>9.0909090909090912E-2</v>
      </c>
      <c r="BN28">
        <f t="shared" si="18"/>
        <v>9.0909090909090912E-2</v>
      </c>
      <c r="BO28">
        <f t="shared" si="18"/>
        <v>9.0909090909090912E-2</v>
      </c>
      <c r="BP28">
        <f t="shared" si="18"/>
        <v>9.0909090909090912E-2</v>
      </c>
      <c r="BQ28">
        <f t="shared" si="17"/>
        <v>9.0909090909090912E-2</v>
      </c>
      <c r="BR28">
        <f t="shared" si="17"/>
        <v>9.0909090909090912E-2</v>
      </c>
      <c r="BS28">
        <f t="shared" si="17"/>
        <v>9.0909090909090912E-2</v>
      </c>
      <c r="BT28">
        <f t="shared" si="17"/>
        <v>9.0909090909090912E-2</v>
      </c>
      <c r="BU28">
        <f t="shared" si="17"/>
        <v>9.0909090909090912E-2</v>
      </c>
      <c r="BV28">
        <f t="shared" si="17"/>
        <v>9.0909090909090912E-2</v>
      </c>
      <c r="BW28">
        <f t="shared" si="17"/>
        <v>9.0909090909090912E-2</v>
      </c>
      <c r="BX28">
        <f t="shared" si="17"/>
        <v>9.0909090909090912E-2</v>
      </c>
      <c r="BY28">
        <f t="shared" si="17"/>
        <v>9.0909090909090912E-2</v>
      </c>
      <c r="BZ28">
        <f t="shared" si="17"/>
        <v>9.0909090909090912E-2</v>
      </c>
      <c r="CA28">
        <f t="shared" si="17"/>
        <v>9.0909090909090912E-2</v>
      </c>
      <c r="CB28">
        <f t="shared" si="17"/>
        <v>9.0909090909090912E-2</v>
      </c>
      <c r="CC28">
        <f t="shared" si="17"/>
        <v>9.0909090909090912E-2</v>
      </c>
      <c r="CD28">
        <f t="shared" si="17"/>
        <v>9.0909090909090912E-2</v>
      </c>
      <c r="CE28">
        <f t="shared" si="17"/>
        <v>9.0909090909090912E-2</v>
      </c>
      <c r="CF28">
        <f t="shared" si="17"/>
        <v>9.0909090909090912E-2</v>
      </c>
      <c r="CG28">
        <f t="shared" si="17"/>
        <v>9.0909090909090912E-2</v>
      </c>
      <c r="CH28">
        <f t="shared" si="17"/>
        <v>9.0909090909090912E-2</v>
      </c>
      <c r="CI28">
        <f t="shared" si="17"/>
        <v>9.0909090909090912E-2</v>
      </c>
      <c r="CJ28">
        <f t="shared" si="17"/>
        <v>9.0909090909090912E-2</v>
      </c>
      <c r="CK28">
        <f t="shared" si="17"/>
        <v>9.0909090909090912E-2</v>
      </c>
      <c r="CL28">
        <f t="shared" si="17"/>
        <v>9.0909090909090912E-2</v>
      </c>
      <c r="CM28">
        <f t="shared" si="17"/>
        <v>9.0909090909090912E-2</v>
      </c>
      <c r="CN28">
        <f t="shared" si="17"/>
        <v>9.0909090909090912E-2</v>
      </c>
      <c r="CO28">
        <f t="shared" si="17"/>
        <v>9.0909090909090912E-2</v>
      </c>
    </row>
    <row r="29" spans="1:93" x14ac:dyDescent="0.25">
      <c r="A29" t="s">
        <v>70</v>
      </c>
      <c r="B29" t="s">
        <v>96</v>
      </c>
      <c r="C29">
        <f t="shared" si="4"/>
        <v>9.0909090909090912E-2</v>
      </c>
      <c r="D29">
        <f t="shared" si="5"/>
        <v>9.0909090909090912E-2</v>
      </c>
      <c r="E29">
        <f t="shared" si="18"/>
        <v>9.0909090909090912E-2</v>
      </c>
      <c r="F29">
        <f t="shared" si="18"/>
        <v>9.0909090909090912E-2</v>
      </c>
      <c r="G29">
        <f t="shared" si="18"/>
        <v>9.0909090909090912E-2</v>
      </c>
      <c r="H29">
        <f t="shared" si="18"/>
        <v>9.0909090909090912E-2</v>
      </c>
      <c r="I29">
        <f t="shared" si="18"/>
        <v>9.0909090909090912E-2</v>
      </c>
      <c r="J29">
        <f t="shared" si="18"/>
        <v>9.0909090909090912E-2</v>
      </c>
      <c r="K29">
        <f t="shared" si="18"/>
        <v>9.0909090909090912E-2</v>
      </c>
      <c r="L29">
        <f t="shared" si="18"/>
        <v>9.0909090909090912E-2</v>
      </c>
      <c r="M29">
        <f t="shared" si="18"/>
        <v>9.0909090909090912E-2</v>
      </c>
      <c r="N29">
        <f t="shared" si="18"/>
        <v>9.0909090909090912E-2</v>
      </c>
      <c r="O29">
        <f t="shared" si="18"/>
        <v>9.0909090909090912E-2</v>
      </c>
      <c r="P29">
        <f t="shared" si="18"/>
        <v>9.0909090909090912E-2</v>
      </c>
      <c r="Q29">
        <f t="shared" si="18"/>
        <v>9.0909090909090912E-2</v>
      </c>
      <c r="R29">
        <f t="shared" si="18"/>
        <v>9.0909090909090912E-2</v>
      </c>
      <c r="S29">
        <f t="shared" si="18"/>
        <v>9.0909090909090912E-2</v>
      </c>
      <c r="T29">
        <f t="shared" si="18"/>
        <v>9.0909090909090912E-2</v>
      </c>
      <c r="U29">
        <f t="shared" si="18"/>
        <v>9.0909090909090912E-2</v>
      </c>
      <c r="V29">
        <f t="shared" si="18"/>
        <v>9.0909090909090912E-2</v>
      </c>
      <c r="W29">
        <f t="shared" si="18"/>
        <v>9.0909090909090912E-2</v>
      </c>
      <c r="X29">
        <f t="shared" si="18"/>
        <v>9.0909090909090912E-2</v>
      </c>
      <c r="Y29">
        <f t="shared" si="18"/>
        <v>9.0909090909090912E-2</v>
      </c>
      <c r="Z29">
        <f t="shared" si="18"/>
        <v>9.0909090909090912E-2</v>
      </c>
      <c r="AA29">
        <f t="shared" si="18"/>
        <v>9.0909090909090912E-2</v>
      </c>
      <c r="AB29">
        <f t="shared" si="18"/>
        <v>9.0909090909090912E-2</v>
      </c>
      <c r="AC29">
        <f t="shared" si="18"/>
        <v>9.0909090909090912E-2</v>
      </c>
      <c r="AD29">
        <f t="shared" si="18"/>
        <v>9.0909090909090912E-2</v>
      </c>
      <c r="AE29">
        <f t="shared" si="18"/>
        <v>9.0909090909090912E-2</v>
      </c>
      <c r="AF29">
        <f t="shared" si="18"/>
        <v>9.0909090909090912E-2</v>
      </c>
      <c r="AG29">
        <f t="shared" si="18"/>
        <v>9.0909090909090912E-2</v>
      </c>
      <c r="AH29">
        <f t="shared" si="18"/>
        <v>9.0909090909090912E-2</v>
      </c>
      <c r="AI29">
        <f t="shared" si="18"/>
        <v>9.0909090909090912E-2</v>
      </c>
      <c r="AJ29">
        <f t="shared" si="18"/>
        <v>9.0909090909090912E-2</v>
      </c>
      <c r="AK29">
        <f t="shared" si="18"/>
        <v>9.0909090909090912E-2</v>
      </c>
      <c r="AL29">
        <f t="shared" si="18"/>
        <v>9.0909090909090912E-2</v>
      </c>
      <c r="AM29">
        <f t="shared" si="18"/>
        <v>9.0909090909090912E-2</v>
      </c>
      <c r="AN29">
        <f t="shared" si="18"/>
        <v>9.0909090909090912E-2</v>
      </c>
      <c r="AO29">
        <f t="shared" si="18"/>
        <v>9.0909090909090912E-2</v>
      </c>
      <c r="AP29">
        <f t="shared" si="18"/>
        <v>9.0909090909090912E-2</v>
      </c>
      <c r="AQ29">
        <f t="shared" si="18"/>
        <v>9.0909090909090912E-2</v>
      </c>
      <c r="AR29">
        <f t="shared" si="18"/>
        <v>9.0909090909090912E-2</v>
      </c>
      <c r="AS29">
        <f t="shared" si="18"/>
        <v>9.0909090909090912E-2</v>
      </c>
      <c r="AT29">
        <f t="shared" si="18"/>
        <v>9.0909090909090912E-2</v>
      </c>
      <c r="AU29">
        <f t="shared" si="18"/>
        <v>9.0909090909090912E-2</v>
      </c>
      <c r="AV29">
        <f t="shared" si="18"/>
        <v>9.0909090909090912E-2</v>
      </c>
      <c r="AW29">
        <f t="shared" si="18"/>
        <v>9.0909090909090912E-2</v>
      </c>
      <c r="AX29">
        <f t="shared" si="18"/>
        <v>9.0909090909090912E-2</v>
      </c>
      <c r="AY29">
        <f t="shared" si="18"/>
        <v>9.0909090909090912E-2</v>
      </c>
      <c r="AZ29">
        <f t="shared" si="18"/>
        <v>9.0909090909090912E-2</v>
      </c>
      <c r="BA29">
        <f t="shared" si="18"/>
        <v>9.0909090909090912E-2</v>
      </c>
      <c r="BB29">
        <f t="shared" si="18"/>
        <v>9.0909090909090912E-2</v>
      </c>
      <c r="BC29">
        <f t="shared" si="18"/>
        <v>9.0909090909090912E-2</v>
      </c>
      <c r="BD29">
        <f t="shared" si="18"/>
        <v>9.0909090909090912E-2</v>
      </c>
      <c r="BE29">
        <f t="shared" si="18"/>
        <v>9.0909090909090912E-2</v>
      </c>
      <c r="BF29">
        <f t="shared" si="18"/>
        <v>9.0909090909090912E-2</v>
      </c>
      <c r="BG29">
        <f t="shared" si="18"/>
        <v>9.0909090909090912E-2</v>
      </c>
      <c r="BH29">
        <f t="shared" si="18"/>
        <v>9.0909090909090912E-2</v>
      </c>
      <c r="BI29">
        <f t="shared" si="18"/>
        <v>9.0909090909090912E-2</v>
      </c>
      <c r="BJ29">
        <f t="shared" si="18"/>
        <v>9.0909090909090912E-2</v>
      </c>
      <c r="BK29">
        <f t="shared" si="18"/>
        <v>9.0909090909090912E-2</v>
      </c>
      <c r="BL29">
        <f t="shared" si="18"/>
        <v>9.0909090909090912E-2</v>
      </c>
      <c r="BM29">
        <f t="shared" si="18"/>
        <v>9.0909090909090912E-2</v>
      </c>
      <c r="BN29">
        <f t="shared" si="18"/>
        <v>9.0909090909090912E-2</v>
      </c>
      <c r="BO29">
        <f t="shared" si="18"/>
        <v>9.0909090909090912E-2</v>
      </c>
      <c r="BP29">
        <f t="shared" si="18"/>
        <v>9.0909090909090912E-2</v>
      </c>
      <c r="BQ29">
        <f t="shared" si="17"/>
        <v>9.0909090909090912E-2</v>
      </c>
      <c r="BR29">
        <f t="shared" si="17"/>
        <v>9.0909090909090912E-2</v>
      </c>
      <c r="BS29">
        <f t="shared" si="17"/>
        <v>9.0909090909090912E-2</v>
      </c>
      <c r="BT29">
        <f t="shared" si="17"/>
        <v>9.0909090909090912E-2</v>
      </c>
      <c r="BU29">
        <f t="shared" si="17"/>
        <v>9.0909090909090912E-2</v>
      </c>
      <c r="BV29">
        <f t="shared" si="17"/>
        <v>9.0909090909090912E-2</v>
      </c>
      <c r="BW29">
        <f t="shared" si="17"/>
        <v>9.0909090909090912E-2</v>
      </c>
      <c r="BX29">
        <f t="shared" si="17"/>
        <v>9.0909090909090912E-2</v>
      </c>
      <c r="BY29">
        <f t="shared" si="17"/>
        <v>9.0909090909090912E-2</v>
      </c>
      <c r="BZ29">
        <f t="shared" si="17"/>
        <v>9.0909090909090912E-2</v>
      </c>
      <c r="CA29">
        <f t="shared" si="17"/>
        <v>9.0909090909090912E-2</v>
      </c>
      <c r="CB29">
        <f t="shared" si="17"/>
        <v>9.0909090909090912E-2</v>
      </c>
      <c r="CC29">
        <f t="shared" si="17"/>
        <v>9.0909090909090912E-2</v>
      </c>
      <c r="CD29">
        <f t="shared" si="17"/>
        <v>9.0909090909090912E-2</v>
      </c>
      <c r="CE29">
        <f t="shared" si="17"/>
        <v>9.0909090909090912E-2</v>
      </c>
      <c r="CF29">
        <f t="shared" si="17"/>
        <v>9.0909090909090912E-2</v>
      </c>
      <c r="CG29">
        <f t="shared" si="17"/>
        <v>9.0909090909090912E-2</v>
      </c>
      <c r="CH29">
        <f t="shared" si="17"/>
        <v>9.0909090909090912E-2</v>
      </c>
      <c r="CI29">
        <f t="shared" si="17"/>
        <v>9.0909090909090912E-2</v>
      </c>
      <c r="CJ29">
        <f t="shared" si="17"/>
        <v>9.0909090909090912E-2</v>
      </c>
      <c r="CK29">
        <f t="shared" si="17"/>
        <v>9.0909090909090912E-2</v>
      </c>
      <c r="CL29">
        <f t="shared" si="17"/>
        <v>9.0909090909090912E-2</v>
      </c>
      <c r="CM29">
        <f t="shared" si="17"/>
        <v>9.0909090909090912E-2</v>
      </c>
      <c r="CN29">
        <f t="shared" si="17"/>
        <v>9.0909090909090912E-2</v>
      </c>
      <c r="CO29">
        <f t="shared" si="17"/>
        <v>9.0909090909090912E-2</v>
      </c>
    </row>
    <row r="30" spans="1:93" x14ac:dyDescent="0.25">
      <c r="A30" t="s">
        <v>71</v>
      </c>
      <c r="B30" t="s">
        <v>96</v>
      </c>
      <c r="C30">
        <f t="shared" si="4"/>
        <v>9.0909090909090912E-2</v>
      </c>
      <c r="D30">
        <f t="shared" si="5"/>
        <v>9.0909090909090912E-2</v>
      </c>
      <c r="E30">
        <f t="shared" si="18"/>
        <v>9.0909090909090912E-2</v>
      </c>
      <c r="F30">
        <f t="shared" si="18"/>
        <v>9.0909090909090912E-2</v>
      </c>
      <c r="G30">
        <f t="shared" si="18"/>
        <v>9.0909090909090912E-2</v>
      </c>
      <c r="H30">
        <f t="shared" si="18"/>
        <v>9.0909090909090912E-2</v>
      </c>
      <c r="I30">
        <f t="shared" si="18"/>
        <v>9.0909090909090912E-2</v>
      </c>
      <c r="J30">
        <f t="shared" si="18"/>
        <v>9.0909090909090912E-2</v>
      </c>
      <c r="K30">
        <f t="shared" si="18"/>
        <v>9.0909090909090912E-2</v>
      </c>
      <c r="L30">
        <f t="shared" si="18"/>
        <v>9.0909090909090912E-2</v>
      </c>
      <c r="M30">
        <f t="shared" si="18"/>
        <v>9.0909090909090912E-2</v>
      </c>
      <c r="N30">
        <f t="shared" si="18"/>
        <v>9.0909090909090912E-2</v>
      </c>
      <c r="O30">
        <f t="shared" si="18"/>
        <v>9.0909090909090912E-2</v>
      </c>
      <c r="P30">
        <f t="shared" si="18"/>
        <v>9.0909090909090912E-2</v>
      </c>
      <c r="Q30">
        <f t="shared" si="18"/>
        <v>9.0909090909090912E-2</v>
      </c>
      <c r="R30">
        <f t="shared" si="18"/>
        <v>9.0909090909090912E-2</v>
      </c>
      <c r="S30">
        <f t="shared" si="18"/>
        <v>9.0909090909090912E-2</v>
      </c>
      <c r="T30">
        <f t="shared" si="18"/>
        <v>9.0909090909090912E-2</v>
      </c>
      <c r="U30">
        <f t="shared" si="18"/>
        <v>9.0909090909090912E-2</v>
      </c>
      <c r="V30">
        <f t="shared" si="18"/>
        <v>9.0909090909090912E-2</v>
      </c>
      <c r="W30">
        <f t="shared" si="18"/>
        <v>9.0909090909090912E-2</v>
      </c>
      <c r="X30">
        <f t="shared" si="18"/>
        <v>9.0909090909090912E-2</v>
      </c>
      <c r="Y30">
        <f t="shared" si="18"/>
        <v>9.0909090909090912E-2</v>
      </c>
      <c r="Z30">
        <f t="shared" si="18"/>
        <v>9.0909090909090912E-2</v>
      </c>
      <c r="AA30">
        <f t="shared" si="18"/>
        <v>9.0909090909090912E-2</v>
      </c>
      <c r="AB30">
        <f t="shared" si="18"/>
        <v>9.0909090909090912E-2</v>
      </c>
      <c r="AC30">
        <f t="shared" si="18"/>
        <v>9.0909090909090912E-2</v>
      </c>
      <c r="AD30">
        <f t="shared" si="18"/>
        <v>9.0909090909090912E-2</v>
      </c>
      <c r="AE30">
        <f t="shared" si="18"/>
        <v>9.0909090909090912E-2</v>
      </c>
      <c r="AF30">
        <f t="shared" si="18"/>
        <v>9.0909090909090912E-2</v>
      </c>
      <c r="AG30">
        <f t="shared" si="18"/>
        <v>9.0909090909090912E-2</v>
      </c>
      <c r="AH30">
        <f t="shared" si="18"/>
        <v>9.0909090909090912E-2</v>
      </c>
      <c r="AI30">
        <f t="shared" si="18"/>
        <v>9.0909090909090912E-2</v>
      </c>
      <c r="AJ30">
        <f t="shared" si="18"/>
        <v>9.0909090909090912E-2</v>
      </c>
      <c r="AK30">
        <f t="shared" si="18"/>
        <v>9.0909090909090912E-2</v>
      </c>
      <c r="AL30">
        <f t="shared" si="18"/>
        <v>9.0909090909090912E-2</v>
      </c>
      <c r="AM30">
        <f t="shared" si="18"/>
        <v>9.0909090909090912E-2</v>
      </c>
      <c r="AN30">
        <f t="shared" si="18"/>
        <v>9.0909090909090912E-2</v>
      </c>
      <c r="AO30">
        <f t="shared" si="18"/>
        <v>9.0909090909090912E-2</v>
      </c>
      <c r="AP30">
        <f t="shared" si="18"/>
        <v>9.0909090909090912E-2</v>
      </c>
      <c r="AQ30">
        <f t="shared" si="18"/>
        <v>9.0909090909090912E-2</v>
      </c>
      <c r="AR30">
        <f t="shared" si="18"/>
        <v>9.0909090909090912E-2</v>
      </c>
      <c r="AS30">
        <f t="shared" si="18"/>
        <v>9.0909090909090912E-2</v>
      </c>
      <c r="AT30">
        <f t="shared" si="18"/>
        <v>9.0909090909090912E-2</v>
      </c>
      <c r="AU30">
        <f t="shared" si="18"/>
        <v>9.0909090909090912E-2</v>
      </c>
      <c r="AV30">
        <f t="shared" si="18"/>
        <v>9.0909090909090912E-2</v>
      </c>
      <c r="AW30">
        <f t="shared" si="18"/>
        <v>9.0909090909090912E-2</v>
      </c>
      <c r="AX30">
        <f t="shared" si="18"/>
        <v>9.0909090909090912E-2</v>
      </c>
      <c r="AY30">
        <f t="shared" si="18"/>
        <v>9.0909090909090912E-2</v>
      </c>
      <c r="AZ30">
        <f t="shared" si="18"/>
        <v>9.0909090909090912E-2</v>
      </c>
      <c r="BA30">
        <f t="shared" si="18"/>
        <v>9.0909090909090912E-2</v>
      </c>
      <c r="BB30">
        <f t="shared" si="18"/>
        <v>9.0909090909090912E-2</v>
      </c>
      <c r="BC30">
        <f t="shared" si="18"/>
        <v>9.0909090909090912E-2</v>
      </c>
      <c r="BD30">
        <f t="shared" si="18"/>
        <v>9.0909090909090912E-2</v>
      </c>
      <c r="BE30">
        <f t="shared" si="18"/>
        <v>9.0909090909090912E-2</v>
      </c>
      <c r="BF30">
        <f t="shared" si="18"/>
        <v>9.0909090909090912E-2</v>
      </c>
      <c r="BG30">
        <f t="shared" si="18"/>
        <v>9.0909090909090912E-2</v>
      </c>
      <c r="BH30">
        <f t="shared" si="18"/>
        <v>9.0909090909090912E-2</v>
      </c>
      <c r="BI30">
        <f t="shared" si="18"/>
        <v>9.0909090909090912E-2</v>
      </c>
      <c r="BJ30">
        <f t="shared" si="18"/>
        <v>9.0909090909090912E-2</v>
      </c>
      <c r="BK30">
        <f t="shared" si="18"/>
        <v>9.0909090909090912E-2</v>
      </c>
      <c r="BL30">
        <f t="shared" si="18"/>
        <v>9.0909090909090912E-2</v>
      </c>
      <c r="BM30">
        <f t="shared" si="18"/>
        <v>9.0909090909090912E-2</v>
      </c>
      <c r="BN30">
        <f t="shared" si="18"/>
        <v>9.0909090909090912E-2</v>
      </c>
      <c r="BO30">
        <f t="shared" si="18"/>
        <v>9.0909090909090912E-2</v>
      </c>
      <c r="BP30">
        <f t="shared" si="18"/>
        <v>9.0909090909090912E-2</v>
      </c>
      <c r="BQ30">
        <f t="shared" si="17"/>
        <v>9.0909090909090912E-2</v>
      </c>
      <c r="BR30">
        <f t="shared" si="17"/>
        <v>9.0909090909090912E-2</v>
      </c>
      <c r="BS30">
        <f t="shared" si="17"/>
        <v>9.0909090909090912E-2</v>
      </c>
      <c r="BT30">
        <f t="shared" si="17"/>
        <v>9.0909090909090912E-2</v>
      </c>
      <c r="BU30">
        <f t="shared" si="17"/>
        <v>9.0909090909090912E-2</v>
      </c>
      <c r="BV30">
        <f t="shared" si="17"/>
        <v>9.0909090909090912E-2</v>
      </c>
      <c r="BW30">
        <f t="shared" si="17"/>
        <v>9.0909090909090912E-2</v>
      </c>
      <c r="BX30">
        <f t="shared" si="17"/>
        <v>9.0909090909090912E-2</v>
      </c>
      <c r="BY30">
        <f t="shared" si="17"/>
        <v>9.0909090909090912E-2</v>
      </c>
      <c r="BZ30">
        <f t="shared" si="17"/>
        <v>9.0909090909090912E-2</v>
      </c>
      <c r="CA30">
        <f t="shared" si="17"/>
        <v>9.0909090909090912E-2</v>
      </c>
      <c r="CB30">
        <f t="shared" si="17"/>
        <v>9.0909090909090912E-2</v>
      </c>
      <c r="CC30">
        <f t="shared" si="17"/>
        <v>9.0909090909090912E-2</v>
      </c>
      <c r="CD30">
        <f t="shared" si="17"/>
        <v>9.0909090909090912E-2</v>
      </c>
      <c r="CE30">
        <f t="shared" si="17"/>
        <v>9.0909090909090912E-2</v>
      </c>
      <c r="CF30">
        <f t="shared" si="17"/>
        <v>9.0909090909090912E-2</v>
      </c>
      <c r="CG30">
        <f t="shared" si="17"/>
        <v>9.0909090909090912E-2</v>
      </c>
      <c r="CH30">
        <f t="shared" si="17"/>
        <v>9.0909090909090912E-2</v>
      </c>
      <c r="CI30">
        <f t="shared" si="17"/>
        <v>9.0909090909090912E-2</v>
      </c>
      <c r="CJ30">
        <f t="shared" si="17"/>
        <v>9.0909090909090912E-2</v>
      </c>
      <c r="CK30">
        <f t="shared" si="17"/>
        <v>9.0909090909090912E-2</v>
      </c>
      <c r="CL30">
        <f t="shared" si="17"/>
        <v>9.0909090909090912E-2</v>
      </c>
      <c r="CM30">
        <f t="shared" si="17"/>
        <v>9.0909090909090912E-2</v>
      </c>
      <c r="CN30">
        <f t="shared" si="17"/>
        <v>9.0909090909090912E-2</v>
      </c>
      <c r="CO30">
        <f t="shared" si="17"/>
        <v>9.0909090909090912E-2</v>
      </c>
    </row>
    <row r="31" spans="1:93" x14ac:dyDescent="0.25">
      <c r="A31" t="s">
        <v>75</v>
      </c>
      <c r="B31" t="s">
        <v>96</v>
      </c>
      <c r="C31">
        <f t="shared" si="4"/>
        <v>9.0909090909090912E-2</v>
      </c>
      <c r="D31">
        <f t="shared" si="5"/>
        <v>9.0909090909090912E-2</v>
      </c>
      <c r="E31">
        <f t="shared" si="18"/>
        <v>9.0909090909090912E-2</v>
      </c>
      <c r="F31">
        <f t="shared" si="18"/>
        <v>9.0909090909090912E-2</v>
      </c>
      <c r="G31">
        <f t="shared" si="18"/>
        <v>9.0909090909090912E-2</v>
      </c>
      <c r="H31">
        <f t="shared" si="18"/>
        <v>9.0909090909090912E-2</v>
      </c>
      <c r="I31">
        <f t="shared" si="18"/>
        <v>9.0909090909090912E-2</v>
      </c>
      <c r="J31">
        <f t="shared" si="18"/>
        <v>9.0909090909090912E-2</v>
      </c>
      <c r="K31">
        <f t="shared" si="18"/>
        <v>9.0909090909090912E-2</v>
      </c>
      <c r="L31">
        <f t="shared" si="18"/>
        <v>9.0909090909090912E-2</v>
      </c>
      <c r="M31">
        <f t="shared" si="18"/>
        <v>9.0909090909090912E-2</v>
      </c>
      <c r="N31">
        <f t="shared" si="18"/>
        <v>9.0909090909090912E-2</v>
      </c>
      <c r="O31">
        <f t="shared" si="18"/>
        <v>9.0909090909090912E-2</v>
      </c>
      <c r="P31">
        <f t="shared" si="18"/>
        <v>9.0909090909090912E-2</v>
      </c>
      <c r="Q31">
        <f t="shared" si="18"/>
        <v>9.0909090909090912E-2</v>
      </c>
      <c r="R31">
        <f t="shared" si="18"/>
        <v>9.0909090909090912E-2</v>
      </c>
      <c r="S31">
        <f t="shared" si="18"/>
        <v>9.0909090909090912E-2</v>
      </c>
      <c r="T31">
        <f t="shared" si="18"/>
        <v>9.0909090909090912E-2</v>
      </c>
      <c r="U31">
        <f t="shared" si="18"/>
        <v>9.0909090909090912E-2</v>
      </c>
      <c r="V31">
        <f t="shared" si="18"/>
        <v>9.0909090909090912E-2</v>
      </c>
      <c r="W31">
        <f t="shared" si="18"/>
        <v>9.0909090909090912E-2</v>
      </c>
      <c r="X31">
        <f t="shared" si="18"/>
        <v>9.0909090909090912E-2</v>
      </c>
      <c r="Y31">
        <f t="shared" si="18"/>
        <v>9.0909090909090912E-2</v>
      </c>
      <c r="Z31">
        <f t="shared" si="18"/>
        <v>9.0909090909090912E-2</v>
      </c>
      <c r="AA31">
        <f t="shared" si="18"/>
        <v>9.0909090909090912E-2</v>
      </c>
      <c r="AB31">
        <f t="shared" si="18"/>
        <v>9.0909090909090912E-2</v>
      </c>
      <c r="AC31">
        <f t="shared" si="18"/>
        <v>9.0909090909090912E-2</v>
      </c>
      <c r="AD31">
        <f t="shared" si="18"/>
        <v>9.0909090909090912E-2</v>
      </c>
      <c r="AE31">
        <f t="shared" si="18"/>
        <v>9.0909090909090912E-2</v>
      </c>
      <c r="AF31">
        <f t="shared" si="18"/>
        <v>9.0909090909090912E-2</v>
      </c>
      <c r="AG31">
        <f t="shared" si="18"/>
        <v>9.0909090909090912E-2</v>
      </c>
      <c r="AH31">
        <f t="shared" si="18"/>
        <v>9.0909090909090912E-2</v>
      </c>
      <c r="AI31">
        <f t="shared" si="18"/>
        <v>9.0909090909090912E-2</v>
      </c>
      <c r="AJ31">
        <f t="shared" si="18"/>
        <v>9.0909090909090912E-2</v>
      </c>
      <c r="AK31">
        <f t="shared" si="18"/>
        <v>9.0909090909090912E-2</v>
      </c>
      <c r="AL31">
        <f t="shared" si="18"/>
        <v>9.0909090909090912E-2</v>
      </c>
      <c r="AM31">
        <f t="shared" si="18"/>
        <v>9.0909090909090912E-2</v>
      </c>
      <c r="AN31">
        <f t="shared" si="18"/>
        <v>9.0909090909090912E-2</v>
      </c>
      <c r="AO31">
        <f t="shared" si="18"/>
        <v>9.0909090909090912E-2</v>
      </c>
      <c r="AP31">
        <f t="shared" si="18"/>
        <v>9.0909090909090912E-2</v>
      </c>
      <c r="AQ31">
        <f t="shared" si="18"/>
        <v>9.0909090909090912E-2</v>
      </c>
      <c r="AR31">
        <f t="shared" si="18"/>
        <v>9.0909090909090912E-2</v>
      </c>
      <c r="AS31">
        <f t="shared" si="18"/>
        <v>9.0909090909090912E-2</v>
      </c>
      <c r="AT31">
        <f t="shared" si="18"/>
        <v>9.0909090909090912E-2</v>
      </c>
      <c r="AU31">
        <f t="shared" si="18"/>
        <v>9.0909090909090912E-2</v>
      </c>
      <c r="AV31">
        <f t="shared" si="18"/>
        <v>9.0909090909090912E-2</v>
      </c>
      <c r="AW31">
        <f t="shared" si="18"/>
        <v>9.0909090909090912E-2</v>
      </c>
      <c r="AX31">
        <f t="shared" si="18"/>
        <v>9.0909090909090912E-2</v>
      </c>
      <c r="AY31">
        <f t="shared" si="18"/>
        <v>9.0909090909090912E-2</v>
      </c>
      <c r="AZ31">
        <f t="shared" si="18"/>
        <v>9.0909090909090912E-2</v>
      </c>
      <c r="BA31">
        <f t="shared" si="18"/>
        <v>9.0909090909090912E-2</v>
      </c>
      <c r="BB31">
        <f t="shared" si="18"/>
        <v>9.0909090909090912E-2</v>
      </c>
      <c r="BC31">
        <f t="shared" si="18"/>
        <v>9.0909090909090912E-2</v>
      </c>
      <c r="BD31">
        <f t="shared" si="18"/>
        <v>9.0909090909090912E-2</v>
      </c>
      <c r="BE31">
        <f t="shared" si="18"/>
        <v>9.0909090909090912E-2</v>
      </c>
      <c r="BF31">
        <f t="shared" si="18"/>
        <v>9.0909090909090912E-2</v>
      </c>
      <c r="BG31">
        <f t="shared" si="18"/>
        <v>9.0909090909090912E-2</v>
      </c>
      <c r="BH31">
        <f t="shared" si="18"/>
        <v>9.0909090909090912E-2</v>
      </c>
      <c r="BI31">
        <f t="shared" si="18"/>
        <v>9.0909090909090912E-2</v>
      </c>
      <c r="BJ31">
        <f t="shared" si="18"/>
        <v>9.0909090909090912E-2</v>
      </c>
      <c r="BK31">
        <f t="shared" si="18"/>
        <v>9.0909090909090912E-2</v>
      </c>
      <c r="BL31">
        <f t="shared" si="18"/>
        <v>9.0909090909090912E-2</v>
      </c>
      <c r="BM31">
        <f t="shared" si="18"/>
        <v>9.0909090909090912E-2</v>
      </c>
      <c r="BN31">
        <f t="shared" si="18"/>
        <v>9.0909090909090912E-2</v>
      </c>
      <c r="BO31">
        <f t="shared" si="18"/>
        <v>9.0909090909090912E-2</v>
      </c>
      <c r="BP31">
        <f t="shared" ref="BP31:CO34" si="19">BO31</f>
        <v>9.0909090909090912E-2</v>
      </c>
      <c r="BQ31">
        <f t="shared" si="19"/>
        <v>9.0909090909090912E-2</v>
      </c>
      <c r="BR31">
        <f t="shared" si="19"/>
        <v>9.0909090909090912E-2</v>
      </c>
      <c r="BS31">
        <f t="shared" si="19"/>
        <v>9.0909090909090912E-2</v>
      </c>
      <c r="BT31">
        <f t="shared" si="19"/>
        <v>9.0909090909090912E-2</v>
      </c>
      <c r="BU31">
        <f t="shared" si="19"/>
        <v>9.0909090909090912E-2</v>
      </c>
      <c r="BV31">
        <f t="shared" si="19"/>
        <v>9.0909090909090912E-2</v>
      </c>
      <c r="BW31">
        <f t="shared" si="19"/>
        <v>9.0909090909090912E-2</v>
      </c>
      <c r="BX31">
        <f t="shared" si="19"/>
        <v>9.0909090909090912E-2</v>
      </c>
      <c r="BY31">
        <f t="shared" si="19"/>
        <v>9.0909090909090912E-2</v>
      </c>
      <c r="BZ31">
        <f t="shared" si="19"/>
        <v>9.0909090909090912E-2</v>
      </c>
      <c r="CA31">
        <f t="shared" si="19"/>
        <v>9.0909090909090912E-2</v>
      </c>
      <c r="CB31">
        <f t="shared" si="19"/>
        <v>9.0909090909090912E-2</v>
      </c>
      <c r="CC31">
        <f t="shared" si="19"/>
        <v>9.0909090909090912E-2</v>
      </c>
      <c r="CD31">
        <f t="shared" si="19"/>
        <v>9.0909090909090912E-2</v>
      </c>
      <c r="CE31">
        <f t="shared" si="19"/>
        <v>9.0909090909090912E-2</v>
      </c>
      <c r="CF31">
        <f t="shared" si="19"/>
        <v>9.0909090909090912E-2</v>
      </c>
      <c r="CG31">
        <f t="shared" si="19"/>
        <v>9.0909090909090912E-2</v>
      </c>
      <c r="CH31">
        <f t="shared" si="19"/>
        <v>9.0909090909090912E-2</v>
      </c>
      <c r="CI31">
        <f t="shared" si="19"/>
        <v>9.0909090909090912E-2</v>
      </c>
      <c r="CJ31">
        <f t="shared" si="19"/>
        <v>9.0909090909090912E-2</v>
      </c>
      <c r="CK31">
        <f t="shared" si="19"/>
        <v>9.0909090909090912E-2</v>
      </c>
      <c r="CL31">
        <f t="shared" si="19"/>
        <v>9.0909090909090912E-2</v>
      </c>
      <c r="CM31">
        <f t="shared" si="19"/>
        <v>9.0909090909090912E-2</v>
      </c>
      <c r="CN31">
        <f t="shared" si="19"/>
        <v>9.0909090909090912E-2</v>
      </c>
      <c r="CO31">
        <f t="shared" si="19"/>
        <v>9.0909090909090912E-2</v>
      </c>
    </row>
    <row r="32" spans="1:93" x14ac:dyDescent="0.25">
      <c r="A32" t="s">
        <v>76</v>
      </c>
      <c r="B32" t="s">
        <v>96</v>
      </c>
      <c r="C32">
        <f t="shared" si="4"/>
        <v>9.0909090909090912E-2</v>
      </c>
      <c r="D32">
        <f t="shared" si="5"/>
        <v>9.0909090909090912E-2</v>
      </c>
      <c r="E32">
        <f t="shared" ref="E32:BP35" si="20">D32</f>
        <v>9.0909090909090912E-2</v>
      </c>
      <c r="F32">
        <f t="shared" si="20"/>
        <v>9.0909090909090912E-2</v>
      </c>
      <c r="G32">
        <f t="shared" si="20"/>
        <v>9.0909090909090912E-2</v>
      </c>
      <c r="H32">
        <f t="shared" si="20"/>
        <v>9.0909090909090912E-2</v>
      </c>
      <c r="I32">
        <f t="shared" si="20"/>
        <v>9.0909090909090912E-2</v>
      </c>
      <c r="J32">
        <f t="shared" si="20"/>
        <v>9.0909090909090912E-2</v>
      </c>
      <c r="K32">
        <f t="shared" si="20"/>
        <v>9.0909090909090912E-2</v>
      </c>
      <c r="L32">
        <f t="shared" si="20"/>
        <v>9.0909090909090912E-2</v>
      </c>
      <c r="M32">
        <f t="shared" si="20"/>
        <v>9.0909090909090912E-2</v>
      </c>
      <c r="N32">
        <f t="shared" si="20"/>
        <v>9.0909090909090912E-2</v>
      </c>
      <c r="O32">
        <f t="shared" si="20"/>
        <v>9.0909090909090912E-2</v>
      </c>
      <c r="P32">
        <f t="shared" si="20"/>
        <v>9.0909090909090912E-2</v>
      </c>
      <c r="Q32">
        <f t="shared" si="20"/>
        <v>9.0909090909090912E-2</v>
      </c>
      <c r="R32">
        <f t="shared" si="20"/>
        <v>9.0909090909090912E-2</v>
      </c>
      <c r="S32">
        <f t="shared" si="20"/>
        <v>9.0909090909090912E-2</v>
      </c>
      <c r="T32">
        <f t="shared" si="20"/>
        <v>9.0909090909090912E-2</v>
      </c>
      <c r="U32">
        <f t="shared" si="20"/>
        <v>9.0909090909090912E-2</v>
      </c>
      <c r="V32">
        <f t="shared" si="20"/>
        <v>9.0909090909090912E-2</v>
      </c>
      <c r="W32">
        <f t="shared" si="20"/>
        <v>9.0909090909090912E-2</v>
      </c>
      <c r="X32">
        <f t="shared" si="20"/>
        <v>9.0909090909090912E-2</v>
      </c>
      <c r="Y32">
        <f t="shared" si="20"/>
        <v>9.0909090909090912E-2</v>
      </c>
      <c r="Z32">
        <f t="shared" si="20"/>
        <v>9.0909090909090912E-2</v>
      </c>
      <c r="AA32">
        <f t="shared" si="20"/>
        <v>9.0909090909090912E-2</v>
      </c>
      <c r="AB32">
        <f t="shared" si="20"/>
        <v>9.0909090909090912E-2</v>
      </c>
      <c r="AC32">
        <f t="shared" si="20"/>
        <v>9.0909090909090912E-2</v>
      </c>
      <c r="AD32">
        <f t="shared" si="20"/>
        <v>9.0909090909090912E-2</v>
      </c>
      <c r="AE32">
        <f t="shared" si="20"/>
        <v>9.0909090909090912E-2</v>
      </c>
      <c r="AF32">
        <f t="shared" si="20"/>
        <v>9.0909090909090912E-2</v>
      </c>
      <c r="AG32">
        <f t="shared" si="20"/>
        <v>9.0909090909090912E-2</v>
      </c>
      <c r="AH32">
        <f t="shared" si="20"/>
        <v>9.0909090909090912E-2</v>
      </c>
      <c r="AI32">
        <f t="shared" si="20"/>
        <v>9.0909090909090912E-2</v>
      </c>
      <c r="AJ32">
        <f t="shared" si="20"/>
        <v>9.0909090909090912E-2</v>
      </c>
      <c r="AK32">
        <f t="shared" si="20"/>
        <v>9.0909090909090912E-2</v>
      </c>
      <c r="AL32">
        <f t="shared" si="20"/>
        <v>9.0909090909090912E-2</v>
      </c>
      <c r="AM32">
        <f t="shared" si="20"/>
        <v>9.0909090909090912E-2</v>
      </c>
      <c r="AN32">
        <f t="shared" si="20"/>
        <v>9.0909090909090912E-2</v>
      </c>
      <c r="AO32">
        <f t="shared" si="20"/>
        <v>9.0909090909090912E-2</v>
      </c>
      <c r="AP32">
        <f t="shared" si="20"/>
        <v>9.0909090909090912E-2</v>
      </c>
      <c r="AQ32">
        <f t="shared" si="20"/>
        <v>9.0909090909090912E-2</v>
      </c>
      <c r="AR32">
        <f t="shared" si="20"/>
        <v>9.0909090909090912E-2</v>
      </c>
      <c r="AS32">
        <f t="shared" si="20"/>
        <v>9.0909090909090912E-2</v>
      </c>
      <c r="AT32">
        <f t="shared" si="20"/>
        <v>9.0909090909090912E-2</v>
      </c>
      <c r="AU32">
        <f t="shared" si="20"/>
        <v>9.0909090909090912E-2</v>
      </c>
      <c r="AV32">
        <f t="shared" si="20"/>
        <v>9.0909090909090912E-2</v>
      </c>
      <c r="AW32">
        <f t="shared" si="20"/>
        <v>9.0909090909090912E-2</v>
      </c>
      <c r="AX32">
        <f t="shared" si="20"/>
        <v>9.0909090909090912E-2</v>
      </c>
      <c r="AY32">
        <f t="shared" si="20"/>
        <v>9.0909090909090912E-2</v>
      </c>
      <c r="AZ32">
        <f t="shared" si="20"/>
        <v>9.0909090909090912E-2</v>
      </c>
      <c r="BA32">
        <f t="shared" si="20"/>
        <v>9.0909090909090912E-2</v>
      </c>
      <c r="BB32">
        <f t="shared" si="20"/>
        <v>9.0909090909090912E-2</v>
      </c>
      <c r="BC32">
        <f t="shared" si="20"/>
        <v>9.0909090909090912E-2</v>
      </c>
      <c r="BD32">
        <f t="shared" si="20"/>
        <v>9.0909090909090912E-2</v>
      </c>
      <c r="BE32">
        <f t="shared" si="20"/>
        <v>9.0909090909090912E-2</v>
      </c>
      <c r="BF32">
        <f t="shared" si="20"/>
        <v>9.0909090909090912E-2</v>
      </c>
      <c r="BG32">
        <f t="shared" si="20"/>
        <v>9.0909090909090912E-2</v>
      </c>
      <c r="BH32">
        <f t="shared" si="20"/>
        <v>9.0909090909090912E-2</v>
      </c>
      <c r="BI32">
        <f t="shared" si="20"/>
        <v>9.0909090909090912E-2</v>
      </c>
      <c r="BJ32">
        <f t="shared" si="20"/>
        <v>9.0909090909090912E-2</v>
      </c>
      <c r="BK32">
        <f t="shared" si="20"/>
        <v>9.0909090909090912E-2</v>
      </c>
      <c r="BL32">
        <f t="shared" si="20"/>
        <v>9.0909090909090912E-2</v>
      </c>
      <c r="BM32">
        <f t="shared" si="20"/>
        <v>9.0909090909090912E-2</v>
      </c>
      <c r="BN32">
        <f t="shared" si="20"/>
        <v>9.0909090909090912E-2</v>
      </c>
      <c r="BO32">
        <f t="shared" si="20"/>
        <v>9.0909090909090912E-2</v>
      </c>
      <c r="BP32">
        <f t="shared" si="20"/>
        <v>9.0909090909090912E-2</v>
      </c>
      <c r="BQ32">
        <f t="shared" si="19"/>
        <v>9.0909090909090912E-2</v>
      </c>
      <c r="BR32">
        <f t="shared" si="19"/>
        <v>9.0909090909090912E-2</v>
      </c>
      <c r="BS32">
        <f t="shared" si="19"/>
        <v>9.0909090909090912E-2</v>
      </c>
      <c r="BT32">
        <f t="shared" si="19"/>
        <v>9.0909090909090912E-2</v>
      </c>
      <c r="BU32">
        <f t="shared" si="19"/>
        <v>9.0909090909090912E-2</v>
      </c>
      <c r="BV32">
        <f t="shared" si="19"/>
        <v>9.0909090909090912E-2</v>
      </c>
      <c r="BW32">
        <f t="shared" si="19"/>
        <v>9.0909090909090912E-2</v>
      </c>
      <c r="BX32">
        <f t="shared" si="19"/>
        <v>9.0909090909090912E-2</v>
      </c>
      <c r="BY32">
        <f t="shared" si="19"/>
        <v>9.0909090909090912E-2</v>
      </c>
      <c r="BZ32">
        <f t="shared" si="19"/>
        <v>9.0909090909090912E-2</v>
      </c>
      <c r="CA32">
        <f t="shared" si="19"/>
        <v>9.0909090909090912E-2</v>
      </c>
      <c r="CB32">
        <f t="shared" si="19"/>
        <v>9.0909090909090912E-2</v>
      </c>
      <c r="CC32">
        <f t="shared" si="19"/>
        <v>9.0909090909090912E-2</v>
      </c>
      <c r="CD32">
        <f t="shared" si="19"/>
        <v>9.0909090909090912E-2</v>
      </c>
      <c r="CE32">
        <f t="shared" si="19"/>
        <v>9.0909090909090912E-2</v>
      </c>
      <c r="CF32">
        <f t="shared" si="19"/>
        <v>9.0909090909090912E-2</v>
      </c>
      <c r="CG32">
        <f t="shared" si="19"/>
        <v>9.0909090909090912E-2</v>
      </c>
      <c r="CH32">
        <f t="shared" si="19"/>
        <v>9.0909090909090912E-2</v>
      </c>
      <c r="CI32">
        <f t="shared" si="19"/>
        <v>9.0909090909090912E-2</v>
      </c>
      <c r="CJ32">
        <f t="shared" si="19"/>
        <v>9.0909090909090912E-2</v>
      </c>
      <c r="CK32">
        <f t="shared" si="19"/>
        <v>9.0909090909090912E-2</v>
      </c>
      <c r="CL32">
        <f t="shared" si="19"/>
        <v>9.0909090909090912E-2</v>
      </c>
      <c r="CM32">
        <f t="shared" si="19"/>
        <v>9.0909090909090912E-2</v>
      </c>
      <c r="CN32">
        <f t="shared" si="19"/>
        <v>9.0909090909090912E-2</v>
      </c>
      <c r="CO32">
        <f t="shared" si="19"/>
        <v>9.0909090909090912E-2</v>
      </c>
    </row>
    <row r="33" spans="1:93" x14ac:dyDescent="0.25">
      <c r="A33" t="s">
        <v>77</v>
      </c>
      <c r="B33" t="s">
        <v>96</v>
      </c>
      <c r="C33">
        <f t="shared" si="4"/>
        <v>9.0909090909090912E-2</v>
      </c>
      <c r="D33">
        <f t="shared" si="5"/>
        <v>9.0909090909090912E-2</v>
      </c>
      <c r="E33">
        <f t="shared" si="20"/>
        <v>9.0909090909090912E-2</v>
      </c>
      <c r="F33">
        <f t="shared" si="20"/>
        <v>9.0909090909090912E-2</v>
      </c>
      <c r="G33">
        <f t="shared" si="20"/>
        <v>9.0909090909090912E-2</v>
      </c>
      <c r="H33">
        <f t="shared" si="20"/>
        <v>9.0909090909090912E-2</v>
      </c>
      <c r="I33">
        <f t="shared" si="20"/>
        <v>9.0909090909090912E-2</v>
      </c>
      <c r="J33">
        <f t="shared" si="20"/>
        <v>9.0909090909090912E-2</v>
      </c>
      <c r="K33">
        <f t="shared" si="20"/>
        <v>9.0909090909090912E-2</v>
      </c>
      <c r="L33">
        <f t="shared" si="20"/>
        <v>9.0909090909090912E-2</v>
      </c>
      <c r="M33">
        <f t="shared" si="20"/>
        <v>9.0909090909090912E-2</v>
      </c>
      <c r="N33">
        <f t="shared" si="20"/>
        <v>9.0909090909090912E-2</v>
      </c>
      <c r="O33">
        <f t="shared" si="20"/>
        <v>9.0909090909090912E-2</v>
      </c>
      <c r="P33">
        <f t="shared" si="20"/>
        <v>9.0909090909090912E-2</v>
      </c>
      <c r="Q33">
        <f t="shared" si="20"/>
        <v>9.0909090909090912E-2</v>
      </c>
      <c r="R33">
        <f t="shared" si="20"/>
        <v>9.0909090909090912E-2</v>
      </c>
      <c r="S33">
        <f t="shared" si="20"/>
        <v>9.0909090909090912E-2</v>
      </c>
      <c r="T33">
        <f t="shared" si="20"/>
        <v>9.0909090909090912E-2</v>
      </c>
      <c r="U33">
        <f t="shared" si="20"/>
        <v>9.0909090909090912E-2</v>
      </c>
      <c r="V33">
        <f t="shared" si="20"/>
        <v>9.0909090909090912E-2</v>
      </c>
      <c r="W33">
        <f t="shared" si="20"/>
        <v>9.0909090909090912E-2</v>
      </c>
      <c r="X33">
        <f t="shared" si="20"/>
        <v>9.0909090909090912E-2</v>
      </c>
      <c r="Y33">
        <f t="shared" si="20"/>
        <v>9.0909090909090912E-2</v>
      </c>
      <c r="Z33">
        <f t="shared" si="20"/>
        <v>9.0909090909090912E-2</v>
      </c>
      <c r="AA33">
        <f t="shared" si="20"/>
        <v>9.0909090909090912E-2</v>
      </c>
      <c r="AB33">
        <f t="shared" si="20"/>
        <v>9.0909090909090912E-2</v>
      </c>
      <c r="AC33">
        <f t="shared" si="20"/>
        <v>9.0909090909090912E-2</v>
      </c>
      <c r="AD33">
        <f t="shared" si="20"/>
        <v>9.0909090909090912E-2</v>
      </c>
      <c r="AE33">
        <f t="shared" si="20"/>
        <v>9.0909090909090912E-2</v>
      </c>
      <c r="AF33">
        <f t="shared" si="20"/>
        <v>9.0909090909090912E-2</v>
      </c>
      <c r="AG33">
        <f t="shared" si="20"/>
        <v>9.0909090909090912E-2</v>
      </c>
      <c r="AH33">
        <f t="shared" si="20"/>
        <v>9.0909090909090912E-2</v>
      </c>
      <c r="AI33">
        <f t="shared" si="20"/>
        <v>9.0909090909090912E-2</v>
      </c>
      <c r="AJ33">
        <f t="shared" si="20"/>
        <v>9.0909090909090912E-2</v>
      </c>
      <c r="AK33">
        <f t="shared" si="20"/>
        <v>9.0909090909090912E-2</v>
      </c>
      <c r="AL33">
        <f t="shared" si="20"/>
        <v>9.0909090909090912E-2</v>
      </c>
      <c r="AM33">
        <f t="shared" si="20"/>
        <v>9.0909090909090912E-2</v>
      </c>
      <c r="AN33">
        <f t="shared" si="20"/>
        <v>9.0909090909090912E-2</v>
      </c>
      <c r="AO33">
        <f t="shared" si="20"/>
        <v>9.0909090909090912E-2</v>
      </c>
      <c r="AP33">
        <f t="shared" si="20"/>
        <v>9.0909090909090912E-2</v>
      </c>
      <c r="AQ33">
        <f t="shared" si="20"/>
        <v>9.0909090909090912E-2</v>
      </c>
      <c r="AR33">
        <f t="shared" si="20"/>
        <v>9.0909090909090912E-2</v>
      </c>
      <c r="AS33">
        <f t="shared" si="20"/>
        <v>9.0909090909090912E-2</v>
      </c>
      <c r="AT33">
        <f t="shared" si="20"/>
        <v>9.0909090909090912E-2</v>
      </c>
      <c r="AU33">
        <f t="shared" si="20"/>
        <v>9.0909090909090912E-2</v>
      </c>
      <c r="AV33">
        <f t="shared" si="20"/>
        <v>9.0909090909090912E-2</v>
      </c>
      <c r="AW33">
        <f t="shared" si="20"/>
        <v>9.0909090909090912E-2</v>
      </c>
      <c r="AX33">
        <f t="shared" si="20"/>
        <v>9.0909090909090912E-2</v>
      </c>
      <c r="AY33">
        <f t="shared" si="20"/>
        <v>9.0909090909090912E-2</v>
      </c>
      <c r="AZ33">
        <f t="shared" si="20"/>
        <v>9.0909090909090912E-2</v>
      </c>
      <c r="BA33">
        <f t="shared" si="20"/>
        <v>9.0909090909090912E-2</v>
      </c>
      <c r="BB33">
        <f t="shared" si="20"/>
        <v>9.0909090909090912E-2</v>
      </c>
      <c r="BC33">
        <f t="shared" si="20"/>
        <v>9.0909090909090912E-2</v>
      </c>
      <c r="BD33">
        <f t="shared" si="20"/>
        <v>9.0909090909090912E-2</v>
      </c>
      <c r="BE33">
        <f t="shared" si="20"/>
        <v>9.0909090909090912E-2</v>
      </c>
      <c r="BF33">
        <f t="shared" si="20"/>
        <v>9.0909090909090912E-2</v>
      </c>
      <c r="BG33">
        <f t="shared" si="20"/>
        <v>9.0909090909090912E-2</v>
      </c>
      <c r="BH33">
        <f t="shared" si="20"/>
        <v>9.0909090909090912E-2</v>
      </c>
      <c r="BI33">
        <f t="shared" si="20"/>
        <v>9.0909090909090912E-2</v>
      </c>
      <c r="BJ33">
        <f t="shared" si="20"/>
        <v>9.0909090909090912E-2</v>
      </c>
      <c r="BK33">
        <f t="shared" si="20"/>
        <v>9.0909090909090912E-2</v>
      </c>
      <c r="BL33">
        <f t="shared" si="20"/>
        <v>9.0909090909090912E-2</v>
      </c>
      <c r="BM33">
        <f t="shared" si="20"/>
        <v>9.0909090909090912E-2</v>
      </c>
      <c r="BN33">
        <f t="shared" si="20"/>
        <v>9.0909090909090912E-2</v>
      </c>
      <c r="BO33">
        <f t="shared" si="20"/>
        <v>9.0909090909090912E-2</v>
      </c>
      <c r="BP33">
        <f t="shared" si="20"/>
        <v>9.0909090909090912E-2</v>
      </c>
      <c r="BQ33">
        <f t="shared" si="19"/>
        <v>9.0909090909090912E-2</v>
      </c>
      <c r="BR33">
        <f t="shared" si="19"/>
        <v>9.0909090909090912E-2</v>
      </c>
      <c r="BS33">
        <f t="shared" si="19"/>
        <v>9.0909090909090912E-2</v>
      </c>
      <c r="BT33">
        <f t="shared" si="19"/>
        <v>9.0909090909090912E-2</v>
      </c>
      <c r="BU33">
        <f t="shared" si="19"/>
        <v>9.0909090909090912E-2</v>
      </c>
      <c r="BV33">
        <f t="shared" si="19"/>
        <v>9.0909090909090912E-2</v>
      </c>
      <c r="BW33">
        <f t="shared" si="19"/>
        <v>9.0909090909090912E-2</v>
      </c>
      <c r="BX33">
        <f t="shared" si="19"/>
        <v>9.0909090909090912E-2</v>
      </c>
      <c r="BY33">
        <f t="shared" si="19"/>
        <v>9.0909090909090912E-2</v>
      </c>
      <c r="BZ33">
        <f t="shared" si="19"/>
        <v>9.0909090909090912E-2</v>
      </c>
      <c r="CA33">
        <f t="shared" si="19"/>
        <v>9.0909090909090912E-2</v>
      </c>
      <c r="CB33">
        <f t="shared" si="19"/>
        <v>9.0909090909090912E-2</v>
      </c>
      <c r="CC33">
        <f t="shared" si="19"/>
        <v>9.0909090909090912E-2</v>
      </c>
      <c r="CD33">
        <f t="shared" si="19"/>
        <v>9.0909090909090912E-2</v>
      </c>
      <c r="CE33">
        <f t="shared" si="19"/>
        <v>9.0909090909090912E-2</v>
      </c>
      <c r="CF33">
        <f t="shared" si="19"/>
        <v>9.0909090909090912E-2</v>
      </c>
      <c r="CG33">
        <f t="shared" si="19"/>
        <v>9.0909090909090912E-2</v>
      </c>
      <c r="CH33">
        <f t="shared" si="19"/>
        <v>9.0909090909090912E-2</v>
      </c>
      <c r="CI33">
        <f t="shared" si="19"/>
        <v>9.0909090909090912E-2</v>
      </c>
      <c r="CJ33">
        <f t="shared" si="19"/>
        <v>9.0909090909090912E-2</v>
      </c>
      <c r="CK33">
        <f t="shared" si="19"/>
        <v>9.0909090909090912E-2</v>
      </c>
      <c r="CL33">
        <f t="shared" si="19"/>
        <v>9.0909090909090912E-2</v>
      </c>
      <c r="CM33">
        <f t="shared" si="19"/>
        <v>9.0909090909090912E-2</v>
      </c>
      <c r="CN33">
        <f t="shared" si="19"/>
        <v>9.0909090909090912E-2</v>
      </c>
      <c r="CO33">
        <f t="shared" si="19"/>
        <v>9.0909090909090912E-2</v>
      </c>
    </row>
    <row r="34" spans="1:93" x14ac:dyDescent="0.25">
      <c r="A34" t="s">
        <v>81</v>
      </c>
      <c r="B34" t="s">
        <v>96</v>
      </c>
      <c r="C34">
        <f t="shared" si="4"/>
        <v>9.0909090909090912E-2</v>
      </c>
      <c r="D34">
        <f t="shared" si="5"/>
        <v>9.0909090909090912E-2</v>
      </c>
      <c r="E34">
        <f t="shared" si="20"/>
        <v>9.0909090909090912E-2</v>
      </c>
      <c r="F34">
        <f t="shared" si="20"/>
        <v>9.0909090909090912E-2</v>
      </c>
      <c r="G34">
        <f t="shared" si="20"/>
        <v>9.0909090909090912E-2</v>
      </c>
      <c r="H34">
        <f t="shared" si="20"/>
        <v>9.0909090909090912E-2</v>
      </c>
      <c r="I34">
        <f t="shared" si="20"/>
        <v>9.0909090909090912E-2</v>
      </c>
      <c r="J34">
        <f t="shared" si="20"/>
        <v>9.0909090909090912E-2</v>
      </c>
      <c r="K34">
        <f t="shared" si="20"/>
        <v>9.0909090909090912E-2</v>
      </c>
      <c r="L34">
        <f t="shared" si="20"/>
        <v>9.0909090909090912E-2</v>
      </c>
      <c r="M34">
        <f t="shared" si="20"/>
        <v>9.0909090909090912E-2</v>
      </c>
      <c r="N34">
        <f t="shared" si="20"/>
        <v>9.0909090909090912E-2</v>
      </c>
      <c r="O34">
        <f t="shared" si="20"/>
        <v>9.0909090909090912E-2</v>
      </c>
      <c r="P34">
        <f t="shared" si="20"/>
        <v>9.0909090909090912E-2</v>
      </c>
      <c r="Q34">
        <f t="shared" si="20"/>
        <v>9.0909090909090912E-2</v>
      </c>
      <c r="R34">
        <f t="shared" si="20"/>
        <v>9.0909090909090912E-2</v>
      </c>
      <c r="S34">
        <f t="shared" si="20"/>
        <v>9.0909090909090912E-2</v>
      </c>
      <c r="T34">
        <f t="shared" si="20"/>
        <v>9.0909090909090912E-2</v>
      </c>
      <c r="U34">
        <f t="shared" si="20"/>
        <v>9.0909090909090912E-2</v>
      </c>
      <c r="V34">
        <f t="shared" si="20"/>
        <v>9.0909090909090912E-2</v>
      </c>
      <c r="W34">
        <f t="shared" si="20"/>
        <v>9.0909090909090912E-2</v>
      </c>
      <c r="X34">
        <f t="shared" si="20"/>
        <v>9.0909090909090912E-2</v>
      </c>
      <c r="Y34">
        <f t="shared" si="20"/>
        <v>9.0909090909090912E-2</v>
      </c>
      <c r="Z34">
        <f t="shared" si="20"/>
        <v>9.0909090909090912E-2</v>
      </c>
      <c r="AA34">
        <f t="shared" si="20"/>
        <v>9.0909090909090912E-2</v>
      </c>
      <c r="AB34">
        <f t="shared" si="20"/>
        <v>9.0909090909090912E-2</v>
      </c>
      <c r="AC34">
        <f t="shared" si="20"/>
        <v>9.0909090909090912E-2</v>
      </c>
      <c r="AD34">
        <f t="shared" si="20"/>
        <v>9.0909090909090912E-2</v>
      </c>
      <c r="AE34">
        <f t="shared" si="20"/>
        <v>9.0909090909090912E-2</v>
      </c>
      <c r="AF34">
        <f t="shared" si="20"/>
        <v>9.0909090909090912E-2</v>
      </c>
      <c r="AG34">
        <f t="shared" si="20"/>
        <v>9.0909090909090912E-2</v>
      </c>
      <c r="AH34">
        <f t="shared" si="20"/>
        <v>9.0909090909090912E-2</v>
      </c>
      <c r="AI34">
        <f t="shared" si="20"/>
        <v>9.0909090909090912E-2</v>
      </c>
      <c r="AJ34">
        <f t="shared" si="20"/>
        <v>9.0909090909090912E-2</v>
      </c>
      <c r="AK34">
        <f t="shared" si="20"/>
        <v>9.0909090909090912E-2</v>
      </c>
      <c r="AL34">
        <f t="shared" si="20"/>
        <v>9.0909090909090912E-2</v>
      </c>
      <c r="AM34">
        <f t="shared" si="20"/>
        <v>9.0909090909090912E-2</v>
      </c>
      <c r="AN34">
        <f t="shared" si="20"/>
        <v>9.0909090909090912E-2</v>
      </c>
      <c r="AO34">
        <f t="shared" si="20"/>
        <v>9.0909090909090912E-2</v>
      </c>
      <c r="AP34">
        <f t="shared" si="20"/>
        <v>9.0909090909090912E-2</v>
      </c>
      <c r="AQ34">
        <f t="shared" si="20"/>
        <v>9.0909090909090912E-2</v>
      </c>
      <c r="AR34">
        <f t="shared" si="20"/>
        <v>9.0909090909090912E-2</v>
      </c>
      <c r="AS34">
        <f t="shared" si="20"/>
        <v>9.0909090909090912E-2</v>
      </c>
      <c r="AT34">
        <f t="shared" si="20"/>
        <v>9.0909090909090912E-2</v>
      </c>
      <c r="AU34">
        <f t="shared" si="20"/>
        <v>9.0909090909090912E-2</v>
      </c>
      <c r="AV34">
        <f t="shared" si="20"/>
        <v>9.0909090909090912E-2</v>
      </c>
      <c r="AW34">
        <f t="shared" si="20"/>
        <v>9.0909090909090912E-2</v>
      </c>
      <c r="AX34">
        <f t="shared" si="20"/>
        <v>9.0909090909090912E-2</v>
      </c>
      <c r="AY34">
        <f t="shared" si="20"/>
        <v>9.0909090909090912E-2</v>
      </c>
      <c r="AZ34">
        <f t="shared" si="20"/>
        <v>9.0909090909090912E-2</v>
      </c>
      <c r="BA34">
        <f t="shared" si="20"/>
        <v>9.0909090909090912E-2</v>
      </c>
      <c r="BB34">
        <f t="shared" si="20"/>
        <v>9.0909090909090912E-2</v>
      </c>
      <c r="BC34">
        <f t="shared" si="20"/>
        <v>9.0909090909090912E-2</v>
      </c>
      <c r="BD34">
        <f t="shared" si="20"/>
        <v>9.0909090909090912E-2</v>
      </c>
      <c r="BE34">
        <f t="shared" si="20"/>
        <v>9.0909090909090912E-2</v>
      </c>
      <c r="BF34">
        <f t="shared" si="20"/>
        <v>9.0909090909090912E-2</v>
      </c>
      <c r="BG34">
        <f t="shared" si="20"/>
        <v>9.0909090909090912E-2</v>
      </c>
      <c r="BH34">
        <f t="shared" si="20"/>
        <v>9.0909090909090912E-2</v>
      </c>
      <c r="BI34">
        <f t="shared" si="20"/>
        <v>9.0909090909090912E-2</v>
      </c>
      <c r="BJ34">
        <f t="shared" si="20"/>
        <v>9.0909090909090912E-2</v>
      </c>
      <c r="BK34">
        <f t="shared" si="20"/>
        <v>9.0909090909090912E-2</v>
      </c>
      <c r="BL34">
        <f t="shared" si="20"/>
        <v>9.0909090909090912E-2</v>
      </c>
      <c r="BM34">
        <f t="shared" si="20"/>
        <v>9.0909090909090912E-2</v>
      </c>
      <c r="BN34">
        <f t="shared" si="20"/>
        <v>9.0909090909090912E-2</v>
      </c>
      <c r="BO34">
        <f t="shared" si="20"/>
        <v>9.0909090909090912E-2</v>
      </c>
      <c r="BP34">
        <f t="shared" si="20"/>
        <v>9.0909090909090912E-2</v>
      </c>
      <c r="BQ34">
        <f t="shared" si="19"/>
        <v>9.0909090909090912E-2</v>
      </c>
      <c r="BR34">
        <f t="shared" si="19"/>
        <v>9.0909090909090912E-2</v>
      </c>
      <c r="BS34">
        <f t="shared" si="19"/>
        <v>9.0909090909090912E-2</v>
      </c>
      <c r="BT34">
        <f t="shared" si="19"/>
        <v>9.0909090909090912E-2</v>
      </c>
      <c r="BU34">
        <f t="shared" si="19"/>
        <v>9.0909090909090912E-2</v>
      </c>
      <c r="BV34">
        <f t="shared" si="19"/>
        <v>9.0909090909090912E-2</v>
      </c>
      <c r="BW34">
        <f t="shared" si="19"/>
        <v>9.0909090909090912E-2</v>
      </c>
      <c r="BX34">
        <f t="shared" si="19"/>
        <v>9.0909090909090912E-2</v>
      </c>
      <c r="BY34">
        <f t="shared" si="19"/>
        <v>9.0909090909090912E-2</v>
      </c>
      <c r="BZ34">
        <f t="shared" si="19"/>
        <v>9.0909090909090912E-2</v>
      </c>
      <c r="CA34">
        <f t="shared" si="19"/>
        <v>9.0909090909090912E-2</v>
      </c>
      <c r="CB34">
        <f t="shared" si="19"/>
        <v>9.0909090909090912E-2</v>
      </c>
      <c r="CC34">
        <f t="shared" si="19"/>
        <v>9.0909090909090912E-2</v>
      </c>
      <c r="CD34">
        <f t="shared" si="19"/>
        <v>9.0909090909090912E-2</v>
      </c>
      <c r="CE34">
        <f t="shared" si="19"/>
        <v>9.0909090909090912E-2</v>
      </c>
      <c r="CF34">
        <f t="shared" si="19"/>
        <v>9.0909090909090912E-2</v>
      </c>
      <c r="CG34">
        <f t="shared" si="19"/>
        <v>9.0909090909090912E-2</v>
      </c>
      <c r="CH34">
        <f t="shared" si="19"/>
        <v>9.0909090909090912E-2</v>
      </c>
      <c r="CI34">
        <f t="shared" si="19"/>
        <v>9.0909090909090912E-2</v>
      </c>
      <c r="CJ34">
        <f t="shared" si="19"/>
        <v>9.0909090909090912E-2</v>
      </c>
      <c r="CK34">
        <f t="shared" si="19"/>
        <v>9.0909090909090912E-2</v>
      </c>
      <c r="CL34">
        <f t="shared" si="19"/>
        <v>9.0909090909090912E-2</v>
      </c>
      <c r="CM34">
        <f t="shared" si="19"/>
        <v>9.0909090909090912E-2</v>
      </c>
      <c r="CN34">
        <f t="shared" si="19"/>
        <v>9.0909090909090912E-2</v>
      </c>
      <c r="CO34">
        <f t="shared" si="19"/>
        <v>9.0909090909090912E-2</v>
      </c>
    </row>
    <row r="35" spans="1:93" x14ac:dyDescent="0.25">
      <c r="A35" t="s">
        <v>82</v>
      </c>
      <c r="B35" t="s">
        <v>96</v>
      </c>
      <c r="C35">
        <f t="shared" si="4"/>
        <v>9.0909090909090912E-2</v>
      </c>
      <c r="D35">
        <f t="shared" si="5"/>
        <v>9.0909090909090912E-2</v>
      </c>
      <c r="E35">
        <f t="shared" si="20"/>
        <v>9.0909090909090912E-2</v>
      </c>
      <c r="F35">
        <f t="shared" si="20"/>
        <v>9.0909090909090912E-2</v>
      </c>
      <c r="G35">
        <f t="shared" si="20"/>
        <v>9.0909090909090912E-2</v>
      </c>
      <c r="H35">
        <f t="shared" si="20"/>
        <v>9.0909090909090912E-2</v>
      </c>
      <c r="I35">
        <f t="shared" si="20"/>
        <v>9.0909090909090912E-2</v>
      </c>
      <c r="J35">
        <f t="shared" si="20"/>
        <v>9.0909090909090912E-2</v>
      </c>
      <c r="K35">
        <f t="shared" si="20"/>
        <v>9.0909090909090912E-2</v>
      </c>
      <c r="L35">
        <f t="shared" si="20"/>
        <v>9.0909090909090912E-2</v>
      </c>
      <c r="M35">
        <f t="shared" si="20"/>
        <v>9.0909090909090912E-2</v>
      </c>
      <c r="N35">
        <f t="shared" si="20"/>
        <v>9.0909090909090912E-2</v>
      </c>
      <c r="O35">
        <f t="shared" si="20"/>
        <v>9.0909090909090912E-2</v>
      </c>
      <c r="P35">
        <f t="shared" si="20"/>
        <v>9.0909090909090912E-2</v>
      </c>
      <c r="Q35">
        <f t="shared" si="20"/>
        <v>9.0909090909090912E-2</v>
      </c>
      <c r="R35">
        <f t="shared" si="20"/>
        <v>9.0909090909090912E-2</v>
      </c>
      <c r="S35">
        <f t="shared" si="20"/>
        <v>9.0909090909090912E-2</v>
      </c>
      <c r="T35">
        <f t="shared" si="20"/>
        <v>9.0909090909090912E-2</v>
      </c>
      <c r="U35">
        <f t="shared" si="20"/>
        <v>9.0909090909090912E-2</v>
      </c>
      <c r="V35">
        <f t="shared" si="20"/>
        <v>9.0909090909090912E-2</v>
      </c>
      <c r="W35">
        <f t="shared" si="20"/>
        <v>9.0909090909090912E-2</v>
      </c>
      <c r="X35">
        <f t="shared" si="20"/>
        <v>9.0909090909090912E-2</v>
      </c>
      <c r="Y35">
        <f t="shared" si="20"/>
        <v>9.0909090909090912E-2</v>
      </c>
      <c r="Z35">
        <f t="shared" si="20"/>
        <v>9.0909090909090912E-2</v>
      </c>
      <c r="AA35">
        <f t="shared" si="20"/>
        <v>9.0909090909090912E-2</v>
      </c>
      <c r="AB35">
        <f t="shared" si="20"/>
        <v>9.0909090909090912E-2</v>
      </c>
      <c r="AC35">
        <f t="shared" si="20"/>
        <v>9.0909090909090912E-2</v>
      </c>
      <c r="AD35">
        <f t="shared" si="20"/>
        <v>9.0909090909090912E-2</v>
      </c>
      <c r="AE35">
        <f t="shared" si="20"/>
        <v>9.0909090909090912E-2</v>
      </c>
      <c r="AF35">
        <f t="shared" si="20"/>
        <v>9.0909090909090912E-2</v>
      </c>
      <c r="AG35">
        <f t="shared" si="20"/>
        <v>9.0909090909090912E-2</v>
      </c>
      <c r="AH35">
        <f t="shared" si="20"/>
        <v>9.0909090909090912E-2</v>
      </c>
      <c r="AI35">
        <f t="shared" si="20"/>
        <v>9.0909090909090912E-2</v>
      </c>
      <c r="AJ35">
        <f t="shared" si="20"/>
        <v>9.0909090909090912E-2</v>
      </c>
      <c r="AK35">
        <f t="shared" si="20"/>
        <v>9.0909090909090912E-2</v>
      </c>
      <c r="AL35">
        <f t="shared" si="20"/>
        <v>9.0909090909090912E-2</v>
      </c>
      <c r="AM35">
        <f t="shared" si="20"/>
        <v>9.0909090909090912E-2</v>
      </c>
      <c r="AN35">
        <f t="shared" si="20"/>
        <v>9.0909090909090912E-2</v>
      </c>
      <c r="AO35">
        <f t="shared" si="20"/>
        <v>9.0909090909090912E-2</v>
      </c>
      <c r="AP35">
        <f t="shared" si="20"/>
        <v>9.0909090909090912E-2</v>
      </c>
      <c r="AQ35">
        <f t="shared" si="20"/>
        <v>9.0909090909090912E-2</v>
      </c>
      <c r="AR35">
        <f t="shared" si="20"/>
        <v>9.0909090909090912E-2</v>
      </c>
      <c r="AS35">
        <f t="shared" si="20"/>
        <v>9.0909090909090912E-2</v>
      </c>
      <c r="AT35">
        <f t="shared" si="20"/>
        <v>9.0909090909090912E-2</v>
      </c>
      <c r="AU35">
        <f t="shared" si="20"/>
        <v>9.0909090909090912E-2</v>
      </c>
      <c r="AV35">
        <f t="shared" si="20"/>
        <v>9.0909090909090912E-2</v>
      </c>
      <c r="AW35">
        <f t="shared" si="20"/>
        <v>9.0909090909090912E-2</v>
      </c>
      <c r="AX35">
        <f t="shared" si="20"/>
        <v>9.0909090909090912E-2</v>
      </c>
      <c r="AY35">
        <f t="shared" si="20"/>
        <v>9.0909090909090912E-2</v>
      </c>
      <c r="AZ35">
        <f t="shared" si="20"/>
        <v>9.0909090909090912E-2</v>
      </c>
      <c r="BA35">
        <f t="shared" si="20"/>
        <v>9.0909090909090912E-2</v>
      </c>
      <c r="BB35">
        <f t="shared" si="20"/>
        <v>9.0909090909090912E-2</v>
      </c>
      <c r="BC35">
        <f t="shared" si="20"/>
        <v>9.0909090909090912E-2</v>
      </c>
      <c r="BD35">
        <f t="shared" si="20"/>
        <v>9.0909090909090912E-2</v>
      </c>
      <c r="BE35">
        <f t="shared" si="20"/>
        <v>9.0909090909090912E-2</v>
      </c>
      <c r="BF35">
        <f t="shared" si="20"/>
        <v>9.0909090909090912E-2</v>
      </c>
      <c r="BG35">
        <f t="shared" si="20"/>
        <v>9.0909090909090912E-2</v>
      </c>
      <c r="BH35">
        <f t="shared" si="20"/>
        <v>9.0909090909090912E-2</v>
      </c>
      <c r="BI35">
        <f t="shared" si="20"/>
        <v>9.0909090909090912E-2</v>
      </c>
      <c r="BJ35">
        <f t="shared" si="20"/>
        <v>9.0909090909090912E-2</v>
      </c>
      <c r="BK35">
        <f t="shared" si="20"/>
        <v>9.0909090909090912E-2</v>
      </c>
      <c r="BL35">
        <f t="shared" si="20"/>
        <v>9.0909090909090912E-2</v>
      </c>
      <c r="BM35">
        <f t="shared" si="20"/>
        <v>9.0909090909090912E-2</v>
      </c>
      <c r="BN35">
        <f t="shared" si="20"/>
        <v>9.0909090909090912E-2</v>
      </c>
      <c r="BO35">
        <f t="shared" si="20"/>
        <v>9.0909090909090912E-2</v>
      </c>
      <c r="BP35">
        <f t="shared" ref="BP35:CO38" si="21">BO35</f>
        <v>9.0909090909090912E-2</v>
      </c>
      <c r="BQ35">
        <f t="shared" si="21"/>
        <v>9.0909090909090912E-2</v>
      </c>
      <c r="BR35">
        <f t="shared" si="21"/>
        <v>9.0909090909090912E-2</v>
      </c>
      <c r="BS35">
        <f t="shared" si="21"/>
        <v>9.0909090909090912E-2</v>
      </c>
      <c r="BT35">
        <f t="shared" si="21"/>
        <v>9.0909090909090912E-2</v>
      </c>
      <c r="BU35">
        <f t="shared" si="21"/>
        <v>9.0909090909090912E-2</v>
      </c>
      <c r="BV35">
        <f t="shared" si="21"/>
        <v>9.0909090909090912E-2</v>
      </c>
      <c r="BW35">
        <f t="shared" si="21"/>
        <v>9.0909090909090912E-2</v>
      </c>
      <c r="BX35">
        <f t="shared" si="21"/>
        <v>9.0909090909090912E-2</v>
      </c>
      <c r="BY35">
        <f t="shared" si="21"/>
        <v>9.0909090909090912E-2</v>
      </c>
      <c r="BZ35">
        <f t="shared" si="21"/>
        <v>9.0909090909090912E-2</v>
      </c>
      <c r="CA35">
        <f t="shared" si="21"/>
        <v>9.0909090909090912E-2</v>
      </c>
      <c r="CB35">
        <f t="shared" si="21"/>
        <v>9.0909090909090912E-2</v>
      </c>
      <c r="CC35">
        <f t="shared" si="21"/>
        <v>9.0909090909090912E-2</v>
      </c>
      <c r="CD35">
        <f t="shared" si="21"/>
        <v>9.0909090909090912E-2</v>
      </c>
      <c r="CE35">
        <f t="shared" si="21"/>
        <v>9.0909090909090912E-2</v>
      </c>
      <c r="CF35">
        <f t="shared" si="21"/>
        <v>9.0909090909090912E-2</v>
      </c>
      <c r="CG35">
        <f t="shared" si="21"/>
        <v>9.0909090909090912E-2</v>
      </c>
      <c r="CH35">
        <f t="shared" si="21"/>
        <v>9.0909090909090912E-2</v>
      </c>
      <c r="CI35">
        <f t="shared" si="21"/>
        <v>9.0909090909090912E-2</v>
      </c>
      <c r="CJ35">
        <f t="shared" si="21"/>
        <v>9.0909090909090912E-2</v>
      </c>
      <c r="CK35">
        <f t="shared" si="21"/>
        <v>9.0909090909090912E-2</v>
      </c>
      <c r="CL35">
        <f t="shared" si="21"/>
        <v>9.0909090909090912E-2</v>
      </c>
      <c r="CM35">
        <f t="shared" si="21"/>
        <v>9.0909090909090912E-2</v>
      </c>
      <c r="CN35">
        <f t="shared" si="21"/>
        <v>9.0909090909090912E-2</v>
      </c>
      <c r="CO35">
        <f t="shared" si="21"/>
        <v>9.0909090909090912E-2</v>
      </c>
    </row>
    <row r="36" spans="1:93" x14ac:dyDescent="0.25">
      <c r="A36" t="s">
        <v>83</v>
      </c>
      <c r="B36" t="s">
        <v>96</v>
      </c>
      <c r="C36">
        <f t="shared" si="4"/>
        <v>9.0909090909090912E-2</v>
      </c>
      <c r="D36">
        <f t="shared" si="5"/>
        <v>9.0909090909090912E-2</v>
      </c>
      <c r="E36">
        <f t="shared" ref="E36:BP39" si="22">D36</f>
        <v>9.0909090909090912E-2</v>
      </c>
      <c r="F36">
        <f t="shared" si="22"/>
        <v>9.0909090909090912E-2</v>
      </c>
      <c r="G36">
        <f t="shared" si="22"/>
        <v>9.0909090909090912E-2</v>
      </c>
      <c r="H36">
        <f t="shared" si="22"/>
        <v>9.0909090909090912E-2</v>
      </c>
      <c r="I36">
        <f t="shared" si="22"/>
        <v>9.0909090909090912E-2</v>
      </c>
      <c r="J36">
        <f t="shared" si="22"/>
        <v>9.0909090909090912E-2</v>
      </c>
      <c r="K36">
        <f t="shared" si="22"/>
        <v>9.0909090909090912E-2</v>
      </c>
      <c r="L36">
        <f t="shared" si="22"/>
        <v>9.0909090909090912E-2</v>
      </c>
      <c r="M36">
        <f t="shared" si="22"/>
        <v>9.0909090909090912E-2</v>
      </c>
      <c r="N36">
        <f t="shared" si="22"/>
        <v>9.0909090909090912E-2</v>
      </c>
      <c r="O36">
        <f t="shared" si="22"/>
        <v>9.0909090909090912E-2</v>
      </c>
      <c r="P36">
        <f t="shared" si="22"/>
        <v>9.0909090909090912E-2</v>
      </c>
      <c r="Q36">
        <f t="shared" si="22"/>
        <v>9.0909090909090912E-2</v>
      </c>
      <c r="R36">
        <f t="shared" si="22"/>
        <v>9.0909090909090912E-2</v>
      </c>
      <c r="S36">
        <f t="shared" si="22"/>
        <v>9.0909090909090912E-2</v>
      </c>
      <c r="T36">
        <f t="shared" si="22"/>
        <v>9.0909090909090912E-2</v>
      </c>
      <c r="U36">
        <f t="shared" si="22"/>
        <v>9.0909090909090912E-2</v>
      </c>
      <c r="V36">
        <f t="shared" si="22"/>
        <v>9.0909090909090912E-2</v>
      </c>
      <c r="W36">
        <f t="shared" si="22"/>
        <v>9.0909090909090912E-2</v>
      </c>
      <c r="X36">
        <f t="shared" si="22"/>
        <v>9.0909090909090912E-2</v>
      </c>
      <c r="Y36">
        <f t="shared" si="22"/>
        <v>9.0909090909090912E-2</v>
      </c>
      <c r="Z36">
        <f t="shared" si="22"/>
        <v>9.0909090909090912E-2</v>
      </c>
      <c r="AA36">
        <f t="shared" si="22"/>
        <v>9.0909090909090912E-2</v>
      </c>
      <c r="AB36">
        <f t="shared" si="22"/>
        <v>9.0909090909090912E-2</v>
      </c>
      <c r="AC36">
        <f t="shared" si="22"/>
        <v>9.0909090909090912E-2</v>
      </c>
      <c r="AD36">
        <f t="shared" si="22"/>
        <v>9.0909090909090912E-2</v>
      </c>
      <c r="AE36">
        <f t="shared" si="22"/>
        <v>9.0909090909090912E-2</v>
      </c>
      <c r="AF36">
        <f t="shared" si="22"/>
        <v>9.0909090909090912E-2</v>
      </c>
      <c r="AG36">
        <f t="shared" si="22"/>
        <v>9.0909090909090912E-2</v>
      </c>
      <c r="AH36">
        <f t="shared" si="22"/>
        <v>9.0909090909090912E-2</v>
      </c>
      <c r="AI36">
        <f t="shared" si="22"/>
        <v>9.0909090909090912E-2</v>
      </c>
      <c r="AJ36">
        <f t="shared" si="22"/>
        <v>9.0909090909090912E-2</v>
      </c>
      <c r="AK36">
        <f t="shared" si="22"/>
        <v>9.0909090909090912E-2</v>
      </c>
      <c r="AL36">
        <f t="shared" si="22"/>
        <v>9.0909090909090912E-2</v>
      </c>
      <c r="AM36">
        <f t="shared" si="22"/>
        <v>9.0909090909090912E-2</v>
      </c>
      <c r="AN36">
        <f t="shared" si="22"/>
        <v>9.0909090909090912E-2</v>
      </c>
      <c r="AO36">
        <f t="shared" si="22"/>
        <v>9.0909090909090912E-2</v>
      </c>
      <c r="AP36">
        <f t="shared" si="22"/>
        <v>9.0909090909090912E-2</v>
      </c>
      <c r="AQ36">
        <f t="shared" si="22"/>
        <v>9.0909090909090912E-2</v>
      </c>
      <c r="AR36">
        <f t="shared" si="22"/>
        <v>9.0909090909090912E-2</v>
      </c>
      <c r="AS36">
        <f t="shared" si="22"/>
        <v>9.0909090909090912E-2</v>
      </c>
      <c r="AT36">
        <f t="shared" si="22"/>
        <v>9.0909090909090912E-2</v>
      </c>
      <c r="AU36">
        <f t="shared" si="22"/>
        <v>9.0909090909090912E-2</v>
      </c>
      <c r="AV36">
        <f t="shared" si="22"/>
        <v>9.0909090909090912E-2</v>
      </c>
      <c r="AW36">
        <f t="shared" si="22"/>
        <v>9.0909090909090912E-2</v>
      </c>
      <c r="AX36">
        <f t="shared" si="22"/>
        <v>9.0909090909090912E-2</v>
      </c>
      <c r="AY36">
        <f t="shared" si="22"/>
        <v>9.0909090909090912E-2</v>
      </c>
      <c r="AZ36">
        <f t="shared" si="22"/>
        <v>9.0909090909090912E-2</v>
      </c>
      <c r="BA36">
        <f t="shared" si="22"/>
        <v>9.0909090909090912E-2</v>
      </c>
      <c r="BB36">
        <f t="shared" si="22"/>
        <v>9.0909090909090912E-2</v>
      </c>
      <c r="BC36">
        <f t="shared" si="22"/>
        <v>9.0909090909090912E-2</v>
      </c>
      <c r="BD36">
        <f t="shared" si="22"/>
        <v>9.0909090909090912E-2</v>
      </c>
      <c r="BE36">
        <f t="shared" si="22"/>
        <v>9.0909090909090912E-2</v>
      </c>
      <c r="BF36">
        <f t="shared" si="22"/>
        <v>9.0909090909090912E-2</v>
      </c>
      <c r="BG36">
        <f t="shared" si="22"/>
        <v>9.0909090909090912E-2</v>
      </c>
      <c r="BH36">
        <f t="shared" si="22"/>
        <v>9.0909090909090912E-2</v>
      </c>
      <c r="BI36">
        <f t="shared" si="22"/>
        <v>9.0909090909090912E-2</v>
      </c>
      <c r="BJ36">
        <f t="shared" si="22"/>
        <v>9.0909090909090912E-2</v>
      </c>
      <c r="BK36">
        <f t="shared" si="22"/>
        <v>9.0909090909090912E-2</v>
      </c>
      <c r="BL36">
        <f t="shared" si="22"/>
        <v>9.0909090909090912E-2</v>
      </c>
      <c r="BM36">
        <f t="shared" si="22"/>
        <v>9.0909090909090912E-2</v>
      </c>
      <c r="BN36">
        <f t="shared" si="22"/>
        <v>9.0909090909090912E-2</v>
      </c>
      <c r="BO36">
        <f t="shared" si="22"/>
        <v>9.0909090909090912E-2</v>
      </c>
      <c r="BP36">
        <f t="shared" si="22"/>
        <v>9.0909090909090912E-2</v>
      </c>
      <c r="BQ36">
        <f t="shared" si="21"/>
        <v>9.0909090909090912E-2</v>
      </c>
      <c r="BR36">
        <f t="shared" si="21"/>
        <v>9.0909090909090912E-2</v>
      </c>
      <c r="BS36">
        <f t="shared" si="21"/>
        <v>9.0909090909090912E-2</v>
      </c>
      <c r="BT36">
        <f t="shared" si="21"/>
        <v>9.0909090909090912E-2</v>
      </c>
      <c r="BU36">
        <f t="shared" si="21"/>
        <v>9.0909090909090912E-2</v>
      </c>
      <c r="BV36">
        <f t="shared" si="21"/>
        <v>9.0909090909090912E-2</v>
      </c>
      <c r="BW36">
        <f t="shared" si="21"/>
        <v>9.0909090909090912E-2</v>
      </c>
      <c r="BX36">
        <f t="shared" si="21"/>
        <v>9.0909090909090912E-2</v>
      </c>
      <c r="BY36">
        <f t="shared" si="21"/>
        <v>9.0909090909090912E-2</v>
      </c>
      <c r="BZ36">
        <f t="shared" si="21"/>
        <v>9.0909090909090912E-2</v>
      </c>
      <c r="CA36">
        <f t="shared" si="21"/>
        <v>9.0909090909090912E-2</v>
      </c>
      <c r="CB36">
        <f t="shared" si="21"/>
        <v>9.0909090909090912E-2</v>
      </c>
      <c r="CC36">
        <f t="shared" si="21"/>
        <v>9.0909090909090912E-2</v>
      </c>
      <c r="CD36">
        <f t="shared" si="21"/>
        <v>9.0909090909090912E-2</v>
      </c>
      <c r="CE36">
        <f t="shared" si="21"/>
        <v>9.0909090909090912E-2</v>
      </c>
      <c r="CF36">
        <f t="shared" si="21"/>
        <v>9.0909090909090912E-2</v>
      </c>
      <c r="CG36">
        <f t="shared" si="21"/>
        <v>9.0909090909090912E-2</v>
      </c>
      <c r="CH36">
        <f t="shared" si="21"/>
        <v>9.0909090909090912E-2</v>
      </c>
      <c r="CI36">
        <f t="shared" si="21"/>
        <v>9.0909090909090912E-2</v>
      </c>
      <c r="CJ36">
        <f t="shared" si="21"/>
        <v>9.0909090909090912E-2</v>
      </c>
      <c r="CK36">
        <f t="shared" si="21"/>
        <v>9.0909090909090912E-2</v>
      </c>
      <c r="CL36">
        <f t="shared" si="21"/>
        <v>9.0909090909090912E-2</v>
      </c>
      <c r="CM36">
        <f t="shared" si="21"/>
        <v>9.0909090909090912E-2</v>
      </c>
      <c r="CN36">
        <f t="shared" si="21"/>
        <v>9.0909090909090912E-2</v>
      </c>
      <c r="CO36">
        <f t="shared" si="21"/>
        <v>9.0909090909090912E-2</v>
      </c>
    </row>
    <row r="37" spans="1:93" x14ac:dyDescent="0.25">
      <c r="A37" t="s">
        <v>84</v>
      </c>
      <c r="B37" t="s">
        <v>96</v>
      </c>
      <c r="C37">
        <f t="shared" si="4"/>
        <v>9.0909090909090912E-2</v>
      </c>
      <c r="D37">
        <f t="shared" si="5"/>
        <v>9.0909090909090912E-2</v>
      </c>
      <c r="E37">
        <f t="shared" si="22"/>
        <v>9.0909090909090912E-2</v>
      </c>
      <c r="F37">
        <f t="shared" si="22"/>
        <v>9.0909090909090912E-2</v>
      </c>
      <c r="G37">
        <f t="shared" si="22"/>
        <v>9.0909090909090912E-2</v>
      </c>
      <c r="H37">
        <f t="shared" si="22"/>
        <v>9.0909090909090912E-2</v>
      </c>
      <c r="I37">
        <f t="shared" si="22"/>
        <v>9.0909090909090912E-2</v>
      </c>
      <c r="J37">
        <f t="shared" si="22"/>
        <v>9.0909090909090912E-2</v>
      </c>
      <c r="K37">
        <f t="shared" si="22"/>
        <v>9.0909090909090912E-2</v>
      </c>
      <c r="L37">
        <f t="shared" si="22"/>
        <v>9.0909090909090912E-2</v>
      </c>
      <c r="M37">
        <f t="shared" si="22"/>
        <v>9.0909090909090912E-2</v>
      </c>
      <c r="N37">
        <f t="shared" si="22"/>
        <v>9.0909090909090912E-2</v>
      </c>
      <c r="O37">
        <f t="shared" si="22"/>
        <v>9.0909090909090912E-2</v>
      </c>
      <c r="P37">
        <f t="shared" si="22"/>
        <v>9.0909090909090912E-2</v>
      </c>
      <c r="Q37">
        <f t="shared" si="22"/>
        <v>9.0909090909090912E-2</v>
      </c>
      <c r="R37">
        <f t="shared" si="22"/>
        <v>9.0909090909090912E-2</v>
      </c>
      <c r="S37">
        <f t="shared" si="22"/>
        <v>9.0909090909090912E-2</v>
      </c>
      <c r="T37">
        <f t="shared" si="22"/>
        <v>9.0909090909090912E-2</v>
      </c>
      <c r="U37">
        <f t="shared" si="22"/>
        <v>9.0909090909090912E-2</v>
      </c>
      <c r="V37">
        <f t="shared" si="22"/>
        <v>9.0909090909090912E-2</v>
      </c>
      <c r="W37">
        <f t="shared" si="22"/>
        <v>9.0909090909090912E-2</v>
      </c>
      <c r="X37">
        <f t="shared" si="22"/>
        <v>9.0909090909090912E-2</v>
      </c>
      <c r="Y37">
        <f t="shared" si="22"/>
        <v>9.0909090909090912E-2</v>
      </c>
      <c r="Z37">
        <f t="shared" si="22"/>
        <v>9.0909090909090912E-2</v>
      </c>
      <c r="AA37">
        <f t="shared" si="22"/>
        <v>9.0909090909090912E-2</v>
      </c>
      <c r="AB37">
        <f t="shared" si="22"/>
        <v>9.0909090909090912E-2</v>
      </c>
      <c r="AC37">
        <f t="shared" si="22"/>
        <v>9.0909090909090912E-2</v>
      </c>
      <c r="AD37">
        <f t="shared" si="22"/>
        <v>9.0909090909090912E-2</v>
      </c>
      <c r="AE37">
        <f t="shared" si="22"/>
        <v>9.0909090909090912E-2</v>
      </c>
      <c r="AF37">
        <f t="shared" si="22"/>
        <v>9.0909090909090912E-2</v>
      </c>
      <c r="AG37">
        <f t="shared" si="22"/>
        <v>9.0909090909090912E-2</v>
      </c>
      <c r="AH37">
        <f t="shared" si="22"/>
        <v>9.0909090909090912E-2</v>
      </c>
      <c r="AI37">
        <f t="shared" si="22"/>
        <v>9.0909090909090912E-2</v>
      </c>
      <c r="AJ37">
        <f t="shared" si="22"/>
        <v>9.0909090909090912E-2</v>
      </c>
      <c r="AK37">
        <f t="shared" si="22"/>
        <v>9.0909090909090912E-2</v>
      </c>
      <c r="AL37">
        <f t="shared" si="22"/>
        <v>9.0909090909090912E-2</v>
      </c>
      <c r="AM37">
        <f t="shared" si="22"/>
        <v>9.0909090909090912E-2</v>
      </c>
      <c r="AN37">
        <f t="shared" si="22"/>
        <v>9.0909090909090912E-2</v>
      </c>
      <c r="AO37">
        <f t="shared" si="22"/>
        <v>9.0909090909090912E-2</v>
      </c>
      <c r="AP37">
        <f t="shared" si="22"/>
        <v>9.0909090909090912E-2</v>
      </c>
      <c r="AQ37">
        <f t="shared" si="22"/>
        <v>9.0909090909090912E-2</v>
      </c>
      <c r="AR37">
        <f t="shared" si="22"/>
        <v>9.0909090909090912E-2</v>
      </c>
      <c r="AS37">
        <f t="shared" si="22"/>
        <v>9.0909090909090912E-2</v>
      </c>
      <c r="AT37">
        <f t="shared" si="22"/>
        <v>9.0909090909090912E-2</v>
      </c>
      <c r="AU37">
        <f t="shared" si="22"/>
        <v>9.0909090909090912E-2</v>
      </c>
      <c r="AV37">
        <f t="shared" si="22"/>
        <v>9.0909090909090912E-2</v>
      </c>
      <c r="AW37">
        <f t="shared" si="22"/>
        <v>9.0909090909090912E-2</v>
      </c>
      <c r="AX37">
        <f t="shared" si="22"/>
        <v>9.0909090909090912E-2</v>
      </c>
      <c r="AY37">
        <f t="shared" si="22"/>
        <v>9.0909090909090912E-2</v>
      </c>
      <c r="AZ37">
        <f t="shared" si="22"/>
        <v>9.0909090909090912E-2</v>
      </c>
      <c r="BA37">
        <f t="shared" si="22"/>
        <v>9.0909090909090912E-2</v>
      </c>
      <c r="BB37">
        <f t="shared" si="22"/>
        <v>9.0909090909090912E-2</v>
      </c>
      <c r="BC37">
        <f t="shared" si="22"/>
        <v>9.0909090909090912E-2</v>
      </c>
      <c r="BD37">
        <f t="shared" si="22"/>
        <v>9.0909090909090912E-2</v>
      </c>
      <c r="BE37">
        <f t="shared" si="22"/>
        <v>9.0909090909090912E-2</v>
      </c>
      <c r="BF37">
        <f t="shared" si="22"/>
        <v>9.0909090909090912E-2</v>
      </c>
      <c r="BG37">
        <f t="shared" si="22"/>
        <v>9.0909090909090912E-2</v>
      </c>
      <c r="BH37">
        <f t="shared" si="22"/>
        <v>9.0909090909090912E-2</v>
      </c>
      <c r="BI37">
        <f t="shared" si="22"/>
        <v>9.0909090909090912E-2</v>
      </c>
      <c r="BJ37">
        <f t="shared" si="22"/>
        <v>9.0909090909090912E-2</v>
      </c>
      <c r="BK37">
        <f t="shared" si="22"/>
        <v>9.0909090909090912E-2</v>
      </c>
      <c r="BL37">
        <f t="shared" si="22"/>
        <v>9.0909090909090912E-2</v>
      </c>
      <c r="BM37">
        <f t="shared" si="22"/>
        <v>9.0909090909090912E-2</v>
      </c>
      <c r="BN37">
        <f t="shared" si="22"/>
        <v>9.0909090909090912E-2</v>
      </c>
      <c r="BO37">
        <f t="shared" si="22"/>
        <v>9.0909090909090912E-2</v>
      </c>
      <c r="BP37">
        <f t="shared" si="22"/>
        <v>9.0909090909090912E-2</v>
      </c>
      <c r="BQ37">
        <f t="shared" si="21"/>
        <v>9.0909090909090912E-2</v>
      </c>
      <c r="BR37">
        <f t="shared" si="21"/>
        <v>9.0909090909090912E-2</v>
      </c>
      <c r="BS37">
        <f t="shared" si="21"/>
        <v>9.0909090909090912E-2</v>
      </c>
      <c r="BT37">
        <f t="shared" si="21"/>
        <v>9.0909090909090912E-2</v>
      </c>
      <c r="BU37">
        <f t="shared" si="21"/>
        <v>9.0909090909090912E-2</v>
      </c>
      <c r="BV37">
        <f t="shared" si="21"/>
        <v>9.0909090909090912E-2</v>
      </c>
      <c r="BW37">
        <f t="shared" si="21"/>
        <v>9.0909090909090912E-2</v>
      </c>
      <c r="BX37">
        <f t="shared" si="21"/>
        <v>9.0909090909090912E-2</v>
      </c>
      <c r="BY37">
        <f t="shared" si="21"/>
        <v>9.0909090909090912E-2</v>
      </c>
      <c r="BZ37">
        <f t="shared" si="21"/>
        <v>9.0909090909090912E-2</v>
      </c>
      <c r="CA37">
        <f t="shared" si="21"/>
        <v>9.0909090909090912E-2</v>
      </c>
      <c r="CB37">
        <f t="shared" si="21"/>
        <v>9.0909090909090912E-2</v>
      </c>
      <c r="CC37">
        <f t="shared" si="21"/>
        <v>9.0909090909090912E-2</v>
      </c>
      <c r="CD37">
        <f t="shared" si="21"/>
        <v>9.0909090909090912E-2</v>
      </c>
      <c r="CE37">
        <f t="shared" si="21"/>
        <v>9.0909090909090912E-2</v>
      </c>
      <c r="CF37">
        <f t="shared" si="21"/>
        <v>9.0909090909090912E-2</v>
      </c>
      <c r="CG37">
        <f t="shared" si="21"/>
        <v>9.0909090909090912E-2</v>
      </c>
      <c r="CH37">
        <f t="shared" si="21"/>
        <v>9.0909090909090912E-2</v>
      </c>
      <c r="CI37">
        <f t="shared" si="21"/>
        <v>9.0909090909090912E-2</v>
      </c>
      <c r="CJ37">
        <f t="shared" si="21"/>
        <v>9.0909090909090912E-2</v>
      </c>
      <c r="CK37">
        <f t="shared" si="21"/>
        <v>9.0909090909090912E-2</v>
      </c>
      <c r="CL37">
        <f t="shared" si="21"/>
        <v>9.0909090909090912E-2</v>
      </c>
      <c r="CM37">
        <f t="shared" si="21"/>
        <v>9.0909090909090912E-2</v>
      </c>
      <c r="CN37">
        <f t="shared" si="21"/>
        <v>9.0909090909090912E-2</v>
      </c>
      <c r="CO37">
        <f t="shared" si="21"/>
        <v>9.0909090909090912E-2</v>
      </c>
    </row>
    <row r="38" spans="1:93" x14ac:dyDescent="0.25">
      <c r="A38" t="s">
        <v>87</v>
      </c>
      <c r="B38" t="s">
        <v>96</v>
      </c>
      <c r="C38">
        <f t="shared" si="4"/>
        <v>9.0909090909090912E-2</v>
      </c>
      <c r="D38">
        <f t="shared" si="5"/>
        <v>9.0909090909090912E-2</v>
      </c>
      <c r="E38">
        <f t="shared" si="22"/>
        <v>9.0909090909090912E-2</v>
      </c>
      <c r="F38">
        <f t="shared" si="22"/>
        <v>9.0909090909090912E-2</v>
      </c>
      <c r="G38">
        <f t="shared" si="22"/>
        <v>9.0909090909090912E-2</v>
      </c>
      <c r="H38">
        <f t="shared" si="22"/>
        <v>9.0909090909090912E-2</v>
      </c>
      <c r="I38">
        <f t="shared" si="22"/>
        <v>9.0909090909090912E-2</v>
      </c>
      <c r="J38">
        <f t="shared" si="22"/>
        <v>9.0909090909090912E-2</v>
      </c>
      <c r="K38">
        <f t="shared" si="22"/>
        <v>9.0909090909090912E-2</v>
      </c>
      <c r="L38">
        <f t="shared" si="22"/>
        <v>9.0909090909090912E-2</v>
      </c>
      <c r="M38">
        <f t="shared" si="22"/>
        <v>9.0909090909090912E-2</v>
      </c>
      <c r="N38">
        <f t="shared" si="22"/>
        <v>9.0909090909090912E-2</v>
      </c>
      <c r="O38">
        <f t="shared" si="22"/>
        <v>9.0909090909090912E-2</v>
      </c>
      <c r="P38">
        <f t="shared" si="22"/>
        <v>9.0909090909090912E-2</v>
      </c>
      <c r="Q38">
        <f t="shared" si="22"/>
        <v>9.0909090909090912E-2</v>
      </c>
      <c r="R38">
        <f t="shared" si="22"/>
        <v>9.0909090909090912E-2</v>
      </c>
      <c r="S38">
        <f t="shared" si="22"/>
        <v>9.0909090909090912E-2</v>
      </c>
      <c r="T38">
        <f t="shared" si="22"/>
        <v>9.0909090909090912E-2</v>
      </c>
      <c r="U38">
        <f t="shared" si="22"/>
        <v>9.0909090909090912E-2</v>
      </c>
      <c r="V38">
        <f t="shared" si="22"/>
        <v>9.0909090909090912E-2</v>
      </c>
      <c r="W38">
        <f t="shared" si="22"/>
        <v>9.0909090909090912E-2</v>
      </c>
      <c r="X38">
        <f t="shared" si="22"/>
        <v>9.0909090909090912E-2</v>
      </c>
      <c r="Y38">
        <f t="shared" si="22"/>
        <v>9.0909090909090912E-2</v>
      </c>
      <c r="Z38">
        <f t="shared" si="22"/>
        <v>9.0909090909090912E-2</v>
      </c>
      <c r="AA38">
        <f t="shared" si="22"/>
        <v>9.0909090909090912E-2</v>
      </c>
      <c r="AB38">
        <f t="shared" si="22"/>
        <v>9.0909090909090912E-2</v>
      </c>
      <c r="AC38">
        <f t="shared" si="22"/>
        <v>9.0909090909090912E-2</v>
      </c>
      <c r="AD38">
        <f t="shared" si="22"/>
        <v>9.0909090909090912E-2</v>
      </c>
      <c r="AE38">
        <f t="shared" si="22"/>
        <v>9.0909090909090912E-2</v>
      </c>
      <c r="AF38">
        <f t="shared" si="22"/>
        <v>9.0909090909090912E-2</v>
      </c>
      <c r="AG38">
        <f t="shared" si="22"/>
        <v>9.0909090909090912E-2</v>
      </c>
      <c r="AH38">
        <f t="shared" si="22"/>
        <v>9.0909090909090912E-2</v>
      </c>
      <c r="AI38">
        <f t="shared" si="22"/>
        <v>9.0909090909090912E-2</v>
      </c>
      <c r="AJ38">
        <f t="shared" si="22"/>
        <v>9.0909090909090912E-2</v>
      </c>
      <c r="AK38">
        <f t="shared" si="22"/>
        <v>9.0909090909090912E-2</v>
      </c>
      <c r="AL38">
        <f t="shared" si="22"/>
        <v>9.0909090909090912E-2</v>
      </c>
      <c r="AM38">
        <f t="shared" si="22"/>
        <v>9.0909090909090912E-2</v>
      </c>
      <c r="AN38">
        <f t="shared" si="22"/>
        <v>9.0909090909090912E-2</v>
      </c>
      <c r="AO38">
        <f t="shared" si="22"/>
        <v>9.0909090909090912E-2</v>
      </c>
      <c r="AP38">
        <f t="shared" si="22"/>
        <v>9.0909090909090912E-2</v>
      </c>
      <c r="AQ38">
        <f t="shared" si="22"/>
        <v>9.0909090909090912E-2</v>
      </c>
      <c r="AR38">
        <f t="shared" si="22"/>
        <v>9.0909090909090912E-2</v>
      </c>
      <c r="AS38">
        <f t="shared" si="22"/>
        <v>9.0909090909090912E-2</v>
      </c>
      <c r="AT38">
        <f t="shared" si="22"/>
        <v>9.0909090909090912E-2</v>
      </c>
      <c r="AU38">
        <f t="shared" si="22"/>
        <v>9.0909090909090912E-2</v>
      </c>
      <c r="AV38">
        <f t="shared" si="22"/>
        <v>9.0909090909090912E-2</v>
      </c>
      <c r="AW38">
        <f t="shared" si="22"/>
        <v>9.0909090909090912E-2</v>
      </c>
      <c r="AX38">
        <f t="shared" si="22"/>
        <v>9.0909090909090912E-2</v>
      </c>
      <c r="AY38">
        <f t="shared" si="22"/>
        <v>9.0909090909090912E-2</v>
      </c>
      <c r="AZ38">
        <f t="shared" si="22"/>
        <v>9.0909090909090912E-2</v>
      </c>
      <c r="BA38">
        <f t="shared" si="22"/>
        <v>9.0909090909090912E-2</v>
      </c>
      <c r="BB38">
        <f t="shared" si="22"/>
        <v>9.0909090909090912E-2</v>
      </c>
      <c r="BC38">
        <f t="shared" si="22"/>
        <v>9.0909090909090912E-2</v>
      </c>
      <c r="BD38">
        <f t="shared" si="22"/>
        <v>9.0909090909090912E-2</v>
      </c>
      <c r="BE38">
        <f t="shared" si="22"/>
        <v>9.0909090909090912E-2</v>
      </c>
      <c r="BF38">
        <f t="shared" si="22"/>
        <v>9.0909090909090912E-2</v>
      </c>
      <c r="BG38">
        <f t="shared" si="22"/>
        <v>9.0909090909090912E-2</v>
      </c>
      <c r="BH38">
        <f t="shared" si="22"/>
        <v>9.0909090909090912E-2</v>
      </c>
      <c r="BI38">
        <f t="shared" si="22"/>
        <v>9.0909090909090912E-2</v>
      </c>
      <c r="BJ38">
        <f t="shared" si="22"/>
        <v>9.0909090909090912E-2</v>
      </c>
      <c r="BK38">
        <f t="shared" si="22"/>
        <v>9.0909090909090912E-2</v>
      </c>
      <c r="BL38">
        <f t="shared" si="22"/>
        <v>9.0909090909090912E-2</v>
      </c>
      <c r="BM38">
        <f t="shared" si="22"/>
        <v>9.0909090909090912E-2</v>
      </c>
      <c r="BN38">
        <f t="shared" si="22"/>
        <v>9.0909090909090912E-2</v>
      </c>
      <c r="BO38">
        <f t="shared" si="22"/>
        <v>9.0909090909090912E-2</v>
      </c>
      <c r="BP38">
        <f t="shared" si="22"/>
        <v>9.0909090909090912E-2</v>
      </c>
      <c r="BQ38">
        <f t="shared" si="21"/>
        <v>9.0909090909090912E-2</v>
      </c>
      <c r="BR38">
        <f t="shared" si="21"/>
        <v>9.0909090909090912E-2</v>
      </c>
      <c r="BS38">
        <f t="shared" si="21"/>
        <v>9.0909090909090912E-2</v>
      </c>
      <c r="BT38">
        <f t="shared" si="21"/>
        <v>9.0909090909090912E-2</v>
      </c>
      <c r="BU38">
        <f t="shared" si="21"/>
        <v>9.0909090909090912E-2</v>
      </c>
      <c r="BV38">
        <f t="shared" si="21"/>
        <v>9.0909090909090912E-2</v>
      </c>
      <c r="BW38">
        <f t="shared" si="21"/>
        <v>9.0909090909090912E-2</v>
      </c>
      <c r="BX38">
        <f t="shared" si="21"/>
        <v>9.0909090909090912E-2</v>
      </c>
      <c r="BY38">
        <f t="shared" si="21"/>
        <v>9.0909090909090912E-2</v>
      </c>
      <c r="BZ38">
        <f t="shared" si="21"/>
        <v>9.0909090909090912E-2</v>
      </c>
      <c r="CA38">
        <f t="shared" si="21"/>
        <v>9.0909090909090912E-2</v>
      </c>
      <c r="CB38">
        <f t="shared" si="21"/>
        <v>9.0909090909090912E-2</v>
      </c>
      <c r="CC38">
        <f t="shared" si="21"/>
        <v>9.0909090909090912E-2</v>
      </c>
      <c r="CD38">
        <f t="shared" si="21"/>
        <v>9.0909090909090912E-2</v>
      </c>
      <c r="CE38">
        <f t="shared" si="21"/>
        <v>9.0909090909090912E-2</v>
      </c>
      <c r="CF38">
        <f t="shared" si="21"/>
        <v>9.0909090909090912E-2</v>
      </c>
      <c r="CG38">
        <f t="shared" si="21"/>
        <v>9.0909090909090912E-2</v>
      </c>
      <c r="CH38">
        <f t="shared" si="21"/>
        <v>9.0909090909090912E-2</v>
      </c>
      <c r="CI38">
        <f t="shared" si="21"/>
        <v>9.0909090909090912E-2</v>
      </c>
      <c r="CJ38">
        <f t="shared" si="21"/>
        <v>9.0909090909090912E-2</v>
      </c>
      <c r="CK38">
        <f t="shared" si="21"/>
        <v>9.0909090909090912E-2</v>
      </c>
      <c r="CL38">
        <f t="shared" si="21"/>
        <v>9.0909090909090912E-2</v>
      </c>
      <c r="CM38">
        <f t="shared" si="21"/>
        <v>9.0909090909090912E-2</v>
      </c>
      <c r="CN38">
        <f t="shared" si="21"/>
        <v>9.0909090909090912E-2</v>
      </c>
      <c r="CO38">
        <f t="shared" si="21"/>
        <v>9.0909090909090912E-2</v>
      </c>
    </row>
    <row r="39" spans="1:93" x14ac:dyDescent="0.25">
      <c r="A39" t="s">
        <v>45</v>
      </c>
      <c r="B39" t="s">
        <v>9</v>
      </c>
      <c r="C39">
        <f t="shared" si="4"/>
        <v>0.2</v>
      </c>
      <c r="D39">
        <f t="shared" si="5"/>
        <v>0.2</v>
      </c>
      <c r="E39">
        <f t="shared" si="22"/>
        <v>0.2</v>
      </c>
      <c r="F39">
        <f t="shared" si="22"/>
        <v>0.2</v>
      </c>
      <c r="G39">
        <f t="shared" si="22"/>
        <v>0.2</v>
      </c>
      <c r="H39">
        <f t="shared" si="22"/>
        <v>0.2</v>
      </c>
      <c r="I39">
        <f t="shared" si="22"/>
        <v>0.2</v>
      </c>
      <c r="J39">
        <f t="shared" si="22"/>
        <v>0.2</v>
      </c>
      <c r="K39">
        <f t="shared" si="22"/>
        <v>0.2</v>
      </c>
      <c r="L39">
        <f t="shared" si="22"/>
        <v>0.2</v>
      </c>
      <c r="M39">
        <f t="shared" si="22"/>
        <v>0.2</v>
      </c>
      <c r="N39">
        <f t="shared" si="22"/>
        <v>0.2</v>
      </c>
      <c r="O39">
        <f t="shared" si="22"/>
        <v>0.2</v>
      </c>
      <c r="P39">
        <f t="shared" si="22"/>
        <v>0.2</v>
      </c>
      <c r="Q39">
        <f t="shared" si="22"/>
        <v>0.2</v>
      </c>
      <c r="R39">
        <f t="shared" si="22"/>
        <v>0.2</v>
      </c>
      <c r="S39">
        <f t="shared" si="22"/>
        <v>0.2</v>
      </c>
      <c r="T39">
        <f t="shared" si="22"/>
        <v>0.2</v>
      </c>
      <c r="U39">
        <f t="shared" si="22"/>
        <v>0.2</v>
      </c>
      <c r="V39">
        <f t="shared" si="22"/>
        <v>0.2</v>
      </c>
      <c r="W39">
        <f t="shared" si="22"/>
        <v>0.2</v>
      </c>
      <c r="X39">
        <f t="shared" si="22"/>
        <v>0.2</v>
      </c>
      <c r="Y39">
        <f t="shared" si="22"/>
        <v>0.2</v>
      </c>
      <c r="Z39">
        <f t="shared" si="22"/>
        <v>0.2</v>
      </c>
      <c r="AA39">
        <f t="shared" si="22"/>
        <v>0.2</v>
      </c>
      <c r="AB39">
        <f t="shared" si="22"/>
        <v>0.2</v>
      </c>
      <c r="AC39">
        <f t="shared" si="22"/>
        <v>0.2</v>
      </c>
      <c r="AD39">
        <f t="shared" si="22"/>
        <v>0.2</v>
      </c>
      <c r="AE39">
        <f t="shared" si="22"/>
        <v>0.2</v>
      </c>
      <c r="AF39">
        <f t="shared" si="22"/>
        <v>0.2</v>
      </c>
      <c r="AG39">
        <f t="shared" si="22"/>
        <v>0.2</v>
      </c>
      <c r="AH39">
        <f t="shared" si="22"/>
        <v>0.2</v>
      </c>
      <c r="AI39">
        <f t="shared" si="22"/>
        <v>0.2</v>
      </c>
      <c r="AJ39">
        <f t="shared" si="22"/>
        <v>0.2</v>
      </c>
      <c r="AK39">
        <f t="shared" si="22"/>
        <v>0.2</v>
      </c>
      <c r="AL39">
        <f t="shared" si="22"/>
        <v>0.2</v>
      </c>
      <c r="AM39">
        <f t="shared" si="22"/>
        <v>0.2</v>
      </c>
      <c r="AN39">
        <f t="shared" si="22"/>
        <v>0.2</v>
      </c>
      <c r="AO39">
        <f t="shared" si="22"/>
        <v>0.2</v>
      </c>
      <c r="AP39">
        <f t="shared" si="22"/>
        <v>0.2</v>
      </c>
      <c r="AQ39">
        <f t="shared" si="22"/>
        <v>0.2</v>
      </c>
      <c r="AR39">
        <f t="shared" si="22"/>
        <v>0.2</v>
      </c>
      <c r="AS39">
        <f t="shared" si="22"/>
        <v>0.2</v>
      </c>
      <c r="AT39">
        <f t="shared" si="22"/>
        <v>0.2</v>
      </c>
      <c r="AU39">
        <f t="shared" si="22"/>
        <v>0.2</v>
      </c>
      <c r="AV39">
        <f t="shared" si="22"/>
        <v>0.2</v>
      </c>
      <c r="AW39">
        <f t="shared" si="22"/>
        <v>0.2</v>
      </c>
      <c r="AX39">
        <f t="shared" si="22"/>
        <v>0.2</v>
      </c>
      <c r="AY39">
        <f t="shared" si="22"/>
        <v>0.2</v>
      </c>
      <c r="AZ39">
        <f t="shared" si="22"/>
        <v>0.2</v>
      </c>
      <c r="BA39">
        <f t="shared" si="22"/>
        <v>0.2</v>
      </c>
      <c r="BB39">
        <f t="shared" si="22"/>
        <v>0.2</v>
      </c>
      <c r="BC39">
        <f t="shared" si="22"/>
        <v>0.2</v>
      </c>
      <c r="BD39">
        <f t="shared" si="22"/>
        <v>0.2</v>
      </c>
      <c r="BE39">
        <f t="shared" si="22"/>
        <v>0.2</v>
      </c>
      <c r="BF39">
        <f t="shared" si="22"/>
        <v>0.2</v>
      </c>
      <c r="BG39">
        <f t="shared" si="22"/>
        <v>0.2</v>
      </c>
      <c r="BH39">
        <f t="shared" si="22"/>
        <v>0.2</v>
      </c>
      <c r="BI39">
        <f t="shared" si="22"/>
        <v>0.2</v>
      </c>
      <c r="BJ39">
        <f t="shared" si="22"/>
        <v>0.2</v>
      </c>
      <c r="BK39">
        <f t="shared" si="22"/>
        <v>0.2</v>
      </c>
      <c r="BL39">
        <f t="shared" si="22"/>
        <v>0.2</v>
      </c>
      <c r="BM39">
        <f t="shared" si="22"/>
        <v>0.2</v>
      </c>
      <c r="BN39">
        <f t="shared" si="22"/>
        <v>0.2</v>
      </c>
      <c r="BO39">
        <f t="shared" si="22"/>
        <v>0.2</v>
      </c>
      <c r="BP39">
        <f t="shared" ref="BP39:CO42" si="23">BO39</f>
        <v>0.2</v>
      </c>
      <c r="BQ39">
        <f t="shared" si="23"/>
        <v>0.2</v>
      </c>
      <c r="BR39">
        <f t="shared" si="23"/>
        <v>0.2</v>
      </c>
      <c r="BS39">
        <f t="shared" si="23"/>
        <v>0.2</v>
      </c>
      <c r="BT39">
        <f t="shared" si="23"/>
        <v>0.2</v>
      </c>
      <c r="BU39">
        <f t="shared" si="23"/>
        <v>0.2</v>
      </c>
      <c r="BV39">
        <f t="shared" si="23"/>
        <v>0.2</v>
      </c>
      <c r="BW39">
        <f t="shared" si="23"/>
        <v>0.2</v>
      </c>
      <c r="BX39">
        <f t="shared" si="23"/>
        <v>0.2</v>
      </c>
      <c r="BY39">
        <f t="shared" si="23"/>
        <v>0.2</v>
      </c>
      <c r="BZ39">
        <f t="shared" si="23"/>
        <v>0.2</v>
      </c>
      <c r="CA39">
        <f t="shared" si="23"/>
        <v>0.2</v>
      </c>
      <c r="CB39">
        <f t="shared" si="23"/>
        <v>0.2</v>
      </c>
      <c r="CC39">
        <f t="shared" si="23"/>
        <v>0.2</v>
      </c>
      <c r="CD39">
        <f t="shared" si="23"/>
        <v>0.2</v>
      </c>
      <c r="CE39">
        <f t="shared" si="23"/>
        <v>0.2</v>
      </c>
      <c r="CF39">
        <f t="shared" si="23"/>
        <v>0.2</v>
      </c>
      <c r="CG39">
        <f t="shared" si="23"/>
        <v>0.2</v>
      </c>
      <c r="CH39">
        <f t="shared" si="23"/>
        <v>0.2</v>
      </c>
      <c r="CI39">
        <f t="shared" si="23"/>
        <v>0.2</v>
      </c>
      <c r="CJ39">
        <f t="shared" si="23"/>
        <v>0.2</v>
      </c>
      <c r="CK39">
        <f t="shared" si="23"/>
        <v>0.2</v>
      </c>
      <c r="CL39">
        <f t="shared" si="23"/>
        <v>0.2</v>
      </c>
      <c r="CM39">
        <f t="shared" si="23"/>
        <v>0.2</v>
      </c>
      <c r="CN39">
        <f t="shared" si="23"/>
        <v>0.2</v>
      </c>
      <c r="CO39">
        <f t="shared" si="23"/>
        <v>0.2</v>
      </c>
    </row>
    <row r="40" spans="1:93" x14ac:dyDescent="0.25">
      <c r="A40" t="s">
        <v>49</v>
      </c>
      <c r="B40" t="s">
        <v>9</v>
      </c>
      <c r="C40">
        <f t="shared" si="4"/>
        <v>0.2</v>
      </c>
      <c r="D40">
        <f t="shared" si="5"/>
        <v>0.2</v>
      </c>
      <c r="E40">
        <f t="shared" ref="E40:BP43" si="24">D40</f>
        <v>0.2</v>
      </c>
      <c r="F40">
        <f t="shared" si="24"/>
        <v>0.2</v>
      </c>
      <c r="G40">
        <f t="shared" si="24"/>
        <v>0.2</v>
      </c>
      <c r="H40">
        <f t="shared" si="24"/>
        <v>0.2</v>
      </c>
      <c r="I40">
        <f t="shared" si="24"/>
        <v>0.2</v>
      </c>
      <c r="J40">
        <f t="shared" si="24"/>
        <v>0.2</v>
      </c>
      <c r="K40">
        <f t="shared" si="24"/>
        <v>0.2</v>
      </c>
      <c r="L40">
        <f t="shared" si="24"/>
        <v>0.2</v>
      </c>
      <c r="M40">
        <f t="shared" si="24"/>
        <v>0.2</v>
      </c>
      <c r="N40">
        <f t="shared" si="24"/>
        <v>0.2</v>
      </c>
      <c r="O40">
        <f t="shared" si="24"/>
        <v>0.2</v>
      </c>
      <c r="P40">
        <f t="shared" si="24"/>
        <v>0.2</v>
      </c>
      <c r="Q40">
        <f t="shared" si="24"/>
        <v>0.2</v>
      </c>
      <c r="R40">
        <f t="shared" si="24"/>
        <v>0.2</v>
      </c>
      <c r="S40">
        <f t="shared" si="24"/>
        <v>0.2</v>
      </c>
      <c r="T40">
        <f t="shared" si="24"/>
        <v>0.2</v>
      </c>
      <c r="U40">
        <f t="shared" si="24"/>
        <v>0.2</v>
      </c>
      <c r="V40">
        <f t="shared" si="24"/>
        <v>0.2</v>
      </c>
      <c r="W40">
        <f t="shared" si="24"/>
        <v>0.2</v>
      </c>
      <c r="X40">
        <f t="shared" si="24"/>
        <v>0.2</v>
      </c>
      <c r="Y40">
        <f t="shared" si="24"/>
        <v>0.2</v>
      </c>
      <c r="Z40">
        <f t="shared" si="24"/>
        <v>0.2</v>
      </c>
      <c r="AA40">
        <f t="shared" si="24"/>
        <v>0.2</v>
      </c>
      <c r="AB40">
        <f t="shared" si="24"/>
        <v>0.2</v>
      </c>
      <c r="AC40">
        <f t="shared" si="24"/>
        <v>0.2</v>
      </c>
      <c r="AD40">
        <f t="shared" si="24"/>
        <v>0.2</v>
      </c>
      <c r="AE40">
        <f t="shared" si="24"/>
        <v>0.2</v>
      </c>
      <c r="AF40">
        <f t="shared" si="24"/>
        <v>0.2</v>
      </c>
      <c r="AG40">
        <f t="shared" si="24"/>
        <v>0.2</v>
      </c>
      <c r="AH40">
        <f t="shared" si="24"/>
        <v>0.2</v>
      </c>
      <c r="AI40">
        <f t="shared" si="24"/>
        <v>0.2</v>
      </c>
      <c r="AJ40">
        <f t="shared" si="24"/>
        <v>0.2</v>
      </c>
      <c r="AK40">
        <f t="shared" si="24"/>
        <v>0.2</v>
      </c>
      <c r="AL40">
        <f t="shared" si="24"/>
        <v>0.2</v>
      </c>
      <c r="AM40">
        <f t="shared" si="24"/>
        <v>0.2</v>
      </c>
      <c r="AN40">
        <f t="shared" si="24"/>
        <v>0.2</v>
      </c>
      <c r="AO40">
        <f t="shared" si="24"/>
        <v>0.2</v>
      </c>
      <c r="AP40">
        <f t="shared" si="24"/>
        <v>0.2</v>
      </c>
      <c r="AQ40">
        <f t="shared" si="24"/>
        <v>0.2</v>
      </c>
      <c r="AR40">
        <f t="shared" si="24"/>
        <v>0.2</v>
      </c>
      <c r="AS40">
        <f t="shared" si="24"/>
        <v>0.2</v>
      </c>
      <c r="AT40">
        <f t="shared" si="24"/>
        <v>0.2</v>
      </c>
      <c r="AU40">
        <f t="shared" si="24"/>
        <v>0.2</v>
      </c>
      <c r="AV40">
        <f t="shared" si="24"/>
        <v>0.2</v>
      </c>
      <c r="AW40">
        <f t="shared" si="24"/>
        <v>0.2</v>
      </c>
      <c r="AX40">
        <f t="shared" si="24"/>
        <v>0.2</v>
      </c>
      <c r="AY40">
        <f t="shared" si="24"/>
        <v>0.2</v>
      </c>
      <c r="AZ40">
        <f t="shared" si="24"/>
        <v>0.2</v>
      </c>
      <c r="BA40">
        <f t="shared" si="24"/>
        <v>0.2</v>
      </c>
      <c r="BB40">
        <f t="shared" si="24"/>
        <v>0.2</v>
      </c>
      <c r="BC40">
        <f t="shared" si="24"/>
        <v>0.2</v>
      </c>
      <c r="BD40">
        <f t="shared" si="24"/>
        <v>0.2</v>
      </c>
      <c r="BE40">
        <f t="shared" si="24"/>
        <v>0.2</v>
      </c>
      <c r="BF40">
        <f t="shared" si="24"/>
        <v>0.2</v>
      </c>
      <c r="BG40">
        <f t="shared" si="24"/>
        <v>0.2</v>
      </c>
      <c r="BH40">
        <f t="shared" si="24"/>
        <v>0.2</v>
      </c>
      <c r="BI40">
        <f t="shared" si="24"/>
        <v>0.2</v>
      </c>
      <c r="BJ40">
        <f t="shared" si="24"/>
        <v>0.2</v>
      </c>
      <c r="BK40">
        <f t="shared" si="24"/>
        <v>0.2</v>
      </c>
      <c r="BL40">
        <f t="shared" si="24"/>
        <v>0.2</v>
      </c>
      <c r="BM40">
        <f t="shared" si="24"/>
        <v>0.2</v>
      </c>
      <c r="BN40">
        <f t="shared" si="24"/>
        <v>0.2</v>
      </c>
      <c r="BO40">
        <f t="shared" si="24"/>
        <v>0.2</v>
      </c>
      <c r="BP40">
        <f t="shared" si="24"/>
        <v>0.2</v>
      </c>
      <c r="BQ40">
        <f t="shared" si="23"/>
        <v>0.2</v>
      </c>
      <c r="BR40">
        <f t="shared" si="23"/>
        <v>0.2</v>
      </c>
      <c r="BS40">
        <f t="shared" si="23"/>
        <v>0.2</v>
      </c>
      <c r="BT40">
        <f t="shared" si="23"/>
        <v>0.2</v>
      </c>
      <c r="BU40">
        <f t="shared" si="23"/>
        <v>0.2</v>
      </c>
      <c r="BV40">
        <f t="shared" si="23"/>
        <v>0.2</v>
      </c>
      <c r="BW40">
        <f t="shared" si="23"/>
        <v>0.2</v>
      </c>
      <c r="BX40">
        <f t="shared" si="23"/>
        <v>0.2</v>
      </c>
      <c r="BY40">
        <f t="shared" si="23"/>
        <v>0.2</v>
      </c>
      <c r="BZ40">
        <f t="shared" si="23"/>
        <v>0.2</v>
      </c>
      <c r="CA40">
        <f t="shared" si="23"/>
        <v>0.2</v>
      </c>
      <c r="CB40">
        <f t="shared" si="23"/>
        <v>0.2</v>
      </c>
      <c r="CC40">
        <f t="shared" si="23"/>
        <v>0.2</v>
      </c>
      <c r="CD40">
        <f t="shared" si="23"/>
        <v>0.2</v>
      </c>
      <c r="CE40">
        <f t="shared" si="23"/>
        <v>0.2</v>
      </c>
      <c r="CF40">
        <f t="shared" si="23"/>
        <v>0.2</v>
      </c>
      <c r="CG40">
        <f t="shared" si="23"/>
        <v>0.2</v>
      </c>
      <c r="CH40">
        <f t="shared" si="23"/>
        <v>0.2</v>
      </c>
      <c r="CI40">
        <f t="shared" si="23"/>
        <v>0.2</v>
      </c>
      <c r="CJ40">
        <f t="shared" si="23"/>
        <v>0.2</v>
      </c>
      <c r="CK40">
        <f t="shared" si="23"/>
        <v>0.2</v>
      </c>
      <c r="CL40">
        <f t="shared" si="23"/>
        <v>0.2</v>
      </c>
      <c r="CM40">
        <f t="shared" si="23"/>
        <v>0.2</v>
      </c>
      <c r="CN40">
        <f t="shared" si="23"/>
        <v>0.2</v>
      </c>
      <c r="CO40">
        <f t="shared" si="23"/>
        <v>0.2</v>
      </c>
    </row>
    <row r="41" spans="1:93" x14ac:dyDescent="0.25">
      <c r="A41" t="s">
        <v>50</v>
      </c>
      <c r="B41" t="s">
        <v>9</v>
      </c>
      <c r="C41">
        <f t="shared" si="4"/>
        <v>0.2</v>
      </c>
      <c r="D41">
        <f t="shared" si="5"/>
        <v>0.2</v>
      </c>
      <c r="E41">
        <f t="shared" si="24"/>
        <v>0.2</v>
      </c>
      <c r="F41">
        <f t="shared" si="24"/>
        <v>0.2</v>
      </c>
      <c r="G41">
        <f t="shared" si="24"/>
        <v>0.2</v>
      </c>
      <c r="H41">
        <f t="shared" si="24"/>
        <v>0.2</v>
      </c>
      <c r="I41">
        <f t="shared" si="24"/>
        <v>0.2</v>
      </c>
      <c r="J41">
        <f t="shared" si="24"/>
        <v>0.2</v>
      </c>
      <c r="K41">
        <f t="shared" si="24"/>
        <v>0.2</v>
      </c>
      <c r="L41">
        <f t="shared" si="24"/>
        <v>0.2</v>
      </c>
      <c r="M41">
        <f t="shared" si="24"/>
        <v>0.2</v>
      </c>
      <c r="N41">
        <f t="shared" si="24"/>
        <v>0.2</v>
      </c>
      <c r="O41">
        <f t="shared" si="24"/>
        <v>0.2</v>
      </c>
      <c r="P41">
        <f t="shared" si="24"/>
        <v>0.2</v>
      </c>
      <c r="Q41">
        <f t="shared" si="24"/>
        <v>0.2</v>
      </c>
      <c r="R41">
        <f t="shared" si="24"/>
        <v>0.2</v>
      </c>
      <c r="S41">
        <f t="shared" si="24"/>
        <v>0.2</v>
      </c>
      <c r="T41">
        <f t="shared" si="24"/>
        <v>0.2</v>
      </c>
      <c r="U41">
        <f t="shared" si="24"/>
        <v>0.2</v>
      </c>
      <c r="V41">
        <f t="shared" si="24"/>
        <v>0.2</v>
      </c>
      <c r="W41">
        <f t="shared" si="24"/>
        <v>0.2</v>
      </c>
      <c r="X41">
        <f t="shared" si="24"/>
        <v>0.2</v>
      </c>
      <c r="Y41">
        <f t="shared" si="24"/>
        <v>0.2</v>
      </c>
      <c r="Z41">
        <f t="shared" si="24"/>
        <v>0.2</v>
      </c>
      <c r="AA41">
        <f t="shared" si="24"/>
        <v>0.2</v>
      </c>
      <c r="AB41">
        <f t="shared" si="24"/>
        <v>0.2</v>
      </c>
      <c r="AC41">
        <f t="shared" si="24"/>
        <v>0.2</v>
      </c>
      <c r="AD41">
        <f t="shared" si="24"/>
        <v>0.2</v>
      </c>
      <c r="AE41">
        <f t="shared" si="24"/>
        <v>0.2</v>
      </c>
      <c r="AF41">
        <f t="shared" si="24"/>
        <v>0.2</v>
      </c>
      <c r="AG41">
        <f t="shared" si="24"/>
        <v>0.2</v>
      </c>
      <c r="AH41">
        <f t="shared" si="24"/>
        <v>0.2</v>
      </c>
      <c r="AI41">
        <f t="shared" si="24"/>
        <v>0.2</v>
      </c>
      <c r="AJ41">
        <f t="shared" si="24"/>
        <v>0.2</v>
      </c>
      <c r="AK41">
        <f t="shared" si="24"/>
        <v>0.2</v>
      </c>
      <c r="AL41">
        <f t="shared" si="24"/>
        <v>0.2</v>
      </c>
      <c r="AM41">
        <f t="shared" si="24"/>
        <v>0.2</v>
      </c>
      <c r="AN41">
        <f t="shared" si="24"/>
        <v>0.2</v>
      </c>
      <c r="AO41">
        <f t="shared" si="24"/>
        <v>0.2</v>
      </c>
      <c r="AP41">
        <f t="shared" si="24"/>
        <v>0.2</v>
      </c>
      <c r="AQ41">
        <f t="shared" si="24"/>
        <v>0.2</v>
      </c>
      <c r="AR41">
        <f t="shared" si="24"/>
        <v>0.2</v>
      </c>
      <c r="AS41">
        <f t="shared" si="24"/>
        <v>0.2</v>
      </c>
      <c r="AT41">
        <f t="shared" si="24"/>
        <v>0.2</v>
      </c>
      <c r="AU41">
        <f t="shared" si="24"/>
        <v>0.2</v>
      </c>
      <c r="AV41">
        <f t="shared" si="24"/>
        <v>0.2</v>
      </c>
      <c r="AW41">
        <f t="shared" si="24"/>
        <v>0.2</v>
      </c>
      <c r="AX41">
        <f t="shared" si="24"/>
        <v>0.2</v>
      </c>
      <c r="AY41">
        <f t="shared" si="24"/>
        <v>0.2</v>
      </c>
      <c r="AZ41">
        <f t="shared" si="24"/>
        <v>0.2</v>
      </c>
      <c r="BA41">
        <f t="shared" si="24"/>
        <v>0.2</v>
      </c>
      <c r="BB41">
        <f t="shared" si="24"/>
        <v>0.2</v>
      </c>
      <c r="BC41">
        <f t="shared" si="24"/>
        <v>0.2</v>
      </c>
      <c r="BD41">
        <f t="shared" si="24"/>
        <v>0.2</v>
      </c>
      <c r="BE41">
        <f t="shared" si="24"/>
        <v>0.2</v>
      </c>
      <c r="BF41">
        <f t="shared" si="24"/>
        <v>0.2</v>
      </c>
      <c r="BG41">
        <f t="shared" si="24"/>
        <v>0.2</v>
      </c>
      <c r="BH41">
        <f t="shared" si="24"/>
        <v>0.2</v>
      </c>
      <c r="BI41">
        <f t="shared" si="24"/>
        <v>0.2</v>
      </c>
      <c r="BJ41">
        <f t="shared" si="24"/>
        <v>0.2</v>
      </c>
      <c r="BK41">
        <f t="shared" si="24"/>
        <v>0.2</v>
      </c>
      <c r="BL41">
        <f t="shared" si="24"/>
        <v>0.2</v>
      </c>
      <c r="BM41">
        <f t="shared" si="24"/>
        <v>0.2</v>
      </c>
      <c r="BN41">
        <f t="shared" si="24"/>
        <v>0.2</v>
      </c>
      <c r="BO41">
        <f t="shared" si="24"/>
        <v>0.2</v>
      </c>
      <c r="BP41">
        <f t="shared" si="24"/>
        <v>0.2</v>
      </c>
      <c r="BQ41">
        <f t="shared" si="23"/>
        <v>0.2</v>
      </c>
      <c r="BR41">
        <f t="shared" si="23"/>
        <v>0.2</v>
      </c>
      <c r="BS41">
        <f t="shared" si="23"/>
        <v>0.2</v>
      </c>
      <c r="BT41">
        <f t="shared" si="23"/>
        <v>0.2</v>
      </c>
      <c r="BU41">
        <f t="shared" si="23"/>
        <v>0.2</v>
      </c>
      <c r="BV41">
        <f t="shared" si="23"/>
        <v>0.2</v>
      </c>
      <c r="BW41">
        <f t="shared" si="23"/>
        <v>0.2</v>
      </c>
      <c r="BX41">
        <f t="shared" si="23"/>
        <v>0.2</v>
      </c>
      <c r="BY41">
        <f t="shared" si="23"/>
        <v>0.2</v>
      </c>
      <c r="BZ41">
        <f t="shared" si="23"/>
        <v>0.2</v>
      </c>
      <c r="CA41">
        <f t="shared" si="23"/>
        <v>0.2</v>
      </c>
      <c r="CB41">
        <f t="shared" si="23"/>
        <v>0.2</v>
      </c>
      <c r="CC41">
        <f t="shared" si="23"/>
        <v>0.2</v>
      </c>
      <c r="CD41">
        <f t="shared" si="23"/>
        <v>0.2</v>
      </c>
      <c r="CE41">
        <f t="shared" si="23"/>
        <v>0.2</v>
      </c>
      <c r="CF41">
        <f t="shared" si="23"/>
        <v>0.2</v>
      </c>
      <c r="CG41">
        <f t="shared" si="23"/>
        <v>0.2</v>
      </c>
      <c r="CH41">
        <f t="shared" si="23"/>
        <v>0.2</v>
      </c>
      <c r="CI41">
        <f t="shared" si="23"/>
        <v>0.2</v>
      </c>
      <c r="CJ41">
        <f t="shared" si="23"/>
        <v>0.2</v>
      </c>
      <c r="CK41">
        <f t="shared" si="23"/>
        <v>0.2</v>
      </c>
      <c r="CL41">
        <f t="shared" si="23"/>
        <v>0.2</v>
      </c>
      <c r="CM41">
        <f t="shared" si="23"/>
        <v>0.2</v>
      </c>
      <c r="CN41">
        <f t="shared" si="23"/>
        <v>0.2</v>
      </c>
      <c r="CO41">
        <f t="shared" si="23"/>
        <v>0.2</v>
      </c>
    </row>
    <row r="42" spans="1:93" x14ac:dyDescent="0.25">
      <c r="A42" t="s">
        <v>51</v>
      </c>
      <c r="B42" t="s">
        <v>9</v>
      </c>
      <c r="C42">
        <f t="shared" si="4"/>
        <v>0.2</v>
      </c>
      <c r="D42">
        <f t="shared" si="5"/>
        <v>0.2</v>
      </c>
      <c r="E42">
        <f t="shared" si="24"/>
        <v>0.2</v>
      </c>
      <c r="F42">
        <f t="shared" si="24"/>
        <v>0.2</v>
      </c>
      <c r="G42">
        <f t="shared" si="24"/>
        <v>0.2</v>
      </c>
      <c r="H42">
        <f t="shared" si="24"/>
        <v>0.2</v>
      </c>
      <c r="I42">
        <f t="shared" si="24"/>
        <v>0.2</v>
      </c>
      <c r="J42">
        <f t="shared" si="24"/>
        <v>0.2</v>
      </c>
      <c r="K42">
        <f t="shared" si="24"/>
        <v>0.2</v>
      </c>
      <c r="L42">
        <f t="shared" si="24"/>
        <v>0.2</v>
      </c>
      <c r="M42">
        <f t="shared" si="24"/>
        <v>0.2</v>
      </c>
      <c r="N42">
        <f t="shared" si="24"/>
        <v>0.2</v>
      </c>
      <c r="O42">
        <f t="shared" si="24"/>
        <v>0.2</v>
      </c>
      <c r="P42">
        <f t="shared" si="24"/>
        <v>0.2</v>
      </c>
      <c r="Q42">
        <f t="shared" si="24"/>
        <v>0.2</v>
      </c>
      <c r="R42">
        <f t="shared" si="24"/>
        <v>0.2</v>
      </c>
      <c r="S42">
        <f t="shared" si="24"/>
        <v>0.2</v>
      </c>
      <c r="T42">
        <f t="shared" si="24"/>
        <v>0.2</v>
      </c>
      <c r="U42">
        <f t="shared" si="24"/>
        <v>0.2</v>
      </c>
      <c r="V42">
        <f t="shared" si="24"/>
        <v>0.2</v>
      </c>
      <c r="W42">
        <f t="shared" si="24"/>
        <v>0.2</v>
      </c>
      <c r="X42">
        <f t="shared" si="24"/>
        <v>0.2</v>
      </c>
      <c r="Y42">
        <f t="shared" si="24"/>
        <v>0.2</v>
      </c>
      <c r="Z42">
        <f t="shared" si="24"/>
        <v>0.2</v>
      </c>
      <c r="AA42">
        <f t="shared" si="24"/>
        <v>0.2</v>
      </c>
      <c r="AB42">
        <f t="shared" si="24"/>
        <v>0.2</v>
      </c>
      <c r="AC42">
        <f t="shared" si="24"/>
        <v>0.2</v>
      </c>
      <c r="AD42">
        <f t="shared" si="24"/>
        <v>0.2</v>
      </c>
      <c r="AE42">
        <f t="shared" si="24"/>
        <v>0.2</v>
      </c>
      <c r="AF42">
        <f t="shared" si="24"/>
        <v>0.2</v>
      </c>
      <c r="AG42">
        <f t="shared" si="24"/>
        <v>0.2</v>
      </c>
      <c r="AH42">
        <f t="shared" si="24"/>
        <v>0.2</v>
      </c>
      <c r="AI42">
        <f t="shared" si="24"/>
        <v>0.2</v>
      </c>
      <c r="AJ42">
        <f t="shared" si="24"/>
        <v>0.2</v>
      </c>
      <c r="AK42">
        <f t="shared" si="24"/>
        <v>0.2</v>
      </c>
      <c r="AL42">
        <f t="shared" si="24"/>
        <v>0.2</v>
      </c>
      <c r="AM42">
        <f t="shared" si="24"/>
        <v>0.2</v>
      </c>
      <c r="AN42">
        <f t="shared" si="24"/>
        <v>0.2</v>
      </c>
      <c r="AO42">
        <f t="shared" si="24"/>
        <v>0.2</v>
      </c>
      <c r="AP42">
        <f t="shared" si="24"/>
        <v>0.2</v>
      </c>
      <c r="AQ42">
        <f t="shared" si="24"/>
        <v>0.2</v>
      </c>
      <c r="AR42">
        <f t="shared" si="24"/>
        <v>0.2</v>
      </c>
      <c r="AS42">
        <f t="shared" si="24"/>
        <v>0.2</v>
      </c>
      <c r="AT42">
        <f t="shared" si="24"/>
        <v>0.2</v>
      </c>
      <c r="AU42">
        <f t="shared" si="24"/>
        <v>0.2</v>
      </c>
      <c r="AV42">
        <f t="shared" si="24"/>
        <v>0.2</v>
      </c>
      <c r="AW42">
        <f t="shared" si="24"/>
        <v>0.2</v>
      </c>
      <c r="AX42">
        <f t="shared" si="24"/>
        <v>0.2</v>
      </c>
      <c r="AY42">
        <f t="shared" si="24"/>
        <v>0.2</v>
      </c>
      <c r="AZ42">
        <f t="shared" si="24"/>
        <v>0.2</v>
      </c>
      <c r="BA42">
        <f t="shared" si="24"/>
        <v>0.2</v>
      </c>
      <c r="BB42">
        <f t="shared" si="24"/>
        <v>0.2</v>
      </c>
      <c r="BC42">
        <f t="shared" si="24"/>
        <v>0.2</v>
      </c>
      <c r="BD42">
        <f t="shared" si="24"/>
        <v>0.2</v>
      </c>
      <c r="BE42">
        <f t="shared" si="24"/>
        <v>0.2</v>
      </c>
      <c r="BF42">
        <f t="shared" si="24"/>
        <v>0.2</v>
      </c>
      <c r="BG42">
        <f t="shared" si="24"/>
        <v>0.2</v>
      </c>
      <c r="BH42">
        <f t="shared" si="24"/>
        <v>0.2</v>
      </c>
      <c r="BI42">
        <f t="shared" si="24"/>
        <v>0.2</v>
      </c>
      <c r="BJ42">
        <f t="shared" si="24"/>
        <v>0.2</v>
      </c>
      <c r="BK42">
        <f t="shared" si="24"/>
        <v>0.2</v>
      </c>
      <c r="BL42">
        <f t="shared" si="24"/>
        <v>0.2</v>
      </c>
      <c r="BM42">
        <f t="shared" si="24"/>
        <v>0.2</v>
      </c>
      <c r="BN42">
        <f t="shared" si="24"/>
        <v>0.2</v>
      </c>
      <c r="BO42">
        <f t="shared" si="24"/>
        <v>0.2</v>
      </c>
      <c r="BP42">
        <f t="shared" si="24"/>
        <v>0.2</v>
      </c>
      <c r="BQ42">
        <f t="shared" si="23"/>
        <v>0.2</v>
      </c>
      <c r="BR42">
        <f t="shared" si="23"/>
        <v>0.2</v>
      </c>
      <c r="BS42">
        <f t="shared" si="23"/>
        <v>0.2</v>
      </c>
      <c r="BT42">
        <f t="shared" si="23"/>
        <v>0.2</v>
      </c>
      <c r="BU42">
        <f t="shared" si="23"/>
        <v>0.2</v>
      </c>
      <c r="BV42">
        <f t="shared" si="23"/>
        <v>0.2</v>
      </c>
      <c r="BW42">
        <f t="shared" si="23"/>
        <v>0.2</v>
      </c>
      <c r="BX42">
        <f t="shared" si="23"/>
        <v>0.2</v>
      </c>
      <c r="BY42">
        <f t="shared" si="23"/>
        <v>0.2</v>
      </c>
      <c r="BZ42">
        <f t="shared" si="23"/>
        <v>0.2</v>
      </c>
      <c r="CA42">
        <f t="shared" si="23"/>
        <v>0.2</v>
      </c>
      <c r="CB42">
        <f t="shared" si="23"/>
        <v>0.2</v>
      </c>
      <c r="CC42">
        <f t="shared" si="23"/>
        <v>0.2</v>
      </c>
      <c r="CD42">
        <f t="shared" si="23"/>
        <v>0.2</v>
      </c>
      <c r="CE42">
        <f t="shared" si="23"/>
        <v>0.2</v>
      </c>
      <c r="CF42">
        <f t="shared" si="23"/>
        <v>0.2</v>
      </c>
      <c r="CG42">
        <f t="shared" si="23"/>
        <v>0.2</v>
      </c>
      <c r="CH42">
        <f t="shared" si="23"/>
        <v>0.2</v>
      </c>
      <c r="CI42">
        <f t="shared" si="23"/>
        <v>0.2</v>
      </c>
      <c r="CJ42">
        <f t="shared" si="23"/>
        <v>0.2</v>
      </c>
      <c r="CK42">
        <f t="shared" si="23"/>
        <v>0.2</v>
      </c>
      <c r="CL42">
        <f t="shared" si="23"/>
        <v>0.2</v>
      </c>
      <c r="CM42">
        <f t="shared" si="23"/>
        <v>0.2</v>
      </c>
      <c r="CN42">
        <f t="shared" si="23"/>
        <v>0.2</v>
      </c>
      <c r="CO42">
        <f t="shared" si="23"/>
        <v>0.2</v>
      </c>
    </row>
    <row r="43" spans="1:93" x14ac:dyDescent="0.25">
      <c r="A43" t="s">
        <v>53</v>
      </c>
      <c r="B43" t="s">
        <v>9</v>
      </c>
      <c r="C43">
        <f t="shared" si="4"/>
        <v>0.2</v>
      </c>
      <c r="D43">
        <f t="shared" si="5"/>
        <v>0.2</v>
      </c>
      <c r="E43">
        <f t="shared" si="24"/>
        <v>0.2</v>
      </c>
      <c r="F43">
        <f t="shared" si="24"/>
        <v>0.2</v>
      </c>
      <c r="G43">
        <f t="shared" si="24"/>
        <v>0.2</v>
      </c>
      <c r="H43">
        <f t="shared" si="24"/>
        <v>0.2</v>
      </c>
      <c r="I43">
        <f t="shared" si="24"/>
        <v>0.2</v>
      </c>
      <c r="J43">
        <f t="shared" si="24"/>
        <v>0.2</v>
      </c>
      <c r="K43">
        <f t="shared" si="24"/>
        <v>0.2</v>
      </c>
      <c r="L43">
        <f t="shared" si="24"/>
        <v>0.2</v>
      </c>
      <c r="M43">
        <f t="shared" si="24"/>
        <v>0.2</v>
      </c>
      <c r="N43">
        <f t="shared" si="24"/>
        <v>0.2</v>
      </c>
      <c r="O43">
        <f t="shared" si="24"/>
        <v>0.2</v>
      </c>
      <c r="P43">
        <f t="shared" si="24"/>
        <v>0.2</v>
      </c>
      <c r="Q43">
        <f t="shared" si="24"/>
        <v>0.2</v>
      </c>
      <c r="R43">
        <f t="shared" si="24"/>
        <v>0.2</v>
      </c>
      <c r="S43">
        <f t="shared" si="24"/>
        <v>0.2</v>
      </c>
      <c r="T43">
        <f t="shared" si="24"/>
        <v>0.2</v>
      </c>
      <c r="U43">
        <f t="shared" si="24"/>
        <v>0.2</v>
      </c>
      <c r="V43">
        <f t="shared" si="24"/>
        <v>0.2</v>
      </c>
      <c r="W43">
        <f t="shared" si="24"/>
        <v>0.2</v>
      </c>
      <c r="X43">
        <f t="shared" si="24"/>
        <v>0.2</v>
      </c>
      <c r="Y43">
        <f t="shared" si="24"/>
        <v>0.2</v>
      </c>
      <c r="Z43">
        <f t="shared" si="24"/>
        <v>0.2</v>
      </c>
      <c r="AA43">
        <f t="shared" si="24"/>
        <v>0.2</v>
      </c>
      <c r="AB43">
        <f t="shared" si="24"/>
        <v>0.2</v>
      </c>
      <c r="AC43">
        <f t="shared" si="24"/>
        <v>0.2</v>
      </c>
      <c r="AD43">
        <f t="shared" si="24"/>
        <v>0.2</v>
      </c>
      <c r="AE43">
        <f t="shared" si="24"/>
        <v>0.2</v>
      </c>
      <c r="AF43">
        <f t="shared" si="24"/>
        <v>0.2</v>
      </c>
      <c r="AG43">
        <f t="shared" si="24"/>
        <v>0.2</v>
      </c>
      <c r="AH43">
        <f t="shared" si="24"/>
        <v>0.2</v>
      </c>
      <c r="AI43">
        <f t="shared" si="24"/>
        <v>0.2</v>
      </c>
      <c r="AJ43">
        <f t="shared" si="24"/>
        <v>0.2</v>
      </c>
      <c r="AK43">
        <f t="shared" si="24"/>
        <v>0.2</v>
      </c>
      <c r="AL43">
        <f t="shared" si="24"/>
        <v>0.2</v>
      </c>
      <c r="AM43">
        <f t="shared" si="24"/>
        <v>0.2</v>
      </c>
      <c r="AN43">
        <f t="shared" si="24"/>
        <v>0.2</v>
      </c>
      <c r="AO43">
        <f t="shared" si="24"/>
        <v>0.2</v>
      </c>
      <c r="AP43">
        <f t="shared" si="24"/>
        <v>0.2</v>
      </c>
      <c r="AQ43">
        <f t="shared" si="24"/>
        <v>0.2</v>
      </c>
      <c r="AR43">
        <f t="shared" si="24"/>
        <v>0.2</v>
      </c>
      <c r="AS43">
        <f t="shared" si="24"/>
        <v>0.2</v>
      </c>
      <c r="AT43">
        <f t="shared" si="24"/>
        <v>0.2</v>
      </c>
      <c r="AU43">
        <f t="shared" si="24"/>
        <v>0.2</v>
      </c>
      <c r="AV43">
        <f t="shared" si="24"/>
        <v>0.2</v>
      </c>
      <c r="AW43">
        <f t="shared" si="24"/>
        <v>0.2</v>
      </c>
      <c r="AX43">
        <f t="shared" si="24"/>
        <v>0.2</v>
      </c>
      <c r="AY43">
        <f t="shared" si="24"/>
        <v>0.2</v>
      </c>
      <c r="AZ43">
        <f t="shared" si="24"/>
        <v>0.2</v>
      </c>
      <c r="BA43">
        <f t="shared" si="24"/>
        <v>0.2</v>
      </c>
      <c r="BB43">
        <f t="shared" si="24"/>
        <v>0.2</v>
      </c>
      <c r="BC43">
        <f t="shared" si="24"/>
        <v>0.2</v>
      </c>
      <c r="BD43">
        <f t="shared" si="24"/>
        <v>0.2</v>
      </c>
      <c r="BE43">
        <f t="shared" si="24"/>
        <v>0.2</v>
      </c>
      <c r="BF43">
        <f t="shared" si="24"/>
        <v>0.2</v>
      </c>
      <c r="BG43">
        <f t="shared" si="24"/>
        <v>0.2</v>
      </c>
      <c r="BH43">
        <f t="shared" si="24"/>
        <v>0.2</v>
      </c>
      <c r="BI43">
        <f t="shared" si="24"/>
        <v>0.2</v>
      </c>
      <c r="BJ43">
        <f t="shared" si="24"/>
        <v>0.2</v>
      </c>
      <c r="BK43">
        <f t="shared" si="24"/>
        <v>0.2</v>
      </c>
      <c r="BL43">
        <f t="shared" si="24"/>
        <v>0.2</v>
      </c>
      <c r="BM43">
        <f t="shared" si="24"/>
        <v>0.2</v>
      </c>
      <c r="BN43">
        <f t="shared" si="24"/>
        <v>0.2</v>
      </c>
      <c r="BO43">
        <f t="shared" si="24"/>
        <v>0.2</v>
      </c>
      <c r="BP43">
        <f t="shared" ref="BP43:CO46" si="25">BO43</f>
        <v>0.2</v>
      </c>
      <c r="BQ43">
        <f t="shared" si="25"/>
        <v>0.2</v>
      </c>
      <c r="BR43">
        <f t="shared" si="25"/>
        <v>0.2</v>
      </c>
      <c r="BS43">
        <f t="shared" si="25"/>
        <v>0.2</v>
      </c>
      <c r="BT43">
        <f t="shared" si="25"/>
        <v>0.2</v>
      </c>
      <c r="BU43">
        <f t="shared" si="25"/>
        <v>0.2</v>
      </c>
      <c r="BV43">
        <f t="shared" si="25"/>
        <v>0.2</v>
      </c>
      <c r="BW43">
        <f t="shared" si="25"/>
        <v>0.2</v>
      </c>
      <c r="BX43">
        <f t="shared" si="25"/>
        <v>0.2</v>
      </c>
      <c r="BY43">
        <f t="shared" si="25"/>
        <v>0.2</v>
      </c>
      <c r="BZ43">
        <f t="shared" si="25"/>
        <v>0.2</v>
      </c>
      <c r="CA43">
        <f t="shared" si="25"/>
        <v>0.2</v>
      </c>
      <c r="CB43">
        <f t="shared" si="25"/>
        <v>0.2</v>
      </c>
      <c r="CC43">
        <f t="shared" si="25"/>
        <v>0.2</v>
      </c>
      <c r="CD43">
        <f t="shared" si="25"/>
        <v>0.2</v>
      </c>
      <c r="CE43">
        <f t="shared" si="25"/>
        <v>0.2</v>
      </c>
      <c r="CF43">
        <f t="shared" si="25"/>
        <v>0.2</v>
      </c>
      <c r="CG43">
        <f t="shared" si="25"/>
        <v>0.2</v>
      </c>
      <c r="CH43">
        <f t="shared" si="25"/>
        <v>0.2</v>
      </c>
      <c r="CI43">
        <f t="shared" si="25"/>
        <v>0.2</v>
      </c>
      <c r="CJ43">
        <f t="shared" si="25"/>
        <v>0.2</v>
      </c>
      <c r="CK43">
        <f t="shared" si="25"/>
        <v>0.2</v>
      </c>
      <c r="CL43">
        <f t="shared" si="25"/>
        <v>0.2</v>
      </c>
      <c r="CM43">
        <f t="shared" si="25"/>
        <v>0.2</v>
      </c>
      <c r="CN43">
        <f t="shared" si="25"/>
        <v>0.2</v>
      </c>
      <c r="CO43">
        <f t="shared" si="25"/>
        <v>0.2</v>
      </c>
    </row>
    <row r="44" spans="1:93" x14ac:dyDescent="0.25">
      <c r="A44" t="s">
        <v>72</v>
      </c>
      <c r="B44" t="s">
        <v>98</v>
      </c>
      <c r="C44">
        <f t="shared" si="4"/>
        <v>0.25</v>
      </c>
      <c r="D44">
        <f t="shared" si="5"/>
        <v>0.25</v>
      </c>
      <c r="E44">
        <f t="shared" ref="E44:BP47" si="26">D44</f>
        <v>0.25</v>
      </c>
      <c r="F44">
        <f t="shared" si="26"/>
        <v>0.25</v>
      </c>
      <c r="G44">
        <f t="shared" si="26"/>
        <v>0.25</v>
      </c>
      <c r="H44">
        <f t="shared" si="26"/>
        <v>0.25</v>
      </c>
      <c r="I44">
        <f t="shared" si="26"/>
        <v>0.25</v>
      </c>
      <c r="J44">
        <f t="shared" si="26"/>
        <v>0.25</v>
      </c>
      <c r="K44">
        <f t="shared" si="26"/>
        <v>0.25</v>
      </c>
      <c r="L44">
        <f t="shared" si="26"/>
        <v>0.25</v>
      </c>
      <c r="M44">
        <f t="shared" si="26"/>
        <v>0.25</v>
      </c>
      <c r="N44">
        <f t="shared" si="26"/>
        <v>0.25</v>
      </c>
      <c r="O44">
        <f t="shared" si="26"/>
        <v>0.25</v>
      </c>
      <c r="P44">
        <f t="shared" si="26"/>
        <v>0.25</v>
      </c>
      <c r="Q44">
        <f t="shared" si="26"/>
        <v>0.25</v>
      </c>
      <c r="R44">
        <f t="shared" si="26"/>
        <v>0.25</v>
      </c>
      <c r="S44">
        <f t="shared" si="26"/>
        <v>0.25</v>
      </c>
      <c r="T44">
        <f t="shared" si="26"/>
        <v>0.25</v>
      </c>
      <c r="U44">
        <f t="shared" si="26"/>
        <v>0.25</v>
      </c>
      <c r="V44">
        <f t="shared" si="26"/>
        <v>0.25</v>
      </c>
      <c r="W44">
        <f t="shared" si="26"/>
        <v>0.25</v>
      </c>
      <c r="X44">
        <f t="shared" si="26"/>
        <v>0.25</v>
      </c>
      <c r="Y44">
        <f t="shared" si="26"/>
        <v>0.25</v>
      </c>
      <c r="Z44">
        <f t="shared" si="26"/>
        <v>0.25</v>
      </c>
      <c r="AA44">
        <f t="shared" si="26"/>
        <v>0.25</v>
      </c>
      <c r="AB44">
        <f t="shared" si="26"/>
        <v>0.25</v>
      </c>
      <c r="AC44">
        <f t="shared" si="26"/>
        <v>0.25</v>
      </c>
      <c r="AD44">
        <f t="shared" si="26"/>
        <v>0.25</v>
      </c>
      <c r="AE44">
        <f t="shared" si="26"/>
        <v>0.25</v>
      </c>
      <c r="AF44">
        <f t="shared" si="26"/>
        <v>0.25</v>
      </c>
      <c r="AG44">
        <f t="shared" si="26"/>
        <v>0.25</v>
      </c>
      <c r="AH44">
        <f t="shared" si="26"/>
        <v>0.25</v>
      </c>
      <c r="AI44">
        <f t="shared" si="26"/>
        <v>0.25</v>
      </c>
      <c r="AJ44">
        <f t="shared" si="26"/>
        <v>0.25</v>
      </c>
      <c r="AK44">
        <f t="shared" si="26"/>
        <v>0.25</v>
      </c>
      <c r="AL44">
        <f t="shared" si="26"/>
        <v>0.25</v>
      </c>
      <c r="AM44">
        <f t="shared" si="26"/>
        <v>0.25</v>
      </c>
      <c r="AN44">
        <f t="shared" si="26"/>
        <v>0.25</v>
      </c>
      <c r="AO44">
        <f t="shared" si="26"/>
        <v>0.25</v>
      </c>
      <c r="AP44">
        <f t="shared" si="26"/>
        <v>0.25</v>
      </c>
      <c r="AQ44">
        <f t="shared" si="26"/>
        <v>0.25</v>
      </c>
      <c r="AR44">
        <f t="shared" si="26"/>
        <v>0.25</v>
      </c>
      <c r="AS44">
        <f t="shared" si="26"/>
        <v>0.25</v>
      </c>
      <c r="AT44">
        <f t="shared" si="26"/>
        <v>0.25</v>
      </c>
      <c r="AU44">
        <f t="shared" si="26"/>
        <v>0.25</v>
      </c>
      <c r="AV44">
        <f t="shared" si="26"/>
        <v>0.25</v>
      </c>
      <c r="AW44">
        <f t="shared" si="26"/>
        <v>0.25</v>
      </c>
      <c r="AX44">
        <f t="shared" si="26"/>
        <v>0.25</v>
      </c>
      <c r="AY44">
        <f t="shared" si="26"/>
        <v>0.25</v>
      </c>
      <c r="AZ44">
        <f t="shared" si="26"/>
        <v>0.25</v>
      </c>
      <c r="BA44">
        <f t="shared" si="26"/>
        <v>0.25</v>
      </c>
      <c r="BB44">
        <f t="shared" si="26"/>
        <v>0.25</v>
      </c>
      <c r="BC44">
        <f t="shared" si="26"/>
        <v>0.25</v>
      </c>
      <c r="BD44">
        <f t="shared" si="26"/>
        <v>0.25</v>
      </c>
      <c r="BE44">
        <f t="shared" si="26"/>
        <v>0.25</v>
      </c>
      <c r="BF44">
        <f t="shared" si="26"/>
        <v>0.25</v>
      </c>
      <c r="BG44">
        <f t="shared" si="26"/>
        <v>0.25</v>
      </c>
      <c r="BH44">
        <f t="shared" si="26"/>
        <v>0.25</v>
      </c>
      <c r="BI44">
        <f t="shared" si="26"/>
        <v>0.25</v>
      </c>
      <c r="BJ44">
        <f t="shared" si="26"/>
        <v>0.25</v>
      </c>
      <c r="BK44">
        <f t="shared" si="26"/>
        <v>0.25</v>
      </c>
      <c r="BL44">
        <f t="shared" si="26"/>
        <v>0.25</v>
      </c>
      <c r="BM44">
        <f t="shared" si="26"/>
        <v>0.25</v>
      </c>
      <c r="BN44">
        <f t="shared" si="26"/>
        <v>0.25</v>
      </c>
      <c r="BO44">
        <f t="shared" si="26"/>
        <v>0.25</v>
      </c>
      <c r="BP44">
        <f t="shared" si="26"/>
        <v>0.25</v>
      </c>
      <c r="BQ44">
        <f t="shared" si="25"/>
        <v>0.25</v>
      </c>
      <c r="BR44">
        <f t="shared" si="25"/>
        <v>0.25</v>
      </c>
      <c r="BS44">
        <f t="shared" si="25"/>
        <v>0.25</v>
      </c>
      <c r="BT44">
        <f t="shared" si="25"/>
        <v>0.25</v>
      </c>
      <c r="BU44">
        <f t="shared" si="25"/>
        <v>0.25</v>
      </c>
      <c r="BV44">
        <f t="shared" si="25"/>
        <v>0.25</v>
      </c>
      <c r="BW44">
        <f t="shared" si="25"/>
        <v>0.25</v>
      </c>
      <c r="BX44">
        <f t="shared" si="25"/>
        <v>0.25</v>
      </c>
      <c r="BY44">
        <f t="shared" si="25"/>
        <v>0.25</v>
      </c>
      <c r="BZ44">
        <f t="shared" si="25"/>
        <v>0.25</v>
      </c>
      <c r="CA44">
        <f t="shared" si="25"/>
        <v>0.25</v>
      </c>
      <c r="CB44">
        <f t="shared" si="25"/>
        <v>0.25</v>
      </c>
      <c r="CC44">
        <f t="shared" si="25"/>
        <v>0.25</v>
      </c>
      <c r="CD44">
        <f t="shared" si="25"/>
        <v>0.25</v>
      </c>
      <c r="CE44">
        <f t="shared" si="25"/>
        <v>0.25</v>
      </c>
      <c r="CF44">
        <f t="shared" si="25"/>
        <v>0.25</v>
      </c>
      <c r="CG44">
        <f t="shared" si="25"/>
        <v>0.25</v>
      </c>
      <c r="CH44">
        <f t="shared" si="25"/>
        <v>0.25</v>
      </c>
      <c r="CI44">
        <f t="shared" si="25"/>
        <v>0.25</v>
      </c>
      <c r="CJ44">
        <f t="shared" si="25"/>
        <v>0.25</v>
      </c>
      <c r="CK44">
        <f t="shared" si="25"/>
        <v>0.25</v>
      </c>
      <c r="CL44">
        <f t="shared" si="25"/>
        <v>0.25</v>
      </c>
      <c r="CM44">
        <f t="shared" si="25"/>
        <v>0.25</v>
      </c>
      <c r="CN44">
        <f t="shared" si="25"/>
        <v>0.25</v>
      </c>
      <c r="CO44">
        <f t="shared" si="25"/>
        <v>0.25</v>
      </c>
    </row>
    <row r="45" spans="1:93" x14ac:dyDescent="0.25">
      <c r="A45" t="s">
        <v>73</v>
      </c>
      <c r="B45" t="s">
        <v>98</v>
      </c>
      <c r="C45">
        <f t="shared" si="4"/>
        <v>0.25</v>
      </c>
      <c r="D45">
        <f t="shared" si="5"/>
        <v>0.25</v>
      </c>
      <c r="E45">
        <f t="shared" si="26"/>
        <v>0.25</v>
      </c>
      <c r="F45">
        <f t="shared" si="26"/>
        <v>0.25</v>
      </c>
      <c r="G45">
        <f t="shared" si="26"/>
        <v>0.25</v>
      </c>
      <c r="H45">
        <f t="shared" si="26"/>
        <v>0.25</v>
      </c>
      <c r="I45">
        <f t="shared" si="26"/>
        <v>0.25</v>
      </c>
      <c r="J45">
        <f t="shared" si="26"/>
        <v>0.25</v>
      </c>
      <c r="K45">
        <f t="shared" si="26"/>
        <v>0.25</v>
      </c>
      <c r="L45">
        <f t="shared" si="26"/>
        <v>0.25</v>
      </c>
      <c r="M45">
        <f t="shared" si="26"/>
        <v>0.25</v>
      </c>
      <c r="N45">
        <f t="shared" si="26"/>
        <v>0.25</v>
      </c>
      <c r="O45">
        <f t="shared" si="26"/>
        <v>0.25</v>
      </c>
      <c r="P45">
        <f t="shared" si="26"/>
        <v>0.25</v>
      </c>
      <c r="Q45">
        <f t="shared" si="26"/>
        <v>0.25</v>
      </c>
      <c r="R45">
        <f t="shared" si="26"/>
        <v>0.25</v>
      </c>
      <c r="S45">
        <f t="shared" si="26"/>
        <v>0.25</v>
      </c>
      <c r="T45">
        <f t="shared" si="26"/>
        <v>0.25</v>
      </c>
      <c r="U45">
        <f t="shared" si="26"/>
        <v>0.25</v>
      </c>
      <c r="V45">
        <f t="shared" si="26"/>
        <v>0.25</v>
      </c>
      <c r="W45">
        <f t="shared" si="26"/>
        <v>0.25</v>
      </c>
      <c r="X45">
        <f t="shared" si="26"/>
        <v>0.25</v>
      </c>
      <c r="Y45">
        <f t="shared" si="26"/>
        <v>0.25</v>
      </c>
      <c r="Z45">
        <f t="shared" si="26"/>
        <v>0.25</v>
      </c>
      <c r="AA45">
        <f t="shared" si="26"/>
        <v>0.25</v>
      </c>
      <c r="AB45">
        <f t="shared" si="26"/>
        <v>0.25</v>
      </c>
      <c r="AC45">
        <f t="shared" si="26"/>
        <v>0.25</v>
      </c>
      <c r="AD45">
        <f t="shared" si="26"/>
        <v>0.25</v>
      </c>
      <c r="AE45">
        <f t="shared" si="26"/>
        <v>0.25</v>
      </c>
      <c r="AF45">
        <f t="shared" si="26"/>
        <v>0.25</v>
      </c>
      <c r="AG45">
        <f t="shared" si="26"/>
        <v>0.25</v>
      </c>
      <c r="AH45">
        <f t="shared" si="26"/>
        <v>0.25</v>
      </c>
      <c r="AI45">
        <f t="shared" si="26"/>
        <v>0.25</v>
      </c>
      <c r="AJ45">
        <f t="shared" si="26"/>
        <v>0.25</v>
      </c>
      <c r="AK45">
        <f t="shared" si="26"/>
        <v>0.25</v>
      </c>
      <c r="AL45">
        <f t="shared" si="26"/>
        <v>0.25</v>
      </c>
      <c r="AM45">
        <f t="shared" si="26"/>
        <v>0.25</v>
      </c>
      <c r="AN45">
        <f t="shared" si="26"/>
        <v>0.25</v>
      </c>
      <c r="AO45">
        <f t="shared" si="26"/>
        <v>0.25</v>
      </c>
      <c r="AP45">
        <f t="shared" si="26"/>
        <v>0.25</v>
      </c>
      <c r="AQ45">
        <f t="shared" si="26"/>
        <v>0.25</v>
      </c>
      <c r="AR45">
        <f t="shared" si="26"/>
        <v>0.25</v>
      </c>
      <c r="AS45">
        <f t="shared" si="26"/>
        <v>0.25</v>
      </c>
      <c r="AT45">
        <f t="shared" si="26"/>
        <v>0.25</v>
      </c>
      <c r="AU45">
        <f t="shared" si="26"/>
        <v>0.25</v>
      </c>
      <c r="AV45">
        <f t="shared" si="26"/>
        <v>0.25</v>
      </c>
      <c r="AW45">
        <f t="shared" si="26"/>
        <v>0.25</v>
      </c>
      <c r="AX45">
        <f t="shared" si="26"/>
        <v>0.25</v>
      </c>
      <c r="AY45">
        <f t="shared" si="26"/>
        <v>0.25</v>
      </c>
      <c r="AZ45">
        <f t="shared" si="26"/>
        <v>0.25</v>
      </c>
      <c r="BA45">
        <f t="shared" si="26"/>
        <v>0.25</v>
      </c>
      <c r="BB45">
        <f t="shared" si="26"/>
        <v>0.25</v>
      </c>
      <c r="BC45">
        <f t="shared" si="26"/>
        <v>0.25</v>
      </c>
      <c r="BD45">
        <f t="shared" si="26"/>
        <v>0.25</v>
      </c>
      <c r="BE45">
        <f t="shared" si="26"/>
        <v>0.25</v>
      </c>
      <c r="BF45">
        <f t="shared" si="26"/>
        <v>0.25</v>
      </c>
      <c r="BG45">
        <f t="shared" si="26"/>
        <v>0.25</v>
      </c>
      <c r="BH45">
        <f t="shared" si="26"/>
        <v>0.25</v>
      </c>
      <c r="BI45">
        <f t="shared" si="26"/>
        <v>0.25</v>
      </c>
      <c r="BJ45">
        <f t="shared" si="26"/>
        <v>0.25</v>
      </c>
      <c r="BK45">
        <f t="shared" si="26"/>
        <v>0.25</v>
      </c>
      <c r="BL45">
        <f t="shared" si="26"/>
        <v>0.25</v>
      </c>
      <c r="BM45">
        <f t="shared" si="26"/>
        <v>0.25</v>
      </c>
      <c r="BN45">
        <f t="shared" si="26"/>
        <v>0.25</v>
      </c>
      <c r="BO45">
        <f t="shared" si="26"/>
        <v>0.25</v>
      </c>
      <c r="BP45">
        <f t="shared" si="26"/>
        <v>0.25</v>
      </c>
      <c r="BQ45">
        <f t="shared" si="25"/>
        <v>0.25</v>
      </c>
      <c r="BR45">
        <f t="shared" si="25"/>
        <v>0.25</v>
      </c>
      <c r="BS45">
        <f t="shared" si="25"/>
        <v>0.25</v>
      </c>
      <c r="BT45">
        <f t="shared" si="25"/>
        <v>0.25</v>
      </c>
      <c r="BU45">
        <f t="shared" si="25"/>
        <v>0.25</v>
      </c>
      <c r="BV45">
        <f t="shared" si="25"/>
        <v>0.25</v>
      </c>
      <c r="BW45">
        <f t="shared" si="25"/>
        <v>0.25</v>
      </c>
      <c r="BX45">
        <f t="shared" si="25"/>
        <v>0.25</v>
      </c>
      <c r="BY45">
        <f t="shared" si="25"/>
        <v>0.25</v>
      </c>
      <c r="BZ45">
        <f t="shared" si="25"/>
        <v>0.25</v>
      </c>
      <c r="CA45">
        <f t="shared" si="25"/>
        <v>0.25</v>
      </c>
      <c r="CB45">
        <f t="shared" si="25"/>
        <v>0.25</v>
      </c>
      <c r="CC45">
        <f t="shared" si="25"/>
        <v>0.25</v>
      </c>
      <c r="CD45">
        <f t="shared" si="25"/>
        <v>0.25</v>
      </c>
      <c r="CE45">
        <f t="shared" si="25"/>
        <v>0.25</v>
      </c>
      <c r="CF45">
        <f t="shared" si="25"/>
        <v>0.25</v>
      </c>
      <c r="CG45">
        <f t="shared" si="25"/>
        <v>0.25</v>
      </c>
      <c r="CH45">
        <f t="shared" si="25"/>
        <v>0.25</v>
      </c>
      <c r="CI45">
        <f t="shared" si="25"/>
        <v>0.25</v>
      </c>
      <c r="CJ45">
        <f t="shared" si="25"/>
        <v>0.25</v>
      </c>
      <c r="CK45">
        <f t="shared" si="25"/>
        <v>0.25</v>
      </c>
      <c r="CL45">
        <f t="shared" si="25"/>
        <v>0.25</v>
      </c>
      <c r="CM45">
        <f t="shared" si="25"/>
        <v>0.25</v>
      </c>
      <c r="CN45">
        <f t="shared" si="25"/>
        <v>0.25</v>
      </c>
      <c r="CO45">
        <f t="shared" si="25"/>
        <v>0.25</v>
      </c>
    </row>
    <row r="46" spans="1:93" x14ac:dyDescent="0.25">
      <c r="A46" t="s">
        <v>78</v>
      </c>
      <c r="B46" t="s">
        <v>98</v>
      </c>
      <c r="C46">
        <f t="shared" si="4"/>
        <v>0.25</v>
      </c>
      <c r="D46">
        <f t="shared" si="5"/>
        <v>0.25</v>
      </c>
      <c r="E46">
        <f t="shared" si="26"/>
        <v>0.25</v>
      </c>
      <c r="F46">
        <f t="shared" si="26"/>
        <v>0.25</v>
      </c>
      <c r="G46">
        <f t="shared" si="26"/>
        <v>0.25</v>
      </c>
      <c r="H46">
        <f t="shared" si="26"/>
        <v>0.25</v>
      </c>
      <c r="I46">
        <f t="shared" si="26"/>
        <v>0.25</v>
      </c>
      <c r="J46">
        <f t="shared" si="26"/>
        <v>0.25</v>
      </c>
      <c r="K46">
        <f t="shared" si="26"/>
        <v>0.25</v>
      </c>
      <c r="L46">
        <f t="shared" si="26"/>
        <v>0.25</v>
      </c>
      <c r="M46">
        <f t="shared" si="26"/>
        <v>0.25</v>
      </c>
      <c r="N46">
        <f t="shared" si="26"/>
        <v>0.25</v>
      </c>
      <c r="O46">
        <f t="shared" si="26"/>
        <v>0.25</v>
      </c>
      <c r="P46">
        <f t="shared" si="26"/>
        <v>0.25</v>
      </c>
      <c r="Q46">
        <f t="shared" si="26"/>
        <v>0.25</v>
      </c>
      <c r="R46">
        <f t="shared" si="26"/>
        <v>0.25</v>
      </c>
      <c r="S46">
        <f t="shared" si="26"/>
        <v>0.25</v>
      </c>
      <c r="T46">
        <f t="shared" si="26"/>
        <v>0.25</v>
      </c>
      <c r="U46">
        <f t="shared" si="26"/>
        <v>0.25</v>
      </c>
      <c r="V46">
        <f t="shared" si="26"/>
        <v>0.25</v>
      </c>
      <c r="W46">
        <f t="shared" si="26"/>
        <v>0.25</v>
      </c>
      <c r="X46">
        <f t="shared" si="26"/>
        <v>0.25</v>
      </c>
      <c r="Y46">
        <f t="shared" si="26"/>
        <v>0.25</v>
      </c>
      <c r="Z46">
        <f t="shared" si="26"/>
        <v>0.25</v>
      </c>
      <c r="AA46">
        <f t="shared" si="26"/>
        <v>0.25</v>
      </c>
      <c r="AB46">
        <f t="shared" si="26"/>
        <v>0.25</v>
      </c>
      <c r="AC46">
        <f t="shared" si="26"/>
        <v>0.25</v>
      </c>
      <c r="AD46">
        <f t="shared" si="26"/>
        <v>0.25</v>
      </c>
      <c r="AE46">
        <f t="shared" si="26"/>
        <v>0.25</v>
      </c>
      <c r="AF46">
        <f t="shared" si="26"/>
        <v>0.25</v>
      </c>
      <c r="AG46">
        <f t="shared" si="26"/>
        <v>0.25</v>
      </c>
      <c r="AH46">
        <f t="shared" si="26"/>
        <v>0.25</v>
      </c>
      <c r="AI46">
        <f t="shared" si="26"/>
        <v>0.25</v>
      </c>
      <c r="AJ46">
        <f t="shared" si="26"/>
        <v>0.25</v>
      </c>
      <c r="AK46">
        <f t="shared" si="26"/>
        <v>0.25</v>
      </c>
      <c r="AL46">
        <f t="shared" si="26"/>
        <v>0.25</v>
      </c>
      <c r="AM46">
        <f t="shared" si="26"/>
        <v>0.25</v>
      </c>
      <c r="AN46">
        <f t="shared" si="26"/>
        <v>0.25</v>
      </c>
      <c r="AO46">
        <f t="shared" si="26"/>
        <v>0.25</v>
      </c>
      <c r="AP46">
        <f t="shared" si="26"/>
        <v>0.25</v>
      </c>
      <c r="AQ46">
        <f t="shared" si="26"/>
        <v>0.25</v>
      </c>
      <c r="AR46">
        <f t="shared" si="26"/>
        <v>0.25</v>
      </c>
      <c r="AS46">
        <f t="shared" si="26"/>
        <v>0.25</v>
      </c>
      <c r="AT46">
        <f t="shared" si="26"/>
        <v>0.25</v>
      </c>
      <c r="AU46">
        <f t="shared" si="26"/>
        <v>0.25</v>
      </c>
      <c r="AV46">
        <f t="shared" si="26"/>
        <v>0.25</v>
      </c>
      <c r="AW46">
        <f t="shared" si="26"/>
        <v>0.25</v>
      </c>
      <c r="AX46">
        <f t="shared" si="26"/>
        <v>0.25</v>
      </c>
      <c r="AY46">
        <f t="shared" si="26"/>
        <v>0.25</v>
      </c>
      <c r="AZ46">
        <f t="shared" si="26"/>
        <v>0.25</v>
      </c>
      <c r="BA46">
        <f t="shared" si="26"/>
        <v>0.25</v>
      </c>
      <c r="BB46">
        <f t="shared" si="26"/>
        <v>0.25</v>
      </c>
      <c r="BC46">
        <f t="shared" si="26"/>
        <v>0.25</v>
      </c>
      <c r="BD46">
        <f t="shared" si="26"/>
        <v>0.25</v>
      </c>
      <c r="BE46">
        <f t="shared" si="26"/>
        <v>0.25</v>
      </c>
      <c r="BF46">
        <f t="shared" si="26"/>
        <v>0.25</v>
      </c>
      <c r="BG46">
        <f t="shared" si="26"/>
        <v>0.25</v>
      </c>
      <c r="BH46">
        <f t="shared" si="26"/>
        <v>0.25</v>
      </c>
      <c r="BI46">
        <f t="shared" si="26"/>
        <v>0.25</v>
      </c>
      <c r="BJ46">
        <f t="shared" si="26"/>
        <v>0.25</v>
      </c>
      <c r="BK46">
        <f t="shared" si="26"/>
        <v>0.25</v>
      </c>
      <c r="BL46">
        <f t="shared" si="26"/>
        <v>0.25</v>
      </c>
      <c r="BM46">
        <f t="shared" si="26"/>
        <v>0.25</v>
      </c>
      <c r="BN46">
        <f t="shared" si="26"/>
        <v>0.25</v>
      </c>
      <c r="BO46">
        <f t="shared" si="26"/>
        <v>0.25</v>
      </c>
      <c r="BP46">
        <f t="shared" si="26"/>
        <v>0.25</v>
      </c>
      <c r="BQ46">
        <f t="shared" si="25"/>
        <v>0.25</v>
      </c>
      <c r="BR46">
        <f t="shared" si="25"/>
        <v>0.25</v>
      </c>
      <c r="BS46">
        <f t="shared" si="25"/>
        <v>0.25</v>
      </c>
      <c r="BT46">
        <f t="shared" si="25"/>
        <v>0.25</v>
      </c>
      <c r="BU46">
        <f t="shared" si="25"/>
        <v>0.25</v>
      </c>
      <c r="BV46">
        <f t="shared" si="25"/>
        <v>0.25</v>
      </c>
      <c r="BW46">
        <f t="shared" si="25"/>
        <v>0.25</v>
      </c>
      <c r="BX46">
        <f t="shared" si="25"/>
        <v>0.25</v>
      </c>
      <c r="BY46">
        <f t="shared" si="25"/>
        <v>0.25</v>
      </c>
      <c r="BZ46">
        <f t="shared" si="25"/>
        <v>0.25</v>
      </c>
      <c r="CA46">
        <f t="shared" si="25"/>
        <v>0.25</v>
      </c>
      <c r="CB46">
        <f t="shared" si="25"/>
        <v>0.25</v>
      </c>
      <c r="CC46">
        <f t="shared" si="25"/>
        <v>0.25</v>
      </c>
      <c r="CD46">
        <f t="shared" si="25"/>
        <v>0.25</v>
      </c>
      <c r="CE46">
        <f t="shared" si="25"/>
        <v>0.25</v>
      </c>
      <c r="CF46">
        <f t="shared" si="25"/>
        <v>0.25</v>
      </c>
      <c r="CG46">
        <f t="shared" si="25"/>
        <v>0.25</v>
      </c>
      <c r="CH46">
        <f t="shared" si="25"/>
        <v>0.25</v>
      </c>
      <c r="CI46">
        <f t="shared" si="25"/>
        <v>0.25</v>
      </c>
      <c r="CJ46">
        <f t="shared" si="25"/>
        <v>0.25</v>
      </c>
      <c r="CK46">
        <f t="shared" si="25"/>
        <v>0.25</v>
      </c>
      <c r="CL46">
        <f t="shared" si="25"/>
        <v>0.25</v>
      </c>
      <c r="CM46">
        <f t="shared" si="25"/>
        <v>0.25</v>
      </c>
      <c r="CN46">
        <f t="shared" si="25"/>
        <v>0.25</v>
      </c>
      <c r="CO46">
        <f t="shared" si="25"/>
        <v>0.25</v>
      </c>
    </row>
    <row r="47" spans="1:93" x14ac:dyDescent="0.25">
      <c r="A47" t="s">
        <v>79</v>
      </c>
      <c r="B47" t="s">
        <v>98</v>
      </c>
      <c r="C47">
        <f t="shared" si="4"/>
        <v>0.25</v>
      </c>
      <c r="D47">
        <f t="shared" si="5"/>
        <v>0.25</v>
      </c>
      <c r="E47">
        <f t="shared" si="26"/>
        <v>0.25</v>
      </c>
      <c r="F47">
        <f t="shared" si="26"/>
        <v>0.25</v>
      </c>
      <c r="G47">
        <f t="shared" si="26"/>
        <v>0.25</v>
      </c>
      <c r="H47">
        <f t="shared" si="26"/>
        <v>0.25</v>
      </c>
      <c r="I47">
        <f t="shared" si="26"/>
        <v>0.25</v>
      </c>
      <c r="J47">
        <f t="shared" si="26"/>
        <v>0.25</v>
      </c>
      <c r="K47">
        <f t="shared" si="26"/>
        <v>0.25</v>
      </c>
      <c r="L47">
        <f t="shared" si="26"/>
        <v>0.25</v>
      </c>
      <c r="M47">
        <f t="shared" si="26"/>
        <v>0.25</v>
      </c>
      <c r="N47">
        <f t="shared" si="26"/>
        <v>0.25</v>
      </c>
      <c r="O47">
        <f t="shared" si="26"/>
        <v>0.25</v>
      </c>
      <c r="P47">
        <f t="shared" si="26"/>
        <v>0.25</v>
      </c>
      <c r="Q47">
        <f t="shared" si="26"/>
        <v>0.25</v>
      </c>
      <c r="R47">
        <f t="shared" si="26"/>
        <v>0.25</v>
      </c>
      <c r="S47">
        <f t="shared" si="26"/>
        <v>0.25</v>
      </c>
      <c r="T47">
        <f t="shared" si="26"/>
        <v>0.25</v>
      </c>
      <c r="U47">
        <f t="shared" si="26"/>
        <v>0.25</v>
      </c>
      <c r="V47">
        <f t="shared" si="26"/>
        <v>0.25</v>
      </c>
      <c r="W47">
        <f t="shared" si="26"/>
        <v>0.25</v>
      </c>
      <c r="X47">
        <f t="shared" si="26"/>
        <v>0.25</v>
      </c>
      <c r="Y47">
        <f t="shared" si="26"/>
        <v>0.25</v>
      </c>
      <c r="Z47">
        <f t="shared" si="26"/>
        <v>0.25</v>
      </c>
      <c r="AA47">
        <f t="shared" si="26"/>
        <v>0.25</v>
      </c>
      <c r="AB47">
        <f t="shared" si="26"/>
        <v>0.25</v>
      </c>
      <c r="AC47">
        <f t="shared" si="26"/>
        <v>0.25</v>
      </c>
      <c r="AD47">
        <f t="shared" si="26"/>
        <v>0.25</v>
      </c>
      <c r="AE47">
        <f t="shared" si="26"/>
        <v>0.25</v>
      </c>
      <c r="AF47">
        <f t="shared" si="26"/>
        <v>0.25</v>
      </c>
      <c r="AG47">
        <f t="shared" si="26"/>
        <v>0.25</v>
      </c>
      <c r="AH47">
        <f t="shared" si="26"/>
        <v>0.25</v>
      </c>
      <c r="AI47">
        <f t="shared" si="26"/>
        <v>0.25</v>
      </c>
      <c r="AJ47">
        <f t="shared" si="26"/>
        <v>0.25</v>
      </c>
      <c r="AK47">
        <f t="shared" si="26"/>
        <v>0.25</v>
      </c>
      <c r="AL47">
        <f t="shared" si="26"/>
        <v>0.25</v>
      </c>
      <c r="AM47">
        <f t="shared" si="26"/>
        <v>0.25</v>
      </c>
      <c r="AN47">
        <f t="shared" si="26"/>
        <v>0.25</v>
      </c>
      <c r="AO47">
        <f t="shared" si="26"/>
        <v>0.25</v>
      </c>
      <c r="AP47">
        <f t="shared" si="26"/>
        <v>0.25</v>
      </c>
      <c r="AQ47">
        <f t="shared" si="26"/>
        <v>0.25</v>
      </c>
      <c r="AR47">
        <f t="shared" si="26"/>
        <v>0.25</v>
      </c>
      <c r="AS47">
        <f t="shared" si="26"/>
        <v>0.25</v>
      </c>
      <c r="AT47">
        <f t="shared" si="26"/>
        <v>0.25</v>
      </c>
      <c r="AU47">
        <f t="shared" si="26"/>
        <v>0.25</v>
      </c>
      <c r="AV47">
        <f t="shared" si="26"/>
        <v>0.25</v>
      </c>
      <c r="AW47">
        <f t="shared" si="26"/>
        <v>0.25</v>
      </c>
      <c r="AX47">
        <f t="shared" si="26"/>
        <v>0.25</v>
      </c>
      <c r="AY47">
        <f t="shared" si="26"/>
        <v>0.25</v>
      </c>
      <c r="AZ47">
        <f t="shared" si="26"/>
        <v>0.25</v>
      </c>
      <c r="BA47">
        <f t="shared" si="26"/>
        <v>0.25</v>
      </c>
      <c r="BB47">
        <f t="shared" si="26"/>
        <v>0.25</v>
      </c>
      <c r="BC47">
        <f t="shared" si="26"/>
        <v>0.25</v>
      </c>
      <c r="BD47">
        <f t="shared" si="26"/>
        <v>0.25</v>
      </c>
      <c r="BE47">
        <f t="shared" si="26"/>
        <v>0.25</v>
      </c>
      <c r="BF47">
        <f t="shared" si="26"/>
        <v>0.25</v>
      </c>
      <c r="BG47">
        <f t="shared" si="26"/>
        <v>0.25</v>
      </c>
      <c r="BH47">
        <f t="shared" si="26"/>
        <v>0.25</v>
      </c>
      <c r="BI47">
        <f t="shared" si="26"/>
        <v>0.25</v>
      </c>
      <c r="BJ47">
        <f t="shared" si="26"/>
        <v>0.25</v>
      </c>
      <c r="BK47">
        <f t="shared" si="26"/>
        <v>0.25</v>
      </c>
      <c r="BL47">
        <f t="shared" si="26"/>
        <v>0.25</v>
      </c>
      <c r="BM47">
        <f t="shared" si="26"/>
        <v>0.25</v>
      </c>
      <c r="BN47">
        <f t="shared" si="26"/>
        <v>0.25</v>
      </c>
      <c r="BO47">
        <f t="shared" si="26"/>
        <v>0.25</v>
      </c>
      <c r="BP47">
        <f t="shared" ref="BP47:CO50" si="27">BO47</f>
        <v>0.25</v>
      </c>
      <c r="BQ47">
        <f t="shared" si="27"/>
        <v>0.25</v>
      </c>
      <c r="BR47">
        <f t="shared" si="27"/>
        <v>0.25</v>
      </c>
      <c r="BS47">
        <f t="shared" si="27"/>
        <v>0.25</v>
      </c>
      <c r="BT47">
        <f t="shared" si="27"/>
        <v>0.25</v>
      </c>
      <c r="BU47">
        <f t="shared" si="27"/>
        <v>0.25</v>
      </c>
      <c r="BV47">
        <f t="shared" si="27"/>
        <v>0.25</v>
      </c>
      <c r="BW47">
        <f t="shared" si="27"/>
        <v>0.25</v>
      </c>
      <c r="BX47">
        <f t="shared" si="27"/>
        <v>0.25</v>
      </c>
      <c r="BY47">
        <f t="shared" si="27"/>
        <v>0.25</v>
      </c>
      <c r="BZ47">
        <f t="shared" si="27"/>
        <v>0.25</v>
      </c>
      <c r="CA47">
        <f t="shared" si="27"/>
        <v>0.25</v>
      </c>
      <c r="CB47">
        <f t="shared" si="27"/>
        <v>0.25</v>
      </c>
      <c r="CC47">
        <f t="shared" si="27"/>
        <v>0.25</v>
      </c>
      <c r="CD47">
        <f t="shared" si="27"/>
        <v>0.25</v>
      </c>
      <c r="CE47">
        <f t="shared" si="27"/>
        <v>0.25</v>
      </c>
      <c r="CF47">
        <f t="shared" si="27"/>
        <v>0.25</v>
      </c>
      <c r="CG47">
        <f t="shared" si="27"/>
        <v>0.25</v>
      </c>
      <c r="CH47">
        <f t="shared" si="27"/>
        <v>0.25</v>
      </c>
      <c r="CI47">
        <f t="shared" si="27"/>
        <v>0.25</v>
      </c>
      <c r="CJ47">
        <f t="shared" si="27"/>
        <v>0.25</v>
      </c>
      <c r="CK47">
        <f t="shared" si="27"/>
        <v>0.25</v>
      </c>
      <c r="CL47">
        <f t="shared" si="27"/>
        <v>0.25</v>
      </c>
      <c r="CM47">
        <f t="shared" si="27"/>
        <v>0.25</v>
      </c>
      <c r="CN47">
        <f t="shared" si="27"/>
        <v>0.25</v>
      </c>
      <c r="CO47">
        <f t="shared" si="27"/>
        <v>0.25</v>
      </c>
    </row>
    <row r="48" spans="1:93" x14ac:dyDescent="0.25">
      <c r="A48" t="s">
        <v>88</v>
      </c>
      <c r="B48" t="s">
        <v>100</v>
      </c>
      <c r="C48">
        <f t="shared" si="4"/>
        <v>0.2</v>
      </c>
      <c r="D48">
        <f t="shared" si="5"/>
        <v>0.2</v>
      </c>
      <c r="E48">
        <f t="shared" ref="E48:BP51" si="28">D48</f>
        <v>0.2</v>
      </c>
      <c r="F48">
        <f t="shared" si="28"/>
        <v>0.2</v>
      </c>
      <c r="G48">
        <f t="shared" si="28"/>
        <v>0.2</v>
      </c>
      <c r="H48">
        <f t="shared" si="28"/>
        <v>0.2</v>
      </c>
      <c r="I48">
        <f t="shared" si="28"/>
        <v>0.2</v>
      </c>
      <c r="J48">
        <f t="shared" si="28"/>
        <v>0.2</v>
      </c>
      <c r="K48">
        <f t="shared" si="28"/>
        <v>0.2</v>
      </c>
      <c r="L48">
        <f t="shared" si="28"/>
        <v>0.2</v>
      </c>
      <c r="M48">
        <f t="shared" si="28"/>
        <v>0.2</v>
      </c>
      <c r="N48">
        <f t="shared" si="28"/>
        <v>0.2</v>
      </c>
      <c r="O48">
        <f t="shared" si="28"/>
        <v>0.2</v>
      </c>
      <c r="P48">
        <f t="shared" si="28"/>
        <v>0.2</v>
      </c>
      <c r="Q48">
        <f t="shared" si="28"/>
        <v>0.2</v>
      </c>
      <c r="R48">
        <f t="shared" si="28"/>
        <v>0.2</v>
      </c>
      <c r="S48">
        <f t="shared" si="28"/>
        <v>0.2</v>
      </c>
      <c r="T48">
        <f t="shared" si="28"/>
        <v>0.2</v>
      </c>
      <c r="U48">
        <f t="shared" si="28"/>
        <v>0.2</v>
      </c>
      <c r="V48">
        <f t="shared" si="28"/>
        <v>0.2</v>
      </c>
      <c r="W48">
        <f t="shared" si="28"/>
        <v>0.2</v>
      </c>
      <c r="X48">
        <f t="shared" si="28"/>
        <v>0.2</v>
      </c>
      <c r="Y48">
        <f t="shared" si="28"/>
        <v>0.2</v>
      </c>
      <c r="Z48">
        <f t="shared" si="28"/>
        <v>0.2</v>
      </c>
      <c r="AA48">
        <f t="shared" si="28"/>
        <v>0.2</v>
      </c>
      <c r="AB48">
        <f t="shared" si="28"/>
        <v>0.2</v>
      </c>
      <c r="AC48">
        <f t="shared" si="28"/>
        <v>0.2</v>
      </c>
      <c r="AD48">
        <f t="shared" si="28"/>
        <v>0.2</v>
      </c>
      <c r="AE48">
        <f t="shared" si="28"/>
        <v>0.2</v>
      </c>
      <c r="AF48">
        <f t="shared" si="28"/>
        <v>0.2</v>
      </c>
      <c r="AG48">
        <f t="shared" si="28"/>
        <v>0.2</v>
      </c>
      <c r="AH48">
        <f t="shared" si="28"/>
        <v>0.2</v>
      </c>
      <c r="AI48">
        <f t="shared" si="28"/>
        <v>0.2</v>
      </c>
      <c r="AJ48">
        <f t="shared" si="28"/>
        <v>0.2</v>
      </c>
      <c r="AK48">
        <f t="shared" si="28"/>
        <v>0.2</v>
      </c>
      <c r="AL48">
        <f t="shared" si="28"/>
        <v>0.2</v>
      </c>
      <c r="AM48">
        <f t="shared" si="28"/>
        <v>0.2</v>
      </c>
      <c r="AN48">
        <f t="shared" si="28"/>
        <v>0.2</v>
      </c>
      <c r="AO48">
        <f t="shared" si="28"/>
        <v>0.2</v>
      </c>
      <c r="AP48">
        <f t="shared" si="28"/>
        <v>0.2</v>
      </c>
      <c r="AQ48">
        <f t="shared" si="28"/>
        <v>0.2</v>
      </c>
      <c r="AR48">
        <f t="shared" si="28"/>
        <v>0.2</v>
      </c>
      <c r="AS48">
        <f t="shared" si="28"/>
        <v>0.2</v>
      </c>
      <c r="AT48">
        <f t="shared" si="28"/>
        <v>0.2</v>
      </c>
      <c r="AU48">
        <f t="shared" si="28"/>
        <v>0.2</v>
      </c>
      <c r="AV48">
        <f t="shared" si="28"/>
        <v>0.2</v>
      </c>
      <c r="AW48">
        <f t="shared" si="28"/>
        <v>0.2</v>
      </c>
      <c r="AX48">
        <f t="shared" si="28"/>
        <v>0.2</v>
      </c>
      <c r="AY48">
        <f t="shared" si="28"/>
        <v>0.2</v>
      </c>
      <c r="AZ48">
        <f t="shared" si="28"/>
        <v>0.2</v>
      </c>
      <c r="BA48">
        <f t="shared" si="28"/>
        <v>0.2</v>
      </c>
      <c r="BB48">
        <f t="shared" si="28"/>
        <v>0.2</v>
      </c>
      <c r="BC48">
        <f t="shared" si="28"/>
        <v>0.2</v>
      </c>
      <c r="BD48">
        <f t="shared" si="28"/>
        <v>0.2</v>
      </c>
      <c r="BE48">
        <f t="shared" si="28"/>
        <v>0.2</v>
      </c>
      <c r="BF48">
        <f t="shared" si="28"/>
        <v>0.2</v>
      </c>
      <c r="BG48">
        <f t="shared" si="28"/>
        <v>0.2</v>
      </c>
      <c r="BH48">
        <f t="shared" si="28"/>
        <v>0.2</v>
      </c>
      <c r="BI48">
        <f t="shared" si="28"/>
        <v>0.2</v>
      </c>
      <c r="BJ48">
        <f t="shared" si="28"/>
        <v>0.2</v>
      </c>
      <c r="BK48">
        <f t="shared" si="28"/>
        <v>0.2</v>
      </c>
      <c r="BL48">
        <f t="shared" si="28"/>
        <v>0.2</v>
      </c>
      <c r="BM48">
        <f t="shared" si="28"/>
        <v>0.2</v>
      </c>
      <c r="BN48">
        <f t="shared" si="28"/>
        <v>0.2</v>
      </c>
      <c r="BO48">
        <f t="shared" si="28"/>
        <v>0.2</v>
      </c>
      <c r="BP48">
        <f t="shared" si="28"/>
        <v>0.2</v>
      </c>
      <c r="BQ48">
        <f t="shared" si="27"/>
        <v>0.2</v>
      </c>
      <c r="BR48">
        <f t="shared" si="27"/>
        <v>0.2</v>
      </c>
      <c r="BS48">
        <f t="shared" si="27"/>
        <v>0.2</v>
      </c>
      <c r="BT48">
        <f t="shared" si="27"/>
        <v>0.2</v>
      </c>
      <c r="BU48">
        <f t="shared" si="27"/>
        <v>0.2</v>
      </c>
      <c r="BV48">
        <f t="shared" si="27"/>
        <v>0.2</v>
      </c>
      <c r="BW48">
        <f t="shared" si="27"/>
        <v>0.2</v>
      </c>
      <c r="BX48">
        <f t="shared" si="27"/>
        <v>0.2</v>
      </c>
      <c r="BY48">
        <f t="shared" si="27"/>
        <v>0.2</v>
      </c>
      <c r="BZ48">
        <f t="shared" si="27"/>
        <v>0.2</v>
      </c>
      <c r="CA48">
        <f t="shared" si="27"/>
        <v>0.2</v>
      </c>
      <c r="CB48">
        <f t="shared" si="27"/>
        <v>0.2</v>
      </c>
      <c r="CC48">
        <f t="shared" si="27"/>
        <v>0.2</v>
      </c>
      <c r="CD48">
        <f t="shared" si="27"/>
        <v>0.2</v>
      </c>
      <c r="CE48">
        <f t="shared" si="27"/>
        <v>0.2</v>
      </c>
      <c r="CF48">
        <f t="shared" si="27"/>
        <v>0.2</v>
      </c>
      <c r="CG48">
        <f t="shared" si="27"/>
        <v>0.2</v>
      </c>
      <c r="CH48">
        <f t="shared" si="27"/>
        <v>0.2</v>
      </c>
      <c r="CI48">
        <f t="shared" si="27"/>
        <v>0.2</v>
      </c>
      <c r="CJ48">
        <f t="shared" si="27"/>
        <v>0.2</v>
      </c>
      <c r="CK48">
        <f t="shared" si="27"/>
        <v>0.2</v>
      </c>
      <c r="CL48">
        <f t="shared" si="27"/>
        <v>0.2</v>
      </c>
      <c r="CM48">
        <f t="shared" si="27"/>
        <v>0.2</v>
      </c>
      <c r="CN48">
        <f t="shared" si="27"/>
        <v>0.2</v>
      </c>
      <c r="CO48">
        <f t="shared" si="27"/>
        <v>0.2</v>
      </c>
    </row>
    <row r="49" spans="1:93" x14ac:dyDescent="0.25">
      <c r="A49" t="s">
        <v>89</v>
      </c>
      <c r="B49" t="s">
        <v>100</v>
      </c>
      <c r="C49">
        <f t="shared" si="4"/>
        <v>0.2</v>
      </c>
      <c r="D49">
        <f t="shared" si="5"/>
        <v>0.2</v>
      </c>
      <c r="E49">
        <f t="shared" si="28"/>
        <v>0.2</v>
      </c>
      <c r="F49">
        <f t="shared" si="28"/>
        <v>0.2</v>
      </c>
      <c r="G49">
        <f t="shared" si="28"/>
        <v>0.2</v>
      </c>
      <c r="H49">
        <f t="shared" si="28"/>
        <v>0.2</v>
      </c>
      <c r="I49">
        <f t="shared" si="28"/>
        <v>0.2</v>
      </c>
      <c r="J49">
        <f t="shared" si="28"/>
        <v>0.2</v>
      </c>
      <c r="K49">
        <f t="shared" si="28"/>
        <v>0.2</v>
      </c>
      <c r="L49">
        <f t="shared" si="28"/>
        <v>0.2</v>
      </c>
      <c r="M49">
        <f t="shared" si="28"/>
        <v>0.2</v>
      </c>
      <c r="N49">
        <f t="shared" si="28"/>
        <v>0.2</v>
      </c>
      <c r="O49">
        <f t="shared" si="28"/>
        <v>0.2</v>
      </c>
      <c r="P49">
        <f t="shared" si="28"/>
        <v>0.2</v>
      </c>
      <c r="Q49">
        <f t="shared" si="28"/>
        <v>0.2</v>
      </c>
      <c r="R49">
        <f t="shared" si="28"/>
        <v>0.2</v>
      </c>
      <c r="S49">
        <f t="shared" si="28"/>
        <v>0.2</v>
      </c>
      <c r="T49">
        <f t="shared" si="28"/>
        <v>0.2</v>
      </c>
      <c r="U49">
        <f t="shared" si="28"/>
        <v>0.2</v>
      </c>
      <c r="V49">
        <f t="shared" si="28"/>
        <v>0.2</v>
      </c>
      <c r="W49">
        <f t="shared" si="28"/>
        <v>0.2</v>
      </c>
      <c r="X49">
        <f t="shared" si="28"/>
        <v>0.2</v>
      </c>
      <c r="Y49">
        <f t="shared" si="28"/>
        <v>0.2</v>
      </c>
      <c r="Z49">
        <f t="shared" si="28"/>
        <v>0.2</v>
      </c>
      <c r="AA49">
        <f t="shared" si="28"/>
        <v>0.2</v>
      </c>
      <c r="AB49">
        <f t="shared" si="28"/>
        <v>0.2</v>
      </c>
      <c r="AC49">
        <f t="shared" si="28"/>
        <v>0.2</v>
      </c>
      <c r="AD49">
        <f t="shared" si="28"/>
        <v>0.2</v>
      </c>
      <c r="AE49">
        <f t="shared" si="28"/>
        <v>0.2</v>
      </c>
      <c r="AF49">
        <f t="shared" si="28"/>
        <v>0.2</v>
      </c>
      <c r="AG49">
        <f t="shared" si="28"/>
        <v>0.2</v>
      </c>
      <c r="AH49">
        <f t="shared" si="28"/>
        <v>0.2</v>
      </c>
      <c r="AI49">
        <f t="shared" si="28"/>
        <v>0.2</v>
      </c>
      <c r="AJ49">
        <f t="shared" si="28"/>
        <v>0.2</v>
      </c>
      <c r="AK49">
        <f t="shared" si="28"/>
        <v>0.2</v>
      </c>
      <c r="AL49">
        <f t="shared" si="28"/>
        <v>0.2</v>
      </c>
      <c r="AM49">
        <f t="shared" si="28"/>
        <v>0.2</v>
      </c>
      <c r="AN49">
        <f t="shared" si="28"/>
        <v>0.2</v>
      </c>
      <c r="AO49">
        <f t="shared" si="28"/>
        <v>0.2</v>
      </c>
      <c r="AP49">
        <f t="shared" si="28"/>
        <v>0.2</v>
      </c>
      <c r="AQ49">
        <f t="shared" si="28"/>
        <v>0.2</v>
      </c>
      <c r="AR49">
        <f t="shared" si="28"/>
        <v>0.2</v>
      </c>
      <c r="AS49">
        <f t="shared" si="28"/>
        <v>0.2</v>
      </c>
      <c r="AT49">
        <f t="shared" si="28"/>
        <v>0.2</v>
      </c>
      <c r="AU49">
        <f t="shared" si="28"/>
        <v>0.2</v>
      </c>
      <c r="AV49">
        <f t="shared" si="28"/>
        <v>0.2</v>
      </c>
      <c r="AW49">
        <f t="shared" si="28"/>
        <v>0.2</v>
      </c>
      <c r="AX49">
        <f t="shared" si="28"/>
        <v>0.2</v>
      </c>
      <c r="AY49">
        <f t="shared" si="28"/>
        <v>0.2</v>
      </c>
      <c r="AZ49">
        <f t="shared" si="28"/>
        <v>0.2</v>
      </c>
      <c r="BA49">
        <f t="shared" si="28"/>
        <v>0.2</v>
      </c>
      <c r="BB49">
        <f t="shared" si="28"/>
        <v>0.2</v>
      </c>
      <c r="BC49">
        <f t="shared" si="28"/>
        <v>0.2</v>
      </c>
      <c r="BD49">
        <f t="shared" si="28"/>
        <v>0.2</v>
      </c>
      <c r="BE49">
        <f t="shared" si="28"/>
        <v>0.2</v>
      </c>
      <c r="BF49">
        <f t="shared" si="28"/>
        <v>0.2</v>
      </c>
      <c r="BG49">
        <f t="shared" si="28"/>
        <v>0.2</v>
      </c>
      <c r="BH49">
        <f t="shared" si="28"/>
        <v>0.2</v>
      </c>
      <c r="BI49">
        <f t="shared" si="28"/>
        <v>0.2</v>
      </c>
      <c r="BJ49">
        <f t="shared" si="28"/>
        <v>0.2</v>
      </c>
      <c r="BK49">
        <f t="shared" si="28"/>
        <v>0.2</v>
      </c>
      <c r="BL49">
        <f t="shared" si="28"/>
        <v>0.2</v>
      </c>
      <c r="BM49">
        <f t="shared" si="28"/>
        <v>0.2</v>
      </c>
      <c r="BN49">
        <f t="shared" si="28"/>
        <v>0.2</v>
      </c>
      <c r="BO49">
        <f t="shared" si="28"/>
        <v>0.2</v>
      </c>
      <c r="BP49">
        <f t="shared" si="28"/>
        <v>0.2</v>
      </c>
      <c r="BQ49">
        <f t="shared" si="27"/>
        <v>0.2</v>
      </c>
      <c r="BR49">
        <f t="shared" si="27"/>
        <v>0.2</v>
      </c>
      <c r="BS49">
        <f t="shared" si="27"/>
        <v>0.2</v>
      </c>
      <c r="BT49">
        <f t="shared" si="27"/>
        <v>0.2</v>
      </c>
      <c r="BU49">
        <f t="shared" si="27"/>
        <v>0.2</v>
      </c>
      <c r="BV49">
        <f t="shared" si="27"/>
        <v>0.2</v>
      </c>
      <c r="BW49">
        <f t="shared" si="27"/>
        <v>0.2</v>
      </c>
      <c r="BX49">
        <f t="shared" si="27"/>
        <v>0.2</v>
      </c>
      <c r="BY49">
        <f t="shared" si="27"/>
        <v>0.2</v>
      </c>
      <c r="BZ49">
        <f t="shared" si="27"/>
        <v>0.2</v>
      </c>
      <c r="CA49">
        <f t="shared" si="27"/>
        <v>0.2</v>
      </c>
      <c r="CB49">
        <f t="shared" si="27"/>
        <v>0.2</v>
      </c>
      <c r="CC49">
        <f t="shared" si="27"/>
        <v>0.2</v>
      </c>
      <c r="CD49">
        <f t="shared" si="27"/>
        <v>0.2</v>
      </c>
      <c r="CE49">
        <f t="shared" si="27"/>
        <v>0.2</v>
      </c>
      <c r="CF49">
        <f t="shared" si="27"/>
        <v>0.2</v>
      </c>
      <c r="CG49">
        <f t="shared" si="27"/>
        <v>0.2</v>
      </c>
      <c r="CH49">
        <f t="shared" si="27"/>
        <v>0.2</v>
      </c>
      <c r="CI49">
        <f t="shared" si="27"/>
        <v>0.2</v>
      </c>
      <c r="CJ49">
        <f t="shared" si="27"/>
        <v>0.2</v>
      </c>
      <c r="CK49">
        <f t="shared" si="27"/>
        <v>0.2</v>
      </c>
      <c r="CL49">
        <f t="shared" si="27"/>
        <v>0.2</v>
      </c>
      <c r="CM49">
        <f t="shared" si="27"/>
        <v>0.2</v>
      </c>
      <c r="CN49">
        <f t="shared" si="27"/>
        <v>0.2</v>
      </c>
      <c r="CO49">
        <f t="shared" si="27"/>
        <v>0.2</v>
      </c>
    </row>
    <row r="50" spans="1:93" x14ac:dyDescent="0.25">
      <c r="A50" t="s">
        <v>91</v>
      </c>
      <c r="B50" t="s">
        <v>100</v>
      </c>
      <c r="C50">
        <f t="shared" si="4"/>
        <v>0.2</v>
      </c>
      <c r="D50">
        <f t="shared" si="5"/>
        <v>0.2</v>
      </c>
      <c r="E50">
        <f t="shared" si="28"/>
        <v>0.2</v>
      </c>
      <c r="F50">
        <f t="shared" si="28"/>
        <v>0.2</v>
      </c>
      <c r="G50">
        <f t="shared" si="28"/>
        <v>0.2</v>
      </c>
      <c r="H50">
        <f t="shared" si="28"/>
        <v>0.2</v>
      </c>
      <c r="I50">
        <f t="shared" si="28"/>
        <v>0.2</v>
      </c>
      <c r="J50">
        <f t="shared" si="28"/>
        <v>0.2</v>
      </c>
      <c r="K50">
        <f t="shared" si="28"/>
        <v>0.2</v>
      </c>
      <c r="L50">
        <f t="shared" si="28"/>
        <v>0.2</v>
      </c>
      <c r="M50">
        <f t="shared" si="28"/>
        <v>0.2</v>
      </c>
      <c r="N50">
        <f t="shared" si="28"/>
        <v>0.2</v>
      </c>
      <c r="O50">
        <f t="shared" si="28"/>
        <v>0.2</v>
      </c>
      <c r="P50">
        <f t="shared" si="28"/>
        <v>0.2</v>
      </c>
      <c r="Q50">
        <f t="shared" si="28"/>
        <v>0.2</v>
      </c>
      <c r="R50">
        <f t="shared" si="28"/>
        <v>0.2</v>
      </c>
      <c r="S50">
        <f t="shared" si="28"/>
        <v>0.2</v>
      </c>
      <c r="T50">
        <f t="shared" si="28"/>
        <v>0.2</v>
      </c>
      <c r="U50">
        <f t="shared" si="28"/>
        <v>0.2</v>
      </c>
      <c r="V50">
        <f t="shared" si="28"/>
        <v>0.2</v>
      </c>
      <c r="W50">
        <f t="shared" si="28"/>
        <v>0.2</v>
      </c>
      <c r="X50">
        <f t="shared" si="28"/>
        <v>0.2</v>
      </c>
      <c r="Y50">
        <f t="shared" si="28"/>
        <v>0.2</v>
      </c>
      <c r="Z50">
        <f t="shared" si="28"/>
        <v>0.2</v>
      </c>
      <c r="AA50">
        <f t="shared" si="28"/>
        <v>0.2</v>
      </c>
      <c r="AB50">
        <f t="shared" si="28"/>
        <v>0.2</v>
      </c>
      <c r="AC50">
        <f t="shared" si="28"/>
        <v>0.2</v>
      </c>
      <c r="AD50">
        <f t="shared" si="28"/>
        <v>0.2</v>
      </c>
      <c r="AE50">
        <f t="shared" si="28"/>
        <v>0.2</v>
      </c>
      <c r="AF50">
        <f t="shared" si="28"/>
        <v>0.2</v>
      </c>
      <c r="AG50">
        <f t="shared" si="28"/>
        <v>0.2</v>
      </c>
      <c r="AH50">
        <f t="shared" si="28"/>
        <v>0.2</v>
      </c>
      <c r="AI50">
        <f t="shared" si="28"/>
        <v>0.2</v>
      </c>
      <c r="AJ50">
        <f t="shared" si="28"/>
        <v>0.2</v>
      </c>
      <c r="AK50">
        <f t="shared" si="28"/>
        <v>0.2</v>
      </c>
      <c r="AL50">
        <f t="shared" si="28"/>
        <v>0.2</v>
      </c>
      <c r="AM50">
        <f t="shared" si="28"/>
        <v>0.2</v>
      </c>
      <c r="AN50">
        <f t="shared" si="28"/>
        <v>0.2</v>
      </c>
      <c r="AO50">
        <f t="shared" si="28"/>
        <v>0.2</v>
      </c>
      <c r="AP50">
        <f t="shared" si="28"/>
        <v>0.2</v>
      </c>
      <c r="AQ50">
        <f t="shared" si="28"/>
        <v>0.2</v>
      </c>
      <c r="AR50">
        <f t="shared" si="28"/>
        <v>0.2</v>
      </c>
      <c r="AS50">
        <f t="shared" si="28"/>
        <v>0.2</v>
      </c>
      <c r="AT50">
        <f t="shared" si="28"/>
        <v>0.2</v>
      </c>
      <c r="AU50">
        <f t="shared" si="28"/>
        <v>0.2</v>
      </c>
      <c r="AV50">
        <f t="shared" si="28"/>
        <v>0.2</v>
      </c>
      <c r="AW50">
        <f t="shared" si="28"/>
        <v>0.2</v>
      </c>
      <c r="AX50">
        <f t="shared" si="28"/>
        <v>0.2</v>
      </c>
      <c r="AY50">
        <f t="shared" si="28"/>
        <v>0.2</v>
      </c>
      <c r="AZ50">
        <f t="shared" si="28"/>
        <v>0.2</v>
      </c>
      <c r="BA50">
        <f t="shared" si="28"/>
        <v>0.2</v>
      </c>
      <c r="BB50">
        <f t="shared" si="28"/>
        <v>0.2</v>
      </c>
      <c r="BC50">
        <f t="shared" si="28"/>
        <v>0.2</v>
      </c>
      <c r="BD50">
        <f t="shared" si="28"/>
        <v>0.2</v>
      </c>
      <c r="BE50">
        <f t="shared" si="28"/>
        <v>0.2</v>
      </c>
      <c r="BF50">
        <f t="shared" si="28"/>
        <v>0.2</v>
      </c>
      <c r="BG50">
        <f t="shared" si="28"/>
        <v>0.2</v>
      </c>
      <c r="BH50">
        <f t="shared" si="28"/>
        <v>0.2</v>
      </c>
      <c r="BI50">
        <f t="shared" si="28"/>
        <v>0.2</v>
      </c>
      <c r="BJ50">
        <f t="shared" si="28"/>
        <v>0.2</v>
      </c>
      <c r="BK50">
        <f t="shared" si="28"/>
        <v>0.2</v>
      </c>
      <c r="BL50">
        <f t="shared" si="28"/>
        <v>0.2</v>
      </c>
      <c r="BM50">
        <f t="shared" si="28"/>
        <v>0.2</v>
      </c>
      <c r="BN50">
        <f t="shared" si="28"/>
        <v>0.2</v>
      </c>
      <c r="BO50">
        <f t="shared" si="28"/>
        <v>0.2</v>
      </c>
      <c r="BP50">
        <f t="shared" si="28"/>
        <v>0.2</v>
      </c>
      <c r="BQ50">
        <f t="shared" si="27"/>
        <v>0.2</v>
      </c>
      <c r="BR50">
        <f t="shared" si="27"/>
        <v>0.2</v>
      </c>
      <c r="BS50">
        <f t="shared" si="27"/>
        <v>0.2</v>
      </c>
      <c r="BT50">
        <f t="shared" si="27"/>
        <v>0.2</v>
      </c>
      <c r="BU50">
        <f t="shared" si="27"/>
        <v>0.2</v>
      </c>
      <c r="BV50">
        <f t="shared" si="27"/>
        <v>0.2</v>
      </c>
      <c r="BW50">
        <f t="shared" si="27"/>
        <v>0.2</v>
      </c>
      <c r="BX50">
        <f t="shared" si="27"/>
        <v>0.2</v>
      </c>
      <c r="BY50">
        <f t="shared" si="27"/>
        <v>0.2</v>
      </c>
      <c r="BZ50">
        <f t="shared" si="27"/>
        <v>0.2</v>
      </c>
      <c r="CA50">
        <f t="shared" si="27"/>
        <v>0.2</v>
      </c>
      <c r="CB50">
        <f t="shared" si="27"/>
        <v>0.2</v>
      </c>
      <c r="CC50">
        <f t="shared" si="27"/>
        <v>0.2</v>
      </c>
      <c r="CD50">
        <f t="shared" si="27"/>
        <v>0.2</v>
      </c>
      <c r="CE50">
        <f t="shared" si="27"/>
        <v>0.2</v>
      </c>
      <c r="CF50">
        <f t="shared" si="27"/>
        <v>0.2</v>
      </c>
      <c r="CG50">
        <f t="shared" si="27"/>
        <v>0.2</v>
      </c>
      <c r="CH50">
        <f t="shared" si="27"/>
        <v>0.2</v>
      </c>
      <c r="CI50">
        <f t="shared" si="27"/>
        <v>0.2</v>
      </c>
      <c r="CJ50">
        <f t="shared" si="27"/>
        <v>0.2</v>
      </c>
      <c r="CK50">
        <f t="shared" si="27"/>
        <v>0.2</v>
      </c>
      <c r="CL50">
        <f t="shared" si="27"/>
        <v>0.2</v>
      </c>
      <c r="CM50">
        <f t="shared" si="27"/>
        <v>0.2</v>
      </c>
      <c r="CN50">
        <f t="shared" si="27"/>
        <v>0.2</v>
      </c>
      <c r="CO50">
        <f t="shared" si="27"/>
        <v>0.2</v>
      </c>
    </row>
    <row r="51" spans="1:93" x14ac:dyDescent="0.25">
      <c r="A51" t="s">
        <v>92</v>
      </c>
      <c r="B51" t="s">
        <v>100</v>
      </c>
      <c r="C51">
        <f t="shared" si="4"/>
        <v>0.2</v>
      </c>
      <c r="D51">
        <f t="shared" si="5"/>
        <v>0.2</v>
      </c>
      <c r="E51">
        <f t="shared" si="28"/>
        <v>0.2</v>
      </c>
      <c r="F51">
        <f t="shared" si="28"/>
        <v>0.2</v>
      </c>
      <c r="G51">
        <f t="shared" si="28"/>
        <v>0.2</v>
      </c>
      <c r="H51">
        <f t="shared" si="28"/>
        <v>0.2</v>
      </c>
      <c r="I51">
        <f t="shared" si="28"/>
        <v>0.2</v>
      </c>
      <c r="J51">
        <f t="shared" si="28"/>
        <v>0.2</v>
      </c>
      <c r="K51">
        <f t="shared" si="28"/>
        <v>0.2</v>
      </c>
      <c r="L51">
        <f t="shared" si="28"/>
        <v>0.2</v>
      </c>
      <c r="M51">
        <f t="shared" si="28"/>
        <v>0.2</v>
      </c>
      <c r="N51">
        <f t="shared" si="28"/>
        <v>0.2</v>
      </c>
      <c r="O51">
        <f t="shared" si="28"/>
        <v>0.2</v>
      </c>
      <c r="P51">
        <f t="shared" si="28"/>
        <v>0.2</v>
      </c>
      <c r="Q51">
        <f t="shared" si="28"/>
        <v>0.2</v>
      </c>
      <c r="R51">
        <f t="shared" si="28"/>
        <v>0.2</v>
      </c>
      <c r="S51">
        <f t="shared" si="28"/>
        <v>0.2</v>
      </c>
      <c r="T51">
        <f t="shared" si="28"/>
        <v>0.2</v>
      </c>
      <c r="U51">
        <f t="shared" si="28"/>
        <v>0.2</v>
      </c>
      <c r="V51">
        <f t="shared" si="28"/>
        <v>0.2</v>
      </c>
      <c r="W51">
        <f t="shared" si="28"/>
        <v>0.2</v>
      </c>
      <c r="X51">
        <f t="shared" si="28"/>
        <v>0.2</v>
      </c>
      <c r="Y51">
        <f t="shared" si="28"/>
        <v>0.2</v>
      </c>
      <c r="Z51">
        <f t="shared" si="28"/>
        <v>0.2</v>
      </c>
      <c r="AA51">
        <f t="shared" si="28"/>
        <v>0.2</v>
      </c>
      <c r="AB51">
        <f t="shared" si="28"/>
        <v>0.2</v>
      </c>
      <c r="AC51">
        <f t="shared" si="28"/>
        <v>0.2</v>
      </c>
      <c r="AD51">
        <f t="shared" si="28"/>
        <v>0.2</v>
      </c>
      <c r="AE51">
        <f t="shared" si="28"/>
        <v>0.2</v>
      </c>
      <c r="AF51">
        <f t="shared" si="28"/>
        <v>0.2</v>
      </c>
      <c r="AG51">
        <f t="shared" si="28"/>
        <v>0.2</v>
      </c>
      <c r="AH51">
        <f t="shared" si="28"/>
        <v>0.2</v>
      </c>
      <c r="AI51">
        <f t="shared" si="28"/>
        <v>0.2</v>
      </c>
      <c r="AJ51">
        <f t="shared" si="28"/>
        <v>0.2</v>
      </c>
      <c r="AK51">
        <f t="shared" si="28"/>
        <v>0.2</v>
      </c>
      <c r="AL51">
        <f t="shared" si="28"/>
        <v>0.2</v>
      </c>
      <c r="AM51">
        <f t="shared" si="28"/>
        <v>0.2</v>
      </c>
      <c r="AN51">
        <f t="shared" si="28"/>
        <v>0.2</v>
      </c>
      <c r="AO51">
        <f t="shared" si="28"/>
        <v>0.2</v>
      </c>
      <c r="AP51">
        <f t="shared" si="28"/>
        <v>0.2</v>
      </c>
      <c r="AQ51">
        <f t="shared" si="28"/>
        <v>0.2</v>
      </c>
      <c r="AR51">
        <f t="shared" si="28"/>
        <v>0.2</v>
      </c>
      <c r="AS51">
        <f t="shared" si="28"/>
        <v>0.2</v>
      </c>
      <c r="AT51">
        <f t="shared" si="28"/>
        <v>0.2</v>
      </c>
      <c r="AU51">
        <f t="shared" si="28"/>
        <v>0.2</v>
      </c>
      <c r="AV51">
        <f t="shared" si="28"/>
        <v>0.2</v>
      </c>
      <c r="AW51">
        <f t="shared" si="28"/>
        <v>0.2</v>
      </c>
      <c r="AX51">
        <f t="shared" si="28"/>
        <v>0.2</v>
      </c>
      <c r="AY51">
        <f t="shared" si="28"/>
        <v>0.2</v>
      </c>
      <c r="AZ51">
        <f t="shared" si="28"/>
        <v>0.2</v>
      </c>
      <c r="BA51">
        <f t="shared" si="28"/>
        <v>0.2</v>
      </c>
      <c r="BB51">
        <f t="shared" si="28"/>
        <v>0.2</v>
      </c>
      <c r="BC51">
        <f t="shared" si="28"/>
        <v>0.2</v>
      </c>
      <c r="BD51">
        <f t="shared" si="28"/>
        <v>0.2</v>
      </c>
      <c r="BE51">
        <f t="shared" si="28"/>
        <v>0.2</v>
      </c>
      <c r="BF51">
        <f t="shared" si="28"/>
        <v>0.2</v>
      </c>
      <c r="BG51">
        <f t="shared" si="28"/>
        <v>0.2</v>
      </c>
      <c r="BH51">
        <f t="shared" si="28"/>
        <v>0.2</v>
      </c>
      <c r="BI51">
        <f t="shared" si="28"/>
        <v>0.2</v>
      </c>
      <c r="BJ51">
        <f t="shared" si="28"/>
        <v>0.2</v>
      </c>
      <c r="BK51">
        <f t="shared" si="28"/>
        <v>0.2</v>
      </c>
      <c r="BL51">
        <f t="shared" si="28"/>
        <v>0.2</v>
      </c>
      <c r="BM51">
        <f t="shared" si="28"/>
        <v>0.2</v>
      </c>
      <c r="BN51">
        <f t="shared" si="28"/>
        <v>0.2</v>
      </c>
      <c r="BO51">
        <f t="shared" si="28"/>
        <v>0.2</v>
      </c>
      <c r="BP51">
        <f t="shared" ref="BP51:CO54" si="29">BO51</f>
        <v>0.2</v>
      </c>
      <c r="BQ51">
        <f t="shared" si="29"/>
        <v>0.2</v>
      </c>
      <c r="BR51">
        <f t="shared" si="29"/>
        <v>0.2</v>
      </c>
      <c r="BS51">
        <f t="shared" si="29"/>
        <v>0.2</v>
      </c>
      <c r="BT51">
        <f t="shared" si="29"/>
        <v>0.2</v>
      </c>
      <c r="BU51">
        <f t="shared" si="29"/>
        <v>0.2</v>
      </c>
      <c r="BV51">
        <f t="shared" si="29"/>
        <v>0.2</v>
      </c>
      <c r="BW51">
        <f t="shared" si="29"/>
        <v>0.2</v>
      </c>
      <c r="BX51">
        <f t="shared" si="29"/>
        <v>0.2</v>
      </c>
      <c r="BY51">
        <f t="shared" si="29"/>
        <v>0.2</v>
      </c>
      <c r="BZ51">
        <f t="shared" si="29"/>
        <v>0.2</v>
      </c>
      <c r="CA51">
        <f t="shared" si="29"/>
        <v>0.2</v>
      </c>
      <c r="CB51">
        <f t="shared" si="29"/>
        <v>0.2</v>
      </c>
      <c r="CC51">
        <f t="shared" si="29"/>
        <v>0.2</v>
      </c>
      <c r="CD51">
        <f t="shared" si="29"/>
        <v>0.2</v>
      </c>
      <c r="CE51">
        <f t="shared" si="29"/>
        <v>0.2</v>
      </c>
      <c r="CF51">
        <f t="shared" si="29"/>
        <v>0.2</v>
      </c>
      <c r="CG51">
        <f t="shared" si="29"/>
        <v>0.2</v>
      </c>
      <c r="CH51">
        <f t="shared" si="29"/>
        <v>0.2</v>
      </c>
      <c r="CI51">
        <f t="shared" si="29"/>
        <v>0.2</v>
      </c>
      <c r="CJ51">
        <f t="shared" si="29"/>
        <v>0.2</v>
      </c>
      <c r="CK51">
        <f t="shared" si="29"/>
        <v>0.2</v>
      </c>
      <c r="CL51">
        <f t="shared" si="29"/>
        <v>0.2</v>
      </c>
      <c r="CM51">
        <f t="shared" si="29"/>
        <v>0.2</v>
      </c>
      <c r="CN51">
        <f t="shared" si="29"/>
        <v>0.2</v>
      </c>
      <c r="CO51">
        <f t="shared" si="29"/>
        <v>0.2</v>
      </c>
    </row>
    <row r="52" spans="1:93" x14ac:dyDescent="0.25">
      <c r="A52" t="s">
        <v>94</v>
      </c>
      <c r="B52" t="s">
        <v>100</v>
      </c>
      <c r="C52">
        <f t="shared" si="4"/>
        <v>0.2</v>
      </c>
      <c r="D52">
        <f t="shared" si="5"/>
        <v>0.2</v>
      </c>
      <c r="E52">
        <f t="shared" ref="E52:BP55" si="30">D52</f>
        <v>0.2</v>
      </c>
      <c r="F52">
        <f t="shared" si="30"/>
        <v>0.2</v>
      </c>
      <c r="G52">
        <f t="shared" si="30"/>
        <v>0.2</v>
      </c>
      <c r="H52">
        <f t="shared" si="30"/>
        <v>0.2</v>
      </c>
      <c r="I52">
        <f t="shared" si="30"/>
        <v>0.2</v>
      </c>
      <c r="J52">
        <f t="shared" si="30"/>
        <v>0.2</v>
      </c>
      <c r="K52">
        <f t="shared" si="30"/>
        <v>0.2</v>
      </c>
      <c r="L52">
        <f t="shared" si="30"/>
        <v>0.2</v>
      </c>
      <c r="M52">
        <f t="shared" si="30"/>
        <v>0.2</v>
      </c>
      <c r="N52">
        <f t="shared" si="30"/>
        <v>0.2</v>
      </c>
      <c r="O52">
        <f t="shared" si="30"/>
        <v>0.2</v>
      </c>
      <c r="P52">
        <f t="shared" si="30"/>
        <v>0.2</v>
      </c>
      <c r="Q52">
        <f t="shared" si="30"/>
        <v>0.2</v>
      </c>
      <c r="R52">
        <f t="shared" si="30"/>
        <v>0.2</v>
      </c>
      <c r="S52">
        <f t="shared" si="30"/>
        <v>0.2</v>
      </c>
      <c r="T52">
        <f t="shared" si="30"/>
        <v>0.2</v>
      </c>
      <c r="U52">
        <f t="shared" si="30"/>
        <v>0.2</v>
      </c>
      <c r="V52">
        <f t="shared" si="30"/>
        <v>0.2</v>
      </c>
      <c r="W52">
        <f t="shared" si="30"/>
        <v>0.2</v>
      </c>
      <c r="X52">
        <f t="shared" si="30"/>
        <v>0.2</v>
      </c>
      <c r="Y52">
        <f t="shared" si="30"/>
        <v>0.2</v>
      </c>
      <c r="Z52">
        <f t="shared" si="30"/>
        <v>0.2</v>
      </c>
      <c r="AA52">
        <f t="shared" si="30"/>
        <v>0.2</v>
      </c>
      <c r="AB52">
        <f t="shared" si="30"/>
        <v>0.2</v>
      </c>
      <c r="AC52">
        <f t="shared" si="30"/>
        <v>0.2</v>
      </c>
      <c r="AD52">
        <f t="shared" si="30"/>
        <v>0.2</v>
      </c>
      <c r="AE52">
        <f t="shared" si="30"/>
        <v>0.2</v>
      </c>
      <c r="AF52">
        <f t="shared" si="30"/>
        <v>0.2</v>
      </c>
      <c r="AG52">
        <f t="shared" si="30"/>
        <v>0.2</v>
      </c>
      <c r="AH52">
        <f t="shared" si="30"/>
        <v>0.2</v>
      </c>
      <c r="AI52">
        <f t="shared" si="30"/>
        <v>0.2</v>
      </c>
      <c r="AJ52">
        <f t="shared" si="30"/>
        <v>0.2</v>
      </c>
      <c r="AK52">
        <f t="shared" si="30"/>
        <v>0.2</v>
      </c>
      <c r="AL52">
        <f t="shared" si="30"/>
        <v>0.2</v>
      </c>
      <c r="AM52">
        <f t="shared" si="30"/>
        <v>0.2</v>
      </c>
      <c r="AN52">
        <f t="shared" si="30"/>
        <v>0.2</v>
      </c>
      <c r="AO52">
        <f t="shared" si="30"/>
        <v>0.2</v>
      </c>
      <c r="AP52">
        <f t="shared" si="30"/>
        <v>0.2</v>
      </c>
      <c r="AQ52">
        <f t="shared" si="30"/>
        <v>0.2</v>
      </c>
      <c r="AR52">
        <f t="shared" si="30"/>
        <v>0.2</v>
      </c>
      <c r="AS52">
        <f t="shared" si="30"/>
        <v>0.2</v>
      </c>
      <c r="AT52">
        <f t="shared" si="30"/>
        <v>0.2</v>
      </c>
      <c r="AU52">
        <f t="shared" si="30"/>
        <v>0.2</v>
      </c>
      <c r="AV52">
        <f t="shared" si="30"/>
        <v>0.2</v>
      </c>
      <c r="AW52">
        <f t="shared" si="30"/>
        <v>0.2</v>
      </c>
      <c r="AX52">
        <f t="shared" si="30"/>
        <v>0.2</v>
      </c>
      <c r="AY52">
        <f t="shared" si="30"/>
        <v>0.2</v>
      </c>
      <c r="AZ52">
        <f t="shared" si="30"/>
        <v>0.2</v>
      </c>
      <c r="BA52">
        <f t="shared" si="30"/>
        <v>0.2</v>
      </c>
      <c r="BB52">
        <f t="shared" si="30"/>
        <v>0.2</v>
      </c>
      <c r="BC52">
        <f t="shared" si="30"/>
        <v>0.2</v>
      </c>
      <c r="BD52">
        <f t="shared" si="30"/>
        <v>0.2</v>
      </c>
      <c r="BE52">
        <f t="shared" si="30"/>
        <v>0.2</v>
      </c>
      <c r="BF52">
        <f t="shared" si="30"/>
        <v>0.2</v>
      </c>
      <c r="BG52">
        <f t="shared" si="30"/>
        <v>0.2</v>
      </c>
      <c r="BH52">
        <f t="shared" si="30"/>
        <v>0.2</v>
      </c>
      <c r="BI52">
        <f t="shared" si="30"/>
        <v>0.2</v>
      </c>
      <c r="BJ52">
        <f t="shared" si="30"/>
        <v>0.2</v>
      </c>
      <c r="BK52">
        <f t="shared" si="30"/>
        <v>0.2</v>
      </c>
      <c r="BL52">
        <f t="shared" si="30"/>
        <v>0.2</v>
      </c>
      <c r="BM52">
        <f t="shared" si="30"/>
        <v>0.2</v>
      </c>
      <c r="BN52">
        <f t="shared" si="30"/>
        <v>0.2</v>
      </c>
      <c r="BO52">
        <f t="shared" si="30"/>
        <v>0.2</v>
      </c>
      <c r="BP52">
        <f t="shared" si="30"/>
        <v>0.2</v>
      </c>
      <c r="BQ52">
        <f t="shared" si="29"/>
        <v>0.2</v>
      </c>
      <c r="BR52">
        <f t="shared" si="29"/>
        <v>0.2</v>
      </c>
      <c r="BS52">
        <f t="shared" si="29"/>
        <v>0.2</v>
      </c>
      <c r="BT52">
        <f t="shared" si="29"/>
        <v>0.2</v>
      </c>
      <c r="BU52">
        <f t="shared" si="29"/>
        <v>0.2</v>
      </c>
      <c r="BV52">
        <f t="shared" si="29"/>
        <v>0.2</v>
      </c>
      <c r="BW52">
        <f t="shared" si="29"/>
        <v>0.2</v>
      </c>
      <c r="BX52">
        <f t="shared" si="29"/>
        <v>0.2</v>
      </c>
      <c r="BY52">
        <f t="shared" si="29"/>
        <v>0.2</v>
      </c>
      <c r="BZ52">
        <f t="shared" si="29"/>
        <v>0.2</v>
      </c>
      <c r="CA52">
        <f t="shared" si="29"/>
        <v>0.2</v>
      </c>
      <c r="CB52">
        <f t="shared" si="29"/>
        <v>0.2</v>
      </c>
      <c r="CC52">
        <f t="shared" si="29"/>
        <v>0.2</v>
      </c>
      <c r="CD52">
        <f t="shared" si="29"/>
        <v>0.2</v>
      </c>
      <c r="CE52">
        <f t="shared" si="29"/>
        <v>0.2</v>
      </c>
      <c r="CF52">
        <f t="shared" si="29"/>
        <v>0.2</v>
      </c>
      <c r="CG52">
        <f t="shared" si="29"/>
        <v>0.2</v>
      </c>
      <c r="CH52">
        <f t="shared" si="29"/>
        <v>0.2</v>
      </c>
      <c r="CI52">
        <f t="shared" si="29"/>
        <v>0.2</v>
      </c>
      <c r="CJ52">
        <f t="shared" si="29"/>
        <v>0.2</v>
      </c>
      <c r="CK52">
        <f t="shared" si="29"/>
        <v>0.2</v>
      </c>
      <c r="CL52">
        <f t="shared" si="29"/>
        <v>0.2</v>
      </c>
      <c r="CM52">
        <f t="shared" si="29"/>
        <v>0.2</v>
      </c>
      <c r="CN52">
        <f t="shared" si="29"/>
        <v>0.2</v>
      </c>
      <c r="CO52">
        <f t="shared" si="29"/>
        <v>0.2</v>
      </c>
    </row>
    <row r="53" spans="1:93" x14ac:dyDescent="0.25">
      <c r="A53" t="s">
        <v>44</v>
      </c>
      <c r="B53" t="s">
        <v>10</v>
      </c>
      <c r="C53">
        <f t="shared" si="4"/>
        <v>1</v>
      </c>
      <c r="D53">
        <f t="shared" si="5"/>
        <v>1</v>
      </c>
      <c r="E53">
        <f t="shared" si="30"/>
        <v>1</v>
      </c>
      <c r="F53">
        <f t="shared" si="30"/>
        <v>1</v>
      </c>
      <c r="G53">
        <f t="shared" si="30"/>
        <v>1</v>
      </c>
      <c r="H53">
        <f t="shared" si="30"/>
        <v>1</v>
      </c>
      <c r="I53">
        <f t="shared" si="30"/>
        <v>1</v>
      </c>
      <c r="J53">
        <f t="shared" si="30"/>
        <v>1</v>
      </c>
      <c r="K53">
        <f t="shared" si="30"/>
        <v>1</v>
      </c>
      <c r="L53">
        <f t="shared" si="30"/>
        <v>1</v>
      </c>
      <c r="M53">
        <f t="shared" si="30"/>
        <v>1</v>
      </c>
      <c r="N53">
        <f t="shared" si="30"/>
        <v>1</v>
      </c>
      <c r="O53">
        <f t="shared" si="30"/>
        <v>1</v>
      </c>
      <c r="P53">
        <f t="shared" si="30"/>
        <v>1</v>
      </c>
      <c r="Q53">
        <f t="shared" si="30"/>
        <v>1</v>
      </c>
      <c r="R53">
        <f t="shared" si="30"/>
        <v>1</v>
      </c>
      <c r="S53">
        <f t="shared" si="30"/>
        <v>1</v>
      </c>
      <c r="T53">
        <f t="shared" si="30"/>
        <v>1</v>
      </c>
      <c r="U53">
        <f t="shared" si="30"/>
        <v>1</v>
      </c>
      <c r="V53">
        <f t="shared" si="30"/>
        <v>1</v>
      </c>
      <c r="W53">
        <f t="shared" si="30"/>
        <v>1</v>
      </c>
      <c r="X53">
        <f t="shared" si="30"/>
        <v>1</v>
      </c>
      <c r="Y53">
        <f t="shared" si="30"/>
        <v>1</v>
      </c>
      <c r="Z53">
        <f t="shared" si="30"/>
        <v>1</v>
      </c>
      <c r="AA53">
        <f t="shared" si="30"/>
        <v>1</v>
      </c>
      <c r="AB53">
        <f t="shared" si="30"/>
        <v>1</v>
      </c>
      <c r="AC53">
        <f t="shared" si="30"/>
        <v>1</v>
      </c>
      <c r="AD53">
        <f t="shared" si="30"/>
        <v>1</v>
      </c>
      <c r="AE53">
        <f t="shared" si="30"/>
        <v>1</v>
      </c>
      <c r="AF53">
        <f t="shared" si="30"/>
        <v>1</v>
      </c>
      <c r="AG53">
        <f t="shared" si="30"/>
        <v>1</v>
      </c>
      <c r="AH53">
        <f t="shared" si="30"/>
        <v>1</v>
      </c>
      <c r="AI53">
        <f t="shared" si="30"/>
        <v>1</v>
      </c>
      <c r="AJ53">
        <f t="shared" si="30"/>
        <v>1</v>
      </c>
      <c r="AK53">
        <f t="shared" si="30"/>
        <v>1</v>
      </c>
      <c r="AL53">
        <f t="shared" si="30"/>
        <v>1</v>
      </c>
      <c r="AM53">
        <f t="shared" si="30"/>
        <v>1</v>
      </c>
      <c r="AN53">
        <f t="shared" si="30"/>
        <v>1</v>
      </c>
      <c r="AO53">
        <f t="shared" si="30"/>
        <v>1</v>
      </c>
      <c r="AP53">
        <f t="shared" si="30"/>
        <v>1</v>
      </c>
      <c r="AQ53">
        <f t="shared" si="30"/>
        <v>1</v>
      </c>
      <c r="AR53">
        <f t="shared" si="30"/>
        <v>1</v>
      </c>
      <c r="AS53">
        <f t="shared" si="30"/>
        <v>1</v>
      </c>
      <c r="AT53">
        <f t="shared" si="30"/>
        <v>1</v>
      </c>
      <c r="AU53">
        <f t="shared" si="30"/>
        <v>1</v>
      </c>
      <c r="AV53">
        <f t="shared" si="30"/>
        <v>1</v>
      </c>
      <c r="AW53">
        <f t="shared" si="30"/>
        <v>1</v>
      </c>
      <c r="AX53">
        <f t="shared" si="30"/>
        <v>1</v>
      </c>
      <c r="AY53">
        <f t="shared" si="30"/>
        <v>1</v>
      </c>
      <c r="AZ53">
        <f t="shared" si="30"/>
        <v>1</v>
      </c>
      <c r="BA53">
        <f t="shared" si="30"/>
        <v>1</v>
      </c>
      <c r="BB53">
        <f t="shared" si="30"/>
        <v>1</v>
      </c>
      <c r="BC53">
        <f t="shared" si="30"/>
        <v>1</v>
      </c>
      <c r="BD53">
        <f t="shared" si="30"/>
        <v>1</v>
      </c>
      <c r="BE53">
        <f t="shared" si="30"/>
        <v>1</v>
      </c>
      <c r="BF53">
        <f t="shared" si="30"/>
        <v>1</v>
      </c>
      <c r="BG53">
        <f t="shared" si="30"/>
        <v>1</v>
      </c>
      <c r="BH53">
        <f t="shared" si="30"/>
        <v>1</v>
      </c>
      <c r="BI53">
        <f t="shared" si="30"/>
        <v>1</v>
      </c>
      <c r="BJ53">
        <f t="shared" si="30"/>
        <v>1</v>
      </c>
      <c r="BK53">
        <f t="shared" si="30"/>
        <v>1</v>
      </c>
      <c r="BL53">
        <f t="shared" si="30"/>
        <v>1</v>
      </c>
      <c r="BM53">
        <f t="shared" si="30"/>
        <v>1</v>
      </c>
      <c r="BN53">
        <f t="shared" si="30"/>
        <v>1</v>
      </c>
      <c r="BO53">
        <f t="shared" si="30"/>
        <v>1</v>
      </c>
      <c r="BP53">
        <f t="shared" si="30"/>
        <v>1</v>
      </c>
      <c r="BQ53">
        <f t="shared" si="29"/>
        <v>1</v>
      </c>
      <c r="BR53">
        <f t="shared" si="29"/>
        <v>1</v>
      </c>
      <c r="BS53">
        <f t="shared" si="29"/>
        <v>1</v>
      </c>
      <c r="BT53">
        <f t="shared" si="29"/>
        <v>1</v>
      </c>
      <c r="BU53">
        <f t="shared" si="29"/>
        <v>1</v>
      </c>
      <c r="BV53">
        <f t="shared" si="29"/>
        <v>1</v>
      </c>
      <c r="BW53">
        <f t="shared" si="29"/>
        <v>1</v>
      </c>
      <c r="BX53">
        <f t="shared" si="29"/>
        <v>1</v>
      </c>
      <c r="BY53">
        <f t="shared" si="29"/>
        <v>1</v>
      </c>
      <c r="BZ53">
        <f t="shared" si="29"/>
        <v>1</v>
      </c>
      <c r="CA53">
        <f t="shared" si="29"/>
        <v>1</v>
      </c>
      <c r="CB53">
        <f t="shared" si="29"/>
        <v>1</v>
      </c>
      <c r="CC53">
        <f t="shared" si="29"/>
        <v>1</v>
      </c>
      <c r="CD53">
        <f t="shared" si="29"/>
        <v>1</v>
      </c>
      <c r="CE53">
        <f t="shared" si="29"/>
        <v>1</v>
      </c>
      <c r="CF53">
        <f t="shared" si="29"/>
        <v>1</v>
      </c>
      <c r="CG53">
        <f t="shared" si="29"/>
        <v>1</v>
      </c>
      <c r="CH53">
        <f t="shared" si="29"/>
        <v>1</v>
      </c>
      <c r="CI53">
        <f t="shared" si="29"/>
        <v>1</v>
      </c>
      <c r="CJ53">
        <f t="shared" si="29"/>
        <v>1</v>
      </c>
      <c r="CK53">
        <f t="shared" si="29"/>
        <v>1</v>
      </c>
      <c r="CL53">
        <f t="shared" si="29"/>
        <v>1</v>
      </c>
      <c r="CM53">
        <f t="shared" si="29"/>
        <v>1</v>
      </c>
      <c r="CN53">
        <f t="shared" si="29"/>
        <v>1</v>
      </c>
      <c r="CO53">
        <f t="shared" si="29"/>
        <v>1</v>
      </c>
    </row>
    <row r="54" spans="1:93" x14ac:dyDescent="0.25">
      <c r="A54" t="s">
        <v>66</v>
      </c>
      <c r="B54" t="s">
        <v>97</v>
      </c>
      <c r="C54">
        <f t="shared" si="4"/>
        <v>0.33333333333333331</v>
      </c>
      <c r="D54">
        <f t="shared" si="5"/>
        <v>0.33333333333333331</v>
      </c>
      <c r="E54">
        <f t="shared" si="30"/>
        <v>0.33333333333333331</v>
      </c>
      <c r="F54">
        <f t="shared" si="30"/>
        <v>0.33333333333333331</v>
      </c>
      <c r="G54">
        <f t="shared" si="30"/>
        <v>0.33333333333333331</v>
      </c>
      <c r="H54">
        <f t="shared" si="30"/>
        <v>0.33333333333333331</v>
      </c>
      <c r="I54">
        <f t="shared" si="30"/>
        <v>0.33333333333333331</v>
      </c>
      <c r="J54">
        <f t="shared" si="30"/>
        <v>0.33333333333333331</v>
      </c>
      <c r="K54">
        <f t="shared" si="30"/>
        <v>0.33333333333333331</v>
      </c>
      <c r="L54">
        <f t="shared" si="30"/>
        <v>0.33333333333333331</v>
      </c>
      <c r="M54">
        <f t="shared" si="30"/>
        <v>0.33333333333333331</v>
      </c>
      <c r="N54">
        <f t="shared" si="30"/>
        <v>0.33333333333333331</v>
      </c>
      <c r="O54">
        <f t="shared" si="30"/>
        <v>0.33333333333333331</v>
      </c>
      <c r="P54">
        <f t="shared" si="30"/>
        <v>0.33333333333333331</v>
      </c>
      <c r="Q54">
        <f t="shared" si="30"/>
        <v>0.33333333333333331</v>
      </c>
      <c r="R54">
        <f t="shared" si="30"/>
        <v>0.33333333333333331</v>
      </c>
      <c r="S54">
        <f t="shared" si="30"/>
        <v>0.33333333333333331</v>
      </c>
      <c r="T54">
        <f t="shared" si="30"/>
        <v>0.33333333333333331</v>
      </c>
      <c r="U54">
        <f t="shared" si="30"/>
        <v>0.33333333333333331</v>
      </c>
      <c r="V54">
        <f t="shared" si="30"/>
        <v>0.33333333333333331</v>
      </c>
      <c r="W54">
        <f t="shared" si="30"/>
        <v>0.33333333333333331</v>
      </c>
      <c r="X54">
        <f t="shared" si="30"/>
        <v>0.33333333333333331</v>
      </c>
      <c r="Y54">
        <f t="shared" si="30"/>
        <v>0.33333333333333331</v>
      </c>
      <c r="Z54">
        <f t="shared" si="30"/>
        <v>0.33333333333333331</v>
      </c>
      <c r="AA54">
        <f t="shared" si="30"/>
        <v>0.33333333333333331</v>
      </c>
      <c r="AB54">
        <f t="shared" si="30"/>
        <v>0.33333333333333331</v>
      </c>
      <c r="AC54">
        <f t="shared" si="30"/>
        <v>0.33333333333333331</v>
      </c>
      <c r="AD54">
        <f t="shared" si="30"/>
        <v>0.33333333333333331</v>
      </c>
      <c r="AE54">
        <f t="shared" si="30"/>
        <v>0.33333333333333331</v>
      </c>
      <c r="AF54">
        <f t="shared" si="30"/>
        <v>0.33333333333333331</v>
      </c>
      <c r="AG54">
        <f t="shared" si="30"/>
        <v>0.33333333333333331</v>
      </c>
      <c r="AH54">
        <f t="shared" si="30"/>
        <v>0.33333333333333331</v>
      </c>
      <c r="AI54">
        <f t="shared" si="30"/>
        <v>0.33333333333333331</v>
      </c>
      <c r="AJ54">
        <f t="shared" si="30"/>
        <v>0.33333333333333331</v>
      </c>
      <c r="AK54">
        <f t="shared" si="30"/>
        <v>0.33333333333333331</v>
      </c>
      <c r="AL54">
        <f t="shared" si="30"/>
        <v>0.33333333333333331</v>
      </c>
      <c r="AM54">
        <f t="shared" si="30"/>
        <v>0.33333333333333331</v>
      </c>
      <c r="AN54">
        <f t="shared" si="30"/>
        <v>0.33333333333333331</v>
      </c>
      <c r="AO54">
        <f t="shared" si="30"/>
        <v>0.33333333333333331</v>
      </c>
      <c r="AP54">
        <f t="shared" si="30"/>
        <v>0.33333333333333331</v>
      </c>
      <c r="AQ54">
        <f t="shared" si="30"/>
        <v>0.33333333333333331</v>
      </c>
      <c r="AR54">
        <f t="shared" si="30"/>
        <v>0.33333333333333331</v>
      </c>
      <c r="AS54">
        <f t="shared" si="30"/>
        <v>0.33333333333333331</v>
      </c>
      <c r="AT54">
        <f t="shared" si="30"/>
        <v>0.33333333333333331</v>
      </c>
      <c r="AU54">
        <f t="shared" si="30"/>
        <v>0.33333333333333331</v>
      </c>
      <c r="AV54">
        <f t="shared" si="30"/>
        <v>0.33333333333333331</v>
      </c>
      <c r="AW54">
        <f t="shared" si="30"/>
        <v>0.33333333333333331</v>
      </c>
      <c r="AX54">
        <f t="shared" si="30"/>
        <v>0.33333333333333331</v>
      </c>
      <c r="AY54">
        <f t="shared" si="30"/>
        <v>0.33333333333333331</v>
      </c>
      <c r="AZ54">
        <f t="shared" si="30"/>
        <v>0.33333333333333331</v>
      </c>
      <c r="BA54">
        <f t="shared" si="30"/>
        <v>0.33333333333333331</v>
      </c>
      <c r="BB54">
        <f t="shared" si="30"/>
        <v>0.33333333333333331</v>
      </c>
      <c r="BC54">
        <f t="shared" si="30"/>
        <v>0.33333333333333331</v>
      </c>
      <c r="BD54">
        <f t="shared" si="30"/>
        <v>0.33333333333333331</v>
      </c>
      <c r="BE54">
        <f t="shared" si="30"/>
        <v>0.33333333333333331</v>
      </c>
      <c r="BF54">
        <f t="shared" si="30"/>
        <v>0.33333333333333331</v>
      </c>
      <c r="BG54">
        <f t="shared" si="30"/>
        <v>0.33333333333333331</v>
      </c>
      <c r="BH54">
        <f t="shared" si="30"/>
        <v>0.33333333333333331</v>
      </c>
      <c r="BI54">
        <f t="shared" si="30"/>
        <v>0.33333333333333331</v>
      </c>
      <c r="BJ54">
        <f t="shared" si="30"/>
        <v>0.33333333333333331</v>
      </c>
      <c r="BK54">
        <f t="shared" si="30"/>
        <v>0.33333333333333331</v>
      </c>
      <c r="BL54">
        <f t="shared" si="30"/>
        <v>0.33333333333333331</v>
      </c>
      <c r="BM54">
        <f t="shared" si="30"/>
        <v>0.33333333333333331</v>
      </c>
      <c r="BN54">
        <f t="shared" si="30"/>
        <v>0.33333333333333331</v>
      </c>
      <c r="BO54">
        <f t="shared" si="30"/>
        <v>0.33333333333333331</v>
      </c>
      <c r="BP54">
        <f t="shared" si="30"/>
        <v>0.33333333333333331</v>
      </c>
      <c r="BQ54">
        <f t="shared" si="29"/>
        <v>0.33333333333333331</v>
      </c>
      <c r="BR54">
        <f t="shared" si="29"/>
        <v>0.33333333333333331</v>
      </c>
      <c r="BS54">
        <f t="shared" si="29"/>
        <v>0.33333333333333331</v>
      </c>
      <c r="BT54">
        <f t="shared" si="29"/>
        <v>0.33333333333333331</v>
      </c>
      <c r="BU54">
        <f t="shared" si="29"/>
        <v>0.33333333333333331</v>
      </c>
      <c r="BV54">
        <f t="shared" si="29"/>
        <v>0.33333333333333331</v>
      </c>
      <c r="BW54">
        <f t="shared" si="29"/>
        <v>0.33333333333333331</v>
      </c>
      <c r="BX54">
        <f t="shared" si="29"/>
        <v>0.33333333333333331</v>
      </c>
      <c r="BY54">
        <f t="shared" si="29"/>
        <v>0.33333333333333331</v>
      </c>
      <c r="BZ54">
        <f t="shared" si="29"/>
        <v>0.33333333333333331</v>
      </c>
      <c r="CA54">
        <f t="shared" si="29"/>
        <v>0.33333333333333331</v>
      </c>
      <c r="CB54">
        <f t="shared" si="29"/>
        <v>0.33333333333333331</v>
      </c>
      <c r="CC54">
        <f t="shared" si="29"/>
        <v>0.33333333333333331</v>
      </c>
      <c r="CD54">
        <f t="shared" si="29"/>
        <v>0.33333333333333331</v>
      </c>
      <c r="CE54">
        <f t="shared" si="29"/>
        <v>0.33333333333333331</v>
      </c>
      <c r="CF54">
        <f t="shared" si="29"/>
        <v>0.33333333333333331</v>
      </c>
      <c r="CG54">
        <f t="shared" si="29"/>
        <v>0.33333333333333331</v>
      </c>
      <c r="CH54">
        <f t="shared" si="29"/>
        <v>0.33333333333333331</v>
      </c>
      <c r="CI54">
        <f t="shared" si="29"/>
        <v>0.33333333333333331</v>
      </c>
      <c r="CJ54">
        <f t="shared" si="29"/>
        <v>0.33333333333333331</v>
      </c>
      <c r="CK54">
        <f t="shared" si="29"/>
        <v>0.33333333333333331</v>
      </c>
      <c r="CL54">
        <f t="shared" si="29"/>
        <v>0.33333333333333331</v>
      </c>
      <c r="CM54">
        <f t="shared" si="29"/>
        <v>0.33333333333333331</v>
      </c>
      <c r="CN54">
        <f t="shared" si="29"/>
        <v>0.33333333333333331</v>
      </c>
      <c r="CO54">
        <f t="shared" si="29"/>
        <v>0.33333333333333331</v>
      </c>
    </row>
    <row r="55" spans="1:93" x14ac:dyDescent="0.25">
      <c r="A55" t="s">
        <v>67</v>
      </c>
      <c r="B55" t="s">
        <v>97</v>
      </c>
      <c r="C55">
        <f t="shared" si="4"/>
        <v>0.33333333333333331</v>
      </c>
      <c r="D55">
        <f t="shared" si="5"/>
        <v>0.33333333333333331</v>
      </c>
      <c r="E55">
        <f t="shared" si="30"/>
        <v>0.33333333333333331</v>
      </c>
      <c r="F55">
        <f t="shared" si="30"/>
        <v>0.33333333333333331</v>
      </c>
      <c r="G55">
        <f t="shared" si="30"/>
        <v>0.33333333333333331</v>
      </c>
      <c r="H55">
        <f t="shared" si="30"/>
        <v>0.33333333333333331</v>
      </c>
      <c r="I55">
        <f t="shared" si="30"/>
        <v>0.33333333333333331</v>
      </c>
      <c r="J55">
        <f t="shared" si="30"/>
        <v>0.33333333333333331</v>
      </c>
      <c r="K55">
        <f t="shared" si="30"/>
        <v>0.33333333333333331</v>
      </c>
      <c r="L55">
        <f t="shared" si="30"/>
        <v>0.33333333333333331</v>
      </c>
      <c r="M55">
        <f t="shared" si="30"/>
        <v>0.33333333333333331</v>
      </c>
      <c r="N55">
        <f t="shared" si="30"/>
        <v>0.33333333333333331</v>
      </c>
      <c r="O55">
        <f t="shared" si="30"/>
        <v>0.33333333333333331</v>
      </c>
      <c r="P55">
        <f t="shared" si="30"/>
        <v>0.33333333333333331</v>
      </c>
      <c r="Q55">
        <f t="shared" si="30"/>
        <v>0.33333333333333331</v>
      </c>
      <c r="R55">
        <f t="shared" si="30"/>
        <v>0.33333333333333331</v>
      </c>
      <c r="S55">
        <f t="shared" si="30"/>
        <v>0.33333333333333331</v>
      </c>
      <c r="T55">
        <f t="shared" si="30"/>
        <v>0.33333333333333331</v>
      </c>
      <c r="U55">
        <f t="shared" si="30"/>
        <v>0.33333333333333331</v>
      </c>
      <c r="V55">
        <f t="shared" si="30"/>
        <v>0.33333333333333331</v>
      </c>
      <c r="W55">
        <f t="shared" si="30"/>
        <v>0.33333333333333331</v>
      </c>
      <c r="X55">
        <f t="shared" si="30"/>
        <v>0.33333333333333331</v>
      </c>
      <c r="Y55">
        <f t="shared" si="30"/>
        <v>0.33333333333333331</v>
      </c>
      <c r="Z55">
        <f t="shared" si="30"/>
        <v>0.33333333333333331</v>
      </c>
      <c r="AA55">
        <f t="shared" si="30"/>
        <v>0.33333333333333331</v>
      </c>
      <c r="AB55">
        <f t="shared" si="30"/>
        <v>0.33333333333333331</v>
      </c>
      <c r="AC55">
        <f t="shared" si="30"/>
        <v>0.33333333333333331</v>
      </c>
      <c r="AD55">
        <f t="shared" si="30"/>
        <v>0.33333333333333331</v>
      </c>
      <c r="AE55">
        <f t="shared" si="30"/>
        <v>0.33333333333333331</v>
      </c>
      <c r="AF55">
        <f t="shared" si="30"/>
        <v>0.33333333333333331</v>
      </c>
      <c r="AG55">
        <f t="shared" si="30"/>
        <v>0.33333333333333331</v>
      </c>
      <c r="AH55">
        <f t="shared" si="30"/>
        <v>0.33333333333333331</v>
      </c>
      <c r="AI55">
        <f t="shared" si="30"/>
        <v>0.33333333333333331</v>
      </c>
      <c r="AJ55">
        <f t="shared" si="30"/>
        <v>0.33333333333333331</v>
      </c>
      <c r="AK55">
        <f t="shared" si="30"/>
        <v>0.33333333333333331</v>
      </c>
      <c r="AL55">
        <f t="shared" si="30"/>
        <v>0.33333333333333331</v>
      </c>
      <c r="AM55">
        <f t="shared" si="30"/>
        <v>0.33333333333333331</v>
      </c>
      <c r="AN55">
        <f t="shared" si="30"/>
        <v>0.33333333333333331</v>
      </c>
      <c r="AO55">
        <f t="shared" si="30"/>
        <v>0.33333333333333331</v>
      </c>
      <c r="AP55">
        <f t="shared" si="30"/>
        <v>0.33333333333333331</v>
      </c>
      <c r="AQ55">
        <f t="shared" si="30"/>
        <v>0.33333333333333331</v>
      </c>
      <c r="AR55">
        <f t="shared" si="30"/>
        <v>0.33333333333333331</v>
      </c>
      <c r="AS55">
        <f t="shared" si="30"/>
        <v>0.33333333333333331</v>
      </c>
      <c r="AT55">
        <f t="shared" si="30"/>
        <v>0.33333333333333331</v>
      </c>
      <c r="AU55">
        <f t="shared" si="30"/>
        <v>0.33333333333333331</v>
      </c>
      <c r="AV55">
        <f t="shared" si="30"/>
        <v>0.33333333333333331</v>
      </c>
      <c r="AW55">
        <f t="shared" si="30"/>
        <v>0.33333333333333331</v>
      </c>
      <c r="AX55">
        <f t="shared" si="30"/>
        <v>0.33333333333333331</v>
      </c>
      <c r="AY55">
        <f t="shared" si="30"/>
        <v>0.33333333333333331</v>
      </c>
      <c r="AZ55">
        <f t="shared" si="30"/>
        <v>0.33333333333333331</v>
      </c>
      <c r="BA55">
        <f t="shared" si="30"/>
        <v>0.33333333333333331</v>
      </c>
      <c r="BB55">
        <f t="shared" si="30"/>
        <v>0.33333333333333331</v>
      </c>
      <c r="BC55">
        <f t="shared" si="30"/>
        <v>0.33333333333333331</v>
      </c>
      <c r="BD55">
        <f t="shared" si="30"/>
        <v>0.33333333333333331</v>
      </c>
      <c r="BE55">
        <f t="shared" si="30"/>
        <v>0.33333333333333331</v>
      </c>
      <c r="BF55">
        <f t="shared" si="30"/>
        <v>0.33333333333333331</v>
      </c>
      <c r="BG55">
        <f t="shared" si="30"/>
        <v>0.33333333333333331</v>
      </c>
      <c r="BH55">
        <f t="shared" si="30"/>
        <v>0.33333333333333331</v>
      </c>
      <c r="BI55">
        <f t="shared" si="30"/>
        <v>0.33333333333333331</v>
      </c>
      <c r="BJ55">
        <f t="shared" si="30"/>
        <v>0.33333333333333331</v>
      </c>
      <c r="BK55">
        <f t="shared" si="30"/>
        <v>0.33333333333333331</v>
      </c>
      <c r="BL55">
        <f t="shared" si="30"/>
        <v>0.33333333333333331</v>
      </c>
      <c r="BM55">
        <f t="shared" si="30"/>
        <v>0.33333333333333331</v>
      </c>
      <c r="BN55">
        <f t="shared" si="30"/>
        <v>0.33333333333333331</v>
      </c>
      <c r="BO55">
        <f t="shared" si="30"/>
        <v>0.33333333333333331</v>
      </c>
      <c r="BP55">
        <f t="shared" ref="BP55:CO58" si="31">BO55</f>
        <v>0.33333333333333331</v>
      </c>
      <c r="BQ55">
        <f t="shared" si="31"/>
        <v>0.33333333333333331</v>
      </c>
      <c r="BR55">
        <f t="shared" si="31"/>
        <v>0.33333333333333331</v>
      </c>
      <c r="BS55">
        <f t="shared" si="31"/>
        <v>0.33333333333333331</v>
      </c>
      <c r="BT55">
        <f t="shared" si="31"/>
        <v>0.33333333333333331</v>
      </c>
      <c r="BU55">
        <f t="shared" si="31"/>
        <v>0.33333333333333331</v>
      </c>
      <c r="BV55">
        <f t="shared" si="31"/>
        <v>0.33333333333333331</v>
      </c>
      <c r="BW55">
        <f t="shared" si="31"/>
        <v>0.33333333333333331</v>
      </c>
      <c r="BX55">
        <f t="shared" si="31"/>
        <v>0.33333333333333331</v>
      </c>
      <c r="BY55">
        <f t="shared" si="31"/>
        <v>0.33333333333333331</v>
      </c>
      <c r="BZ55">
        <f t="shared" si="31"/>
        <v>0.33333333333333331</v>
      </c>
      <c r="CA55">
        <f t="shared" si="31"/>
        <v>0.33333333333333331</v>
      </c>
      <c r="CB55">
        <f t="shared" si="31"/>
        <v>0.33333333333333331</v>
      </c>
      <c r="CC55">
        <f t="shared" si="31"/>
        <v>0.33333333333333331</v>
      </c>
      <c r="CD55">
        <f t="shared" si="31"/>
        <v>0.33333333333333331</v>
      </c>
      <c r="CE55">
        <f t="shared" si="31"/>
        <v>0.33333333333333331</v>
      </c>
      <c r="CF55">
        <f t="shared" si="31"/>
        <v>0.33333333333333331</v>
      </c>
      <c r="CG55">
        <f t="shared" si="31"/>
        <v>0.33333333333333331</v>
      </c>
      <c r="CH55">
        <f t="shared" si="31"/>
        <v>0.33333333333333331</v>
      </c>
      <c r="CI55">
        <f t="shared" si="31"/>
        <v>0.33333333333333331</v>
      </c>
      <c r="CJ55">
        <f t="shared" si="31"/>
        <v>0.33333333333333331</v>
      </c>
      <c r="CK55">
        <f t="shared" si="31"/>
        <v>0.33333333333333331</v>
      </c>
      <c r="CL55">
        <f t="shared" si="31"/>
        <v>0.33333333333333331</v>
      </c>
      <c r="CM55">
        <f t="shared" si="31"/>
        <v>0.33333333333333331</v>
      </c>
      <c r="CN55">
        <f t="shared" si="31"/>
        <v>0.33333333333333331</v>
      </c>
      <c r="CO55">
        <f t="shared" si="31"/>
        <v>0.33333333333333331</v>
      </c>
    </row>
    <row r="56" spans="1:93" x14ac:dyDescent="0.25">
      <c r="A56" t="s">
        <v>68</v>
      </c>
      <c r="B56" t="s">
        <v>97</v>
      </c>
      <c r="C56">
        <f t="shared" si="4"/>
        <v>0.33333333333333331</v>
      </c>
      <c r="D56">
        <f t="shared" si="5"/>
        <v>0.33333333333333331</v>
      </c>
      <c r="E56">
        <f t="shared" ref="E56:BP58" si="32">D56</f>
        <v>0.33333333333333331</v>
      </c>
      <c r="F56">
        <f t="shared" si="32"/>
        <v>0.33333333333333331</v>
      </c>
      <c r="G56">
        <f t="shared" si="32"/>
        <v>0.33333333333333331</v>
      </c>
      <c r="H56">
        <f t="shared" si="32"/>
        <v>0.33333333333333331</v>
      </c>
      <c r="I56">
        <f t="shared" si="32"/>
        <v>0.33333333333333331</v>
      </c>
      <c r="J56">
        <f t="shared" si="32"/>
        <v>0.33333333333333331</v>
      </c>
      <c r="K56">
        <f t="shared" si="32"/>
        <v>0.33333333333333331</v>
      </c>
      <c r="L56">
        <f t="shared" si="32"/>
        <v>0.33333333333333331</v>
      </c>
      <c r="M56">
        <f t="shared" si="32"/>
        <v>0.33333333333333331</v>
      </c>
      <c r="N56">
        <f t="shared" si="32"/>
        <v>0.33333333333333331</v>
      </c>
      <c r="O56">
        <f t="shared" si="32"/>
        <v>0.33333333333333331</v>
      </c>
      <c r="P56">
        <f t="shared" si="32"/>
        <v>0.33333333333333331</v>
      </c>
      <c r="Q56">
        <f t="shared" si="32"/>
        <v>0.33333333333333331</v>
      </c>
      <c r="R56">
        <f t="shared" si="32"/>
        <v>0.33333333333333331</v>
      </c>
      <c r="S56">
        <f t="shared" si="32"/>
        <v>0.33333333333333331</v>
      </c>
      <c r="T56">
        <f t="shared" si="32"/>
        <v>0.33333333333333331</v>
      </c>
      <c r="U56">
        <f t="shared" si="32"/>
        <v>0.33333333333333331</v>
      </c>
      <c r="V56">
        <f t="shared" si="32"/>
        <v>0.33333333333333331</v>
      </c>
      <c r="W56">
        <f t="shared" si="32"/>
        <v>0.33333333333333331</v>
      </c>
      <c r="X56">
        <f t="shared" si="32"/>
        <v>0.33333333333333331</v>
      </c>
      <c r="Y56">
        <f t="shared" si="32"/>
        <v>0.33333333333333331</v>
      </c>
      <c r="Z56">
        <f t="shared" si="32"/>
        <v>0.33333333333333331</v>
      </c>
      <c r="AA56">
        <f t="shared" si="32"/>
        <v>0.33333333333333331</v>
      </c>
      <c r="AB56">
        <f t="shared" si="32"/>
        <v>0.33333333333333331</v>
      </c>
      <c r="AC56">
        <f t="shared" si="32"/>
        <v>0.33333333333333331</v>
      </c>
      <c r="AD56">
        <f t="shared" si="32"/>
        <v>0.33333333333333331</v>
      </c>
      <c r="AE56">
        <f t="shared" si="32"/>
        <v>0.33333333333333331</v>
      </c>
      <c r="AF56">
        <f t="shared" si="32"/>
        <v>0.33333333333333331</v>
      </c>
      <c r="AG56">
        <f t="shared" si="32"/>
        <v>0.33333333333333331</v>
      </c>
      <c r="AH56">
        <f t="shared" si="32"/>
        <v>0.33333333333333331</v>
      </c>
      <c r="AI56">
        <f t="shared" si="32"/>
        <v>0.33333333333333331</v>
      </c>
      <c r="AJ56">
        <f t="shared" si="32"/>
        <v>0.33333333333333331</v>
      </c>
      <c r="AK56">
        <f t="shared" si="32"/>
        <v>0.33333333333333331</v>
      </c>
      <c r="AL56">
        <f t="shared" si="32"/>
        <v>0.33333333333333331</v>
      </c>
      <c r="AM56">
        <f t="shared" si="32"/>
        <v>0.33333333333333331</v>
      </c>
      <c r="AN56">
        <f t="shared" si="32"/>
        <v>0.33333333333333331</v>
      </c>
      <c r="AO56">
        <f t="shared" si="32"/>
        <v>0.33333333333333331</v>
      </c>
      <c r="AP56">
        <f t="shared" si="32"/>
        <v>0.33333333333333331</v>
      </c>
      <c r="AQ56">
        <f t="shared" si="32"/>
        <v>0.33333333333333331</v>
      </c>
      <c r="AR56">
        <f t="shared" si="32"/>
        <v>0.33333333333333331</v>
      </c>
      <c r="AS56">
        <f t="shared" si="32"/>
        <v>0.33333333333333331</v>
      </c>
      <c r="AT56">
        <f t="shared" si="32"/>
        <v>0.33333333333333331</v>
      </c>
      <c r="AU56">
        <f t="shared" si="32"/>
        <v>0.33333333333333331</v>
      </c>
      <c r="AV56">
        <f t="shared" si="32"/>
        <v>0.33333333333333331</v>
      </c>
      <c r="AW56">
        <f t="shared" si="32"/>
        <v>0.33333333333333331</v>
      </c>
      <c r="AX56">
        <f t="shared" si="32"/>
        <v>0.33333333333333331</v>
      </c>
      <c r="AY56">
        <f t="shared" si="32"/>
        <v>0.33333333333333331</v>
      </c>
      <c r="AZ56">
        <f t="shared" si="32"/>
        <v>0.33333333333333331</v>
      </c>
      <c r="BA56">
        <f t="shared" si="32"/>
        <v>0.33333333333333331</v>
      </c>
      <c r="BB56">
        <f t="shared" si="32"/>
        <v>0.33333333333333331</v>
      </c>
      <c r="BC56">
        <f t="shared" si="32"/>
        <v>0.33333333333333331</v>
      </c>
      <c r="BD56">
        <f t="shared" si="32"/>
        <v>0.33333333333333331</v>
      </c>
      <c r="BE56">
        <f t="shared" si="32"/>
        <v>0.33333333333333331</v>
      </c>
      <c r="BF56">
        <f t="shared" si="32"/>
        <v>0.33333333333333331</v>
      </c>
      <c r="BG56">
        <f t="shared" si="32"/>
        <v>0.33333333333333331</v>
      </c>
      <c r="BH56">
        <f t="shared" si="32"/>
        <v>0.33333333333333331</v>
      </c>
      <c r="BI56">
        <f t="shared" si="32"/>
        <v>0.33333333333333331</v>
      </c>
      <c r="BJ56">
        <f t="shared" si="32"/>
        <v>0.33333333333333331</v>
      </c>
      <c r="BK56">
        <f t="shared" si="32"/>
        <v>0.33333333333333331</v>
      </c>
      <c r="BL56">
        <f t="shared" si="32"/>
        <v>0.33333333333333331</v>
      </c>
      <c r="BM56">
        <f t="shared" si="32"/>
        <v>0.33333333333333331</v>
      </c>
      <c r="BN56">
        <f t="shared" si="32"/>
        <v>0.33333333333333331</v>
      </c>
      <c r="BO56">
        <f t="shared" si="32"/>
        <v>0.33333333333333331</v>
      </c>
      <c r="BP56">
        <f t="shared" si="32"/>
        <v>0.33333333333333331</v>
      </c>
      <c r="BQ56">
        <f t="shared" si="31"/>
        <v>0.33333333333333331</v>
      </c>
      <c r="BR56">
        <f t="shared" si="31"/>
        <v>0.33333333333333331</v>
      </c>
      <c r="BS56">
        <f t="shared" si="31"/>
        <v>0.33333333333333331</v>
      </c>
      <c r="BT56">
        <f t="shared" si="31"/>
        <v>0.33333333333333331</v>
      </c>
      <c r="BU56">
        <f t="shared" si="31"/>
        <v>0.33333333333333331</v>
      </c>
      <c r="BV56">
        <f t="shared" si="31"/>
        <v>0.33333333333333331</v>
      </c>
      <c r="BW56">
        <f t="shared" si="31"/>
        <v>0.33333333333333331</v>
      </c>
      <c r="BX56">
        <f t="shared" si="31"/>
        <v>0.33333333333333331</v>
      </c>
      <c r="BY56">
        <f t="shared" si="31"/>
        <v>0.33333333333333331</v>
      </c>
      <c r="BZ56">
        <f t="shared" si="31"/>
        <v>0.33333333333333331</v>
      </c>
      <c r="CA56">
        <f t="shared" si="31"/>
        <v>0.33333333333333331</v>
      </c>
      <c r="CB56">
        <f t="shared" si="31"/>
        <v>0.33333333333333331</v>
      </c>
      <c r="CC56">
        <f t="shared" si="31"/>
        <v>0.33333333333333331</v>
      </c>
      <c r="CD56">
        <f t="shared" si="31"/>
        <v>0.33333333333333331</v>
      </c>
      <c r="CE56">
        <f t="shared" si="31"/>
        <v>0.33333333333333331</v>
      </c>
      <c r="CF56">
        <f t="shared" si="31"/>
        <v>0.33333333333333331</v>
      </c>
      <c r="CG56">
        <f t="shared" si="31"/>
        <v>0.33333333333333331</v>
      </c>
      <c r="CH56">
        <f t="shared" si="31"/>
        <v>0.33333333333333331</v>
      </c>
      <c r="CI56">
        <f t="shared" si="31"/>
        <v>0.33333333333333331</v>
      </c>
      <c r="CJ56">
        <f t="shared" si="31"/>
        <v>0.33333333333333331</v>
      </c>
      <c r="CK56">
        <f t="shared" si="31"/>
        <v>0.33333333333333331</v>
      </c>
      <c r="CL56">
        <f t="shared" si="31"/>
        <v>0.33333333333333331</v>
      </c>
      <c r="CM56">
        <f t="shared" si="31"/>
        <v>0.33333333333333331</v>
      </c>
      <c r="CN56">
        <f t="shared" si="31"/>
        <v>0.33333333333333331</v>
      </c>
      <c r="CO56">
        <f t="shared" si="31"/>
        <v>0.33333333333333331</v>
      </c>
    </row>
    <row r="57" spans="1:93" x14ac:dyDescent="0.25">
      <c r="A57" t="s">
        <v>55</v>
      </c>
      <c r="B57" t="s">
        <v>8</v>
      </c>
      <c r="C57">
        <f t="shared" si="4"/>
        <v>0.5</v>
      </c>
      <c r="D57">
        <f t="shared" si="5"/>
        <v>0.5</v>
      </c>
      <c r="E57">
        <f t="shared" si="32"/>
        <v>0.5</v>
      </c>
      <c r="F57">
        <f t="shared" si="32"/>
        <v>0.5</v>
      </c>
      <c r="G57">
        <f t="shared" si="32"/>
        <v>0.5</v>
      </c>
      <c r="H57">
        <f t="shared" si="32"/>
        <v>0.5</v>
      </c>
      <c r="I57">
        <f t="shared" si="32"/>
        <v>0.5</v>
      </c>
      <c r="J57">
        <f t="shared" si="32"/>
        <v>0.5</v>
      </c>
      <c r="K57">
        <f t="shared" si="32"/>
        <v>0.5</v>
      </c>
      <c r="L57">
        <f t="shared" si="32"/>
        <v>0.5</v>
      </c>
      <c r="M57">
        <f t="shared" si="32"/>
        <v>0.5</v>
      </c>
      <c r="N57">
        <f t="shared" si="32"/>
        <v>0.5</v>
      </c>
      <c r="O57">
        <f t="shared" si="32"/>
        <v>0.5</v>
      </c>
      <c r="P57">
        <f t="shared" si="32"/>
        <v>0.5</v>
      </c>
      <c r="Q57">
        <f t="shared" si="32"/>
        <v>0.5</v>
      </c>
      <c r="R57">
        <f t="shared" si="32"/>
        <v>0.5</v>
      </c>
      <c r="S57">
        <f t="shared" si="32"/>
        <v>0.5</v>
      </c>
      <c r="T57">
        <f t="shared" si="32"/>
        <v>0.5</v>
      </c>
      <c r="U57">
        <f t="shared" si="32"/>
        <v>0.5</v>
      </c>
      <c r="V57">
        <f t="shared" si="32"/>
        <v>0.5</v>
      </c>
      <c r="W57">
        <f t="shared" si="32"/>
        <v>0.5</v>
      </c>
      <c r="X57">
        <f t="shared" si="32"/>
        <v>0.5</v>
      </c>
      <c r="Y57">
        <f t="shared" si="32"/>
        <v>0.5</v>
      </c>
      <c r="Z57">
        <f t="shared" si="32"/>
        <v>0.5</v>
      </c>
      <c r="AA57">
        <f t="shared" si="32"/>
        <v>0.5</v>
      </c>
      <c r="AB57">
        <f t="shared" si="32"/>
        <v>0.5</v>
      </c>
      <c r="AC57">
        <f t="shared" si="32"/>
        <v>0.5</v>
      </c>
      <c r="AD57">
        <f t="shared" si="32"/>
        <v>0.5</v>
      </c>
      <c r="AE57">
        <f t="shared" si="32"/>
        <v>0.5</v>
      </c>
      <c r="AF57">
        <f t="shared" si="32"/>
        <v>0.5</v>
      </c>
      <c r="AG57">
        <f t="shared" si="32"/>
        <v>0.5</v>
      </c>
      <c r="AH57">
        <f t="shared" si="32"/>
        <v>0.5</v>
      </c>
      <c r="AI57">
        <f t="shared" si="32"/>
        <v>0.5</v>
      </c>
      <c r="AJ57">
        <f t="shared" si="32"/>
        <v>0.5</v>
      </c>
      <c r="AK57">
        <f t="shared" si="32"/>
        <v>0.5</v>
      </c>
      <c r="AL57">
        <f t="shared" si="32"/>
        <v>0.5</v>
      </c>
      <c r="AM57">
        <f t="shared" si="32"/>
        <v>0.5</v>
      </c>
      <c r="AN57">
        <f t="shared" si="32"/>
        <v>0.5</v>
      </c>
      <c r="AO57">
        <f t="shared" si="32"/>
        <v>0.5</v>
      </c>
      <c r="AP57">
        <f t="shared" si="32"/>
        <v>0.5</v>
      </c>
      <c r="AQ57">
        <f t="shared" si="32"/>
        <v>0.5</v>
      </c>
      <c r="AR57">
        <f t="shared" si="32"/>
        <v>0.5</v>
      </c>
      <c r="AS57">
        <f t="shared" si="32"/>
        <v>0.5</v>
      </c>
      <c r="AT57">
        <f t="shared" si="32"/>
        <v>0.5</v>
      </c>
      <c r="AU57">
        <f t="shared" si="32"/>
        <v>0.5</v>
      </c>
      <c r="AV57">
        <f t="shared" si="32"/>
        <v>0.5</v>
      </c>
      <c r="AW57">
        <f t="shared" si="32"/>
        <v>0.5</v>
      </c>
      <c r="AX57">
        <f t="shared" si="32"/>
        <v>0.5</v>
      </c>
      <c r="AY57">
        <f t="shared" si="32"/>
        <v>0.5</v>
      </c>
      <c r="AZ57">
        <f t="shared" si="32"/>
        <v>0.5</v>
      </c>
      <c r="BA57">
        <f t="shared" si="32"/>
        <v>0.5</v>
      </c>
      <c r="BB57">
        <f t="shared" si="32"/>
        <v>0.5</v>
      </c>
      <c r="BC57">
        <f t="shared" si="32"/>
        <v>0.5</v>
      </c>
      <c r="BD57">
        <f t="shared" si="32"/>
        <v>0.5</v>
      </c>
      <c r="BE57">
        <f t="shared" si="32"/>
        <v>0.5</v>
      </c>
      <c r="BF57">
        <f t="shared" si="32"/>
        <v>0.5</v>
      </c>
      <c r="BG57">
        <f t="shared" si="32"/>
        <v>0.5</v>
      </c>
      <c r="BH57">
        <f t="shared" si="32"/>
        <v>0.5</v>
      </c>
      <c r="BI57">
        <f t="shared" si="32"/>
        <v>0.5</v>
      </c>
      <c r="BJ57">
        <f t="shared" si="32"/>
        <v>0.5</v>
      </c>
      <c r="BK57">
        <f t="shared" si="32"/>
        <v>0.5</v>
      </c>
      <c r="BL57">
        <f t="shared" si="32"/>
        <v>0.5</v>
      </c>
      <c r="BM57">
        <f t="shared" si="32"/>
        <v>0.5</v>
      </c>
      <c r="BN57">
        <f t="shared" si="32"/>
        <v>0.5</v>
      </c>
      <c r="BO57">
        <f t="shared" si="32"/>
        <v>0.5</v>
      </c>
      <c r="BP57">
        <f t="shared" si="32"/>
        <v>0.5</v>
      </c>
      <c r="BQ57">
        <f t="shared" si="31"/>
        <v>0.5</v>
      </c>
      <c r="BR57">
        <f t="shared" si="31"/>
        <v>0.5</v>
      </c>
      <c r="BS57">
        <f t="shared" si="31"/>
        <v>0.5</v>
      </c>
      <c r="BT57">
        <f t="shared" si="31"/>
        <v>0.5</v>
      </c>
      <c r="BU57">
        <f t="shared" si="31"/>
        <v>0.5</v>
      </c>
      <c r="BV57">
        <f t="shared" si="31"/>
        <v>0.5</v>
      </c>
      <c r="BW57">
        <f t="shared" si="31"/>
        <v>0.5</v>
      </c>
      <c r="BX57">
        <f t="shared" si="31"/>
        <v>0.5</v>
      </c>
      <c r="BY57">
        <f t="shared" si="31"/>
        <v>0.5</v>
      </c>
      <c r="BZ57">
        <f t="shared" si="31"/>
        <v>0.5</v>
      </c>
      <c r="CA57">
        <f t="shared" si="31"/>
        <v>0.5</v>
      </c>
      <c r="CB57">
        <f t="shared" si="31"/>
        <v>0.5</v>
      </c>
      <c r="CC57">
        <f t="shared" si="31"/>
        <v>0.5</v>
      </c>
      <c r="CD57">
        <f t="shared" si="31"/>
        <v>0.5</v>
      </c>
      <c r="CE57">
        <f t="shared" si="31"/>
        <v>0.5</v>
      </c>
      <c r="CF57">
        <f t="shared" si="31"/>
        <v>0.5</v>
      </c>
      <c r="CG57">
        <f t="shared" si="31"/>
        <v>0.5</v>
      </c>
      <c r="CH57">
        <f t="shared" si="31"/>
        <v>0.5</v>
      </c>
      <c r="CI57">
        <f t="shared" si="31"/>
        <v>0.5</v>
      </c>
      <c r="CJ57">
        <f t="shared" si="31"/>
        <v>0.5</v>
      </c>
      <c r="CK57">
        <f t="shared" si="31"/>
        <v>0.5</v>
      </c>
      <c r="CL57">
        <f t="shared" si="31"/>
        <v>0.5</v>
      </c>
      <c r="CM57">
        <f t="shared" si="31"/>
        <v>0.5</v>
      </c>
      <c r="CN57">
        <f t="shared" si="31"/>
        <v>0.5</v>
      </c>
      <c r="CO57">
        <f t="shared" si="31"/>
        <v>0.5</v>
      </c>
    </row>
    <row r="58" spans="1:93" x14ac:dyDescent="0.25">
      <c r="A58" t="s">
        <v>60</v>
      </c>
      <c r="B58" t="s">
        <v>8</v>
      </c>
      <c r="C58">
        <f t="shared" si="4"/>
        <v>0.5</v>
      </c>
      <c r="D58">
        <f t="shared" si="5"/>
        <v>0.5</v>
      </c>
      <c r="E58">
        <f t="shared" si="32"/>
        <v>0.5</v>
      </c>
      <c r="F58">
        <f t="shared" si="32"/>
        <v>0.5</v>
      </c>
      <c r="G58">
        <f t="shared" si="32"/>
        <v>0.5</v>
      </c>
      <c r="H58">
        <f t="shared" si="32"/>
        <v>0.5</v>
      </c>
      <c r="I58">
        <f t="shared" si="32"/>
        <v>0.5</v>
      </c>
      <c r="J58">
        <f t="shared" si="32"/>
        <v>0.5</v>
      </c>
      <c r="K58">
        <f t="shared" si="32"/>
        <v>0.5</v>
      </c>
      <c r="L58">
        <f t="shared" si="32"/>
        <v>0.5</v>
      </c>
      <c r="M58">
        <f t="shared" si="32"/>
        <v>0.5</v>
      </c>
      <c r="N58">
        <f t="shared" si="32"/>
        <v>0.5</v>
      </c>
      <c r="O58">
        <f t="shared" si="32"/>
        <v>0.5</v>
      </c>
      <c r="P58">
        <f t="shared" si="32"/>
        <v>0.5</v>
      </c>
      <c r="Q58">
        <f t="shared" si="32"/>
        <v>0.5</v>
      </c>
      <c r="R58">
        <f t="shared" si="32"/>
        <v>0.5</v>
      </c>
      <c r="S58">
        <f t="shared" si="32"/>
        <v>0.5</v>
      </c>
      <c r="T58">
        <f t="shared" si="32"/>
        <v>0.5</v>
      </c>
      <c r="U58">
        <f t="shared" si="32"/>
        <v>0.5</v>
      </c>
      <c r="V58">
        <f t="shared" si="32"/>
        <v>0.5</v>
      </c>
      <c r="W58">
        <f t="shared" si="32"/>
        <v>0.5</v>
      </c>
      <c r="X58">
        <f t="shared" si="32"/>
        <v>0.5</v>
      </c>
      <c r="Y58">
        <f t="shared" si="32"/>
        <v>0.5</v>
      </c>
      <c r="Z58">
        <f t="shared" si="32"/>
        <v>0.5</v>
      </c>
      <c r="AA58">
        <f t="shared" si="32"/>
        <v>0.5</v>
      </c>
      <c r="AB58">
        <f t="shared" si="32"/>
        <v>0.5</v>
      </c>
      <c r="AC58">
        <f t="shared" si="32"/>
        <v>0.5</v>
      </c>
      <c r="AD58">
        <f t="shared" si="32"/>
        <v>0.5</v>
      </c>
      <c r="AE58">
        <f t="shared" si="32"/>
        <v>0.5</v>
      </c>
      <c r="AF58">
        <f t="shared" si="32"/>
        <v>0.5</v>
      </c>
      <c r="AG58">
        <f t="shared" si="32"/>
        <v>0.5</v>
      </c>
      <c r="AH58">
        <f t="shared" si="32"/>
        <v>0.5</v>
      </c>
      <c r="AI58">
        <f t="shared" si="32"/>
        <v>0.5</v>
      </c>
      <c r="AJ58">
        <f t="shared" si="32"/>
        <v>0.5</v>
      </c>
      <c r="AK58">
        <f t="shared" si="32"/>
        <v>0.5</v>
      </c>
      <c r="AL58">
        <f t="shared" si="32"/>
        <v>0.5</v>
      </c>
      <c r="AM58">
        <f t="shared" si="32"/>
        <v>0.5</v>
      </c>
      <c r="AN58">
        <f t="shared" si="32"/>
        <v>0.5</v>
      </c>
      <c r="AO58">
        <f t="shared" si="32"/>
        <v>0.5</v>
      </c>
      <c r="AP58">
        <f t="shared" si="32"/>
        <v>0.5</v>
      </c>
      <c r="AQ58">
        <f t="shared" si="32"/>
        <v>0.5</v>
      </c>
      <c r="AR58">
        <f t="shared" si="32"/>
        <v>0.5</v>
      </c>
      <c r="AS58">
        <f t="shared" si="32"/>
        <v>0.5</v>
      </c>
      <c r="AT58">
        <f t="shared" si="32"/>
        <v>0.5</v>
      </c>
      <c r="AU58">
        <f t="shared" si="32"/>
        <v>0.5</v>
      </c>
      <c r="AV58">
        <f t="shared" si="32"/>
        <v>0.5</v>
      </c>
      <c r="AW58">
        <f t="shared" si="32"/>
        <v>0.5</v>
      </c>
      <c r="AX58">
        <f t="shared" si="32"/>
        <v>0.5</v>
      </c>
      <c r="AY58">
        <f t="shared" si="32"/>
        <v>0.5</v>
      </c>
      <c r="AZ58">
        <f t="shared" si="32"/>
        <v>0.5</v>
      </c>
      <c r="BA58">
        <f t="shared" si="32"/>
        <v>0.5</v>
      </c>
      <c r="BB58">
        <f t="shared" si="32"/>
        <v>0.5</v>
      </c>
      <c r="BC58">
        <f t="shared" si="32"/>
        <v>0.5</v>
      </c>
      <c r="BD58">
        <f t="shared" si="32"/>
        <v>0.5</v>
      </c>
      <c r="BE58">
        <f t="shared" si="32"/>
        <v>0.5</v>
      </c>
      <c r="BF58">
        <f t="shared" si="32"/>
        <v>0.5</v>
      </c>
      <c r="BG58">
        <f t="shared" si="32"/>
        <v>0.5</v>
      </c>
      <c r="BH58">
        <f t="shared" si="32"/>
        <v>0.5</v>
      </c>
      <c r="BI58">
        <f t="shared" si="32"/>
        <v>0.5</v>
      </c>
      <c r="BJ58">
        <f t="shared" si="32"/>
        <v>0.5</v>
      </c>
      <c r="BK58">
        <f t="shared" si="32"/>
        <v>0.5</v>
      </c>
      <c r="BL58">
        <f t="shared" si="32"/>
        <v>0.5</v>
      </c>
      <c r="BM58">
        <f t="shared" si="32"/>
        <v>0.5</v>
      </c>
      <c r="BN58">
        <f t="shared" si="32"/>
        <v>0.5</v>
      </c>
      <c r="BO58">
        <f t="shared" si="32"/>
        <v>0.5</v>
      </c>
      <c r="BP58">
        <f t="shared" si="32"/>
        <v>0.5</v>
      </c>
      <c r="BQ58">
        <f t="shared" si="31"/>
        <v>0.5</v>
      </c>
      <c r="BR58">
        <f t="shared" si="31"/>
        <v>0.5</v>
      </c>
      <c r="BS58">
        <f t="shared" si="31"/>
        <v>0.5</v>
      </c>
      <c r="BT58">
        <f t="shared" si="31"/>
        <v>0.5</v>
      </c>
      <c r="BU58">
        <f t="shared" si="31"/>
        <v>0.5</v>
      </c>
      <c r="BV58">
        <f t="shared" si="31"/>
        <v>0.5</v>
      </c>
      <c r="BW58">
        <f t="shared" si="31"/>
        <v>0.5</v>
      </c>
      <c r="BX58">
        <f t="shared" si="31"/>
        <v>0.5</v>
      </c>
      <c r="BY58">
        <f t="shared" si="31"/>
        <v>0.5</v>
      </c>
      <c r="BZ58">
        <f t="shared" si="31"/>
        <v>0.5</v>
      </c>
      <c r="CA58">
        <f t="shared" si="31"/>
        <v>0.5</v>
      </c>
      <c r="CB58">
        <f t="shared" si="31"/>
        <v>0.5</v>
      </c>
      <c r="CC58">
        <f t="shared" si="31"/>
        <v>0.5</v>
      </c>
      <c r="CD58">
        <f t="shared" si="31"/>
        <v>0.5</v>
      </c>
      <c r="CE58">
        <f t="shared" si="31"/>
        <v>0.5</v>
      </c>
      <c r="CF58">
        <f t="shared" si="31"/>
        <v>0.5</v>
      </c>
      <c r="CG58">
        <f t="shared" si="31"/>
        <v>0.5</v>
      </c>
      <c r="CH58">
        <f t="shared" si="31"/>
        <v>0.5</v>
      </c>
      <c r="CI58">
        <f t="shared" si="31"/>
        <v>0.5</v>
      </c>
      <c r="CJ58">
        <f t="shared" si="31"/>
        <v>0.5</v>
      </c>
      <c r="CK58">
        <f t="shared" si="31"/>
        <v>0.5</v>
      </c>
      <c r="CL58">
        <f t="shared" si="31"/>
        <v>0.5</v>
      </c>
      <c r="CM58">
        <f t="shared" si="31"/>
        <v>0.5</v>
      </c>
      <c r="CN58">
        <f t="shared" si="31"/>
        <v>0.5</v>
      </c>
      <c r="CO58">
        <f t="shared" si="31"/>
        <v>0.5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B5B2E-F8C5-43E5-A085-B6B430AA9ED9}">
  <sheetPr codeName="Sheet8"/>
  <dimension ref="A1:CN10"/>
  <sheetViews>
    <sheetView workbookViewId="0">
      <selection activeCell="A8" sqref="A8"/>
    </sheetView>
  </sheetViews>
  <sheetFormatPr defaultRowHeight="15" x14ac:dyDescent="0.25"/>
  <sheetData>
    <row r="1" spans="1:92" x14ac:dyDescent="0.25">
      <c r="A1" t="s">
        <v>571</v>
      </c>
      <c r="B1">
        <v>2010</v>
      </c>
      <c r="C1">
        <f>B1+1</f>
        <v>2011</v>
      </c>
      <c r="D1">
        <f t="shared" ref="D1:BO1" si="0">C1+1</f>
        <v>2012</v>
      </c>
      <c r="E1">
        <f t="shared" si="0"/>
        <v>2013</v>
      </c>
      <c r="F1">
        <f t="shared" si="0"/>
        <v>2014</v>
      </c>
      <c r="G1">
        <f t="shared" si="0"/>
        <v>2015</v>
      </c>
      <c r="H1">
        <f t="shared" si="0"/>
        <v>2016</v>
      </c>
      <c r="I1">
        <f t="shared" si="0"/>
        <v>2017</v>
      </c>
      <c r="J1">
        <f t="shared" si="0"/>
        <v>2018</v>
      </c>
      <c r="K1">
        <f t="shared" si="0"/>
        <v>2019</v>
      </c>
      <c r="L1">
        <f t="shared" si="0"/>
        <v>2020</v>
      </c>
      <c r="M1">
        <f t="shared" si="0"/>
        <v>2021</v>
      </c>
      <c r="N1">
        <f t="shared" si="0"/>
        <v>2022</v>
      </c>
      <c r="O1">
        <f t="shared" si="0"/>
        <v>2023</v>
      </c>
      <c r="P1">
        <f t="shared" si="0"/>
        <v>2024</v>
      </c>
      <c r="Q1">
        <f t="shared" si="0"/>
        <v>2025</v>
      </c>
      <c r="R1">
        <f t="shared" si="0"/>
        <v>2026</v>
      </c>
      <c r="S1">
        <f t="shared" si="0"/>
        <v>2027</v>
      </c>
      <c r="T1">
        <f t="shared" si="0"/>
        <v>2028</v>
      </c>
      <c r="U1">
        <f t="shared" si="0"/>
        <v>2029</v>
      </c>
      <c r="V1">
        <f t="shared" si="0"/>
        <v>2030</v>
      </c>
      <c r="W1">
        <f t="shared" si="0"/>
        <v>2031</v>
      </c>
      <c r="X1">
        <f t="shared" si="0"/>
        <v>2032</v>
      </c>
      <c r="Y1">
        <f t="shared" si="0"/>
        <v>2033</v>
      </c>
      <c r="Z1">
        <f t="shared" si="0"/>
        <v>2034</v>
      </c>
      <c r="AA1">
        <f t="shared" si="0"/>
        <v>2035</v>
      </c>
      <c r="AB1">
        <f t="shared" si="0"/>
        <v>2036</v>
      </c>
      <c r="AC1">
        <f t="shared" si="0"/>
        <v>2037</v>
      </c>
      <c r="AD1">
        <f t="shared" si="0"/>
        <v>2038</v>
      </c>
      <c r="AE1">
        <f t="shared" si="0"/>
        <v>2039</v>
      </c>
      <c r="AF1">
        <f t="shared" si="0"/>
        <v>2040</v>
      </c>
      <c r="AG1">
        <f t="shared" si="0"/>
        <v>2041</v>
      </c>
      <c r="AH1">
        <f t="shared" si="0"/>
        <v>2042</v>
      </c>
      <c r="AI1">
        <f t="shared" si="0"/>
        <v>2043</v>
      </c>
      <c r="AJ1">
        <f t="shared" si="0"/>
        <v>2044</v>
      </c>
      <c r="AK1">
        <f t="shared" si="0"/>
        <v>2045</v>
      </c>
      <c r="AL1">
        <f t="shared" si="0"/>
        <v>2046</v>
      </c>
      <c r="AM1">
        <f t="shared" si="0"/>
        <v>2047</v>
      </c>
      <c r="AN1">
        <f t="shared" si="0"/>
        <v>2048</v>
      </c>
      <c r="AO1">
        <f t="shared" si="0"/>
        <v>2049</v>
      </c>
      <c r="AP1">
        <f t="shared" si="0"/>
        <v>2050</v>
      </c>
      <c r="AQ1">
        <f t="shared" si="0"/>
        <v>2051</v>
      </c>
      <c r="AR1">
        <f t="shared" si="0"/>
        <v>2052</v>
      </c>
      <c r="AS1">
        <f t="shared" si="0"/>
        <v>2053</v>
      </c>
      <c r="AT1">
        <f t="shared" si="0"/>
        <v>2054</v>
      </c>
      <c r="AU1">
        <f t="shared" si="0"/>
        <v>2055</v>
      </c>
      <c r="AV1">
        <f t="shared" si="0"/>
        <v>2056</v>
      </c>
      <c r="AW1">
        <f t="shared" si="0"/>
        <v>2057</v>
      </c>
      <c r="AX1">
        <f t="shared" si="0"/>
        <v>2058</v>
      </c>
      <c r="AY1">
        <f t="shared" si="0"/>
        <v>2059</v>
      </c>
      <c r="AZ1">
        <f t="shared" si="0"/>
        <v>2060</v>
      </c>
      <c r="BA1">
        <f t="shared" si="0"/>
        <v>2061</v>
      </c>
      <c r="BB1">
        <f t="shared" si="0"/>
        <v>2062</v>
      </c>
      <c r="BC1">
        <f t="shared" si="0"/>
        <v>2063</v>
      </c>
      <c r="BD1">
        <f t="shared" si="0"/>
        <v>2064</v>
      </c>
      <c r="BE1">
        <f t="shared" si="0"/>
        <v>2065</v>
      </c>
      <c r="BF1">
        <f t="shared" si="0"/>
        <v>2066</v>
      </c>
      <c r="BG1">
        <f t="shared" si="0"/>
        <v>2067</v>
      </c>
      <c r="BH1">
        <f t="shared" si="0"/>
        <v>2068</v>
      </c>
      <c r="BI1">
        <f t="shared" si="0"/>
        <v>2069</v>
      </c>
      <c r="BJ1">
        <f t="shared" si="0"/>
        <v>2070</v>
      </c>
      <c r="BK1">
        <f t="shared" si="0"/>
        <v>2071</v>
      </c>
      <c r="BL1">
        <f t="shared" si="0"/>
        <v>2072</v>
      </c>
      <c r="BM1">
        <f t="shared" si="0"/>
        <v>2073</v>
      </c>
      <c r="BN1">
        <f t="shared" si="0"/>
        <v>2074</v>
      </c>
      <c r="BO1">
        <f t="shared" si="0"/>
        <v>2075</v>
      </c>
      <c r="BP1">
        <f t="shared" ref="BP1:CN1" si="1">BO1+1</f>
        <v>2076</v>
      </c>
      <c r="BQ1">
        <f t="shared" si="1"/>
        <v>2077</v>
      </c>
      <c r="BR1">
        <f t="shared" si="1"/>
        <v>2078</v>
      </c>
      <c r="BS1">
        <f t="shared" si="1"/>
        <v>2079</v>
      </c>
      <c r="BT1">
        <f t="shared" si="1"/>
        <v>2080</v>
      </c>
      <c r="BU1">
        <f t="shared" si="1"/>
        <v>2081</v>
      </c>
      <c r="BV1">
        <f t="shared" si="1"/>
        <v>2082</v>
      </c>
      <c r="BW1">
        <f t="shared" si="1"/>
        <v>2083</v>
      </c>
      <c r="BX1">
        <f t="shared" si="1"/>
        <v>2084</v>
      </c>
      <c r="BY1">
        <f t="shared" si="1"/>
        <v>2085</v>
      </c>
      <c r="BZ1">
        <f t="shared" si="1"/>
        <v>2086</v>
      </c>
      <c r="CA1">
        <f t="shared" si="1"/>
        <v>2087</v>
      </c>
      <c r="CB1">
        <f t="shared" si="1"/>
        <v>2088</v>
      </c>
      <c r="CC1">
        <f t="shared" si="1"/>
        <v>2089</v>
      </c>
      <c r="CD1">
        <f t="shared" si="1"/>
        <v>2090</v>
      </c>
      <c r="CE1">
        <f t="shared" si="1"/>
        <v>2091</v>
      </c>
      <c r="CF1">
        <f t="shared" si="1"/>
        <v>2092</v>
      </c>
      <c r="CG1">
        <f t="shared" si="1"/>
        <v>2093</v>
      </c>
      <c r="CH1">
        <f t="shared" si="1"/>
        <v>2094</v>
      </c>
      <c r="CI1">
        <f t="shared" si="1"/>
        <v>2095</v>
      </c>
      <c r="CJ1">
        <f t="shared" si="1"/>
        <v>2096</v>
      </c>
      <c r="CK1">
        <f t="shared" si="1"/>
        <v>2097</v>
      </c>
      <c r="CL1">
        <f t="shared" si="1"/>
        <v>2098</v>
      </c>
      <c r="CM1">
        <f t="shared" si="1"/>
        <v>2099</v>
      </c>
      <c r="CN1">
        <f t="shared" si="1"/>
        <v>2100</v>
      </c>
    </row>
    <row r="2" spans="1:92" x14ac:dyDescent="0.25">
      <c r="A2" t="s">
        <v>102</v>
      </c>
      <c r="B2">
        <f>B8/B$6</f>
        <v>1</v>
      </c>
      <c r="C2">
        <f>C8/C$6</f>
        <v>1</v>
      </c>
      <c r="D2">
        <f>D8/D$6</f>
        <v>1</v>
      </c>
      <c r="E2">
        <f>E8/E$6</f>
        <v>1</v>
      </c>
      <c r="F2">
        <f>F8/F$6</f>
        <v>1</v>
      </c>
      <c r="G2">
        <f>G8/G$6</f>
        <v>0.5</v>
      </c>
      <c r="H2">
        <f>H8/H$6</f>
        <v>0.5</v>
      </c>
      <c r="I2">
        <f>I8/I$6</f>
        <v>0.5</v>
      </c>
      <c r="J2">
        <f>J8/J$6</f>
        <v>0.5</v>
      </c>
      <c r="K2">
        <f>K8/K$6</f>
        <v>0.5</v>
      </c>
      <c r="L2">
        <f>L8/L$6</f>
        <v>0.5</v>
      </c>
      <c r="M2">
        <f>M8/M$6</f>
        <v>0.47619047619047616</v>
      </c>
      <c r="N2">
        <f>N8/N$6</f>
        <v>0.45454545454545453</v>
      </c>
      <c r="O2">
        <f>O8/O$6</f>
        <v>0.43478260869565222</v>
      </c>
      <c r="P2">
        <f>P8/P$6</f>
        <v>0.41666666666666669</v>
      </c>
      <c r="Q2">
        <f>Q8/Q$6</f>
        <v>0.4</v>
      </c>
      <c r="R2">
        <f>R8/R$6</f>
        <v>0.38461538461538458</v>
      </c>
      <c r="S2">
        <f>S8/S$6</f>
        <v>0.37037037037037035</v>
      </c>
      <c r="T2">
        <f>T8/T$6</f>
        <v>0.35714285714285715</v>
      </c>
      <c r="U2">
        <f>U8/U$6</f>
        <v>0.34482758620689657</v>
      </c>
      <c r="V2">
        <f>V8/V$6</f>
        <v>0.33333333333333331</v>
      </c>
      <c r="W2">
        <f>W8/W$6</f>
        <v>0.33333333333333331</v>
      </c>
      <c r="X2">
        <f>X8/X$6</f>
        <v>0.33333333333333331</v>
      </c>
      <c r="Y2">
        <f>Y8/Y$6</f>
        <v>0.33333333333333331</v>
      </c>
      <c r="Z2">
        <f>Z8/Z$6</f>
        <v>0.33333333333333331</v>
      </c>
      <c r="AA2">
        <f>AA8/AA$6</f>
        <v>0.33333333333333331</v>
      </c>
      <c r="AB2">
        <f>AB8/AB$6</f>
        <v>0.33333333333333331</v>
      </c>
      <c r="AC2">
        <f>AC8/AC$6</f>
        <v>0.33333333333333331</v>
      </c>
      <c r="AD2">
        <f>AD8/AD$6</f>
        <v>0.33333333333333331</v>
      </c>
      <c r="AE2">
        <f>AE8/AE$6</f>
        <v>0.33333333333333331</v>
      </c>
      <c r="AF2">
        <f>AF8/AF$6</f>
        <v>0.33333333333333331</v>
      </c>
      <c r="AG2">
        <f>AG8/AG$6</f>
        <v>0.33333333333333331</v>
      </c>
      <c r="AH2">
        <f>AH8/AH$6</f>
        <v>0.33333333333333331</v>
      </c>
      <c r="AI2">
        <f>AI8/AI$6</f>
        <v>0.33333333333333331</v>
      </c>
      <c r="AJ2">
        <f>AJ8/AJ$6</f>
        <v>0.33333333333333331</v>
      </c>
      <c r="AK2">
        <f>AK8/AK$6</f>
        <v>0.33333333333333331</v>
      </c>
      <c r="AL2">
        <f>AL8/AL$6</f>
        <v>0.33333333333333331</v>
      </c>
      <c r="AM2">
        <f>AM8/AM$6</f>
        <v>0.33333333333333331</v>
      </c>
      <c r="AN2">
        <f>AN8/AN$6</f>
        <v>0.33333333333333331</v>
      </c>
      <c r="AO2">
        <f>AO8/AO$6</f>
        <v>0.33333333333333331</v>
      </c>
      <c r="AP2">
        <f>AP8/AP$6</f>
        <v>0.33333333333333331</v>
      </c>
      <c r="AQ2">
        <f>AQ8/AQ$6</f>
        <v>0.33333333333333331</v>
      </c>
      <c r="AR2">
        <f>AR8/AR$6</f>
        <v>0.33333333333333331</v>
      </c>
      <c r="AS2">
        <f>AS8/AS$6</f>
        <v>0.33333333333333331</v>
      </c>
      <c r="AT2">
        <f>AT8/AT$6</f>
        <v>0.33333333333333331</v>
      </c>
      <c r="AU2">
        <f>AU8/AU$6</f>
        <v>0.33333333333333331</v>
      </c>
      <c r="AV2">
        <f>AV8/AV$6</f>
        <v>0.33333333333333331</v>
      </c>
      <c r="AW2">
        <f>AW8/AW$6</f>
        <v>0.33333333333333331</v>
      </c>
      <c r="AX2">
        <f>AX8/AX$6</f>
        <v>0.33333333333333331</v>
      </c>
      <c r="AY2">
        <f>AY8/AY$6</f>
        <v>0.33333333333333331</v>
      </c>
      <c r="AZ2">
        <f>AZ8/AZ$6</f>
        <v>0.33333333333333331</v>
      </c>
      <c r="BA2">
        <f>BA8/BA$6</f>
        <v>0.33333333333333331</v>
      </c>
      <c r="BB2">
        <f>BB8/BB$6</f>
        <v>0.33333333333333331</v>
      </c>
      <c r="BC2">
        <f>BC8/BC$6</f>
        <v>0.33333333333333331</v>
      </c>
      <c r="BD2">
        <f>BD8/BD$6</f>
        <v>0.33333333333333331</v>
      </c>
      <c r="BE2">
        <f>BE8/BE$6</f>
        <v>0.33333333333333331</v>
      </c>
      <c r="BF2">
        <f>BF8/BF$6</f>
        <v>0.33333333333333331</v>
      </c>
      <c r="BG2">
        <f>BG8/BG$6</f>
        <v>0.33333333333333331</v>
      </c>
      <c r="BH2">
        <f>BH8/BH$6</f>
        <v>0.33333333333333331</v>
      </c>
      <c r="BI2">
        <f>BI8/BI$6</f>
        <v>0.33333333333333331</v>
      </c>
      <c r="BJ2">
        <f>BJ8/BJ$6</f>
        <v>0.33333333333333331</v>
      </c>
      <c r="BK2">
        <f>BK8/BK$6</f>
        <v>0.33333333333333331</v>
      </c>
      <c r="BL2">
        <f>BL8/BL$6</f>
        <v>0.33333333333333331</v>
      </c>
      <c r="BM2">
        <f>BM8/BM$6</f>
        <v>0.33333333333333331</v>
      </c>
      <c r="BN2">
        <f>BN8/BN$6</f>
        <v>0.33333333333333331</v>
      </c>
      <c r="BO2">
        <f>BO8/BO$6</f>
        <v>0.33333333333333331</v>
      </c>
      <c r="BP2">
        <f>BP8/BP$6</f>
        <v>0.33333333333333331</v>
      </c>
      <c r="BQ2">
        <f>BQ8/BQ$6</f>
        <v>0.33333333333333331</v>
      </c>
      <c r="BR2">
        <f>BR8/BR$6</f>
        <v>0.33333333333333331</v>
      </c>
      <c r="BS2">
        <f>BS8/BS$6</f>
        <v>0.33333333333333331</v>
      </c>
      <c r="BT2">
        <f>BT8/BT$6</f>
        <v>0.33333333333333331</v>
      </c>
      <c r="BU2">
        <f>BU8/BU$6</f>
        <v>0.33333333333333331</v>
      </c>
      <c r="BV2">
        <f>BV8/BV$6</f>
        <v>0.33333333333333331</v>
      </c>
      <c r="BW2">
        <f>BW8/BW$6</f>
        <v>0.33333333333333331</v>
      </c>
      <c r="BX2">
        <f>BX8/BX$6</f>
        <v>0.33333333333333331</v>
      </c>
      <c r="BY2">
        <f>BY8/BY$6</f>
        <v>0.33333333333333331</v>
      </c>
      <c r="BZ2">
        <f>BZ8/BZ$6</f>
        <v>0.33333333333333331</v>
      </c>
      <c r="CA2">
        <f>CA8/CA$6</f>
        <v>0.33333333333333331</v>
      </c>
      <c r="CB2">
        <f>CB8/CB$6</f>
        <v>0.33333333333333331</v>
      </c>
      <c r="CC2">
        <f>CC8/CC$6</f>
        <v>0.33333333333333331</v>
      </c>
      <c r="CD2">
        <f>CD8/CD$6</f>
        <v>0.33333333333333331</v>
      </c>
      <c r="CE2">
        <f>CE8/CE$6</f>
        <v>0.33333333333333331</v>
      </c>
      <c r="CF2">
        <f>CF8/CF$6</f>
        <v>0.33333333333333331</v>
      </c>
      <c r="CG2">
        <f>CG8/CG$6</f>
        <v>0.33333333333333331</v>
      </c>
      <c r="CH2">
        <f>CH8/CH$6</f>
        <v>0.33333333333333331</v>
      </c>
      <c r="CI2">
        <f>CI8/CI$6</f>
        <v>0.33333333333333331</v>
      </c>
      <c r="CJ2">
        <f>CJ8/CJ$6</f>
        <v>0.33333333333333331</v>
      </c>
      <c r="CK2">
        <f>CK8/CK$6</f>
        <v>0.33333333333333331</v>
      </c>
      <c r="CL2">
        <f>CL8/CL$6</f>
        <v>0.33333333333333331</v>
      </c>
      <c r="CM2">
        <f>CM8/CM$6</f>
        <v>0.33333333333333331</v>
      </c>
      <c r="CN2">
        <f>CN8/CN$6</f>
        <v>0.33333333333333331</v>
      </c>
    </row>
    <row r="3" spans="1:92" x14ac:dyDescent="0.25">
      <c r="A3" t="s">
        <v>103</v>
      </c>
      <c r="B3">
        <f>B9/B$6</f>
        <v>0</v>
      </c>
      <c r="C3">
        <f>C9/C$6</f>
        <v>0</v>
      </c>
      <c r="D3">
        <f>D9/D$6</f>
        <v>0</v>
      </c>
      <c r="E3">
        <f>E9/E$6</f>
        <v>0</v>
      </c>
      <c r="F3">
        <f>F9/F$6</f>
        <v>0</v>
      </c>
      <c r="G3">
        <f>G9/G$6</f>
        <v>0.5</v>
      </c>
      <c r="H3">
        <f>H9/H$6</f>
        <v>0.5</v>
      </c>
      <c r="I3">
        <f>I9/I$6</f>
        <v>0.5</v>
      </c>
      <c r="J3">
        <f>J9/J$6</f>
        <v>0.5</v>
      </c>
      <c r="K3">
        <f>K9/K$6</f>
        <v>0.5</v>
      </c>
      <c r="L3">
        <f>L9/L$6</f>
        <v>0.5</v>
      </c>
      <c r="M3">
        <f>M9/M$6</f>
        <v>0.47619047619047616</v>
      </c>
      <c r="N3">
        <f>N9/N$6</f>
        <v>0.45454545454545453</v>
      </c>
      <c r="O3">
        <f>O9/O$6</f>
        <v>0.43478260869565222</v>
      </c>
      <c r="P3">
        <f>P9/P$6</f>
        <v>0.41666666666666669</v>
      </c>
      <c r="Q3">
        <f>Q9/Q$6</f>
        <v>0.4</v>
      </c>
      <c r="R3">
        <f>R9/R$6</f>
        <v>0.38461538461538458</v>
      </c>
      <c r="S3">
        <f>S9/S$6</f>
        <v>0.37037037037037035</v>
      </c>
      <c r="T3">
        <f>T9/T$6</f>
        <v>0.35714285714285715</v>
      </c>
      <c r="U3">
        <f>U9/U$6</f>
        <v>0.34482758620689657</v>
      </c>
      <c r="V3">
        <f>V9/V$6</f>
        <v>0.33333333333333331</v>
      </c>
      <c r="W3">
        <f>W9/W$6</f>
        <v>0.33333333333333331</v>
      </c>
      <c r="X3">
        <f>X9/X$6</f>
        <v>0.33333333333333331</v>
      </c>
      <c r="Y3">
        <f>Y9/Y$6</f>
        <v>0.33333333333333331</v>
      </c>
      <c r="Z3">
        <f>Z9/Z$6</f>
        <v>0.33333333333333331</v>
      </c>
      <c r="AA3">
        <f>AA9/AA$6</f>
        <v>0.33333333333333331</v>
      </c>
      <c r="AB3">
        <f>AB9/AB$6</f>
        <v>0.33333333333333331</v>
      </c>
      <c r="AC3">
        <f>AC9/AC$6</f>
        <v>0.33333333333333331</v>
      </c>
      <c r="AD3">
        <f>AD9/AD$6</f>
        <v>0.33333333333333331</v>
      </c>
      <c r="AE3">
        <f>AE9/AE$6</f>
        <v>0.33333333333333331</v>
      </c>
      <c r="AF3">
        <f>AF9/AF$6</f>
        <v>0.33333333333333331</v>
      </c>
      <c r="AG3">
        <f>AG9/AG$6</f>
        <v>0.33333333333333331</v>
      </c>
      <c r="AH3">
        <f>AH9/AH$6</f>
        <v>0.33333333333333331</v>
      </c>
      <c r="AI3">
        <f>AI9/AI$6</f>
        <v>0.33333333333333331</v>
      </c>
      <c r="AJ3">
        <f>AJ9/AJ$6</f>
        <v>0.33333333333333331</v>
      </c>
      <c r="AK3">
        <f>AK9/AK$6</f>
        <v>0.33333333333333331</v>
      </c>
      <c r="AL3">
        <f>AL9/AL$6</f>
        <v>0.33333333333333331</v>
      </c>
      <c r="AM3">
        <f>AM9/AM$6</f>
        <v>0.33333333333333331</v>
      </c>
      <c r="AN3">
        <f>AN9/AN$6</f>
        <v>0.33333333333333331</v>
      </c>
      <c r="AO3">
        <f>AO9/AO$6</f>
        <v>0.33333333333333331</v>
      </c>
      <c r="AP3">
        <f>AP9/AP$6</f>
        <v>0.33333333333333331</v>
      </c>
      <c r="AQ3">
        <f>AQ9/AQ$6</f>
        <v>0.33333333333333331</v>
      </c>
      <c r="AR3">
        <f>AR9/AR$6</f>
        <v>0.33333333333333331</v>
      </c>
      <c r="AS3">
        <f>AS9/AS$6</f>
        <v>0.33333333333333331</v>
      </c>
      <c r="AT3">
        <f>AT9/AT$6</f>
        <v>0.33333333333333331</v>
      </c>
      <c r="AU3">
        <f>AU9/AU$6</f>
        <v>0.33333333333333331</v>
      </c>
      <c r="AV3">
        <f>AV9/AV$6</f>
        <v>0.33333333333333331</v>
      </c>
      <c r="AW3">
        <f>AW9/AW$6</f>
        <v>0.33333333333333331</v>
      </c>
      <c r="AX3">
        <f>AX9/AX$6</f>
        <v>0.33333333333333331</v>
      </c>
      <c r="AY3">
        <f>AY9/AY$6</f>
        <v>0.33333333333333331</v>
      </c>
      <c r="AZ3">
        <f>AZ9/AZ$6</f>
        <v>0.33333333333333331</v>
      </c>
      <c r="BA3">
        <f>BA9/BA$6</f>
        <v>0.33333333333333331</v>
      </c>
      <c r="BB3">
        <f>BB9/BB$6</f>
        <v>0.33333333333333331</v>
      </c>
      <c r="BC3">
        <f>BC9/BC$6</f>
        <v>0.33333333333333331</v>
      </c>
      <c r="BD3">
        <f>BD9/BD$6</f>
        <v>0.33333333333333331</v>
      </c>
      <c r="BE3">
        <f>BE9/BE$6</f>
        <v>0.33333333333333331</v>
      </c>
      <c r="BF3">
        <f>BF9/BF$6</f>
        <v>0.33333333333333331</v>
      </c>
      <c r="BG3">
        <f>BG9/BG$6</f>
        <v>0.33333333333333331</v>
      </c>
      <c r="BH3">
        <f>BH9/BH$6</f>
        <v>0.33333333333333331</v>
      </c>
      <c r="BI3">
        <f>BI9/BI$6</f>
        <v>0.33333333333333331</v>
      </c>
      <c r="BJ3">
        <f>BJ9/BJ$6</f>
        <v>0.33333333333333331</v>
      </c>
      <c r="BK3">
        <f>BK9/BK$6</f>
        <v>0.33333333333333331</v>
      </c>
      <c r="BL3">
        <f>BL9/BL$6</f>
        <v>0.33333333333333331</v>
      </c>
      <c r="BM3">
        <f>BM9/BM$6</f>
        <v>0.33333333333333331</v>
      </c>
      <c r="BN3">
        <f>BN9/BN$6</f>
        <v>0.33333333333333331</v>
      </c>
      <c r="BO3">
        <f>BO9/BO$6</f>
        <v>0.33333333333333331</v>
      </c>
      <c r="BP3">
        <f>BP9/BP$6</f>
        <v>0.33333333333333331</v>
      </c>
      <c r="BQ3">
        <f>BQ9/BQ$6</f>
        <v>0.33333333333333331</v>
      </c>
      <c r="BR3">
        <f>BR9/BR$6</f>
        <v>0.33333333333333331</v>
      </c>
      <c r="BS3">
        <f>BS9/BS$6</f>
        <v>0.33333333333333331</v>
      </c>
      <c r="BT3">
        <f>BT9/BT$6</f>
        <v>0.33333333333333331</v>
      </c>
      <c r="BU3">
        <f>BU9/BU$6</f>
        <v>0.33333333333333331</v>
      </c>
      <c r="BV3">
        <f>BV9/BV$6</f>
        <v>0.33333333333333331</v>
      </c>
      <c r="BW3">
        <f>BW9/BW$6</f>
        <v>0.33333333333333331</v>
      </c>
      <c r="BX3">
        <f>BX9/BX$6</f>
        <v>0.33333333333333331</v>
      </c>
      <c r="BY3">
        <f>BY9/BY$6</f>
        <v>0.33333333333333331</v>
      </c>
      <c r="BZ3">
        <f>BZ9/BZ$6</f>
        <v>0.33333333333333331</v>
      </c>
      <c r="CA3">
        <f>CA9/CA$6</f>
        <v>0.33333333333333331</v>
      </c>
      <c r="CB3">
        <f>CB9/CB$6</f>
        <v>0.33333333333333331</v>
      </c>
      <c r="CC3">
        <f>CC9/CC$6</f>
        <v>0.33333333333333331</v>
      </c>
      <c r="CD3">
        <f>CD9/CD$6</f>
        <v>0.33333333333333331</v>
      </c>
      <c r="CE3">
        <f>CE9/CE$6</f>
        <v>0.33333333333333331</v>
      </c>
      <c r="CF3">
        <f>CF9/CF$6</f>
        <v>0.33333333333333331</v>
      </c>
      <c r="CG3">
        <f>CG9/CG$6</f>
        <v>0.33333333333333331</v>
      </c>
      <c r="CH3">
        <f>CH9/CH$6</f>
        <v>0.33333333333333331</v>
      </c>
      <c r="CI3">
        <f>CI9/CI$6</f>
        <v>0.33333333333333331</v>
      </c>
      <c r="CJ3">
        <f>CJ9/CJ$6</f>
        <v>0.33333333333333331</v>
      </c>
      <c r="CK3">
        <f>CK9/CK$6</f>
        <v>0.33333333333333331</v>
      </c>
      <c r="CL3">
        <f>CL9/CL$6</f>
        <v>0.33333333333333331</v>
      </c>
      <c r="CM3">
        <f>CM9/CM$6</f>
        <v>0.33333333333333331</v>
      </c>
      <c r="CN3">
        <f>CN9/CN$6</f>
        <v>0.33333333333333331</v>
      </c>
    </row>
    <row r="4" spans="1:92" x14ac:dyDescent="0.25">
      <c r="A4" t="s">
        <v>35</v>
      </c>
      <c r="B4">
        <f>B10/B$6</f>
        <v>0</v>
      </c>
      <c r="C4">
        <f>C10/C$6</f>
        <v>0</v>
      </c>
      <c r="D4">
        <f>D10/D$6</f>
        <v>0</v>
      </c>
      <c r="E4">
        <f>E10/E$6</f>
        <v>0</v>
      </c>
      <c r="F4">
        <f>F10/F$6</f>
        <v>0</v>
      </c>
      <c r="G4">
        <f>G10/G$6</f>
        <v>0</v>
      </c>
      <c r="H4">
        <f>H10/H$6</f>
        <v>0</v>
      </c>
      <c r="I4">
        <f>I10/I$6</f>
        <v>0</v>
      </c>
      <c r="J4">
        <f>J10/J$6</f>
        <v>0</v>
      </c>
      <c r="K4">
        <f>K10/K$6</f>
        <v>0</v>
      </c>
      <c r="L4">
        <f>L10/L$6</f>
        <v>0</v>
      </c>
      <c r="M4">
        <f>M10/M$6</f>
        <v>4.7619047619047616E-2</v>
      </c>
      <c r="N4">
        <f>N10/N$6</f>
        <v>9.0909090909090912E-2</v>
      </c>
      <c r="O4">
        <f>O10/O$6</f>
        <v>0.13043478260869568</v>
      </c>
      <c r="P4">
        <f>P10/P$6</f>
        <v>0.16666666666666669</v>
      </c>
      <c r="Q4">
        <f>Q10/Q$6</f>
        <v>0.2</v>
      </c>
      <c r="R4">
        <f>R10/R$6</f>
        <v>0.23076923076923075</v>
      </c>
      <c r="S4">
        <f>S10/S$6</f>
        <v>0.25925925925925924</v>
      </c>
      <c r="T4">
        <f>T10/T$6</f>
        <v>0.2857142857142857</v>
      </c>
      <c r="U4">
        <f>U10/U$6</f>
        <v>0.31034482758620685</v>
      </c>
      <c r="V4">
        <f>V10/V$6</f>
        <v>0.33333333333333331</v>
      </c>
      <c r="W4">
        <f>W10/W$6</f>
        <v>0.33333333333333331</v>
      </c>
      <c r="X4">
        <f>X10/X$6</f>
        <v>0.33333333333333331</v>
      </c>
      <c r="Y4">
        <f>Y10/Y$6</f>
        <v>0.33333333333333331</v>
      </c>
      <c r="Z4">
        <f>Z10/Z$6</f>
        <v>0.33333333333333331</v>
      </c>
      <c r="AA4">
        <f>AA10/AA$6</f>
        <v>0.33333333333333331</v>
      </c>
      <c r="AB4">
        <f>AB10/AB$6</f>
        <v>0.33333333333333331</v>
      </c>
      <c r="AC4">
        <f>AC10/AC$6</f>
        <v>0.33333333333333331</v>
      </c>
      <c r="AD4">
        <f>AD10/AD$6</f>
        <v>0.33333333333333331</v>
      </c>
      <c r="AE4">
        <f>AE10/AE$6</f>
        <v>0.33333333333333331</v>
      </c>
      <c r="AF4">
        <f>AF10/AF$6</f>
        <v>0.33333333333333331</v>
      </c>
      <c r="AG4">
        <f>AG10/AG$6</f>
        <v>0.33333333333333331</v>
      </c>
      <c r="AH4">
        <f>AH10/AH$6</f>
        <v>0.33333333333333331</v>
      </c>
      <c r="AI4">
        <f>AI10/AI$6</f>
        <v>0.33333333333333331</v>
      </c>
      <c r="AJ4">
        <f>AJ10/AJ$6</f>
        <v>0.33333333333333331</v>
      </c>
      <c r="AK4">
        <f>AK10/AK$6</f>
        <v>0.33333333333333331</v>
      </c>
      <c r="AL4">
        <f>AL10/AL$6</f>
        <v>0.33333333333333331</v>
      </c>
      <c r="AM4">
        <f>AM10/AM$6</f>
        <v>0.33333333333333331</v>
      </c>
      <c r="AN4">
        <f>AN10/AN$6</f>
        <v>0.33333333333333331</v>
      </c>
      <c r="AO4">
        <f>AO10/AO$6</f>
        <v>0.33333333333333331</v>
      </c>
      <c r="AP4">
        <f>AP10/AP$6</f>
        <v>0.33333333333333331</v>
      </c>
      <c r="AQ4">
        <f>AQ10/AQ$6</f>
        <v>0.33333333333333331</v>
      </c>
      <c r="AR4">
        <f>AR10/AR$6</f>
        <v>0.33333333333333331</v>
      </c>
      <c r="AS4">
        <f>AS10/AS$6</f>
        <v>0.33333333333333331</v>
      </c>
      <c r="AT4">
        <f>AT10/AT$6</f>
        <v>0.33333333333333331</v>
      </c>
      <c r="AU4">
        <f>AU10/AU$6</f>
        <v>0.33333333333333331</v>
      </c>
      <c r="AV4">
        <f>AV10/AV$6</f>
        <v>0.33333333333333331</v>
      </c>
      <c r="AW4">
        <f>AW10/AW$6</f>
        <v>0.33333333333333331</v>
      </c>
      <c r="AX4">
        <f>AX10/AX$6</f>
        <v>0.33333333333333331</v>
      </c>
      <c r="AY4">
        <f>AY10/AY$6</f>
        <v>0.33333333333333331</v>
      </c>
      <c r="AZ4">
        <f>AZ10/AZ$6</f>
        <v>0.33333333333333331</v>
      </c>
      <c r="BA4">
        <f>BA10/BA$6</f>
        <v>0.33333333333333331</v>
      </c>
      <c r="BB4">
        <f>BB10/BB$6</f>
        <v>0.33333333333333331</v>
      </c>
      <c r="BC4">
        <f>BC10/BC$6</f>
        <v>0.33333333333333331</v>
      </c>
      <c r="BD4">
        <f>BD10/BD$6</f>
        <v>0.33333333333333331</v>
      </c>
      <c r="BE4">
        <f>BE10/BE$6</f>
        <v>0.33333333333333331</v>
      </c>
      <c r="BF4">
        <f>BF10/BF$6</f>
        <v>0.33333333333333331</v>
      </c>
      <c r="BG4">
        <f>BG10/BG$6</f>
        <v>0.33333333333333331</v>
      </c>
      <c r="BH4">
        <f>BH10/BH$6</f>
        <v>0.33333333333333331</v>
      </c>
      <c r="BI4">
        <f>BI10/BI$6</f>
        <v>0.33333333333333331</v>
      </c>
      <c r="BJ4">
        <f>BJ10/BJ$6</f>
        <v>0.33333333333333331</v>
      </c>
      <c r="BK4">
        <f>BK10/BK$6</f>
        <v>0.33333333333333331</v>
      </c>
      <c r="BL4">
        <f>BL10/BL$6</f>
        <v>0.33333333333333331</v>
      </c>
      <c r="BM4">
        <f>BM10/BM$6</f>
        <v>0.33333333333333331</v>
      </c>
      <c r="BN4">
        <f>BN10/BN$6</f>
        <v>0.33333333333333331</v>
      </c>
      <c r="BO4">
        <f>BO10/BO$6</f>
        <v>0.33333333333333331</v>
      </c>
      <c r="BP4">
        <f>BP10/BP$6</f>
        <v>0.33333333333333331</v>
      </c>
      <c r="BQ4">
        <f>BQ10/BQ$6</f>
        <v>0.33333333333333331</v>
      </c>
      <c r="BR4">
        <f>BR10/BR$6</f>
        <v>0.33333333333333331</v>
      </c>
      <c r="BS4">
        <f>BS10/BS$6</f>
        <v>0.33333333333333331</v>
      </c>
      <c r="BT4">
        <f>BT10/BT$6</f>
        <v>0.33333333333333331</v>
      </c>
      <c r="BU4">
        <f>BU10/BU$6</f>
        <v>0.33333333333333331</v>
      </c>
      <c r="BV4">
        <f>BV10/BV$6</f>
        <v>0.33333333333333331</v>
      </c>
      <c r="BW4">
        <f>BW10/BW$6</f>
        <v>0.33333333333333331</v>
      </c>
      <c r="BX4">
        <f>BX10/BX$6</f>
        <v>0.33333333333333331</v>
      </c>
      <c r="BY4">
        <f>BY10/BY$6</f>
        <v>0.33333333333333331</v>
      </c>
      <c r="BZ4">
        <f>BZ10/BZ$6</f>
        <v>0.33333333333333331</v>
      </c>
      <c r="CA4">
        <f>CA10/CA$6</f>
        <v>0.33333333333333331</v>
      </c>
      <c r="CB4">
        <f>CB10/CB$6</f>
        <v>0.33333333333333331</v>
      </c>
      <c r="CC4">
        <f>CC10/CC$6</f>
        <v>0.33333333333333331</v>
      </c>
      <c r="CD4">
        <f>CD10/CD$6</f>
        <v>0.33333333333333331</v>
      </c>
      <c r="CE4">
        <f>CE10/CE$6</f>
        <v>0.33333333333333331</v>
      </c>
      <c r="CF4">
        <f>CF10/CF$6</f>
        <v>0.33333333333333331</v>
      </c>
      <c r="CG4">
        <f>CG10/CG$6</f>
        <v>0.33333333333333331</v>
      </c>
      <c r="CH4">
        <f>CH10/CH$6</f>
        <v>0.33333333333333331</v>
      </c>
      <c r="CI4">
        <f>CI10/CI$6</f>
        <v>0.33333333333333331</v>
      </c>
      <c r="CJ4">
        <f>CJ10/CJ$6</f>
        <v>0.33333333333333331</v>
      </c>
      <c r="CK4">
        <f>CK10/CK$6</f>
        <v>0.33333333333333331</v>
      </c>
      <c r="CL4">
        <f>CL10/CL$6</f>
        <v>0.33333333333333331</v>
      </c>
      <c r="CM4">
        <f>CM10/CM$6</f>
        <v>0.33333333333333331</v>
      </c>
      <c r="CN4">
        <f>CN10/CN$6</f>
        <v>0.33333333333333331</v>
      </c>
    </row>
    <row r="6" spans="1:92" x14ac:dyDescent="0.25">
      <c r="A6" t="s">
        <v>104</v>
      </c>
      <c r="B6">
        <f>SUM(B8:B10)</f>
        <v>1</v>
      </c>
      <c r="C6">
        <f>SUM(C8:C10)</f>
        <v>1</v>
      </c>
      <c r="D6">
        <f>SUM(D8:D10)</f>
        <v>1</v>
      </c>
      <c r="E6">
        <f>SUM(E8:E10)</f>
        <v>1</v>
      </c>
      <c r="F6">
        <f>SUM(F8:F10)</f>
        <v>1</v>
      </c>
      <c r="G6">
        <f>SUM(G8:G10)</f>
        <v>2</v>
      </c>
      <c r="H6">
        <f>SUM(H8:H10)</f>
        <v>2</v>
      </c>
      <c r="I6">
        <f>SUM(I8:I10)</f>
        <v>2</v>
      </c>
      <c r="J6">
        <f>SUM(J8:J10)</f>
        <v>2</v>
      </c>
      <c r="K6">
        <f>SUM(K8:K10)</f>
        <v>2</v>
      </c>
      <c r="L6">
        <f>SUM(L8:L10)</f>
        <v>2</v>
      </c>
      <c r="M6">
        <f>SUM(M8:M10)</f>
        <v>2.1</v>
      </c>
      <c r="N6">
        <f>SUM(N8:N10)</f>
        <v>2.2000000000000002</v>
      </c>
      <c r="O6">
        <f>SUM(O8:O10)</f>
        <v>2.2999999999999998</v>
      </c>
      <c r="P6">
        <f>SUM(P8:P10)</f>
        <v>2.4</v>
      </c>
      <c r="Q6">
        <f>SUM(Q8:Q10)</f>
        <v>2.5</v>
      </c>
      <c r="R6">
        <f>SUM(R8:R10)</f>
        <v>2.6</v>
      </c>
      <c r="S6">
        <f>SUM(S8:S10)</f>
        <v>2.7</v>
      </c>
      <c r="T6">
        <f>SUM(T8:T10)</f>
        <v>2.8</v>
      </c>
      <c r="U6">
        <f>SUM(U8:U10)</f>
        <v>2.9</v>
      </c>
      <c r="V6">
        <f>SUM(V8:V10)</f>
        <v>3</v>
      </c>
      <c r="W6">
        <f>SUM(W8:W10)</f>
        <v>3</v>
      </c>
      <c r="X6">
        <f>SUM(X8:X10)</f>
        <v>3</v>
      </c>
      <c r="Y6">
        <f>SUM(Y8:Y10)</f>
        <v>3</v>
      </c>
      <c r="Z6">
        <f>SUM(Z8:Z10)</f>
        <v>3</v>
      </c>
      <c r="AA6">
        <f>SUM(AA8:AA10)</f>
        <v>3</v>
      </c>
      <c r="AB6">
        <f>SUM(AB8:AB10)</f>
        <v>3</v>
      </c>
      <c r="AC6">
        <f>SUM(AC8:AC10)</f>
        <v>3</v>
      </c>
      <c r="AD6">
        <f>SUM(AD8:AD10)</f>
        <v>3</v>
      </c>
      <c r="AE6">
        <f>SUM(AE8:AE10)</f>
        <v>3</v>
      </c>
      <c r="AF6">
        <f>SUM(AF8:AF10)</f>
        <v>3</v>
      </c>
      <c r="AG6">
        <f>SUM(AG8:AG10)</f>
        <v>3</v>
      </c>
      <c r="AH6">
        <f>SUM(AH8:AH10)</f>
        <v>3</v>
      </c>
      <c r="AI6">
        <f>SUM(AI8:AI10)</f>
        <v>3</v>
      </c>
      <c r="AJ6">
        <f>SUM(AJ8:AJ10)</f>
        <v>3</v>
      </c>
      <c r="AK6">
        <f>SUM(AK8:AK10)</f>
        <v>3</v>
      </c>
      <c r="AL6">
        <f>SUM(AL8:AL10)</f>
        <v>3</v>
      </c>
      <c r="AM6">
        <f>SUM(AM8:AM10)</f>
        <v>3</v>
      </c>
      <c r="AN6">
        <f>SUM(AN8:AN10)</f>
        <v>3</v>
      </c>
      <c r="AO6">
        <f>SUM(AO8:AO10)</f>
        <v>3</v>
      </c>
      <c r="AP6">
        <f>SUM(AP8:AP10)</f>
        <v>3</v>
      </c>
      <c r="AQ6">
        <f>SUM(AQ8:AQ10)</f>
        <v>3</v>
      </c>
      <c r="AR6">
        <f>SUM(AR8:AR10)</f>
        <v>3</v>
      </c>
      <c r="AS6">
        <f>SUM(AS8:AS10)</f>
        <v>3</v>
      </c>
      <c r="AT6">
        <f>SUM(AT8:AT10)</f>
        <v>3</v>
      </c>
      <c r="AU6">
        <f>SUM(AU8:AU10)</f>
        <v>3</v>
      </c>
      <c r="AV6">
        <f>SUM(AV8:AV10)</f>
        <v>3</v>
      </c>
      <c r="AW6">
        <f>SUM(AW8:AW10)</f>
        <v>3</v>
      </c>
      <c r="AX6">
        <f>SUM(AX8:AX10)</f>
        <v>3</v>
      </c>
      <c r="AY6">
        <f>SUM(AY8:AY10)</f>
        <v>3</v>
      </c>
      <c r="AZ6">
        <f>SUM(AZ8:AZ10)</f>
        <v>3</v>
      </c>
      <c r="BA6">
        <f>SUM(BA8:BA10)</f>
        <v>3</v>
      </c>
      <c r="BB6">
        <f>SUM(BB8:BB10)</f>
        <v>3</v>
      </c>
      <c r="BC6">
        <f>SUM(BC8:BC10)</f>
        <v>3</v>
      </c>
      <c r="BD6">
        <f>SUM(BD8:BD10)</f>
        <v>3</v>
      </c>
      <c r="BE6">
        <f>SUM(BE8:BE10)</f>
        <v>3</v>
      </c>
      <c r="BF6">
        <f>SUM(BF8:BF10)</f>
        <v>3</v>
      </c>
      <c r="BG6">
        <f>SUM(BG8:BG10)</f>
        <v>3</v>
      </c>
      <c r="BH6">
        <f>SUM(BH8:BH10)</f>
        <v>3</v>
      </c>
      <c r="BI6">
        <f>SUM(BI8:BI10)</f>
        <v>3</v>
      </c>
      <c r="BJ6">
        <f>SUM(BJ8:BJ10)</f>
        <v>3</v>
      </c>
      <c r="BK6">
        <f>SUM(BK8:BK10)</f>
        <v>3</v>
      </c>
      <c r="BL6">
        <f>SUM(BL8:BL10)</f>
        <v>3</v>
      </c>
      <c r="BM6">
        <f>SUM(BM8:BM10)</f>
        <v>3</v>
      </c>
      <c r="BN6">
        <f>SUM(BN8:BN10)</f>
        <v>3</v>
      </c>
      <c r="BO6">
        <f>SUM(BO8:BO10)</f>
        <v>3</v>
      </c>
      <c r="BP6">
        <f>SUM(BP8:BP10)</f>
        <v>3</v>
      </c>
      <c r="BQ6">
        <f>SUM(BQ8:BQ10)</f>
        <v>3</v>
      </c>
      <c r="BR6">
        <f>SUM(BR8:BR10)</f>
        <v>3</v>
      </c>
      <c r="BS6">
        <f>SUM(BS8:BS10)</f>
        <v>3</v>
      </c>
      <c r="BT6">
        <f>SUM(BT8:BT10)</f>
        <v>3</v>
      </c>
      <c r="BU6">
        <f>SUM(BU8:BU10)</f>
        <v>3</v>
      </c>
      <c r="BV6">
        <f>SUM(BV8:BV10)</f>
        <v>3</v>
      </c>
      <c r="BW6">
        <f>SUM(BW8:BW10)</f>
        <v>3</v>
      </c>
      <c r="BX6">
        <f>SUM(BX8:BX10)</f>
        <v>3</v>
      </c>
      <c r="BY6">
        <f>SUM(BY8:BY10)</f>
        <v>3</v>
      </c>
      <c r="BZ6">
        <f>SUM(BZ8:BZ10)</f>
        <v>3</v>
      </c>
      <c r="CA6">
        <f>SUM(CA8:CA10)</f>
        <v>3</v>
      </c>
      <c r="CB6">
        <f>SUM(CB8:CB10)</f>
        <v>3</v>
      </c>
      <c r="CC6">
        <f>SUM(CC8:CC10)</f>
        <v>3</v>
      </c>
      <c r="CD6">
        <f>SUM(CD8:CD10)</f>
        <v>3</v>
      </c>
      <c r="CE6">
        <f>SUM(CE8:CE10)</f>
        <v>3</v>
      </c>
      <c r="CF6">
        <f>SUM(CF8:CF10)</f>
        <v>3</v>
      </c>
      <c r="CG6">
        <f>SUM(CG8:CG10)</f>
        <v>3</v>
      </c>
      <c r="CH6">
        <f>SUM(CH8:CH10)</f>
        <v>3</v>
      </c>
      <c r="CI6">
        <f>SUM(CI8:CI10)</f>
        <v>3</v>
      </c>
      <c r="CJ6">
        <f>SUM(CJ8:CJ10)</f>
        <v>3</v>
      </c>
      <c r="CK6">
        <f>SUM(CK8:CK10)</f>
        <v>3</v>
      </c>
      <c r="CL6">
        <f>SUM(CL8:CL10)</f>
        <v>3</v>
      </c>
      <c r="CM6">
        <f>SUM(CM8:CM10)</f>
        <v>3</v>
      </c>
      <c r="CN6">
        <f>SUM(CN8:CN10)</f>
        <v>3</v>
      </c>
    </row>
    <row r="8" spans="1:92" x14ac:dyDescent="0.25">
      <c r="A8" t="s">
        <v>102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U8">
        <v>1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1</v>
      </c>
      <c r="CH8">
        <v>1</v>
      </c>
      <c r="CI8">
        <v>1</v>
      </c>
      <c r="CJ8">
        <v>1</v>
      </c>
      <c r="CK8">
        <v>1</v>
      </c>
      <c r="CL8">
        <v>1</v>
      </c>
      <c r="CM8">
        <v>1</v>
      </c>
      <c r="CN8">
        <v>1</v>
      </c>
    </row>
    <row r="9" spans="1:92" x14ac:dyDescent="0.25">
      <c r="A9" t="s">
        <v>103</v>
      </c>
      <c r="B9">
        <v>0</v>
      </c>
      <c r="C9">
        <v>0</v>
      </c>
      <c r="D9">
        <v>0</v>
      </c>
      <c r="E9">
        <v>0</v>
      </c>
      <c r="F9">
        <v>0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J9">
        <v>1</v>
      </c>
      <c r="CK9">
        <v>1</v>
      </c>
      <c r="CL9">
        <v>1</v>
      </c>
      <c r="CM9">
        <v>1</v>
      </c>
      <c r="CN9">
        <v>1</v>
      </c>
    </row>
    <row r="10" spans="1:92" x14ac:dyDescent="0.25">
      <c r="A10" t="s">
        <v>35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0.1</v>
      </c>
      <c r="N10">
        <f>M10+0.1</f>
        <v>0.2</v>
      </c>
      <c r="O10">
        <f t="shared" ref="O10:V10" si="2">N10+0.1</f>
        <v>0.30000000000000004</v>
      </c>
      <c r="P10">
        <f t="shared" si="2"/>
        <v>0.4</v>
      </c>
      <c r="Q10">
        <f t="shared" si="2"/>
        <v>0.5</v>
      </c>
      <c r="R10">
        <f t="shared" si="2"/>
        <v>0.6</v>
      </c>
      <c r="S10">
        <f t="shared" si="2"/>
        <v>0.7</v>
      </c>
      <c r="T10">
        <f t="shared" si="2"/>
        <v>0.79999999999999993</v>
      </c>
      <c r="U10">
        <f t="shared" si="2"/>
        <v>0.89999999999999991</v>
      </c>
      <c r="V10">
        <f t="shared" si="2"/>
        <v>0.99999999999999989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E8FD9-70E3-4A38-8AAF-3FCCDE4959EA}">
  <sheetPr codeName="Sheet11"/>
  <dimension ref="A1:CN10"/>
  <sheetViews>
    <sheetView workbookViewId="0">
      <selection activeCell="B9" sqref="B9:CN10"/>
    </sheetView>
  </sheetViews>
  <sheetFormatPr defaultRowHeight="15" x14ac:dyDescent="0.25"/>
  <sheetData>
    <row r="1" spans="1:92" x14ac:dyDescent="0.25">
      <c r="A1" t="s">
        <v>571</v>
      </c>
      <c r="B1">
        <v>2010</v>
      </c>
      <c r="C1">
        <f>B1+1</f>
        <v>2011</v>
      </c>
      <c r="D1">
        <f t="shared" ref="D1:BO1" si="0">C1+1</f>
        <v>2012</v>
      </c>
      <c r="E1">
        <f t="shared" si="0"/>
        <v>2013</v>
      </c>
      <c r="F1">
        <f t="shared" si="0"/>
        <v>2014</v>
      </c>
      <c r="G1">
        <f t="shared" si="0"/>
        <v>2015</v>
      </c>
      <c r="H1">
        <f t="shared" si="0"/>
        <v>2016</v>
      </c>
      <c r="I1">
        <f t="shared" si="0"/>
        <v>2017</v>
      </c>
      <c r="J1">
        <f t="shared" si="0"/>
        <v>2018</v>
      </c>
      <c r="K1">
        <f t="shared" si="0"/>
        <v>2019</v>
      </c>
      <c r="L1">
        <f t="shared" si="0"/>
        <v>2020</v>
      </c>
      <c r="M1">
        <f t="shared" si="0"/>
        <v>2021</v>
      </c>
      <c r="N1">
        <f t="shared" si="0"/>
        <v>2022</v>
      </c>
      <c r="O1">
        <f t="shared" si="0"/>
        <v>2023</v>
      </c>
      <c r="P1">
        <f t="shared" si="0"/>
        <v>2024</v>
      </c>
      <c r="Q1">
        <f t="shared" si="0"/>
        <v>2025</v>
      </c>
      <c r="R1">
        <f t="shared" si="0"/>
        <v>2026</v>
      </c>
      <c r="S1">
        <f t="shared" si="0"/>
        <v>2027</v>
      </c>
      <c r="T1">
        <f t="shared" si="0"/>
        <v>2028</v>
      </c>
      <c r="U1">
        <f t="shared" si="0"/>
        <v>2029</v>
      </c>
      <c r="V1">
        <f t="shared" si="0"/>
        <v>2030</v>
      </c>
      <c r="W1">
        <f t="shared" si="0"/>
        <v>2031</v>
      </c>
      <c r="X1">
        <f t="shared" si="0"/>
        <v>2032</v>
      </c>
      <c r="Y1">
        <f t="shared" si="0"/>
        <v>2033</v>
      </c>
      <c r="Z1">
        <f t="shared" si="0"/>
        <v>2034</v>
      </c>
      <c r="AA1">
        <f t="shared" si="0"/>
        <v>2035</v>
      </c>
      <c r="AB1">
        <f t="shared" si="0"/>
        <v>2036</v>
      </c>
      <c r="AC1">
        <f t="shared" si="0"/>
        <v>2037</v>
      </c>
      <c r="AD1">
        <f t="shared" si="0"/>
        <v>2038</v>
      </c>
      <c r="AE1">
        <f t="shared" si="0"/>
        <v>2039</v>
      </c>
      <c r="AF1">
        <f t="shared" si="0"/>
        <v>2040</v>
      </c>
      <c r="AG1">
        <f t="shared" si="0"/>
        <v>2041</v>
      </c>
      <c r="AH1">
        <f t="shared" si="0"/>
        <v>2042</v>
      </c>
      <c r="AI1">
        <f t="shared" si="0"/>
        <v>2043</v>
      </c>
      <c r="AJ1">
        <f t="shared" si="0"/>
        <v>2044</v>
      </c>
      <c r="AK1">
        <f t="shared" si="0"/>
        <v>2045</v>
      </c>
      <c r="AL1">
        <f t="shared" si="0"/>
        <v>2046</v>
      </c>
      <c r="AM1">
        <f t="shared" si="0"/>
        <v>2047</v>
      </c>
      <c r="AN1">
        <f t="shared" si="0"/>
        <v>2048</v>
      </c>
      <c r="AO1">
        <f t="shared" si="0"/>
        <v>2049</v>
      </c>
      <c r="AP1">
        <f t="shared" si="0"/>
        <v>2050</v>
      </c>
      <c r="AQ1">
        <f t="shared" si="0"/>
        <v>2051</v>
      </c>
      <c r="AR1">
        <f t="shared" si="0"/>
        <v>2052</v>
      </c>
      <c r="AS1">
        <f t="shared" si="0"/>
        <v>2053</v>
      </c>
      <c r="AT1">
        <f t="shared" si="0"/>
        <v>2054</v>
      </c>
      <c r="AU1">
        <f t="shared" si="0"/>
        <v>2055</v>
      </c>
      <c r="AV1">
        <f t="shared" si="0"/>
        <v>2056</v>
      </c>
      <c r="AW1">
        <f t="shared" si="0"/>
        <v>2057</v>
      </c>
      <c r="AX1">
        <f t="shared" si="0"/>
        <v>2058</v>
      </c>
      <c r="AY1">
        <f t="shared" si="0"/>
        <v>2059</v>
      </c>
      <c r="AZ1">
        <f t="shared" si="0"/>
        <v>2060</v>
      </c>
      <c r="BA1">
        <f t="shared" si="0"/>
        <v>2061</v>
      </c>
      <c r="BB1">
        <f t="shared" si="0"/>
        <v>2062</v>
      </c>
      <c r="BC1">
        <f t="shared" si="0"/>
        <v>2063</v>
      </c>
      <c r="BD1">
        <f t="shared" si="0"/>
        <v>2064</v>
      </c>
      <c r="BE1">
        <f t="shared" si="0"/>
        <v>2065</v>
      </c>
      <c r="BF1">
        <f t="shared" si="0"/>
        <v>2066</v>
      </c>
      <c r="BG1">
        <f t="shared" si="0"/>
        <v>2067</v>
      </c>
      <c r="BH1">
        <f t="shared" si="0"/>
        <v>2068</v>
      </c>
      <c r="BI1">
        <f t="shared" si="0"/>
        <v>2069</v>
      </c>
      <c r="BJ1">
        <f t="shared" si="0"/>
        <v>2070</v>
      </c>
      <c r="BK1">
        <f t="shared" si="0"/>
        <v>2071</v>
      </c>
      <c r="BL1">
        <f t="shared" si="0"/>
        <v>2072</v>
      </c>
      <c r="BM1">
        <f t="shared" si="0"/>
        <v>2073</v>
      </c>
      <c r="BN1">
        <f t="shared" si="0"/>
        <v>2074</v>
      </c>
      <c r="BO1">
        <f t="shared" si="0"/>
        <v>2075</v>
      </c>
      <c r="BP1">
        <f t="shared" ref="BP1:CN1" si="1">BO1+1</f>
        <v>2076</v>
      </c>
      <c r="BQ1">
        <f t="shared" si="1"/>
        <v>2077</v>
      </c>
      <c r="BR1">
        <f t="shared" si="1"/>
        <v>2078</v>
      </c>
      <c r="BS1">
        <f t="shared" si="1"/>
        <v>2079</v>
      </c>
      <c r="BT1">
        <f t="shared" si="1"/>
        <v>2080</v>
      </c>
      <c r="BU1">
        <f t="shared" si="1"/>
        <v>2081</v>
      </c>
      <c r="BV1">
        <f t="shared" si="1"/>
        <v>2082</v>
      </c>
      <c r="BW1">
        <f t="shared" si="1"/>
        <v>2083</v>
      </c>
      <c r="BX1">
        <f t="shared" si="1"/>
        <v>2084</v>
      </c>
      <c r="BY1">
        <f t="shared" si="1"/>
        <v>2085</v>
      </c>
      <c r="BZ1">
        <f t="shared" si="1"/>
        <v>2086</v>
      </c>
      <c r="CA1">
        <f t="shared" si="1"/>
        <v>2087</v>
      </c>
      <c r="CB1">
        <f t="shared" si="1"/>
        <v>2088</v>
      </c>
      <c r="CC1">
        <f t="shared" si="1"/>
        <v>2089</v>
      </c>
      <c r="CD1">
        <f t="shared" si="1"/>
        <v>2090</v>
      </c>
      <c r="CE1">
        <f t="shared" si="1"/>
        <v>2091</v>
      </c>
      <c r="CF1">
        <f t="shared" si="1"/>
        <v>2092</v>
      </c>
      <c r="CG1">
        <f t="shared" si="1"/>
        <v>2093</v>
      </c>
      <c r="CH1">
        <f t="shared" si="1"/>
        <v>2094</v>
      </c>
      <c r="CI1">
        <f t="shared" si="1"/>
        <v>2095</v>
      </c>
      <c r="CJ1">
        <f t="shared" si="1"/>
        <v>2096</v>
      </c>
      <c r="CK1">
        <f t="shared" si="1"/>
        <v>2097</v>
      </c>
      <c r="CL1">
        <f t="shared" si="1"/>
        <v>2098</v>
      </c>
      <c r="CM1">
        <f t="shared" si="1"/>
        <v>2099</v>
      </c>
      <c r="CN1">
        <f t="shared" si="1"/>
        <v>2100</v>
      </c>
    </row>
    <row r="2" spans="1:92" x14ac:dyDescent="0.25">
      <c r="A2" t="s">
        <v>572</v>
      </c>
      <c r="B2">
        <f>B8/B$6</f>
        <v>1</v>
      </c>
      <c r="C2">
        <f>C8/C$6</f>
        <v>1</v>
      </c>
      <c r="D2">
        <f>D8/D$6</f>
        <v>1</v>
      </c>
      <c r="E2">
        <f>E8/E$6</f>
        <v>1</v>
      </c>
      <c r="F2">
        <f>F8/F$6</f>
        <v>1</v>
      </c>
      <c r="G2">
        <f>G8/G$6</f>
        <v>1</v>
      </c>
      <c r="H2">
        <f>H8/H$6</f>
        <v>1</v>
      </c>
      <c r="I2">
        <f>I8/I$6</f>
        <v>1</v>
      </c>
      <c r="J2">
        <f>J8/J$6</f>
        <v>1</v>
      </c>
      <c r="K2">
        <f>K8/K$6</f>
        <v>1</v>
      </c>
      <c r="L2">
        <f>L8/L$6</f>
        <v>1</v>
      </c>
      <c r="M2">
        <f>M8/M$6</f>
        <v>1</v>
      </c>
      <c r="N2">
        <f>N8/N$6</f>
        <v>1</v>
      </c>
      <c r="O2">
        <f>O8/O$6</f>
        <v>1</v>
      </c>
      <c r="P2">
        <f>P8/P$6</f>
        <v>1</v>
      </c>
      <c r="Q2">
        <f>Q8/Q$6</f>
        <v>1</v>
      </c>
      <c r="R2">
        <f>R8/R$6</f>
        <v>1</v>
      </c>
      <c r="S2">
        <f>S8/S$6</f>
        <v>1</v>
      </c>
      <c r="T2">
        <f>T8/T$6</f>
        <v>1</v>
      </c>
      <c r="U2">
        <f>U8/U$6</f>
        <v>1</v>
      </c>
      <c r="V2">
        <f>V8/V$6</f>
        <v>1</v>
      </c>
      <c r="W2">
        <f>W8/W$6</f>
        <v>1</v>
      </c>
      <c r="X2">
        <f>X8/X$6</f>
        <v>1</v>
      </c>
      <c r="Y2">
        <f>Y8/Y$6</f>
        <v>1</v>
      </c>
      <c r="Z2">
        <f>Z8/Z$6</f>
        <v>1</v>
      </c>
      <c r="AA2">
        <f>AA8/AA$6</f>
        <v>1</v>
      </c>
      <c r="AB2">
        <f>AB8/AB$6</f>
        <v>1</v>
      </c>
      <c r="AC2">
        <f>AC8/AC$6</f>
        <v>1</v>
      </c>
      <c r="AD2">
        <f>AD8/AD$6</f>
        <v>1</v>
      </c>
      <c r="AE2">
        <f>AE8/AE$6</f>
        <v>1</v>
      </c>
      <c r="AF2">
        <f>AF8/AF$6</f>
        <v>1</v>
      </c>
      <c r="AG2">
        <f>AG8/AG$6</f>
        <v>1</v>
      </c>
      <c r="AH2">
        <f>AH8/AH$6</f>
        <v>1</v>
      </c>
      <c r="AI2">
        <f>AI8/AI$6</f>
        <v>1</v>
      </c>
      <c r="AJ2">
        <f>AJ8/AJ$6</f>
        <v>1</v>
      </c>
      <c r="AK2">
        <f>AK8/AK$6</f>
        <v>1</v>
      </c>
      <c r="AL2">
        <f>AL8/AL$6</f>
        <v>1</v>
      </c>
      <c r="AM2">
        <f>AM8/AM$6</f>
        <v>1</v>
      </c>
      <c r="AN2">
        <f>AN8/AN$6</f>
        <v>1</v>
      </c>
      <c r="AO2">
        <f>AO8/AO$6</f>
        <v>1</v>
      </c>
      <c r="AP2">
        <f>AP8/AP$6</f>
        <v>1</v>
      </c>
      <c r="AQ2">
        <f>AQ8/AQ$6</f>
        <v>1</v>
      </c>
      <c r="AR2">
        <f>AR8/AR$6</f>
        <v>1</v>
      </c>
      <c r="AS2">
        <f>AS8/AS$6</f>
        <v>1</v>
      </c>
      <c r="AT2">
        <f>AT8/AT$6</f>
        <v>1</v>
      </c>
      <c r="AU2">
        <f>AU8/AU$6</f>
        <v>1</v>
      </c>
      <c r="AV2">
        <f>AV8/AV$6</f>
        <v>1</v>
      </c>
      <c r="AW2">
        <f>AW8/AW$6</f>
        <v>1</v>
      </c>
      <c r="AX2">
        <f>AX8/AX$6</f>
        <v>1</v>
      </c>
      <c r="AY2">
        <f>AY8/AY$6</f>
        <v>1</v>
      </c>
      <c r="AZ2">
        <f>AZ8/AZ$6</f>
        <v>1</v>
      </c>
      <c r="BA2">
        <f>BA8/BA$6</f>
        <v>1</v>
      </c>
      <c r="BB2">
        <f>BB8/BB$6</f>
        <v>1</v>
      </c>
      <c r="BC2">
        <f>BC8/BC$6</f>
        <v>1</v>
      </c>
      <c r="BD2">
        <f>BD8/BD$6</f>
        <v>1</v>
      </c>
      <c r="BE2">
        <f>BE8/BE$6</f>
        <v>1</v>
      </c>
      <c r="BF2">
        <f>BF8/BF$6</f>
        <v>1</v>
      </c>
      <c r="BG2">
        <f>BG8/BG$6</f>
        <v>1</v>
      </c>
      <c r="BH2">
        <f>BH8/BH$6</f>
        <v>1</v>
      </c>
      <c r="BI2">
        <f>BI8/BI$6</f>
        <v>1</v>
      </c>
      <c r="BJ2">
        <f>BJ8/BJ$6</f>
        <v>1</v>
      </c>
      <c r="BK2">
        <f>BK8/BK$6</f>
        <v>1</v>
      </c>
      <c r="BL2">
        <f>BL8/BL$6</f>
        <v>1</v>
      </c>
      <c r="BM2">
        <f>BM8/BM$6</f>
        <v>1</v>
      </c>
      <c r="BN2">
        <f>BN8/BN$6</f>
        <v>1</v>
      </c>
      <c r="BO2">
        <f>BO8/BO$6</f>
        <v>1</v>
      </c>
      <c r="BP2">
        <f>BP8/BP$6</f>
        <v>1</v>
      </c>
      <c r="BQ2">
        <f>BQ8/BQ$6</f>
        <v>1</v>
      </c>
      <c r="BR2">
        <f>BR8/BR$6</f>
        <v>1</v>
      </c>
      <c r="BS2">
        <f>BS8/BS$6</f>
        <v>1</v>
      </c>
      <c r="BT2">
        <f>BT8/BT$6</f>
        <v>1</v>
      </c>
      <c r="BU2">
        <f>BU8/BU$6</f>
        <v>1</v>
      </c>
      <c r="BV2">
        <f>BV8/BV$6</f>
        <v>1</v>
      </c>
      <c r="BW2">
        <f>BW8/BW$6</f>
        <v>1</v>
      </c>
      <c r="BX2">
        <f>BX8/BX$6</f>
        <v>1</v>
      </c>
      <c r="BY2">
        <f>BY8/BY$6</f>
        <v>1</v>
      </c>
      <c r="BZ2">
        <f>BZ8/BZ$6</f>
        <v>1</v>
      </c>
      <c r="CA2">
        <f>CA8/CA$6</f>
        <v>1</v>
      </c>
      <c r="CB2">
        <f>CB8/CB$6</f>
        <v>1</v>
      </c>
      <c r="CC2">
        <f>CC8/CC$6</f>
        <v>1</v>
      </c>
      <c r="CD2">
        <f>CD8/CD$6</f>
        <v>1</v>
      </c>
      <c r="CE2">
        <f>CE8/CE$6</f>
        <v>1</v>
      </c>
      <c r="CF2">
        <f>CF8/CF$6</f>
        <v>1</v>
      </c>
      <c r="CG2">
        <f>CG8/CG$6</f>
        <v>1</v>
      </c>
      <c r="CH2">
        <f>CH8/CH$6</f>
        <v>1</v>
      </c>
      <c r="CI2">
        <f>CI8/CI$6</f>
        <v>1</v>
      </c>
      <c r="CJ2">
        <f>CJ8/CJ$6</f>
        <v>1</v>
      </c>
      <c r="CK2">
        <f>CK8/CK$6</f>
        <v>1</v>
      </c>
      <c r="CL2">
        <f>CL8/CL$6</f>
        <v>1</v>
      </c>
      <c r="CM2">
        <f>CM8/CM$6</f>
        <v>1</v>
      </c>
      <c r="CN2">
        <f>CN8/CN$6</f>
        <v>1</v>
      </c>
    </row>
    <row r="3" spans="1:92" x14ac:dyDescent="0.25">
      <c r="A3" t="s">
        <v>573</v>
      </c>
      <c r="B3">
        <f>B9/B$6</f>
        <v>0</v>
      </c>
      <c r="C3">
        <f>C9/C$6</f>
        <v>0</v>
      </c>
      <c r="D3">
        <f>D9/D$6</f>
        <v>0</v>
      </c>
      <c r="E3">
        <f>E9/E$6</f>
        <v>0</v>
      </c>
      <c r="F3">
        <f>F9/F$6</f>
        <v>0</v>
      </c>
      <c r="G3">
        <f>G9/G$6</f>
        <v>0</v>
      </c>
      <c r="H3">
        <f>H9/H$6</f>
        <v>0</v>
      </c>
      <c r="I3">
        <f>I9/I$6</f>
        <v>0</v>
      </c>
      <c r="J3">
        <f>J9/J$6</f>
        <v>0</v>
      </c>
      <c r="K3">
        <f>K9/K$6</f>
        <v>0</v>
      </c>
      <c r="L3">
        <f>L9/L$6</f>
        <v>0</v>
      </c>
      <c r="M3">
        <f>M9/M$6</f>
        <v>0</v>
      </c>
      <c r="N3">
        <f>N9/N$6</f>
        <v>0</v>
      </c>
      <c r="O3">
        <f>O9/O$6</f>
        <v>0</v>
      </c>
      <c r="P3">
        <f>P9/P$6</f>
        <v>0</v>
      </c>
      <c r="Q3">
        <f>Q9/Q$6</f>
        <v>0</v>
      </c>
      <c r="R3">
        <f>R9/R$6</f>
        <v>0</v>
      </c>
      <c r="S3">
        <f>S9/S$6</f>
        <v>0</v>
      </c>
      <c r="T3">
        <f>T9/T$6</f>
        <v>0</v>
      </c>
      <c r="U3">
        <f>U9/U$6</f>
        <v>0</v>
      </c>
      <c r="V3">
        <f>V9/V$6</f>
        <v>0</v>
      </c>
      <c r="W3">
        <f>W9/W$6</f>
        <v>0</v>
      </c>
      <c r="X3">
        <f>X9/X$6</f>
        <v>0</v>
      </c>
      <c r="Y3">
        <f>Y9/Y$6</f>
        <v>0</v>
      </c>
      <c r="Z3">
        <f>Z9/Z$6</f>
        <v>0</v>
      </c>
      <c r="AA3">
        <f>AA9/AA$6</f>
        <v>0</v>
      </c>
      <c r="AB3">
        <f>AB9/AB$6</f>
        <v>0</v>
      </c>
      <c r="AC3">
        <f>AC9/AC$6</f>
        <v>0</v>
      </c>
      <c r="AD3">
        <f>AD9/AD$6</f>
        <v>0</v>
      </c>
      <c r="AE3">
        <f>AE9/AE$6</f>
        <v>0</v>
      </c>
      <c r="AF3">
        <f>AF9/AF$6</f>
        <v>0</v>
      </c>
      <c r="AG3">
        <f>AG9/AG$6</f>
        <v>0</v>
      </c>
      <c r="AH3">
        <f>AH9/AH$6</f>
        <v>0</v>
      </c>
      <c r="AI3">
        <f>AI9/AI$6</f>
        <v>0</v>
      </c>
      <c r="AJ3">
        <f>AJ9/AJ$6</f>
        <v>0</v>
      </c>
      <c r="AK3">
        <f>AK9/AK$6</f>
        <v>0</v>
      </c>
      <c r="AL3">
        <f>AL9/AL$6</f>
        <v>0</v>
      </c>
      <c r="AM3">
        <f>AM9/AM$6</f>
        <v>0</v>
      </c>
      <c r="AN3">
        <f>AN9/AN$6</f>
        <v>0</v>
      </c>
      <c r="AO3">
        <f>AO9/AO$6</f>
        <v>0</v>
      </c>
      <c r="AP3">
        <f>AP9/AP$6</f>
        <v>0</v>
      </c>
      <c r="AQ3">
        <f>AQ9/AQ$6</f>
        <v>0</v>
      </c>
      <c r="AR3">
        <f>AR9/AR$6</f>
        <v>0</v>
      </c>
      <c r="AS3">
        <f>AS9/AS$6</f>
        <v>0</v>
      </c>
      <c r="AT3">
        <f>AT9/AT$6</f>
        <v>0</v>
      </c>
      <c r="AU3">
        <f>AU9/AU$6</f>
        <v>0</v>
      </c>
      <c r="AV3">
        <f>AV9/AV$6</f>
        <v>0</v>
      </c>
      <c r="AW3">
        <f>AW9/AW$6</f>
        <v>0</v>
      </c>
      <c r="AX3">
        <f>AX9/AX$6</f>
        <v>0</v>
      </c>
      <c r="AY3">
        <f>AY9/AY$6</f>
        <v>0</v>
      </c>
      <c r="AZ3">
        <f>AZ9/AZ$6</f>
        <v>0</v>
      </c>
      <c r="BA3">
        <f>BA9/BA$6</f>
        <v>0</v>
      </c>
      <c r="BB3">
        <f>BB9/BB$6</f>
        <v>0</v>
      </c>
      <c r="BC3">
        <f>BC9/BC$6</f>
        <v>0</v>
      </c>
      <c r="BD3">
        <f>BD9/BD$6</f>
        <v>0</v>
      </c>
      <c r="BE3">
        <f>BE9/BE$6</f>
        <v>0</v>
      </c>
      <c r="BF3">
        <f>BF9/BF$6</f>
        <v>0</v>
      </c>
      <c r="BG3">
        <f>BG9/BG$6</f>
        <v>0</v>
      </c>
      <c r="BH3">
        <f>BH9/BH$6</f>
        <v>0</v>
      </c>
      <c r="BI3">
        <f>BI9/BI$6</f>
        <v>0</v>
      </c>
      <c r="BJ3">
        <f>BJ9/BJ$6</f>
        <v>0</v>
      </c>
      <c r="BK3">
        <f>BK9/BK$6</f>
        <v>0</v>
      </c>
      <c r="BL3">
        <f>BL9/BL$6</f>
        <v>0</v>
      </c>
      <c r="BM3">
        <f>BM9/BM$6</f>
        <v>0</v>
      </c>
      <c r="BN3">
        <f>BN9/BN$6</f>
        <v>0</v>
      </c>
      <c r="BO3">
        <f>BO9/BO$6</f>
        <v>0</v>
      </c>
      <c r="BP3">
        <f>BP9/BP$6</f>
        <v>0</v>
      </c>
      <c r="BQ3">
        <f>BQ9/BQ$6</f>
        <v>0</v>
      </c>
      <c r="BR3">
        <f>BR9/BR$6</f>
        <v>0</v>
      </c>
      <c r="BS3">
        <f>BS9/BS$6</f>
        <v>0</v>
      </c>
      <c r="BT3">
        <f>BT9/BT$6</f>
        <v>0</v>
      </c>
      <c r="BU3">
        <f>BU9/BU$6</f>
        <v>0</v>
      </c>
      <c r="BV3">
        <f>BV9/BV$6</f>
        <v>0</v>
      </c>
      <c r="BW3">
        <f>BW9/BW$6</f>
        <v>0</v>
      </c>
      <c r="BX3">
        <f>BX9/BX$6</f>
        <v>0</v>
      </c>
      <c r="BY3">
        <f>BY9/BY$6</f>
        <v>0</v>
      </c>
      <c r="BZ3">
        <f>BZ9/BZ$6</f>
        <v>0</v>
      </c>
      <c r="CA3">
        <f>CA9/CA$6</f>
        <v>0</v>
      </c>
      <c r="CB3">
        <f>CB9/CB$6</f>
        <v>0</v>
      </c>
      <c r="CC3">
        <f>CC9/CC$6</f>
        <v>0</v>
      </c>
      <c r="CD3">
        <f>CD9/CD$6</f>
        <v>0</v>
      </c>
      <c r="CE3">
        <f>CE9/CE$6</f>
        <v>0</v>
      </c>
      <c r="CF3">
        <f>CF9/CF$6</f>
        <v>0</v>
      </c>
      <c r="CG3">
        <f>CG9/CG$6</f>
        <v>0</v>
      </c>
      <c r="CH3">
        <f>CH9/CH$6</f>
        <v>0</v>
      </c>
      <c r="CI3">
        <f>CI9/CI$6</f>
        <v>0</v>
      </c>
      <c r="CJ3">
        <f>CJ9/CJ$6</f>
        <v>0</v>
      </c>
      <c r="CK3">
        <f>CK9/CK$6</f>
        <v>0</v>
      </c>
      <c r="CL3">
        <f>CL9/CL$6</f>
        <v>0</v>
      </c>
      <c r="CM3">
        <f>CM9/CM$6</f>
        <v>0</v>
      </c>
      <c r="CN3">
        <f>CN9/CN$6</f>
        <v>0</v>
      </c>
    </row>
    <row r="4" spans="1:92" x14ac:dyDescent="0.25">
      <c r="A4" t="s">
        <v>574</v>
      </c>
      <c r="B4">
        <f>B10/B$6</f>
        <v>0</v>
      </c>
      <c r="C4">
        <f>C10/C$6</f>
        <v>0</v>
      </c>
      <c r="D4">
        <f>D10/D$6</f>
        <v>0</v>
      </c>
      <c r="E4">
        <f>E10/E$6</f>
        <v>0</v>
      </c>
      <c r="F4">
        <f>F10/F$6</f>
        <v>0</v>
      </c>
      <c r="G4">
        <f>G10/G$6</f>
        <v>0</v>
      </c>
      <c r="H4">
        <f>H10/H$6</f>
        <v>0</v>
      </c>
      <c r="I4">
        <f>I10/I$6</f>
        <v>0</v>
      </c>
      <c r="J4">
        <f>J10/J$6</f>
        <v>0</v>
      </c>
      <c r="K4">
        <f>K10/K$6</f>
        <v>0</v>
      </c>
      <c r="L4">
        <f>L10/L$6</f>
        <v>0</v>
      </c>
      <c r="M4">
        <f>M10/M$6</f>
        <v>0</v>
      </c>
      <c r="N4">
        <f>N10/N$6</f>
        <v>0</v>
      </c>
      <c r="O4">
        <f>O10/O$6</f>
        <v>0</v>
      </c>
      <c r="P4">
        <f>P10/P$6</f>
        <v>0</v>
      </c>
      <c r="Q4">
        <f>Q10/Q$6</f>
        <v>0</v>
      </c>
      <c r="R4">
        <f>R10/R$6</f>
        <v>0</v>
      </c>
      <c r="S4">
        <f>S10/S$6</f>
        <v>0</v>
      </c>
      <c r="T4">
        <f>T10/T$6</f>
        <v>0</v>
      </c>
      <c r="U4">
        <f>U10/U$6</f>
        <v>0</v>
      </c>
      <c r="V4">
        <f>V10/V$6</f>
        <v>0</v>
      </c>
      <c r="W4">
        <f>W10/W$6</f>
        <v>0</v>
      </c>
      <c r="X4">
        <f>X10/X$6</f>
        <v>0</v>
      </c>
      <c r="Y4">
        <f>Y10/Y$6</f>
        <v>0</v>
      </c>
      <c r="Z4">
        <f>Z10/Z$6</f>
        <v>0</v>
      </c>
      <c r="AA4">
        <f>AA10/AA$6</f>
        <v>0</v>
      </c>
      <c r="AB4">
        <f>AB10/AB$6</f>
        <v>0</v>
      </c>
      <c r="AC4">
        <f>AC10/AC$6</f>
        <v>0</v>
      </c>
      <c r="AD4">
        <f>AD10/AD$6</f>
        <v>0</v>
      </c>
      <c r="AE4">
        <f>AE10/AE$6</f>
        <v>0</v>
      </c>
      <c r="AF4">
        <f>AF10/AF$6</f>
        <v>0</v>
      </c>
      <c r="AG4">
        <f>AG10/AG$6</f>
        <v>0</v>
      </c>
      <c r="AH4">
        <f>AH10/AH$6</f>
        <v>0</v>
      </c>
      <c r="AI4">
        <f>AI10/AI$6</f>
        <v>0</v>
      </c>
      <c r="AJ4">
        <f>AJ10/AJ$6</f>
        <v>0</v>
      </c>
      <c r="AK4">
        <f>AK10/AK$6</f>
        <v>0</v>
      </c>
      <c r="AL4">
        <f>AL10/AL$6</f>
        <v>0</v>
      </c>
      <c r="AM4">
        <f>AM10/AM$6</f>
        <v>0</v>
      </c>
      <c r="AN4">
        <f>AN10/AN$6</f>
        <v>0</v>
      </c>
      <c r="AO4">
        <f>AO10/AO$6</f>
        <v>0</v>
      </c>
      <c r="AP4">
        <f>AP10/AP$6</f>
        <v>0</v>
      </c>
      <c r="AQ4">
        <f>AQ10/AQ$6</f>
        <v>0</v>
      </c>
      <c r="AR4">
        <f>AR10/AR$6</f>
        <v>0</v>
      </c>
      <c r="AS4">
        <f>AS10/AS$6</f>
        <v>0</v>
      </c>
      <c r="AT4">
        <f>AT10/AT$6</f>
        <v>0</v>
      </c>
      <c r="AU4">
        <f>AU10/AU$6</f>
        <v>0</v>
      </c>
      <c r="AV4">
        <f>AV10/AV$6</f>
        <v>0</v>
      </c>
      <c r="AW4">
        <f>AW10/AW$6</f>
        <v>0</v>
      </c>
      <c r="AX4">
        <f>AX10/AX$6</f>
        <v>0</v>
      </c>
      <c r="AY4">
        <f>AY10/AY$6</f>
        <v>0</v>
      </c>
      <c r="AZ4">
        <f>AZ10/AZ$6</f>
        <v>0</v>
      </c>
      <c r="BA4">
        <f>BA10/BA$6</f>
        <v>0</v>
      </c>
      <c r="BB4">
        <f>BB10/BB$6</f>
        <v>0</v>
      </c>
      <c r="BC4">
        <f>BC10/BC$6</f>
        <v>0</v>
      </c>
      <c r="BD4">
        <f>BD10/BD$6</f>
        <v>0</v>
      </c>
      <c r="BE4">
        <f>BE10/BE$6</f>
        <v>0</v>
      </c>
      <c r="BF4">
        <f>BF10/BF$6</f>
        <v>0</v>
      </c>
      <c r="BG4">
        <f>BG10/BG$6</f>
        <v>0</v>
      </c>
      <c r="BH4">
        <f>BH10/BH$6</f>
        <v>0</v>
      </c>
      <c r="BI4">
        <f>BI10/BI$6</f>
        <v>0</v>
      </c>
      <c r="BJ4">
        <f>BJ10/BJ$6</f>
        <v>0</v>
      </c>
      <c r="BK4">
        <f>BK10/BK$6</f>
        <v>0</v>
      </c>
      <c r="BL4">
        <f>BL10/BL$6</f>
        <v>0</v>
      </c>
      <c r="BM4">
        <f>BM10/BM$6</f>
        <v>0</v>
      </c>
      <c r="BN4">
        <f>BN10/BN$6</f>
        <v>0</v>
      </c>
      <c r="BO4">
        <f>BO10/BO$6</f>
        <v>0</v>
      </c>
      <c r="BP4">
        <f>BP10/BP$6</f>
        <v>0</v>
      </c>
      <c r="BQ4">
        <f>BQ10/BQ$6</f>
        <v>0</v>
      </c>
      <c r="BR4">
        <f>BR10/BR$6</f>
        <v>0</v>
      </c>
      <c r="BS4">
        <f>BS10/BS$6</f>
        <v>0</v>
      </c>
      <c r="BT4">
        <f>BT10/BT$6</f>
        <v>0</v>
      </c>
      <c r="BU4">
        <f>BU10/BU$6</f>
        <v>0</v>
      </c>
      <c r="BV4">
        <f>BV10/BV$6</f>
        <v>0</v>
      </c>
      <c r="BW4">
        <f>BW10/BW$6</f>
        <v>0</v>
      </c>
      <c r="BX4">
        <f>BX10/BX$6</f>
        <v>0</v>
      </c>
      <c r="BY4">
        <f>BY10/BY$6</f>
        <v>0</v>
      </c>
      <c r="BZ4">
        <f>BZ10/BZ$6</f>
        <v>0</v>
      </c>
      <c r="CA4">
        <f>CA10/CA$6</f>
        <v>0</v>
      </c>
      <c r="CB4">
        <f>CB10/CB$6</f>
        <v>0</v>
      </c>
      <c r="CC4">
        <f>CC10/CC$6</f>
        <v>0</v>
      </c>
      <c r="CD4">
        <f>CD10/CD$6</f>
        <v>0</v>
      </c>
      <c r="CE4">
        <f>CE10/CE$6</f>
        <v>0</v>
      </c>
      <c r="CF4">
        <f>CF10/CF$6</f>
        <v>0</v>
      </c>
      <c r="CG4">
        <f>CG10/CG$6</f>
        <v>0</v>
      </c>
      <c r="CH4">
        <f>CH10/CH$6</f>
        <v>0</v>
      </c>
      <c r="CI4">
        <f>CI10/CI$6</f>
        <v>0</v>
      </c>
      <c r="CJ4">
        <f>CJ10/CJ$6</f>
        <v>0</v>
      </c>
      <c r="CK4">
        <f>CK10/CK$6</f>
        <v>0</v>
      </c>
      <c r="CL4">
        <f>CL10/CL$6</f>
        <v>0</v>
      </c>
      <c r="CM4">
        <f>CM10/CM$6</f>
        <v>0</v>
      </c>
      <c r="CN4">
        <f>CN10/CN$6</f>
        <v>0</v>
      </c>
    </row>
    <row r="6" spans="1:92" x14ac:dyDescent="0.25">
      <c r="A6" t="s">
        <v>104</v>
      </c>
      <c r="B6">
        <f>SUM(B8:B10)</f>
        <v>1</v>
      </c>
      <c r="C6">
        <f>SUM(C8:C10)</f>
        <v>1</v>
      </c>
      <c r="D6">
        <f>SUM(D8:D10)</f>
        <v>1</v>
      </c>
      <c r="E6">
        <f>SUM(E8:E10)</f>
        <v>1</v>
      </c>
      <c r="F6">
        <f>SUM(F8:F10)</f>
        <v>1</v>
      </c>
      <c r="G6">
        <f>SUM(G8:G10)</f>
        <v>1</v>
      </c>
      <c r="H6">
        <f>SUM(H8:H10)</f>
        <v>1</v>
      </c>
      <c r="I6">
        <f>SUM(I8:I10)</f>
        <v>1</v>
      </c>
      <c r="J6">
        <f>SUM(J8:J10)</f>
        <v>1</v>
      </c>
      <c r="K6">
        <f>SUM(K8:K10)</f>
        <v>1</v>
      </c>
      <c r="L6">
        <f>SUM(L8:L10)</f>
        <v>1</v>
      </c>
      <c r="M6">
        <f>SUM(M8:M10)</f>
        <v>1</v>
      </c>
      <c r="N6">
        <f>SUM(N8:N10)</f>
        <v>1</v>
      </c>
      <c r="O6">
        <f>SUM(O8:O10)</f>
        <v>1</v>
      </c>
      <c r="P6">
        <f>SUM(P8:P10)</f>
        <v>1</v>
      </c>
      <c r="Q6">
        <f>SUM(Q8:Q10)</f>
        <v>1</v>
      </c>
      <c r="R6">
        <f>SUM(R8:R10)</f>
        <v>1</v>
      </c>
      <c r="S6">
        <f>SUM(S8:S10)</f>
        <v>1</v>
      </c>
      <c r="T6">
        <f>SUM(T8:T10)</f>
        <v>1</v>
      </c>
      <c r="U6">
        <f>SUM(U8:U10)</f>
        <v>1</v>
      </c>
      <c r="V6">
        <f>SUM(V8:V10)</f>
        <v>1</v>
      </c>
      <c r="W6">
        <f>SUM(W8:W10)</f>
        <v>1</v>
      </c>
      <c r="X6">
        <f>SUM(X8:X10)</f>
        <v>1</v>
      </c>
      <c r="Y6">
        <f>SUM(Y8:Y10)</f>
        <v>1</v>
      </c>
      <c r="Z6">
        <f>SUM(Z8:Z10)</f>
        <v>1</v>
      </c>
      <c r="AA6">
        <f>SUM(AA8:AA10)</f>
        <v>1</v>
      </c>
      <c r="AB6">
        <f>SUM(AB8:AB10)</f>
        <v>1</v>
      </c>
      <c r="AC6">
        <f>SUM(AC8:AC10)</f>
        <v>1</v>
      </c>
      <c r="AD6">
        <f>SUM(AD8:AD10)</f>
        <v>1</v>
      </c>
      <c r="AE6">
        <f>SUM(AE8:AE10)</f>
        <v>1</v>
      </c>
      <c r="AF6">
        <f>SUM(AF8:AF10)</f>
        <v>1</v>
      </c>
      <c r="AG6">
        <f>SUM(AG8:AG10)</f>
        <v>1</v>
      </c>
      <c r="AH6">
        <f>SUM(AH8:AH10)</f>
        <v>1</v>
      </c>
      <c r="AI6">
        <f>SUM(AI8:AI10)</f>
        <v>1</v>
      </c>
      <c r="AJ6">
        <f>SUM(AJ8:AJ10)</f>
        <v>1</v>
      </c>
      <c r="AK6">
        <f>SUM(AK8:AK10)</f>
        <v>1</v>
      </c>
      <c r="AL6">
        <f>SUM(AL8:AL10)</f>
        <v>1</v>
      </c>
      <c r="AM6">
        <f>SUM(AM8:AM10)</f>
        <v>1</v>
      </c>
      <c r="AN6">
        <f>SUM(AN8:AN10)</f>
        <v>1</v>
      </c>
      <c r="AO6">
        <f>SUM(AO8:AO10)</f>
        <v>1</v>
      </c>
      <c r="AP6">
        <f>SUM(AP8:AP10)</f>
        <v>1</v>
      </c>
      <c r="AQ6">
        <f>SUM(AQ8:AQ10)</f>
        <v>1</v>
      </c>
      <c r="AR6">
        <f>SUM(AR8:AR10)</f>
        <v>1</v>
      </c>
      <c r="AS6">
        <f>SUM(AS8:AS10)</f>
        <v>1</v>
      </c>
      <c r="AT6">
        <f>SUM(AT8:AT10)</f>
        <v>1</v>
      </c>
      <c r="AU6">
        <f>SUM(AU8:AU10)</f>
        <v>1</v>
      </c>
      <c r="AV6">
        <f>SUM(AV8:AV10)</f>
        <v>1</v>
      </c>
      <c r="AW6">
        <f>SUM(AW8:AW10)</f>
        <v>1</v>
      </c>
      <c r="AX6">
        <f>SUM(AX8:AX10)</f>
        <v>1</v>
      </c>
      <c r="AY6">
        <f>SUM(AY8:AY10)</f>
        <v>1</v>
      </c>
      <c r="AZ6">
        <f>SUM(AZ8:AZ10)</f>
        <v>1</v>
      </c>
      <c r="BA6">
        <f>SUM(BA8:BA10)</f>
        <v>1</v>
      </c>
      <c r="BB6">
        <f>SUM(BB8:BB10)</f>
        <v>1</v>
      </c>
      <c r="BC6">
        <f>SUM(BC8:BC10)</f>
        <v>1</v>
      </c>
      <c r="BD6">
        <f>SUM(BD8:BD10)</f>
        <v>1</v>
      </c>
      <c r="BE6">
        <f>SUM(BE8:BE10)</f>
        <v>1</v>
      </c>
      <c r="BF6">
        <f>SUM(BF8:BF10)</f>
        <v>1</v>
      </c>
      <c r="BG6">
        <f>SUM(BG8:BG10)</f>
        <v>1</v>
      </c>
      <c r="BH6">
        <f>SUM(BH8:BH10)</f>
        <v>1</v>
      </c>
      <c r="BI6">
        <f>SUM(BI8:BI10)</f>
        <v>1</v>
      </c>
      <c r="BJ6">
        <f>SUM(BJ8:BJ10)</f>
        <v>1</v>
      </c>
      <c r="BK6">
        <f>SUM(BK8:BK10)</f>
        <v>1</v>
      </c>
      <c r="BL6">
        <f>SUM(BL8:BL10)</f>
        <v>1</v>
      </c>
      <c r="BM6">
        <f>SUM(BM8:BM10)</f>
        <v>1</v>
      </c>
      <c r="BN6">
        <f>SUM(BN8:BN10)</f>
        <v>1</v>
      </c>
      <c r="BO6">
        <f>SUM(BO8:BO10)</f>
        <v>1</v>
      </c>
      <c r="BP6">
        <f>SUM(BP8:BP10)</f>
        <v>1</v>
      </c>
      <c r="BQ6">
        <f>SUM(BQ8:BQ10)</f>
        <v>1</v>
      </c>
      <c r="BR6">
        <f>SUM(BR8:BR10)</f>
        <v>1</v>
      </c>
      <c r="BS6">
        <f>SUM(BS8:BS10)</f>
        <v>1</v>
      </c>
      <c r="BT6">
        <f>SUM(BT8:BT10)</f>
        <v>1</v>
      </c>
      <c r="BU6">
        <f>SUM(BU8:BU10)</f>
        <v>1</v>
      </c>
      <c r="BV6">
        <f>SUM(BV8:BV10)</f>
        <v>1</v>
      </c>
      <c r="BW6">
        <f>SUM(BW8:BW10)</f>
        <v>1</v>
      </c>
      <c r="BX6">
        <f>SUM(BX8:BX10)</f>
        <v>1</v>
      </c>
      <c r="BY6">
        <f>SUM(BY8:BY10)</f>
        <v>1</v>
      </c>
      <c r="BZ6">
        <f>SUM(BZ8:BZ10)</f>
        <v>1</v>
      </c>
      <c r="CA6">
        <f>SUM(CA8:CA10)</f>
        <v>1</v>
      </c>
      <c r="CB6">
        <f>SUM(CB8:CB10)</f>
        <v>1</v>
      </c>
      <c r="CC6">
        <f>SUM(CC8:CC10)</f>
        <v>1</v>
      </c>
      <c r="CD6">
        <f>SUM(CD8:CD10)</f>
        <v>1</v>
      </c>
      <c r="CE6">
        <f>SUM(CE8:CE10)</f>
        <v>1</v>
      </c>
      <c r="CF6">
        <f>SUM(CF8:CF10)</f>
        <v>1</v>
      </c>
      <c r="CG6">
        <f>SUM(CG8:CG10)</f>
        <v>1</v>
      </c>
      <c r="CH6">
        <f>SUM(CH8:CH10)</f>
        <v>1</v>
      </c>
      <c r="CI6">
        <f>SUM(CI8:CI10)</f>
        <v>1</v>
      </c>
      <c r="CJ6">
        <f>SUM(CJ8:CJ10)</f>
        <v>1</v>
      </c>
      <c r="CK6">
        <f>SUM(CK8:CK10)</f>
        <v>1</v>
      </c>
      <c r="CL6">
        <f>SUM(CL8:CL10)</f>
        <v>1</v>
      </c>
      <c r="CM6">
        <f>SUM(CM8:CM10)</f>
        <v>1</v>
      </c>
      <c r="CN6">
        <f>SUM(CN8:CN10)</f>
        <v>1</v>
      </c>
    </row>
    <row r="8" spans="1:92" x14ac:dyDescent="0.25">
      <c r="A8" t="s">
        <v>572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U8">
        <v>1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1</v>
      </c>
      <c r="CH8">
        <v>1</v>
      </c>
      <c r="CI8">
        <v>1</v>
      </c>
      <c r="CJ8">
        <v>1</v>
      </c>
      <c r="CK8">
        <v>1</v>
      </c>
      <c r="CL8">
        <v>1</v>
      </c>
      <c r="CM8">
        <v>1</v>
      </c>
      <c r="CN8">
        <v>1</v>
      </c>
    </row>
    <row r="9" spans="1:92" x14ac:dyDescent="0.25">
      <c r="A9" t="s">
        <v>573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</row>
    <row r="10" spans="1:92" x14ac:dyDescent="0.25">
      <c r="A10" t="s">
        <v>574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O20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2.85546875" bestFit="1" customWidth="1"/>
    <col min="2" max="12" width="10.42578125" bestFit="1" customWidth="1"/>
    <col min="13" max="92" width="12" bestFit="1" customWidth="1"/>
  </cols>
  <sheetData>
    <row r="1" spans="1:93" x14ac:dyDescent="0.25">
      <c r="A1" t="s">
        <v>0</v>
      </c>
      <c r="B1" s="1">
        <v>40179</v>
      </c>
      <c r="C1" s="1">
        <v>40544</v>
      </c>
      <c r="D1" s="1">
        <v>40909</v>
      </c>
      <c r="E1" s="1">
        <v>41275</v>
      </c>
      <c r="F1" s="1">
        <v>41640</v>
      </c>
      <c r="G1" s="1">
        <v>42005</v>
      </c>
      <c r="H1" s="1">
        <v>42370</v>
      </c>
      <c r="I1" s="1">
        <v>42736</v>
      </c>
      <c r="J1" s="1">
        <v>43101</v>
      </c>
      <c r="K1" s="1">
        <v>43466</v>
      </c>
      <c r="L1" s="1">
        <v>43831</v>
      </c>
      <c r="M1" s="1">
        <v>44197</v>
      </c>
      <c r="N1" s="1">
        <v>44562</v>
      </c>
      <c r="O1" s="1">
        <v>44927</v>
      </c>
      <c r="P1" s="1">
        <v>45292</v>
      </c>
      <c r="Q1" s="1">
        <v>45658</v>
      </c>
      <c r="R1" s="1">
        <v>46023</v>
      </c>
      <c r="S1" s="1">
        <v>46388</v>
      </c>
      <c r="T1" s="1">
        <v>46753</v>
      </c>
      <c r="U1" s="1">
        <v>47119</v>
      </c>
      <c r="V1" s="1">
        <v>47484</v>
      </c>
      <c r="W1" s="1">
        <v>47849</v>
      </c>
      <c r="X1" s="1">
        <v>48214</v>
      </c>
      <c r="Y1" s="1">
        <v>48580</v>
      </c>
      <c r="Z1" s="1">
        <v>48945</v>
      </c>
      <c r="AA1" s="1">
        <v>49310</v>
      </c>
      <c r="AB1" s="1">
        <v>49675</v>
      </c>
      <c r="AC1" s="1">
        <v>50041</v>
      </c>
      <c r="AD1" s="1">
        <v>50406</v>
      </c>
      <c r="AE1" s="1">
        <v>50771</v>
      </c>
      <c r="AF1" s="1">
        <v>51136</v>
      </c>
      <c r="AG1" s="1">
        <v>51502</v>
      </c>
      <c r="AH1" s="1">
        <v>51867</v>
      </c>
      <c r="AI1" s="1">
        <v>52232</v>
      </c>
      <c r="AJ1" s="1">
        <v>52597</v>
      </c>
      <c r="AK1" s="1">
        <v>52963</v>
      </c>
      <c r="AL1" s="1">
        <v>53328</v>
      </c>
      <c r="AM1" s="1">
        <v>53693</v>
      </c>
      <c r="AN1" s="1">
        <v>54058</v>
      </c>
      <c r="AO1" s="1">
        <v>54424</v>
      </c>
      <c r="AP1" s="1">
        <v>54789</v>
      </c>
      <c r="AQ1" s="1">
        <v>55154</v>
      </c>
      <c r="AR1" s="1">
        <v>55519</v>
      </c>
      <c r="AS1" s="1">
        <v>55885</v>
      </c>
      <c r="AT1" s="1">
        <v>56250</v>
      </c>
      <c r="AU1" s="1">
        <v>56615</v>
      </c>
      <c r="AV1" s="1">
        <v>56980</v>
      </c>
      <c r="AW1" s="1">
        <v>57346</v>
      </c>
      <c r="AX1" s="1">
        <v>57711</v>
      </c>
      <c r="AY1" s="1">
        <v>58076</v>
      </c>
      <c r="AZ1" s="1">
        <v>58441</v>
      </c>
      <c r="BA1" s="1">
        <v>58807</v>
      </c>
      <c r="BB1" s="1">
        <v>59172</v>
      </c>
      <c r="BC1" s="1">
        <v>59537</v>
      </c>
      <c r="BD1" s="1">
        <v>59902</v>
      </c>
      <c r="BE1" s="1">
        <v>60268</v>
      </c>
      <c r="BF1" s="1">
        <v>60633</v>
      </c>
      <c r="BG1" s="1">
        <v>60998</v>
      </c>
      <c r="BH1" s="1">
        <v>61363</v>
      </c>
      <c r="BI1" s="1">
        <v>61729</v>
      </c>
      <c r="BJ1" s="1">
        <v>62094</v>
      </c>
      <c r="BK1" s="1">
        <v>62459</v>
      </c>
      <c r="BL1" s="1">
        <v>62824</v>
      </c>
      <c r="BM1" s="1">
        <v>63190</v>
      </c>
      <c r="BN1" s="1">
        <v>63555</v>
      </c>
      <c r="BO1" s="1">
        <v>63920</v>
      </c>
      <c r="BP1" s="1">
        <v>64285</v>
      </c>
      <c r="BQ1" s="1">
        <v>64651</v>
      </c>
      <c r="BR1" s="1">
        <v>65016</v>
      </c>
      <c r="BS1" s="1">
        <v>65381</v>
      </c>
      <c r="BT1" s="1">
        <v>65746</v>
      </c>
      <c r="BU1" s="1">
        <v>66112</v>
      </c>
      <c r="BV1" s="1">
        <v>66477</v>
      </c>
      <c r="BW1" s="1">
        <v>66842</v>
      </c>
      <c r="BX1" s="1">
        <v>67207</v>
      </c>
      <c r="BY1" s="1">
        <v>67573</v>
      </c>
      <c r="BZ1" s="1">
        <v>67938</v>
      </c>
      <c r="CA1" s="1">
        <v>68303</v>
      </c>
      <c r="CB1" s="1">
        <v>68668</v>
      </c>
      <c r="CC1" s="1">
        <v>69034</v>
      </c>
      <c r="CD1" s="1">
        <v>69399</v>
      </c>
      <c r="CE1" s="1">
        <v>69764</v>
      </c>
      <c r="CF1" s="1">
        <v>70129</v>
      </c>
      <c r="CG1" s="1">
        <v>70495</v>
      </c>
      <c r="CH1" s="1">
        <v>70860</v>
      </c>
      <c r="CI1" s="1">
        <v>71225</v>
      </c>
      <c r="CJ1" s="1">
        <v>71590</v>
      </c>
      <c r="CK1" s="1">
        <v>71956</v>
      </c>
      <c r="CL1" s="1">
        <v>72321</v>
      </c>
      <c r="CM1" s="1">
        <v>72686</v>
      </c>
      <c r="CN1" s="1">
        <v>73051</v>
      </c>
    </row>
    <row r="2" spans="1:93" x14ac:dyDescent="0.25">
      <c r="A2" t="s">
        <v>1</v>
      </c>
      <c r="B2" s="1">
        <v>40544</v>
      </c>
      <c r="C2" s="1">
        <v>40909</v>
      </c>
      <c r="D2" s="1">
        <v>41275</v>
      </c>
      <c r="E2" s="1">
        <v>41640</v>
      </c>
      <c r="F2" s="1">
        <v>42005</v>
      </c>
      <c r="G2" s="1">
        <v>42370</v>
      </c>
      <c r="H2" s="1">
        <v>42736</v>
      </c>
      <c r="I2" s="1">
        <v>43101</v>
      </c>
      <c r="J2" s="1">
        <v>43466</v>
      </c>
      <c r="K2" s="1">
        <v>43831</v>
      </c>
      <c r="L2" s="1">
        <v>44197</v>
      </c>
      <c r="M2" s="1">
        <v>44562</v>
      </c>
      <c r="N2" s="1">
        <v>44927</v>
      </c>
      <c r="O2" s="1">
        <v>45292</v>
      </c>
      <c r="P2" s="1">
        <v>45658</v>
      </c>
      <c r="Q2" s="1">
        <v>46023</v>
      </c>
      <c r="R2" s="1">
        <v>46388</v>
      </c>
      <c r="S2" s="1">
        <v>46753</v>
      </c>
      <c r="T2" s="1">
        <v>47119</v>
      </c>
      <c r="U2" s="1">
        <v>47484</v>
      </c>
      <c r="V2" s="1">
        <v>47849</v>
      </c>
      <c r="W2" s="1">
        <v>48214</v>
      </c>
      <c r="X2" s="1">
        <v>48580</v>
      </c>
      <c r="Y2" s="1">
        <v>48945</v>
      </c>
      <c r="Z2" s="1">
        <v>49310</v>
      </c>
      <c r="AA2" s="1">
        <v>49675</v>
      </c>
      <c r="AB2" s="1">
        <v>50041</v>
      </c>
      <c r="AC2" s="1">
        <v>50406</v>
      </c>
      <c r="AD2" s="1">
        <v>50771</v>
      </c>
      <c r="AE2" s="1">
        <v>51136</v>
      </c>
      <c r="AF2" s="1">
        <v>51502</v>
      </c>
      <c r="AG2" s="1">
        <v>51867</v>
      </c>
      <c r="AH2" s="1">
        <v>52232</v>
      </c>
      <c r="AI2" s="1">
        <v>52597</v>
      </c>
      <c r="AJ2" s="1">
        <v>52963</v>
      </c>
      <c r="AK2" s="1">
        <v>53328</v>
      </c>
      <c r="AL2" s="1">
        <v>53693</v>
      </c>
      <c r="AM2" s="1">
        <v>54058</v>
      </c>
      <c r="AN2" s="1">
        <v>54424</v>
      </c>
      <c r="AO2" s="1">
        <v>54789</v>
      </c>
      <c r="AP2" s="1">
        <v>55154</v>
      </c>
      <c r="AQ2" s="1">
        <v>55519</v>
      </c>
      <c r="AR2" s="1">
        <v>55885</v>
      </c>
      <c r="AS2" s="1">
        <v>56250</v>
      </c>
      <c r="AT2" s="1">
        <v>56615</v>
      </c>
      <c r="AU2" s="1">
        <v>56980</v>
      </c>
      <c r="AV2" s="1">
        <v>57346</v>
      </c>
      <c r="AW2" s="1">
        <v>57711</v>
      </c>
      <c r="AX2" s="1">
        <v>58076</v>
      </c>
      <c r="AY2" s="1">
        <v>58441</v>
      </c>
      <c r="AZ2" s="1">
        <v>58807</v>
      </c>
      <c r="BA2" s="1">
        <v>59172</v>
      </c>
      <c r="BB2" s="1">
        <v>59537</v>
      </c>
      <c r="BC2" s="1">
        <v>59902</v>
      </c>
      <c r="BD2" s="1">
        <v>60268</v>
      </c>
      <c r="BE2" s="1">
        <v>60633</v>
      </c>
      <c r="BF2" s="1">
        <v>60998</v>
      </c>
      <c r="BG2" s="1">
        <v>61363</v>
      </c>
      <c r="BH2" s="1">
        <v>61729</v>
      </c>
      <c r="BI2" s="1">
        <v>62094</v>
      </c>
      <c r="BJ2" s="1">
        <v>62459</v>
      </c>
      <c r="BK2" s="1">
        <v>62824</v>
      </c>
      <c r="BL2" s="1">
        <v>63190</v>
      </c>
      <c r="BM2" s="1">
        <v>63555</v>
      </c>
      <c r="BN2" s="1">
        <v>63920</v>
      </c>
      <c r="BO2" s="1">
        <v>64285</v>
      </c>
      <c r="BP2" s="1">
        <v>64651</v>
      </c>
      <c r="BQ2" s="1">
        <v>65016</v>
      </c>
      <c r="BR2" s="1">
        <v>65381</v>
      </c>
      <c r="BS2" s="1">
        <v>65746</v>
      </c>
      <c r="BT2" s="1">
        <v>66112</v>
      </c>
      <c r="BU2" s="1">
        <v>66477</v>
      </c>
      <c r="BV2" s="1">
        <v>66842</v>
      </c>
      <c r="BW2" s="1">
        <v>67207</v>
      </c>
      <c r="BX2" s="1">
        <v>67573</v>
      </c>
      <c r="BY2" s="1">
        <v>67938</v>
      </c>
      <c r="BZ2" s="1">
        <v>68303</v>
      </c>
      <c r="CA2" s="1">
        <v>68668</v>
      </c>
      <c r="CB2" s="1">
        <v>69034</v>
      </c>
      <c r="CC2" s="1">
        <v>69399</v>
      </c>
      <c r="CD2" s="1">
        <v>69764</v>
      </c>
      <c r="CE2" s="1">
        <v>70129</v>
      </c>
      <c r="CF2" s="1">
        <v>70495</v>
      </c>
      <c r="CG2" s="1">
        <v>70860</v>
      </c>
      <c r="CH2" s="1">
        <v>71225</v>
      </c>
      <c r="CI2" s="1">
        <v>71590</v>
      </c>
      <c r="CJ2" s="1">
        <v>71956</v>
      </c>
      <c r="CK2" s="1">
        <v>72321</v>
      </c>
      <c r="CL2" s="1">
        <v>72686</v>
      </c>
      <c r="CM2" s="1">
        <v>73051</v>
      </c>
      <c r="CN2" s="1">
        <v>73416</v>
      </c>
    </row>
    <row r="3" spans="1:93" x14ac:dyDescent="0.25">
      <c r="A3" t="s">
        <v>1088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209.51633986928107</v>
      </c>
      <c r="O3">
        <v>215.60897435897431</v>
      </c>
      <c r="P3">
        <v>221.03773584905662</v>
      </c>
      <c r="Q3">
        <v>236.66666666666666</v>
      </c>
      <c r="R3">
        <v>265.20935672514622</v>
      </c>
      <c r="S3">
        <v>291.81242937853114</v>
      </c>
      <c r="T3">
        <v>316.67103825136616</v>
      </c>
      <c r="U3">
        <v>339.95132275132278</v>
      </c>
      <c r="V3">
        <v>361.79897435897431</v>
      </c>
      <c r="W3">
        <v>350.99900497512425</v>
      </c>
      <c r="X3">
        <v>363.22517412935315</v>
      </c>
      <c r="Y3">
        <v>364.88417910447748</v>
      </c>
      <c r="Z3">
        <v>357.21482587064668</v>
      </c>
      <c r="AA3">
        <v>348.06288557213924</v>
      </c>
      <c r="AB3">
        <v>337.42835820895505</v>
      </c>
      <c r="AC3">
        <v>334.64597014925357</v>
      </c>
      <c r="AD3">
        <v>329.04099502487537</v>
      </c>
      <c r="AE3">
        <v>337.38149253731325</v>
      </c>
      <c r="AF3">
        <v>328.76756218905439</v>
      </c>
      <c r="AG3">
        <v>329.9363184079599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</row>
    <row r="4" spans="1:93" x14ac:dyDescent="0.25">
      <c r="A4" t="s">
        <v>1089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209.51633986928107</v>
      </c>
      <c r="O4">
        <v>215.60897435897431</v>
      </c>
      <c r="P4">
        <v>221.03773584905662</v>
      </c>
      <c r="Q4">
        <v>236.66666666666666</v>
      </c>
      <c r="R4">
        <v>265.20935672514622</v>
      </c>
      <c r="S4">
        <v>291.81242937853114</v>
      </c>
      <c r="T4">
        <v>316.67103825136616</v>
      </c>
      <c r="U4">
        <v>339.95132275132278</v>
      </c>
      <c r="V4">
        <v>361.79897435897431</v>
      </c>
      <c r="W4">
        <v>350.99900497512425</v>
      </c>
      <c r="X4">
        <v>363.22517412935315</v>
      </c>
      <c r="Y4">
        <v>364.88417910447748</v>
      </c>
      <c r="Z4">
        <v>357.21482587064668</v>
      </c>
      <c r="AA4">
        <v>348.06288557213924</v>
      </c>
      <c r="AB4">
        <v>337.42835820895505</v>
      </c>
      <c r="AC4">
        <v>334.64597014925357</v>
      </c>
      <c r="AD4">
        <v>329.04099502487537</v>
      </c>
      <c r="AE4">
        <v>337.38149253731325</v>
      </c>
      <c r="AF4">
        <v>328.76756218905439</v>
      </c>
      <c r="AG4">
        <v>329.9363184079599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</row>
    <row r="5" spans="1:93" x14ac:dyDescent="0.25">
      <c r="A5" t="s">
        <v>1090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209.51633986928107</v>
      </c>
      <c r="O5">
        <v>215.60897435897431</v>
      </c>
      <c r="P5">
        <v>221.03773584905662</v>
      </c>
      <c r="Q5">
        <v>236.66666666666666</v>
      </c>
      <c r="R5">
        <v>265.20935672514622</v>
      </c>
      <c r="S5">
        <v>291.81242937853114</v>
      </c>
      <c r="T5">
        <v>316.67103825136616</v>
      </c>
      <c r="U5">
        <v>339.95132275132278</v>
      </c>
      <c r="V5">
        <v>361.79897435897431</v>
      </c>
      <c r="W5">
        <v>350.99900497512425</v>
      </c>
      <c r="X5">
        <v>363.22517412935315</v>
      </c>
      <c r="Y5">
        <v>364.88417910447748</v>
      </c>
      <c r="Z5">
        <v>357.21482587064668</v>
      </c>
      <c r="AA5">
        <v>348.06288557213924</v>
      </c>
      <c r="AB5">
        <v>337.42835820895505</v>
      </c>
      <c r="AC5">
        <v>334.64597014925357</v>
      </c>
      <c r="AD5">
        <v>329.04099502487537</v>
      </c>
      <c r="AE5">
        <v>337.38149253731325</v>
      </c>
      <c r="AF5">
        <v>328.76756218905439</v>
      </c>
      <c r="AG5">
        <v>329.9363184079599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</row>
    <row r="6" spans="1:93" x14ac:dyDescent="0.25">
      <c r="A6" t="s">
        <v>1091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209.51633986928107</v>
      </c>
      <c r="O6">
        <v>215.60897435897431</v>
      </c>
      <c r="P6">
        <v>221.03773584905662</v>
      </c>
      <c r="Q6">
        <v>236.66666666666666</v>
      </c>
      <c r="R6">
        <v>265.20935672514622</v>
      </c>
      <c r="S6">
        <v>291.81242937853114</v>
      </c>
      <c r="T6">
        <v>316.67103825136616</v>
      </c>
      <c r="U6">
        <v>339.95132275132278</v>
      </c>
      <c r="V6">
        <v>361.79897435897431</v>
      </c>
      <c r="W6">
        <v>350.99900497512425</v>
      </c>
      <c r="X6">
        <v>363.22517412935315</v>
      </c>
      <c r="Y6">
        <v>364.88417910447748</v>
      </c>
      <c r="Z6">
        <v>357.21482587064668</v>
      </c>
      <c r="AA6">
        <v>348.06288557213924</v>
      </c>
      <c r="AB6">
        <v>337.42835820895505</v>
      </c>
      <c r="AC6">
        <v>334.64597014925357</v>
      </c>
      <c r="AD6">
        <v>329.04099502487537</v>
      </c>
      <c r="AE6">
        <v>337.38149253731325</v>
      </c>
      <c r="AF6">
        <v>328.76756218905439</v>
      </c>
      <c r="AG6">
        <v>329.9363184079599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</row>
    <row r="7" spans="1:93" x14ac:dyDescent="0.25">
      <c r="A7" t="s">
        <v>1092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209.51633986928107</v>
      </c>
      <c r="O7">
        <v>215.60897435897431</v>
      </c>
      <c r="P7">
        <v>221.03773584905662</v>
      </c>
      <c r="Q7">
        <v>236.66666666666666</v>
      </c>
      <c r="R7">
        <v>265.20935672514622</v>
      </c>
      <c r="S7">
        <v>291.81242937853114</v>
      </c>
      <c r="T7">
        <v>316.67103825136616</v>
      </c>
      <c r="U7">
        <v>339.95132275132278</v>
      </c>
      <c r="V7">
        <v>361.79897435897431</v>
      </c>
      <c r="W7">
        <v>350.99900497512425</v>
      </c>
      <c r="X7">
        <v>363.22517412935315</v>
      </c>
      <c r="Y7">
        <v>364.88417910447748</v>
      </c>
      <c r="Z7">
        <v>357.21482587064668</v>
      </c>
      <c r="AA7">
        <v>348.06288557213924</v>
      </c>
      <c r="AB7">
        <v>337.42835820895505</v>
      </c>
      <c r="AC7">
        <v>334.64597014925357</v>
      </c>
      <c r="AD7">
        <v>329.04099502487537</v>
      </c>
      <c r="AE7">
        <v>337.38149253731325</v>
      </c>
      <c r="AF7">
        <v>328.76756218905439</v>
      </c>
      <c r="AG7">
        <v>329.9363184079599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</row>
    <row r="8" spans="1:93" x14ac:dyDescent="0.25">
      <c r="A8" t="s">
        <v>1093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209.51633986928107</v>
      </c>
      <c r="O8">
        <v>215.60897435897431</v>
      </c>
      <c r="P8">
        <v>221.03773584905662</v>
      </c>
      <c r="Q8">
        <v>236.66666666666666</v>
      </c>
      <c r="R8">
        <v>265.20935672514622</v>
      </c>
      <c r="S8">
        <v>291.81242937853114</v>
      </c>
      <c r="T8">
        <v>316.67103825136616</v>
      </c>
      <c r="U8">
        <v>339.95132275132278</v>
      </c>
      <c r="V8">
        <v>361.79897435897431</v>
      </c>
      <c r="W8">
        <v>350.99900497512425</v>
      </c>
      <c r="X8">
        <v>363.22517412935315</v>
      </c>
      <c r="Y8">
        <v>364.88417910447748</v>
      </c>
      <c r="Z8">
        <v>357.21482587064668</v>
      </c>
      <c r="AA8">
        <v>348.06288557213924</v>
      </c>
      <c r="AB8">
        <v>337.42835820895505</v>
      </c>
      <c r="AC8">
        <v>334.64597014925357</v>
      </c>
      <c r="AD8">
        <v>329.04099502487537</v>
      </c>
      <c r="AE8">
        <v>337.38149253731325</v>
      </c>
      <c r="AF8">
        <v>328.76756218905439</v>
      </c>
      <c r="AG8">
        <v>329.9363184079599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</row>
    <row r="9" spans="1:93" x14ac:dyDescent="0.25">
      <c r="A9" t="s">
        <v>1094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314.27450980392166</v>
      </c>
      <c r="O9">
        <v>323.41346153846149</v>
      </c>
      <c r="P9">
        <v>331.55660377358492</v>
      </c>
      <c r="Q9">
        <v>355</v>
      </c>
      <c r="R9">
        <v>397.81403508771933</v>
      </c>
      <c r="S9">
        <v>437.71864406779667</v>
      </c>
      <c r="T9">
        <v>475.00655737704921</v>
      </c>
      <c r="U9">
        <v>509.92698412698417</v>
      </c>
      <c r="V9">
        <v>542.69846153846152</v>
      </c>
      <c r="W9">
        <v>526.49850746268646</v>
      </c>
      <c r="X9">
        <v>544.83776119402978</v>
      </c>
      <c r="Y9">
        <v>547.32626865671625</v>
      </c>
      <c r="Z9">
        <v>535.82223880597007</v>
      </c>
      <c r="AA9">
        <v>522.09432835820883</v>
      </c>
      <c r="AB9">
        <v>506.14253731343268</v>
      </c>
      <c r="AC9">
        <v>501.96895522388041</v>
      </c>
      <c r="AD9">
        <v>493.56149253731314</v>
      </c>
      <c r="AE9">
        <v>506.0722388059699</v>
      </c>
      <c r="AF9">
        <v>493.15134328358164</v>
      </c>
      <c r="AG9">
        <v>494.90447761193991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</row>
    <row r="10" spans="1:93" x14ac:dyDescent="0.25">
      <c r="A10" t="s">
        <v>1095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314.27450980392166</v>
      </c>
      <c r="O10">
        <v>323.41346153846149</v>
      </c>
      <c r="P10">
        <v>331.55660377358492</v>
      </c>
      <c r="Q10">
        <v>355</v>
      </c>
      <c r="R10">
        <v>397.81403508771933</v>
      </c>
      <c r="S10">
        <v>437.71864406779667</v>
      </c>
      <c r="T10">
        <v>475.00655737704921</v>
      </c>
      <c r="U10">
        <v>509.92698412698417</v>
      </c>
      <c r="V10">
        <v>542.69846153846152</v>
      </c>
      <c r="W10">
        <v>526.49850746268646</v>
      </c>
      <c r="X10">
        <v>544.83776119402978</v>
      </c>
      <c r="Y10">
        <v>547.32626865671625</v>
      </c>
      <c r="Z10">
        <v>535.82223880597007</v>
      </c>
      <c r="AA10">
        <v>522.09432835820883</v>
      </c>
      <c r="AB10">
        <v>506.14253731343268</v>
      </c>
      <c r="AC10">
        <v>501.96895522388041</v>
      </c>
      <c r="AD10">
        <v>493.56149253731314</v>
      </c>
      <c r="AE10">
        <v>506.0722388059699</v>
      </c>
      <c r="AF10">
        <v>493.15134328358164</v>
      </c>
      <c r="AG10">
        <v>494.90447761193991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</row>
    <row r="11" spans="1:93" x14ac:dyDescent="0.25">
      <c r="A11" t="s">
        <v>1096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314.27450980392166</v>
      </c>
      <c r="O11">
        <v>323.41346153846149</v>
      </c>
      <c r="P11">
        <v>331.55660377358492</v>
      </c>
      <c r="Q11">
        <v>355</v>
      </c>
      <c r="R11">
        <v>397.81403508771933</v>
      </c>
      <c r="S11">
        <v>437.71864406779667</v>
      </c>
      <c r="T11">
        <v>475.00655737704921</v>
      </c>
      <c r="U11">
        <v>509.92698412698417</v>
      </c>
      <c r="V11">
        <v>542.69846153846152</v>
      </c>
      <c r="W11">
        <v>526.49850746268646</v>
      </c>
      <c r="X11">
        <v>544.83776119402978</v>
      </c>
      <c r="Y11">
        <v>547.32626865671625</v>
      </c>
      <c r="Z11">
        <v>535.82223880597007</v>
      </c>
      <c r="AA11">
        <v>522.09432835820883</v>
      </c>
      <c r="AB11">
        <v>506.14253731343268</v>
      </c>
      <c r="AC11">
        <v>501.96895522388041</v>
      </c>
      <c r="AD11">
        <v>493.56149253731314</v>
      </c>
      <c r="AE11">
        <v>506.0722388059699</v>
      </c>
      <c r="AF11">
        <v>493.15134328358164</v>
      </c>
      <c r="AG11">
        <v>494.90447761193991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</row>
    <row r="12" spans="1:93" x14ac:dyDescent="0.25">
      <c r="A12" t="s">
        <v>1097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314.27450980392166</v>
      </c>
      <c r="O12">
        <v>323.41346153846149</v>
      </c>
      <c r="P12">
        <v>331.55660377358492</v>
      </c>
      <c r="Q12">
        <v>355</v>
      </c>
      <c r="R12">
        <v>397.81403508771933</v>
      </c>
      <c r="S12">
        <v>437.71864406779667</v>
      </c>
      <c r="T12">
        <v>475.00655737704921</v>
      </c>
      <c r="U12">
        <v>509.92698412698417</v>
      </c>
      <c r="V12">
        <v>542.69846153846152</v>
      </c>
      <c r="W12">
        <v>526.49850746268646</v>
      </c>
      <c r="X12">
        <v>544.83776119402978</v>
      </c>
      <c r="Y12">
        <v>547.32626865671625</v>
      </c>
      <c r="Z12">
        <v>535.82223880597007</v>
      </c>
      <c r="AA12">
        <v>522.09432835820883</v>
      </c>
      <c r="AB12">
        <v>506.14253731343268</v>
      </c>
      <c r="AC12">
        <v>501.96895522388041</v>
      </c>
      <c r="AD12">
        <v>493.56149253731314</v>
      </c>
      <c r="AE12">
        <v>506.0722388059699</v>
      </c>
      <c r="AF12">
        <v>493.15134328358164</v>
      </c>
      <c r="AG12">
        <v>494.90447761193991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</row>
    <row r="13" spans="1:93" x14ac:dyDescent="0.25">
      <c r="A13" t="s">
        <v>1098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314.27450980392166</v>
      </c>
      <c r="O13">
        <v>323.41346153846149</v>
      </c>
      <c r="P13">
        <v>331.55660377358492</v>
      </c>
      <c r="Q13">
        <v>355</v>
      </c>
      <c r="R13">
        <v>397.81403508771933</v>
      </c>
      <c r="S13">
        <v>437.71864406779667</v>
      </c>
      <c r="T13">
        <v>475.00655737704921</v>
      </c>
      <c r="U13">
        <v>509.92698412698417</v>
      </c>
      <c r="V13">
        <v>542.69846153846152</v>
      </c>
      <c r="W13">
        <v>526.49850746268646</v>
      </c>
      <c r="X13">
        <v>544.83776119402978</v>
      </c>
      <c r="Y13">
        <v>547.32626865671625</v>
      </c>
      <c r="Z13">
        <v>535.82223880597007</v>
      </c>
      <c r="AA13">
        <v>522.09432835820883</v>
      </c>
      <c r="AB13">
        <v>506.14253731343268</v>
      </c>
      <c r="AC13">
        <v>501.96895522388041</v>
      </c>
      <c r="AD13">
        <v>493.56149253731314</v>
      </c>
      <c r="AE13">
        <v>506.0722388059699</v>
      </c>
      <c r="AF13">
        <v>493.15134328358164</v>
      </c>
      <c r="AG13">
        <v>494.90447761193991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</row>
    <row r="14" spans="1:93" x14ac:dyDescent="0.25">
      <c r="A14" t="s">
        <v>1099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314.27450980392166</v>
      </c>
      <c r="O14">
        <v>323.41346153846149</v>
      </c>
      <c r="P14">
        <v>331.55660377358492</v>
      </c>
      <c r="Q14">
        <v>355</v>
      </c>
      <c r="R14">
        <v>397.81403508771933</v>
      </c>
      <c r="S14">
        <v>437.71864406779667</v>
      </c>
      <c r="T14">
        <v>475.00655737704921</v>
      </c>
      <c r="U14">
        <v>509.92698412698417</v>
      </c>
      <c r="V14">
        <v>542.69846153846152</v>
      </c>
      <c r="W14">
        <v>526.49850746268646</v>
      </c>
      <c r="X14">
        <v>544.83776119402978</v>
      </c>
      <c r="Y14">
        <v>547.32626865671625</v>
      </c>
      <c r="Z14">
        <v>535.82223880597007</v>
      </c>
      <c r="AA14">
        <v>522.09432835820883</v>
      </c>
      <c r="AB14">
        <v>506.14253731343268</v>
      </c>
      <c r="AC14">
        <v>501.96895522388041</v>
      </c>
      <c r="AD14">
        <v>493.56149253731314</v>
      </c>
      <c r="AE14">
        <v>506.0722388059699</v>
      </c>
      <c r="AF14">
        <v>493.15134328358164</v>
      </c>
      <c r="AG14">
        <v>494.90447761193991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</row>
    <row r="15" spans="1:93" x14ac:dyDescent="0.25">
      <c r="A15" t="s">
        <v>1100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314.27450980392166</v>
      </c>
      <c r="O15">
        <v>323.41346153846149</v>
      </c>
      <c r="P15">
        <v>331.55660377358492</v>
      </c>
      <c r="Q15">
        <v>355</v>
      </c>
      <c r="R15">
        <v>397.81403508771933</v>
      </c>
      <c r="S15">
        <v>437.71864406779667</v>
      </c>
      <c r="T15">
        <v>475.00655737704921</v>
      </c>
      <c r="U15">
        <v>509.92698412698417</v>
      </c>
      <c r="V15">
        <v>542.69846153846152</v>
      </c>
      <c r="W15">
        <v>526.49850746268646</v>
      </c>
      <c r="X15">
        <v>544.83776119402978</v>
      </c>
      <c r="Y15">
        <v>547.32626865671625</v>
      </c>
      <c r="Z15">
        <v>535.82223880597007</v>
      </c>
      <c r="AA15">
        <v>522.09432835820883</v>
      </c>
      <c r="AB15">
        <v>506.14253731343268</v>
      </c>
      <c r="AC15">
        <v>501.96895522388041</v>
      </c>
      <c r="AD15">
        <v>493.56149253731314</v>
      </c>
      <c r="AE15">
        <v>506.0722388059699</v>
      </c>
      <c r="AF15">
        <v>493.15134328358164</v>
      </c>
      <c r="AG15">
        <v>494.90447761193991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</row>
    <row r="16" spans="1:93" x14ac:dyDescent="0.25">
      <c r="A16" t="s">
        <v>1101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314.27450980392166</v>
      </c>
      <c r="O16">
        <v>323.41346153846149</v>
      </c>
      <c r="P16">
        <v>331.55660377358492</v>
      </c>
      <c r="Q16">
        <v>355</v>
      </c>
      <c r="R16">
        <v>397.81403508771933</v>
      </c>
      <c r="S16">
        <v>437.71864406779667</v>
      </c>
      <c r="T16">
        <v>475.00655737704921</v>
      </c>
      <c r="U16">
        <v>509.92698412698417</v>
      </c>
      <c r="V16">
        <v>542.69846153846152</v>
      </c>
      <c r="W16">
        <v>526.49850746268646</v>
      </c>
      <c r="X16">
        <v>544.83776119402978</v>
      </c>
      <c r="Y16">
        <v>547.32626865671625</v>
      </c>
      <c r="Z16">
        <v>535.82223880597007</v>
      </c>
      <c r="AA16">
        <v>522.09432835820883</v>
      </c>
      <c r="AB16">
        <v>506.14253731343268</v>
      </c>
      <c r="AC16">
        <v>501.96895522388041</v>
      </c>
      <c r="AD16">
        <v>493.56149253731314</v>
      </c>
      <c r="AE16">
        <v>506.0722388059699</v>
      </c>
      <c r="AF16">
        <v>493.15134328358164</v>
      </c>
      <c r="AG16">
        <v>494.90447761193991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</row>
    <row r="17" spans="1:93" x14ac:dyDescent="0.25">
      <c r="A17" t="s">
        <v>1102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314.27450980392166</v>
      </c>
      <c r="O17">
        <v>323.41346153846149</v>
      </c>
      <c r="P17">
        <v>331.55660377358492</v>
      </c>
      <c r="Q17">
        <v>355</v>
      </c>
      <c r="R17">
        <v>397.81403508771933</v>
      </c>
      <c r="S17">
        <v>437.71864406779667</v>
      </c>
      <c r="T17">
        <v>475.00655737704921</v>
      </c>
      <c r="U17">
        <v>509.92698412698417</v>
      </c>
      <c r="V17">
        <v>542.69846153846152</v>
      </c>
      <c r="W17">
        <v>526.49850746268646</v>
      </c>
      <c r="X17">
        <v>544.83776119402978</v>
      </c>
      <c r="Y17">
        <v>547.32626865671625</v>
      </c>
      <c r="Z17">
        <v>535.82223880597007</v>
      </c>
      <c r="AA17">
        <v>522.09432835820883</v>
      </c>
      <c r="AB17">
        <v>506.14253731343268</v>
      </c>
      <c r="AC17">
        <v>501.96895522388041</v>
      </c>
      <c r="AD17">
        <v>493.56149253731314</v>
      </c>
      <c r="AE17">
        <v>506.0722388059699</v>
      </c>
      <c r="AF17">
        <v>493.15134328358164</v>
      </c>
      <c r="AG17">
        <v>494.90447761193991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</row>
    <row r="18" spans="1:93" x14ac:dyDescent="0.25">
      <c r="A18" t="s">
        <v>1103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314.27450980392166</v>
      </c>
      <c r="O18">
        <v>323.41346153846149</v>
      </c>
      <c r="P18">
        <v>331.55660377358492</v>
      </c>
      <c r="Q18">
        <v>355</v>
      </c>
      <c r="R18">
        <v>397.81403508771933</v>
      </c>
      <c r="S18">
        <v>437.71864406779667</v>
      </c>
      <c r="T18">
        <v>475.00655737704921</v>
      </c>
      <c r="U18">
        <v>509.92698412698417</v>
      </c>
      <c r="V18">
        <v>542.69846153846152</v>
      </c>
      <c r="W18">
        <v>526.49850746268646</v>
      </c>
      <c r="X18">
        <v>544.83776119402978</v>
      </c>
      <c r="Y18">
        <v>547.32626865671625</v>
      </c>
      <c r="Z18">
        <v>535.82223880597007</v>
      </c>
      <c r="AA18">
        <v>522.09432835820883</v>
      </c>
      <c r="AB18">
        <v>506.14253731343268</v>
      </c>
      <c r="AC18">
        <v>501.96895522388041</v>
      </c>
      <c r="AD18">
        <v>493.56149253731314</v>
      </c>
      <c r="AE18">
        <v>506.0722388059699</v>
      </c>
      <c r="AF18">
        <v>493.15134328358164</v>
      </c>
      <c r="AG18">
        <v>494.90447761193991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</row>
    <row r="19" spans="1:93" x14ac:dyDescent="0.25">
      <c r="A19" t="s">
        <v>1104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314.27450980392166</v>
      </c>
      <c r="O19">
        <v>323.41346153846149</v>
      </c>
      <c r="P19">
        <v>331.55660377358492</v>
      </c>
      <c r="Q19">
        <v>355</v>
      </c>
      <c r="R19">
        <v>397.81403508771933</v>
      </c>
      <c r="S19">
        <v>437.71864406779667</v>
      </c>
      <c r="T19">
        <v>475.00655737704921</v>
      </c>
      <c r="U19">
        <v>509.92698412698417</v>
      </c>
      <c r="V19">
        <v>542.69846153846152</v>
      </c>
      <c r="W19">
        <v>526.49850746268646</v>
      </c>
      <c r="X19">
        <v>544.83776119402978</v>
      </c>
      <c r="Y19">
        <v>547.32626865671625</v>
      </c>
      <c r="Z19">
        <v>535.82223880597007</v>
      </c>
      <c r="AA19">
        <v>522.09432835820883</v>
      </c>
      <c r="AB19">
        <v>506.14253731343268</v>
      </c>
      <c r="AC19">
        <v>501.96895522388041</v>
      </c>
      <c r="AD19">
        <v>493.56149253731314</v>
      </c>
      <c r="AE19">
        <v>506.0722388059699</v>
      </c>
      <c r="AF19">
        <v>493.15134328358164</v>
      </c>
      <c r="AG19">
        <v>494.90447761193991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</row>
    <row r="20" spans="1:93" x14ac:dyDescent="0.25">
      <c r="A20" t="s">
        <v>1105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314.27450980392166</v>
      </c>
      <c r="O20">
        <v>323.41346153846149</v>
      </c>
      <c r="P20">
        <v>331.55660377358492</v>
      </c>
      <c r="Q20">
        <v>355</v>
      </c>
      <c r="R20">
        <v>397.81403508771933</v>
      </c>
      <c r="S20">
        <v>437.71864406779667</v>
      </c>
      <c r="T20">
        <v>475.00655737704921</v>
      </c>
      <c r="U20">
        <v>509.92698412698417</v>
      </c>
      <c r="V20">
        <v>542.69846153846152</v>
      </c>
      <c r="W20">
        <v>526.49850746268646</v>
      </c>
      <c r="X20">
        <v>544.83776119402978</v>
      </c>
      <c r="Y20">
        <v>547.32626865671625</v>
      </c>
      <c r="Z20">
        <v>535.82223880597007</v>
      </c>
      <c r="AA20">
        <v>522.09432835820883</v>
      </c>
      <c r="AB20">
        <v>506.14253731343268</v>
      </c>
      <c r="AC20">
        <v>501.96895522388041</v>
      </c>
      <c r="AD20">
        <v>493.56149253731314</v>
      </c>
      <c r="AE20">
        <v>506.0722388059699</v>
      </c>
      <c r="AF20">
        <v>493.15134328358164</v>
      </c>
      <c r="AG20">
        <v>494.90447761193991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</row>
    <row r="21" spans="1:93" x14ac:dyDescent="0.25">
      <c r="A21" t="s">
        <v>1106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314.27450980392166</v>
      </c>
      <c r="O21">
        <v>323.41346153846149</v>
      </c>
      <c r="P21">
        <v>331.55660377358492</v>
      </c>
      <c r="Q21">
        <v>355</v>
      </c>
      <c r="R21">
        <v>397.81403508771933</v>
      </c>
      <c r="S21">
        <v>437.71864406779667</v>
      </c>
      <c r="T21">
        <v>475.00655737704921</v>
      </c>
      <c r="U21">
        <v>509.92698412698417</v>
      </c>
      <c r="V21">
        <v>542.69846153846152</v>
      </c>
      <c r="W21">
        <v>526.49850746268646</v>
      </c>
      <c r="X21">
        <v>544.83776119402978</v>
      </c>
      <c r="Y21">
        <v>547.32626865671625</v>
      </c>
      <c r="Z21">
        <v>535.82223880597007</v>
      </c>
      <c r="AA21">
        <v>522.09432835820883</v>
      </c>
      <c r="AB21">
        <v>506.14253731343268</v>
      </c>
      <c r="AC21">
        <v>501.96895522388041</v>
      </c>
      <c r="AD21">
        <v>493.56149253731314</v>
      </c>
      <c r="AE21">
        <v>506.0722388059699</v>
      </c>
      <c r="AF21">
        <v>493.15134328358164</v>
      </c>
      <c r="AG21">
        <v>494.90447761193991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</row>
    <row r="22" spans="1:93" x14ac:dyDescent="0.25">
      <c r="A22" t="s">
        <v>1107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314.27450980392166</v>
      </c>
      <c r="O22">
        <v>323.41346153846149</v>
      </c>
      <c r="P22">
        <v>331.55660377358492</v>
      </c>
      <c r="Q22">
        <v>355</v>
      </c>
      <c r="R22">
        <v>397.81403508771933</v>
      </c>
      <c r="S22">
        <v>437.71864406779667</v>
      </c>
      <c r="T22">
        <v>475.00655737704921</v>
      </c>
      <c r="U22">
        <v>509.92698412698417</v>
      </c>
      <c r="V22">
        <v>542.69846153846152</v>
      </c>
      <c r="W22">
        <v>526.49850746268646</v>
      </c>
      <c r="X22">
        <v>544.83776119402978</v>
      </c>
      <c r="Y22">
        <v>547.32626865671625</v>
      </c>
      <c r="Z22">
        <v>535.82223880597007</v>
      </c>
      <c r="AA22">
        <v>522.09432835820883</v>
      </c>
      <c r="AB22">
        <v>506.14253731343268</v>
      </c>
      <c r="AC22">
        <v>501.96895522388041</v>
      </c>
      <c r="AD22">
        <v>493.56149253731314</v>
      </c>
      <c r="AE22">
        <v>506.0722388059699</v>
      </c>
      <c r="AF22">
        <v>493.15134328358164</v>
      </c>
      <c r="AG22">
        <v>494.90447761193991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</row>
    <row r="23" spans="1:93" x14ac:dyDescent="0.25">
      <c r="A23" t="s">
        <v>1108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314.27450980392166</v>
      </c>
      <c r="O23">
        <v>323.41346153846149</v>
      </c>
      <c r="P23">
        <v>331.55660377358492</v>
      </c>
      <c r="Q23">
        <v>355</v>
      </c>
      <c r="R23">
        <v>397.81403508771933</v>
      </c>
      <c r="S23">
        <v>437.71864406779667</v>
      </c>
      <c r="T23">
        <v>475.00655737704921</v>
      </c>
      <c r="U23">
        <v>509.92698412698417</v>
      </c>
      <c r="V23">
        <v>542.69846153846152</v>
      </c>
      <c r="W23">
        <v>526.49850746268646</v>
      </c>
      <c r="X23">
        <v>544.83776119402978</v>
      </c>
      <c r="Y23">
        <v>547.32626865671625</v>
      </c>
      <c r="Z23">
        <v>535.82223880597007</v>
      </c>
      <c r="AA23">
        <v>522.09432835820883</v>
      </c>
      <c r="AB23">
        <v>506.14253731343268</v>
      </c>
      <c r="AC23">
        <v>501.96895522388041</v>
      </c>
      <c r="AD23">
        <v>493.56149253731314</v>
      </c>
      <c r="AE23">
        <v>506.0722388059699</v>
      </c>
      <c r="AF23">
        <v>493.15134328358164</v>
      </c>
      <c r="AG23">
        <v>494.90447761193991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</row>
    <row r="24" spans="1:93" x14ac:dyDescent="0.25">
      <c r="A24" t="s">
        <v>1109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314.27450980392166</v>
      </c>
      <c r="O24">
        <v>323.41346153846149</v>
      </c>
      <c r="P24">
        <v>331.55660377358492</v>
      </c>
      <c r="Q24">
        <v>355</v>
      </c>
      <c r="R24">
        <v>397.81403508771933</v>
      </c>
      <c r="S24">
        <v>437.71864406779667</v>
      </c>
      <c r="T24">
        <v>475.00655737704921</v>
      </c>
      <c r="U24">
        <v>509.92698412698417</v>
      </c>
      <c r="V24">
        <v>542.69846153846152</v>
      </c>
      <c r="W24">
        <v>526.49850746268646</v>
      </c>
      <c r="X24">
        <v>544.83776119402978</v>
      </c>
      <c r="Y24">
        <v>547.32626865671625</v>
      </c>
      <c r="Z24">
        <v>535.82223880597007</v>
      </c>
      <c r="AA24">
        <v>522.09432835820883</v>
      </c>
      <c r="AB24">
        <v>506.14253731343268</v>
      </c>
      <c r="AC24">
        <v>501.96895522388041</v>
      </c>
      <c r="AD24">
        <v>493.56149253731314</v>
      </c>
      <c r="AE24">
        <v>506.0722388059699</v>
      </c>
      <c r="AF24">
        <v>493.15134328358164</v>
      </c>
      <c r="AG24">
        <v>494.90447761193991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</row>
    <row r="25" spans="1:93" x14ac:dyDescent="0.25">
      <c r="A25" t="s">
        <v>1110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57.616993464052278</v>
      </c>
      <c r="O25">
        <v>64.682692307692292</v>
      </c>
      <c r="P25">
        <v>71.837264150943398</v>
      </c>
      <c r="Q25">
        <v>82.833333333333329</v>
      </c>
      <c r="R25">
        <v>99.453508771929862</v>
      </c>
      <c r="S25">
        <v>116.72497175141247</v>
      </c>
      <c r="T25">
        <v>134.58519125683063</v>
      </c>
      <c r="U25">
        <v>152.97809523809528</v>
      </c>
      <c r="V25">
        <v>171.85451282051281</v>
      </c>
      <c r="W25">
        <v>175.49950248756218</v>
      </c>
      <c r="X25">
        <v>200.72970149253732</v>
      </c>
      <c r="Y25">
        <v>222.98477611940299</v>
      </c>
      <c r="Z25">
        <v>241.64532338308464</v>
      </c>
      <c r="AA25">
        <v>261.04716417910458</v>
      </c>
      <c r="AB25">
        <v>281.19029850746273</v>
      </c>
      <c r="AC25">
        <v>310.7426865671643</v>
      </c>
      <c r="AD25">
        <v>341.69641791044785</v>
      </c>
      <c r="AE25">
        <v>393.61174129353253</v>
      </c>
      <c r="AF25">
        <v>433.37542288557228</v>
      </c>
      <c r="AG25">
        <v>494.90447761194048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</row>
    <row r="26" spans="1:93" x14ac:dyDescent="0.25">
      <c r="A26" t="s">
        <v>1111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57.616993464052278</v>
      </c>
      <c r="O26">
        <v>64.682692307692292</v>
      </c>
      <c r="P26">
        <v>71.837264150943398</v>
      </c>
      <c r="Q26">
        <v>82.833333333333329</v>
      </c>
      <c r="R26">
        <v>99.453508771929862</v>
      </c>
      <c r="S26">
        <v>116.72497175141247</v>
      </c>
      <c r="T26">
        <v>134.58519125683063</v>
      </c>
      <c r="U26">
        <v>152.97809523809528</v>
      </c>
      <c r="V26">
        <v>171.85451282051281</v>
      </c>
      <c r="W26">
        <v>175.49950248756218</v>
      </c>
      <c r="X26">
        <v>200.72970149253732</v>
      </c>
      <c r="Y26">
        <v>222.98477611940299</v>
      </c>
      <c r="Z26">
        <v>241.64532338308464</v>
      </c>
      <c r="AA26">
        <v>261.04716417910458</v>
      </c>
      <c r="AB26">
        <v>281.19029850746273</v>
      </c>
      <c r="AC26">
        <v>310.7426865671643</v>
      </c>
      <c r="AD26">
        <v>341.69641791044785</v>
      </c>
      <c r="AE26">
        <v>393.61174129353253</v>
      </c>
      <c r="AF26">
        <v>433.37542288557228</v>
      </c>
      <c r="AG26">
        <v>494.90447761194048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</row>
    <row r="27" spans="1:93" x14ac:dyDescent="0.25">
      <c r="A27" t="s">
        <v>1112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57.616993464052278</v>
      </c>
      <c r="O27">
        <v>64.682692307692292</v>
      </c>
      <c r="P27">
        <v>71.837264150943398</v>
      </c>
      <c r="Q27">
        <v>82.833333333333329</v>
      </c>
      <c r="R27">
        <v>99.453508771929862</v>
      </c>
      <c r="S27">
        <v>116.72497175141247</v>
      </c>
      <c r="T27">
        <v>134.58519125683063</v>
      </c>
      <c r="U27">
        <v>152.97809523809528</v>
      </c>
      <c r="V27">
        <v>171.85451282051281</v>
      </c>
      <c r="W27">
        <v>175.49950248756218</v>
      </c>
      <c r="X27">
        <v>200.72970149253732</v>
      </c>
      <c r="Y27">
        <v>222.98477611940299</v>
      </c>
      <c r="Z27">
        <v>241.64532338308464</v>
      </c>
      <c r="AA27">
        <v>261.04716417910458</v>
      </c>
      <c r="AB27">
        <v>281.19029850746273</v>
      </c>
      <c r="AC27">
        <v>310.7426865671643</v>
      </c>
      <c r="AD27">
        <v>341.69641791044785</v>
      </c>
      <c r="AE27">
        <v>393.61174129353253</v>
      </c>
      <c r="AF27">
        <v>433.37542288557228</v>
      </c>
      <c r="AG27">
        <v>494.90447761194048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</row>
    <row r="28" spans="1:93" x14ac:dyDescent="0.25">
      <c r="A28" t="s">
        <v>1113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57.616993464052278</v>
      </c>
      <c r="O28">
        <v>64.682692307692292</v>
      </c>
      <c r="P28">
        <v>71.837264150943398</v>
      </c>
      <c r="Q28">
        <v>82.833333333333329</v>
      </c>
      <c r="R28">
        <v>99.453508771929862</v>
      </c>
      <c r="S28">
        <v>116.72497175141247</v>
      </c>
      <c r="T28">
        <v>134.58519125683063</v>
      </c>
      <c r="U28">
        <v>152.97809523809528</v>
      </c>
      <c r="V28">
        <v>171.85451282051281</v>
      </c>
      <c r="W28">
        <v>175.49950248756218</v>
      </c>
      <c r="X28">
        <v>200.72970149253732</v>
      </c>
      <c r="Y28">
        <v>222.98477611940299</v>
      </c>
      <c r="Z28">
        <v>241.64532338308464</v>
      </c>
      <c r="AA28">
        <v>261.04716417910458</v>
      </c>
      <c r="AB28">
        <v>281.19029850746273</v>
      </c>
      <c r="AC28">
        <v>310.7426865671643</v>
      </c>
      <c r="AD28">
        <v>341.69641791044785</v>
      </c>
      <c r="AE28">
        <v>393.61174129353253</v>
      </c>
      <c r="AF28">
        <v>433.37542288557228</v>
      </c>
      <c r="AG28">
        <v>494.90447761194048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</row>
    <row r="29" spans="1:93" x14ac:dyDescent="0.25">
      <c r="A29" t="s">
        <v>1114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57.616993464052278</v>
      </c>
      <c r="O29">
        <v>64.682692307692292</v>
      </c>
      <c r="P29">
        <v>71.837264150943398</v>
      </c>
      <c r="Q29">
        <v>82.833333333333329</v>
      </c>
      <c r="R29">
        <v>99.453508771929862</v>
      </c>
      <c r="S29">
        <v>116.72497175141247</v>
      </c>
      <c r="T29">
        <v>134.58519125683063</v>
      </c>
      <c r="U29">
        <v>152.97809523809528</v>
      </c>
      <c r="V29">
        <v>171.85451282051281</v>
      </c>
      <c r="W29">
        <v>175.49950248756218</v>
      </c>
      <c r="X29">
        <v>200.72970149253732</v>
      </c>
      <c r="Y29">
        <v>222.98477611940299</v>
      </c>
      <c r="Z29">
        <v>241.64532338308464</v>
      </c>
      <c r="AA29">
        <v>261.04716417910458</v>
      </c>
      <c r="AB29">
        <v>281.19029850746273</v>
      </c>
      <c r="AC29">
        <v>310.7426865671643</v>
      </c>
      <c r="AD29">
        <v>341.69641791044785</v>
      </c>
      <c r="AE29">
        <v>393.61174129353253</v>
      </c>
      <c r="AF29">
        <v>433.37542288557228</v>
      </c>
      <c r="AG29">
        <v>494.90447761194048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</row>
    <row r="30" spans="1:93" x14ac:dyDescent="0.25">
      <c r="A30" t="s">
        <v>1115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57.616993464052278</v>
      </c>
      <c r="O30">
        <v>64.682692307692292</v>
      </c>
      <c r="P30">
        <v>71.837264150943398</v>
      </c>
      <c r="Q30">
        <v>82.833333333333329</v>
      </c>
      <c r="R30">
        <v>99.453508771929862</v>
      </c>
      <c r="S30">
        <v>116.72497175141247</v>
      </c>
      <c r="T30">
        <v>134.58519125683063</v>
      </c>
      <c r="U30">
        <v>152.97809523809528</v>
      </c>
      <c r="V30">
        <v>171.85451282051281</v>
      </c>
      <c r="W30">
        <v>175.49950248756218</v>
      </c>
      <c r="X30">
        <v>200.72970149253732</v>
      </c>
      <c r="Y30">
        <v>222.98477611940299</v>
      </c>
      <c r="Z30">
        <v>241.64532338308464</v>
      </c>
      <c r="AA30">
        <v>261.04716417910458</v>
      </c>
      <c r="AB30">
        <v>281.19029850746273</v>
      </c>
      <c r="AC30">
        <v>310.7426865671643</v>
      </c>
      <c r="AD30">
        <v>341.69641791044785</v>
      </c>
      <c r="AE30">
        <v>393.61174129353253</v>
      </c>
      <c r="AF30">
        <v>433.37542288557228</v>
      </c>
      <c r="AG30">
        <v>494.90447761194048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</row>
    <row r="31" spans="1:93" x14ac:dyDescent="0.25">
      <c r="A31" t="s">
        <v>1116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86.425490196078428</v>
      </c>
      <c r="O31">
        <v>97.024038461538453</v>
      </c>
      <c r="P31">
        <v>107.7558962264151</v>
      </c>
      <c r="Q31">
        <v>124.25000000000001</v>
      </c>
      <c r="R31">
        <v>149.18026315789479</v>
      </c>
      <c r="S31">
        <v>175.08745762711871</v>
      </c>
      <c r="T31">
        <v>201.87778688524597</v>
      </c>
      <c r="U31">
        <v>229.46714285714293</v>
      </c>
      <c r="V31">
        <v>257.78176923076927</v>
      </c>
      <c r="W31">
        <v>263.24925373134334</v>
      </c>
      <c r="X31">
        <v>301.09455223880599</v>
      </c>
      <c r="Y31">
        <v>334.47716417910448</v>
      </c>
      <c r="Z31">
        <v>362.46798507462699</v>
      </c>
      <c r="AA31">
        <v>391.57074626865688</v>
      </c>
      <c r="AB31">
        <v>421.78544776119418</v>
      </c>
      <c r="AC31">
        <v>466.11402985074648</v>
      </c>
      <c r="AD31">
        <v>512.54462686567183</v>
      </c>
      <c r="AE31">
        <v>590.4176119402988</v>
      </c>
      <c r="AF31">
        <v>650.0631343283585</v>
      </c>
      <c r="AG31">
        <v>742.35671641791077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</row>
    <row r="32" spans="1:93" x14ac:dyDescent="0.25">
      <c r="A32" t="s">
        <v>1117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86.425490196078428</v>
      </c>
      <c r="O32">
        <v>97.024038461538453</v>
      </c>
      <c r="P32">
        <v>107.7558962264151</v>
      </c>
      <c r="Q32">
        <v>124.25000000000001</v>
      </c>
      <c r="R32">
        <v>149.18026315789479</v>
      </c>
      <c r="S32">
        <v>175.08745762711871</v>
      </c>
      <c r="T32">
        <v>201.87778688524597</v>
      </c>
      <c r="U32">
        <v>229.46714285714293</v>
      </c>
      <c r="V32">
        <v>257.78176923076927</v>
      </c>
      <c r="W32">
        <v>263.24925373134334</v>
      </c>
      <c r="X32">
        <v>301.09455223880599</v>
      </c>
      <c r="Y32">
        <v>334.47716417910448</v>
      </c>
      <c r="Z32">
        <v>362.46798507462699</v>
      </c>
      <c r="AA32">
        <v>391.57074626865688</v>
      </c>
      <c r="AB32">
        <v>421.78544776119418</v>
      </c>
      <c r="AC32">
        <v>466.11402985074648</v>
      </c>
      <c r="AD32">
        <v>512.54462686567183</v>
      </c>
      <c r="AE32">
        <v>590.4176119402988</v>
      </c>
      <c r="AF32">
        <v>650.0631343283585</v>
      </c>
      <c r="AG32">
        <v>742.35671641791077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</row>
    <row r="33" spans="1:93" x14ac:dyDescent="0.25">
      <c r="A33" t="s">
        <v>1118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86.425490196078428</v>
      </c>
      <c r="O33">
        <v>97.024038461538453</v>
      </c>
      <c r="P33">
        <v>107.7558962264151</v>
      </c>
      <c r="Q33">
        <v>124.25000000000001</v>
      </c>
      <c r="R33">
        <v>149.18026315789479</v>
      </c>
      <c r="S33">
        <v>175.08745762711871</v>
      </c>
      <c r="T33">
        <v>201.87778688524597</v>
      </c>
      <c r="U33">
        <v>229.46714285714293</v>
      </c>
      <c r="V33">
        <v>257.78176923076927</v>
      </c>
      <c r="W33">
        <v>263.24925373134334</v>
      </c>
      <c r="X33">
        <v>301.09455223880599</v>
      </c>
      <c r="Y33">
        <v>334.47716417910448</v>
      </c>
      <c r="Z33">
        <v>362.46798507462699</v>
      </c>
      <c r="AA33">
        <v>391.57074626865688</v>
      </c>
      <c r="AB33">
        <v>421.78544776119418</v>
      </c>
      <c r="AC33">
        <v>466.11402985074648</v>
      </c>
      <c r="AD33">
        <v>512.54462686567183</v>
      </c>
      <c r="AE33">
        <v>590.4176119402988</v>
      </c>
      <c r="AF33">
        <v>650.0631343283585</v>
      </c>
      <c r="AG33">
        <v>742.35671641791077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</row>
    <row r="34" spans="1:93" x14ac:dyDescent="0.25">
      <c r="A34" t="s">
        <v>1119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86.425490196078428</v>
      </c>
      <c r="O34">
        <v>97.024038461538453</v>
      </c>
      <c r="P34">
        <v>107.7558962264151</v>
      </c>
      <c r="Q34">
        <v>124.25000000000001</v>
      </c>
      <c r="R34">
        <v>149.18026315789479</v>
      </c>
      <c r="S34">
        <v>175.08745762711871</v>
      </c>
      <c r="T34">
        <v>201.87778688524597</v>
      </c>
      <c r="U34">
        <v>229.46714285714293</v>
      </c>
      <c r="V34">
        <v>257.78176923076927</v>
      </c>
      <c r="W34">
        <v>263.24925373134334</v>
      </c>
      <c r="X34">
        <v>301.09455223880599</v>
      </c>
      <c r="Y34">
        <v>334.47716417910448</v>
      </c>
      <c r="Z34">
        <v>362.46798507462699</v>
      </c>
      <c r="AA34">
        <v>391.57074626865688</v>
      </c>
      <c r="AB34">
        <v>421.78544776119418</v>
      </c>
      <c r="AC34">
        <v>466.11402985074648</v>
      </c>
      <c r="AD34">
        <v>512.54462686567183</v>
      </c>
      <c r="AE34">
        <v>590.4176119402988</v>
      </c>
      <c r="AF34">
        <v>650.0631343283585</v>
      </c>
      <c r="AG34">
        <v>742.35671641791077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</row>
    <row r="35" spans="1:93" x14ac:dyDescent="0.25">
      <c r="A35" t="s">
        <v>1120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86.425490196078428</v>
      </c>
      <c r="O35">
        <v>97.024038461538453</v>
      </c>
      <c r="P35">
        <v>107.7558962264151</v>
      </c>
      <c r="Q35">
        <v>124.25000000000001</v>
      </c>
      <c r="R35">
        <v>149.18026315789479</v>
      </c>
      <c r="S35">
        <v>175.08745762711871</v>
      </c>
      <c r="T35">
        <v>201.87778688524597</v>
      </c>
      <c r="U35">
        <v>229.46714285714293</v>
      </c>
      <c r="V35">
        <v>257.78176923076927</v>
      </c>
      <c r="W35">
        <v>263.24925373134334</v>
      </c>
      <c r="X35">
        <v>301.09455223880599</v>
      </c>
      <c r="Y35">
        <v>334.47716417910448</v>
      </c>
      <c r="Z35">
        <v>362.46798507462699</v>
      </c>
      <c r="AA35">
        <v>391.57074626865688</v>
      </c>
      <c r="AB35">
        <v>421.78544776119418</v>
      </c>
      <c r="AC35">
        <v>466.11402985074648</v>
      </c>
      <c r="AD35">
        <v>512.54462686567183</v>
      </c>
      <c r="AE35">
        <v>590.4176119402988</v>
      </c>
      <c r="AF35">
        <v>650.0631343283585</v>
      </c>
      <c r="AG35">
        <v>742.35671641791077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</row>
    <row r="36" spans="1:93" x14ac:dyDescent="0.25">
      <c r="A36" t="s">
        <v>1121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86.425490196078428</v>
      </c>
      <c r="O36">
        <v>97.024038461538453</v>
      </c>
      <c r="P36">
        <v>107.7558962264151</v>
      </c>
      <c r="Q36">
        <v>124.25000000000001</v>
      </c>
      <c r="R36">
        <v>149.18026315789479</v>
      </c>
      <c r="S36">
        <v>175.08745762711871</v>
      </c>
      <c r="T36">
        <v>201.87778688524597</v>
      </c>
      <c r="U36">
        <v>229.46714285714293</v>
      </c>
      <c r="V36">
        <v>257.78176923076927</v>
      </c>
      <c r="W36">
        <v>263.24925373134334</v>
      </c>
      <c r="X36">
        <v>301.09455223880599</v>
      </c>
      <c r="Y36">
        <v>334.47716417910448</v>
      </c>
      <c r="Z36">
        <v>362.46798507462699</v>
      </c>
      <c r="AA36">
        <v>391.57074626865688</v>
      </c>
      <c r="AB36">
        <v>421.78544776119418</v>
      </c>
      <c r="AC36">
        <v>466.11402985074648</v>
      </c>
      <c r="AD36">
        <v>512.54462686567183</v>
      </c>
      <c r="AE36">
        <v>590.4176119402988</v>
      </c>
      <c r="AF36">
        <v>650.0631343283585</v>
      </c>
      <c r="AG36">
        <v>742.35671641791077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</row>
    <row r="37" spans="1:93" x14ac:dyDescent="0.25">
      <c r="A37" t="s">
        <v>1122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86.425490196078428</v>
      </c>
      <c r="O37">
        <v>97.024038461538453</v>
      </c>
      <c r="P37">
        <v>107.7558962264151</v>
      </c>
      <c r="Q37">
        <v>124.25000000000001</v>
      </c>
      <c r="R37">
        <v>149.18026315789479</v>
      </c>
      <c r="S37">
        <v>175.08745762711871</v>
      </c>
      <c r="T37">
        <v>201.87778688524597</v>
      </c>
      <c r="U37">
        <v>229.46714285714293</v>
      </c>
      <c r="V37">
        <v>257.78176923076927</v>
      </c>
      <c r="W37">
        <v>263.24925373134334</v>
      </c>
      <c r="X37">
        <v>301.09455223880599</v>
      </c>
      <c r="Y37">
        <v>334.47716417910448</v>
      </c>
      <c r="Z37">
        <v>362.46798507462699</v>
      </c>
      <c r="AA37">
        <v>391.57074626865688</v>
      </c>
      <c r="AB37">
        <v>421.78544776119418</v>
      </c>
      <c r="AC37">
        <v>466.11402985074648</v>
      </c>
      <c r="AD37">
        <v>512.54462686567183</v>
      </c>
      <c r="AE37">
        <v>590.4176119402988</v>
      </c>
      <c r="AF37">
        <v>650.0631343283585</v>
      </c>
      <c r="AG37">
        <v>742.35671641791077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</row>
    <row r="38" spans="1:93" x14ac:dyDescent="0.25">
      <c r="A38" t="s">
        <v>1123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86.425490196078428</v>
      </c>
      <c r="O38">
        <v>97.024038461538453</v>
      </c>
      <c r="P38">
        <v>107.7558962264151</v>
      </c>
      <c r="Q38">
        <v>124.25000000000001</v>
      </c>
      <c r="R38">
        <v>149.18026315789479</v>
      </c>
      <c r="S38">
        <v>175.08745762711871</v>
      </c>
      <c r="T38">
        <v>201.87778688524597</v>
      </c>
      <c r="U38">
        <v>229.46714285714293</v>
      </c>
      <c r="V38">
        <v>257.78176923076927</v>
      </c>
      <c r="W38">
        <v>263.24925373134334</v>
      </c>
      <c r="X38">
        <v>301.09455223880599</v>
      </c>
      <c r="Y38">
        <v>334.47716417910448</v>
      </c>
      <c r="Z38">
        <v>362.46798507462699</v>
      </c>
      <c r="AA38">
        <v>391.57074626865688</v>
      </c>
      <c r="AB38">
        <v>421.78544776119418</v>
      </c>
      <c r="AC38">
        <v>466.11402985074648</v>
      </c>
      <c r="AD38">
        <v>512.54462686567183</v>
      </c>
      <c r="AE38">
        <v>590.4176119402988</v>
      </c>
      <c r="AF38">
        <v>650.0631343283585</v>
      </c>
      <c r="AG38">
        <v>742.35671641791077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</row>
    <row r="39" spans="1:93" x14ac:dyDescent="0.25">
      <c r="A39" t="s">
        <v>1124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86.425490196078428</v>
      </c>
      <c r="O39">
        <v>97.024038461538453</v>
      </c>
      <c r="P39">
        <v>107.7558962264151</v>
      </c>
      <c r="Q39">
        <v>124.25000000000001</v>
      </c>
      <c r="R39">
        <v>149.18026315789479</v>
      </c>
      <c r="S39">
        <v>175.08745762711871</v>
      </c>
      <c r="T39">
        <v>201.87778688524597</v>
      </c>
      <c r="U39">
        <v>229.46714285714293</v>
      </c>
      <c r="V39">
        <v>257.78176923076927</v>
      </c>
      <c r="W39">
        <v>263.24925373134334</v>
      </c>
      <c r="X39">
        <v>301.09455223880599</v>
      </c>
      <c r="Y39">
        <v>334.47716417910448</v>
      </c>
      <c r="Z39">
        <v>362.46798507462699</v>
      </c>
      <c r="AA39">
        <v>391.57074626865688</v>
      </c>
      <c r="AB39">
        <v>421.78544776119418</v>
      </c>
      <c r="AC39">
        <v>466.11402985074648</v>
      </c>
      <c r="AD39">
        <v>512.54462686567183</v>
      </c>
      <c r="AE39">
        <v>590.4176119402988</v>
      </c>
      <c r="AF39">
        <v>650.0631343283585</v>
      </c>
      <c r="AG39">
        <v>742.35671641791077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</row>
    <row r="40" spans="1:93" x14ac:dyDescent="0.25">
      <c r="A40" t="s">
        <v>1125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86.425490196078428</v>
      </c>
      <c r="O40">
        <v>97.024038461538453</v>
      </c>
      <c r="P40">
        <v>107.7558962264151</v>
      </c>
      <c r="Q40">
        <v>124.25000000000001</v>
      </c>
      <c r="R40">
        <v>149.18026315789479</v>
      </c>
      <c r="S40">
        <v>175.08745762711871</v>
      </c>
      <c r="T40">
        <v>201.87778688524597</v>
      </c>
      <c r="U40">
        <v>229.46714285714293</v>
      </c>
      <c r="V40">
        <v>257.78176923076927</v>
      </c>
      <c r="W40">
        <v>263.24925373134334</v>
      </c>
      <c r="X40">
        <v>301.09455223880599</v>
      </c>
      <c r="Y40">
        <v>334.47716417910448</v>
      </c>
      <c r="Z40">
        <v>362.46798507462699</v>
      </c>
      <c r="AA40">
        <v>391.57074626865688</v>
      </c>
      <c r="AB40">
        <v>421.78544776119418</v>
      </c>
      <c r="AC40">
        <v>466.11402985074648</v>
      </c>
      <c r="AD40">
        <v>512.54462686567183</v>
      </c>
      <c r="AE40">
        <v>590.4176119402988</v>
      </c>
      <c r="AF40">
        <v>650.0631343283585</v>
      </c>
      <c r="AG40">
        <v>742.35671641791077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</row>
    <row r="41" spans="1:93" x14ac:dyDescent="0.25">
      <c r="A41" t="s">
        <v>1126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86.425490196078428</v>
      </c>
      <c r="O41">
        <v>97.024038461538453</v>
      </c>
      <c r="P41">
        <v>107.7558962264151</v>
      </c>
      <c r="Q41">
        <v>124.25000000000001</v>
      </c>
      <c r="R41">
        <v>149.18026315789479</v>
      </c>
      <c r="S41">
        <v>175.08745762711871</v>
      </c>
      <c r="T41">
        <v>201.87778688524597</v>
      </c>
      <c r="U41">
        <v>229.46714285714293</v>
      </c>
      <c r="V41">
        <v>257.78176923076927</v>
      </c>
      <c r="W41">
        <v>263.24925373134334</v>
      </c>
      <c r="X41">
        <v>301.09455223880599</v>
      </c>
      <c r="Y41">
        <v>334.47716417910448</v>
      </c>
      <c r="Z41">
        <v>362.46798507462699</v>
      </c>
      <c r="AA41">
        <v>391.57074626865688</v>
      </c>
      <c r="AB41">
        <v>421.78544776119418</v>
      </c>
      <c r="AC41">
        <v>466.11402985074648</v>
      </c>
      <c r="AD41">
        <v>512.54462686567183</v>
      </c>
      <c r="AE41">
        <v>590.4176119402988</v>
      </c>
      <c r="AF41">
        <v>650.0631343283585</v>
      </c>
      <c r="AG41">
        <v>742.35671641791077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</row>
    <row r="42" spans="1:93" x14ac:dyDescent="0.25">
      <c r="A42" t="s">
        <v>1127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86.425490196078428</v>
      </c>
      <c r="O42">
        <v>97.024038461538453</v>
      </c>
      <c r="P42">
        <v>107.7558962264151</v>
      </c>
      <c r="Q42">
        <v>124.25000000000001</v>
      </c>
      <c r="R42">
        <v>149.18026315789479</v>
      </c>
      <c r="S42">
        <v>175.08745762711871</v>
      </c>
      <c r="T42">
        <v>201.87778688524597</v>
      </c>
      <c r="U42">
        <v>229.46714285714293</v>
      </c>
      <c r="V42">
        <v>257.78176923076927</v>
      </c>
      <c r="W42">
        <v>263.24925373134334</v>
      </c>
      <c r="X42">
        <v>301.09455223880599</v>
      </c>
      <c r="Y42">
        <v>334.47716417910448</v>
      </c>
      <c r="Z42">
        <v>362.46798507462699</v>
      </c>
      <c r="AA42">
        <v>391.57074626865688</v>
      </c>
      <c r="AB42">
        <v>421.78544776119418</v>
      </c>
      <c r="AC42">
        <v>466.11402985074648</v>
      </c>
      <c r="AD42">
        <v>512.54462686567183</v>
      </c>
      <c r="AE42">
        <v>590.4176119402988</v>
      </c>
      <c r="AF42">
        <v>650.0631343283585</v>
      </c>
      <c r="AG42">
        <v>742.35671641791077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</row>
    <row r="43" spans="1:93" x14ac:dyDescent="0.25">
      <c r="A43" t="s">
        <v>1128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86.425490196078428</v>
      </c>
      <c r="O43">
        <v>97.024038461538453</v>
      </c>
      <c r="P43">
        <v>107.7558962264151</v>
      </c>
      <c r="Q43">
        <v>124.25000000000001</v>
      </c>
      <c r="R43">
        <v>149.18026315789479</v>
      </c>
      <c r="S43">
        <v>175.08745762711871</v>
      </c>
      <c r="T43">
        <v>201.87778688524597</v>
      </c>
      <c r="U43">
        <v>229.46714285714293</v>
      </c>
      <c r="V43">
        <v>257.78176923076927</v>
      </c>
      <c r="W43">
        <v>263.24925373134334</v>
      </c>
      <c r="X43">
        <v>301.09455223880599</v>
      </c>
      <c r="Y43">
        <v>334.47716417910448</v>
      </c>
      <c r="Z43">
        <v>362.46798507462699</v>
      </c>
      <c r="AA43">
        <v>391.57074626865688</v>
      </c>
      <c r="AB43">
        <v>421.78544776119418</v>
      </c>
      <c r="AC43">
        <v>466.11402985074648</v>
      </c>
      <c r="AD43">
        <v>512.54462686567183</v>
      </c>
      <c r="AE43">
        <v>590.4176119402988</v>
      </c>
      <c r="AF43">
        <v>650.0631343283585</v>
      </c>
      <c r="AG43">
        <v>742.35671641791077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</row>
    <row r="44" spans="1:93" x14ac:dyDescent="0.25">
      <c r="A44" t="s">
        <v>1129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86.425490196078428</v>
      </c>
      <c r="O44">
        <v>97.024038461538453</v>
      </c>
      <c r="P44">
        <v>107.7558962264151</v>
      </c>
      <c r="Q44">
        <v>124.25000000000001</v>
      </c>
      <c r="R44">
        <v>149.18026315789479</v>
      </c>
      <c r="S44">
        <v>175.08745762711871</v>
      </c>
      <c r="T44">
        <v>201.87778688524597</v>
      </c>
      <c r="U44">
        <v>229.46714285714293</v>
      </c>
      <c r="V44">
        <v>257.78176923076927</v>
      </c>
      <c r="W44">
        <v>263.24925373134334</v>
      </c>
      <c r="X44">
        <v>301.09455223880599</v>
      </c>
      <c r="Y44">
        <v>334.47716417910448</v>
      </c>
      <c r="Z44">
        <v>362.46798507462699</v>
      </c>
      <c r="AA44">
        <v>391.57074626865688</v>
      </c>
      <c r="AB44">
        <v>421.78544776119418</v>
      </c>
      <c r="AC44">
        <v>466.11402985074648</v>
      </c>
      <c r="AD44">
        <v>512.54462686567183</v>
      </c>
      <c r="AE44">
        <v>590.4176119402988</v>
      </c>
      <c r="AF44">
        <v>650.0631343283585</v>
      </c>
      <c r="AG44">
        <v>742.35671641791077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</row>
    <row r="45" spans="1:93" x14ac:dyDescent="0.25">
      <c r="A45" t="s">
        <v>1130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86.425490196078428</v>
      </c>
      <c r="O45">
        <v>97.024038461538453</v>
      </c>
      <c r="P45">
        <v>107.7558962264151</v>
      </c>
      <c r="Q45">
        <v>124.25000000000001</v>
      </c>
      <c r="R45">
        <v>149.18026315789479</v>
      </c>
      <c r="S45">
        <v>175.08745762711871</v>
      </c>
      <c r="T45">
        <v>201.87778688524597</v>
      </c>
      <c r="U45">
        <v>229.46714285714293</v>
      </c>
      <c r="V45">
        <v>257.78176923076927</v>
      </c>
      <c r="W45">
        <v>263.24925373134334</v>
      </c>
      <c r="X45">
        <v>301.09455223880599</v>
      </c>
      <c r="Y45">
        <v>334.47716417910448</v>
      </c>
      <c r="Z45">
        <v>362.46798507462699</v>
      </c>
      <c r="AA45">
        <v>391.57074626865688</v>
      </c>
      <c r="AB45">
        <v>421.78544776119418</v>
      </c>
      <c r="AC45">
        <v>466.11402985074648</v>
      </c>
      <c r="AD45">
        <v>512.54462686567183</v>
      </c>
      <c r="AE45">
        <v>590.4176119402988</v>
      </c>
      <c r="AF45">
        <v>650.0631343283585</v>
      </c>
      <c r="AG45">
        <v>742.35671641791077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</row>
    <row r="46" spans="1:93" x14ac:dyDescent="0.25">
      <c r="A46" t="s">
        <v>1131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86.425490196078428</v>
      </c>
      <c r="O46">
        <v>97.024038461538453</v>
      </c>
      <c r="P46">
        <v>107.7558962264151</v>
      </c>
      <c r="Q46">
        <v>124.25000000000001</v>
      </c>
      <c r="R46">
        <v>149.18026315789479</v>
      </c>
      <c r="S46">
        <v>175.08745762711871</v>
      </c>
      <c r="T46">
        <v>201.87778688524597</v>
      </c>
      <c r="U46">
        <v>229.46714285714293</v>
      </c>
      <c r="V46">
        <v>257.78176923076927</v>
      </c>
      <c r="W46">
        <v>263.24925373134334</v>
      </c>
      <c r="X46">
        <v>301.09455223880599</v>
      </c>
      <c r="Y46">
        <v>334.47716417910448</v>
      </c>
      <c r="Z46">
        <v>362.46798507462699</v>
      </c>
      <c r="AA46">
        <v>391.57074626865688</v>
      </c>
      <c r="AB46">
        <v>421.78544776119418</v>
      </c>
      <c r="AC46">
        <v>466.11402985074648</v>
      </c>
      <c r="AD46">
        <v>512.54462686567183</v>
      </c>
      <c r="AE46">
        <v>590.4176119402988</v>
      </c>
      <c r="AF46">
        <v>650.0631343283585</v>
      </c>
      <c r="AG46">
        <v>742.35671641791077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</row>
    <row r="47" spans="1:93" x14ac:dyDescent="0.25">
      <c r="A47" t="s">
        <v>1132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5.916666666666667</v>
      </c>
      <c r="R47">
        <v>13.260467836257313</v>
      </c>
      <c r="S47">
        <v>21.885932203389835</v>
      </c>
      <c r="T47">
        <v>31.667103825136618</v>
      </c>
      <c r="U47">
        <v>42.493915343915347</v>
      </c>
      <c r="V47">
        <v>54.269846153846132</v>
      </c>
      <c r="W47">
        <v>61.42482587064675</v>
      </c>
      <c r="X47">
        <v>76.468457711442753</v>
      </c>
      <c r="Y47">
        <v>91.221044776119371</v>
      </c>
      <c r="Z47">
        <v>105.06318407960197</v>
      </c>
      <c r="AA47">
        <v>119.64661691542288</v>
      </c>
      <c r="AB47">
        <v>134.97134328358206</v>
      </c>
      <c r="AC47">
        <v>155.37134328358209</v>
      </c>
      <c r="AD47">
        <v>177.17592039800994</v>
      </c>
      <c r="AE47">
        <v>210.86343283582096</v>
      </c>
      <c r="AF47">
        <v>239.10368159203983</v>
      </c>
      <c r="AG47">
        <v>280.44587064676625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</row>
    <row r="48" spans="1:93" x14ac:dyDescent="0.25">
      <c r="A48" t="s">
        <v>1133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5.916666666666667</v>
      </c>
      <c r="R48">
        <v>13.260467836257313</v>
      </c>
      <c r="S48">
        <v>21.885932203389835</v>
      </c>
      <c r="T48">
        <v>31.667103825136618</v>
      </c>
      <c r="U48">
        <v>42.493915343915347</v>
      </c>
      <c r="V48">
        <v>54.269846153846132</v>
      </c>
      <c r="W48">
        <v>61.42482587064675</v>
      </c>
      <c r="X48">
        <v>76.468457711442753</v>
      </c>
      <c r="Y48">
        <v>91.221044776119371</v>
      </c>
      <c r="Z48">
        <v>105.06318407960197</v>
      </c>
      <c r="AA48">
        <v>119.64661691542288</v>
      </c>
      <c r="AB48">
        <v>134.97134328358206</v>
      </c>
      <c r="AC48">
        <v>155.37134328358209</v>
      </c>
      <c r="AD48">
        <v>177.17592039800994</v>
      </c>
      <c r="AE48">
        <v>210.86343283582096</v>
      </c>
      <c r="AF48">
        <v>239.10368159203983</v>
      </c>
      <c r="AG48">
        <v>280.44587064676625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</row>
    <row r="49" spans="1:93" x14ac:dyDescent="0.25">
      <c r="A49" t="s">
        <v>1134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5.916666666666667</v>
      </c>
      <c r="R49">
        <v>13.260467836257313</v>
      </c>
      <c r="S49">
        <v>21.885932203389835</v>
      </c>
      <c r="T49">
        <v>31.667103825136618</v>
      </c>
      <c r="U49">
        <v>42.493915343915347</v>
      </c>
      <c r="V49">
        <v>54.269846153846132</v>
      </c>
      <c r="W49">
        <v>61.42482587064675</v>
      </c>
      <c r="X49">
        <v>76.468457711442753</v>
      </c>
      <c r="Y49">
        <v>91.221044776119371</v>
      </c>
      <c r="Z49">
        <v>105.06318407960197</v>
      </c>
      <c r="AA49">
        <v>119.64661691542288</v>
      </c>
      <c r="AB49">
        <v>134.97134328358206</v>
      </c>
      <c r="AC49">
        <v>155.37134328358209</v>
      </c>
      <c r="AD49">
        <v>177.17592039800994</v>
      </c>
      <c r="AE49">
        <v>210.86343283582096</v>
      </c>
      <c r="AF49">
        <v>239.10368159203983</v>
      </c>
      <c r="AG49">
        <v>280.44587064676625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</row>
    <row r="50" spans="1:93" x14ac:dyDescent="0.25">
      <c r="A50" t="s">
        <v>1135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5.916666666666667</v>
      </c>
      <c r="R50">
        <v>13.260467836257313</v>
      </c>
      <c r="S50">
        <v>21.885932203389835</v>
      </c>
      <c r="T50">
        <v>31.667103825136618</v>
      </c>
      <c r="U50">
        <v>42.493915343915347</v>
      </c>
      <c r="V50">
        <v>54.269846153846132</v>
      </c>
      <c r="W50">
        <v>61.42482587064675</v>
      </c>
      <c r="X50">
        <v>76.468457711442753</v>
      </c>
      <c r="Y50">
        <v>91.221044776119371</v>
      </c>
      <c r="Z50">
        <v>105.06318407960197</v>
      </c>
      <c r="AA50">
        <v>119.64661691542288</v>
      </c>
      <c r="AB50">
        <v>134.97134328358206</v>
      </c>
      <c r="AC50">
        <v>155.37134328358209</v>
      </c>
      <c r="AD50">
        <v>177.17592039800994</v>
      </c>
      <c r="AE50">
        <v>210.86343283582096</v>
      </c>
      <c r="AF50">
        <v>239.10368159203983</v>
      </c>
      <c r="AG50">
        <v>280.44587064676625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</row>
    <row r="51" spans="1:93" x14ac:dyDescent="0.25">
      <c r="A51" t="s">
        <v>1136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5.916666666666667</v>
      </c>
      <c r="R51">
        <v>13.260467836257313</v>
      </c>
      <c r="S51">
        <v>21.885932203389835</v>
      </c>
      <c r="T51">
        <v>31.667103825136618</v>
      </c>
      <c r="U51">
        <v>42.493915343915347</v>
      </c>
      <c r="V51">
        <v>54.269846153846132</v>
      </c>
      <c r="W51">
        <v>61.42482587064675</v>
      </c>
      <c r="X51">
        <v>76.468457711442753</v>
      </c>
      <c r="Y51">
        <v>91.221044776119371</v>
      </c>
      <c r="Z51">
        <v>105.06318407960197</v>
      </c>
      <c r="AA51">
        <v>119.64661691542288</v>
      </c>
      <c r="AB51">
        <v>134.97134328358206</v>
      </c>
      <c r="AC51">
        <v>155.37134328358209</v>
      </c>
      <c r="AD51">
        <v>177.17592039800994</v>
      </c>
      <c r="AE51">
        <v>210.86343283582096</v>
      </c>
      <c r="AF51">
        <v>239.10368159203983</v>
      </c>
      <c r="AG51">
        <v>280.44587064676625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</row>
    <row r="52" spans="1:93" x14ac:dyDescent="0.25">
      <c r="A52" t="s">
        <v>1137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5.916666666666667</v>
      </c>
      <c r="R52">
        <v>13.260467836257313</v>
      </c>
      <c r="S52">
        <v>21.885932203389835</v>
      </c>
      <c r="T52">
        <v>31.667103825136618</v>
      </c>
      <c r="U52">
        <v>42.493915343915347</v>
      </c>
      <c r="V52">
        <v>54.269846153846132</v>
      </c>
      <c r="W52">
        <v>61.42482587064675</v>
      </c>
      <c r="X52">
        <v>76.468457711442753</v>
      </c>
      <c r="Y52">
        <v>91.221044776119371</v>
      </c>
      <c r="Z52">
        <v>105.06318407960197</v>
      </c>
      <c r="AA52">
        <v>119.64661691542288</v>
      </c>
      <c r="AB52">
        <v>134.97134328358206</v>
      </c>
      <c r="AC52">
        <v>155.37134328358209</v>
      </c>
      <c r="AD52">
        <v>177.17592039800994</v>
      </c>
      <c r="AE52">
        <v>210.86343283582096</v>
      </c>
      <c r="AF52">
        <v>239.10368159203983</v>
      </c>
      <c r="AG52">
        <v>280.44587064676625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</row>
    <row r="53" spans="1:93" x14ac:dyDescent="0.25">
      <c r="A53" t="s">
        <v>1138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8.8750000000000018</v>
      </c>
      <c r="R53">
        <v>19.890701754385969</v>
      </c>
      <c r="S53">
        <v>32.828898305084756</v>
      </c>
      <c r="T53">
        <v>47.500655737704925</v>
      </c>
      <c r="U53">
        <v>63.740873015873021</v>
      </c>
      <c r="V53">
        <v>81.404769230769219</v>
      </c>
      <c r="W53">
        <v>92.137238805970128</v>
      </c>
      <c r="X53">
        <v>114.70268656716415</v>
      </c>
      <c r="Y53">
        <v>136.83156716417906</v>
      </c>
      <c r="Z53">
        <v>157.59477611940298</v>
      </c>
      <c r="AA53">
        <v>179.46992537313432</v>
      </c>
      <c r="AB53">
        <v>202.45701492537313</v>
      </c>
      <c r="AC53">
        <v>233.05701492537315</v>
      </c>
      <c r="AD53">
        <v>265.76388059701492</v>
      </c>
      <c r="AE53">
        <v>316.29514925373144</v>
      </c>
      <c r="AF53">
        <v>358.65552238805975</v>
      </c>
      <c r="AG53">
        <v>420.66880597014938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</row>
    <row r="54" spans="1:93" x14ac:dyDescent="0.25">
      <c r="A54" t="s">
        <v>1139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8.8750000000000018</v>
      </c>
      <c r="R54">
        <v>19.890701754385969</v>
      </c>
      <c r="S54">
        <v>32.828898305084756</v>
      </c>
      <c r="T54">
        <v>47.500655737704925</v>
      </c>
      <c r="U54">
        <v>63.740873015873021</v>
      </c>
      <c r="V54">
        <v>81.404769230769219</v>
      </c>
      <c r="W54">
        <v>92.137238805970128</v>
      </c>
      <c r="X54">
        <v>114.70268656716415</v>
      </c>
      <c r="Y54">
        <v>136.83156716417906</v>
      </c>
      <c r="Z54">
        <v>157.59477611940298</v>
      </c>
      <c r="AA54">
        <v>179.46992537313432</v>
      </c>
      <c r="AB54">
        <v>202.45701492537313</v>
      </c>
      <c r="AC54">
        <v>233.05701492537315</v>
      </c>
      <c r="AD54">
        <v>265.76388059701492</v>
      </c>
      <c r="AE54">
        <v>316.29514925373144</v>
      </c>
      <c r="AF54">
        <v>358.65552238805975</v>
      </c>
      <c r="AG54">
        <v>420.66880597014938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</row>
    <row r="55" spans="1:93" x14ac:dyDescent="0.25">
      <c r="A55" t="s">
        <v>1140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8.8750000000000018</v>
      </c>
      <c r="R55">
        <v>19.890701754385969</v>
      </c>
      <c r="S55">
        <v>32.828898305084756</v>
      </c>
      <c r="T55">
        <v>47.500655737704925</v>
      </c>
      <c r="U55">
        <v>63.740873015873021</v>
      </c>
      <c r="V55">
        <v>81.404769230769219</v>
      </c>
      <c r="W55">
        <v>92.137238805970128</v>
      </c>
      <c r="X55">
        <v>114.70268656716415</v>
      </c>
      <c r="Y55">
        <v>136.83156716417906</v>
      </c>
      <c r="Z55">
        <v>157.59477611940298</v>
      </c>
      <c r="AA55">
        <v>179.46992537313432</v>
      </c>
      <c r="AB55">
        <v>202.45701492537313</v>
      </c>
      <c r="AC55">
        <v>233.05701492537315</v>
      </c>
      <c r="AD55">
        <v>265.76388059701492</v>
      </c>
      <c r="AE55">
        <v>316.29514925373144</v>
      </c>
      <c r="AF55">
        <v>358.65552238805975</v>
      </c>
      <c r="AG55">
        <v>420.66880597014938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</row>
    <row r="56" spans="1:93" x14ac:dyDescent="0.25">
      <c r="A56" t="s">
        <v>1141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8.8750000000000018</v>
      </c>
      <c r="R56">
        <v>19.890701754385969</v>
      </c>
      <c r="S56">
        <v>32.828898305084756</v>
      </c>
      <c r="T56">
        <v>47.500655737704925</v>
      </c>
      <c r="U56">
        <v>63.740873015873021</v>
      </c>
      <c r="V56">
        <v>81.404769230769219</v>
      </c>
      <c r="W56">
        <v>92.137238805970128</v>
      </c>
      <c r="X56">
        <v>114.70268656716415</v>
      </c>
      <c r="Y56">
        <v>136.83156716417906</v>
      </c>
      <c r="Z56">
        <v>157.59477611940298</v>
      </c>
      <c r="AA56">
        <v>179.46992537313432</v>
      </c>
      <c r="AB56">
        <v>202.45701492537313</v>
      </c>
      <c r="AC56">
        <v>233.05701492537315</v>
      </c>
      <c r="AD56">
        <v>265.76388059701492</v>
      </c>
      <c r="AE56">
        <v>316.29514925373144</v>
      </c>
      <c r="AF56">
        <v>358.65552238805975</v>
      </c>
      <c r="AG56">
        <v>420.66880597014938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</row>
    <row r="57" spans="1:93" x14ac:dyDescent="0.25">
      <c r="A57" t="s">
        <v>1142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8.8750000000000018</v>
      </c>
      <c r="R57">
        <v>19.890701754385969</v>
      </c>
      <c r="S57">
        <v>32.828898305084756</v>
      </c>
      <c r="T57">
        <v>47.500655737704925</v>
      </c>
      <c r="U57">
        <v>63.740873015873021</v>
      </c>
      <c r="V57">
        <v>81.404769230769219</v>
      </c>
      <c r="W57">
        <v>92.137238805970128</v>
      </c>
      <c r="X57">
        <v>114.70268656716415</v>
      </c>
      <c r="Y57">
        <v>136.83156716417906</v>
      </c>
      <c r="Z57">
        <v>157.59477611940298</v>
      </c>
      <c r="AA57">
        <v>179.46992537313432</v>
      </c>
      <c r="AB57">
        <v>202.45701492537313</v>
      </c>
      <c r="AC57">
        <v>233.05701492537315</v>
      </c>
      <c r="AD57">
        <v>265.76388059701492</v>
      </c>
      <c r="AE57">
        <v>316.29514925373144</v>
      </c>
      <c r="AF57">
        <v>358.65552238805975</v>
      </c>
      <c r="AG57">
        <v>420.66880597014938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</row>
    <row r="58" spans="1:93" x14ac:dyDescent="0.25">
      <c r="A58" t="s">
        <v>1143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8.8750000000000018</v>
      </c>
      <c r="R58">
        <v>19.890701754385969</v>
      </c>
      <c r="S58">
        <v>32.828898305084756</v>
      </c>
      <c r="T58">
        <v>47.500655737704925</v>
      </c>
      <c r="U58">
        <v>63.740873015873021</v>
      </c>
      <c r="V58">
        <v>81.404769230769219</v>
      </c>
      <c r="W58">
        <v>92.137238805970128</v>
      </c>
      <c r="X58">
        <v>114.70268656716415</v>
      </c>
      <c r="Y58">
        <v>136.83156716417906</v>
      </c>
      <c r="Z58">
        <v>157.59477611940298</v>
      </c>
      <c r="AA58">
        <v>179.46992537313432</v>
      </c>
      <c r="AB58">
        <v>202.45701492537313</v>
      </c>
      <c r="AC58">
        <v>233.05701492537315</v>
      </c>
      <c r="AD58">
        <v>265.76388059701492</v>
      </c>
      <c r="AE58">
        <v>316.29514925373144</v>
      </c>
      <c r="AF58">
        <v>358.65552238805975</v>
      </c>
      <c r="AG58">
        <v>420.66880597014938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</row>
    <row r="59" spans="1:93" x14ac:dyDescent="0.25">
      <c r="A59" t="s">
        <v>1144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8.8750000000000018</v>
      </c>
      <c r="R59">
        <v>19.890701754385969</v>
      </c>
      <c r="S59">
        <v>32.828898305084756</v>
      </c>
      <c r="T59">
        <v>47.500655737704925</v>
      </c>
      <c r="U59">
        <v>63.740873015873021</v>
      </c>
      <c r="V59">
        <v>81.404769230769219</v>
      </c>
      <c r="W59">
        <v>92.137238805970128</v>
      </c>
      <c r="X59">
        <v>114.70268656716415</v>
      </c>
      <c r="Y59">
        <v>136.83156716417906</v>
      </c>
      <c r="Z59">
        <v>157.59477611940298</v>
      </c>
      <c r="AA59">
        <v>179.46992537313432</v>
      </c>
      <c r="AB59">
        <v>202.45701492537313</v>
      </c>
      <c r="AC59">
        <v>233.05701492537315</v>
      </c>
      <c r="AD59">
        <v>265.76388059701492</v>
      </c>
      <c r="AE59">
        <v>316.29514925373144</v>
      </c>
      <c r="AF59">
        <v>358.65552238805975</v>
      </c>
      <c r="AG59">
        <v>420.66880597014938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</row>
    <row r="60" spans="1:93" x14ac:dyDescent="0.25">
      <c r="A60" t="s">
        <v>1145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8.8750000000000018</v>
      </c>
      <c r="R60">
        <v>19.890701754385969</v>
      </c>
      <c r="S60">
        <v>32.828898305084756</v>
      </c>
      <c r="T60">
        <v>47.500655737704925</v>
      </c>
      <c r="U60">
        <v>63.740873015873021</v>
      </c>
      <c r="V60">
        <v>81.404769230769219</v>
      </c>
      <c r="W60">
        <v>92.137238805970128</v>
      </c>
      <c r="X60">
        <v>114.70268656716415</v>
      </c>
      <c r="Y60">
        <v>136.83156716417906</v>
      </c>
      <c r="Z60">
        <v>157.59477611940298</v>
      </c>
      <c r="AA60">
        <v>179.46992537313432</v>
      </c>
      <c r="AB60">
        <v>202.45701492537313</v>
      </c>
      <c r="AC60">
        <v>233.05701492537315</v>
      </c>
      <c r="AD60">
        <v>265.76388059701492</v>
      </c>
      <c r="AE60">
        <v>316.29514925373144</v>
      </c>
      <c r="AF60">
        <v>358.65552238805975</v>
      </c>
      <c r="AG60">
        <v>420.66880597014938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</row>
    <row r="61" spans="1:93" x14ac:dyDescent="0.25">
      <c r="A61" t="s">
        <v>1146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8.8750000000000018</v>
      </c>
      <c r="R61">
        <v>19.890701754385969</v>
      </c>
      <c r="S61">
        <v>32.828898305084756</v>
      </c>
      <c r="T61">
        <v>47.500655737704925</v>
      </c>
      <c r="U61">
        <v>63.740873015873021</v>
      </c>
      <c r="V61">
        <v>81.404769230769219</v>
      </c>
      <c r="W61">
        <v>92.137238805970128</v>
      </c>
      <c r="X61">
        <v>114.70268656716415</v>
      </c>
      <c r="Y61">
        <v>136.83156716417906</v>
      </c>
      <c r="Z61">
        <v>157.59477611940298</v>
      </c>
      <c r="AA61">
        <v>179.46992537313432</v>
      </c>
      <c r="AB61">
        <v>202.45701492537313</v>
      </c>
      <c r="AC61">
        <v>233.05701492537315</v>
      </c>
      <c r="AD61">
        <v>265.76388059701492</v>
      </c>
      <c r="AE61">
        <v>316.29514925373144</v>
      </c>
      <c r="AF61">
        <v>358.65552238805975</v>
      </c>
      <c r="AG61">
        <v>420.66880597014938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</row>
    <row r="62" spans="1:93" x14ac:dyDescent="0.25">
      <c r="A62" t="s">
        <v>1147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8.8750000000000018</v>
      </c>
      <c r="R62">
        <v>19.890701754385969</v>
      </c>
      <c r="S62">
        <v>32.828898305084756</v>
      </c>
      <c r="T62">
        <v>47.500655737704925</v>
      </c>
      <c r="U62">
        <v>63.740873015873021</v>
      </c>
      <c r="V62">
        <v>81.404769230769219</v>
      </c>
      <c r="W62">
        <v>92.137238805970128</v>
      </c>
      <c r="X62">
        <v>114.70268656716415</v>
      </c>
      <c r="Y62">
        <v>136.83156716417906</v>
      </c>
      <c r="Z62">
        <v>157.59477611940298</v>
      </c>
      <c r="AA62">
        <v>179.46992537313432</v>
      </c>
      <c r="AB62">
        <v>202.45701492537313</v>
      </c>
      <c r="AC62">
        <v>233.05701492537315</v>
      </c>
      <c r="AD62">
        <v>265.76388059701492</v>
      </c>
      <c r="AE62">
        <v>316.29514925373144</v>
      </c>
      <c r="AF62">
        <v>358.65552238805975</v>
      </c>
      <c r="AG62">
        <v>420.66880597014938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</row>
    <row r="63" spans="1:93" x14ac:dyDescent="0.25">
      <c r="A63" t="s">
        <v>1148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8.8750000000000018</v>
      </c>
      <c r="R63">
        <v>19.890701754385969</v>
      </c>
      <c r="S63">
        <v>32.828898305084756</v>
      </c>
      <c r="T63">
        <v>47.500655737704925</v>
      </c>
      <c r="U63">
        <v>63.740873015873021</v>
      </c>
      <c r="V63">
        <v>81.404769230769219</v>
      </c>
      <c r="W63">
        <v>92.137238805970128</v>
      </c>
      <c r="X63">
        <v>114.70268656716415</v>
      </c>
      <c r="Y63">
        <v>136.83156716417906</v>
      </c>
      <c r="Z63">
        <v>157.59477611940298</v>
      </c>
      <c r="AA63">
        <v>179.46992537313432</v>
      </c>
      <c r="AB63">
        <v>202.45701492537313</v>
      </c>
      <c r="AC63">
        <v>233.05701492537315</v>
      </c>
      <c r="AD63">
        <v>265.76388059701492</v>
      </c>
      <c r="AE63">
        <v>316.29514925373144</v>
      </c>
      <c r="AF63">
        <v>358.65552238805975</v>
      </c>
      <c r="AG63">
        <v>420.66880597014938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</row>
    <row r="64" spans="1:93" x14ac:dyDescent="0.25">
      <c r="A64" t="s">
        <v>1149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8.8750000000000018</v>
      </c>
      <c r="R64">
        <v>19.890701754385969</v>
      </c>
      <c r="S64">
        <v>32.828898305084756</v>
      </c>
      <c r="T64">
        <v>47.500655737704925</v>
      </c>
      <c r="U64">
        <v>63.740873015873021</v>
      </c>
      <c r="V64">
        <v>81.404769230769219</v>
      </c>
      <c r="W64">
        <v>92.137238805970128</v>
      </c>
      <c r="X64">
        <v>114.70268656716415</v>
      </c>
      <c r="Y64">
        <v>136.83156716417906</v>
      </c>
      <c r="Z64">
        <v>157.59477611940298</v>
      </c>
      <c r="AA64">
        <v>179.46992537313432</v>
      </c>
      <c r="AB64">
        <v>202.45701492537313</v>
      </c>
      <c r="AC64">
        <v>233.05701492537315</v>
      </c>
      <c r="AD64">
        <v>265.76388059701492</v>
      </c>
      <c r="AE64">
        <v>316.29514925373144</v>
      </c>
      <c r="AF64">
        <v>358.65552238805975</v>
      </c>
      <c r="AG64">
        <v>420.66880597014938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</row>
    <row r="65" spans="1:93" x14ac:dyDescent="0.25">
      <c r="A65" t="s">
        <v>1150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8.8750000000000018</v>
      </c>
      <c r="R65">
        <v>19.890701754385969</v>
      </c>
      <c r="S65">
        <v>32.828898305084756</v>
      </c>
      <c r="T65">
        <v>47.500655737704925</v>
      </c>
      <c r="U65">
        <v>63.740873015873021</v>
      </c>
      <c r="V65">
        <v>81.404769230769219</v>
      </c>
      <c r="W65">
        <v>92.137238805970128</v>
      </c>
      <c r="X65">
        <v>114.70268656716415</v>
      </c>
      <c r="Y65">
        <v>136.83156716417906</v>
      </c>
      <c r="Z65">
        <v>157.59477611940298</v>
      </c>
      <c r="AA65">
        <v>179.46992537313432</v>
      </c>
      <c r="AB65">
        <v>202.45701492537313</v>
      </c>
      <c r="AC65">
        <v>233.05701492537315</v>
      </c>
      <c r="AD65">
        <v>265.76388059701492</v>
      </c>
      <c r="AE65">
        <v>316.29514925373144</v>
      </c>
      <c r="AF65">
        <v>358.65552238805975</v>
      </c>
      <c r="AG65">
        <v>420.66880597014938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</row>
    <row r="66" spans="1:93" x14ac:dyDescent="0.25">
      <c r="A66" t="s">
        <v>1151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8.8750000000000018</v>
      </c>
      <c r="R66">
        <v>19.890701754385969</v>
      </c>
      <c r="S66">
        <v>32.828898305084756</v>
      </c>
      <c r="T66">
        <v>47.500655737704925</v>
      </c>
      <c r="U66">
        <v>63.740873015873021</v>
      </c>
      <c r="V66">
        <v>81.404769230769219</v>
      </c>
      <c r="W66">
        <v>92.137238805970128</v>
      </c>
      <c r="X66">
        <v>114.70268656716415</v>
      </c>
      <c r="Y66">
        <v>136.83156716417906</v>
      </c>
      <c r="Z66">
        <v>157.59477611940298</v>
      </c>
      <c r="AA66">
        <v>179.46992537313432</v>
      </c>
      <c r="AB66">
        <v>202.45701492537313</v>
      </c>
      <c r="AC66">
        <v>233.05701492537315</v>
      </c>
      <c r="AD66">
        <v>265.76388059701492</v>
      </c>
      <c r="AE66">
        <v>316.29514925373144</v>
      </c>
      <c r="AF66">
        <v>358.65552238805975</v>
      </c>
      <c r="AG66">
        <v>420.66880597014938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</row>
    <row r="67" spans="1:93" x14ac:dyDescent="0.25">
      <c r="A67" t="s">
        <v>1152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8.8750000000000018</v>
      </c>
      <c r="R67">
        <v>19.890701754385969</v>
      </c>
      <c r="S67">
        <v>32.828898305084756</v>
      </c>
      <c r="T67">
        <v>47.500655737704925</v>
      </c>
      <c r="U67">
        <v>63.740873015873021</v>
      </c>
      <c r="V67">
        <v>81.404769230769219</v>
      </c>
      <c r="W67">
        <v>92.137238805970128</v>
      </c>
      <c r="X67">
        <v>114.70268656716415</v>
      </c>
      <c r="Y67">
        <v>136.83156716417906</v>
      </c>
      <c r="Z67">
        <v>157.59477611940298</v>
      </c>
      <c r="AA67">
        <v>179.46992537313432</v>
      </c>
      <c r="AB67">
        <v>202.45701492537313</v>
      </c>
      <c r="AC67">
        <v>233.05701492537315</v>
      </c>
      <c r="AD67">
        <v>265.76388059701492</v>
      </c>
      <c r="AE67">
        <v>316.29514925373144</v>
      </c>
      <c r="AF67">
        <v>358.65552238805975</v>
      </c>
      <c r="AG67">
        <v>420.66880597014938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</row>
    <row r="68" spans="1:93" x14ac:dyDescent="0.25">
      <c r="A68" t="s">
        <v>1153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8.8750000000000018</v>
      </c>
      <c r="R68">
        <v>19.890701754385969</v>
      </c>
      <c r="S68">
        <v>32.828898305084756</v>
      </c>
      <c r="T68">
        <v>47.500655737704925</v>
      </c>
      <c r="U68">
        <v>63.740873015873021</v>
      </c>
      <c r="V68">
        <v>81.404769230769219</v>
      </c>
      <c r="W68">
        <v>92.137238805970128</v>
      </c>
      <c r="X68">
        <v>114.70268656716415</v>
      </c>
      <c r="Y68">
        <v>136.83156716417906</v>
      </c>
      <c r="Z68">
        <v>157.59477611940298</v>
      </c>
      <c r="AA68">
        <v>179.46992537313432</v>
      </c>
      <c r="AB68">
        <v>202.45701492537313</v>
      </c>
      <c r="AC68">
        <v>233.05701492537315</v>
      </c>
      <c r="AD68">
        <v>265.76388059701492</v>
      </c>
      <c r="AE68">
        <v>316.29514925373144</v>
      </c>
      <c r="AF68">
        <v>358.65552238805975</v>
      </c>
      <c r="AG68">
        <v>420.66880597014938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</row>
    <row r="69" spans="1:93" x14ac:dyDescent="0.25">
      <c r="A69" t="s">
        <v>1154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</row>
    <row r="70" spans="1:93" x14ac:dyDescent="0.25">
      <c r="A70" t="s">
        <v>1155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</row>
    <row r="71" spans="1:93" x14ac:dyDescent="0.25">
      <c r="A71" t="s">
        <v>1156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</row>
    <row r="72" spans="1:93" x14ac:dyDescent="0.25">
      <c r="A72" t="s">
        <v>1157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</row>
    <row r="73" spans="1:93" x14ac:dyDescent="0.25">
      <c r="A73" t="s">
        <v>1158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</row>
    <row r="74" spans="1:93" x14ac:dyDescent="0.25">
      <c r="A74" t="s">
        <v>1159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</row>
    <row r="75" spans="1:93" x14ac:dyDescent="0.25">
      <c r="A75" t="s">
        <v>1160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</row>
    <row r="76" spans="1:93" x14ac:dyDescent="0.25">
      <c r="A76" t="s">
        <v>1161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</row>
    <row r="77" spans="1:93" x14ac:dyDescent="0.25">
      <c r="A77" t="s">
        <v>1162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</row>
    <row r="78" spans="1:93" x14ac:dyDescent="0.25">
      <c r="A78" t="s">
        <v>1163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</row>
    <row r="79" spans="1:93" x14ac:dyDescent="0.25">
      <c r="A79" t="s">
        <v>1164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</row>
    <row r="80" spans="1:93" x14ac:dyDescent="0.25">
      <c r="A80" t="s">
        <v>1165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</row>
    <row r="81" spans="1:93" x14ac:dyDescent="0.25">
      <c r="A81" t="s">
        <v>1166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</row>
    <row r="82" spans="1:93" x14ac:dyDescent="0.25">
      <c r="A82" t="s">
        <v>1167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</row>
    <row r="83" spans="1:93" x14ac:dyDescent="0.25">
      <c r="A83" t="s">
        <v>1168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</row>
    <row r="84" spans="1:93" x14ac:dyDescent="0.25">
      <c r="A84" t="s">
        <v>1169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</row>
    <row r="85" spans="1:93" x14ac:dyDescent="0.25">
      <c r="A85" t="s">
        <v>1170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</row>
    <row r="86" spans="1:93" x14ac:dyDescent="0.25">
      <c r="A86" t="s">
        <v>1171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</row>
    <row r="87" spans="1:93" x14ac:dyDescent="0.25">
      <c r="A87" t="s">
        <v>1172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</row>
    <row r="88" spans="1:93" x14ac:dyDescent="0.25">
      <c r="A88" t="s">
        <v>1173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</row>
    <row r="89" spans="1:93" x14ac:dyDescent="0.25">
      <c r="A89" t="s">
        <v>1174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</row>
    <row r="90" spans="1:93" x14ac:dyDescent="0.25">
      <c r="A90" t="s">
        <v>1175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</row>
    <row r="91" spans="1:93" x14ac:dyDescent="0.25">
      <c r="A91" t="s">
        <v>1176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</row>
    <row r="92" spans="1:93" x14ac:dyDescent="0.25">
      <c r="A92" t="s">
        <v>1177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</row>
    <row r="93" spans="1:93" x14ac:dyDescent="0.25">
      <c r="A93" t="s">
        <v>1178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</row>
    <row r="94" spans="1:93" x14ac:dyDescent="0.25">
      <c r="A94" t="s">
        <v>1179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</row>
    <row r="95" spans="1:93" x14ac:dyDescent="0.25">
      <c r="A95" t="s">
        <v>1180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</row>
    <row r="96" spans="1:93" x14ac:dyDescent="0.25">
      <c r="A96" t="s">
        <v>1181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</row>
    <row r="97" spans="1:93" x14ac:dyDescent="0.25">
      <c r="A97" t="s">
        <v>1182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</row>
    <row r="98" spans="1:93" x14ac:dyDescent="0.25">
      <c r="A98" t="s">
        <v>1183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</row>
    <row r="99" spans="1:93" x14ac:dyDescent="0.25">
      <c r="A99" t="s">
        <v>1184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</row>
    <row r="100" spans="1:93" x14ac:dyDescent="0.25">
      <c r="A100" t="s">
        <v>1185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</row>
    <row r="101" spans="1:93" x14ac:dyDescent="0.25">
      <c r="A101" t="s">
        <v>1186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</row>
    <row r="102" spans="1:93" x14ac:dyDescent="0.25">
      <c r="A102" t="s">
        <v>1187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</row>
    <row r="103" spans="1:93" x14ac:dyDescent="0.25">
      <c r="A103" t="s">
        <v>1188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</row>
    <row r="104" spans="1:93" x14ac:dyDescent="0.25">
      <c r="A104" t="s">
        <v>1189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</row>
    <row r="105" spans="1:93" x14ac:dyDescent="0.25">
      <c r="A105" t="s">
        <v>1190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</row>
    <row r="106" spans="1:93" x14ac:dyDescent="0.25">
      <c r="A106" t="s">
        <v>1191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</row>
    <row r="107" spans="1:93" x14ac:dyDescent="0.25">
      <c r="A107" t="s">
        <v>1192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</row>
    <row r="108" spans="1:93" x14ac:dyDescent="0.25">
      <c r="A108" t="s">
        <v>1193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</row>
    <row r="109" spans="1:93" x14ac:dyDescent="0.25">
      <c r="A109" t="s">
        <v>1194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</row>
    <row r="110" spans="1:93" x14ac:dyDescent="0.25">
      <c r="A110" t="s">
        <v>1195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</row>
    <row r="111" spans="1:93" x14ac:dyDescent="0.25">
      <c r="A111" t="s">
        <v>1196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</row>
    <row r="112" spans="1:93" x14ac:dyDescent="0.25">
      <c r="A112" t="s">
        <v>1197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</row>
    <row r="113" spans="1:93" x14ac:dyDescent="0.25">
      <c r="A113" t="s">
        <v>1198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</row>
    <row r="114" spans="1:93" x14ac:dyDescent="0.25">
      <c r="A114" t="s">
        <v>1199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</row>
    <row r="115" spans="1:93" x14ac:dyDescent="0.25">
      <c r="A115" t="s">
        <v>1200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</row>
    <row r="116" spans="1:93" x14ac:dyDescent="0.25">
      <c r="A116" t="s">
        <v>1201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</row>
    <row r="117" spans="1:93" x14ac:dyDescent="0.25">
      <c r="A117" t="s">
        <v>1202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</row>
    <row r="118" spans="1:93" x14ac:dyDescent="0.25">
      <c r="A118" t="s">
        <v>1203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</row>
    <row r="119" spans="1:93" x14ac:dyDescent="0.25">
      <c r="A119" t="s">
        <v>1204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</row>
    <row r="120" spans="1:93" x14ac:dyDescent="0.25">
      <c r="A120" t="s">
        <v>1205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</row>
    <row r="121" spans="1:93" x14ac:dyDescent="0.25">
      <c r="A121" t="s">
        <v>1206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</row>
    <row r="122" spans="1:93" x14ac:dyDescent="0.25">
      <c r="A122" t="s">
        <v>1207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</row>
    <row r="123" spans="1:93" x14ac:dyDescent="0.25">
      <c r="A123" t="s">
        <v>1208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</row>
    <row r="124" spans="1:93" x14ac:dyDescent="0.25">
      <c r="A124" t="s">
        <v>1209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</row>
    <row r="125" spans="1:93" x14ac:dyDescent="0.25">
      <c r="A125" t="s">
        <v>1210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</row>
    <row r="126" spans="1:93" x14ac:dyDescent="0.25">
      <c r="A126" t="s">
        <v>1211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</row>
    <row r="127" spans="1:93" x14ac:dyDescent="0.25">
      <c r="A127" t="s">
        <v>1212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</row>
    <row r="128" spans="1:93" x14ac:dyDescent="0.25">
      <c r="A128" t="s">
        <v>1213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</row>
    <row r="129" spans="1:93" x14ac:dyDescent="0.25">
      <c r="A129" t="s">
        <v>1214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</row>
    <row r="130" spans="1:93" x14ac:dyDescent="0.25">
      <c r="A130" t="s">
        <v>1215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</row>
    <row r="131" spans="1:93" x14ac:dyDescent="0.25">
      <c r="A131" t="s">
        <v>1216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</row>
    <row r="132" spans="1:93" x14ac:dyDescent="0.25">
      <c r="A132" t="s">
        <v>1217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</row>
    <row r="133" spans="1:93" x14ac:dyDescent="0.25">
      <c r="A133" t="s">
        <v>1218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</row>
    <row r="134" spans="1:93" x14ac:dyDescent="0.25">
      <c r="A134" t="s">
        <v>1219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</row>
    <row r="135" spans="1:93" x14ac:dyDescent="0.25">
      <c r="A135" t="s">
        <v>1220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</row>
    <row r="136" spans="1:93" x14ac:dyDescent="0.25">
      <c r="A136" t="s">
        <v>1221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</row>
    <row r="137" spans="1:93" x14ac:dyDescent="0.25">
      <c r="A137" t="s">
        <v>1222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</row>
    <row r="138" spans="1:93" x14ac:dyDescent="0.25">
      <c r="A138" t="s">
        <v>1223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</row>
    <row r="139" spans="1:93" x14ac:dyDescent="0.25">
      <c r="A139" t="s">
        <v>1224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</row>
    <row r="140" spans="1:93" x14ac:dyDescent="0.25">
      <c r="A140" t="s">
        <v>1225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</row>
    <row r="141" spans="1:93" x14ac:dyDescent="0.25">
      <c r="A141" t="s">
        <v>1226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</row>
    <row r="142" spans="1:93" x14ac:dyDescent="0.25">
      <c r="A142" t="s">
        <v>1227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</row>
    <row r="143" spans="1:93" x14ac:dyDescent="0.25">
      <c r="A143" t="s">
        <v>1228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</row>
    <row r="144" spans="1:93" x14ac:dyDescent="0.25">
      <c r="A144" t="s">
        <v>1229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</row>
    <row r="145" spans="1:93" x14ac:dyDescent="0.25">
      <c r="A145" t="s">
        <v>1230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</row>
    <row r="146" spans="1:93" x14ac:dyDescent="0.25">
      <c r="A146" t="s">
        <v>1231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</row>
    <row r="147" spans="1:93" x14ac:dyDescent="0.25">
      <c r="A147" t="s">
        <v>1232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</row>
    <row r="148" spans="1:93" x14ac:dyDescent="0.25">
      <c r="A148" t="s">
        <v>1233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</row>
    <row r="149" spans="1:93" x14ac:dyDescent="0.25">
      <c r="A149" t="s">
        <v>1234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</row>
    <row r="150" spans="1:93" x14ac:dyDescent="0.25">
      <c r="A150" t="s">
        <v>1235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</row>
    <row r="151" spans="1:93" x14ac:dyDescent="0.25">
      <c r="A151" t="s">
        <v>1236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</row>
    <row r="152" spans="1:93" x14ac:dyDescent="0.25">
      <c r="A152" t="s">
        <v>1237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</row>
    <row r="153" spans="1:93" x14ac:dyDescent="0.25">
      <c r="A153" t="s">
        <v>1238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</row>
    <row r="154" spans="1:93" x14ac:dyDescent="0.25">
      <c r="A154" t="s">
        <v>1239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</row>
    <row r="155" spans="1:93" x14ac:dyDescent="0.25">
      <c r="A155" t="s">
        <v>1240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</row>
    <row r="156" spans="1:93" x14ac:dyDescent="0.25">
      <c r="A156" t="s">
        <v>1241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</row>
    <row r="157" spans="1:93" x14ac:dyDescent="0.25">
      <c r="A157" t="s">
        <v>1242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</row>
    <row r="158" spans="1:93" x14ac:dyDescent="0.25">
      <c r="A158" t="s">
        <v>1243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</row>
    <row r="159" spans="1:93" x14ac:dyDescent="0.25">
      <c r="A159" t="s">
        <v>1244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</row>
    <row r="160" spans="1:93" x14ac:dyDescent="0.25">
      <c r="A160" t="s">
        <v>1245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</row>
    <row r="161" spans="1:93" x14ac:dyDescent="0.25">
      <c r="A161" t="s">
        <v>1246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</row>
    <row r="162" spans="1:93" x14ac:dyDescent="0.25">
      <c r="A162" t="s">
        <v>1247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</row>
    <row r="163" spans="1:93" x14ac:dyDescent="0.25">
      <c r="A163" t="s">
        <v>1248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</row>
    <row r="164" spans="1:93" x14ac:dyDescent="0.25">
      <c r="A164" t="s">
        <v>1249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</row>
    <row r="165" spans="1:93" x14ac:dyDescent="0.25">
      <c r="A165" t="s">
        <v>1250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</row>
    <row r="166" spans="1:93" x14ac:dyDescent="0.25">
      <c r="A166" t="s">
        <v>1251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</row>
    <row r="167" spans="1:93" x14ac:dyDescent="0.25">
      <c r="A167" t="s">
        <v>1252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</row>
    <row r="168" spans="1:93" x14ac:dyDescent="0.25">
      <c r="A168" t="s">
        <v>1253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</row>
    <row r="169" spans="1:93" x14ac:dyDescent="0.25">
      <c r="A169" t="s">
        <v>1254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</row>
    <row r="170" spans="1:93" x14ac:dyDescent="0.25">
      <c r="A170" t="s">
        <v>1255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</row>
    <row r="171" spans="1:93" x14ac:dyDescent="0.25">
      <c r="A171" t="s">
        <v>1256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</row>
    <row r="172" spans="1:93" x14ac:dyDescent="0.25">
      <c r="A172" t="s">
        <v>1257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</row>
    <row r="173" spans="1:93" x14ac:dyDescent="0.25">
      <c r="A173" t="s">
        <v>1258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</row>
    <row r="174" spans="1:93" x14ac:dyDescent="0.25">
      <c r="A174" t="s">
        <v>1259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</row>
    <row r="175" spans="1:93" x14ac:dyDescent="0.25">
      <c r="A175" t="s">
        <v>1260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</row>
    <row r="176" spans="1:93" x14ac:dyDescent="0.25">
      <c r="A176" t="s">
        <v>1261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</row>
    <row r="177" spans="1:93" x14ac:dyDescent="0.25">
      <c r="A177" t="s">
        <v>1262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</row>
    <row r="178" spans="1:93" x14ac:dyDescent="0.25">
      <c r="A178" t="s">
        <v>1263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</row>
    <row r="179" spans="1:93" x14ac:dyDescent="0.25">
      <c r="A179" t="s">
        <v>1264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</row>
    <row r="180" spans="1:93" x14ac:dyDescent="0.25">
      <c r="A180" t="s">
        <v>1265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</row>
    <row r="181" spans="1:93" x14ac:dyDescent="0.25">
      <c r="A181" t="s">
        <v>1266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</row>
    <row r="182" spans="1:93" x14ac:dyDescent="0.25">
      <c r="A182" t="s">
        <v>1267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</row>
    <row r="183" spans="1:93" x14ac:dyDescent="0.25">
      <c r="A183" t="s">
        <v>1268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</row>
    <row r="184" spans="1:93" x14ac:dyDescent="0.25">
      <c r="A184" t="s">
        <v>1269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</row>
    <row r="185" spans="1:93" x14ac:dyDescent="0.25">
      <c r="A185" t="s">
        <v>1270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</row>
    <row r="186" spans="1:93" x14ac:dyDescent="0.25">
      <c r="A186" t="s">
        <v>1271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</row>
    <row r="187" spans="1:93" x14ac:dyDescent="0.25">
      <c r="A187" t="s">
        <v>1272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</row>
    <row r="188" spans="1:93" x14ac:dyDescent="0.25">
      <c r="A188" t="s">
        <v>1273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</row>
    <row r="189" spans="1:93" x14ac:dyDescent="0.25">
      <c r="A189" t="s">
        <v>1274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</row>
    <row r="190" spans="1:93" x14ac:dyDescent="0.25">
      <c r="A190" t="s">
        <v>1275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</row>
    <row r="191" spans="1:93" x14ac:dyDescent="0.25">
      <c r="A191" t="s">
        <v>1276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</row>
    <row r="192" spans="1:93" x14ac:dyDescent="0.25">
      <c r="A192" t="s">
        <v>1277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</row>
    <row r="193" spans="1:93" x14ac:dyDescent="0.25">
      <c r="A193" t="s">
        <v>1278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</row>
    <row r="194" spans="1:93" x14ac:dyDescent="0.25">
      <c r="A194" t="s">
        <v>1279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</row>
    <row r="195" spans="1:93" x14ac:dyDescent="0.25">
      <c r="A195" t="s">
        <v>1280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</row>
    <row r="196" spans="1:93" x14ac:dyDescent="0.25">
      <c r="A196" t="s">
        <v>1281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</row>
    <row r="197" spans="1:93" x14ac:dyDescent="0.25">
      <c r="A197" t="s">
        <v>1282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</row>
    <row r="198" spans="1:93" x14ac:dyDescent="0.25">
      <c r="A198" t="s">
        <v>1283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</row>
    <row r="199" spans="1:93" x14ac:dyDescent="0.25">
      <c r="A199" t="s">
        <v>1284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</row>
    <row r="200" spans="1:93" x14ac:dyDescent="0.25">
      <c r="A200" t="s">
        <v>1285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ffshore_Button1_Click">
                <anchor moveWithCells="1">
                  <from>
                    <xdr:col>0</xdr:col>
                    <xdr:colOff>3990975</xdr:colOff>
                    <xdr:row>0</xdr:row>
                    <xdr:rowOff>104775</xdr:rowOff>
                  </from>
                  <to>
                    <xdr:col>0</xdr:col>
                    <xdr:colOff>4533900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814EA-5662-4979-939F-36023C74BAF4}">
  <sheetPr codeName="Sheet9"/>
  <dimension ref="A1:CO515"/>
  <sheetViews>
    <sheetView workbookViewId="0">
      <pane ySplit="1" topLeftCell="A2" activePane="bottomLeft" state="frozen"/>
      <selection pane="bottomLeft" activeCell="J3" sqref="J3"/>
    </sheetView>
  </sheetViews>
  <sheetFormatPr defaultRowHeight="15" x14ac:dyDescent="0.25"/>
  <cols>
    <col min="1" max="1" width="72.85546875" bestFit="1" customWidth="1"/>
    <col min="2" max="2" width="14" customWidth="1"/>
    <col min="3" max="13" width="10.42578125" bestFit="1" customWidth="1"/>
    <col min="14" max="93" width="12" bestFit="1" customWidth="1"/>
  </cols>
  <sheetData>
    <row r="1" spans="1:93" x14ac:dyDescent="0.25">
      <c r="A1" t="s">
        <v>0</v>
      </c>
      <c r="C1" s="1">
        <v>40179</v>
      </c>
      <c r="D1" s="1">
        <v>40544</v>
      </c>
      <c r="E1" s="1">
        <v>40909</v>
      </c>
      <c r="F1" s="1">
        <v>41275</v>
      </c>
      <c r="G1" s="1">
        <v>41640</v>
      </c>
      <c r="H1" s="1">
        <v>42005</v>
      </c>
      <c r="I1" s="1">
        <v>42370</v>
      </c>
      <c r="J1" s="1">
        <v>42736</v>
      </c>
      <c r="K1" s="1">
        <v>43101</v>
      </c>
      <c r="L1" s="1">
        <v>43466</v>
      </c>
      <c r="M1" s="1">
        <v>43831</v>
      </c>
      <c r="N1" s="1">
        <v>44197</v>
      </c>
      <c r="O1" s="1">
        <v>44562</v>
      </c>
      <c r="P1" s="1">
        <v>44927</v>
      </c>
      <c r="Q1" s="1">
        <v>45292</v>
      </c>
      <c r="R1" s="1">
        <v>45658</v>
      </c>
      <c r="S1" s="1">
        <v>46023</v>
      </c>
      <c r="T1" s="1">
        <v>46388</v>
      </c>
      <c r="U1" s="1">
        <v>46753</v>
      </c>
      <c r="V1" s="1">
        <v>47119</v>
      </c>
      <c r="W1" s="1">
        <v>47484</v>
      </c>
      <c r="X1" s="1">
        <v>47849</v>
      </c>
      <c r="Y1" s="1">
        <v>48214</v>
      </c>
      <c r="Z1" s="1">
        <v>48580</v>
      </c>
      <c r="AA1" s="1">
        <v>48945</v>
      </c>
      <c r="AB1" s="1">
        <v>49310</v>
      </c>
      <c r="AC1" s="1">
        <v>49675</v>
      </c>
      <c r="AD1" s="1">
        <v>50041</v>
      </c>
      <c r="AE1" s="1">
        <v>50406</v>
      </c>
      <c r="AF1" s="1">
        <v>50771</v>
      </c>
      <c r="AG1" s="1">
        <v>51136</v>
      </c>
      <c r="AH1" s="1">
        <v>51502</v>
      </c>
      <c r="AI1" s="1">
        <v>51867</v>
      </c>
      <c r="AJ1" s="1">
        <v>52232</v>
      </c>
      <c r="AK1" s="1">
        <v>52597</v>
      </c>
      <c r="AL1" s="1">
        <v>52963</v>
      </c>
      <c r="AM1" s="1">
        <v>53328</v>
      </c>
      <c r="AN1" s="1">
        <v>53693</v>
      </c>
      <c r="AO1" s="1">
        <v>54058</v>
      </c>
      <c r="AP1" s="1">
        <v>54424</v>
      </c>
      <c r="AQ1" s="1">
        <v>54789</v>
      </c>
      <c r="AR1" s="1">
        <v>55154</v>
      </c>
      <c r="AS1" s="1">
        <v>55519</v>
      </c>
      <c r="AT1" s="1">
        <v>55885</v>
      </c>
      <c r="AU1" s="1">
        <v>56250</v>
      </c>
      <c r="AV1" s="1">
        <v>56615</v>
      </c>
      <c r="AW1" s="1">
        <v>56980</v>
      </c>
      <c r="AX1" s="1">
        <v>57346</v>
      </c>
      <c r="AY1" s="1">
        <v>57711</v>
      </c>
      <c r="AZ1" s="1">
        <v>58076</v>
      </c>
      <c r="BA1" s="1">
        <v>58441</v>
      </c>
      <c r="BB1" s="1">
        <v>58807</v>
      </c>
      <c r="BC1" s="1">
        <v>59172</v>
      </c>
      <c r="BD1" s="1">
        <v>59537</v>
      </c>
      <c r="BE1" s="1">
        <v>59902</v>
      </c>
      <c r="BF1" s="1">
        <v>60268</v>
      </c>
      <c r="BG1" s="1">
        <v>60633</v>
      </c>
      <c r="BH1" s="1">
        <v>60998</v>
      </c>
      <c r="BI1" s="1">
        <v>61363</v>
      </c>
      <c r="BJ1" s="1">
        <v>61729</v>
      </c>
      <c r="BK1" s="1">
        <v>62094</v>
      </c>
      <c r="BL1" s="1">
        <v>62459</v>
      </c>
      <c r="BM1" s="1">
        <v>62824</v>
      </c>
      <c r="BN1" s="1">
        <v>63190</v>
      </c>
      <c r="BO1" s="1">
        <v>63555</v>
      </c>
      <c r="BP1" s="1">
        <v>63920</v>
      </c>
      <c r="BQ1" s="1">
        <v>64285</v>
      </c>
      <c r="BR1" s="1">
        <v>64651</v>
      </c>
      <c r="BS1" s="1">
        <v>65016</v>
      </c>
      <c r="BT1" s="1">
        <v>65381</v>
      </c>
      <c r="BU1" s="1">
        <v>65746</v>
      </c>
      <c r="BV1" s="1">
        <v>66112</v>
      </c>
      <c r="BW1" s="1">
        <v>66477</v>
      </c>
      <c r="BX1" s="1">
        <v>66842</v>
      </c>
      <c r="BY1" s="1">
        <v>67207</v>
      </c>
      <c r="BZ1" s="1">
        <v>67573</v>
      </c>
      <c r="CA1" s="1">
        <v>67938</v>
      </c>
      <c r="CB1" s="1">
        <v>68303</v>
      </c>
      <c r="CC1" s="1">
        <v>68668</v>
      </c>
      <c r="CD1" s="1">
        <v>69034</v>
      </c>
      <c r="CE1" s="1">
        <v>69399</v>
      </c>
      <c r="CF1" s="1">
        <v>69764</v>
      </c>
      <c r="CG1" s="1">
        <v>70129</v>
      </c>
      <c r="CH1" s="1">
        <v>70495</v>
      </c>
      <c r="CI1" s="1">
        <v>70860</v>
      </c>
      <c r="CJ1" s="1">
        <v>71225</v>
      </c>
      <c r="CK1" s="1">
        <v>71590</v>
      </c>
      <c r="CL1" s="1">
        <v>71956</v>
      </c>
      <c r="CM1" s="1">
        <v>72321</v>
      </c>
      <c r="CN1" s="1">
        <v>72686</v>
      </c>
      <c r="CO1" s="1">
        <v>73051</v>
      </c>
    </row>
    <row r="2" spans="1:93" x14ac:dyDescent="0.25">
      <c r="A2" t="s">
        <v>1</v>
      </c>
      <c r="C2" s="1">
        <v>40544</v>
      </c>
      <c r="D2" s="1">
        <v>40909</v>
      </c>
      <c r="E2" s="1">
        <v>41275</v>
      </c>
      <c r="F2" s="1">
        <v>41640</v>
      </c>
      <c r="G2" s="1">
        <v>42005</v>
      </c>
      <c r="H2" s="1">
        <v>42370</v>
      </c>
      <c r="I2" s="1">
        <v>42736</v>
      </c>
      <c r="J2" s="1">
        <v>43101</v>
      </c>
      <c r="K2" s="1">
        <v>43466</v>
      </c>
      <c r="L2" s="1">
        <v>43831</v>
      </c>
      <c r="M2" s="1">
        <v>44197</v>
      </c>
      <c r="N2" s="1">
        <v>44562</v>
      </c>
      <c r="O2" s="1">
        <v>44927</v>
      </c>
      <c r="P2" s="1">
        <v>45292</v>
      </c>
      <c r="Q2" s="1">
        <v>45658</v>
      </c>
      <c r="R2" s="1">
        <v>46023</v>
      </c>
      <c r="S2" s="1">
        <v>46388</v>
      </c>
      <c r="T2" s="1">
        <v>46753</v>
      </c>
      <c r="U2" s="1">
        <v>47119</v>
      </c>
      <c r="V2" s="1">
        <v>47484</v>
      </c>
      <c r="W2" s="1">
        <v>47849</v>
      </c>
      <c r="X2" s="1">
        <v>48214</v>
      </c>
      <c r="Y2" s="1">
        <v>48580</v>
      </c>
      <c r="Z2" s="1">
        <v>48945</v>
      </c>
      <c r="AA2" s="1">
        <v>49310</v>
      </c>
      <c r="AB2" s="1">
        <v>49675</v>
      </c>
      <c r="AC2" s="1">
        <v>50041</v>
      </c>
      <c r="AD2" s="1">
        <v>50406</v>
      </c>
      <c r="AE2" s="1">
        <v>50771</v>
      </c>
      <c r="AF2" s="1">
        <v>51136</v>
      </c>
      <c r="AG2" s="1">
        <v>51502</v>
      </c>
      <c r="AH2" s="1">
        <v>51867</v>
      </c>
      <c r="AI2" s="1">
        <v>52232</v>
      </c>
      <c r="AJ2" s="1">
        <v>52597</v>
      </c>
      <c r="AK2" s="1">
        <v>52963</v>
      </c>
      <c r="AL2" s="1">
        <v>53328</v>
      </c>
      <c r="AM2" s="1">
        <v>53693</v>
      </c>
      <c r="AN2" s="1">
        <v>54058</v>
      </c>
      <c r="AO2" s="1">
        <v>54424</v>
      </c>
      <c r="AP2" s="1">
        <v>54789</v>
      </c>
      <c r="AQ2" s="1">
        <v>55154</v>
      </c>
      <c r="AR2" s="1">
        <v>55519</v>
      </c>
      <c r="AS2" s="1">
        <v>55885</v>
      </c>
      <c r="AT2" s="1">
        <v>56250</v>
      </c>
      <c r="AU2" s="1">
        <v>56615</v>
      </c>
      <c r="AV2" s="1">
        <v>56980</v>
      </c>
      <c r="AW2" s="1">
        <v>57346</v>
      </c>
      <c r="AX2" s="1">
        <v>57711</v>
      </c>
      <c r="AY2" s="1">
        <v>58076</v>
      </c>
      <c r="AZ2" s="1">
        <v>58441</v>
      </c>
      <c r="BA2" s="1">
        <v>58807</v>
      </c>
      <c r="BB2" s="1">
        <v>59172</v>
      </c>
      <c r="BC2" s="1">
        <v>59537</v>
      </c>
      <c r="BD2" s="1">
        <v>59902</v>
      </c>
      <c r="BE2" s="1">
        <v>60268</v>
      </c>
      <c r="BF2" s="1">
        <v>60633</v>
      </c>
      <c r="BG2" s="1">
        <v>60998</v>
      </c>
      <c r="BH2" s="1">
        <v>61363</v>
      </c>
      <c r="BI2" s="1">
        <v>61729</v>
      </c>
      <c r="BJ2" s="1">
        <v>62094</v>
      </c>
      <c r="BK2" s="1">
        <v>62459</v>
      </c>
      <c r="BL2" s="1">
        <v>62824</v>
      </c>
      <c r="BM2" s="1">
        <v>63190</v>
      </c>
      <c r="BN2" s="1">
        <v>63555</v>
      </c>
      <c r="BO2" s="1">
        <v>63920</v>
      </c>
      <c r="BP2" s="1">
        <v>64285</v>
      </c>
      <c r="BQ2" s="1">
        <v>64651</v>
      </c>
      <c r="BR2" s="1">
        <v>65016</v>
      </c>
      <c r="BS2" s="1">
        <v>65381</v>
      </c>
      <c r="BT2" s="1">
        <v>65746</v>
      </c>
      <c r="BU2" s="1">
        <v>66112</v>
      </c>
      <c r="BV2" s="1">
        <v>66477</v>
      </c>
      <c r="BW2" s="1">
        <v>66842</v>
      </c>
      <c r="BX2" s="1">
        <v>67207</v>
      </c>
      <c r="BY2" s="1">
        <v>67573</v>
      </c>
      <c r="BZ2" s="1">
        <v>67938</v>
      </c>
      <c r="CA2" s="1">
        <v>68303</v>
      </c>
      <c r="CB2" s="1">
        <v>68668</v>
      </c>
      <c r="CC2" s="1">
        <v>69034</v>
      </c>
      <c r="CD2" s="1">
        <v>69399</v>
      </c>
      <c r="CE2" s="1">
        <v>69764</v>
      </c>
      <c r="CF2" s="1">
        <v>70129</v>
      </c>
      <c r="CG2" s="1">
        <v>70495</v>
      </c>
      <c r="CH2" s="1">
        <v>70860</v>
      </c>
      <c r="CI2" s="1">
        <v>71225</v>
      </c>
      <c r="CJ2" s="1">
        <v>71590</v>
      </c>
      <c r="CK2" s="1">
        <v>71956</v>
      </c>
      <c r="CL2" s="1">
        <v>72321</v>
      </c>
      <c r="CM2" s="1">
        <v>72686</v>
      </c>
      <c r="CN2" s="1">
        <v>73051</v>
      </c>
      <c r="CO2" s="1">
        <v>73416</v>
      </c>
    </row>
    <row r="3" spans="1:93" x14ac:dyDescent="0.25">
      <c r="A3" t="s">
        <v>575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907.24308028235873</v>
      </c>
      <c r="O3">
        <v>918.22696151099649</v>
      </c>
      <c r="P3">
        <v>915.72245314960594</v>
      </c>
      <c r="Q3">
        <v>905.68505212171988</v>
      </c>
      <c r="R3">
        <v>887.77931877770413</v>
      </c>
      <c r="S3">
        <v>882.2619586152565</v>
      </c>
      <c r="T3">
        <v>889.54973723172361</v>
      </c>
      <c r="U3">
        <v>886.0891655661278</v>
      </c>
      <c r="V3">
        <v>886.74185364981122</v>
      </c>
      <c r="W3">
        <v>876.74749486609198</v>
      </c>
      <c r="X3">
        <v>885.30674744930786</v>
      </c>
      <c r="Y3">
        <v>888.30188681048651</v>
      </c>
      <c r="Z3">
        <v>883.16913483019903</v>
      </c>
      <c r="AA3">
        <v>879.76237351795749</v>
      </c>
      <c r="AB3">
        <v>872.90799739177123</v>
      </c>
      <c r="AC3">
        <v>862.49320496048676</v>
      </c>
      <c r="AD3">
        <v>854.84592771171879</v>
      </c>
      <c r="AE3">
        <v>855.45559266994451</v>
      </c>
      <c r="AF3">
        <v>862.72346710055456</v>
      </c>
      <c r="AG3">
        <v>855.41648075430567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</row>
    <row r="4" spans="1:93" x14ac:dyDescent="0.25">
      <c r="A4" t="s">
        <v>576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907.24308028235873</v>
      </c>
      <c r="O4">
        <v>918.22696151099649</v>
      </c>
      <c r="P4">
        <v>915.72245314960594</v>
      </c>
      <c r="Q4">
        <v>905.68505212171988</v>
      </c>
      <c r="R4">
        <v>887.77931877770413</v>
      </c>
      <c r="S4">
        <v>882.2619586152565</v>
      </c>
      <c r="T4">
        <v>889.54973723172361</v>
      </c>
      <c r="U4">
        <v>886.0891655661278</v>
      </c>
      <c r="V4">
        <v>886.74185364981122</v>
      </c>
      <c r="W4">
        <v>876.74749486609198</v>
      </c>
      <c r="X4">
        <v>885.30674744930786</v>
      </c>
      <c r="Y4">
        <v>888.30188681048651</v>
      </c>
      <c r="Z4">
        <v>883.16913483019903</v>
      </c>
      <c r="AA4">
        <v>879.76237351795749</v>
      </c>
      <c r="AB4">
        <v>872.90799739177123</v>
      </c>
      <c r="AC4">
        <v>862.49320496048676</v>
      </c>
      <c r="AD4">
        <v>854.84592771171879</v>
      </c>
      <c r="AE4">
        <v>855.45559266994451</v>
      </c>
      <c r="AF4">
        <v>862.72346710055456</v>
      </c>
      <c r="AG4">
        <v>855.41648075430567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</row>
    <row r="5" spans="1:93" x14ac:dyDescent="0.25">
      <c r="A5" t="s">
        <v>577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907.24308028235873</v>
      </c>
      <c r="O5">
        <v>918.22696151099649</v>
      </c>
      <c r="P5">
        <v>915.72245314960594</v>
      </c>
      <c r="Q5">
        <v>905.68505212171988</v>
      </c>
      <c r="R5">
        <v>887.77931877770413</v>
      </c>
      <c r="S5">
        <v>882.2619586152565</v>
      </c>
      <c r="T5">
        <v>889.54973723172361</v>
      </c>
      <c r="U5">
        <v>886.0891655661278</v>
      </c>
      <c r="V5">
        <v>886.74185364981122</v>
      </c>
      <c r="W5">
        <v>876.74749486609198</v>
      </c>
      <c r="X5">
        <v>885.30674744930786</v>
      </c>
      <c r="Y5">
        <v>888.30188681048651</v>
      </c>
      <c r="Z5">
        <v>883.16913483019903</v>
      </c>
      <c r="AA5">
        <v>879.76237351795749</v>
      </c>
      <c r="AB5">
        <v>872.90799739177123</v>
      </c>
      <c r="AC5">
        <v>862.49320496048676</v>
      </c>
      <c r="AD5">
        <v>854.84592771171879</v>
      </c>
      <c r="AE5">
        <v>855.45559266994451</v>
      </c>
      <c r="AF5">
        <v>862.72346710055456</v>
      </c>
      <c r="AG5">
        <v>855.41648075430567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</row>
    <row r="6" spans="1:93" x14ac:dyDescent="0.25">
      <c r="A6" t="s">
        <v>578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907.24308028235873</v>
      </c>
      <c r="O6">
        <v>918.22696151099649</v>
      </c>
      <c r="P6">
        <v>915.72245314960594</v>
      </c>
      <c r="Q6">
        <v>905.68505212171988</v>
      </c>
      <c r="R6">
        <v>887.77931877770413</v>
      </c>
      <c r="S6">
        <v>882.2619586152565</v>
      </c>
      <c r="T6">
        <v>889.54973723172361</v>
      </c>
      <c r="U6">
        <v>886.0891655661278</v>
      </c>
      <c r="V6">
        <v>886.74185364981122</v>
      </c>
      <c r="W6">
        <v>876.74749486609198</v>
      </c>
      <c r="X6">
        <v>885.30674744930786</v>
      </c>
      <c r="Y6">
        <v>888.30188681048651</v>
      </c>
      <c r="Z6">
        <v>883.16913483019903</v>
      </c>
      <c r="AA6">
        <v>879.76237351795749</v>
      </c>
      <c r="AB6">
        <v>872.90799739177123</v>
      </c>
      <c r="AC6">
        <v>862.49320496048676</v>
      </c>
      <c r="AD6">
        <v>854.84592771171879</v>
      </c>
      <c r="AE6">
        <v>855.45559266994451</v>
      </c>
      <c r="AF6">
        <v>862.72346710055456</v>
      </c>
      <c r="AG6">
        <v>855.41648075430567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</row>
    <row r="7" spans="1:93" x14ac:dyDescent="0.25">
      <c r="A7" t="s">
        <v>579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269.71879666159481</v>
      </c>
      <c r="O7">
        <v>263.83025902410867</v>
      </c>
      <c r="P7">
        <v>297.24616378534182</v>
      </c>
      <c r="Q7">
        <v>316.88846118979188</v>
      </c>
      <c r="R7">
        <v>321.17635425013663</v>
      </c>
      <c r="S7">
        <v>324.85616756412389</v>
      </c>
      <c r="T7">
        <v>325.18578523099882</v>
      </c>
      <c r="U7">
        <v>321.98493642775469</v>
      </c>
      <c r="V7">
        <v>317.83666549212552</v>
      </c>
      <c r="W7">
        <v>312.24460656196067</v>
      </c>
      <c r="X7">
        <v>315.99326921641216</v>
      </c>
      <c r="Y7">
        <v>317.15773581037428</v>
      </c>
      <c r="Z7">
        <v>315.30959654750143</v>
      </c>
      <c r="AA7">
        <v>314.09680453725201</v>
      </c>
      <c r="AB7">
        <v>311.63298008302718</v>
      </c>
      <c r="AC7">
        <v>307.96085495016746</v>
      </c>
      <c r="AD7">
        <v>305.16947310780398</v>
      </c>
      <c r="AE7">
        <v>305.41919503476618</v>
      </c>
      <c r="AF7">
        <v>307.95055045531126</v>
      </c>
      <c r="AG7">
        <v>305.36325439747878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</row>
    <row r="8" spans="1:93" x14ac:dyDescent="0.25">
      <c r="A8" t="s">
        <v>580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269.71879666159481</v>
      </c>
      <c r="O8">
        <v>263.83025902410867</v>
      </c>
      <c r="P8">
        <v>297.24616378534182</v>
      </c>
      <c r="Q8">
        <v>316.88846118979188</v>
      </c>
      <c r="R8">
        <v>321.17635425013663</v>
      </c>
      <c r="S8">
        <v>324.85616756412389</v>
      </c>
      <c r="T8">
        <v>325.18578523099882</v>
      </c>
      <c r="U8">
        <v>321.98493642775469</v>
      </c>
      <c r="V8">
        <v>317.83666549212552</v>
      </c>
      <c r="W8">
        <v>312.24460656196067</v>
      </c>
      <c r="X8">
        <v>315.99326921641216</v>
      </c>
      <c r="Y8">
        <v>317.15773581037428</v>
      </c>
      <c r="Z8">
        <v>315.30959654750143</v>
      </c>
      <c r="AA8">
        <v>314.09680453725201</v>
      </c>
      <c r="AB8">
        <v>311.63298008302718</v>
      </c>
      <c r="AC8">
        <v>307.96085495016746</v>
      </c>
      <c r="AD8">
        <v>305.16947310780398</v>
      </c>
      <c r="AE8">
        <v>305.41919503476618</v>
      </c>
      <c r="AF8">
        <v>307.95055045531126</v>
      </c>
      <c r="AG8">
        <v>305.36325439747878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</row>
    <row r="9" spans="1:93" x14ac:dyDescent="0.25">
      <c r="A9" t="s">
        <v>581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269.71879666159481</v>
      </c>
      <c r="O9">
        <v>263.83025902410867</v>
      </c>
      <c r="P9">
        <v>297.24616378534182</v>
      </c>
      <c r="Q9">
        <v>316.88846118979188</v>
      </c>
      <c r="R9">
        <v>321.17635425013663</v>
      </c>
      <c r="S9">
        <v>324.85616756412389</v>
      </c>
      <c r="T9">
        <v>325.18578523099882</v>
      </c>
      <c r="U9">
        <v>321.98493642775469</v>
      </c>
      <c r="V9">
        <v>317.83666549212552</v>
      </c>
      <c r="W9">
        <v>312.24460656196067</v>
      </c>
      <c r="X9">
        <v>315.99326921641216</v>
      </c>
      <c r="Y9">
        <v>317.15773581037428</v>
      </c>
      <c r="Z9">
        <v>315.30959654750143</v>
      </c>
      <c r="AA9">
        <v>314.09680453725201</v>
      </c>
      <c r="AB9">
        <v>311.63298008302718</v>
      </c>
      <c r="AC9">
        <v>307.96085495016746</v>
      </c>
      <c r="AD9">
        <v>305.16947310780398</v>
      </c>
      <c r="AE9">
        <v>305.41919503476618</v>
      </c>
      <c r="AF9">
        <v>307.95055045531126</v>
      </c>
      <c r="AG9">
        <v>305.36325439747878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</row>
    <row r="10" spans="1:93" x14ac:dyDescent="0.25">
      <c r="A10" t="s">
        <v>582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212.87399213262498</v>
      </c>
      <c r="O10">
        <v>198.2796113809903</v>
      </c>
      <c r="P10">
        <v>200.67637929489075</v>
      </c>
      <c r="Q10">
        <v>206.93653987329972</v>
      </c>
      <c r="R10">
        <v>212.43210836114054</v>
      </c>
      <c r="S10">
        <v>216.83272665658959</v>
      </c>
      <c r="T10">
        <v>219.93130492301478</v>
      </c>
      <c r="U10">
        <v>222.35165483898933</v>
      </c>
      <c r="V10">
        <v>225.92693707140327</v>
      </c>
      <c r="W10">
        <v>231.36830722159439</v>
      </c>
      <c r="X10">
        <v>242.99415208392446</v>
      </c>
      <c r="Y10">
        <v>243.81633709066114</v>
      </c>
      <c r="Z10">
        <v>242.3949152066312</v>
      </c>
      <c r="AA10">
        <v>241.47847080696999</v>
      </c>
      <c r="AB10">
        <v>239.57244244686444</v>
      </c>
      <c r="AC10">
        <v>236.71695571313109</v>
      </c>
      <c r="AD10">
        <v>234.6029012329771</v>
      </c>
      <c r="AE10">
        <v>234.80381739082191</v>
      </c>
      <c r="AF10">
        <v>236.76264820839179</v>
      </c>
      <c r="AG10">
        <v>234.75696200745145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</row>
    <row r="11" spans="1:93" x14ac:dyDescent="0.25">
      <c r="A11" t="s">
        <v>583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212.87399213262498</v>
      </c>
      <c r="O11">
        <v>198.2796113809903</v>
      </c>
      <c r="P11">
        <v>200.67637929489075</v>
      </c>
      <c r="Q11">
        <v>206.93653987329972</v>
      </c>
      <c r="R11">
        <v>212.43210836114054</v>
      </c>
      <c r="S11">
        <v>216.83272665658959</v>
      </c>
      <c r="T11">
        <v>219.93130492301478</v>
      </c>
      <c r="U11">
        <v>222.35165483898933</v>
      </c>
      <c r="V11">
        <v>225.92693707140327</v>
      </c>
      <c r="W11">
        <v>231.36830722159439</v>
      </c>
      <c r="X11">
        <v>242.99415208392446</v>
      </c>
      <c r="Y11">
        <v>243.81633709066114</v>
      </c>
      <c r="Z11">
        <v>242.3949152066312</v>
      </c>
      <c r="AA11">
        <v>241.47847080696999</v>
      </c>
      <c r="AB11">
        <v>239.57244244686444</v>
      </c>
      <c r="AC11">
        <v>236.71695571313109</v>
      </c>
      <c r="AD11">
        <v>234.6029012329771</v>
      </c>
      <c r="AE11">
        <v>234.80381739082191</v>
      </c>
      <c r="AF11">
        <v>236.76264820839179</v>
      </c>
      <c r="AG11">
        <v>234.75696200745145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</row>
    <row r="12" spans="1:93" x14ac:dyDescent="0.25">
      <c r="A12" t="s">
        <v>584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212.87399213262498</v>
      </c>
      <c r="O12">
        <v>198.2796113809903</v>
      </c>
      <c r="P12">
        <v>200.67637929489075</v>
      </c>
      <c r="Q12">
        <v>206.93653987329972</v>
      </c>
      <c r="R12">
        <v>212.43210836114054</v>
      </c>
      <c r="S12">
        <v>216.83272665658959</v>
      </c>
      <c r="T12">
        <v>219.93130492301478</v>
      </c>
      <c r="U12">
        <v>222.35165483898933</v>
      </c>
      <c r="V12">
        <v>225.92693707140327</v>
      </c>
      <c r="W12">
        <v>231.36830722159439</v>
      </c>
      <c r="X12">
        <v>242.99415208392446</v>
      </c>
      <c r="Y12">
        <v>243.81633709066114</v>
      </c>
      <c r="Z12">
        <v>242.3949152066312</v>
      </c>
      <c r="AA12">
        <v>241.47847080696999</v>
      </c>
      <c r="AB12">
        <v>239.57244244686444</v>
      </c>
      <c r="AC12">
        <v>236.71695571313109</v>
      </c>
      <c r="AD12">
        <v>234.6029012329771</v>
      </c>
      <c r="AE12">
        <v>234.80381739082191</v>
      </c>
      <c r="AF12">
        <v>236.76264820839179</v>
      </c>
      <c r="AG12">
        <v>234.75696200745145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</row>
    <row r="13" spans="1:93" x14ac:dyDescent="0.25">
      <c r="A13" t="s">
        <v>585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212.87399213262498</v>
      </c>
      <c r="O13">
        <v>198.2796113809903</v>
      </c>
      <c r="P13">
        <v>200.67637929489075</v>
      </c>
      <c r="Q13">
        <v>206.93653987329972</v>
      </c>
      <c r="R13">
        <v>212.43210836114054</v>
      </c>
      <c r="S13">
        <v>216.83272665658959</v>
      </c>
      <c r="T13">
        <v>219.93130492301478</v>
      </c>
      <c r="U13">
        <v>222.35165483898933</v>
      </c>
      <c r="V13">
        <v>225.92693707140327</v>
      </c>
      <c r="W13">
        <v>231.36830722159439</v>
      </c>
      <c r="X13">
        <v>242.99415208392446</v>
      </c>
      <c r="Y13">
        <v>243.81633709066114</v>
      </c>
      <c r="Z13">
        <v>242.3949152066312</v>
      </c>
      <c r="AA13">
        <v>241.47847080696999</v>
      </c>
      <c r="AB13">
        <v>239.57244244686444</v>
      </c>
      <c r="AC13">
        <v>236.71695571313109</v>
      </c>
      <c r="AD13">
        <v>234.6029012329771</v>
      </c>
      <c r="AE13">
        <v>234.80381739082191</v>
      </c>
      <c r="AF13">
        <v>236.76264820839179</v>
      </c>
      <c r="AG13">
        <v>234.75696200745145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</row>
    <row r="14" spans="1:93" x14ac:dyDescent="0.25">
      <c r="A14" t="s">
        <v>586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212.87399213262498</v>
      </c>
      <c r="O14">
        <v>198.2796113809903</v>
      </c>
      <c r="P14">
        <v>200.67637929489075</v>
      </c>
      <c r="Q14">
        <v>206.93653987329972</v>
      </c>
      <c r="R14">
        <v>212.43210836114054</v>
      </c>
      <c r="S14">
        <v>216.83272665658959</v>
      </c>
      <c r="T14">
        <v>219.93130492301478</v>
      </c>
      <c r="U14">
        <v>222.35165483898933</v>
      </c>
      <c r="V14">
        <v>225.92693707140327</v>
      </c>
      <c r="W14">
        <v>231.36830722159439</v>
      </c>
      <c r="X14">
        <v>242.99415208392446</v>
      </c>
      <c r="Y14">
        <v>243.81633709066114</v>
      </c>
      <c r="Z14">
        <v>242.3949152066312</v>
      </c>
      <c r="AA14">
        <v>241.47847080696999</v>
      </c>
      <c r="AB14">
        <v>239.57244244686444</v>
      </c>
      <c r="AC14">
        <v>236.71695571313109</v>
      </c>
      <c r="AD14">
        <v>234.6029012329771</v>
      </c>
      <c r="AE14">
        <v>234.80381739082191</v>
      </c>
      <c r="AF14">
        <v>236.76264820839179</v>
      </c>
      <c r="AG14">
        <v>234.75696200745145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</row>
    <row r="15" spans="1:93" x14ac:dyDescent="0.25">
      <c r="A15" t="s">
        <v>587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212.87399213262498</v>
      </c>
      <c r="O15">
        <v>198.2796113809903</v>
      </c>
      <c r="P15">
        <v>200.67637929489075</v>
      </c>
      <c r="Q15">
        <v>206.93653987329972</v>
      </c>
      <c r="R15">
        <v>212.43210836114054</v>
      </c>
      <c r="S15">
        <v>216.83272665658959</v>
      </c>
      <c r="T15">
        <v>219.93130492301478</v>
      </c>
      <c r="U15">
        <v>222.35165483898933</v>
      </c>
      <c r="V15">
        <v>225.92693707140327</v>
      </c>
      <c r="W15">
        <v>231.36830722159439</v>
      </c>
      <c r="X15">
        <v>242.99415208392446</v>
      </c>
      <c r="Y15">
        <v>243.81633709066114</v>
      </c>
      <c r="Z15">
        <v>242.3949152066312</v>
      </c>
      <c r="AA15">
        <v>241.47847080696999</v>
      </c>
      <c r="AB15">
        <v>239.57244244686444</v>
      </c>
      <c r="AC15">
        <v>236.71695571313109</v>
      </c>
      <c r="AD15">
        <v>234.6029012329771</v>
      </c>
      <c r="AE15">
        <v>234.80381739082191</v>
      </c>
      <c r="AF15">
        <v>236.76264820839179</v>
      </c>
      <c r="AG15">
        <v>234.75696200745145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</row>
    <row r="16" spans="1:93" x14ac:dyDescent="0.25">
      <c r="A16" t="s">
        <v>588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591.10756047434995</v>
      </c>
      <c r="O16">
        <v>601.27552301989112</v>
      </c>
      <c r="P16">
        <v>624.21694394921792</v>
      </c>
      <c r="Q16">
        <v>720.49575958497439</v>
      </c>
      <c r="R16">
        <v>831.61505993862579</v>
      </c>
      <c r="S16">
        <v>928.50590505860498</v>
      </c>
      <c r="T16">
        <v>1003.4796687004639</v>
      </c>
      <c r="U16">
        <v>1065.313921137333</v>
      </c>
      <c r="V16">
        <v>1103.8785870437675</v>
      </c>
      <c r="W16">
        <v>1112.588466657583</v>
      </c>
      <c r="X16">
        <v>1126.2038339865173</v>
      </c>
      <c r="Y16">
        <v>1130.073586789845</v>
      </c>
      <c r="Z16">
        <v>1123.4694101001289</v>
      </c>
      <c r="AA16">
        <v>1119.1486312087013</v>
      </c>
      <c r="AB16">
        <v>1110.4874992053212</v>
      </c>
      <c r="AC16">
        <v>1097.2080510965188</v>
      </c>
      <c r="AD16">
        <v>1087.4370626412469</v>
      </c>
      <c r="AE16">
        <v>1088.286484052572</v>
      </c>
      <c r="AF16">
        <v>1097.3817865475016</v>
      </c>
      <c r="AG16">
        <v>1088.2790027193851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</row>
    <row r="17" spans="1:93" x14ac:dyDescent="0.25">
      <c r="A17" t="s">
        <v>589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591.10756047434995</v>
      </c>
      <c r="O17">
        <v>601.27552301989112</v>
      </c>
      <c r="P17">
        <v>624.21694394921792</v>
      </c>
      <c r="Q17">
        <v>720.49575958497439</v>
      </c>
      <c r="R17">
        <v>831.61505993862579</v>
      </c>
      <c r="S17">
        <v>928.50590505860498</v>
      </c>
      <c r="T17">
        <v>1003.4796687004639</v>
      </c>
      <c r="U17">
        <v>1065.313921137333</v>
      </c>
      <c r="V17">
        <v>1103.8785870437675</v>
      </c>
      <c r="W17">
        <v>1112.588466657583</v>
      </c>
      <c r="X17">
        <v>1126.2038339865173</v>
      </c>
      <c r="Y17">
        <v>1130.073586789845</v>
      </c>
      <c r="Z17">
        <v>1123.4694101001289</v>
      </c>
      <c r="AA17">
        <v>1119.1486312087013</v>
      </c>
      <c r="AB17">
        <v>1110.4874992053212</v>
      </c>
      <c r="AC17">
        <v>1097.2080510965188</v>
      </c>
      <c r="AD17">
        <v>1087.4370626412469</v>
      </c>
      <c r="AE17">
        <v>1088.286484052572</v>
      </c>
      <c r="AF17">
        <v>1097.3817865475016</v>
      </c>
      <c r="AG17">
        <v>1088.2790027193851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</row>
    <row r="18" spans="1:93" x14ac:dyDescent="0.25">
      <c r="A18" t="s">
        <v>590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947.70089978159808</v>
      </c>
      <c r="O18">
        <v>1025.8750341077653</v>
      </c>
      <c r="P18">
        <v>991.26664998841602</v>
      </c>
      <c r="Q18">
        <v>981.86795583486673</v>
      </c>
      <c r="R18">
        <v>976.58605283949464</v>
      </c>
      <c r="S18">
        <v>966.04510864202905</v>
      </c>
      <c r="T18">
        <v>936.43164549117512</v>
      </c>
      <c r="U18">
        <v>887.32292937226282</v>
      </c>
      <c r="V18">
        <v>844.18016836661059</v>
      </c>
      <c r="W18">
        <v>814.70900630246672</v>
      </c>
      <c r="X18">
        <v>807.34369035181112</v>
      </c>
      <c r="Y18">
        <v>809.99494082046681</v>
      </c>
      <c r="Z18">
        <v>805.29625515814962</v>
      </c>
      <c r="AA18">
        <v>802.29752079692366</v>
      </c>
      <c r="AB18">
        <v>795.9699997846019</v>
      </c>
      <c r="AC18">
        <v>786.59505099227181</v>
      </c>
      <c r="AD18">
        <v>779.48206695943657</v>
      </c>
      <c r="AE18">
        <v>780.04882329181385</v>
      </c>
      <c r="AF18">
        <v>786.65968113809254</v>
      </c>
      <c r="AG18">
        <v>779.99728663500878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</row>
    <row r="19" spans="1:93" x14ac:dyDescent="0.25">
      <c r="A19" t="s">
        <v>591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947.70089978159808</v>
      </c>
      <c r="O19">
        <v>1025.8750341077653</v>
      </c>
      <c r="P19">
        <v>991.26664998841602</v>
      </c>
      <c r="Q19">
        <v>981.86795583486673</v>
      </c>
      <c r="R19">
        <v>976.58605283949464</v>
      </c>
      <c r="S19">
        <v>966.04510864202905</v>
      </c>
      <c r="T19">
        <v>936.43164549117512</v>
      </c>
      <c r="U19">
        <v>887.32292937226282</v>
      </c>
      <c r="V19">
        <v>844.18016836661059</v>
      </c>
      <c r="W19">
        <v>814.70900630246672</v>
      </c>
      <c r="X19">
        <v>807.34369035181112</v>
      </c>
      <c r="Y19">
        <v>809.99494082046681</v>
      </c>
      <c r="Z19">
        <v>805.29625515814962</v>
      </c>
      <c r="AA19">
        <v>802.29752079692366</v>
      </c>
      <c r="AB19">
        <v>795.9699997846019</v>
      </c>
      <c r="AC19">
        <v>786.59505099227181</v>
      </c>
      <c r="AD19">
        <v>779.48206695943657</v>
      </c>
      <c r="AE19">
        <v>780.04882329181385</v>
      </c>
      <c r="AF19">
        <v>786.65968113809254</v>
      </c>
      <c r="AG19">
        <v>779.99728663500878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</row>
    <row r="20" spans="1:93" x14ac:dyDescent="0.25">
      <c r="A20" t="s">
        <v>592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336.3121584730041</v>
      </c>
      <c r="O20">
        <v>338.06180507594706</v>
      </c>
      <c r="P20">
        <v>329.0839045509756</v>
      </c>
      <c r="Q20">
        <v>324.00246756489662</v>
      </c>
      <c r="R20">
        <v>318.3174707992585</v>
      </c>
      <c r="S20">
        <v>311.718453803312</v>
      </c>
      <c r="T20">
        <v>301.97464437705474</v>
      </c>
      <c r="U20">
        <v>292.2283812220108</v>
      </c>
      <c r="V20">
        <v>285.27639736168362</v>
      </c>
      <c r="W20">
        <v>281.16397276644364</v>
      </c>
      <c r="X20">
        <v>285.37788190993854</v>
      </c>
      <c r="Y20">
        <v>286.3554104972435</v>
      </c>
      <c r="Z20">
        <v>284.69426852752878</v>
      </c>
      <c r="AA20">
        <v>283.58757023481405</v>
      </c>
      <c r="AB20">
        <v>281.38923187570998</v>
      </c>
      <c r="AC20">
        <v>278.04188412702274</v>
      </c>
      <c r="AD20">
        <v>275.56039982114419</v>
      </c>
      <c r="AE20">
        <v>275.76551927523849</v>
      </c>
      <c r="AF20">
        <v>278.11356378897437</v>
      </c>
      <c r="AG20">
        <v>275.76902887069434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</row>
    <row r="21" spans="1:93" x14ac:dyDescent="0.25">
      <c r="A21" t="s">
        <v>593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336.3121584730041</v>
      </c>
      <c r="O21">
        <v>338.06180507594706</v>
      </c>
      <c r="P21">
        <v>329.0839045509756</v>
      </c>
      <c r="Q21">
        <v>324.00246756489662</v>
      </c>
      <c r="R21">
        <v>318.3174707992585</v>
      </c>
      <c r="S21">
        <v>311.718453803312</v>
      </c>
      <c r="T21">
        <v>301.97464437705474</v>
      </c>
      <c r="U21">
        <v>292.2283812220108</v>
      </c>
      <c r="V21">
        <v>285.27639736168362</v>
      </c>
      <c r="W21">
        <v>281.16397276644364</v>
      </c>
      <c r="X21">
        <v>285.37788190993854</v>
      </c>
      <c r="Y21">
        <v>286.3554104972435</v>
      </c>
      <c r="Z21">
        <v>284.69426852752878</v>
      </c>
      <c r="AA21">
        <v>283.58757023481405</v>
      </c>
      <c r="AB21">
        <v>281.38923187570998</v>
      </c>
      <c r="AC21">
        <v>278.04188412702274</v>
      </c>
      <c r="AD21">
        <v>275.56039982114419</v>
      </c>
      <c r="AE21">
        <v>275.76551927523849</v>
      </c>
      <c r="AF21">
        <v>278.11356378897437</v>
      </c>
      <c r="AG21">
        <v>275.76902887069434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</row>
    <row r="22" spans="1:93" x14ac:dyDescent="0.25">
      <c r="A22" t="s">
        <v>594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336.3121584730041</v>
      </c>
      <c r="O22">
        <v>338.06180507594706</v>
      </c>
      <c r="P22">
        <v>329.0839045509756</v>
      </c>
      <c r="Q22">
        <v>324.00246756489662</v>
      </c>
      <c r="R22">
        <v>318.3174707992585</v>
      </c>
      <c r="S22">
        <v>311.718453803312</v>
      </c>
      <c r="T22">
        <v>301.97464437705474</v>
      </c>
      <c r="U22">
        <v>292.2283812220108</v>
      </c>
      <c r="V22">
        <v>285.27639736168362</v>
      </c>
      <c r="W22">
        <v>281.16397276644364</v>
      </c>
      <c r="X22">
        <v>285.37788190993854</v>
      </c>
      <c r="Y22">
        <v>286.3554104972435</v>
      </c>
      <c r="Z22">
        <v>284.69426852752878</v>
      </c>
      <c r="AA22">
        <v>283.58757023481405</v>
      </c>
      <c r="AB22">
        <v>281.38923187570998</v>
      </c>
      <c r="AC22">
        <v>278.04188412702274</v>
      </c>
      <c r="AD22">
        <v>275.56039982114419</v>
      </c>
      <c r="AE22">
        <v>275.76551927523849</v>
      </c>
      <c r="AF22">
        <v>278.11356378897437</v>
      </c>
      <c r="AG22">
        <v>275.76902887069434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</row>
    <row r="23" spans="1:93" x14ac:dyDescent="0.25">
      <c r="A23" t="s">
        <v>595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336.3121584730041</v>
      </c>
      <c r="O23">
        <v>338.06180507594706</v>
      </c>
      <c r="P23">
        <v>329.0839045509756</v>
      </c>
      <c r="Q23">
        <v>324.00246756489662</v>
      </c>
      <c r="R23">
        <v>318.3174707992585</v>
      </c>
      <c r="S23">
        <v>311.718453803312</v>
      </c>
      <c r="T23">
        <v>301.97464437705474</v>
      </c>
      <c r="U23">
        <v>292.2283812220108</v>
      </c>
      <c r="V23">
        <v>285.27639736168362</v>
      </c>
      <c r="W23">
        <v>281.16397276644364</v>
      </c>
      <c r="X23">
        <v>285.37788190993854</v>
      </c>
      <c r="Y23">
        <v>286.3554104972435</v>
      </c>
      <c r="Z23">
        <v>284.69426852752878</v>
      </c>
      <c r="AA23">
        <v>283.58757023481405</v>
      </c>
      <c r="AB23">
        <v>281.38923187570998</v>
      </c>
      <c r="AC23">
        <v>278.04188412702274</v>
      </c>
      <c r="AD23">
        <v>275.56039982114419</v>
      </c>
      <c r="AE23">
        <v>275.76551927523849</v>
      </c>
      <c r="AF23">
        <v>278.11356378897437</v>
      </c>
      <c r="AG23">
        <v>275.76902887069434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</row>
    <row r="24" spans="1:93" x14ac:dyDescent="0.25">
      <c r="A24" t="s">
        <v>596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336.3121584730041</v>
      </c>
      <c r="O24">
        <v>338.06180507594706</v>
      </c>
      <c r="P24">
        <v>329.0839045509756</v>
      </c>
      <c r="Q24">
        <v>324.00246756489662</v>
      </c>
      <c r="R24">
        <v>318.3174707992585</v>
      </c>
      <c r="S24">
        <v>311.718453803312</v>
      </c>
      <c r="T24">
        <v>301.97464437705474</v>
      </c>
      <c r="U24">
        <v>292.2283812220108</v>
      </c>
      <c r="V24">
        <v>285.27639736168362</v>
      </c>
      <c r="W24">
        <v>281.16397276644364</v>
      </c>
      <c r="X24">
        <v>285.37788190993854</v>
      </c>
      <c r="Y24">
        <v>286.3554104972435</v>
      </c>
      <c r="Z24">
        <v>284.69426852752878</v>
      </c>
      <c r="AA24">
        <v>283.58757023481405</v>
      </c>
      <c r="AB24">
        <v>281.38923187570998</v>
      </c>
      <c r="AC24">
        <v>278.04188412702274</v>
      </c>
      <c r="AD24">
        <v>275.56039982114419</v>
      </c>
      <c r="AE24">
        <v>275.76551927523849</v>
      </c>
      <c r="AF24">
        <v>278.11356378897437</v>
      </c>
      <c r="AG24">
        <v>275.76902887069434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</row>
    <row r="25" spans="1:93" x14ac:dyDescent="0.25">
      <c r="A25" t="s">
        <v>597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336.3121584730041</v>
      </c>
      <c r="O25">
        <v>338.06180507594706</v>
      </c>
      <c r="P25">
        <v>329.0839045509756</v>
      </c>
      <c r="Q25">
        <v>324.00246756489662</v>
      </c>
      <c r="R25">
        <v>318.3174707992585</v>
      </c>
      <c r="S25">
        <v>311.718453803312</v>
      </c>
      <c r="T25">
        <v>301.97464437705474</v>
      </c>
      <c r="U25">
        <v>292.2283812220108</v>
      </c>
      <c r="V25">
        <v>285.27639736168362</v>
      </c>
      <c r="W25">
        <v>281.16397276644364</v>
      </c>
      <c r="X25">
        <v>285.37788190993854</v>
      </c>
      <c r="Y25">
        <v>286.3554104972435</v>
      </c>
      <c r="Z25">
        <v>284.69426852752878</v>
      </c>
      <c r="AA25">
        <v>283.58757023481405</v>
      </c>
      <c r="AB25">
        <v>281.38923187570998</v>
      </c>
      <c r="AC25">
        <v>278.04188412702274</v>
      </c>
      <c r="AD25">
        <v>275.56039982114419</v>
      </c>
      <c r="AE25">
        <v>275.76551927523849</v>
      </c>
      <c r="AF25">
        <v>278.11356378897437</v>
      </c>
      <c r="AG25">
        <v>275.76902887069434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</row>
    <row r="26" spans="1:93" x14ac:dyDescent="0.25">
      <c r="A26" t="s">
        <v>598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336.3121584730041</v>
      </c>
      <c r="O26">
        <v>338.06180507594706</v>
      </c>
      <c r="P26">
        <v>329.0839045509756</v>
      </c>
      <c r="Q26">
        <v>324.00246756489662</v>
      </c>
      <c r="R26">
        <v>318.3174707992585</v>
      </c>
      <c r="S26">
        <v>311.718453803312</v>
      </c>
      <c r="T26">
        <v>301.97464437705474</v>
      </c>
      <c r="U26">
        <v>292.2283812220108</v>
      </c>
      <c r="V26">
        <v>285.27639736168362</v>
      </c>
      <c r="W26">
        <v>281.16397276644364</v>
      </c>
      <c r="X26">
        <v>285.37788190993854</v>
      </c>
      <c r="Y26">
        <v>286.3554104972435</v>
      </c>
      <c r="Z26">
        <v>284.69426852752878</v>
      </c>
      <c r="AA26">
        <v>283.58757023481405</v>
      </c>
      <c r="AB26">
        <v>281.38923187570998</v>
      </c>
      <c r="AC26">
        <v>278.04188412702274</v>
      </c>
      <c r="AD26">
        <v>275.56039982114419</v>
      </c>
      <c r="AE26">
        <v>275.76551927523849</v>
      </c>
      <c r="AF26">
        <v>278.11356378897437</v>
      </c>
      <c r="AG26">
        <v>275.76902887069434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</row>
    <row r="27" spans="1:93" x14ac:dyDescent="0.25">
      <c r="A27" t="s">
        <v>599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336.3121584730041</v>
      </c>
      <c r="O27">
        <v>338.06180507594706</v>
      </c>
      <c r="P27">
        <v>329.0839045509756</v>
      </c>
      <c r="Q27">
        <v>324.00246756489662</v>
      </c>
      <c r="R27">
        <v>318.3174707992585</v>
      </c>
      <c r="S27">
        <v>311.718453803312</v>
      </c>
      <c r="T27">
        <v>301.97464437705474</v>
      </c>
      <c r="U27">
        <v>292.2283812220108</v>
      </c>
      <c r="V27">
        <v>285.27639736168362</v>
      </c>
      <c r="W27">
        <v>281.16397276644364</v>
      </c>
      <c r="X27">
        <v>285.37788190993854</v>
      </c>
      <c r="Y27">
        <v>286.3554104972435</v>
      </c>
      <c r="Z27">
        <v>284.69426852752878</v>
      </c>
      <c r="AA27">
        <v>283.58757023481405</v>
      </c>
      <c r="AB27">
        <v>281.38923187570998</v>
      </c>
      <c r="AC27">
        <v>278.04188412702274</v>
      </c>
      <c r="AD27">
        <v>275.56039982114419</v>
      </c>
      <c r="AE27">
        <v>275.76551927523849</v>
      </c>
      <c r="AF27">
        <v>278.11356378897437</v>
      </c>
      <c r="AG27">
        <v>275.76902887069434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</row>
    <row r="28" spans="1:93" x14ac:dyDescent="0.25">
      <c r="A28" t="s">
        <v>600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336.3121584730041</v>
      </c>
      <c r="O28">
        <v>338.06180507594706</v>
      </c>
      <c r="P28">
        <v>329.0839045509756</v>
      </c>
      <c r="Q28">
        <v>324.00246756489662</v>
      </c>
      <c r="R28">
        <v>318.3174707992585</v>
      </c>
      <c r="S28">
        <v>311.718453803312</v>
      </c>
      <c r="T28">
        <v>301.97464437705474</v>
      </c>
      <c r="U28">
        <v>292.2283812220108</v>
      </c>
      <c r="V28">
        <v>285.27639736168362</v>
      </c>
      <c r="W28">
        <v>281.16397276644364</v>
      </c>
      <c r="X28">
        <v>285.37788190993854</v>
      </c>
      <c r="Y28">
        <v>286.3554104972435</v>
      </c>
      <c r="Z28">
        <v>284.69426852752878</v>
      </c>
      <c r="AA28">
        <v>283.58757023481405</v>
      </c>
      <c r="AB28">
        <v>281.38923187570998</v>
      </c>
      <c r="AC28">
        <v>278.04188412702274</v>
      </c>
      <c r="AD28">
        <v>275.56039982114419</v>
      </c>
      <c r="AE28">
        <v>275.76551927523849</v>
      </c>
      <c r="AF28">
        <v>278.11356378897437</v>
      </c>
      <c r="AG28">
        <v>275.76902887069434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</row>
    <row r="29" spans="1:93" x14ac:dyDescent="0.25">
      <c r="A29" t="s">
        <v>601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514.31896120280226</v>
      </c>
      <c r="O29">
        <v>509.60819522099291</v>
      </c>
      <c r="P29">
        <v>509.45507950800948</v>
      </c>
      <c r="Q29">
        <v>504.69331763545097</v>
      </c>
      <c r="R29">
        <v>493.61706649617901</v>
      </c>
      <c r="S29">
        <v>480.07975772916507</v>
      </c>
      <c r="T29">
        <v>459.57432127329889</v>
      </c>
      <c r="U29">
        <v>439.33955268645855</v>
      </c>
      <c r="V29">
        <v>422.51271348418283</v>
      </c>
      <c r="W29">
        <v>410.26053922204858</v>
      </c>
      <c r="X29">
        <v>412.51137463231231</v>
      </c>
      <c r="Y29">
        <v>413.89055555549783</v>
      </c>
      <c r="Z29">
        <v>411.48466383678158</v>
      </c>
      <c r="AA29">
        <v>409.93894461864812</v>
      </c>
      <c r="AB29">
        <v>406.73153001626156</v>
      </c>
      <c r="AC29">
        <v>401.87799511227536</v>
      </c>
      <c r="AD29">
        <v>398.30159149124779</v>
      </c>
      <c r="AE29">
        <v>398.61956745492375</v>
      </c>
      <c r="AF29">
        <v>401.95945485794169</v>
      </c>
      <c r="AG29">
        <v>398.58646120000162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</row>
    <row r="30" spans="1:93" x14ac:dyDescent="0.25">
      <c r="A30" t="s">
        <v>602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514.31896120280226</v>
      </c>
      <c r="O30">
        <v>509.60819522099291</v>
      </c>
      <c r="P30">
        <v>509.45507950800948</v>
      </c>
      <c r="Q30">
        <v>504.69331763545097</v>
      </c>
      <c r="R30">
        <v>493.61706649617901</v>
      </c>
      <c r="S30">
        <v>480.07975772916507</v>
      </c>
      <c r="T30">
        <v>459.57432127329889</v>
      </c>
      <c r="U30">
        <v>439.33955268645855</v>
      </c>
      <c r="V30">
        <v>422.51271348418283</v>
      </c>
      <c r="W30">
        <v>410.26053922204858</v>
      </c>
      <c r="X30">
        <v>412.51137463231231</v>
      </c>
      <c r="Y30">
        <v>413.89055555549783</v>
      </c>
      <c r="Z30">
        <v>411.48466383678158</v>
      </c>
      <c r="AA30">
        <v>409.93894461864812</v>
      </c>
      <c r="AB30">
        <v>406.73153001626156</v>
      </c>
      <c r="AC30">
        <v>401.87799511227536</v>
      </c>
      <c r="AD30">
        <v>398.30159149124779</v>
      </c>
      <c r="AE30">
        <v>398.61956745492375</v>
      </c>
      <c r="AF30">
        <v>401.95945485794169</v>
      </c>
      <c r="AG30">
        <v>398.58646120000162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</row>
    <row r="31" spans="1:93" x14ac:dyDescent="0.25">
      <c r="A31" t="s">
        <v>603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514.31896120280226</v>
      </c>
      <c r="O31">
        <v>509.60819522099291</v>
      </c>
      <c r="P31">
        <v>509.45507950800948</v>
      </c>
      <c r="Q31">
        <v>504.69331763545097</v>
      </c>
      <c r="R31">
        <v>493.61706649617901</v>
      </c>
      <c r="S31">
        <v>480.07975772916507</v>
      </c>
      <c r="T31">
        <v>459.57432127329889</v>
      </c>
      <c r="U31">
        <v>439.33955268645855</v>
      </c>
      <c r="V31">
        <v>422.51271348418283</v>
      </c>
      <c r="W31">
        <v>410.26053922204858</v>
      </c>
      <c r="X31">
        <v>412.51137463231231</v>
      </c>
      <c r="Y31">
        <v>413.89055555549783</v>
      </c>
      <c r="Z31">
        <v>411.48466383678158</v>
      </c>
      <c r="AA31">
        <v>409.93894461864812</v>
      </c>
      <c r="AB31">
        <v>406.73153001626156</v>
      </c>
      <c r="AC31">
        <v>401.87799511227536</v>
      </c>
      <c r="AD31">
        <v>398.30159149124779</v>
      </c>
      <c r="AE31">
        <v>398.61956745492375</v>
      </c>
      <c r="AF31">
        <v>401.95945485794169</v>
      </c>
      <c r="AG31">
        <v>398.58646120000162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</row>
    <row r="32" spans="1:93" x14ac:dyDescent="0.25">
      <c r="A32" t="s">
        <v>604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514.31896120280226</v>
      </c>
      <c r="O32">
        <v>509.60819522099291</v>
      </c>
      <c r="P32">
        <v>509.45507950800948</v>
      </c>
      <c r="Q32">
        <v>504.69331763545097</v>
      </c>
      <c r="R32">
        <v>493.61706649617901</v>
      </c>
      <c r="S32">
        <v>480.07975772916507</v>
      </c>
      <c r="T32">
        <v>459.57432127329889</v>
      </c>
      <c r="U32">
        <v>439.33955268645855</v>
      </c>
      <c r="V32">
        <v>422.51271348418283</v>
      </c>
      <c r="W32">
        <v>410.26053922204858</v>
      </c>
      <c r="X32">
        <v>412.51137463231231</v>
      </c>
      <c r="Y32">
        <v>413.89055555549783</v>
      </c>
      <c r="Z32">
        <v>411.48466383678158</v>
      </c>
      <c r="AA32">
        <v>409.93894461864812</v>
      </c>
      <c r="AB32">
        <v>406.73153001626156</v>
      </c>
      <c r="AC32">
        <v>401.87799511227536</v>
      </c>
      <c r="AD32">
        <v>398.30159149124779</v>
      </c>
      <c r="AE32">
        <v>398.61956745492375</v>
      </c>
      <c r="AF32">
        <v>401.95945485794169</v>
      </c>
      <c r="AG32">
        <v>398.58646120000162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</row>
    <row r="33" spans="1:93" x14ac:dyDescent="0.25">
      <c r="A33" t="s">
        <v>605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514.31896120280226</v>
      </c>
      <c r="O33">
        <v>509.60819522099291</v>
      </c>
      <c r="P33">
        <v>509.45507950800948</v>
      </c>
      <c r="Q33">
        <v>504.69331763545097</v>
      </c>
      <c r="R33">
        <v>493.61706649617901</v>
      </c>
      <c r="S33">
        <v>480.07975772916507</v>
      </c>
      <c r="T33">
        <v>459.57432127329889</v>
      </c>
      <c r="U33">
        <v>439.33955268645855</v>
      </c>
      <c r="V33">
        <v>422.51271348418283</v>
      </c>
      <c r="W33">
        <v>410.26053922204858</v>
      </c>
      <c r="X33">
        <v>412.51137463231231</v>
      </c>
      <c r="Y33">
        <v>413.89055555549783</v>
      </c>
      <c r="Z33">
        <v>411.48466383678158</v>
      </c>
      <c r="AA33">
        <v>409.93894461864812</v>
      </c>
      <c r="AB33">
        <v>406.73153001626156</v>
      </c>
      <c r="AC33">
        <v>401.87799511227536</v>
      </c>
      <c r="AD33">
        <v>398.30159149124779</v>
      </c>
      <c r="AE33">
        <v>398.61956745492375</v>
      </c>
      <c r="AF33">
        <v>401.95945485794169</v>
      </c>
      <c r="AG33">
        <v>398.58646120000162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</row>
    <row r="34" spans="1:93" x14ac:dyDescent="0.25">
      <c r="A34" t="s">
        <v>606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514.31896120280226</v>
      </c>
      <c r="O34">
        <v>509.60819522099291</v>
      </c>
      <c r="P34">
        <v>509.45507950800948</v>
      </c>
      <c r="Q34">
        <v>504.69331763545097</v>
      </c>
      <c r="R34">
        <v>493.61706649617901</v>
      </c>
      <c r="S34">
        <v>480.07975772916507</v>
      </c>
      <c r="T34">
        <v>459.57432127329889</v>
      </c>
      <c r="U34">
        <v>439.33955268645855</v>
      </c>
      <c r="V34">
        <v>422.51271348418283</v>
      </c>
      <c r="W34">
        <v>410.26053922204858</v>
      </c>
      <c r="X34">
        <v>412.51137463231231</v>
      </c>
      <c r="Y34">
        <v>413.89055555549783</v>
      </c>
      <c r="Z34">
        <v>411.48466383678158</v>
      </c>
      <c r="AA34">
        <v>409.93894461864812</v>
      </c>
      <c r="AB34">
        <v>406.73153001626156</v>
      </c>
      <c r="AC34">
        <v>401.87799511227536</v>
      </c>
      <c r="AD34">
        <v>398.30159149124779</v>
      </c>
      <c r="AE34">
        <v>398.61956745492375</v>
      </c>
      <c r="AF34">
        <v>401.95945485794169</v>
      </c>
      <c r="AG34">
        <v>398.58646120000162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</row>
    <row r="35" spans="1:93" x14ac:dyDescent="0.25">
      <c r="A35" t="s">
        <v>607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514.31896120280226</v>
      </c>
      <c r="O35">
        <v>509.60819522099291</v>
      </c>
      <c r="P35">
        <v>509.45507950800948</v>
      </c>
      <c r="Q35">
        <v>504.69331763545097</v>
      </c>
      <c r="R35">
        <v>493.61706649617901</v>
      </c>
      <c r="S35">
        <v>480.07975772916507</v>
      </c>
      <c r="T35">
        <v>459.57432127329889</v>
      </c>
      <c r="U35">
        <v>439.33955268645855</v>
      </c>
      <c r="V35">
        <v>422.51271348418283</v>
      </c>
      <c r="W35">
        <v>410.26053922204858</v>
      </c>
      <c r="X35">
        <v>412.51137463231231</v>
      </c>
      <c r="Y35">
        <v>413.89055555549783</v>
      </c>
      <c r="Z35">
        <v>411.48466383678158</v>
      </c>
      <c r="AA35">
        <v>409.93894461864812</v>
      </c>
      <c r="AB35">
        <v>406.73153001626156</v>
      </c>
      <c r="AC35">
        <v>401.87799511227536</v>
      </c>
      <c r="AD35">
        <v>398.30159149124779</v>
      </c>
      <c r="AE35">
        <v>398.61956745492375</v>
      </c>
      <c r="AF35">
        <v>401.95945485794169</v>
      </c>
      <c r="AG35">
        <v>398.58646120000162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</row>
    <row r="36" spans="1:93" x14ac:dyDescent="0.25">
      <c r="A36" t="s">
        <v>608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514.31896120280226</v>
      </c>
      <c r="O36">
        <v>509.60819522099291</v>
      </c>
      <c r="P36">
        <v>509.45507950800948</v>
      </c>
      <c r="Q36">
        <v>504.69331763545097</v>
      </c>
      <c r="R36">
        <v>493.61706649617901</v>
      </c>
      <c r="S36">
        <v>480.07975772916507</v>
      </c>
      <c r="T36">
        <v>459.57432127329889</v>
      </c>
      <c r="U36">
        <v>439.33955268645855</v>
      </c>
      <c r="V36">
        <v>422.51271348418283</v>
      </c>
      <c r="W36">
        <v>410.26053922204858</v>
      </c>
      <c r="X36">
        <v>412.51137463231231</v>
      </c>
      <c r="Y36">
        <v>413.89055555549783</v>
      </c>
      <c r="Z36">
        <v>411.48466383678158</v>
      </c>
      <c r="AA36">
        <v>409.93894461864812</v>
      </c>
      <c r="AB36">
        <v>406.73153001626156</v>
      </c>
      <c r="AC36">
        <v>401.87799511227536</v>
      </c>
      <c r="AD36">
        <v>398.30159149124779</v>
      </c>
      <c r="AE36">
        <v>398.61956745492375</v>
      </c>
      <c r="AF36">
        <v>401.95945485794169</v>
      </c>
      <c r="AG36">
        <v>398.58646120000162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</row>
    <row r="37" spans="1:93" x14ac:dyDescent="0.25">
      <c r="A37" t="s">
        <v>609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514.31896120280226</v>
      </c>
      <c r="O37">
        <v>509.60819522099291</v>
      </c>
      <c r="P37">
        <v>509.45507950800948</v>
      </c>
      <c r="Q37">
        <v>504.69331763545097</v>
      </c>
      <c r="R37">
        <v>493.61706649617901</v>
      </c>
      <c r="S37">
        <v>480.07975772916507</v>
      </c>
      <c r="T37">
        <v>459.57432127329889</v>
      </c>
      <c r="U37">
        <v>439.33955268645855</v>
      </c>
      <c r="V37">
        <v>422.51271348418283</v>
      </c>
      <c r="W37">
        <v>410.26053922204858</v>
      </c>
      <c r="X37">
        <v>412.51137463231231</v>
      </c>
      <c r="Y37">
        <v>413.89055555549783</v>
      </c>
      <c r="Z37">
        <v>411.48466383678158</v>
      </c>
      <c r="AA37">
        <v>409.93894461864812</v>
      </c>
      <c r="AB37">
        <v>406.73153001626156</v>
      </c>
      <c r="AC37">
        <v>401.87799511227536</v>
      </c>
      <c r="AD37">
        <v>398.30159149124779</v>
      </c>
      <c r="AE37">
        <v>398.61956745492375</v>
      </c>
      <c r="AF37">
        <v>401.95945485794169</v>
      </c>
      <c r="AG37">
        <v>398.58646120000162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</row>
    <row r="38" spans="1:93" x14ac:dyDescent="0.25">
      <c r="A38" t="s">
        <v>610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514.31896120280226</v>
      </c>
      <c r="O38">
        <v>509.60819522099291</v>
      </c>
      <c r="P38">
        <v>509.45507950800948</v>
      </c>
      <c r="Q38">
        <v>504.69331763545097</v>
      </c>
      <c r="R38">
        <v>493.61706649617901</v>
      </c>
      <c r="S38">
        <v>480.07975772916507</v>
      </c>
      <c r="T38">
        <v>459.57432127329889</v>
      </c>
      <c r="U38">
        <v>439.33955268645855</v>
      </c>
      <c r="V38">
        <v>422.51271348418283</v>
      </c>
      <c r="W38">
        <v>410.26053922204858</v>
      </c>
      <c r="X38">
        <v>412.51137463231231</v>
      </c>
      <c r="Y38">
        <v>413.89055555549783</v>
      </c>
      <c r="Z38">
        <v>411.48466383678158</v>
      </c>
      <c r="AA38">
        <v>409.93894461864812</v>
      </c>
      <c r="AB38">
        <v>406.73153001626156</v>
      </c>
      <c r="AC38">
        <v>401.87799511227536</v>
      </c>
      <c r="AD38">
        <v>398.30159149124779</v>
      </c>
      <c r="AE38">
        <v>398.61956745492375</v>
      </c>
      <c r="AF38">
        <v>401.95945485794169</v>
      </c>
      <c r="AG38">
        <v>398.58646120000162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</row>
    <row r="39" spans="1:93" x14ac:dyDescent="0.25">
      <c r="A39" t="s">
        <v>611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514.31896120280226</v>
      </c>
      <c r="O39">
        <v>509.60819522099291</v>
      </c>
      <c r="P39">
        <v>509.45507950800948</v>
      </c>
      <c r="Q39">
        <v>504.69331763545097</v>
      </c>
      <c r="R39">
        <v>493.61706649617901</v>
      </c>
      <c r="S39">
        <v>480.07975772916507</v>
      </c>
      <c r="T39">
        <v>459.57432127329889</v>
      </c>
      <c r="U39">
        <v>439.33955268645855</v>
      </c>
      <c r="V39">
        <v>422.51271348418283</v>
      </c>
      <c r="W39">
        <v>410.26053922204858</v>
      </c>
      <c r="X39">
        <v>412.51137463231231</v>
      </c>
      <c r="Y39">
        <v>413.89055555549783</v>
      </c>
      <c r="Z39">
        <v>411.48466383678158</v>
      </c>
      <c r="AA39">
        <v>409.93894461864812</v>
      </c>
      <c r="AB39">
        <v>406.73153001626156</v>
      </c>
      <c r="AC39">
        <v>401.87799511227536</v>
      </c>
      <c r="AD39">
        <v>398.30159149124779</v>
      </c>
      <c r="AE39">
        <v>398.61956745492375</v>
      </c>
      <c r="AF39">
        <v>401.95945485794169</v>
      </c>
      <c r="AG39">
        <v>398.58646120000162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</row>
    <row r="40" spans="1:93" x14ac:dyDescent="0.25">
      <c r="A40" t="s">
        <v>612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369.7656526325818</v>
      </c>
      <c r="O40">
        <v>351.93151321533384</v>
      </c>
      <c r="P40">
        <v>356.86444649337818</v>
      </c>
      <c r="Q40">
        <v>357.00605410256605</v>
      </c>
      <c r="R40">
        <v>343.32203351887858</v>
      </c>
      <c r="S40">
        <v>328.45896391448156</v>
      </c>
      <c r="T40">
        <v>311.97152187355545</v>
      </c>
      <c r="U40">
        <v>295.31370463646391</v>
      </c>
      <c r="V40">
        <v>282.33386109519074</v>
      </c>
      <c r="W40">
        <v>273.28506717900223</v>
      </c>
      <c r="X40">
        <v>273.69094446647307</v>
      </c>
      <c r="Y40">
        <v>274.67176986122837</v>
      </c>
      <c r="Z40">
        <v>273.05620157120666</v>
      </c>
      <c r="AA40">
        <v>272.0406725300719</v>
      </c>
      <c r="AB40">
        <v>269.86514007324558</v>
      </c>
      <c r="AC40">
        <v>266.64979396191808</v>
      </c>
      <c r="AD40">
        <v>264.31514202237793</v>
      </c>
      <c r="AE40">
        <v>264.48482372708645</v>
      </c>
      <c r="AF40">
        <v>266.74676680439063</v>
      </c>
      <c r="AG40">
        <v>264.50479078091479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</row>
    <row r="41" spans="1:93" x14ac:dyDescent="0.25">
      <c r="A41" t="s">
        <v>613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369.7656526325818</v>
      </c>
      <c r="O41">
        <v>351.93151321533384</v>
      </c>
      <c r="P41">
        <v>356.86444649337818</v>
      </c>
      <c r="Q41">
        <v>357.00605410256605</v>
      </c>
      <c r="R41">
        <v>343.32203351887858</v>
      </c>
      <c r="S41">
        <v>328.45896391448156</v>
      </c>
      <c r="T41">
        <v>311.97152187355545</v>
      </c>
      <c r="U41">
        <v>295.31370463646391</v>
      </c>
      <c r="V41">
        <v>282.33386109519074</v>
      </c>
      <c r="W41">
        <v>273.28506717900223</v>
      </c>
      <c r="X41">
        <v>273.69094446647307</v>
      </c>
      <c r="Y41">
        <v>274.67176986122837</v>
      </c>
      <c r="Z41">
        <v>273.05620157120666</v>
      </c>
      <c r="AA41">
        <v>272.0406725300719</v>
      </c>
      <c r="AB41">
        <v>269.86514007324558</v>
      </c>
      <c r="AC41">
        <v>266.64979396191808</v>
      </c>
      <c r="AD41">
        <v>264.31514202237793</v>
      </c>
      <c r="AE41">
        <v>264.48482372708645</v>
      </c>
      <c r="AF41">
        <v>266.74676680439063</v>
      </c>
      <c r="AG41">
        <v>264.50479078091479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</row>
    <row r="42" spans="1:93" x14ac:dyDescent="0.25">
      <c r="A42" t="s">
        <v>614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369.7656526325818</v>
      </c>
      <c r="O42">
        <v>351.93151321533384</v>
      </c>
      <c r="P42">
        <v>356.86444649337818</v>
      </c>
      <c r="Q42">
        <v>357.00605410256605</v>
      </c>
      <c r="R42">
        <v>343.32203351887858</v>
      </c>
      <c r="S42">
        <v>328.45896391448156</v>
      </c>
      <c r="T42">
        <v>311.97152187355545</v>
      </c>
      <c r="U42">
        <v>295.31370463646391</v>
      </c>
      <c r="V42">
        <v>282.33386109519074</v>
      </c>
      <c r="W42">
        <v>273.28506717900223</v>
      </c>
      <c r="X42">
        <v>273.69094446647307</v>
      </c>
      <c r="Y42">
        <v>274.67176986122837</v>
      </c>
      <c r="Z42">
        <v>273.05620157120666</v>
      </c>
      <c r="AA42">
        <v>272.0406725300719</v>
      </c>
      <c r="AB42">
        <v>269.86514007324558</v>
      </c>
      <c r="AC42">
        <v>266.64979396191808</v>
      </c>
      <c r="AD42">
        <v>264.31514202237793</v>
      </c>
      <c r="AE42">
        <v>264.48482372708645</v>
      </c>
      <c r="AF42">
        <v>266.74676680439063</v>
      </c>
      <c r="AG42">
        <v>264.50479078091479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</row>
    <row r="43" spans="1:93" x14ac:dyDescent="0.25">
      <c r="A43" t="s">
        <v>615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369.7656526325818</v>
      </c>
      <c r="O43">
        <v>351.93151321533384</v>
      </c>
      <c r="P43">
        <v>356.86444649337818</v>
      </c>
      <c r="Q43">
        <v>357.00605410256605</v>
      </c>
      <c r="R43">
        <v>343.32203351887858</v>
      </c>
      <c r="S43">
        <v>328.45896391448156</v>
      </c>
      <c r="T43">
        <v>311.97152187355545</v>
      </c>
      <c r="U43">
        <v>295.31370463646391</v>
      </c>
      <c r="V43">
        <v>282.33386109519074</v>
      </c>
      <c r="W43">
        <v>273.28506717900223</v>
      </c>
      <c r="X43">
        <v>273.69094446647307</v>
      </c>
      <c r="Y43">
        <v>274.67176986122837</v>
      </c>
      <c r="Z43">
        <v>273.05620157120666</v>
      </c>
      <c r="AA43">
        <v>272.0406725300719</v>
      </c>
      <c r="AB43">
        <v>269.86514007324558</v>
      </c>
      <c r="AC43">
        <v>266.64979396191808</v>
      </c>
      <c r="AD43">
        <v>264.31514202237793</v>
      </c>
      <c r="AE43">
        <v>264.48482372708645</v>
      </c>
      <c r="AF43">
        <v>266.74676680439063</v>
      </c>
      <c r="AG43">
        <v>264.50479078091479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</row>
    <row r="44" spans="1:93" x14ac:dyDescent="0.25">
      <c r="A44" t="s">
        <v>616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369.7656526325818</v>
      </c>
      <c r="O44">
        <v>351.93151321533384</v>
      </c>
      <c r="P44">
        <v>356.86444649337818</v>
      </c>
      <c r="Q44">
        <v>357.00605410256605</v>
      </c>
      <c r="R44">
        <v>343.32203351887858</v>
      </c>
      <c r="S44">
        <v>328.45896391448156</v>
      </c>
      <c r="T44">
        <v>311.97152187355545</v>
      </c>
      <c r="U44">
        <v>295.31370463646391</v>
      </c>
      <c r="V44">
        <v>282.33386109519074</v>
      </c>
      <c r="W44">
        <v>273.28506717900223</v>
      </c>
      <c r="X44">
        <v>273.69094446647307</v>
      </c>
      <c r="Y44">
        <v>274.67176986122837</v>
      </c>
      <c r="Z44">
        <v>273.05620157120666</v>
      </c>
      <c r="AA44">
        <v>272.0406725300719</v>
      </c>
      <c r="AB44">
        <v>269.86514007324558</v>
      </c>
      <c r="AC44">
        <v>266.64979396191808</v>
      </c>
      <c r="AD44">
        <v>264.31514202237793</v>
      </c>
      <c r="AE44">
        <v>264.48482372708645</v>
      </c>
      <c r="AF44">
        <v>266.74676680439063</v>
      </c>
      <c r="AG44">
        <v>264.50479078091479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</row>
    <row r="45" spans="1:93" x14ac:dyDescent="0.25">
      <c r="A45" t="s">
        <v>617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660.73264519397082</v>
      </c>
      <c r="O45">
        <v>624.80273063897869</v>
      </c>
      <c r="P45">
        <v>606.25538665887143</v>
      </c>
      <c r="Q45">
        <v>592.03841662184902</v>
      </c>
      <c r="R45">
        <v>568.93914167585979</v>
      </c>
      <c r="S45">
        <v>543.32103350694933</v>
      </c>
      <c r="T45">
        <v>520.69942960221601</v>
      </c>
      <c r="U45">
        <v>502.22412001733744</v>
      </c>
      <c r="V45">
        <v>486.85438118674438</v>
      </c>
      <c r="W45">
        <v>474.52340107444593</v>
      </c>
      <c r="X45">
        <v>485.21849529627002</v>
      </c>
      <c r="Y45">
        <v>486.88916977721226</v>
      </c>
      <c r="Z45">
        <v>484.02091195548599</v>
      </c>
      <c r="AA45">
        <v>482.18891401431267</v>
      </c>
      <c r="AB45">
        <v>478.46308941391072</v>
      </c>
      <c r="AC45">
        <v>472.70587158004429</v>
      </c>
      <c r="AD45">
        <v>468.50942182245262</v>
      </c>
      <c r="AE45">
        <v>468.89020714230043</v>
      </c>
      <c r="AF45">
        <v>472.85807022413042</v>
      </c>
      <c r="AG45">
        <v>468.87391048707451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</row>
    <row r="46" spans="1:93" x14ac:dyDescent="0.25">
      <c r="A46" t="s">
        <v>618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660.73264519397082</v>
      </c>
      <c r="O46">
        <v>624.80273063897869</v>
      </c>
      <c r="P46">
        <v>606.25538665887143</v>
      </c>
      <c r="Q46">
        <v>592.03841662184902</v>
      </c>
      <c r="R46">
        <v>568.93914167585979</v>
      </c>
      <c r="S46">
        <v>543.32103350694933</v>
      </c>
      <c r="T46">
        <v>520.69942960221601</v>
      </c>
      <c r="U46">
        <v>502.22412001733744</v>
      </c>
      <c r="V46">
        <v>486.85438118674438</v>
      </c>
      <c r="W46">
        <v>474.52340107444593</v>
      </c>
      <c r="X46">
        <v>485.21849529627002</v>
      </c>
      <c r="Y46">
        <v>486.88916977721226</v>
      </c>
      <c r="Z46">
        <v>484.02091195548599</v>
      </c>
      <c r="AA46">
        <v>482.18891401431267</v>
      </c>
      <c r="AB46">
        <v>478.46308941391072</v>
      </c>
      <c r="AC46">
        <v>472.70587158004429</v>
      </c>
      <c r="AD46">
        <v>468.50942182245262</v>
      </c>
      <c r="AE46">
        <v>468.89020714230043</v>
      </c>
      <c r="AF46">
        <v>472.85807022413042</v>
      </c>
      <c r="AG46">
        <v>468.87391048707451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</row>
    <row r="47" spans="1:93" x14ac:dyDescent="0.25">
      <c r="A47" t="s">
        <v>619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660.73264519397082</v>
      </c>
      <c r="O47">
        <v>624.80273063897869</v>
      </c>
      <c r="P47">
        <v>606.25538665887143</v>
      </c>
      <c r="Q47">
        <v>592.03841662184902</v>
      </c>
      <c r="R47">
        <v>568.93914167585979</v>
      </c>
      <c r="S47">
        <v>543.32103350694933</v>
      </c>
      <c r="T47">
        <v>520.69942960221601</v>
      </c>
      <c r="U47">
        <v>502.22412001733744</v>
      </c>
      <c r="V47">
        <v>486.85438118674438</v>
      </c>
      <c r="W47">
        <v>474.52340107444593</v>
      </c>
      <c r="X47">
        <v>485.21849529627002</v>
      </c>
      <c r="Y47">
        <v>486.88916977721226</v>
      </c>
      <c r="Z47">
        <v>484.02091195548599</v>
      </c>
      <c r="AA47">
        <v>482.18891401431267</v>
      </c>
      <c r="AB47">
        <v>478.46308941391072</v>
      </c>
      <c r="AC47">
        <v>472.70587158004429</v>
      </c>
      <c r="AD47">
        <v>468.50942182245262</v>
      </c>
      <c r="AE47">
        <v>468.89020714230043</v>
      </c>
      <c r="AF47">
        <v>472.85807022413042</v>
      </c>
      <c r="AG47">
        <v>468.87391048707451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</row>
    <row r="48" spans="1:93" x14ac:dyDescent="0.25">
      <c r="A48" t="s">
        <v>620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660.73264519397082</v>
      </c>
      <c r="O48">
        <v>624.80273063897869</v>
      </c>
      <c r="P48">
        <v>606.25538665887143</v>
      </c>
      <c r="Q48">
        <v>592.03841662184902</v>
      </c>
      <c r="R48">
        <v>568.93914167585979</v>
      </c>
      <c r="S48">
        <v>543.32103350694933</v>
      </c>
      <c r="T48">
        <v>520.69942960221601</v>
      </c>
      <c r="U48">
        <v>502.22412001733744</v>
      </c>
      <c r="V48">
        <v>486.85438118674438</v>
      </c>
      <c r="W48">
        <v>474.52340107444593</v>
      </c>
      <c r="X48">
        <v>485.21849529627002</v>
      </c>
      <c r="Y48">
        <v>486.88916977721226</v>
      </c>
      <c r="Z48">
        <v>484.02091195548599</v>
      </c>
      <c r="AA48">
        <v>482.18891401431267</v>
      </c>
      <c r="AB48">
        <v>478.46308941391072</v>
      </c>
      <c r="AC48">
        <v>472.70587158004429</v>
      </c>
      <c r="AD48">
        <v>468.50942182245262</v>
      </c>
      <c r="AE48">
        <v>468.89020714230043</v>
      </c>
      <c r="AF48">
        <v>472.85807022413042</v>
      </c>
      <c r="AG48">
        <v>468.87391048707451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</row>
    <row r="49" spans="1:93" x14ac:dyDescent="0.25">
      <c r="A49" t="s">
        <v>621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719.49057142019171</v>
      </c>
      <c r="O49">
        <v>697.82585617369409</v>
      </c>
      <c r="P49">
        <v>659.54838370152299</v>
      </c>
      <c r="Q49">
        <v>628.83313820245405</v>
      </c>
      <c r="R49">
        <v>596.8580587192854</v>
      </c>
      <c r="S49">
        <v>567.04145780024339</v>
      </c>
      <c r="T49">
        <v>535.41896991602914</v>
      </c>
      <c r="U49">
        <v>506.79727119207769</v>
      </c>
      <c r="V49">
        <v>485.15511992873343</v>
      </c>
      <c r="W49">
        <v>471.30308258412038</v>
      </c>
      <c r="X49">
        <v>471.44157100835685</v>
      </c>
      <c r="Y49">
        <v>473.05998786076526</v>
      </c>
      <c r="Z49">
        <v>470.32355763523384</v>
      </c>
      <c r="AA49">
        <v>468.50742925681323</v>
      </c>
      <c r="AB49">
        <v>464.83766897877604</v>
      </c>
      <c r="AC49">
        <v>459.35154068656186</v>
      </c>
      <c r="AD49">
        <v>455.21628909427807</v>
      </c>
      <c r="AE49">
        <v>455.60754684817095</v>
      </c>
      <c r="AF49">
        <v>459.40063116923335</v>
      </c>
      <c r="AG49">
        <v>455.52578835068573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</row>
    <row r="50" spans="1:93" x14ac:dyDescent="0.25">
      <c r="A50" t="s">
        <v>622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719.49057142019171</v>
      </c>
      <c r="O50">
        <v>697.82585617369409</v>
      </c>
      <c r="P50">
        <v>659.54838370152299</v>
      </c>
      <c r="Q50">
        <v>628.83313820245405</v>
      </c>
      <c r="R50">
        <v>596.8580587192854</v>
      </c>
      <c r="S50">
        <v>567.04145780024339</v>
      </c>
      <c r="T50">
        <v>535.41896991602914</v>
      </c>
      <c r="U50">
        <v>506.79727119207769</v>
      </c>
      <c r="V50">
        <v>485.15511992873343</v>
      </c>
      <c r="W50">
        <v>471.30308258412038</v>
      </c>
      <c r="X50">
        <v>471.44157100835685</v>
      </c>
      <c r="Y50">
        <v>473.05998786076526</v>
      </c>
      <c r="Z50">
        <v>470.32355763523384</v>
      </c>
      <c r="AA50">
        <v>468.50742925681323</v>
      </c>
      <c r="AB50">
        <v>464.83766897877604</v>
      </c>
      <c r="AC50">
        <v>459.35154068656186</v>
      </c>
      <c r="AD50">
        <v>455.21628909427807</v>
      </c>
      <c r="AE50">
        <v>455.60754684817095</v>
      </c>
      <c r="AF50">
        <v>459.40063116923335</v>
      </c>
      <c r="AG50">
        <v>455.52578835068573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</row>
    <row r="51" spans="1:93" x14ac:dyDescent="0.25">
      <c r="A51" t="s">
        <v>623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719.49057142019171</v>
      </c>
      <c r="O51">
        <v>697.82585617369409</v>
      </c>
      <c r="P51">
        <v>659.54838370152299</v>
      </c>
      <c r="Q51">
        <v>628.83313820245405</v>
      </c>
      <c r="R51">
        <v>596.8580587192854</v>
      </c>
      <c r="S51">
        <v>567.04145780024339</v>
      </c>
      <c r="T51">
        <v>535.41896991602914</v>
      </c>
      <c r="U51">
        <v>506.79727119207769</v>
      </c>
      <c r="V51">
        <v>485.15511992873343</v>
      </c>
      <c r="W51">
        <v>471.30308258412038</v>
      </c>
      <c r="X51">
        <v>471.44157100835685</v>
      </c>
      <c r="Y51">
        <v>473.05998786076526</v>
      </c>
      <c r="Z51">
        <v>470.32355763523384</v>
      </c>
      <c r="AA51">
        <v>468.50742925681323</v>
      </c>
      <c r="AB51">
        <v>464.83766897877604</v>
      </c>
      <c r="AC51">
        <v>459.35154068656186</v>
      </c>
      <c r="AD51">
        <v>455.21628909427807</v>
      </c>
      <c r="AE51">
        <v>455.60754684817095</v>
      </c>
      <c r="AF51">
        <v>459.40063116923335</v>
      </c>
      <c r="AG51">
        <v>455.52578835068573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</row>
    <row r="52" spans="1:93" x14ac:dyDescent="0.25">
      <c r="A52" t="s">
        <v>624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719.49057142019171</v>
      </c>
      <c r="O52">
        <v>697.82585617369409</v>
      </c>
      <c r="P52">
        <v>659.54838370152299</v>
      </c>
      <c r="Q52">
        <v>628.83313820245405</v>
      </c>
      <c r="R52">
        <v>596.8580587192854</v>
      </c>
      <c r="S52">
        <v>567.04145780024339</v>
      </c>
      <c r="T52">
        <v>535.41896991602914</v>
      </c>
      <c r="U52">
        <v>506.79727119207769</v>
      </c>
      <c r="V52">
        <v>485.15511992873343</v>
      </c>
      <c r="W52">
        <v>471.30308258412038</v>
      </c>
      <c r="X52">
        <v>471.44157100835685</v>
      </c>
      <c r="Y52">
        <v>473.05998786076526</v>
      </c>
      <c r="Z52">
        <v>470.32355763523384</v>
      </c>
      <c r="AA52">
        <v>468.50742925681323</v>
      </c>
      <c r="AB52">
        <v>464.83766897877604</v>
      </c>
      <c r="AC52">
        <v>459.35154068656186</v>
      </c>
      <c r="AD52">
        <v>455.21628909427807</v>
      </c>
      <c r="AE52">
        <v>455.60754684817095</v>
      </c>
      <c r="AF52">
        <v>459.40063116923335</v>
      </c>
      <c r="AG52">
        <v>455.52578835068573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</row>
    <row r="53" spans="1:93" x14ac:dyDescent="0.25">
      <c r="A53" t="s">
        <v>625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719.49057142019171</v>
      </c>
      <c r="O53">
        <v>697.82585617369409</v>
      </c>
      <c r="P53">
        <v>659.54838370152299</v>
      </c>
      <c r="Q53">
        <v>628.83313820245405</v>
      </c>
      <c r="R53">
        <v>596.8580587192854</v>
      </c>
      <c r="S53">
        <v>567.04145780024339</v>
      </c>
      <c r="T53">
        <v>535.41896991602914</v>
      </c>
      <c r="U53">
        <v>506.79727119207769</v>
      </c>
      <c r="V53">
        <v>485.15511992873343</v>
      </c>
      <c r="W53">
        <v>471.30308258412038</v>
      </c>
      <c r="X53">
        <v>471.44157100835685</v>
      </c>
      <c r="Y53">
        <v>473.05998786076526</v>
      </c>
      <c r="Z53">
        <v>470.32355763523384</v>
      </c>
      <c r="AA53">
        <v>468.50742925681323</v>
      </c>
      <c r="AB53">
        <v>464.83766897877604</v>
      </c>
      <c r="AC53">
        <v>459.35154068656186</v>
      </c>
      <c r="AD53">
        <v>455.21628909427807</v>
      </c>
      <c r="AE53">
        <v>455.60754684817095</v>
      </c>
      <c r="AF53">
        <v>459.40063116923335</v>
      </c>
      <c r="AG53">
        <v>455.52578835068573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</row>
    <row r="54" spans="1:93" x14ac:dyDescent="0.25">
      <c r="A54" t="s">
        <v>626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227.22240486200636</v>
      </c>
      <c r="O54">
        <v>213.52050688266343</v>
      </c>
      <c r="P54">
        <v>233.71155721321426</v>
      </c>
      <c r="Q54">
        <v>222.0650597595984</v>
      </c>
      <c r="R54">
        <v>209.67989966589226</v>
      </c>
      <c r="S54">
        <v>198.39559768244411</v>
      </c>
      <c r="T54">
        <v>186.49347329678841</v>
      </c>
      <c r="U54">
        <v>176.01696967525419</v>
      </c>
      <c r="V54">
        <v>167.68181847920141</v>
      </c>
      <c r="W54">
        <v>161.9630770134336</v>
      </c>
      <c r="X54">
        <v>161.5005922305655</v>
      </c>
      <c r="Y54">
        <v>162.19017501086455</v>
      </c>
      <c r="Z54">
        <v>160.99561640064152</v>
      </c>
      <c r="AA54">
        <v>160.4912846117831</v>
      </c>
      <c r="AB54">
        <v>159.22546744060429</v>
      </c>
      <c r="AC54">
        <v>157.25660678306426</v>
      </c>
      <c r="AD54">
        <v>155.98926414435417</v>
      </c>
      <c r="AE54">
        <v>156.19424605133679</v>
      </c>
      <c r="AF54">
        <v>157.36273128266404</v>
      </c>
      <c r="AG54">
        <v>156.06089862567327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</row>
    <row r="55" spans="1:93" x14ac:dyDescent="0.25">
      <c r="A55" t="s">
        <v>627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284.14561601791274</v>
      </c>
      <c r="O55">
        <v>272.26454100076273</v>
      </c>
      <c r="P55">
        <v>265.26754806056812</v>
      </c>
      <c r="Q55">
        <v>262.18265267237257</v>
      </c>
      <c r="R55">
        <v>250.51499612097143</v>
      </c>
      <c r="S55">
        <v>238.17143658404319</v>
      </c>
      <c r="T55">
        <v>225.56173017966455</v>
      </c>
      <c r="U55">
        <v>214.40073253278626</v>
      </c>
      <c r="V55">
        <v>205.83504295152449</v>
      </c>
      <c r="W55">
        <v>199.84917689961691</v>
      </c>
      <c r="X55">
        <v>200.99975088261704</v>
      </c>
      <c r="Y55">
        <v>201.70212334357024</v>
      </c>
      <c r="Z55">
        <v>200.55514533176091</v>
      </c>
      <c r="AA55">
        <v>199.79311074443754</v>
      </c>
      <c r="AB55">
        <v>198.14025559637778</v>
      </c>
      <c r="AC55">
        <v>195.84271863261239</v>
      </c>
      <c r="AD55">
        <v>194.05807265577394</v>
      </c>
      <c r="AE55">
        <v>194.21791093653752</v>
      </c>
      <c r="AF55">
        <v>195.85655008957792</v>
      </c>
      <c r="AG55">
        <v>194.25690596647124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</row>
    <row r="56" spans="1:93" x14ac:dyDescent="0.25">
      <c r="A56" t="s">
        <v>628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284.14561601791274</v>
      </c>
      <c r="O56">
        <v>272.26454100076273</v>
      </c>
      <c r="P56">
        <v>265.26754806056812</v>
      </c>
      <c r="Q56">
        <v>262.18265267237257</v>
      </c>
      <c r="R56">
        <v>250.51499612097143</v>
      </c>
      <c r="S56">
        <v>238.17143658404319</v>
      </c>
      <c r="T56">
        <v>225.56173017966455</v>
      </c>
      <c r="U56">
        <v>214.40073253278626</v>
      </c>
      <c r="V56">
        <v>205.83504295152449</v>
      </c>
      <c r="W56">
        <v>199.84917689961691</v>
      </c>
      <c r="X56">
        <v>200.99975088261704</v>
      </c>
      <c r="Y56">
        <v>201.70212334357024</v>
      </c>
      <c r="Z56">
        <v>200.55514533176091</v>
      </c>
      <c r="AA56">
        <v>199.79311074443754</v>
      </c>
      <c r="AB56">
        <v>198.14025559637778</v>
      </c>
      <c r="AC56">
        <v>195.84271863261239</v>
      </c>
      <c r="AD56">
        <v>194.05807265577394</v>
      </c>
      <c r="AE56">
        <v>194.21791093653752</v>
      </c>
      <c r="AF56">
        <v>195.85655008957792</v>
      </c>
      <c r="AG56">
        <v>194.25690596647124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</row>
    <row r="57" spans="1:93" x14ac:dyDescent="0.25">
      <c r="A57" t="s">
        <v>629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284.14561601791274</v>
      </c>
      <c r="O57">
        <v>272.26454100076273</v>
      </c>
      <c r="P57">
        <v>265.26754806056812</v>
      </c>
      <c r="Q57">
        <v>262.18265267237257</v>
      </c>
      <c r="R57">
        <v>250.51499612097143</v>
      </c>
      <c r="S57">
        <v>238.17143658404319</v>
      </c>
      <c r="T57">
        <v>225.56173017966455</v>
      </c>
      <c r="U57">
        <v>214.40073253278626</v>
      </c>
      <c r="V57">
        <v>205.83504295152449</v>
      </c>
      <c r="W57">
        <v>199.84917689961691</v>
      </c>
      <c r="X57">
        <v>200.99975088261704</v>
      </c>
      <c r="Y57">
        <v>201.70212334357024</v>
      </c>
      <c r="Z57">
        <v>200.55514533176091</v>
      </c>
      <c r="AA57">
        <v>199.79311074443754</v>
      </c>
      <c r="AB57">
        <v>198.14025559637778</v>
      </c>
      <c r="AC57">
        <v>195.84271863261239</v>
      </c>
      <c r="AD57">
        <v>194.05807265577394</v>
      </c>
      <c r="AE57">
        <v>194.21791093653752</v>
      </c>
      <c r="AF57">
        <v>195.85655008957792</v>
      </c>
      <c r="AG57">
        <v>194.25690596647124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</row>
    <row r="58" spans="1:93" x14ac:dyDescent="0.25">
      <c r="A58" t="s">
        <v>630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304.6097456483418</v>
      </c>
      <c r="O58">
        <v>287.87536115053473</v>
      </c>
      <c r="P58">
        <v>285.90572957457408</v>
      </c>
      <c r="Q58">
        <v>287.30680176926143</v>
      </c>
      <c r="R58">
        <v>285.52565091866467</v>
      </c>
      <c r="S58">
        <v>280.18391080381735</v>
      </c>
      <c r="T58">
        <v>264.91725365726779</v>
      </c>
      <c r="U58">
        <v>251.52331461071373</v>
      </c>
      <c r="V58">
        <v>240.94242177269572</v>
      </c>
      <c r="W58">
        <v>233.4730905486046</v>
      </c>
      <c r="X58">
        <v>234.60588989706412</v>
      </c>
      <c r="Y58">
        <v>235.47846627314124</v>
      </c>
      <c r="Z58">
        <v>234.17544203729676</v>
      </c>
      <c r="AA58">
        <v>233.26852060405702</v>
      </c>
      <c r="AB58">
        <v>231.4433424951867</v>
      </c>
      <c r="AC58">
        <v>228.70851740473432</v>
      </c>
      <c r="AD58">
        <v>226.55583601918104</v>
      </c>
      <c r="AE58">
        <v>226.7583788638994</v>
      </c>
      <c r="AF58">
        <v>228.65328371306862</v>
      </c>
      <c r="AG58">
        <v>226.71839209792694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</row>
    <row r="59" spans="1:93" x14ac:dyDescent="0.25">
      <c r="A59" t="s">
        <v>631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304.6097456483418</v>
      </c>
      <c r="O59">
        <v>287.87536115053473</v>
      </c>
      <c r="P59">
        <v>285.90572957457408</v>
      </c>
      <c r="Q59">
        <v>287.30680176926143</v>
      </c>
      <c r="R59">
        <v>285.52565091866467</v>
      </c>
      <c r="S59">
        <v>280.18391080381735</v>
      </c>
      <c r="T59">
        <v>264.91725365726779</v>
      </c>
      <c r="U59">
        <v>251.52331461071373</v>
      </c>
      <c r="V59">
        <v>240.94242177269572</v>
      </c>
      <c r="W59">
        <v>233.4730905486046</v>
      </c>
      <c r="X59">
        <v>234.60588989706412</v>
      </c>
      <c r="Y59">
        <v>235.47846627314124</v>
      </c>
      <c r="Z59">
        <v>234.17544203729676</v>
      </c>
      <c r="AA59">
        <v>233.26852060405702</v>
      </c>
      <c r="AB59">
        <v>231.4433424951867</v>
      </c>
      <c r="AC59">
        <v>228.70851740473432</v>
      </c>
      <c r="AD59">
        <v>226.55583601918104</v>
      </c>
      <c r="AE59">
        <v>226.7583788638994</v>
      </c>
      <c r="AF59">
        <v>228.65328371306862</v>
      </c>
      <c r="AG59">
        <v>226.71839209792694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</row>
    <row r="60" spans="1:93" x14ac:dyDescent="0.25">
      <c r="A60" t="s">
        <v>632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907.24308028235873</v>
      </c>
      <c r="O60">
        <v>918.22696151099649</v>
      </c>
      <c r="P60">
        <v>915.72245314960594</v>
      </c>
      <c r="Q60">
        <v>905.68505212171988</v>
      </c>
      <c r="R60">
        <v>887.77931877770413</v>
      </c>
      <c r="S60">
        <v>882.2619586152565</v>
      </c>
      <c r="T60">
        <v>889.54973723172361</v>
      </c>
      <c r="U60">
        <v>886.0891655661278</v>
      </c>
      <c r="V60">
        <v>886.74185364981122</v>
      </c>
      <c r="W60">
        <v>876.74749486609198</v>
      </c>
      <c r="X60">
        <v>885.30674744930786</v>
      </c>
      <c r="Y60">
        <v>888.30188681048651</v>
      </c>
      <c r="Z60">
        <v>883.16913483019903</v>
      </c>
      <c r="AA60">
        <v>879.76237351795749</v>
      </c>
      <c r="AB60">
        <v>872.90799739177123</v>
      </c>
      <c r="AC60">
        <v>862.49320496048676</v>
      </c>
      <c r="AD60">
        <v>854.84592771171879</v>
      </c>
      <c r="AE60">
        <v>855.45559266994451</v>
      </c>
      <c r="AF60">
        <v>862.72346710055456</v>
      </c>
      <c r="AG60">
        <v>855.41648075430567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</row>
    <row r="61" spans="1:93" x14ac:dyDescent="0.25">
      <c r="A61" t="s">
        <v>633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907.24308028235873</v>
      </c>
      <c r="O61">
        <v>918.22696151099649</v>
      </c>
      <c r="P61">
        <v>915.72245314960594</v>
      </c>
      <c r="Q61">
        <v>905.68505212171988</v>
      </c>
      <c r="R61">
        <v>887.77931877770413</v>
      </c>
      <c r="S61">
        <v>882.2619586152565</v>
      </c>
      <c r="T61">
        <v>889.54973723172361</v>
      </c>
      <c r="U61">
        <v>886.0891655661278</v>
      </c>
      <c r="V61">
        <v>886.74185364981122</v>
      </c>
      <c r="W61">
        <v>876.74749486609198</v>
      </c>
      <c r="X61">
        <v>885.30674744930786</v>
      </c>
      <c r="Y61">
        <v>888.30188681048651</v>
      </c>
      <c r="Z61">
        <v>883.16913483019903</v>
      </c>
      <c r="AA61">
        <v>879.76237351795749</v>
      </c>
      <c r="AB61">
        <v>872.90799739177123</v>
      </c>
      <c r="AC61">
        <v>862.49320496048676</v>
      </c>
      <c r="AD61">
        <v>854.84592771171879</v>
      </c>
      <c r="AE61">
        <v>855.45559266994451</v>
      </c>
      <c r="AF61">
        <v>862.72346710055456</v>
      </c>
      <c r="AG61">
        <v>855.41648075430567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</row>
    <row r="62" spans="1:93" x14ac:dyDescent="0.25">
      <c r="A62" t="s">
        <v>634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907.24308028235873</v>
      </c>
      <c r="O62">
        <v>918.22696151099649</v>
      </c>
      <c r="P62">
        <v>915.72245314960594</v>
      </c>
      <c r="Q62">
        <v>905.68505212171988</v>
      </c>
      <c r="R62">
        <v>887.77931877770413</v>
      </c>
      <c r="S62">
        <v>882.2619586152565</v>
      </c>
      <c r="T62">
        <v>889.54973723172361</v>
      </c>
      <c r="U62">
        <v>886.0891655661278</v>
      </c>
      <c r="V62">
        <v>886.74185364981122</v>
      </c>
      <c r="W62">
        <v>876.74749486609198</v>
      </c>
      <c r="X62">
        <v>885.30674744930786</v>
      </c>
      <c r="Y62">
        <v>888.30188681048651</v>
      </c>
      <c r="Z62">
        <v>883.16913483019903</v>
      </c>
      <c r="AA62">
        <v>879.76237351795749</v>
      </c>
      <c r="AB62">
        <v>872.90799739177123</v>
      </c>
      <c r="AC62">
        <v>862.49320496048676</v>
      </c>
      <c r="AD62">
        <v>854.84592771171879</v>
      </c>
      <c r="AE62">
        <v>855.45559266994451</v>
      </c>
      <c r="AF62">
        <v>862.72346710055456</v>
      </c>
      <c r="AG62">
        <v>855.41648075430567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</row>
    <row r="63" spans="1:93" x14ac:dyDescent="0.25">
      <c r="A63" t="s">
        <v>635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907.24308028235873</v>
      </c>
      <c r="O63">
        <v>918.22696151099649</v>
      </c>
      <c r="P63">
        <v>915.72245314960594</v>
      </c>
      <c r="Q63">
        <v>905.68505212171988</v>
      </c>
      <c r="R63">
        <v>887.77931877770413</v>
      </c>
      <c r="S63">
        <v>882.2619586152565</v>
      </c>
      <c r="T63">
        <v>889.54973723172361</v>
      </c>
      <c r="U63">
        <v>886.0891655661278</v>
      </c>
      <c r="V63">
        <v>886.74185364981122</v>
      </c>
      <c r="W63">
        <v>876.74749486609198</v>
      </c>
      <c r="X63">
        <v>885.30674744930786</v>
      </c>
      <c r="Y63">
        <v>888.30188681048651</v>
      </c>
      <c r="Z63">
        <v>883.16913483019903</v>
      </c>
      <c r="AA63">
        <v>879.76237351795749</v>
      </c>
      <c r="AB63">
        <v>872.90799739177123</v>
      </c>
      <c r="AC63">
        <v>862.49320496048676</v>
      </c>
      <c r="AD63">
        <v>854.84592771171879</v>
      </c>
      <c r="AE63">
        <v>855.45559266994451</v>
      </c>
      <c r="AF63">
        <v>862.72346710055456</v>
      </c>
      <c r="AG63">
        <v>855.41648075430567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</row>
    <row r="64" spans="1:93" x14ac:dyDescent="0.25">
      <c r="A64" t="s">
        <v>636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269.71879666159481</v>
      </c>
      <c r="O64">
        <v>263.83025902410867</v>
      </c>
      <c r="P64">
        <v>297.24616378534182</v>
      </c>
      <c r="Q64">
        <v>316.88846118979188</v>
      </c>
      <c r="R64">
        <v>321.17635425013663</v>
      </c>
      <c r="S64">
        <v>324.85616756412389</v>
      </c>
      <c r="T64">
        <v>325.18578523099882</v>
      </c>
      <c r="U64">
        <v>321.98493642775469</v>
      </c>
      <c r="V64">
        <v>317.83666549212552</v>
      </c>
      <c r="W64">
        <v>312.24460656196067</v>
      </c>
      <c r="X64">
        <v>315.99326921641216</v>
      </c>
      <c r="Y64">
        <v>317.15773581037428</v>
      </c>
      <c r="Z64">
        <v>315.30959654750143</v>
      </c>
      <c r="AA64">
        <v>314.09680453725201</v>
      </c>
      <c r="AB64">
        <v>311.63298008302718</v>
      </c>
      <c r="AC64">
        <v>307.96085495016746</v>
      </c>
      <c r="AD64">
        <v>305.16947310780398</v>
      </c>
      <c r="AE64">
        <v>305.41919503476618</v>
      </c>
      <c r="AF64">
        <v>307.95055045531126</v>
      </c>
      <c r="AG64">
        <v>305.36325439747878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</row>
    <row r="65" spans="1:93" x14ac:dyDescent="0.25">
      <c r="A65" t="s">
        <v>637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269.71879666159481</v>
      </c>
      <c r="O65">
        <v>263.83025902410867</v>
      </c>
      <c r="P65">
        <v>297.24616378534182</v>
      </c>
      <c r="Q65">
        <v>316.88846118979188</v>
      </c>
      <c r="R65">
        <v>321.17635425013663</v>
      </c>
      <c r="S65">
        <v>324.85616756412389</v>
      </c>
      <c r="T65">
        <v>325.18578523099882</v>
      </c>
      <c r="U65">
        <v>321.98493642775469</v>
      </c>
      <c r="V65">
        <v>317.83666549212552</v>
      </c>
      <c r="W65">
        <v>312.24460656196067</v>
      </c>
      <c r="X65">
        <v>315.99326921641216</v>
      </c>
      <c r="Y65">
        <v>317.15773581037428</v>
      </c>
      <c r="Z65">
        <v>315.30959654750143</v>
      </c>
      <c r="AA65">
        <v>314.09680453725201</v>
      </c>
      <c r="AB65">
        <v>311.63298008302718</v>
      </c>
      <c r="AC65">
        <v>307.96085495016746</v>
      </c>
      <c r="AD65">
        <v>305.16947310780398</v>
      </c>
      <c r="AE65">
        <v>305.41919503476618</v>
      </c>
      <c r="AF65">
        <v>307.95055045531126</v>
      </c>
      <c r="AG65">
        <v>305.36325439747878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</row>
    <row r="66" spans="1:93" x14ac:dyDescent="0.25">
      <c r="A66" t="s">
        <v>638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269.71879666159481</v>
      </c>
      <c r="O66">
        <v>263.83025902410867</v>
      </c>
      <c r="P66">
        <v>297.24616378534182</v>
      </c>
      <c r="Q66">
        <v>316.88846118979188</v>
      </c>
      <c r="R66">
        <v>321.17635425013663</v>
      </c>
      <c r="S66">
        <v>324.85616756412389</v>
      </c>
      <c r="T66">
        <v>325.18578523099882</v>
      </c>
      <c r="U66">
        <v>321.98493642775469</v>
      </c>
      <c r="V66">
        <v>317.83666549212552</v>
      </c>
      <c r="W66">
        <v>312.24460656196067</v>
      </c>
      <c r="X66">
        <v>315.99326921641216</v>
      </c>
      <c r="Y66">
        <v>317.15773581037428</v>
      </c>
      <c r="Z66">
        <v>315.30959654750143</v>
      </c>
      <c r="AA66">
        <v>314.09680453725201</v>
      </c>
      <c r="AB66">
        <v>311.63298008302718</v>
      </c>
      <c r="AC66">
        <v>307.96085495016746</v>
      </c>
      <c r="AD66">
        <v>305.16947310780398</v>
      </c>
      <c r="AE66">
        <v>305.41919503476618</v>
      </c>
      <c r="AF66">
        <v>307.95055045531126</v>
      </c>
      <c r="AG66">
        <v>305.36325439747878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</row>
    <row r="67" spans="1:93" x14ac:dyDescent="0.25">
      <c r="A67" t="s">
        <v>639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212.87399213262498</v>
      </c>
      <c r="O67">
        <v>198.2796113809903</v>
      </c>
      <c r="P67">
        <v>200.67637929489075</v>
      </c>
      <c r="Q67">
        <v>206.93653987329972</v>
      </c>
      <c r="R67">
        <v>212.43210836114054</v>
      </c>
      <c r="S67">
        <v>216.83272665658959</v>
      </c>
      <c r="T67">
        <v>219.93130492301478</v>
      </c>
      <c r="U67">
        <v>222.35165483898933</v>
      </c>
      <c r="V67">
        <v>225.92693707140327</v>
      </c>
      <c r="W67">
        <v>231.36830722159439</v>
      </c>
      <c r="X67">
        <v>242.99415208392446</v>
      </c>
      <c r="Y67">
        <v>243.81633709066114</v>
      </c>
      <c r="Z67">
        <v>242.3949152066312</v>
      </c>
      <c r="AA67">
        <v>241.47847080696999</v>
      </c>
      <c r="AB67">
        <v>239.57244244686444</v>
      </c>
      <c r="AC67">
        <v>236.71695571313109</v>
      </c>
      <c r="AD67">
        <v>234.6029012329771</v>
      </c>
      <c r="AE67">
        <v>234.80381739082191</v>
      </c>
      <c r="AF67">
        <v>236.76264820839179</v>
      </c>
      <c r="AG67">
        <v>234.75696200745145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</row>
    <row r="68" spans="1:93" x14ac:dyDescent="0.25">
      <c r="A68" t="s">
        <v>640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212.87399213262498</v>
      </c>
      <c r="O68">
        <v>198.2796113809903</v>
      </c>
      <c r="P68">
        <v>200.67637929489075</v>
      </c>
      <c r="Q68">
        <v>206.93653987329972</v>
      </c>
      <c r="R68">
        <v>212.43210836114054</v>
      </c>
      <c r="S68">
        <v>216.83272665658959</v>
      </c>
      <c r="T68">
        <v>219.93130492301478</v>
      </c>
      <c r="U68">
        <v>222.35165483898933</v>
      </c>
      <c r="V68">
        <v>225.92693707140327</v>
      </c>
      <c r="W68">
        <v>231.36830722159439</v>
      </c>
      <c r="X68">
        <v>242.99415208392446</v>
      </c>
      <c r="Y68">
        <v>243.81633709066114</v>
      </c>
      <c r="Z68">
        <v>242.3949152066312</v>
      </c>
      <c r="AA68">
        <v>241.47847080696999</v>
      </c>
      <c r="AB68">
        <v>239.57244244686444</v>
      </c>
      <c r="AC68">
        <v>236.71695571313109</v>
      </c>
      <c r="AD68">
        <v>234.6029012329771</v>
      </c>
      <c r="AE68">
        <v>234.80381739082191</v>
      </c>
      <c r="AF68">
        <v>236.76264820839179</v>
      </c>
      <c r="AG68">
        <v>234.75696200745145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</row>
    <row r="69" spans="1:93" x14ac:dyDescent="0.25">
      <c r="A69" t="s">
        <v>641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212.87399213262498</v>
      </c>
      <c r="O69">
        <v>198.2796113809903</v>
      </c>
      <c r="P69">
        <v>200.67637929489075</v>
      </c>
      <c r="Q69">
        <v>206.93653987329972</v>
      </c>
      <c r="R69">
        <v>212.43210836114054</v>
      </c>
      <c r="S69">
        <v>216.83272665658959</v>
      </c>
      <c r="T69">
        <v>219.93130492301478</v>
      </c>
      <c r="U69">
        <v>222.35165483898933</v>
      </c>
      <c r="V69">
        <v>225.92693707140327</v>
      </c>
      <c r="W69">
        <v>231.36830722159439</v>
      </c>
      <c r="X69">
        <v>242.99415208392446</v>
      </c>
      <c r="Y69">
        <v>243.81633709066114</v>
      </c>
      <c r="Z69">
        <v>242.3949152066312</v>
      </c>
      <c r="AA69">
        <v>241.47847080696999</v>
      </c>
      <c r="AB69">
        <v>239.57244244686444</v>
      </c>
      <c r="AC69">
        <v>236.71695571313109</v>
      </c>
      <c r="AD69">
        <v>234.6029012329771</v>
      </c>
      <c r="AE69">
        <v>234.80381739082191</v>
      </c>
      <c r="AF69">
        <v>236.76264820839179</v>
      </c>
      <c r="AG69">
        <v>234.75696200745145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</row>
    <row r="70" spans="1:93" x14ac:dyDescent="0.25">
      <c r="A70" t="s">
        <v>642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212.87399213262498</v>
      </c>
      <c r="O70">
        <v>198.2796113809903</v>
      </c>
      <c r="P70">
        <v>200.67637929489075</v>
      </c>
      <c r="Q70">
        <v>206.93653987329972</v>
      </c>
      <c r="R70">
        <v>212.43210836114054</v>
      </c>
      <c r="S70">
        <v>216.83272665658959</v>
      </c>
      <c r="T70">
        <v>219.93130492301478</v>
      </c>
      <c r="U70">
        <v>222.35165483898933</v>
      </c>
      <c r="V70">
        <v>225.92693707140327</v>
      </c>
      <c r="W70">
        <v>231.36830722159439</v>
      </c>
      <c r="X70">
        <v>242.99415208392446</v>
      </c>
      <c r="Y70">
        <v>243.81633709066114</v>
      </c>
      <c r="Z70">
        <v>242.3949152066312</v>
      </c>
      <c r="AA70">
        <v>241.47847080696999</v>
      </c>
      <c r="AB70">
        <v>239.57244244686444</v>
      </c>
      <c r="AC70">
        <v>236.71695571313109</v>
      </c>
      <c r="AD70">
        <v>234.6029012329771</v>
      </c>
      <c r="AE70">
        <v>234.80381739082191</v>
      </c>
      <c r="AF70">
        <v>236.76264820839179</v>
      </c>
      <c r="AG70">
        <v>234.75696200745145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</row>
    <row r="71" spans="1:93" x14ac:dyDescent="0.25">
      <c r="A71" t="s">
        <v>643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212.87399213262498</v>
      </c>
      <c r="O71">
        <v>198.2796113809903</v>
      </c>
      <c r="P71">
        <v>200.67637929489075</v>
      </c>
      <c r="Q71">
        <v>206.93653987329972</v>
      </c>
      <c r="R71">
        <v>212.43210836114054</v>
      </c>
      <c r="S71">
        <v>216.83272665658959</v>
      </c>
      <c r="T71">
        <v>219.93130492301478</v>
      </c>
      <c r="U71">
        <v>222.35165483898933</v>
      </c>
      <c r="V71">
        <v>225.92693707140327</v>
      </c>
      <c r="W71">
        <v>231.36830722159439</v>
      </c>
      <c r="X71">
        <v>242.99415208392446</v>
      </c>
      <c r="Y71">
        <v>243.81633709066114</v>
      </c>
      <c r="Z71">
        <v>242.3949152066312</v>
      </c>
      <c r="AA71">
        <v>241.47847080696999</v>
      </c>
      <c r="AB71">
        <v>239.57244244686444</v>
      </c>
      <c r="AC71">
        <v>236.71695571313109</v>
      </c>
      <c r="AD71">
        <v>234.6029012329771</v>
      </c>
      <c r="AE71">
        <v>234.80381739082191</v>
      </c>
      <c r="AF71">
        <v>236.76264820839179</v>
      </c>
      <c r="AG71">
        <v>234.75696200745145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</row>
    <row r="72" spans="1:93" x14ac:dyDescent="0.25">
      <c r="A72" t="s">
        <v>644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212.87399213262498</v>
      </c>
      <c r="O72">
        <v>198.2796113809903</v>
      </c>
      <c r="P72">
        <v>200.67637929489075</v>
      </c>
      <c r="Q72">
        <v>206.93653987329972</v>
      </c>
      <c r="R72">
        <v>212.43210836114054</v>
      </c>
      <c r="S72">
        <v>216.83272665658959</v>
      </c>
      <c r="T72">
        <v>219.93130492301478</v>
      </c>
      <c r="U72">
        <v>222.35165483898933</v>
      </c>
      <c r="V72">
        <v>225.92693707140327</v>
      </c>
      <c r="W72">
        <v>231.36830722159439</v>
      </c>
      <c r="X72">
        <v>242.99415208392446</v>
      </c>
      <c r="Y72">
        <v>243.81633709066114</v>
      </c>
      <c r="Z72">
        <v>242.3949152066312</v>
      </c>
      <c r="AA72">
        <v>241.47847080696999</v>
      </c>
      <c r="AB72">
        <v>239.57244244686444</v>
      </c>
      <c r="AC72">
        <v>236.71695571313109</v>
      </c>
      <c r="AD72">
        <v>234.6029012329771</v>
      </c>
      <c r="AE72">
        <v>234.80381739082191</v>
      </c>
      <c r="AF72">
        <v>236.76264820839179</v>
      </c>
      <c r="AG72">
        <v>234.75696200745145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</row>
    <row r="73" spans="1:93" x14ac:dyDescent="0.25">
      <c r="A73" t="s">
        <v>645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591.10756047434995</v>
      </c>
      <c r="O73">
        <v>601.27552301989112</v>
      </c>
      <c r="P73">
        <v>624.21694394921792</v>
      </c>
      <c r="Q73">
        <v>720.49575958497439</v>
      </c>
      <c r="R73">
        <v>831.61505993862579</v>
      </c>
      <c r="S73">
        <v>928.50590505860498</v>
      </c>
      <c r="T73">
        <v>1003.4796687004639</v>
      </c>
      <c r="U73">
        <v>1065.313921137333</v>
      </c>
      <c r="V73">
        <v>1103.8785870437675</v>
      </c>
      <c r="W73">
        <v>1112.588466657583</v>
      </c>
      <c r="X73">
        <v>1126.2038339865173</v>
      </c>
      <c r="Y73">
        <v>1130.073586789845</v>
      </c>
      <c r="Z73">
        <v>1123.4694101001289</v>
      </c>
      <c r="AA73">
        <v>1119.1486312087013</v>
      </c>
      <c r="AB73">
        <v>1110.4874992053212</v>
      </c>
      <c r="AC73">
        <v>1097.2080510965188</v>
      </c>
      <c r="AD73">
        <v>1087.4370626412469</v>
      </c>
      <c r="AE73">
        <v>1088.286484052572</v>
      </c>
      <c r="AF73">
        <v>1097.3817865475016</v>
      </c>
      <c r="AG73">
        <v>1088.2790027193851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</row>
    <row r="74" spans="1:93" x14ac:dyDescent="0.25">
      <c r="A74" t="s">
        <v>646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591.10756047434995</v>
      </c>
      <c r="O74">
        <v>601.27552301989112</v>
      </c>
      <c r="P74">
        <v>624.21694394921792</v>
      </c>
      <c r="Q74">
        <v>720.49575958497439</v>
      </c>
      <c r="R74">
        <v>831.61505993862579</v>
      </c>
      <c r="S74">
        <v>928.50590505860498</v>
      </c>
      <c r="T74">
        <v>1003.4796687004639</v>
      </c>
      <c r="U74">
        <v>1065.313921137333</v>
      </c>
      <c r="V74">
        <v>1103.8785870437675</v>
      </c>
      <c r="W74">
        <v>1112.588466657583</v>
      </c>
      <c r="X74">
        <v>1126.2038339865173</v>
      </c>
      <c r="Y74">
        <v>1130.073586789845</v>
      </c>
      <c r="Z74">
        <v>1123.4694101001289</v>
      </c>
      <c r="AA74">
        <v>1119.1486312087013</v>
      </c>
      <c r="AB74">
        <v>1110.4874992053212</v>
      </c>
      <c r="AC74">
        <v>1097.2080510965188</v>
      </c>
      <c r="AD74">
        <v>1087.4370626412469</v>
      </c>
      <c r="AE74">
        <v>1088.286484052572</v>
      </c>
      <c r="AF74">
        <v>1097.3817865475016</v>
      </c>
      <c r="AG74">
        <v>1088.2790027193851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</row>
    <row r="75" spans="1:93" x14ac:dyDescent="0.25">
      <c r="A75" t="s">
        <v>647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947.70089978159808</v>
      </c>
      <c r="O75">
        <v>1025.8750341077653</v>
      </c>
      <c r="P75">
        <v>991.26664998841602</v>
      </c>
      <c r="Q75">
        <v>981.86795583486673</v>
      </c>
      <c r="R75">
        <v>976.58605283949464</v>
      </c>
      <c r="S75">
        <v>966.04510864202905</v>
      </c>
      <c r="T75">
        <v>936.43164549117512</v>
      </c>
      <c r="U75">
        <v>887.32292937226282</v>
      </c>
      <c r="V75">
        <v>844.18016836661059</v>
      </c>
      <c r="W75">
        <v>814.70900630246672</v>
      </c>
      <c r="X75">
        <v>807.34369035181112</v>
      </c>
      <c r="Y75">
        <v>809.99494082046681</v>
      </c>
      <c r="Z75">
        <v>805.29625515814962</v>
      </c>
      <c r="AA75">
        <v>802.29752079692366</v>
      </c>
      <c r="AB75">
        <v>795.9699997846019</v>
      </c>
      <c r="AC75">
        <v>786.59505099227181</v>
      </c>
      <c r="AD75">
        <v>779.48206695943657</v>
      </c>
      <c r="AE75">
        <v>780.04882329181385</v>
      </c>
      <c r="AF75">
        <v>786.65968113809254</v>
      </c>
      <c r="AG75">
        <v>779.99728663500878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</row>
    <row r="76" spans="1:93" x14ac:dyDescent="0.25">
      <c r="A76" t="s">
        <v>648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947.70089978159808</v>
      </c>
      <c r="O76">
        <v>1025.8750341077653</v>
      </c>
      <c r="P76">
        <v>991.26664998841602</v>
      </c>
      <c r="Q76">
        <v>981.86795583486673</v>
      </c>
      <c r="R76">
        <v>976.58605283949464</v>
      </c>
      <c r="S76">
        <v>966.04510864202905</v>
      </c>
      <c r="T76">
        <v>936.43164549117512</v>
      </c>
      <c r="U76">
        <v>887.32292937226282</v>
      </c>
      <c r="V76">
        <v>844.18016836661059</v>
      </c>
      <c r="W76">
        <v>814.70900630246672</v>
      </c>
      <c r="X76">
        <v>807.34369035181112</v>
      </c>
      <c r="Y76">
        <v>809.99494082046681</v>
      </c>
      <c r="Z76">
        <v>805.29625515814962</v>
      </c>
      <c r="AA76">
        <v>802.29752079692366</v>
      </c>
      <c r="AB76">
        <v>795.9699997846019</v>
      </c>
      <c r="AC76">
        <v>786.59505099227181</v>
      </c>
      <c r="AD76">
        <v>779.48206695943657</v>
      </c>
      <c r="AE76">
        <v>780.04882329181385</v>
      </c>
      <c r="AF76">
        <v>786.65968113809254</v>
      </c>
      <c r="AG76">
        <v>779.99728663500878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</row>
    <row r="77" spans="1:93" x14ac:dyDescent="0.25">
      <c r="A77" t="s">
        <v>649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336.3121584730041</v>
      </c>
      <c r="O77">
        <v>338.06180507594706</v>
      </c>
      <c r="P77">
        <v>329.0839045509756</v>
      </c>
      <c r="Q77">
        <v>324.00246756489662</v>
      </c>
      <c r="R77">
        <v>318.3174707992585</v>
      </c>
      <c r="S77">
        <v>311.718453803312</v>
      </c>
      <c r="T77">
        <v>301.97464437705474</v>
      </c>
      <c r="U77">
        <v>292.2283812220108</v>
      </c>
      <c r="V77">
        <v>285.27639736168362</v>
      </c>
      <c r="W77">
        <v>281.16397276644364</v>
      </c>
      <c r="X77">
        <v>285.37788190993854</v>
      </c>
      <c r="Y77">
        <v>286.3554104972435</v>
      </c>
      <c r="Z77">
        <v>284.69426852752878</v>
      </c>
      <c r="AA77">
        <v>283.58757023481405</v>
      </c>
      <c r="AB77">
        <v>281.38923187570998</v>
      </c>
      <c r="AC77">
        <v>278.04188412702274</v>
      </c>
      <c r="AD77">
        <v>275.56039982114419</v>
      </c>
      <c r="AE77">
        <v>275.76551927523849</v>
      </c>
      <c r="AF77">
        <v>278.11356378897437</v>
      </c>
      <c r="AG77">
        <v>275.76902887069434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</row>
    <row r="78" spans="1:93" x14ac:dyDescent="0.25">
      <c r="A78" t="s">
        <v>650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336.3121584730041</v>
      </c>
      <c r="O78">
        <v>338.06180507594706</v>
      </c>
      <c r="P78">
        <v>329.0839045509756</v>
      </c>
      <c r="Q78">
        <v>324.00246756489662</v>
      </c>
      <c r="R78">
        <v>318.3174707992585</v>
      </c>
      <c r="S78">
        <v>311.718453803312</v>
      </c>
      <c r="T78">
        <v>301.97464437705474</v>
      </c>
      <c r="U78">
        <v>292.2283812220108</v>
      </c>
      <c r="V78">
        <v>285.27639736168362</v>
      </c>
      <c r="W78">
        <v>281.16397276644364</v>
      </c>
      <c r="X78">
        <v>285.37788190993854</v>
      </c>
      <c r="Y78">
        <v>286.3554104972435</v>
      </c>
      <c r="Z78">
        <v>284.69426852752878</v>
      </c>
      <c r="AA78">
        <v>283.58757023481405</v>
      </c>
      <c r="AB78">
        <v>281.38923187570998</v>
      </c>
      <c r="AC78">
        <v>278.04188412702274</v>
      </c>
      <c r="AD78">
        <v>275.56039982114419</v>
      </c>
      <c r="AE78">
        <v>275.76551927523849</v>
      </c>
      <c r="AF78">
        <v>278.11356378897437</v>
      </c>
      <c r="AG78">
        <v>275.76902887069434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</row>
    <row r="79" spans="1:93" x14ac:dyDescent="0.25">
      <c r="A79" t="s">
        <v>651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336.3121584730041</v>
      </c>
      <c r="O79">
        <v>338.06180507594706</v>
      </c>
      <c r="P79">
        <v>329.0839045509756</v>
      </c>
      <c r="Q79">
        <v>324.00246756489662</v>
      </c>
      <c r="R79">
        <v>318.3174707992585</v>
      </c>
      <c r="S79">
        <v>311.718453803312</v>
      </c>
      <c r="T79">
        <v>301.97464437705474</v>
      </c>
      <c r="U79">
        <v>292.2283812220108</v>
      </c>
      <c r="V79">
        <v>285.27639736168362</v>
      </c>
      <c r="W79">
        <v>281.16397276644364</v>
      </c>
      <c r="X79">
        <v>285.37788190993854</v>
      </c>
      <c r="Y79">
        <v>286.3554104972435</v>
      </c>
      <c r="Z79">
        <v>284.69426852752878</v>
      </c>
      <c r="AA79">
        <v>283.58757023481405</v>
      </c>
      <c r="AB79">
        <v>281.38923187570998</v>
      </c>
      <c r="AC79">
        <v>278.04188412702274</v>
      </c>
      <c r="AD79">
        <v>275.56039982114419</v>
      </c>
      <c r="AE79">
        <v>275.76551927523849</v>
      </c>
      <c r="AF79">
        <v>278.11356378897437</v>
      </c>
      <c r="AG79">
        <v>275.76902887069434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</row>
    <row r="80" spans="1:93" x14ac:dyDescent="0.25">
      <c r="A80" t="s">
        <v>652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336.3121584730041</v>
      </c>
      <c r="O80">
        <v>338.06180507594706</v>
      </c>
      <c r="P80">
        <v>329.0839045509756</v>
      </c>
      <c r="Q80">
        <v>324.00246756489662</v>
      </c>
      <c r="R80">
        <v>318.3174707992585</v>
      </c>
      <c r="S80">
        <v>311.718453803312</v>
      </c>
      <c r="T80">
        <v>301.97464437705474</v>
      </c>
      <c r="U80">
        <v>292.2283812220108</v>
      </c>
      <c r="V80">
        <v>285.27639736168362</v>
      </c>
      <c r="W80">
        <v>281.16397276644364</v>
      </c>
      <c r="X80">
        <v>285.37788190993854</v>
      </c>
      <c r="Y80">
        <v>286.3554104972435</v>
      </c>
      <c r="Z80">
        <v>284.69426852752878</v>
      </c>
      <c r="AA80">
        <v>283.58757023481405</v>
      </c>
      <c r="AB80">
        <v>281.38923187570998</v>
      </c>
      <c r="AC80">
        <v>278.04188412702274</v>
      </c>
      <c r="AD80">
        <v>275.56039982114419</v>
      </c>
      <c r="AE80">
        <v>275.76551927523849</v>
      </c>
      <c r="AF80">
        <v>278.11356378897437</v>
      </c>
      <c r="AG80">
        <v>275.76902887069434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</row>
    <row r="81" spans="1:93" x14ac:dyDescent="0.25">
      <c r="A81" t="s">
        <v>653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336.3121584730041</v>
      </c>
      <c r="O81">
        <v>338.06180507594706</v>
      </c>
      <c r="P81">
        <v>329.0839045509756</v>
      </c>
      <c r="Q81">
        <v>324.00246756489662</v>
      </c>
      <c r="R81">
        <v>318.3174707992585</v>
      </c>
      <c r="S81">
        <v>311.718453803312</v>
      </c>
      <c r="T81">
        <v>301.97464437705474</v>
      </c>
      <c r="U81">
        <v>292.2283812220108</v>
      </c>
      <c r="V81">
        <v>285.27639736168362</v>
      </c>
      <c r="W81">
        <v>281.16397276644364</v>
      </c>
      <c r="X81">
        <v>285.37788190993854</v>
      </c>
      <c r="Y81">
        <v>286.3554104972435</v>
      </c>
      <c r="Z81">
        <v>284.69426852752878</v>
      </c>
      <c r="AA81">
        <v>283.58757023481405</v>
      </c>
      <c r="AB81">
        <v>281.38923187570998</v>
      </c>
      <c r="AC81">
        <v>278.04188412702274</v>
      </c>
      <c r="AD81">
        <v>275.56039982114419</v>
      </c>
      <c r="AE81">
        <v>275.76551927523849</v>
      </c>
      <c r="AF81">
        <v>278.11356378897437</v>
      </c>
      <c r="AG81">
        <v>275.76902887069434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</row>
    <row r="82" spans="1:93" x14ac:dyDescent="0.25">
      <c r="A82" t="s">
        <v>654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336.3121584730041</v>
      </c>
      <c r="O82">
        <v>338.06180507594706</v>
      </c>
      <c r="P82">
        <v>329.0839045509756</v>
      </c>
      <c r="Q82">
        <v>324.00246756489662</v>
      </c>
      <c r="R82">
        <v>318.3174707992585</v>
      </c>
      <c r="S82">
        <v>311.718453803312</v>
      </c>
      <c r="T82">
        <v>301.97464437705474</v>
      </c>
      <c r="U82">
        <v>292.2283812220108</v>
      </c>
      <c r="V82">
        <v>285.27639736168362</v>
      </c>
      <c r="W82">
        <v>281.16397276644364</v>
      </c>
      <c r="X82">
        <v>285.37788190993854</v>
      </c>
      <c r="Y82">
        <v>286.3554104972435</v>
      </c>
      <c r="Z82">
        <v>284.69426852752878</v>
      </c>
      <c r="AA82">
        <v>283.58757023481405</v>
      </c>
      <c r="AB82">
        <v>281.38923187570998</v>
      </c>
      <c r="AC82">
        <v>278.04188412702274</v>
      </c>
      <c r="AD82">
        <v>275.56039982114419</v>
      </c>
      <c r="AE82">
        <v>275.76551927523849</v>
      </c>
      <c r="AF82">
        <v>278.11356378897437</v>
      </c>
      <c r="AG82">
        <v>275.76902887069434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</row>
    <row r="83" spans="1:93" x14ac:dyDescent="0.25">
      <c r="A83" t="s">
        <v>655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336.3121584730041</v>
      </c>
      <c r="O83">
        <v>338.06180507594706</v>
      </c>
      <c r="P83">
        <v>329.0839045509756</v>
      </c>
      <c r="Q83">
        <v>324.00246756489662</v>
      </c>
      <c r="R83">
        <v>318.3174707992585</v>
      </c>
      <c r="S83">
        <v>311.718453803312</v>
      </c>
      <c r="T83">
        <v>301.97464437705474</v>
      </c>
      <c r="U83">
        <v>292.2283812220108</v>
      </c>
      <c r="V83">
        <v>285.27639736168362</v>
      </c>
      <c r="W83">
        <v>281.16397276644364</v>
      </c>
      <c r="X83">
        <v>285.37788190993854</v>
      </c>
      <c r="Y83">
        <v>286.3554104972435</v>
      </c>
      <c r="Z83">
        <v>284.69426852752878</v>
      </c>
      <c r="AA83">
        <v>283.58757023481405</v>
      </c>
      <c r="AB83">
        <v>281.38923187570998</v>
      </c>
      <c r="AC83">
        <v>278.04188412702274</v>
      </c>
      <c r="AD83">
        <v>275.56039982114419</v>
      </c>
      <c r="AE83">
        <v>275.76551927523849</v>
      </c>
      <c r="AF83">
        <v>278.11356378897437</v>
      </c>
      <c r="AG83">
        <v>275.76902887069434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</row>
    <row r="84" spans="1:93" x14ac:dyDescent="0.25">
      <c r="A84" t="s">
        <v>656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336.3121584730041</v>
      </c>
      <c r="O84">
        <v>338.06180507594706</v>
      </c>
      <c r="P84">
        <v>329.0839045509756</v>
      </c>
      <c r="Q84">
        <v>324.00246756489662</v>
      </c>
      <c r="R84">
        <v>318.3174707992585</v>
      </c>
      <c r="S84">
        <v>311.718453803312</v>
      </c>
      <c r="T84">
        <v>301.97464437705474</v>
      </c>
      <c r="U84">
        <v>292.2283812220108</v>
      </c>
      <c r="V84">
        <v>285.27639736168362</v>
      </c>
      <c r="W84">
        <v>281.16397276644364</v>
      </c>
      <c r="X84">
        <v>285.37788190993854</v>
      </c>
      <c r="Y84">
        <v>286.3554104972435</v>
      </c>
      <c r="Z84">
        <v>284.69426852752878</v>
      </c>
      <c r="AA84">
        <v>283.58757023481405</v>
      </c>
      <c r="AB84">
        <v>281.38923187570998</v>
      </c>
      <c r="AC84">
        <v>278.04188412702274</v>
      </c>
      <c r="AD84">
        <v>275.56039982114419</v>
      </c>
      <c r="AE84">
        <v>275.76551927523849</v>
      </c>
      <c r="AF84">
        <v>278.11356378897437</v>
      </c>
      <c r="AG84">
        <v>275.76902887069434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</row>
    <row r="85" spans="1:93" x14ac:dyDescent="0.25">
      <c r="A85" t="s">
        <v>657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336.3121584730041</v>
      </c>
      <c r="O85">
        <v>338.06180507594706</v>
      </c>
      <c r="P85">
        <v>329.0839045509756</v>
      </c>
      <c r="Q85">
        <v>324.00246756489662</v>
      </c>
      <c r="R85">
        <v>318.3174707992585</v>
      </c>
      <c r="S85">
        <v>311.718453803312</v>
      </c>
      <c r="T85">
        <v>301.97464437705474</v>
      </c>
      <c r="U85">
        <v>292.2283812220108</v>
      </c>
      <c r="V85">
        <v>285.27639736168362</v>
      </c>
      <c r="W85">
        <v>281.16397276644364</v>
      </c>
      <c r="X85">
        <v>285.37788190993854</v>
      </c>
      <c r="Y85">
        <v>286.3554104972435</v>
      </c>
      <c r="Z85">
        <v>284.69426852752878</v>
      </c>
      <c r="AA85">
        <v>283.58757023481405</v>
      </c>
      <c r="AB85">
        <v>281.38923187570998</v>
      </c>
      <c r="AC85">
        <v>278.04188412702274</v>
      </c>
      <c r="AD85">
        <v>275.56039982114419</v>
      </c>
      <c r="AE85">
        <v>275.76551927523849</v>
      </c>
      <c r="AF85">
        <v>278.11356378897437</v>
      </c>
      <c r="AG85">
        <v>275.76902887069434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</row>
    <row r="86" spans="1:93" x14ac:dyDescent="0.25">
      <c r="A86" t="s">
        <v>658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514.31896120280226</v>
      </c>
      <c r="O86">
        <v>509.60819522099291</v>
      </c>
      <c r="P86">
        <v>509.45507950800948</v>
      </c>
      <c r="Q86">
        <v>504.69331763545097</v>
      </c>
      <c r="R86">
        <v>493.61706649617901</v>
      </c>
      <c r="S86">
        <v>480.07975772916507</v>
      </c>
      <c r="T86">
        <v>459.57432127329889</v>
      </c>
      <c r="U86">
        <v>439.33955268645855</v>
      </c>
      <c r="V86">
        <v>422.51271348418283</v>
      </c>
      <c r="W86">
        <v>410.26053922204858</v>
      </c>
      <c r="X86">
        <v>412.51137463231231</v>
      </c>
      <c r="Y86">
        <v>413.89055555549783</v>
      </c>
      <c r="Z86">
        <v>411.48466383678158</v>
      </c>
      <c r="AA86">
        <v>409.93894461864812</v>
      </c>
      <c r="AB86">
        <v>406.73153001626156</v>
      </c>
      <c r="AC86">
        <v>401.87799511227536</v>
      </c>
      <c r="AD86">
        <v>398.30159149124779</v>
      </c>
      <c r="AE86">
        <v>398.61956745492375</v>
      </c>
      <c r="AF86">
        <v>401.95945485794169</v>
      </c>
      <c r="AG86">
        <v>398.58646120000162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</row>
    <row r="87" spans="1:93" x14ac:dyDescent="0.25">
      <c r="A87" t="s">
        <v>659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514.31896120280226</v>
      </c>
      <c r="O87">
        <v>509.60819522099291</v>
      </c>
      <c r="P87">
        <v>509.45507950800948</v>
      </c>
      <c r="Q87">
        <v>504.69331763545097</v>
      </c>
      <c r="R87">
        <v>493.61706649617901</v>
      </c>
      <c r="S87">
        <v>480.07975772916507</v>
      </c>
      <c r="T87">
        <v>459.57432127329889</v>
      </c>
      <c r="U87">
        <v>439.33955268645855</v>
      </c>
      <c r="V87">
        <v>422.51271348418283</v>
      </c>
      <c r="W87">
        <v>410.26053922204858</v>
      </c>
      <c r="X87">
        <v>412.51137463231231</v>
      </c>
      <c r="Y87">
        <v>413.89055555549783</v>
      </c>
      <c r="Z87">
        <v>411.48466383678158</v>
      </c>
      <c r="AA87">
        <v>409.93894461864812</v>
      </c>
      <c r="AB87">
        <v>406.73153001626156</v>
      </c>
      <c r="AC87">
        <v>401.87799511227536</v>
      </c>
      <c r="AD87">
        <v>398.30159149124779</v>
      </c>
      <c r="AE87">
        <v>398.61956745492375</v>
      </c>
      <c r="AF87">
        <v>401.95945485794169</v>
      </c>
      <c r="AG87">
        <v>398.58646120000162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</row>
    <row r="88" spans="1:93" x14ac:dyDescent="0.25">
      <c r="A88" t="s">
        <v>660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514.31896120280226</v>
      </c>
      <c r="O88">
        <v>509.60819522099291</v>
      </c>
      <c r="P88">
        <v>509.45507950800948</v>
      </c>
      <c r="Q88">
        <v>504.69331763545097</v>
      </c>
      <c r="R88">
        <v>493.61706649617901</v>
      </c>
      <c r="S88">
        <v>480.07975772916507</v>
      </c>
      <c r="T88">
        <v>459.57432127329889</v>
      </c>
      <c r="U88">
        <v>439.33955268645855</v>
      </c>
      <c r="V88">
        <v>422.51271348418283</v>
      </c>
      <c r="W88">
        <v>410.26053922204858</v>
      </c>
      <c r="X88">
        <v>412.51137463231231</v>
      </c>
      <c r="Y88">
        <v>413.89055555549783</v>
      </c>
      <c r="Z88">
        <v>411.48466383678158</v>
      </c>
      <c r="AA88">
        <v>409.93894461864812</v>
      </c>
      <c r="AB88">
        <v>406.73153001626156</v>
      </c>
      <c r="AC88">
        <v>401.87799511227536</v>
      </c>
      <c r="AD88">
        <v>398.30159149124779</v>
      </c>
      <c r="AE88">
        <v>398.61956745492375</v>
      </c>
      <c r="AF88">
        <v>401.95945485794169</v>
      </c>
      <c r="AG88">
        <v>398.58646120000162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</row>
    <row r="89" spans="1:93" x14ac:dyDescent="0.25">
      <c r="A89" t="s">
        <v>661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514.31896120280226</v>
      </c>
      <c r="O89">
        <v>509.60819522099291</v>
      </c>
      <c r="P89">
        <v>509.45507950800948</v>
      </c>
      <c r="Q89">
        <v>504.69331763545097</v>
      </c>
      <c r="R89">
        <v>493.61706649617901</v>
      </c>
      <c r="S89">
        <v>480.07975772916507</v>
      </c>
      <c r="T89">
        <v>459.57432127329889</v>
      </c>
      <c r="U89">
        <v>439.33955268645855</v>
      </c>
      <c r="V89">
        <v>422.51271348418283</v>
      </c>
      <c r="W89">
        <v>410.26053922204858</v>
      </c>
      <c r="X89">
        <v>412.51137463231231</v>
      </c>
      <c r="Y89">
        <v>413.89055555549783</v>
      </c>
      <c r="Z89">
        <v>411.48466383678158</v>
      </c>
      <c r="AA89">
        <v>409.93894461864812</v>
      </c>
      <c r="AB89">
        <v>406.73153001626156</v>
      </c>
      <c r="AC89">
        <v>401.87799511227536</v>
      </c>
      <c r="AD89">
        <v>398.30159149124779</v>
      </c>
      <c r="AE89">
        <v>398.61956745492375</v>
      </c>
      <c r="AF89">
        <v>401.95945485794169</v>
      </c>
      <c r="AG89">
        <v>398.58646120000162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</row>
    <row r="90" spans="1:93" x14ac:dyDescent="0.25">
      <c r="A90" t="s">
        <v>662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514.31896120280226</v>
      </c>
      <c r="O90">
        <v>509.60819522099291</v>
      </c>
      <c r="P90">
        <v>509.45507950800948</v>
      </c>
      <c r="Q90">
        <v>504.69331763545097</v>
      </c>
      <c r="R90">
        <v>493.61706649617901</v>
      </c>
      <c r="S90">
        <v>480.07975772916507</v>
      </c>
      <c r="T90">
        <v>459.57432127329889</v>
      </c>
      <c r="U90">
        <v>439.33955268645855</v>
      </c>
      <c r="V90">
        <v>422.51271348418283</v>
      </c>
      <c r="W90">
        <v>410.26053922204858</v>
      </c>
      <c r="X90">
        <v>412.51137463231231</v>
      </c>
      <c r="Y90">
        <v>413.89055555549783</v>
      </c>
      <c r="Z90">
        <v>411.48466383678158</v>
      </c>
      <c r="AA90">
        <v>409.93894461864812</v>
      </c>
      <c r="AB90">
        <v>406.73153001626156</v>
      </c>
      <c r="AC90">
        <v>401.87799511227536</v>
      </c>
      <c r="AD90">
        <v>398.30159149124779</v>
      </c>
      <c r="AE90">
        <v>398.61956745492375</v>
      </c>
      <c r="AF90">
        <v>401.95945485794169</v>
      </c>
      <c r="AG90">
        <v>398.58646120000162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</row>
    <row r="91" spans="1:93" x14ac:dyDescent="0.25">
      <c r="A91" t="s">
        <v>663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514.31896120280226</v>
      </c>
      <c r="O91">
        <v>509.60819522099291</v>
      </c>
      <c r="P91">
        <v>509.45507950800948</v>
      </c>
      <c r="Q91">
        <v>504.69331763545097</v>
      </c>
      <c r="R91">
        <v>493.61706649617901</v>
      </c>
      <c r="S91">
        <v>480.07975772916507</v>
      </c>
      <c r="T91">
        <v>459.57432127329889</v>
      </c>
      <c r="U91">
        <v>439.33955268645855</v>
      </c>
      <c r="V91">
        <v>422.51271348418283</v>
      </c>
      <c r="W91">
        <v>410.26053922204858</v>
      </c>
      <c r="X91">
        <v>412.51137463231231</v>
      </c>
      <c r="Y91">
        <v>413.89055555549783</v>
      </c>
      <c r="Z91">
        <v>411.48466383678158</v>
      </c>
      <c r="AA91">
        <v>409.93894461864812</v>
      </c>
      <c r="AB91">
        <v>406.73153001626156</v>
      </c>
      <c r="AC91">
        <v>401.87799511227536</v>
      </c>
      <c r="AD91">
        <v>398.30159149124779</v>
      </c>
      <c r="AE91">
        <v>398.61956745492375</v>
      </c>
      <c r="AF91">
        <v>401.95945485794169</v>
      </c>
      <c r="AG91">
        <v>398.58646120000162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</row>
    <row r="92" spans="1:93" x14ac:dyDescent="0.25">
      <c r="A92" t="s">
        <v>664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514.31896120280226</v>
      </c>
      <c r="O92">
        <v>509.60819522099291</v>
      </c>
      <c r="P92">
        <v>509.45507950800948</v>
      </c>
      <c r="Q92">
        <v>504.69331763545097</v>
      </c>
      <c r="R92">
        <v>493.61706649617901</v>
      </c>
      <c r="S92">
        <v>480.07975772916507</v>
      </c>
      <c r="T92">
        <v>459.57432127329889</v>
      </c>
      <c r="U92">
        <v>439.33955268645855</v>
      </c>
      <c r="V92">
        <v>422.51271348418283</v>
      </c>
      <c r="W92">
        <v>410.26053922204858</v>
      </c>
      <c r="X92">
        <v>412.51137463231231</v>
      </c>
      <c r="Y92">
        <v>413.89055555549783</v>
      </c>
      <c r="Z92">
        <v>411.48466383678158</v>
      </c>
      <c r="AA92">
        <v>409.93894461864812</v>
      </c>
      <c r="AB92">
        <v>406.73153001626156</v>
      </c>
      <c r="AC92">
        <v>401.87799511227536</v>
      </c>
      <c r="AD92">
        <v>398.30159149124779</v>
      </c>
      <c r="AE92">
        <v>398.61956745492375</v>
      </c>
      <c r="AF92">
        <v>401.95945485794169</v>
      </c>
      <c r="AG92">
        <v>398.58646120000162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</row>
    <row r="93" spans="1:93" x14ac:dyDescent="0.25">
      <c r="A93" t="s">
        <v>665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514.31896120280226</v>
      </c>
      <c r="O93">
        <v>509.60819522099291</v>
      </c>
      <c r="P93">
        <v>509.45507950800948</v>
      </c>
      <c r="Q93">
        <v>504.69331763545097</v>
      </c>
      <c r="R93">
        <v>493.61706649617901</v>
      </c>
      <c r="S93">
        <v>480.07975772916507</v>
      </c>
      <c r="T93">
        <v>459.57432127329889</v>
      </c>
      <c r="U93">
        <v>439.33955268645855</v>
      </c>
      <c r="V93">
        <v>422.51271348418283</v>
      </c>
      <c r="W93">
        <v>410.26053922204858</v>
      </c>
      <c r="X93">
        <v>412.51137463231231</v>
      </c>
      <c r="Y93">
        <v>413.89055555549783</v>
      </c>
      <c r="Z93">
        <v>411.48466383678158</v>
      </c>
      <c r="AA93">
        <v>409.93894461864812</v>
      </c>
      <c r="AB93">
        <v>406.73153001626156</v>
      </c>
      <c r="AC93">
        <v>401.87799511227536</v>
      </c>
      <c r="AD93">
        <v>398.30159149124779</v>
      </c>
      <c r="AE93">
        <v>398.61956745492375</v>
      </c>
      <c r="AF93">
        <v>401.95945485794169</v>
      </c>
      <c r="AG93">
        <v>398.58646120000162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</row>
    <row r="94" spans="1:93" x14ac:dyDescent="0.25">
      <c r="A94" t="s">
        <v>666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514.31896120280226</v>
      </c>
      <c r="O94">
        <v>509.60819522099291</v>
      </c>
      <c r="P94">
        <v>509.45507950800948</v>
      </c>
      <c r="Q94">
        <v>504.69331763545097</v>
      </c>
      <c r="R94">
        <v>493.61706649617901</v>
      </c>
      <c r="S94">
        <v>480.07975772916507</v>
      </c>
      <c r="T94">
        <v>459.57432127329889</v>
      </c>
      <c r="U94">
        <v>439.33955268645855</v>
      </c>
      <c r="V94">
        <v>422.51271348418283</v>
      </c>
      <c r="W94">
        <v>410.26053922204858</v>
      </c>
      <c r="X94">
        <v>412.51137463231231</v>
      </c>
      <c r="Y94">
        <v>413.89055555549783</v>
      </c>
      <c r="Z94">
        <v>411.48466383678158</v>
      </c>
      <c r="AA94">
        <v>409.93894461864812</v>
      </c>
      <c r="AB94">
        <v>406.73153001626156</v>
      </c>
      <c r="AC94">
        <v>401.87799511227536</v>
      </c>
      <c r="AD94">
        <v>398.30159149124779</v>
      </c>
      <c r="AE94">
        <v>398.61956745492375</v>
      </c>
      <c r="AF94">
        <v>401.95945485794169</v>
      </c>
      <c r="AG94">
        <v>398.58646120000162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</row>
    <row r="95" spans="1:93" x14ac:dyDescent="0.25">
      <c r="A95" t="s">
        <v>667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514.31896120280226</v>
      </c>
      <c r="O95">
        <v>509.60819522099291</v>
      </c>
      <c r="P95">
        <v>509.45507950800948</v>
      </c>
      <c r="Q95">
        <v>504.69331763545097</v>
      </c>
      <c r="R95">
        <v>493.61706649617901</v>
      </c>
      <c r="S95">
        <v>480.07975772916507</v>
      </c>
      <c r="T95">
        <v>459.57432127329889</v>
      </c>
      <c r="U95">
        <v>439.33955268645855</v>
      </c>
      <c r="V95">
        <v>422.51271348418283</v>
      </c>
      <c r="W95">
        <v>410.26053922204858</v>
      </c>
      <c r="X95">
        <v>412.51137463231231</v>
      </c>
      <c r="Y95">
        <v>413.89055555549783</v>
      </c>
      <c r="Z95">
        <v>411.48466383678158</v>
      </c>
      <c r="AA95">
        <v>409.93894461864812</v>
      </c>
      <c r="AB95">
        <v>406.73153001626156</v>
      </c>
      <c r="AC95">
        <v>401.87799511227536</v>
      </c>
      <c r="AD95">
        <v>398.30159149124779</v>
      </c>
      <c r="AE95">
        <v>398.61956745492375</v>
      </c>
      <c r="AF95">
        <v>401.95945485794169</v>
      </c>
      <c r="AG95">
        <v>398.58646120000162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</row>
    <row r="96" spans="1:93" x14ac:dyDescent="0.25">
      <c r="A96" t="s">
        <v>668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514.31896120280226</v>
      </c>
      <c r="O96">
        <v>509.60819522099291</v>
      </c>
      <c r="P96">
        <v>509.45507950800948</v>
      </c>
      <c r="Q96">
        <v>504.69331763545097</v>
      </c>
      <c r="R96">
        <v>493.61706649617901</v>
      </c>
      <c r="S96">
        <v>480.07975772916507</v>
      </c>
      <c r="T96">
        <v>459.57432127329889</v>
      </c>
      <c r="U96">
        <v>439.33955268645855</v>
      </c>
      <c r="V96">
        <v>422.51271348418283</v>
      </c>
      <c r="W96">
        <v>410.26053922204858</v>
      </c>
      <c r="X96">
        <v>412.51137463231231</v>
      </c>
      <c r="Y96">
        <v>413.89055555549783</v>
      </c>
      <c r="Z96">
        <v>411.48466383678158</v>
      </c>
      <c r="AA96">
        <v>409.93894461864812</v>
      </c>
      <c r="AB96">
        <v>406.73153001626156</v>
      </c>
      <c r="AC96">
        <v>401.87799511227536</v>
      </c>
      <c r="AD96">
        <v>398.30159149124779</v>
      </c>
      <c r="AE96">
        <v>398.61956745492375</v>
      </c>
      <c r="AF96">
        <v>401.95945485794169</v>
      </c>
      <c r="AG96">
        <v>398.58646120000162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</row>
    <row r="97" spans="1:93" x14ac:dyDescent="0.25">
      <c r="A97" t="s">
        <v>669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369.7656526325818</v>
      </c>
      <c r="O97">
        <v>351.93151321533384</v>
      </c>
      <c r="P97">
        <v>356.86444649337818</v>
      </c>
      <c r="Q97">
        <v>357.00605410256605</v>
      </c>
      <c r="R97">
        <v>343.32203351887858</v>
      </c>
      <c r="S97">
        <v>328.45896391448156</v>
      </c>
      <c r="T97">
        <v>311.97152187355545</v>
      </c>
      <c r="U97">
        <v>295.31370463646391</v>
      </c>
      <c r="V97">
        <v>282.33386109519074</v>
      </c>
      <c r="W97">
        <v>273.28506717900223</v>
      </c>
      <c r="X97">
        <v>273.69094446647307</v>
      </c>
      <c r="Y97">
        <v>274.67176986122837</v>
      </c>
      <c r="Z97">
        <v>273.05620157120666</v>
      </c>
      <c r="AA97">
        <v>272.0406725300719</v>
      </c>
      <c r="AB97">
        <v>269.86514007324558</v>
      </c>
      <c r="AC97">
        <v>266.64979396191808</v>
      </c>
      <c r="AD97">
        <v>264.31514202237793</v>
      </c>
      <c r="AE97">
        <v>264.48482372708645</v>
      </c>
      <c r="AF97">
        <v>266.74676680439063</v>
      </c>
      <c r="AG97">
        <v>264.50479078091479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</row>
    <row r="98" spans="1:93" x14ac:dyDescent="0.25">
      <c r="A98" t="s">
        <v>670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369.7656526325818</v>
      </c>
      <c r="O98">
        <v>351.93151321533384</v>
      </c>
      <c r="P98">
        <v>356.86444649337818</v>
      </c>
      <c r="Q98">
        <v>357.00605410256605</v>
      </c>
      <c r="R98">
        <v>343.32203351887858</v>
      </c>
      <c r="S98">
        <v>328.45896391448156</v>
      </c>
      <c r="T98">
        <v>311.97152187355545</v>
      </c>
      <c r="U98">
        <v>295.31370463646391</v>
      </c>
      <c r="V98">
        <v>282.33386109519074</v>
      </c>
      <c r="W98">
        <v>273.28506717900223</v>
      </c>
      <c r="X98">
        <v>273.69094446647307</v>
      </c>
      <c r="Y98">
        <v>274.67176986122837</v>
      </c>
      <c r="Z98">
        <v>273.05620157120666</v>
      </c>
      <c r="AA98">
        <v>272.0406725300719</v>
      </c>
      <c r="AB98">
        <v>269.86514007324558</v>
      </c>
      <c r="AC98">
        <v>266.64979396191808</v>
      </c>
      <c r="AD98">
        <v>264.31514202237793</v>
      </c>
      <c r="AE98">
        <v>264.48482372708645</v>
      </c>
      <c r="AF98">
        <v>266.74676680439063</v>
      </c>
      <c r="AG98">
        <v>264.50479078091479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</row>
    <row r="99" spans="1:93" x14ac:dyDescent="0.25">
      <c r="A99" t="s">
        <v>671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369.7656526325818</v>
      </c>
      <c r="O99">
        <v>351.93151321533384</v>
      </c>
      <c r="P99">
        <v>356.86444649337818</v>
      </c>
      <c r="Q99">
        <v>357.00605410256605</v>
      </c>
      <c r="R99">
        <v>343.32203351887858</v>
      </c>
      <c r="S99">
        <v>328.45896391448156</v>
      </c>
      <c r="T99">
        <v>311.97152187355545</v>
      </c>
      <c r="U99">
        <v>295.31370463646391</v>
      </c>
      <c r="V99">
        <v>282.33386109519074</v>
      </c>
      <c r="W99">
        <v>273.28506717900223</v>
      </c>
      <c r="X99">
        <v>273.69094446647307</v>
      </c>
      <c r="Y99">
        <v>274.67176986122837</v>
      </c>
      <c r="Z99">
        <v>273.05620157120666</v>
      </c>
      <c r="AA99">
        <v>272.0406725300719</v>
      </c>
      <c r="AB99">
        <v>269.86514007324558</v>
      </c>
      <c r="AC99">
        <v>266.64979396191808</v>
      </c>
      <c r="AD99">
        <v>264.31514202237793</v>
      </c>
      <c r="AE99">
        <v>264.48482372708645</v>
      </c>
      <c r="AF99">
        <v>266.74676680439063</v>
      </c>
      <c r="AG99">
        <v>264.50479078091479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</row>
    <row r="100" spans="1:93" x14ac:dyDescent="0.25">
      <c r="A100" t="s">
        <v>672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369.7656526325818</v>
      </c>
      <c r="O100">
        <v>351.93151321533384</v>
      </c>
      <c r="P100">
        <v>356.86444649337818</v>
      </c>
      <c r="Q100">
        <v>357.00605410256605</v>
      </c>
      <c r="R100">
        <v>343.32203351887858</v>
      </c>
      <c r="S100">
        <v>328.45896391448156</v>
      </c>
      <c r="T100">
        <v>311.97152187355545</v>
      </c>
      <c r="U100">
        <v>295.31370463646391</v>
      </c>
      <c r="V100">
        <v>282.33386109519074</v>
      </c>
      <c r="W100">
        <v>273.28506717900223</v>
      </c>
      <c r="X100">
        <v>273.69094446647307</v>
      </c>
      <c r="Y100">
        <v>274.67176986122837</v>
      </c>
      <c r="Z100">
        <v>273.05620157120666</v>
      </c>
      <c r="AA100">
        <v>272.0406725300719</v>
      </c>
      <c r="AB100">
        <v>269.86514007324558</v>
      </c>
      <c r="AC100">
        <v>266.64979396191808</v>
      </c>
      <c r="AD100">
        <v>264.31514202237793</v>
      </c>
      <c r="AE100">
        <v>264.48482372708645</v>
      </c>
      <c r="AF100">
        <v>266.74676680439063</v>
      </c>
      <c r="AG100">
        <v>264.50479078091479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</row>
    <row r="101" spans="1:93" x14ac:dyDescent="0.25">
      <c r="A101" t="s">
        <v>673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369.7656526325818</v>
      </c>
      <c r="O101">
        <v>351.93151321533384</v>
      </c>
      <c r="P101">
        <v>356.86444649337818</v>
      </c>
      <c r="Q101">
        <v>357.00605410256605</v>
      </c>
      <c r="R101">
        <v>343.32203351887858</v>
      </c>
      <c r="S101">
        <v>328.45896391448156</v>
      </c>
      <c r="T101">
        <v>311.97152187355545</v>
      </c>
      <c r="U101">
        <v>295.31370463646391</v>
      </c>
      <c r="V101">
        <v>282.33386109519074</v>
      </c>
      <c r="W101">
        <v>273.28506717900223</v>
      </c>
      <c r="X101">
        <v>273.69094446647307</v>
      </c>
      <c r="Y101">
        <v>274.67176986122837</v>
      </c>
      <c r="Z101">
        <v>273.05620157120666</v>
      </c>
      <c r="AA101">
        <v>272.0406725300719</v>
      </c>
      <c r="AB101">
        <v>269.86514007324558</v>
      </c>
      <c r="AC101">
        <v>266.64979396191808</v>
      </c>
      <c r="AD101">
        <v>264.31514202237793</v>
      </c>
      <c r="AE101">
        <v>264.48482372708645</v>
      </c>
      <c r="AF101">
        <v>266.74676680439063</v>
      </c>
      <c r="AG101">
        <v>264.50479078091479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</row>
    <row r="102" spans="1:93" x14ac:dyDescent="0.25">
      <c r="A102" t="s">
        <v>674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660.73264519397082</v>
      </c>
      <c r="O102">
        <v>624.80273063897869</v>
      </c>
      <c r="P102">
        <v>606.25538665887143</v>
      </c>
      <c r="Q102">
        <v>592.03841662184902</v>
      </c>
      <c r="R102">
        <v>568.93914167585979</v>
      </c>
      <c r="S102">
        <v>543.32103350694933</v>
      </c>
      <c r="T102">
        <v>520.69942960221601</v>
      </c>
      <c r="U102">
        <v>502.22412001733744</v>
      </c>
      <c r="V102">
        <v>486.85438118674438</v>
      </c>
      <c r="W102">
        <v>474.52340107444593</v>
      </c>
      <c r="X102">
        <v>485.21849529627002</v>
      </c>
      <c r="Y102">
        <v>486.88916977721226</v>
      </c>
      <c r="Z102">
        <v>484.02091195548599</v>
      </c>
      <c r="AA102">
        <v>482.18891401431267</v>
      </c>
      <c r="AB102">
        <v>478.46308941391072</v>
      </c>
      <c r="AC102">
        <v>472.70587158004429</v>
      </c>
      <c r="AD102">
        <v>468.50942182245262</v>
      </c>
      <c r="AE102">
        <v>468.89020714230043</v>
      </c>
      <c r="AF102">
        <v>472.85807022413042</v>
      </c>
      <c r="AG102">
        <v>468.87391048707451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</row>
    <row r="103" spans="1:93" x14ac:dyDescent="0.25">
      <c r="A103" t="s">
        <v>675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660.73264519397082</v>
      </c>
      <c r="O103">
        <v>624.80273063897869</v>
      </c>
      <c r="P103">
        <v>606.25538665887143</v>
      </c>
      <c r="Q103">
        <v>592.03841662184902</v>
      </c>
      <c r="R103">
        <v>568.93914167585979</v>
      </c>
      <c r="S103">
        <v>543.32103350694933</v>
      </c>
      <c r="T103">
        <v>520.69942960221601</v>
      </c>
      <c r="U103">
        <v>502.22412001733744</v>
      </c>
      <c r="V103">
        <v>486.85438118674438</v>
      </c>
      <c r="W103">
        <v>474.52340107444593</v>
      </c>
      <c r="X103">
        <v>485.21849529627002</v>
      </c>
      <c r="Y103">
        <v>486.88916977721226</v>
      </c>
      <c r="Z103">
        <v>484.02091195548599</v>
      </c>
      <c r="AA103">
        <v>482.18891401431267</v>
      </c>
      <c r="AB103">
        <v>478.46308941391072</v>
      </c>
      <c r="AC103">
        <v>472.70587158004429</v>
      </c>
      <c r="AD103">
        <v>468.50942182245262</v>
      </c>
      <c r="AE103">
        <v>468.89020714230043</v>
      </c>
      <c r="AF103">
        <v>472.85807022413042</v>
      </c>
      <c r="AG103">
        <v>468.87391048707451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</row>
    <row r="104" spans="1:93" x14ac:dyDescent="0.25">
      <c r="A104" t="s">
        <v>676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660.73264519397082</v>
      </c>
      <c r="O104">
        <v>624.80273063897869</v>
      </c>
      <c r="P104">
        <v>606.25538665887143</v>
      </c>
      <c r="Q104">
        <v>592.03841662184902</v>
      </c>
      <c r="R104">
        <v>568.93914167585979</v>
      </c>
      <c r="S104">
        <v>543.32103350694933</v>
      </c>
      <c r="T104">
        <v>520.69942960221601</v>
      </c>
      <c r="U104">
        <v>502.22412001733744</v>
      </c>
      <c r="V104">
        <v>486.85438118674438</v>
      </c>
      <c r="W104">
        <v>474.52340107444593</v>
      </c>
      <c r="X104">
        <v>485.21849529627002</v>
      </c>
      <c r="Y104">
        <v>486.88916977721226</v>
      </c>
      <c r="Z104">
        <v>484.02091195548599</v>
      </c>
      <c r="AA104">
        <v>482.18891401431267</v>
      </c>
      <c r="AB104">
        <v>478.46308941391072</v>
      </c>
      <c r="AC104">
        <v>472.70587158004429</v>
      </c>
      <c r="AD104">
        <v>468.50942182245262</v>
      </c>
      <c r="AE104">
        <v>468.89020714230043</v>
      </c>
      <c r="AF104">
        <v>472.85807022413042</v>
      </c>
      <c r="AG104">
        <v>468.87391048707451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</row>
    <row r="105" spans="1:93" x14ac:dyDescent="0.25">
      <c r="A105" t="s">
        <v>677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660.73264519397082</v>
      </c>
      <c r="O105">
        <v>624.80273063897869</v>
      </c>
      <c r="P105">
        <v>606.25538665887143</v>
      </c>
      <c r="Q105">
        <v>592.03841662184902</v>
      </c>
      <c r="R105">
        <v>568.93914167585979</v>
      </c>
      <c r="S105">
        <v>543.32103350694933</v>
      </c>
      <c r="T105">
        <v>520.69942960221601</v>
      </c>
      <c r="U105">
        <v>502.22412001733744</v>
      </c>
      <c r="V105">
        <v>486.85438118674438</v>
      </c>
      <c r="W105">
        <v>474.52340107444593</v>
      </c>
      <c r="X105">
        <v>485.21849529627002</v>
      </c>
      <c r="Y105">
        <v>486.88916977721226</v>
      </c>
      <c r="Z105">
        <v>484.02091195548599</v>
      </c>
      <c r="AA105">
        <v>482.18891401431267</v>
      </c>
      <c r="AB105">
        <v>478.46308941391072</v>
      </c>
      <c r="AC105">
        <v>472.70587158004429</v>
      </c>
      <c r="AD105">
        <v>468.50942182245262</v>
      </c>
      <c r="AE105">
        <v>468.89020714230043</v>
      </c>
      <c r="AF105">
        <v>472.85807022413042</v>
      </c>
      <c r="AG105">
        <v>468.87391048707451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</row>
    <row r="106" spans="1:93" x14ac:dyDescent="0.25">
      <c r="A106" t="s">
        <v>678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719.49057142019171</v>
      </c>
      <c r="O106">
        <v>697.82585617369409</v>
      </c>
      <c r="P106">
        <v>659.54838370152299</v>
      </c>
      <c r="Q106">
        <v>628.83313820245405</v>
      </c>
      <c r="R106">
        <v>596.8580587192854</v>
      </c>
      <c r="S106">
        <v>567.04145780024339</v>
      </c>
      <c r="T106">
        <v>535.41896991602914</v>
      </c>
      <c r="U106">
        <v>506.79727119207769</v>
      </c>
      <c r="V106">
        <v>485.15511992873343</v>
      </c>
      <c r="W106">
        <v>471.30308258412038</v>
      </c>
      <c r="X106">
        <v>471.44157100835685</v>
      </c>
      <c r="Y106">
        <v>473.05998786076526</v>
      </c>
      <c r="Z106">
        <v>470.32355763523384</v>
      </c>
      <c r="AA106">
        <v>468.50742925681323</v>
      </c>
      <c r="AB106">
        <v>464.83766897877604</v>
      </c>
      <c r="AC106">
        <v>459.35154068656186</v>
      </c>
      <c r="AD106">
        <v>455.21628909427807</v>
      </c>
      <c r="AE106">
        <v>455.60754684817095</v>
      </c>
      <c r="AF106">
        <v>459.40063116923335</v>
      </c>
      <c r="AG106">
        <v>455.52578835068573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</row>
    <row r="107" spans="1:93" x14ac:dyDescent="0.25">
      <c r="A107" t="s">
        <v>679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719.49057142019171</v>
      </c>
      <c r="O107">
        <v>697.82585617369409</v>
      </c>
      <c r="P107">
        <v>659.54838370152299</v>
      </c>
      <c r="Q107">
        <v>628.83313820245405</v>
      </c>
      <c r="R107">
        <v>596.8580587192854</v>
      </c>
      <c r="S107">
        <v>567.04145780024339</v>
      </c>
      <c r="T107">
        <v>535.41896991602914</v>
      </c>
      <c r="U107">
        <v>506.79727119207769</v>
      </c>
      <c r="V107">
        <v>485.15511992873343</v>
      </c>
      <c r="W107">
        <v>471.30308258412038</v>
      </c>
      <c r="X107">
        <v>471.44157100835685</v>
      </c>
      <c r="Y107">
        <v>473.05998786076526</v>
      </c>
      <c r="Z107">
        <v>470.32355763523384</v>
      </c>
      <c r="AA107">
        <v>468.50742925681323</v>
      </c>
      <c r="AB107">
        <v>464.83766897877604</v>
      </c>
      <c r="AC107">
        <v>459.35154068656186</v>
      </c>
      <c r="AD107">
        <v>455.21628909427807</v>
      </c>
      <c r="AE107">
        <v>455.60754684817095</v>
      </c>
      <c r="AF107">
        <v>459.40063116923335</v>
      </c>
      <c r="AG107">
        <v>455.52578835068573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</row>
    <row r="108" spans="1:93" x14ac:dyDescent="0.25">
      <c r="A108" t="s">
        <v>680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719.49057142019171</v>
      </c>
      <c r="O108">
        <v>697.82585617369409</v>
      </c>
      <c r="P108">
        <v>659.54838370152299</v>
      </c>
      <c r="Q108">
        <v>628.83313820245405</v>
      </c>
      <c r="R108">
        <v>596.8580587192854</v>
      </c>
      <c r="S108">
        <v>567.04145780024339</v>
      </c>
      <c r="T108">
        <v>535.41896991602914</v>
      </c>
      <c r="U108">
        <v>506.79727119207769</v>
      </c>
      <c r="V108">
        <v>485.15511992873343</v>
      </c>
      <c r="W108">
        <v>471.30308258412038</v>
      </c>
      <c r="X108">
        <v>471.44157100835685</v>
      </c>
      <c r="Y108">
        <v>473.05998786076526</v>
      </c>
      <c r="Z108">
        <v>470.32355763523384</v>
      </c>
      <c r="AA108">
        <v>468.50742925681323</v>
      </c>
      <c r="AB108">
        <v>464.83766897877604</v>
      </c>
      <c r="AC108">
        <v>459.35154068656186</v>
      </c>
      <c r="AD108">
        <v>455.21628909427807</v>
      </c>
      <c r="AE108">
        <v>455.60754684817095</v>
      </c>
      <c r="AF108">
        <v>459.40063116923335</v>
      </c>
      <c r="AG108">
        <v>455.52578835068573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</row>
    <row r="109" spans="1:93" x14ac:dyDescent="0.25">
      <c r="A109" t="s">
        <v>681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719.49057142019171</v>
      </c>
      <c r="O109">
        <v>697.82585617369409</v>
      </c>
      <c r="P109">
        <v>659.54838370152299</v>
      </c>
      <c r="Q109">
        <v>628.83313820245405</v>
      </c>
      <c r="R109">
        <v>596.8580587192854</v>
      </c>
      <c r="S109">
        <v>567.04145780024339</v>
      </c>
      <c r="T109">
        <v>535.41896991602914</v>
      </c>
      <c r="U109">
        <v>506.79727119207769</v>
      </c>
      <c r="V109">
        <v>485.15511992873343</v>
      </c>
      <c r="W109">
        <v>471.30308258412038</v>
      </c>
      <c r="X109">
        <v>471.44157100835685</v>
      </c>
      <c r="Y109">
        <v>473.05998786076526</v>
      </c>
      <c r="Z109">
        <v>470.32355763523384</v>
      </c>
      <c r="AA109">
        <v>468.50742925681323</v>
      </c>
      <c r="AB109">
        <v>464.83766897877604</v>
      </c>
      <c r="AC109">
        <v>459.35154068656186</v>
      </c>
      <c r="AD109">
        <v>455.21628909427807</v>
      </c>
      <c r="AE109">
        <v>455.60754684817095</v>
      </c>
      <c r="AF109">
        <v>459.40063116923335</v>
      </c>
      <c r="AG109">
        <v>455.52578835068573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</row>
    <row r="110" spans="1:93" x14ac:dyDescent="0.25">
      <c r="A110" t="s">
        <v>682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719.49057142019171</v>
      </c>
      <c r="O110">
        <v>697.82585617369409</v>
      </c>
      <c r="P110">
        <v>659.54838370152299</v>
      </c>
      <c r="Q110">
        <v>628.83313820245405</v>
      </c>
      <c r="R110">
        <v>596.8580587192854</v>
      </c>
      <c r="S110">
        <v>567.04145780024339</v>
      </c>
      <c r="T110">
        <v>535.41896991602914</v>
      </c>
      <c r="U110">
        <v>506.79727119207769</v>
      </c>
      <c r="V110">
        <v>485.15511992873343</v>
      </c>
      <c r="W110">
        <v>471.30308258412038</v>
      </c>
      <c r="X110">
        <v>471.44157100835685</v>
      </c>
      <c r="Y110">
        <v>473.05998786076526</v>
      </c>
      <c r="Z110">
        <v>470.32355763523384</v>
      </c>
      <c r="AA110">
        <v>468.50742925681323</v>
      </c>
      <c r="AB110">
        <v>464.83766897877604</v>
      </c>
      <c r="AC110">
        <v>459.35154068656186</v>
      </c>
      <c r="AD110">
        <v>455.21628909427807</v>
      </c>
      <c r="AE110">
        <v>455.60754684817095</v>
      </c>
      <c r="AF110">
        <v>459.40063116923335</v>
      </c>
      <c r="AG110">
        <v>455.52578835068573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</row>
    <row r="111" spans="1:93" x14ac:dyDescent="0.25">
      <c r="A111" t="s">
        <v>683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227.22240486200636</v>
      </c>
      <c r="O111">
        <v>213.52050688266343</v>
      </c>
      <c r="P111">
        <v>233.71155721321426</v>
      </c>
      <c r="Q111">
        <v>222.0650597595984</v>
      </c>
      <c r="R111">
        <v>209.67989966589226</v>
      </c>
      <c r="S111">
        <v>198.39559768244411</v>
      </c>
      <c r="T111">
        <v>186.49347329678841</v>
      </c>
      <c r="U111">
        <v>176.01696967525419</v>
      </c>
      <c r="V111">
        <v>167.68181847920141</v>
      </c>
      <c r="W111">
        <v>161.9630770134336</v>
      </c>
      <c r="X111">
        <v>161.5005922305655</v>
      </c>
      <c r="Y111">
        <v>162.19017501086455</v>
      </c>
      <c r="Z111">
        <v>160.99561640064152</v>
      </c>
      <c r="AA111">
        <v>160.4912846117831</v>
      </c>
      <c r="AB111">
        <v>159.22546744060429</v>
      </c>
      <c r="AC111">
        <v>157.25660678306426</v>
      </c>
      <c r="AD111">
        <v>155.98926414435417</v>
      </c>
      <c r="AE111">
        <v>156.19424605133679</v>
      </c>
      <c r="AF111">
        <v>157.36273128266404</v>
      </c>
      <c r="AG111">
        <v>156.06089862567327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</row>
    <row r="112" spans="1:93" x14ac:dyDescent="0.25">
      <c r="A112" t="s">
        <v>684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284.14561601791274</v>
      </c>
      <c r="O112">
        <v>272.26454100076273</v>
      </c>
      <c r="P112">
        <v>265.26754806056812</v>
      </c>
      <c r="Q112">
        <v>262.18265267237257</v>
      </c>
      <c r="R112">
        <v>250.51499612097143</v>
      </c>
      <c r="S112">
        <v>238.17143658404319</v>
      </c>
      <c r="T112">
        <v>225.56173017966455</v>
      </c>
      <c r="U112">
        <v>214.40073253278626</v>
      </c>
      <c r="V112">
        <v>205.83504295152449</v>
      </c>
      <c r="W112">
        <v>199.84917689961691</v>
      </c>
      <c r="X112">
        <v>200.99975088261704</v>
      </c>
      <c r="Y112">
        <v>201.70212334357024</v>
      </c>
      <c r="Z112">
        <v>200.55514533176091</v>
      </c>
      <c r="AA112">
        <v>199.79311074443754</v>
      </c>
      <c r="AB112">
        <v>198.14025559637778</v>
      </c>
      <c r="AC112">
        <v>195.84271863261239</v>
      </c>
      <c r="AD112">
        <v>194.05807265577394</v>
      </c>
      <c r="AE112">
        <v>194.21791093653752</v>
      </c>
      <c r="AF112">
        <v>195.85655008957792</v>
      </c>
      <c r="AG112">
        <v>194.25690596647124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</row>
    <row r="113" spans="1:93" x14ac:dyDescent="0.25">
      <c r="A113" t="s">
        <v>685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284.14561601791274</v>
      </c>
      <c r="O113">
        <v>272.26454100076273</v>
      </c>
      <c r="P113">
        <v>265.26754806056812</v>
      </c>
      <c r="Q113">
        <v>262.18265267237257</v>
      </c>
      <c r="R113">
        <v>250.51499612097143</v>
      </c>
      <c r="S113">
        <v>238.17143658404319</v>
      </c>
      <c r="T113">
        <v>225.56173017966455</v>
      </c>
      <c r="U113">
        <v>214.40073253278626</v>
      </c>
      <c r="V113">
        <v>205.83504295152449</v>
      </c>
      <c r="W113">
        <v>199.84917689961691</v>
      </c>
      <c r="X113">
        <v>200.99975088261704</v>
      </c>
      <c r="Y113">
        <v>201.70212334357024</v>
      </c>
      <c r="Z113">
        <v>200.55514533176091</v>
      </c>
      <c r="AA113">
        <v>199.79311074443754</v>
      </c>
      <c r="AB113">
        <v>198.14025559637778</v>
      </c>
      <c r="AC113">
        <v>195.84271863261239</v>
      </c>
      <c r="AD113">
        <v>194.05807265577394</v>
      </c>
      <c r="AE113">
        <v>194.21791093653752</v>
      </c>
      <c r="AF113">
        <v>195.85655008957792</v>
      </c>
      <c r="AG113">
        <v>194.25690596647124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</row>
    <row r="114" spans="1:93" x14ac:dyDescent="0.25">
      <c r="A114" t="s">
        <v>686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284.14561601791274</v>
      </c>
      <c r="O114">
        <v>272.26454100076273</v>
      </c>
      <c r="P114">
        <v>265.26754806056812</v>
      </c>
      <c r="Q114">
        <v>262.18265267237257</v>
      </c>
      <c r="R114">
        <v>250.51499612097143</v>
      </c>
      <c r="S114">
        <v>238.17143658404319</v>
      </c>
      <c r="T114">
        <v>225.56173017966455</v>
      </c>
      <c r="U114">
        <v>214.40073253278626</v>
      </c>
      <c r="V114">
        <v>205.83504295152449</v>
      </c>
      <c r="W114">
        <v>199.84917689961691</v>
      </c>
      <c r="X114">
        <v>200.99975088261704</v>
      </c>
      <c r="Y114">
        <v>201.70212334357024</v>
      </c>
      <c r="Z114">
        <v>200.55514533176091</v>
      </c>
      <c r="AA114">
        <v>199.79311074443754</v>
      </c>
      <c r="AB114">
        <v>198.14025559637778</v>
      </c>
      <c r="AC114">
        <v>195.84271863261239</v>
      </c>
      <c r="AD114">
        <v>194.05807265577394</v>
      </c>
      <c r="AE114">
        <v>194.21791093653752</v>
      </c>
      <c r="AF114">
        <v>195.85655008957792</v>
      </c>
      <c r="AG114">
        <v>194.25690596647124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</row>
    <row r="115" spans="1:93" x14ac:dyDescent="0.25">
      <c r="A115" t="s">
        <v>687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304.6097456483418</v>
      </c>
      <c r="O115">
        <v>287.87536115053473</v>
      </c>
      <c r="P115">
        <v>285.90572957457408</v>
      </c>
      <c r="Q115">
        <v>287.30680176926143</v>
      </c>
      <c r="R115">
        <v>285.52565091866467</v>
      </c>
      <c r="S115">
        <v>280.18391080381735</v>
      </c>
      <c r="T115">
        <v>264.91725365726779</v>
      </c>
      <c r="U115">
        <v>251.52331461071373</v>
      </c>
      <c r="V115">
        <v>240.94242177269572</v>
      </c>
      <c r="W115">
        <v>233.4730905486046</v>
      </c>
      <c r="X115">
        <v>234.60588989706412</v>
      </c>
      <c r="Y115">
        <v>235.47846627314124</v>
      </c>
      <c r="Z115">
        <v>234.17544203729676</v>
      </c>
      <c r="AA115">
        <v>233.26852060405702</v>
      </c>
      <c r="AB115">
        <v>231.4433424951867</v>
      </c>
      <c r="AC115">
        <v>228.70851740473432</v>
      </c>
      <c r="AD115">
        <v>226.55583601918104</v>
      </c>
      <c r="AE115">
        <v>226.7583788638994</v>
      </c>
      <c r="AF115">
        <v>228.65328371306862</v>
      </c>
      <c r="AG115">
        <v>226.71839209792694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</row>
    <row r="116" spans="1:93" x14ac:dyDescent="0.25">
      <c r="A116" t="s">
        <v>688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304.6097456483418</v>
      </c>
      <c r="O116">
        <v>287.87536115053473</v>
      </c>
      <c r="P116">
        <v>285.90572957457408</v>
      </c>
      <c r="Q116">
        <v>287.30680176926143</v>
      </c>
      <c r="R116">
        <v>285.52565091866467</v>
      </c>
      <c r="S116">
        <v>280.18391080381735</v>
      </c>
      <c r="T116">
        <v>264.91725365726779</v>
      </c>
      <c r="U116">
        <v>251.52331461071373</v>
      </c>
      <c r="V116">
        <v>240.94242177269572</v>
      </c>
      <c r="W116">
        <v>233.4730905486046</v>
      </c>
      <c r="X116">
        <v>234.60588989706412</v>
      </c>
      <c r="Y116">
        <v>235.47846627314124</v>
      </c>
      <c r="Z116">
        <v>234.17544203729676</v>
      </c>
      <c r="AA116">
        <v>233.26852060405702</v>
      </c>
      <c r="AB116">
        <v>231.4433424951867</v>
      </c>
      <c r="AC116">
        <v>228.70851740473432</v>
      </c>
      <c r="AD116">
        <v>226.55583601918104</v>
      </c>
      <c r="AE116">
        <v>226.7583788638994</v>
      </c>
      <c r="AF116">
        <v>228.65328371306862</v>
      </c>
      <c r="AG116">
        <v>226.71839209792694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</row>
    <row r="117" spans="1:93" x14ac:dyDescent="0.25">
      <c r="A117" t="s">
        <v>689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90.724308028235882</v>
      </c>
      <c r="O117">
        <v>183.6453923021993</v>
      </c>
      <c r="P117">
        <v>274.7167359448818</v>
      </c>
      <c r="Q117">
        <v>362.27402084868794</v>
      </c>
      <c r="R117">
        <v>443.88965938885207</v>
      </c>
      <c r="S117">
        <v>529.35717516915395</v>
      </c>
      <c r="T117">
        <v>622.68481606220655</v>
      </c>
      <c r="U117">
        <v>708.87133245290215</v>
      </c>
      <c r="V117">
        <v>798.06766828482989</v>
      </c>
      <c r="W117">
        <v>876.74749486609198</v>
      </c>
      <c r="X117">
        <v>885.30674744930786</v>
      </c>
      <c r="Y117">
        <v>888.30188681048651</v>
      </c>
      <c r="Z117">
        <v>883.16913483019903</v>
      </c>
      <c r="AA117">
        <v>879.76237351795749</v>
      </c>
      <c r="AB117">
        <v>872.90799739177123</v>
      </c>
      <c r="AC117">
        <v>862.49320496048676</v>
      </c>
      <c r="AD117">
        <v>854.84592771171879</v>
      </c>
      <c r="AE117">
        <v>855.45559266994451</v>
      </c>
      <c r="AF117">
        <v>862.72346710055456</v>
      </c>
      <c r="AG117">
        <v>855.41648075430567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</row>
    <row r="118" spans="1:93" x14ac:dyDescent="0.25">
      <c r="A118" t="s">
        <v>690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90.724308028235882</v>
      </c>
      <c r="O118">
        <v>183.6453923021993</v>
      </c>
      <c r="P118">
        <v>274.7167359448818</v>
      </c>
      <c r="Q118">
        <v>362.27402084868794</v>
      </c>
      <c r="R118">
        <v>443.88965938885207</v>
      </c>
      <c r="S118">
        <v>529.35717516915395</v>
      </c>
      <c r="T118">
        <v>622.68481606220655</v>
      </c>
      <c r="U118">
        <v>708.87133245290215</v>
      </c>
      <c r="V118">
        <v>798.06766828482989</v>
      </c>
      <c r="W118">
        <v>876.74749486609198</v>
      </c>
      <c r="X118">
        <v>885.30674744930786</v>
      </c>
      <c r="Y118">
        <v>888.30188681048651</v>
      </c>
      <c r="Z118">
        <v>883.16913483019903</v>
      </c>
      <c r="AA118">
        <v>879.76237351795749</v>
      </c>
      <c r="AB118">
        <v>872.90799739177123</v>
      </c>
      <c r="AC118">
        <v>862.49320496048676</v>
      </c>
      <c r="AD118">
        <v>854.84592771171879</v>
      </c>
      <c r="AE118">
        <v>855.45559266994451</v>
      </c>
      <c r="AF118">
        <v>862.72346710055456</v>
      </c>
      <c r="AG118">
        <v>855.41648075430567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</row>
    <row r="119" spans="1:93" x14ac:dyDescent="0.25">
      <c r="A119" t="s">
        <v>691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90.724308028235882</v>
      </c>
      <c r="O119">
        <v>183.6453923021993</v>
      </c>
      <c r="P119">
        <v>274.7167359448818</v>
      </c>
      <c r="Q119">
        <v>362.27402084868794</v>
      </c>
      <c r="R119">
        <v>443.88965938885207</v>
      </c>
      <c r="S119">
        <v>529.35717516915395</v>
      </c>
      <c r="T119">
        <v>622.68481606220655</v>
      </c>
      <c r="U119">
        <v>708.87133245290215</v>
      </c>
      <c r="V119">
        <v>798.06766828482989</v>
      </c>
      <c r="W119">
        <v>876.74749486609198</v>
      </c>
      <c r="X119">
        <v>885.30674744930786</v>
      </c>
      <c r="Y119">
        <v>888.30188681048651</v>
      </c>
      <c r="Z119">
        <v>883.16913483019903</v>
      </c>
      <c r="AA119">
        <v>879.76237351795749</v>
      </c>
      <c r="AB119">
        <v>872.90799739177123</v>
      </c>
      <c r="AC119">
        <v>862.49320496048676</v>
      </c>
      <c r="AD119">
        <v>854.84592771171879</v>
      </c>
      <c r="AE119">
        <v>855.45559266994451</v>
      </c>
      <c r="AF119">
        <v>862.72346710055456</v>
      </c>
      <c r="AG119">
        <v>855.41648075430567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</row>
    <row r="120" spans="1:93" x14ac:dyDescent="0.25">
      <c r="A120" t="s">
        <v>692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90.724308028235882</v>
      </c>
      <c r="O120">
        <v>183.6453923021993</v>
      </c>
      <c r="P120">
        <v>274.7167359448818</v>
      </c>
      <c r="Q120">
        <v>362.27402084868794</v>
      </c>
      <c r="R120">
        <v>443.88965938885207</v>
      </c>
      <c r="S120">
        <v>529.35717516915395</v>
      </c>
      <c r="T120">
        <v>622.68481606220655</v>
      </c>
      <c r="U120">
        <v>708.87133245290215</v>
      </c>
      <c r="V120">
        <v>798.06766828482989</v>
      </c>
      <c r="W120">
        <v>876.74749486609198</v>
      </c>
      <c r="X120">
        <v>885.30674744930786</v>
      </c>
      <c r="Y120">
        <v>888.30188681048651</v>
      </c>
      <c r="Z120">
        <v>883.16913483019903</v>
      </c>
      <c r="AA120">
        <v>879.76237351795749</v>
      </c>
      <c r="AB120">
        <v>872.90799739177123</v>
      </c>
      <c r="AC120">
        <v>862.49320496048676</v>
      </c>
      <c r="AD120">
        <v>854.84592771171879</v>
      </c>
      <c r="AE120">
        <v>855.45559266994451</v>
      </c>
      <c r="AF120">
        <v>862.72346710055456</v>
      </c>
      <c r="AG120">
        <v>855.41648075430567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</row>
    <row r="121" spans="1:93" x14ac:dyDescent="0.25">
      <c r="A121" t="s">
        <v>693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26.971879666159484</v>
      </c>
      <c r="O121">
        <v>52.766051804821743</v>
      </c>
      <c r="P121">
        <v>89.173849135602552</v>
      </c>
      <c r="Q121">
        <v>126.75538447591676</v>
      </c>
      <c r="R121">
        <v>160.58817712506831</v>
      </c>
      <c r="S121">
        <v>194.91370053847436</v>
      </c>
      <c r="T121">
        <v>227.63004966169916</v>
      </c>
      <c r="U121">
        <v>257.58794914220374</v>
      </c>
      <c r="V121">
        <v>286.05299894291289</v>
      </c>
      <c r="W121">
        <v>312.24460656196067</v>
      </c>
      <c r="X121">
        <v>315.99326921641216</v>
      </c>
      <c r="Y121">
        <v>317.15773581037428</v>
      </c>
      <c r="Z121">
        <v>315.30959654750143</v>
      </c>
      <c r="AA121">
        <v>314.09680453725201</v>
      </c>
      <c r="AB121">
        <v>311.63298008302718</v>
      </c>
      <c r="AC121">
        <v>307.96085495016746</v>
      </c>
      <c r="AD121">
        <v>305.16947310780398</v>
      </c>
      <c r="AE121">
        <v>305.41919503476618</v>
      </c>
      <c r="AF121">
        <v>307.95055045531126</v>
      </c>
      <c r="AG121">
        <v>305.36325439747878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</row>
    <row r="122" spans="1:93" x14ac:dyDescent="0.25">
      <c r="A122" t="s">
        <v>694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26.971879666159484</v>
      </c>
      <c r="O122">
        <v>52.766051804821743</v>
      </c>
      <c r="P122">
        <v>89.173849135602552</v>
      </c>
      <c r="Q122">
        <v>126.75538447591676</v>
      </c>
      <c r="R122">
        <v>160.58817712506831</v>
      </c>
      <c r="S122">
        <v>194.91370053847436</v>
      </c>
      <c r="T122">
        <v>227.63004966169916</v>
      </c>
      <c r="U122">
        <v>257.58794914220374</v>
      </c>
      <c r="V122">
        <v>286.05299894291289</v>
      </c>
      <c r="W122">
        <v>312.24460656196067</v>
      </c>
      <c r="X122">
        <v>315.99326921641216</v>
      </c>
      <c r="Y122">
        <v>317.15773581037428</v>
      </c>
      <c r="Z122">
        <v>315.30959654750143</v>
      </c>
      <c r="AA122">
        <v>314.09680453725201</v>
      </c>
      <c r="AB122">
        <v>311.63298008302718</v>
      </c>
      <c r="AC122">
        <v>307.96085495016746</v>
      </c>
      <c r="AD122">
        <v>305.16947310780398</v>
      </c>
      <c r="AE122">
        <v>305.41919503476618</v>
      </c>
      <c r="AF122">
        <v>307.95055045531126</v>
      </c>
      <c r="AG122">
        <v>305.36325439747878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</row>
    <row r="123" spans="1:93" x14ac:dyDescent="0.25">
      <c r="A123" t="s">
        <v>695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26.971879666159484</v>
      </c>
      <c r="O123">
        <v>52.766051804821743</v>
      </c>
      <c r="P123">
        <v>89.173849135602552</v>
      </c>
      <c r="Q123">
        <v>126.75538447591676</v>
      </c>
      <c r="R123">
        <v>160.58817712506831</v>
      </c>
      <c r="S123">
        <v>194.91370053847436</v>
      </c>
      <c r="T123">
        <v>227.63004966169916</v>
      </c>
      <c r="U123">
        <v>257.58794914220374</v>
      </c>
      <c r="V123">
        <v>286.05299894291289</v>
      </c>
      <c r="W123">
        <v>312.24460656196067</v>
      </c>
      <c r="X123">
        <v>315.99326921641216</v>
      </c>
      <c r="Y123">
        <v>317.15773581037428</v>
      </c>
      <c r="Z123">
        <v>315.30959654750143</v>
      </c>
      <c r="AA123">
        <v>314.09680453725201</v>
      </c>
      <c r="AB123">
        <v>311.63298008302718</v>
      </c>
      <c r="AC123">
        <v>307.96085495016746</v>
      </c>
      <c r="AD123">
        <v>305.16947310780398</v>
      </c>
      <c r="AE123">
        <v>305.41919503476618</v>
      </c>
      <c r="AF123">
        <v>307.95055045531126</v>
      </c>
      <c r="AG123">
        <v>305.36325439747878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</row>
    <row r="124" spans="1:93" x14ac:dyDescent="0.25">
      <c r="A124" t="s">
        <v>696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21.287399213262496</v>
      </c>
      <c r="O124">
        <v>39.655922276198062</v>
      </c>
      <c r="P124">
        <v>60.202913788467228</v>
      </c>
      <c r="Q124">
        <v>82.774615949319895</v>
      </c>
      <c r="R124">
        <v>106.21605418057027</v>
      </c>
      <c r="S124">
        <v>130.09963599395374</v>
      </c>
      <c r="T124">
        <v>153.95191344611035</v>
      </c>
      <c r="U124">
        <v>177.88132387119146</v>
      </c>
      <c r="V124">
        <v>203.3342433642629</v>
      </c>
      <c r="W124">
        <v>231.36830722159439</v>
      </c>
      <c r="X124">
        <v>242.99415208392446</v>
      </c>
      <c r="Y124">
        <v>243.81633709066114</v>
      </c>
      <c r="Z124">
        <v>242.3949152066312</v>
      </c>
      <c r="AA124">
        <v>241.47847080696999</v>
      </c>
      <c r="AB124">
        <v>239.57244244686444</v>
      </c>
      <c r="AC124">
        <v>236.71695571313109</v>
      </c>
      <c r="AD124">
        <v>234.6029012329771</v>
      </c>
      <c r="AE124">
        <v>234.80381739082191</v>
      </c>
      <c r="AF124">
        <v>236.76264820839179</v>
      </c>
      <c r="AG124">
        <v>234.75696200745145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</row>
    <row r="125" spans="1:93" x14ac:dyDescent="0.25">
      <c r="A125" t="s">
        <v>697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21.287399213262496</v>
      </c>
      <c r="O125">
        <v>39.655922276198062</v>
      </c>
      <c r="P125">
        <v>60.202913788467228</v>
      </c>
      <c r="Q125">
        <v>82.774615949319895</v>
      </c>
      <c r="R125">
        <v>106.21605418057027</v>
      </c>
      <c r="S125">
        <v>130.09963599395374</v>
      </c>
      <c r="T125">
        <v>153.95191344611035</v>
      </c>
      <c r="U125">
        <v>177.88132387119146</v>
      </c>
      <c r="V125">
        <v>203.3342433642629</v>
      </c>
      <c r="W125">
        <v>231.36830722159439</v>
      </c>
      <c r="X125">
        <v>242.99415208392446</v>
      </c>
      <c r="Y125">
        <v>243.81633709066114</v>
      </c>
      <c r="Z125">
        <v>242.3949152066312</v>
      </c>
      <c r="AA125">
        <v>241.47847080696999</v>
      </c>
      <c r="AB125">
        <v>239.57244244686444</v>
      </c>
      <c r="AC125">
        <v>236.71695571313109</v>
      </c>
      <c r="AD125">
        <v>234.6029012329771</v>
      </c>
      <c r="AE125">
        <v>234.80381739082191</v>
      </c>
      <c r="AF125">
        <v>236.76264820839179</v>
      </c>
      <c r="AG125">
        <v>234.75696200745145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</row>
    <row r="126" spans="1:93" x14ac:dyDescent="0.25">
      <c r="A126" t="s">
        <v>698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21.287399213262496</v>
      </c>
      <c r="O126">
        <v>39.655922276198062</v>
      </c>
      <c r="P126">
        <v>60.202913788467228</v>
      </c>
      <c r="Q126">
        <v>82.774615949319895</v>
      </c>
      <c r="R126">
        <v>106.21605418057027</v>
      </c>
      <c r="S126">
        <v>130.09963599395374</v>
      </c>
      <c r="T126">
        <v>153.95191344611035</v>
      </c>
      <c r="U126">
        <v>177.88132387119146</v>
      </c>
      <c r="V126">
        <v>203.3342433642629</v>
      </c>
      <c r="W126">
        <v>231.36830722159439</v>
      </c>
      <c r="X126">
        <v>242.99415208392446</v>
      </c>
      <c r="Y126">
        <v>243.81633709066114</v>
      </c>
      <c r="Z126">
        <v>242.3949152066312</v>
      </c>
      <c r="AA126">
        <v>241.47847080696999</v>
      </c>
      <c r="AB126">
        <v>239.57244244686444</v>
      </c>
      <c r="AC126">
        <v>236.71695571313109</v>
      </c>
      <c r="AD126">
        <v>234.6029012329771</v>
      </c>
      <c r="AE126">
        <v>234.80381739082191</v>
      </c>
      <c r="AF126">
        <v>236.76264820839179</v>
      </c>
      <c r="AG126">
        <v>234.75696200745145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</row>
    <row r="127" spans="1:93" x14ac:dyDescent="0.25">
      <c r="A127" t="s">
        <v>699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21.287399213262496</v>
      </c>
      <c r="O127">
        <v>39.655922276198062</v>
      </c>
      <c r="P127">
        <v>60.202913788467228</v>
      </c>
      <c r="Q127">
        <v>82.774615949319895</v>
      </c>
      <c r="R127">
        <v>106.21605418057027</v>
      </c>
      <c r="S127">
        <v>130.09963599395374</v>
      </c>
      <c r="T127">
        <v>153.95191344611035</v>
      </c>
      <c r="U127">
        <v>177.88132387119146</v>
      </c>
      <c r="V127">
        <v>203.3342433642629</v>
      </c>
      <c r="W127">
        <v>231.36830722159439</v>
      </c>
      <c r="X127">
        <v>242.99415208392446</v>
      </c>
      <c r="Y127">
        <v>243.81633709066114</v>
      </c>
      <c r="Z127">
        <v>242.3949152066312</v>
      </c>
      <c r="AA127">
        <v>241.47847080696999</v>
      </c>
      <c r="AB127">
        <v>239.57244244686444</v>
      </c>
      <c r="AC127">
        <v>236.71695571313109</v>
      </c>
      <c r="AD127">
        <v>234.6029012329771</v>
      </c>
      <c r="AE127">
        <v>234.80381739082191</v>
      </c>
      <c r="AF127">
        <v>236.76264820839179</v>
      </c>
      <c r="AG127">
        <v>234.75696200745145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</row>
    <row r="128" spans="1:93" x14ac:dyDescent="0.25">
      <c r="A128" t="s">
        <v>700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21.287399213262496</v>
      </c>
      <c r="O128">
        <v>39.655922276198062</v>
      </c>
      <c r="P128">
        <v>60.202913788467228</v>
      </c>
      <c r="Q128">
        <v>82.774615949319895</v>
      </c>
      <c r="R128">
        <v>106.21605418057027</v>
      </c>
      <c r="S128">
        <v>130.09963599395374</v>
      </c>
      <c r="T128">
        <v>153.95191344611035</v>
      </c>
      <c r="U128">
        <v>177.88132387119146</v>
      </c>
      <c r="V128">
        <v>203.3342433642629</v>
      </c>
      <c r="W128">
        <v>231.36830722159439</v>
      </c>
      <c r="X128">
        <v>242.99415208392446</v>
      </c>
      <c r="Y128">
        <v>243.81633709066114</v>
      </c>
      <c r="Z128">
        <v>242.3949152066312</v>
      </c>
      <c r="AA128">
        <v>241.47847080696999</v>
      </c>
      <c r="AB128">
        <v>239.57244244686444</v>
      </c>
      <c r="AC128">
        <v>236.71695571313109</v>
      </c>
      <c r="AD128">
        <v>234.6029012329771</v>
      </c>
      <c r="AE128">
        <v>234.80381739082191</v>
      </c>
      <c r="AF128">
        <v>236.76264820839179</v>
      </c>
      <c r="AG128">
        <v>234.75696200745145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</row>
    <row r="129" spans="1:93" x14ac:dyDescent="0.25">
      <c r="A129" t="s">
        <v>701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21.287399213262496</v>
      </c>
      <c r="O129">
        <v>39.655922276198062</v>
      </c>
      <c r="P129">
        <v>60.202913788467228</v>
      </c>
      <c r="Q129">
        <v>82.774615949319895</v>
      </c>
      <c r="R129">
        <v>106.21605418057027</v>
      </c>
      <c r="S129">
        <v>130.09963599395374</v>
      </c>
      <c r="T129">
        <v>153.95191344611035</v>
      </c>
      <c r="U129">
        <v>177.88132387119146</v>
      </c>
      <c r="V129">
        <v>203.3342433642629</v>
      </c>
      <c r="W129">
        <v>231.36830722159439</v>
      </c>
      <c r="X129">
        <v>242.99415208392446</v>
      </c>
      <c r="Y129">
        <v>243.81633709066114</v>
      </c>
      <c r="Z129">
        <v>242.3949152066312</v>
      </c>
      <c r="AA129">
        <v>241.47847080696999</v>
      </c>
      <c r="AB129">
        <v>239.57244244686444</v>
      </c>
      <c r="AC129">
        <v>236.71695571313109</v>
      </c>
      <c r="AD129">
        <v>234.6029012329771</v>
      </c>
      <c r="AE129">
        <v>234.80381739082191</v>
      </c>
      <c r="AF129">
        <v>236.76264820839179</v>
      </c>
      <c r="AG129">
        <v>234.75696200745145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</row>
    <row r="130" spans="1:93" x14ac:dyDescent="0.25">
      <c r="A130" t="s">
        <v>702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59.11075604743499</v>
      </c>
      <c r="O130">
        <v>120.25510460397822</v>
      </c>
      <c r="P130">
        <v>187.26508318476539</v>
      </c>
      <c r="Q130">
        <v>288.19830383398977</v>
      </c>
      <c r="R130">
        <v>415.8075299693129</v>
      </c>
      <c r="S130">
        <v>557.10354303516306</v>
      </c>
      <c r="T130">
        <v>702.4357680903247</v>
      </c>
      <c r="U130">
        <v>852.2511369098662</v>
      </c>
      <c r="V130">
        <v>993.49072833939056</v>
      </c>
      <c r="W130">
        <v>1112.588466657583</v>
      </c>
      <c r="X130">
        <v>1126.2038339865173</v>
      </c>
      <c r="Y130">
        <v>1130.073586789845</v>
      </c>
      <c r="Z130">
        <v>1123.4694101001289</v>
      </c>
      <c r="AA130">
        <v>1119.1486312087013</v>
      </c>
      <c r="AB130">
        <v>1110.4874992053212</v>
      </c>
      <c r="AC130">
        <v>1097.2080510965188</v>
      </c>
      <c r="AD130">
        <v>1087.4370626412469</v>
      </c>
      <c r="AE130">
        <v>1088.286484052572</v>
      </c>
      <c r="AF130">
        <v>1097.3817865475016</v>
      </c>
      <c r="AG130">
        <v>1088.2790027193851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</row>
    <row r="131" spans="1:93" x14ac:dyDescent="0.25">
      <c r="A131" t="s">
        <v>703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59.11075604743499</v>
      </c>
      <c r="O131">
        <v>120.25510460397822</v>
      </c>
      <c r="P131">
        <v>187.26508318476539</v>
      </c>
      <c r="Q131">
        <v>288.19830383398977</v>
      </c>
      <c r="R131">
        <v>415.8075299693129</v>
      </c>
      <c r="S131">
        <v>557.10354303516306</v>
      </c>
      <c r="T131">
        <v>702.4357680903247</v>
      </c>
      <c r="U131">
        <v>852.2511369098662</v>
      </c>
      <c r="V131">
        <v>993.49072833939056</v>
      </c>
      <c r="W131">
        <v>1112.588466657583</v>
      </c>
      <c r="X131">
        <v>1126.2038339865173</v>
      </c>
      <c r="Y131">
        <v>1130.073586789845</v>
      </c>
      <c r="Z131">
        <v>1123.4694101001289</v>
      </c>
      <c r="AA131">
        <v>1119.1486312087013</v>
      </c>
      <c r="AB131">
        <v>1110.4874992053212</v>
      </c>
      <c r="AC131">
        <v>1097.2080510965188</v>
      </c>
      <c r="AD131">
        <v>1087.4370626412469</v>
      </c>
      <c r="AE131">
        <v>1088.286484052572</v>
      </c>
      <c r="AF131">
        <v>1097.3817865475016</v>
      </c>
      <c r="AG131">
        <v>1088.2790027193851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</row>
    <row r="132" spans="1:93" x14ac:dyDescent="0.25">
      <c r="A132" t="s">
        <v>704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94.770089978159803</v>
      </c>
      <c r="O132">
        <v>205.17500682155307</v>
      </c>
      <c r="P132">
        <v>297.37999499652483</v>
      </c>
      <c r="Q132">
        <v>392.74718233394668</v>
      </c>
      <c r="R132">
        <v>488.29302641974732</v>
      </c>
      <c r="S132">
        <v>579.62706518521748</v>
      </c>
      <c r="T132">
        <v>655.50215184382262</v>
      </c>
      <c r="U132">
        <v>709.85834349781021</v>
      </c>
      <c r="V132">
        <v>759.76215152994939</v>
      </c>
      <c r="W132">
        <v>814.70900630246672</v>
      </c>
      <c r="X132">
        <v>807.34369035181112</v>
      </c>
      <c r="Y132">
        <v>809.99494082046681</v>
      </c>
      <c r="Z132">
        <v>805.29625515814962</v>
      </c>
      <c r="AA132">
        <v>802.29752079692366</v>
      </c>
      <c r="AB132">
        <v>795.9699997846019</v>
      </c>
      <c r="AC132">
        <v>786.59505099227181</v>
      </c>
      <c r="AD132">
        <v>779.48206695943657</v>
      </c>
      <c r="AE132">
        <v>780.04882329181385</v>
      </c>
      <c r="AF132">
        <v>786.65968113809254</v>
      </c>
      <c r="AG132">
        <v>779.99728663500878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</row>
    <row r="133" spans="1:93" x14ac:dyDescent="0.25">
      <c r="A133" t="s">
        <v>705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94.770089978159803</v>
      </c>
      <c r="O133">
        <v>205.17500682155307</v>
      </c>
      <c r="P133">
        <v>297.37999499652483</v>
      </c>
      <c r="Q133">
        <v>392.74718233394668</v>
      </c>
      <c r="R133">
        <v>488.29302641974732</v>
      </c>
      <c r="S133">
        <v>579.62706518521748</v>
      </c>
      <c r="T133">
        <v>655.50215184382262</v>
      </c>
      <c r="U133">
        <v>709.85834349781021</v>
      </c>
      <c r="V133">
        <v>759.76215152994939</v>
      </c>
      <c r="W133">
        <v>814.70900630246672</v>
      </c>
      <c r="X133">
        <v>807.34369035181112</v>
      </c>
      <c r="Y133">
        <v>809.99494082046681</v>
      </c>
      <c r="Z133">
        <v>805.29625515814962</v>
      </c>
      <c r="AA133">
        <v>802.29752079692366</v>
      </c>
      <c r="AB133">
        <v>795.9699997846019</v>
      </c>
      <c r="AC133">
        <v>786.59505099227181</v>
      </c>
      <c r="AD133">
        <v>779.48206695943657</v>
      </c>
      <c r="AE133">
        <v>780.04882329181385</v>
      </c>
      <c r="AF133">
        <v>786.65968113809254</v>
      </c>
      <c r="AG133">
        <v>779.99728663500878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</row>
    <row r="134" spans="1:93" x14ac:dyDescent="0.25">
      <c r="A134" t="s">
        <v>706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33.63121584730041</v>
      </c>
      <c r="O134">
        <v>67.612361015189421</v>
      </c>
      <c r="P134">
        <v>98.725171365292681</v>
      </c>
      <c r="Q134">
        <v>129.60098702595866</v>
      </c>
      <c r="R134">
        <v>159.15873539962925</v>
      </c>
      <c r="S134">
        <v>187.03107228198721</v>
      </c>
      <c r="T134">
        <v>211.38225106393833</v>
      </c>
      <c r="U134">
        <v>233.78270497760863</v>
      </c>
      <c r="V134">
        <v>256.74875762551517</v>
      </c>
      <c r="W134">
        <v>281.16397276644364</v>
      </c>
      <c r="X134">
        <v>285.37788190993854</v>
      </c>
      <c r="Y134">
        <v>286.3554104972435</v>
      </c>
      <c r="Z134">
        <v>284.69426852752878</v>
      </c>
      <c r="AA134">
        <v>283.58757023481405</v>
      </c>
      <c r="AB134">
        <v>281.38923187570998</v>
      </c>
      <c r="AC134">
        <v>278.04188412702274</v>
      </c>
      <c r="AD134">
        <v>275.56039982114419</v>
      </c>
      <c r="AE134">
        <v>275.76551927523849</v>
      </c>
      <c r="AF134">
        <v>278.11356378897437</v>
      </c>
      <c r="AG134">
        <v>275.76902887069434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</row>
    <row r="135" spans="1:93" x14ac:dyDescent="0.25">
      <c r="A135" t="s">
        <v>707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33.63121584730041</v>
      </c>
      <c r="O135">
        <v>67.612361015189421</v>
      </c>
      <c r="P135">
        <v>98.725171365292681</v>
      </c>
      <c r="Q135">
        <v>129.60098702595866</v>
      </c>
      <c r="R135">
        <v>159.15873539962925</v>
      </c>
      <c r="S135">
        <v>187.03107228198721</v>
      </c>
      <c r="T135">
        <v>211.38225106393833</v>
      </c>
      <c r="U135">
        <v>233.78270497760863</v>
      </c>
      <c r="V135">
        <v>256.74875762551517</v>
      </c>
      <c r="W135">
        <v>281.16397276644364</v>
      </c>
      <c r="X135">
        <v>285.37788190993854</v>
      </c>
      <c r="Y135">
        <v>286.3554104972435</v>
      </c>
      <c r="Z135">
        <v>284.69426852752878</v>
      </c>
      <c r="AA135">
        <v>283.58757023481405</v>
      </c>
      <c r="AB135">
        <v>281.38923187570998</v>
      </c>
      <c r="AC135">
        <v>278.04188412702274</v>
      </c>
      <c r="AD135">
        <v>275.56039982114419</v>
      </c>
      <c r="AE135">
        <v>275.76551927523849</v>
      </c>
      <c r="AF135">
        <v>278.11356378897437</v>
      </c>
      <c r="AG135">
        <v>275.76902887069434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</row>
    <row r="136" spans="1:93" x14ac:dyDescent="0.25">
      <c r="A136" t="s">
        <v>708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33.63121584730041</v>
      </c>
      <c r="O136">
        <v>67.612361015189421</v>
      </c>
      <c r="P136">
        <v>98.725171365292681</v>
      </c>
      <c r="Q136">
        <v>129.60098702595866</v>
      </c>
      <c r="R136">
        <v>159.15873539962925</v>
      </c>
      <c r="S136">
        <v>187.03107228198721</v>
      </c>
      <c r="T136">
        <v>211.38225106393833</v>
      </c>
      <c r="U136">
        <v>233.78270497760863</v>
      </c>
      <c r="V136">
        <v>256.74875762551517</v>
      </c>
      <c r="W136">
        <v>281.16397276644364</v>
      </c>
      <c r="X136">
        <v>285.37788190993854</v>
      </c>
      <c r="Y136">
        <v>286.3554104972435</v>
      </c>
      <c r="Z136">
        <v>284.69426852752878</v>
      </c>
      <c r="AA136">
        <v>283.58757023481405</v>
      </c>
      <c r="AB136">
        <v>281.38923187570998</v>
      </c>
      <c r="AC136">
        <v>278.04188412702274</v>
      </c>
      <c r="AD136">
        <v>275.56039982114419</v>
      </c>
      <c r="AE136">
        <v>275.76551927523849</v>
      </c>
      <c r="AF136">
        <v>278.11356378897437</v>
      </c>
      <c r="AG136">
        <v>275.76902887069434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</row>
    <row r="137" spans="1:93" x14ac:dyDescent="0.25">
      <c r="A137" t="s">
        <v>709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33.63121584730041</v>
      </c>
      <c r="O137">
        <v>67.612361015189421</v>
      </c>
      <c r="P137">
        <v>98.725171365292681</v>
      </c>
      <c r="Q137">
        <v>129.60098702595866</v>
      </c>
      <c r="R137">
        <v>159.15873539962925</v>
      </c>
      <c r="S137">
        <v>187.03107228198721</v>
      </c>
      <c r="T137">
        <v>211.38225106393833</v>
      </c>
      <c r="U137">
        <v>233.78270497760863</v>
      </c>
      <c r="V137">
        <v>256.74875762551517</v>
      </c>
      <c r="W137">
        <v>281.16397276644364</v>
      </c>
      <c r="X137">
        <v>285.37788190993854</v>
      </c>
      <c r="Y137">
        <v>286.3554104972435</v>
      </c>
      <c r="Z137">
        <v>284.69426852752878</v>
      </c>
      <c r="AA137">
        <v>283.58757023481405</v>
      </c>
      <c r="AB137">
        <v>281.38923187570998</v>
      </c>
      <c r="AC137">
        <v>278.04188412702274</v>
      </c>
      <c r="AD137">
        <v>275.56039982114419</v>
      </c>
      <c r="AE137">
        <v>275.76551927523849</v>
      </c>
      <c r="AF137">
        <v>278.11356378897437</v>
      </c>
      <c r="AG137">
        <v>275.76902887069434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</row>
    <row r="138" spans="1:93" x14ac:dyDescent="0.25">
      <c r="A138" t="s">
        <v>710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33.63121584730041</v>
      </c>
      <c r="O138">
        <v>67.612361015189421</v>
      </c>
      <c r="P138">
        <v>98.725171365292681</v>
      </c>
      <c r="Q138">
        <v>129.60098702595866</v>
      </c>
      <c r="R138">
        <v>159.15873539962925</v>
      </c>
      <c r="S138">
        <v>187.03107228198721</v>
      </c>
      <c r="T138">
        <v>211.38225106393833</v>
      </c>
      <c r="U138">
        <v>233.78270497760863</v>
      </c>
      <c r="V138">
        <v>256.74875762551517</v>
      </c>
      <c r="W138">
        <v>281.16397276644364</v>
      </c>
      <c r="X138">
        <v>285.37788190993854</v>
      </c>
      <c r="Y138">
        <v>286.3554104972435</v>
      </c>
      <c r="Z138">
        <v>284.69426852752878</v>
      </c>
      <c r="AA138">
        <v>283.58757023481405</v>
      </c>
      <c r="AB138">
        <v>281.38923187570998</v>
      </c>
      <c r="AC138">
        <v>278.04188412702274</v>
      </c>
      <c r="AD138">
        <v>275.56039982114419</v>
      </c>
      <c r="AE138">
        <v>275.76551927523849</v>
      </c>
      <c r="AF138">
        <v>278.11356378897437</v>
      </c>
      <c r="AG138">
        <v>275.76902887069434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</row>
    <row r="139" spans="1:93" x14ac:dyDescent="0.25">
      <c r="A139" t="s">
        <v>711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33.63121584730041</v>
      </c>
      <c r="O139">
        <v>67.612361015189421</v>
      </c>
      <c r="P139">
        <v>98.725171365292681</v>
      </c>
      <c r="Q139">
        <v>129.60098702595866</v>
      </c>
      <c r="R139">
        <v>159.15873539962925</v>
      </c>
      <c r="S139">
        <v>187.03107228198721</v>
      </c>
      <c r="T139">
        <v>211.38225106393833</v>
      </c>
      <c r="U139">
        <v>233.78270497760863</v>
      </c>
      <c r="V139">
        <v>256.74875762551517</v>
      </c>
      <c r="W139">
        <v>281.16397276644364</v>
      </c>
      <c r="X139">
        <v>285.37788190993854</v>
      </c>
      <c r="Y139">
        <v>286.3554104972435</v>
      </c>
      <c r="Z139">
        <v>284.69426852752878</v>
      </c>
      <c r="AA139">
        <v>283.58757023481405</v>
      </c>
      <c r="AB139">
        <v>281.38923187570998</v>
      </c>
      <c r="AC139">
        <v>278.04188412702274</v>
      </c>
      <c r="AD139">
        <v>275.56039982114419</v>
      </c>
      <c r="AE139">
        <v>275.76551927523849</v>
      </c>
      <c r="AF139">
        <v>278.11356378897437</v>
      </c>
      <c r="AG139">
        <v>275.76902887069434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</row>
    <row r="140" spans="1:93" x14ac:dyDescent="0.25">
      <c r="A140" t="s">
        <v>712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33.63121584730041</v>
      </c>
      <c r="O140">
        <v>67.612361015189421</v>
      </c>
      <c r="P140">
        <v>98.725171365292681</v>
      </c>
      <c r="Q140">
        <v>129.60098702595866</v>
      </c>
      <c r="R140">
        <v>159.15873539962925</v>
      </c>
      <c r="S140">
        <v>187.03107228198721</v>
      </c>
      <c r="T140">
        <v>211.38225106393833</v>
      </c>
      <c r="U140">
        <v>233.78270497760863</v>
      </c>
      <c r="V140">
        <v>256.74875762551517</v>
      </c>
      <c r="W140">
        <v>281.16397276644364</v>
      </c>
      <c r="X140">
        <v>285.37788190993854</v>
      </c>
      <c r="Y140">
        <v>286.3554104972435</v>
      </c>
      <c r="Z140">
        <v>284.69426852752878</v>
      </c>
      <c r="AA140">
        <v>283.58757023481405</v>
      </c>
      <c r="AB140">
        <v>281.38923187570998</v>
      </c>
      <c r="AC140">
        <v>278.04188412702274</v>
      </c>
      <c r="AD140">
        <v>275.56039982114419</v>
      </c>
      <c r="AE140">
        <v>275.76551927523849</v>
      </c>
      <c r="AF140">
        <v>278.11356378897437</v>
      </c>
      <c r="AG140">
        <v>275.76902887069434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</row>
    <row r="141" spans="1:93" x14ac:dyDescent="0.25">
      <c r="A141" t="s">
        <v>713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33.63121584730041</v>
      </c>
      <c r="O141">
        <v>67.612361015189421</v>
      </c>
      <c r="P141">
        <v>98.725171365292681</v>
      </c>
      <c r="Q141">
        <v>129.60098702595866</v>
      </c>
      <c r="R141">
        <v>159.15873539962925</v>
      </c>
      <c r="S141">
        <v>187.03107228198721</v>
      </c>
      <c r="T141">
        <v>211.38225106393833</v>
      </c>
      <c r="U141">
        <v>233.78270497760863</v>
      </c>
      <c r="V141">
        <v>256.74875762551517</v>
      </c>
      <c r="W141">
        <v>281.16397276644364</v>
      </c>
      <c r="X141">
        <v>285.37788190993854</v>
      </c>
      <c r="Y141">
        <v>286.3554104972435</v>
      </c>
      <c r="Z141">
        <v>284.69426852752878</v>
      </c>
      <c r="AA141">
        <v>283.58757023481405</v>
      </c>
      <c r="AB141">
        <v>281.38923187570998</v>
      </c>
      <c r="AC141">
        <v>278.04188412702274</v>
      </c>
      <c r="AD141">
        <v>275.56039982114419</v>
      </c>
      <c r="AE141">
        <v>275.76551927523849</v>
      </c>
      <c r="AF141">
        <v>278.11356378897437</v>
      </c>
      <c r="AG141">
        <v>275.76902887069434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</row>
    <row r="142" spans="1:93" x14ac:dyDescent="0.25">
      <c r="A142" t="s">
        <v>714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33.63121584730041</v>
      </c>
      <c r="O142">
        <v>67.612361015189421</v>
      </c>
      <c r="P142">
        <v>98.725171365292681</v>
      </c>
      <c r="Q142">
        <v>129.60098702595866</v>
      </c>
      <c r="R142">
        <v>159.15873539962925</v>
      </c>
      <c r="S142">
        <v>187.03107228198721</v>
      </c>
      <c r="T142">
        <v>211.38225106393833</v>
      </c>
      <c r="U142">
        <v>233.78270497760863</v>
      </c>
      <c r="V142">
        <v>256.74875762551517</v>
      </c>
      <c r="W142">
        <v>281.16397276644364</v>
      </c>
      <c r="X142">
        <v>285.37788190993854</v>
      </c>
      <c r="Y142">
        <v>286.3554104972435</v>
      </c>
      <c r="Z142">
        <v>284.69426852752878</v>
      </c>
      <c r="AA142">
        <v>283.58757023481405</v>
      </c>
      <c r="AB142">
        <v>281.38923187570998</v>
      </c>
      <c r="AC142">
        <v>278.04188412702274</v>
      </c>
      <c r="AD142">
        <v>275.56039982114419</v>
      </c>
      <c r="AE142">
        <v>275.76551927523849</v>
      </c>
      <c r="AF142">
        <v>278.11356378897437</v>
      </c>
      <c r="AG142">
        <v>275.76902887069434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</row>
    <row r="143" spans="1:93" x14ac:dyDescent="0.25">
      <c r="A143" t="s">
        <v>715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51.431896120280229</v>
      </c>
      <c r="O143">
        <v>101.92163904419859</v>
      </c>
      <c r="P143">
        <v>152.83652385240285</v>
      </c>
      <c r="Q143">
        <v>201.8773270541804</v>
      </c>
      <c r="R143">
        <v>246.8085332480895</v>
      </c>
      <c r="S143">
        <v>288.04785463749903</v>
      </c>
      <c r="T143">
        <v>321.70202489130924</v>
      </c>
      <c r="U143">
        <v>351.47164214916683</v>
      </c>
      <c r="V143">
        <v>380.26144213576447</v>
      </c>
      <c r="W143">
        <v>410.26053922204858</v>
      </c>
      <c r="X143">
        <v>412.51137463231231</v>
      </c>
      <c r="Y143">
        <v>413.89055555549783</v>
      </c>
      <c r="Z143">
        <v>411.48466383678158</v>
      </c>
      <c r="AA143">
        <v>409.93894461864812</v>
      </c>
      <c r="AB143">
        <v>406.73153001626156</v>
      </c>
      <c r="AC143">
        <v>401.87799511227536</v>
      </c>
      <c r="AD143">
        <v>398.30159149124779</v>
      </c>
      <c r="AE143">
        <v>398.61956745492375</v>
      </c>
      <c r="AF143">
        <v>401.95945485794169</v>
      </c>
      <c r="AG143">
        <v>398.58646120000162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</row>
    <row r="144" spans="1:93" x14ac:dyDescent="0.25">
      <c r="A144" t="s">
        <v>716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51.431896120280229</v>
      </c>
      <c r="O144">
        <v>101.92163904419859</v>
      </c>
      <c r="P144">
        <v>152.83652385240285</v>
      </c>
      <c r="Q144">
        <v>201.8773270541804</v>
      </c>
      <c r="R144">
        <v>246.8085332480895</v>
      </c>
      <c r="S144">
        <v>288.04785463749903</v>
      </c>
      <c r="T144">
        <v>321.70202489130924</v>
      </c>
      <c r="U144">
        <v>351.47164214916683</v>
      </c>
      <c r="V144">
        <v>380.26144213576447</v>
      </c>
      <c r="W144">
        <v>410.26053922204858</v>
      </c>
      <c r="X144">
        <v>412.51137463231231</v>
      </c>
      <c r="Y144">
        <v>413.89055555549783</v>
      </c>
      <c r="Z144">
        <v>411.48466383678158</v>
      </c>
      <c r="AA144">
        <v>409.93894461864812</v>
      </c>
      <c r="AB144">
        <v>406.73153001626156</v>
      </c>
      <c r="AC144">
        <v>401.87799511227536</v>
      </c>
      <c r="AD144">
        <v>398.30159149124779</v>
      </c>
      <c r="AE144">
        <v>398.61956745492375</v>
      </c>
      <c r="AF144">
        <v>401.95945485794169</v>
      </c>
      <c r="AG144">
        <v>398.58646120000162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</row>
    <row r="145" spans="1:93" x14ac:dyDescent="0.25">
      <c r="A145" t="s">
        <v>717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51.431896120280229</v>
      </c>
      <c r="O145">
        <v>101.92163904419859</v>
      </c>
      <c r="P145">
        <v>152.83652385240285</v>
      </c>
      <c r="Q145">
        <v>201.8773270541804</v>
      </c>
      <c r="R145">
        <v>246.8085332480895</v>
      </c>
      <c r="S145">
        <v>288.04785463749903</v>
      </c>
      <c r="T145">
        <v>321.70202489130924</v>
      </c>
      <c r="U145">
        <v>351.47164214916683</v>
      </c>
      <c r="V145">
        <v>380.26144213576447</v>
      </c>
      <c r="W145">
        <v>410.26053922204858</v>
      </c>
      <c r="X145">
        <v>412.51137463231231</v>
      </c>
      <c r="Y145">
        <v>413.89055555549783</v>
      </c>
      <c r="Z145">
        <v>411.48466383678158</v>
      </c>
      <c r="AA145">
        <v>409.93894461864812</v>
      </c>
      <c r="AB145">
        <v>406.73153001626156</v>
      </c>
      <c r="AC145">
        <v>401.87799511227536</v>
      </c>
      <c r="AD145">
        <v>398.30159149124779</v>
      </c>
      <c r="AE145">
        <v>398.61956745492375</v>
      </c>
      <c r="AF145">
        <v>401.95945485794169</v>
      </c>
      <c r="AG145">
        <v>398.58646120000162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</row>
    <row r="146" spans="1:93" x14ac:dyDescent="0.25">
      <c r="A146" t="s">
        <v>718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51.431896120280229</v>
      </c>
      <c r="O146">
        <v>101.92163904419859</v>
      </c>
      <c r="P146">
        <v>152.83652385240285</v>
      </c>
      <c r="Q146">
        <v>201.8773270541804</v>
      </c>
      <c r="R146">
        <v>246.8085332480895</v>
      </c>
      <c r="S146">
        <v>288.04785463749903</v>
      </c>
      <c r="T146">
        <v>321.70202489130924</v>
      </c>
      <c r="U146">
        <v>351.47164214916683</v>
      </c>
      <c r="V146">
        <v>380.26144213576447</v>
      </c>
      <c r="W146">
        <v>410.26053922204858</v>
      </c>
      <c r="X146">
        <v>412.51137463231231</v>
      </c>
      <c r="Y146">
        <v>413.89055555549783</v>
      </c>
      <c r="Z146">
        <v>411.48466383678158</v>
      </c>
      <c r="AA146">
        <v>409.93894461864812</v>
      </c>
      <c r="AB146">
        <v>406.73153001626156</v>
      </c>
      <c r="AC146">
        <v>401.87799511227536</v>
      </c>
      <c r="AD146">
        <v>398.30159149124779</v>
      </c>
      <c r="AE146">
        <v>398.61956745492375</v>
      </c>
      <c r="AF146">
        <v>401.95945485794169</v>
      </c>
      <c r="AG146">
        <v>398.58646120000162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</row>
    <row r="147" spans="1:93" x14ac:dyDescent="0.25">
      <c r="A147" t="s">
        <v>719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51.431896120280229</v>
      </c>
      <c r="O147">
        <v>101.92163904419859</v>
      </c>
      <c r="P147">
        <v>152.83652385240285</v>
      </c>
      <c r="Q147">
        <v>201.8773270541804</v>
      </c>
      <c r="R147">
        <v>246.8085332480895</v>
      </c>
      <c r="S147">
        <v>288.04785463749903</v>
      </c>
      <c r="T147">
        <v>321.70202489130924</v>
      </c>
      <c r="U147">
        <v>351.47164214916683</v>
      </c>
      <c r="V147">
        <v>380.26144213576447</v>
      </c>
      <c r="W147">
        <v>410.26053922204858</v>
      </c>
      <c r="X147">
        <v>412.51137463231231</v>
      </c>
      <c r="Y147">
        <v>413.89055555549783</v>
      </c>
      <c r="Z147">
        <v>411.48466383678158</v>
      </c>
      <c r="AA147">
        <v>409.93894461864812</v>
      </c>
      <c r="AB147">
        <v>406.73153001626156</v>
      </c>
      <c r="AC147">
        <v>401.87799511227536</v>
      </c>
      <c r="AD147">
        <v>398.30159149124779</v>
      </c>
      <c r="AE147">
        <v>398.61956745492375</v>
      </c>
      <c r="AF147">
        <v>401.95945485794169</v>
      </c>
      <c r="AG147">
        <v>398.58646120000162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</row>
    <row r="148" spans="1:93" x14ac:dyDescent="0.25">
      <c r="A148" t="s">
        <v>720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51.431896120280229</v>
      </c>
      <c r="O148">
        <v>101.92163904419859</v>
      </c>
      <c r="P148">
        <v>152.83652385240285</v>
      </c>
      <c r="Q148">
        <v>201.8773270541804</v>
      </c>
      <c r="R148">
        <v>246.8085332480895</v>
      </c>
      <c r="S148">
        <v>288.04785463749903</v>
      </c>
      <c r="T148">
        <v>321.70202489130924</v>
      </c>
      <c r="U148">
        <v>351.47164214916683</v>
      </c>
      <c r="V148">
        <v>380.26144213576447</v>
      </c>
      <c r="W148">
        <v>410.26053922204858</v>
      </c>
      <c r="X148">
        <v>412.51137463231231</v>
      </c>
      <c r="Y148">
        <v>413.89055555549783</v>
      </c>
      <c r="Z148">
        <v>411.48466383678158</v>
      </c>
      <c r="AA148">
        <v>409.93894461864812</v>
      </c>
      <c r="AB148">
        <v>406.73153001626156</v>
      </c>
      <c r="AC148">
        <v>401.87799511227536</v>
      </c>
      <c r="AD148">
        <v>398.30159149124779</v>
      </c>
      <c r="AE148">
        <v>398.61956745492375</v>
      </c>
      <c r="AF148">
        <v>401.95945485794169</v>
      </c>
      <c r="AG148">
        <v>398.58646120000162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</row>
    <row r="149" spans="1:93" x14ac:dyDescent="0.25">
      <c r="A149" t="s">
        <v>721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51.431896120280229</v>
      </c>
      <c r="O149">
        <v>101.92163904419859</v>
      </c>
      <c r="P149">
        <v>152.83652385240285</v>
      </c>
      <c r="Q149">
        <v>201.8773270541804</v>
      </c>
      <c r="R149">
        <v>246.8085332480895</v>
      </c>
      <c r="S149">
        <v>288.04785463749903</v>
      </c>
      <c r="T149">
        <v>321.70202489130924</v>
      </c>
      <c r="U149">
        <v>351.47164214916683</v>
      </c>
      <c r="V149">
        <v>380.26144213576447</v>
      </c>
      <c r="W149">
        <v>410.26053922204858</v>
      </c>
      <c r="X149">
        <v>412.51137463231231</v>
      </c>
      <c r="Y149">
        <v>413.89055555549783</v>
      </c>
      <c r="Z149">
        <v>411.48466383678158</v>
      </c>
      <c r="AA149">
        <v>409.93894461864812</v>
      </c>
      <c r="AB149">
        <v>406.73153001626156</v>
      </c>
      <c r="AC149">
        <v>401.87799511227536</v>
      </c>
      <c r="AD149">
        <v>398.30159149124779</v>
      </c>
      <c r="AE149">
        <v>398.61956745492375</v>
      </c>
      <c r="AF149">
        <v>401.95945485794169</v>
      </c>
      <c r="AG149">
        <v>398.58646120000162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</row>
    <row r="150" spans="1:93" x14ac:dyDescent="0.25">
      <c r="A150" t="s">
        <v>722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51.431896120280229</v>
      </c>
      <c r="O150">
        <v>101.92163904419859</v>
      </c>
      <c r="P150">
        <v>152.83652385240285</v>
      </c>
      <c r="Q150">
        <v>201.8773270541804</v>
      </c>
      <c r="R150">
        <v>246.8085332480895</v>
      </c>
      <c r="S150">
        <v>288.04785463749903</v>
      </c>
      <c r="T150">
        <v>321.70202489130924</v>
      </c>
      <c r="U150">
        <v>351.47164214916683</v>
      </c>
      <c r="V150">
        <v>380.26144213576447</v>
      </c>
      <c r="W150">
        <v>410.26053922204858</v>
      </c>
      <c r="X150">
        <v>412.51137463231231</v>
      </c>
      <c r="Y150">
        <v>413.89055555549783</v>
      </c>
      <c r="Z150">
        <v>411.48466383678158</v>
      </c>
      <c r="AA150">
        <v>409.93894461864812</v>
      </c>
      <c r="AB150">
        <v>406.73153001626156</v>
      </c>
      <c r="AC150">
        <v>401.87799511227536</v>
      </c>
      <c r="AD150">
        <v>398.30159149124779</v>
      </c>
      <c r="AE150">
        <v>398.61956745492375</v>
      </c>
      <c r="AF150">
        <v>401.95945485794169</v>
      </c>
      <c r="AG150">
        <v>398.58646120000162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</row>
    <row r="151" spans="1:93" x14ac:dyDescent="0.25">
      <c r="A151" t="s">
        <v>723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51.431896120280229</v>
      </c>
      <c r="O151">
        <v>101.92163904419859</v>
      </c>
      <c r="P151">
        <v>152.83652385240285</v>
      </c>
      <c r="Q151">
        <v>201.8773270541804</v>
      </c>
      <c r="R151">
        <v>246.8085332480895</v>
      </c>
      <c r="S151">
        <v>288.04785463749903</v>
      </c>
      <c r="T151">
        <v>321.70202489130924</v>
      </c>
      <c r="U151">
        <v>351.47164214916683</v>
      </c>
      <c r="V151">
        <v>380.26144213576447</v>
      </c>
      <c r="W151">
        <v>410.26053922204858</v>
      </c>
      <c r="X151">
        <v>412.51137463231231</v>
      </c>
      <c r="Y151">
        <v>413.89055555549783</v>
      </c>
      <c r="Z151">
        <v>411.48466383678158</v>
      </c>
      <c r="AA151">
        <v>409.93894461864812</v>
      </c>
      <c r="AB151">
        <v>406.73153001626156</v>
      </c>
      <c r="AC151">
        <v>401.87799511227536</v>
      </c>
      <c r="AD151">
        <v>398.30159149124779</v>
      </c>
      <c r="AE151">
        <v>398.61956745492375</v>
      </c>
      <c r="AF151">
        <v>401.95945485794169</v>
      </c>
      <c r="AG151">
        <v>398.58646120000162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</row>
    <row r="152" spans="1:93" x14ac:dyDescent="0.25">
      <c r="A152" t="s">
        <v>724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51.431896120280229</v>
      </c>
      <c r="O152">
        <v>101.92163904419859</v>
      </c>
      <c r="P152">
        <v>152.83652385240285</v>
      </c>
      <c r="Q152">
        <v>201.8773270541804</v>
      </c>
      <c r="R152">
        <v>246.8085332480895</v>
      </c>
      <c r="S152">
        <v>288.04785463749903</v>
      </c>
      <c r="T152">
        <v>321.70202489130924</v>
      </c>
      <c r="U152">
        <v>351.47164214916683</v>
      </c>
      <c r="V152">
        <v>380.26144213576447</v>
      </c>
      <c r="W152">
        <v>410.26053922204858</v>
      </c>
      <c r="X152">
        <v>412.51137463231231</v>
      </c>
      <c r="Y152">
        <v>413.89055555549783</v>
      </c>
      <c r="Z152">
        <v>411.48466383678158</v>
      </c>
      <c r="AA152">
        <v>409.93894461864812</v>
      </c>
      <c r="AB152">
        <v>406.73153001626156</v>
      </c>
      <c r="AC152">
        <v>401.87799511227536</v>
      </c>
      <c r="AD152">
        <v>398.30159149124779</v>
      </c>
      <c r="AE152">
        <v>398.61956745492375</v>
      </c>
      <c r="AF152">
        <v>401.95945485794169</v>
      </c>
      <c r="AG152">
        <v>398.58646120000162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</row>
    <row r="153" spans="1:93" x14ac:dyDescent="0.25">
      <c r="A153" t="s">
        <v>725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51.431896120280229</v>
      </c>
      <c r="O153">
        <v>101.92163904419859</v>
      </c>
      <c r="P153">
        <v>152.83652385240285</v>
      </c>
      <c r="Q153">
        <v>201.8773270541804</v>
      </c>
      <c r="R153">
        <v>246.8085332480895</v>
      </c>
      <c r="S153">
        <v>288.04785463749903</v>
      </c>
      <c r="T153">
        <v>321.70202489130924</v>
      </c>
      <c r="U153">
        <v>351.47164214916683</v>
      </c>
      <c r="V153">
        <v>380.26144213576447</v>
      </c>
      <c r="W153">
        <v>410.26053922204858</v>
      </c>
      <c r="X153">
        <v>412.51137463231231</v>
      </c>
      <c r="Y153">
        <v>413.89055555549783</v>
      </c>
      <c r="Z153">
        <v>411.48466383678158</v>
      </c>
      <c r="AA153">
        <v>409.93894461864812</v>
      </c>
      <c r="AB153">
        <v>406.73153001626156</v>
      </c>
      <c r="AC153">
        <v>401.87799511227536</v>
      </c>
      <c r="AD153">
        <v>398.30159149124779</v>
      </c>
      <c r="AE153">
        <v>398.61956745492375</v>
      </c>
      <c r="AF153">
        <v>401.95945485794169</v>
      </c>
      <c r="AG153">
        <v>398.58646120000162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</row>
    <row r="154" spans="1:93" x14ac:dyDescent="0.25">
      <c r="A154" t="s">
        <v>726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36.97656526325818</v>
      </c>
      <c r="O154">
        <v>70.38630264306677</v>
      </c>
      <c r="P154">
        <v>107.05933394801347</v>
      </c>
      <c r="Q154">
        <v>142.80242164102643</v>
      </c>
      <c r="R154">
        <v>171.66101675943929</v>
      </c>
      <c r="S154">
        <v>197.07537834868893</v>
      </c>
      <c r="T154">
        <v>218.38006531148883</v>
      </c>
      <c r="U154">
        <v>236.25096370917109</v>
      </c>
      <c r="V154">
        <v>254.10047498567164</v>
      </c>
      <c r="W154">
        <v>273.28506717900223</v>
      </c>
      <c r="X154">
        <v>273.69094446647307</v>
      </c>
      <c r="Y154">
        <v>274.67176986122837</v>
      </c>
      <c r="Z154">
        <v>273.05620157120666</v>
      </c>
      <c r="AA154">
        <v>272.0406725300719</v>
      </c>
      <c r="AB154">
        <v>269.86514007324558</v>
      </c>
      <c r="AC154">
        <v>266.64979396191808</v>
      </c>
      <c r="AD154">
        <v>264.31514202237793</v>
      </c>
      <c r="AE154">
        <v>264.48482372708645</v>
      </c>
      <c r="AF154">
        <v>266.74676680439063</v>
      </c>
      <c r="AG154">
        <v>264.50479078091479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</row>
    <row r="155" spans="1:93" x14ac:dyDescent="0.25">
      <c r="A155" t="s">
        <v>727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36.97656526325818</v>
      </c>
      <c r="O155">
        <v>70.38630264306677</v>
      </c>
      <c r="P155">
        <v>107.05933394801347</v>
      </c>
      <c r="Q155">
        <v>142.80242164102643</v>
      </c>
      <c r="R155">
        <v>171.66101675943929</v>
      </c>
      <c r="S155">
        <v>197.07537834868893</v>
      </c>
      <c r="T155">
        <v>218.38006531148883</v>
      </c>
      <c r="U155">
        <v>236.25096370917109</v>
      </c>
      <c r="V155">
        <v>254.10047498567164</v>
      </c>
      <c r="W155">
        <v>273.28506717900223</v>
      </c>
      <c r="X155">
        <v>273.69094446647307</v>
      </c>
      <c r="Y155">
        <v>274.67176986122837</v>
      </c>
      <c r="Z155">
        <v>273.05620157120666</v>
      </c>
      <c r="AA155">
        <v>272.0406725300719</v>
      </c>
      <c r="AB155">
        <v>269.86514007324558</v>
      </c>
      <c r="AC155">
        <v>266.64979396191808</v>
      </c>
      <c r="AD155">
        <v>264.31514202237793</v>
      </c>
      <c r="AE155">
        <v>264.48482372708645</v>
      </c>
      <c r="AF155">
        <v>266.74676680439063</v>
      </c>
      <c r="AG155">
        <v>264.50479078091479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</row>
    <row r="156" spans="1:93" x14ac:dyDescent="0.25">
      <c r="A156" t="s">
        <v>728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36.97656526325818</v>
      </c>
      <c r="O156">
        <v>70.38630264306677</v>
      </c>
      <c r="P156">
        <v>107.05933394801347</v>
      </c>
      <c r="Q156">
        <v>142.80242164102643</v>
      </c>
      <c r="R156">
        <v>171.66101675943929</v>
      </c>
      <c r="S156">
        <v>197.07537834868893</v>
      </c>
      <c r="T156">
        <v>218.38006531148883</v>
      </c>
      <c r="U156">
        <v>236.25096370917109</v>
      </c>
      <c r="V156">
        <v>254.10047498567164</v>
      </c>
      <c r="W156">
        <v>273.28506717900223</v>
      </c>
      <c r="X156">
        <v>273.69094446647307</v>
      </c>
      <c r="Y156">
        <v>274.67176986122837</v>
      </c>
      <c r="Z156">
        <v>273.05620157120666</v>
      </c>
      <c r="AA156">
        <v>272.0406725300719</v>
      </c>
      <c r="AB156">
        <v>269.86514007324558</v>
      </c>
      <c r="AC156">
        <v>266.64979396191808</v>
      </c>
      <c r="AD156">
        <v>264.31514202237793</v>
      </c>
      <c r="AE156">
        <v>264.48482372708645</v>
      </c>
      <c r="AF156">
        <v>266.74676680439063</v>
      </c>
      <c r="AG156">
        <v>264.50479078091479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</row>
    <row r="157" spans="1:93" x14ac:dyDescent="0.25">
      <c r="A157" t="s">
        <v>729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36.97656526325818</v>
      </c>
      <c r="O157">
        <v>70.38630264306677</v>
      </c>
      <c r="P157">
        <v>107.05933394801347</v>
      </c>
      <c r="Q157">
        <v>142.80242164102643</v>
      </c>
      <c r="R157">
        <v>171.66101675943929</v>
      </c>
      <c r="S157">
        <v>197.07537834868893</v>
      </c>
      <c r="T157">
        <v>218.38006531148883</v>
      </c>
      <c r="U157">
        <v>236.25096370917109</v>
      </c>
      <c r="V157">
        <v>254.10047498567164</v>
      </c>
      <c r="W157">
        <v>273.28506717900223</v>
      </c>
      <c r="X157">
        <v>273.69094446647307</v>
      </c>
      <c r="Y157">
        <v>274.67176986122837</v>
      </c>
      <c r="Z157">
        <v>273.05620157120666</v>
      </c>
      <c r="AA157">
        <v>272.0406725300719</v>
      </c>
      <c r="AB157">
        <v>269.86514007324558</v>
      </c>
      <c r="AC157">
        <v>266.64979396191808</v>
      </c>
      <c r="AD157">
        <v>264.31514202237793</v>
      </c>
      <c r="AE157">
        <v>264.48482372708645</v>
      </c>
      <c r="AF157">
        <v>266.74676680439063</v>
      </c>
      <c r="AG157">
        <v>264.50479078091479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</row>
    <row r="158" spans="1:93" x14ac:dyDescent="0.25">
      <c r="A158" t="s">
        <v>730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36.97656526325818</v>
      </c>
      <c r="O158">
        <v>70.38630264306677</v>
      </c>
      <c r="P158">
        <v>107.05933394801347</v>
      </c>
      <c r="Q158">
        <v>142.80242164102643</v>
      </c>
      <c r="R158">
        <v>171.66101675943929</v>
      </c>
      <c r="S158">
        <v>197.07537834868893</v>
      </c>
      <c r="T158">
        <v>218.38006531148883</v>
      </c>
      <c r="U158">
        <v>236.25096370917109</v>
      </c>
      <c r="V158">
        <v>254.10047498567164</v>
      </c>
      <c r="W158">
        <v>273.28506717900223</v>
      </c>
      <c r="X158">
        <v>273.69094446647307</v>
      </c>
      <c r="Y158">
        <v>274.67176986122837</v>
      </c>
      <c r="Z158">
        <v>273.05620157120666</v>
      </c>
      <c r="AA158">
        <v>272.0406725300719</v>
      </c>
      <c r="AB158">
        <v>269.86514007324558</v>
      </c>
      <c r="AC158">
        <v>266.64979396191808</v>
      </c>
      <c r="AD158">
        <v>264.31514202237793</v>
      </c>
      <c r="AE158">
        <v>264.48482372708645</v>
      </c>
      <c r="AF158">
        <v>266.74676680439063</v>
      </c>
      <c r="AG158">
        <v>264.50479078091479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</row>
    <row r="159" spans="1:93" x14ac:dyDescent="0.25">
      <c r="A159" t="s">
        <v>731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66.073264519397085</v>
      </c>
      <c r="O159">
        <v>124.96054612779575</v>
      </c>
      <c r="P159">
        <v>181.87661599766145</v>
      </c>
      <c r="Q159">
        <v>236.81536664873965</v>
      </c>
      <c r="R159">
        <v>284.46957083792989</v>
      </c>
      <c r="S159">
        <v>325.99262010416959</v>
      </c>
      <c r="T159">
        <v>364.48960072155126</v>
      </c>
      <c r="U159">
        <v>401.77929601386995</v>
      </c>
      <c r="V159">
        <v>438.16894306806984</v>
      </c>
      <c r="W159">
        <v>474.52340107444593</v>
      </c>
      <c r="X159">
        <v>485.21849529627002</v>
      </c>
      <c r="Y159">
        <v>486.88916977721226</v>
      </c>
      <c r="Z159">
        <v>484.02091195548599</v>
      </c>
      <c r="AA159">
        <v>482.18891401431267</v>
      </c>
      <c r="AB159">
        <v>478.46308941391072</v>
      </c>
      <c r="AC159">
        <v>472.70587158004429</v>
      </c>
      <c r="AD159">
        <v>468.50942182245262</v>
      </c>
      <c r="AE159">
        <v>468.89020714230043</v>
      </c>
      <c r="AF159">
        <v>472.85807022413042</v>
      </c>
      <c r="AG159">
        <v>468.87391048707451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</row>
    <row r="160" spans="1:93" x14ac:dyDescent="0.25">
      <c r="A160" t="s">
        <v>732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66.073264519397085</v>
      </c>
      <c r="O160">
        <v>124.96054612779575</v>
      </c>
      <c r="P160">
        <v>181.87661599766145</v>
      </c>
      <c r="Q160">
        <v>236.81536664873965</v>
      </c>
      <c r="R160">
        <v>284.46957083792989</v>
      </c>
      <c r="S160">
        <v>325.99262010416959</v>
      </c>
      <c r="T160">
        <v>364.48960072155126</v>
      </c>
      <c r="U160">
        <v>401.77929601386995</v>
      </c>
      <c r="V160">
        <v>438.16894306806984</v>
      </c>
      <c r="W160">
        <v>474.52340107444593</v>
      </c>
      <c r="X160">
        <v>485.21849529627002</v>
      </c>
      <c r="Y160">
        <v>486.88916977721226</v>
      </c>
      <c r="Z160">
        <v>484.02091195548599</v>
      </c>
      <c r="AA160">
        <v>482.18891401431267</v>
      </c>
      <c r="AB160">
        <v>478.46308941391072</v>
      </c>
      <c r="AC160">
        <v>472.70587158004429</v>
      </c>
      <c r="AD160">
        <v>468.50942182245262</v>
      </c>
      <c r="AE160">
        <v>468.89020714230043</v>
      </c>
      <c r="AF160">
        <v>472.85807022413042</v>
      </c>
      <c r="AG160">
        <v>468.87391048707451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</row>
    <row r="161" spans="1:93" x14ac:dyDescent="0.25">
      <c r="A161" t="s">
        <v>733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66.073264519397085</v>
      </c>
      <c r="O161">
        <v>124.96054612779575</v>
      </c>
      <c r="P161">
        <v>181.87661599766145</v>
      </c>
      <c r="Q161">
        <v>236.81536664873965</v>
      </c>
      <c r="R161">
        <v>284.46957083792989</v>
      </c>
      <c r="S161">
        <v>325.99262010416959</v>
      </c>
      <c r="T161">
        <v>364.48960072155126</v>
      </c>
      <c r="U161">
        <v>401.77929601386995</v>
      </c>
      <c r="V161">
        <v>438.16894306806984</v>
      </c>
      <c r="W161">
        <v>474.52340107444593</v>
      </c>
      <c r="X161">
        <v>485.21849529627002</v>
      </c>
      <c r="Y161">
        <v>486.88916977721226</v>
      </c>
      <c r="Z161">
        <v>484.02091195548599</v>
      </c>
      <c r="AA161">
        <v>482.18891401431267</v>
      </c>
      <c r="AB161">
        <v>478.46308941391072</v>
      </c>
      <c r="AC161">
        <v>472.70587158004429</v>
      </c>
      <c r="AD161">
        <v>468.50942182245262</v>
      </c>
      <c r="AE161">
        <v>468.89020714230043</v>
      </c>
      <c r="AF161">
        <v>472.85807022413042</v>
      </c>
      <c r="AG161">
        <v>468.87391048707451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</row>
    <row r="162" spans="1:93" x14ac:dyDescent="0.25">
      <c r="A162" t="s">
        <v>734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66.073264519397085</v>
      </c>
      <c r="O162">
        <v>124.96054612779575</v>
      </c>
      <c r="P162">
        <v>181.87661599766145</v>
      </c>
      <c r="Q162">
        <v>236.81536664873965</v>
      </c>
      <c r="R162">
        <v>284.46957083792989</v>
      </c>
      <c r="S162">
        <v>325.99262010416959</v>
      </c>
      <c r="T162">
        <v>364.48960072155126</v>
      </c>
      <c r="U162">
        <v>401.77929601386995</v>
      </c>
      <c r="V162">
        <v>438.16894306806984</v>
      </c>
      <c r="W162">
        <v>474.52340107444593</v>
      </c>
      <c r="X162">
        <v>485.21849529627002</v>
      </c>
      <c r="Y162">
        <v>486.88916977721226</v>
      </c>
      <c r="Z162">
        <v>484.02091195548599</v>
      </c>
      <c r="AA162">
        <v>482.18891401431267</v>
      </c>
      <c r="AB162">
        <v>478.46308941391072</v>
      </c>
      <c r="AC162">
        <v>472.70587158004429</v>
      </c>
      <c r="AD162">
        <v>468.50942182245262</v>
      </c>
      <c r="AE162">
        <v>468.89020714230043</v>
      </c>
      <c r="AF162">
        <v>472.85807022413042</v>
      </c>
      <c r="AG162">
        <v>468.87391048707451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</row>
    <row r="163" spans="1:93" x14ac:dyDescent="0.25">
      <c r="A163" t="s">
        <v>735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71.949057142019171</v>
      </c>
      <c r="O163">
        <v>139.56517123473884</v>
      </c>
      <c r="P163">
        <v>197.86451511045692</v>
      </c>
      <c r="Q163">
        <v>251.53325528098165</v>
      </c>
      <c r="R163">
        <v>298.4290293596427</v>
      </c>
      <c r="S163">
        <v>340.224874680146</v>
      </c>
      <c r="T163">
        <v>374.79327894122042</v>
      </c>
      <c r="U163">
        <v>405.43781695366215</v>
      </c>
      <c r="V163">
        <v>436.63960793586</v>
      </c>
      <c r="W163">
        <v>471.30308258412038</v>
      </c>
      <c r="X163">
        <v>471.44157100835685</v>
      </c>
      <c r="Y163">
        <v>473.05998786076526</v>
      </c>
      <c r="Z163">
        <v>470.32355763523384</v>
      </c>
      <c r="AA163">
        <v>468.50742925681323</v>
      </c>
      <c r="AB163">
        <v>464.83766897877604</v>
      </c>
      <c r="AC163">
        <v>459.35154068656186</v>
      </c>
      <c r="AD163">
        <v>455.21628909427807</v>
      </c>
      <c r="AE163">
        <v>455.60754684817095</v>
      </c>
      <c r="AF163">
        <v>459.40063116923335</v>
      </c>
      <c r="AG163">
        <v>455.52578835068573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</row>
    <row r="164" spans="1:93" x14ac:dyDescent="0.25">
      <c r="A164" t="s">
        <v>736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71.949057142019171</v>
      </c>
      <c r="O164">
        <v>139.56517123473884</v>
      </c>
      <c r="P164">
        <v>197.86451511045692</v>
      </c>
      <c r="Q164">
        <v>251.53325528098165</v>
      </c>
      <c r="R164">
        <v>298.4290293596427</v>
      </c>
      <c r="S164">
        <v>340.224874680146</v>
      </c>
      <c r="T164">
        <v>374.79327894122042</v>
      </c>
      <c r="U164">
        <v>405.43781695366215</v>
      </c>
      <c r="V164">
        <v>436.63960793586</v>
      </c>
      <c r="W164">
        <v>471.30308258412038</v>
      </c>
      <c r="X164">
        <v>471.44157100835685</v>
      </c>
      <c r="Y164">
        <v>473.05998786076526</v>
      </c>
      <c r="Z164">
        <v>470.32355763523384</v>
      </c>
      <c r="AA164">
        <v>468.50742925681323</v>
      </c>
      <c r="AB164">
        <v>464.83766897877604</v>
      </c>
      <c r="AC164">
        <v>459.35154068656186</v>
      </c>
      <c r="AD164">
        <v>455.21628909427807</v>
      </c>
      <c r="AE164">
        <v>455.60754684817095</v>
      </c>
      <c r="AF164">
        <v>459.40063116923335</v>
      </c>
      <c r="AG164">
        <v>455.52578835068573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</row>
    <row r="165" spans="1:93" x14ac:dyDescent="0.25">
      <c r="A165" t="s">
        <v>737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71.949057142019171</v>
      </c>
      <c r="O165">
        <v>139.56517123473884</v>
      </c>
      <c r="P165">
        <v>197.86451511045692</v>
      </c>
      <c r="Q165">
        <v>251.53325528098165</v>
      </c>
      <c r="R165">
        <v>298.4290293596427</v>
      </c>
      <c r="S165">
        <v>340.224874680146</v>
      </c>
      <c r="T165">
        <v>374.79327894122042</v>
      </c>
      <c r="U165">
        <v>405.43781695366215</v>
      </c>
      <c r="V165">
        <v>436.63960793586</v>
      </c>
      <c r="W165">
        <v>471.30308258412038</v>
      </c>
      <c r="X165">
        <v>471.44157100835685</v>
      </c>
      <c r="Y165">
        <v>473.05998786076526</v>
      </c>
      <c r="Z165">
        <v>470.32355763523384</v>
      </c>
      <c r="AA165">
        <v>468.50742925681323</v>
      </c>
      <c r="AB165">
        <v>464.83766897877604</v>
      </c>
      <c r="AC165">
        <v>459.35154068656186</v>
      </c>
      <c r="AD165">
        <v>455.21628909427807</v>
      </c>
      <c r="AE165">
        <v>455.60754684817095</v>
      </c>
      <c r="AF165">
        <v>459.40063116923335</v>
      </c>
      <c r="AG165">
        <v>455.52578835068573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</row>
    <row r="166" spans="1:93" x14ac:dyDescent="0.25">
      <c r="A166" t="s">
        <v>738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71.949057142019171</v>
      </c>
      <c r="O166">
        <v>139.56517123473884</v>
      </c>
      <c r="P166">
        <v>197.86451511045692</v>
      </c>
      <c r="Q166">
        <v>251.53325528098165</v>
      </c>
      <c r="R166">
        <v>298.4290293596427</v>
      </c>
      <c r="S166">
        <v>340.224874680146</v>
      </c>
      <c r="T166">
        <v>374.79327894122042</v>
      </c>
      <c r="U166">
        <v>405.43781695366215</v>
      </c>
      <c r="V166">
        <v>436.63960793586</v>
      </c>
      <c r="W166">
        <v>471.30308258412038</v>
      </c>
      <c r="X166">
        <v>471.44157100835685</v>
      </c>
      <c r="Y166">
        <v>473.05998786076526</v>
      </c>
      <c r="Z166">
        <v>470.32355763523384</v>
      </c>
      <c r="AA166">
        <v>468.50742925681323</v>
      </c>
      <c r="AB166">
        <v>464.83766897877604</v>
      </c>
      <c r="AC166">
        <v>459.35154068656186</v>
      </c>
      <c r="AD166">
        <v>455.21628909427807</v>
      </c>
      <c r="AE166">
        <v>455.60754684817095</v>
      </c>
      <c r="AF166">
        <v>459.40063116923335</v>
      </c>
      <c r="AG166">
        <v>455.52578835068573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</row>
    <row r="167" spans="1:93" x14ac:dyDescent="0.25">
      <c r="A167" t="s">
        <v>739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71.949057142019171</v>
      </c>
      <c r="O167">
        <v>139.56517123473884</v>
      </c>
      <c r="P167">
        <v>197.86451511045692</v>
      </c>
      <c r="Q167">
        <v>251.53325528098165</v>
      </c>
      <c r="R167">
        <v>298.4290293596427</v>
      </c>
      <c r="S167">
        <v>340.224874680146</v>
      </c>
      <c r="T167">
        <v>374.79327894122042</v>
      </c>
      <c r="U167">
        <v>405.43781695366215</v>
      </c>
      <c r="V167">
        <v>436.63960793586</v>
      </c>
      <c r="W167">
        <v>471.30308258412038</v>
      </c>
      <c r="X167">
        <v>471.44157100835685</v>
      </c>
      <c r="Y167">
        <v>473.05998786076526</v>
      </c>
      <c r="Z167">
        <v>470.32355763523384</v>
      </c>
      <c r="AA167">
        <v>468.50742925681323</v>
      </c>
      <c r="AB167">
        <v>464.83766897877604</v>
      </c>
      <c r="AC167">
        <v>459.35154068656186</v>
      </c>
      <c r="AD167">
        <v>455.21628909427807</v>
      </c>
      <c r="AE167">
        <v>455.60754684817095</v>
      </c>
      <c r="AF167">
        <v>459.40063116923335</v>
      </c>
      <c r="AG167">
        <v>455.52578835068573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</row>
    <row r="168" spans="1:93" x14ac:dyDescent="0.25">
      <c r="A168" t="s">
        <v>740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22.722240486200633</v>
      </c>
      <c r="O168">
        <v>42.704101376532691</v>
      </c>
      <c r="P168">
        <v>70.113467163964287</v>
      </c>
      <c r="Q168">
        <v>88.826023903839356</v>
      </c>
      <c r="R168">
        <v>104.83994983294613</v>
      </c>
      <c r="S168">
        <v>119.03735860946647</v>
      </c>
      <c r="T168">
        <v>130.5454313077519</v>
      </c>
      <c r="U168">
        <v>140.81357574020333</v>
      </c>
      <c r="V168">
        <v>150.91363663128124</v>
      </c>
      <c r="W168">
        <v>161.9630770134336</v>
      </c>
      <c r="X168">
        <v>161.5005922305655</v>
      </c>
      <c r="Y168">
        <v>162.19017501086455</v>
      </c>
      <c r="Z168">
        <v>160.99561640064152</v>
      </c>
      <c r="AA168">
        <v>160.4912846117831</v>
      </c>
      <c r="AB168">
        <v>159.22546744060429</v>
      </c>
      <c r="AC168">
        <v>157.25660678306426</v>
      </c>
      <c r="AD168">
        <v>155.98926414435417</v>
      </c>
      <c r="AE168">
        <v>156.19424605133679</v>
      </c>
      <c r="AF168">
        <v>157.36273128266404</v>
      </c>
      <c r="AG168">
        <v>156.06089862567327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</row>
    <row r="169" spans="1:93" x14ac:dyDescent="0.25">
      <c r="A169" t="s">
        <v>741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28.414561601791274</v>
      </c>
      <c r="O169">
        <v>54.45290820015255</v>
      </c>
      <c r="P169">
        <v>79.580264418170444</v>
      </c>
      <c r="Q169">
        <v>104.87306106894904</v>
      </c>
      <c r="R169">
        <v>125.25749806048572</v>
      </c>
      <c r="S169">
        <v>142.90286195042592</v>
      </c>
      <c r="T169">
        <v>157.89321112576519</v>
      </c>
      <c r="U169">
        <v>171.52058602622901</v>
      </c>
      <c r="V169">
        <v>185.25153865637199</v>
      </c>
      <c r="W169">
        <v>199.84917689961691</v>
      </c>
      <c r="X169">
        <v>200.99975088261704</v>
      </c>
      <c r="Y169">
        <v>201.70212334357024</v>
      </c>
      <c r="Z169">
        <v>200.55514533176091</v>
      </c>
      <c r="AA169">
        <v>199.79311074443754</v>
      </c>
      <c r="AB169">
        <v>198.14025559637778</v>
      </c>
      <c r="AC169">
        <v>195.84271863261239</v>
      </c>
      <c r="AD169">
        <v>194.05807265577394</v>
      </c>
      <c r="AE169">
        <v>194.21791093653752</v>
      </c>
      <c r="AF169">
        <v>195.85655008957792</v>
      </c>
      <c r="AG169">
        <v>194.25690596647124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</row>
    <row r="170" spans="1:93" x14ac:dyDescent="0.25">
      <c r="A170" t="s">
        <v>742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28.414561601791274</v>
      </c>
      <c r="O170">
        <v>54.45290820015255</v>
      </c>
      <c r="P170">
        <v>79.580264418170444</v>
      </c>
      <c r="Q170">
        <v>104.87306106894904</v>
      </c>
      <c r="R170">
        <v>125.25749806048572</v>
      </c>
      <c r="S170">
        <v>142.90286195042592</v>
      </c>
      <c r="T170">
        <v>157.89321112576519</v>
      </c>
      <c r="U170">
        <v>171.52058602622901</v>
      </c>
      <c r="V170">
        <v>185.25153865637199</v>
      </c>
      <c r="W170">
        <v>199.84917689961691</v>
      </c>
      <c r="X170">
        <v>200.99975088261704</v>
      </c>
      <c r="Y170">
        <v>201.70212334357024</v>
      </c>
      <c r="Z170">
        <v>200.55514533176091</v>
      </c>
      <c r="AA170">
        <v>199.79311074443754</v>
      </c>
      <c r="AB170">
        <v>198.14025559637778</v>
      </c>
      <c r="AC170">
        <v>195.84271863261239</v>
      </c>
      <c r="AD170">
        <v>194.05807265577394</v>
      </c>
      <c r="AE170">
        <v>194.21791093653752</v>
      </c>
      <c r="AF170">
        <v>195.85655008957792</v>
      </c>
      <c r="AG170">
        <v>194.25690596647124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</row>
    <row r="171" spans="1:93" x14ac:dyDescent="0.25">
      <c r="A171" t="s">
        <v>743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28.414561601791274</v>
      </c>
      <c r="O171">
        <v>54.45290820015255</v>
      </c>
      <c r="P171">
        <v>79.580264418170444</v>
      </c>
      <c r="Q171">
        <v>104.87306106894904</v>
      </c>
      <c r="R171">
        <v>125.25749806048572</v>
      </c>
      <c r="S171">
        <v>142.90286195042592</v>
      </c>
      <c r="T171">
        <v>157.89321112576519</v>
      </c>
      <c r="U171">
        <v>171.52058602622901</v>
      </c>
      <c r="V171">
        <v>185.25153865637199</v>
      </c>
      <c r="W171">
        <v>199.84917689961691</v>
      </c>
      <c r="X171">
        <v>200.99975088261704</v>
      </c>
      <c r="Y171">
        <v>201.70212334357024</v>
      </c>
      <c r="Z171">
        <v>200.55514533176091</v>
      </c>
      <c r="AA171">
        <v>199.79311074443754</v>
      </c>
      <c r="AB171">
        <v>198.14025559637778</v>
      </c>
      <c r="AC171">
        <v>195.84271863261239</v>
      </c>
      <c r="AD171">
        <v>194.05807265577394</v>
      </c>
      <c r="AE171">
        <v>194.21791093653752</v>
      </c>
      <c r="AF171">
        <v>195.85655008957792</v>
      </c>
      <c r="AG171">
        <v>194.25690596647124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</row>
    <row r="172" spans="1:93" x14ac:dyDescent="0.25">
      <c r="A172" t="s">
        <v>744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30.460974564834181</v>
      </c>
      <c r="O172">
        <v>57.575072230106954</v>
      </c>
      <c r="P172">
        <v>85.771718872372233</v>
      </c>
      <c r="Q172">
        <v>114.92272070770458</v>
      </c>
      <c r="R172">
        <v>142.76282545933233</v>
      </c>
      <c r="S172">
        <v>168.1103464822904</v>
      </c>
      <c r="T172">
        <v>185.44207756008745</v>
      </c>
      <c r="U172">
        <v>201.21865168857096</v>
      </c>
      <c r="V172">
        <v>216.8481795954261</v>
      </c>
      <c r="W172">
        <v>233.4730905486046</v>
      </c>
      <c r="X172">
        <v>234.60588989706412</v>
      </c>
      <c r="Y172">
        <v>235.47846627314124</v>
      </c>
      <c r="Z172">
        <v>234.17544203729676</v>
      </c>
      <c r="AA172">
        <v>233.26852060405702</v>
      </c>
      <c r="AB172">
        <v>231.4433424951867</v>
      </c>
      <c r="AC172">
        <v>228.70851740473432</v>
      </c>
      <c r="AD172">
        <v>226.55583601918104</v>
      </c>
      <c r="AE172">
        <v>226.7583788638994</v>
      </c>
      <c r="AF172">
        <v>228.65328371306862</v>
      </c>
      <c r="AG172">
        <v>226.71839209792694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</row>
    <row r="173" spans="1:93" x14ac:dyDescent="0.25">
      <c r="A173" t="s">
        <v>745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30.460974564834181</v>
      </c>
      <c r="O173">
        <v>57.575072230106954</v>
      </c>
      <c r="P173">
        <v>85.771718872372233</v>
      </c>
      <c r="Q173">
        <v>114.92272070770458</v>
      </c>
      <c r="R173">
        <v>142.76282545933233</v>
      </c>
      <c r="S173">
        <v>168.1103464822904</v>
      </c>
      <c r="T173">
        <v>185.44207756008745</v>
      </c>
      <c r="U173">
        <v>201.21865168857096</v>
      </c>
      <c r="V173">
        <v>216.8481795954261</v>
      </c>
      <c r="W173">
        <v>233.4730905486046</v>
      </c>
      <c r="X173">
        <v>234.60588989706412</v>
      </c>
      <c r="Y173">
        <v>235.47846627314124</v>
      </c>
      <c r="Z173">
        <v>234.17544203729676</v>
      </c>
      <c r="AA173">
        <v>233.26852060405702</v>
      </c>
      <c r="AB173">
        <v>231.4433424951867</v>
      </c>
      <c r="AC173">
        <v>228.70851740473432</v>
      </c>
      <c r="AD173">
        <v>226.55583601918104</v>
      </c>
      <c r="AE173">
        <v>226.7583788638994</v>
      </c>
      <c r="AF173">
        <v>228.65328371306862</v>
      </c>
      <c r="AG173">
        <v>226.71839209792694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</row>
    <row r="174" spans="1:93" x14ac:dyDescent="0.25">
      <c r="A174" t="s">
        <v>746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</row>
    <row r="175" spans="1:93" x14ac:dyDescent="0.25">
      <c r="A175" t="s">
        <v>747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</row>
    <row r="176" spans="1:93" x14ac:dyDescent="0.25">
      <c r="A176" t="s">
        <v>748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</row>
    <row r="177" spans="1:93" x14ac:dyDescent="0.25">
      <c r="A177" t="s">
        <v>749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</row>
    <row r="178" spans="1:93" x14ac:dyDescent="0.25">
      <c r="A178" t="s">
        <v>750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</row>
    <row r="179" spans="1:93" x14ac:dyDescent="0.25">
      <c r="A179" t="s">
        <v>751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</row>
    <row r="180" spans="1:93" x14ac:dyDescent="0.25">
      <c r="A180" t="s">
        <v>752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</row>
    <row r="181" spans="1:93" x14ac:dyDescent="0.25">
      <c r="A181" t="s">
        <v>753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</row>
    <row r="182" spans="1:93" x14ac:dyDescent="0.25">
      <c r="A182" t="s">
        <v>754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</row>
    <row r="183" spans="1:93" x14ac:dyDescent="0.25">
      <c r="A183" t="s">
        <v>755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</row>
    <row r="184" spans="1:93" x14ac:dyDescent="0.25">
      <c r="A184" t="s">
        <v>756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</row>
    <row r="185" spans="1:93" x14ac:dyDescent="0.25">
      <c r="A185" t="s">
        <v>757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</row>
    <row r="186" spans="1:93" x14ac:dyDescent="0.25">
      <c r="A186" t="s">
        <v>758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</row>
    <row r="187" spans="1:93" x14ac:dyDescent="0.25">
      <c r="A187" t="s">
        <v>759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</row>
    <row r="188" spans="1:93" x14ac:dyDescent="0.25">
      <c r="A188" t="s">
        <v>760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</row>
    <row r="189" spans="1:93" x14ac:dyDescent="0.25">
      <c r="A189" t="s">
        <v>761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</row>
    <row r="190" spans="1:93" x14ac:dyDescent="0.25">
      <c r="A190" t="s">
        <v>762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</row>
    <row r="191" spans="1:93" x14ac:dyDescent="0.25">
      <c r="A191" t="s">
        <v>763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</row>
    <row r="192" spans="1:93" x14ac:dyDescent="0.25">
      <c r="A192" t="s">
        <v>764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</row>
    <row r="193" spans="1:93" x14ac:dyDescent="0.25">
      <c r="A193" t="s">
        <v>765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</row>
    <row r="194" spans="1:93" x14ac:dyDescent="0.25">
      <c r="A194" t="s">
        <v>766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</row>
    <row r="195" spans="1:93" x14ac:dyDescent="0.25">
      <c r="A195" t="s">
        <v>767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</row>
    <row r="196" spans="1:93" x14ac:dyDescent="0.25">
      <c r="A196" t="s">
        <v>768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</row>
    <row r="197" spans="1:93" x14ac:dyDescent="0.25">
      <c r="A197" t="s">
        <v>769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</row>
    <row r="198" spans="1:93" x14ac:dyDescent="0.25">
      <c r="A198" t="s">
        <v>770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</row>
    <row r="199" spans="1:93" x14ac:dyDescent="0.25">
      <c r="A199" t="s">
        <v>771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</row>
    <row r="200" spans="1:93" x14ac:dyDescent="0.25">
      <c r="A200" t="s">
        <v>772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</row>
    <row r="201" spans="1:93" x14ac:dyDescent="0.25">
      <c r="A201" t="s">
        <v>773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</row>
    <row r="202" spans="1:93" x14ac:dyDescent="0.25">
      <c r="A202" t="s">
        <v>774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</row>
    <row r="203" spans="1:93" x14ac:dyDescent="0.25">
      <c r="A203" t="s">
        <v>775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</row>
    <row r="204" spans="1:93" x14ac:dyDescent="0.25">
      <c r="A204" t="s">
        <v>776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</row>
    <row r="205" spans="1:93" x14ac:dyDescent="0.25">
      <c r="A205" t="s">
        <v>777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</row>
    <row r="206" spans="1:93" x14ac:dyDescent="0.25">
      <c r="A206" t="s">
        <v>778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</row>
    <row r="207" spans="1:93" x14ac:dyDescent="0.25">
      <c r="A207" t="s">
        <v>779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</row>
    <row r="208" spans="1:93" x14ac:dyDescent="0.25">
      <c r="A208" t="s">
        <v>780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</row>
    <row r="209" spans="1:93" x14ac:dyDescent="0.25">
      <c r="A209" t="s">
        <v>781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</row>
    <row r="210" spans="1:93" x14ac:dyDescent="0.25">
      <c r="A210" t="s">
        <v>782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</row>
    <row r="211" spans="1:93" x14ac:dyDescent="0.25">
      <c r="A211" t="s">
        <v>783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</row>
    <row r="212" spans="1:93" x14ac:dyDescent="0.25">
      <c r="A212" t="s">
        <v>784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</row>
    <row r="213" spans="1:93" x14ac:dyDescent="0.25">
      <c r="A213" t="s">
        <v>785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</row>
    <row r="214" spans="1:93" x14ac:dyDescent="0.25">
      <c r="A214" t="s">
        <v>786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</row>
    <row r="215" spans="1:93" x14ac:dyDescent="0.25">
      <c r="A215" t="s">
        <v>787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</row>
    <row r="216" spans="1:93" x14ac:dyDescent="0.25">
      <c r="A216" t="s">
        <v>788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</row>
    <row r="217" spans="1:93" x14ac:dyDescent="0.25">
      <c r="A217" t="s">
        <v>789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</row>
    <row r="218" spans="1:93" x14ac:dyDescent="0.25">
      <c r="A218" t="s">
        <v>790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</row>
    <row r="219" spans="1:93" x14ac:dyDescent="0.25">
      <c r="A219" t="s">
        <v>791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</row>
    <row r="220" spans="1:93" x14ac:dyDescent="0.25">
      <c r="A220" t="s">
        <v>792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</row>
    <row r="221" spans="1:93" x14ac:dyDescent="0.25">
      <c r="A221" t="s">
        <v>793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</row>
    <row r="222" spans="1:93" x14ac:dyDescent="0.25">
      <c r="A222" t="s">
        <v>794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</row>
    <row r="223" spans="1:93" x14ac:dyDescent="0.25">
      <c r="A223" t="s">
        <v>795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</row>
    <row r="224" spans="1:93" x14ac:dyDescent="0.25">
      <c r="A224" t="s">
        <v>796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</row>
    <row r="225" spans="1:93" x14ac:dyDescent="0.25">
      <c r="A225" t="s">
        <v>797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</row>
    <row r="226" spans="1:93" x14ac:dyDescent="0.25">
      <c r="A226" t="s">
        <v>798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</row>
    <row r="227" spans="1:93" x14ac:dyDescent="0.25">
      <c r="A227" t="s">
        <v>799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</row>
    <row r="228" spans="1:93" x14ac:dyDescent="0.25">
      <c r="A228" t="s">
        <v>800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</row>
    <row r="229" spans="1:93" x14ac:dyDescent="0.25">
      <c r="A229" t="s">
        <v>801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</row>
    <row r="230" spans="1:93" x14ac:dyDescent="0.25">
      <c r="A230" t="s">
        <v>802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</row>
    <row r="231" spans="1:93" x14ac:dyDescent="0.25">
      <c r="A231" t="s">
        <v>803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</row>
    <row r="232" spans="1:93" x14ac:dyDescent="0.25">
      <c r="A232" t="s">
        <v>804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</row>
    <row r="233" spans="1:93" x14ac:dyDescent="0.25">
      <c r="A233" t="s">
        <v>805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</row>
    <row r="234" spans="1:93" x14ac:dyDescent="0.25">
      <c r="A234" t="s">
        <v>806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</row>
    <row r="235" spans="1:93" x14ac:dyDescent="0.25">
      <c r="A235" t="s">
        <v>807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</row>
    <row r="236" spans="1:93" x14ac:dyDescent="0.25">
      <c r="A236" t="s">
        <v>808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</row>
    <row r="237" spans="1:93" x14ac:dyDescent="0.25">
      <c r="A237" t="s">
        <v>809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</row>
    <row r="238" spans="1:93" x14ac:dyDescent="0.25">
      <c r="A238" t="s">
        <v>810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</row>
    <row r="239" spans="1:93" x14ac:dyDescent="0.25">
      <c r="A239" t="s">
        <v>811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</row>
    <row r="240" spans="1:93" x14ac:dyDescent="0.25">
      <c r="A240" t="s">
        <v>812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</row>
    <row r="241" spans="1:93" x14ac:dyDescent="0.25">
      <c r="A241" t="s">
        <v>813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</row>
    <row r="242" spans="1:93" x14ac:dyDescent="0.25">
      <c r="A242" t="s">
        <v>814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</row>
    <row r="243" spans="1:93" x14ac:dyDescent="0.25">
      <c r="A243" t="s">
        <v>815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</row>
    <row r="244" spans="1:93" x14ac:dyDescent="0.25">
      <c r="A244" t="s">
        <v>816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</row>
    <row r="245" spans="1:93" x14ac:dyDescent="0.25">
      <c r="A245" t="s">
        <v>817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</row>
    <row r="246" spans="1:93" x14ac:dyDescent="0.25">
      <c r="A246" t="s">
        <v>818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</row>
    <row r="247" spans="1:93" x14ac:dyDescent="0.25">
      <c r="A247" t="s">
        <v>819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</row>
    <row r="248" spans="1:93" x14ac:dyDescent="0.25">
      <c r="A248" t="s">
        <v>820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</row>
    <row r="249" spans="1:93" x14ac:dyDescent="0.25">
      <c r="A249" t="s">
        <v>821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</row>
    <row r="250" spans="1:93" x14ac:dyDescent="0.25">
      <c r="A250" t="s">
        <v>822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</row>
    <row r="251" spans="1:93" x14ac:dyDescent="0.25">
      <c r="A251" t="s">
        <v>823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</row>
    <row r="252" spans="1:93" x14ac:dyDescent="0.25">
      <c r="A252" t="s">
        <v>824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</row>
    <row r="253" spans="1:93" x14ac:dyDescent="0.25">
      <c r="A253" t="s">
        <v>825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</row>
    <row r="254" spans="1:93" x14ac:dyDescent="0.25">
      <c r="A254" t="s">
        <v>826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</row>
    <row r="255" spans="1:93" x14ac:dyDescent="0.25">
      <c r="A255" t="s">
        <v>827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</row>
    <row r="256" spans="1:93" x14ac:dyDescent="0.25">
      <c r="A256" t="s">
        <v>828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</row>
    <row r="257" spans="1:93" x14ac:dyDescent="0.25">
      <c r="A257" t="s">
        <v>829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</row>
    <row r="258" spans="1:93" x14ac:dyDescent="0.25">
      <c r="A258" t="s">
        <v>830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</row>
    <row r="259" spans="1:93" x14ac:dyDescent="0.25">
      <c r="A259" t="s">
        <v>831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</row>
    <row r="260" spans="1:93" x14ac:dyDescent="0.25">
      <c r="A260" t="s">
        <v>832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</row>
    <row r="261" spans="1:93" x14ac:dyDescent="0.25">
      <c r="A261" t="s">
        <v>833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</row>
    <row r="262" spans="1:93" x14ac:dyDescent="0.25">
      <c r="A262" t="s">
        <v>834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</row>
    <row r="263" spans="1:93" x14ac:dyDescent="0.25">
      <c r="A263" t="s">
        <v>835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</row>
    <row r="264" spans="1:93" x14ac:dyDescent="0.25">
      <c r="A264" t="s">
        <v>836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</row>
    <row r="265" spans="1:93" x14ac:dyDescent="0.25">
      <c r="A265" t="s">
        <v>837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</row>
    <row r="266" spans="1:93" x14ac:dyDescent="0.25">
      <c r="A266" t="s">
        <v>838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</row>
    <row r="267" spans="1:93" x14ac:dyDescent="0.25">
      <c r="A267" t="s">
        <v>839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</row>
    <row r="268" spans="1:93" x14ac:dyDescent="0.25">
      <c r="A268" t="s">
        <v>840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</row>
    <row r="269" spans="1:93" x14ac:dyDescent="0.25">
      <c r="A269" t="s">
        <v>841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</row>
    <row r="270" spans="1:93" x14ac:dyDescent="0.25">
      <c r="A270" t="s">
        <v>842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</row>
    <row r="271" spans="1:93" x14ac:dyDescent="0.25">
      <c r="A271" t="s">
        <v>843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</row>
    <row r="272" spans="1:93" x14ac:dyDescent="0.25">
      <c r="A272" t="s">
        <v>844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</row>
    <row r="273" spans="1:93" x14ac:dyDescent="0.25">
      <c r="A273" t="s">
        <v>845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</row>
    <row r="274" spans="1:93" x14ac:dyDescent="0.25">
      <c r="A274" t="s">
        <v>846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</row>
    <row r="275" spans="1:93" x14ac:dyDescent="0.25">
      <c r="A275" t="s">
        <v>847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</row>
    <row r="276" spans="1:93" x14ac:dyDescent="0.25">
      <c r="A276" t="s">
        <v>848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</row>
    <row r="277" spans="1:93" x14ac:dyDescent="0.25">
      <c r="A277" t="s">
        <v>849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</row>
    <row r="278" spans="1:93" x14ac:dyDescent="0.25">
      <c r="A278" t="s">
        <v>850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</row>
    <row r="279" spans="1:93" x14ac:dyDescent="0.25">
      <c r="A279" t="s">
        <v>851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</row>
    <row r="280" spans="1:93" x14ac:dyDescent="0.25">
      <c r="A280" t="s">
        <v>852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</row>
    <row r="281" spans="1:93" x14ac:dyDescent="0.25">
      <c r="A281" t="s">
        <v>853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</row>
    <row r="282" spans="1:93" x14ac:dyDescent="0.25">
      <c r="A282" t="s">
        <v>854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</row>
    <row r="283" spans="1:93" x14ac:dyDescent="0.25">
      <c r="A283" t="s">
        <v>855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</row>
    <row r="284" spans="1:93" x14ac:dyDescent="0.25">
      <c r="A284" t="s">
        <v>856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</row>
    <row r="285" spans="1:93" x14ac:dyDescent="0.25">
      <c r="A285" t="s">
        <v>857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</row>
    <row r="286" spans="1:93" x14ac:dyDescent="0.25">
      <c r="A286" t="s">
        <v>858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</row>
    <row r="287" spans="1:93" x14ac:dyDescent="0.25">
      <c r="A287" t="s">
        <v>859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</row>
    <row r="288" spans="1:93" x14ac:dyDescent="0.25">
      <c r="A288" t="s">
        <v>860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</row>
    <row r="289" spans="1:93" x14ac:dyDescent="0.25">
      <c r="A289" t="s">
        <v>861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</row>
    <row r="290" spans="1:93" x14ac:dyDescent="0.25">
      <c r="A290" t="s">
        <v>862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</row>
    <row r="291" spans="1:93" x14ac:dyDescent="0.25">
      <c r="A291" t="s">
        <v>863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</row>
    <row r="292" spans="1:93" x14ac:dyDescent="0.25">
      <c r="A292" t="s">
        <v>864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</row>
    <row r="293" spans="1:93" x14ac:dyDescent="0.25">
      <c r="A293" t="s">
        <v>865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</row>
    <row r="294" spans="1:93" x14ac:dyDescent="0.25">
      <c r="A294" t="s">
        <v>866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</row>
    <row r="295" spans="1:93" x14ac:dyDescent="0.25">
      <c r="A295" t="s">
        <v>867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</row>
    <row r="296" spans="1:93" x14ac:dyDescent="0.25">
      <c r="A296" t="s">
        <v>868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</row>
    <row r="297" spans="1:93" x14ac:dyDescent="0.25">
      <c r="A297" t="s">
        <v>869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</row>
    <row r="298" spans="1:93" x14ac:dyDescent="0.25">
      <c r="A298" t="s">
        <v>870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</row>
    <row r="299" spans="1:93" x14ac:dyDescent="0.25">
      <c r="A299" t="s">
        <v>871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</row>
    <row r="300" spans="1:93" x14ac:dyDescent="0.25">
      <c r="A300" t="s">
        <v>872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</row>
    <row r="301" spans="1:93" x14ac:dyDescent="0.25">
      <c r="A301" t="s">
        <v>873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</row>
    <row r="302" spans="1:93" x14ac:dyDescent="0.25">
      <c r="A302" t="s">
        <v>874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</row>
    <row r="303" spans="1:93" x14ac:dyDescent="0.25">
      <c r="A303" t="s">
        <v>875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</row>
    <row r="304" spans="1:93" x14ac:dyDescent="0.25">
      <c r="A304" t="s">
        <v>876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</row>
    <row r="305" spans="1:93" x14ac:dyDescent="0.25">
      <c r="A305" t="s">
        <v>877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</row>
    <row r="306" spans="1:93" x14ac:dyDescent="0.25">
      <c r="A306" t="s">
        <v>878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</row>
    <row r="307" spans="1:93" x14ac:dyDescent="0.25">
      <c r="A307" t="s">
        <v>879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</row>
    <row r="308" spans="1:93" x14ac:dyDescent="0.25">
      <c r="A308" t="s">
        <v>880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</row>
    <row r="309" spans="1:93" x14ac:dyDescent="0.25">
      <c r="A309" t="s">
        <v>881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</row>
    <row r="310" spans="1:93" x14ac:dyDescent="0.25">
      <c r="A310" t="s">
        <v>882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</row>
    <row r="311" spans="1:93" x14ac:dyDescent="0.25">
      <c r="A311" t="s">
        <v>883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</row>
    <row r="312" spans="1:93" x14ac:dyDescent="0.25">
      <c r="A312" t="s">
        <v>884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</row>
    <row r="313" spans="1:93" x14ac:dyDescent="0.25">
      <c r="A313" t="s">
        <v>885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</row>
    <row r="314" spans="1:93" x14ac:dyDescent="0.25">
      <c r="A314" t="s">
        <v>886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</row>
    <row r="315" spans="1:93" x14ac:dyDescent="0.25">
      <c r="A315" t="s">
        <v>887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</row>
    <row r="316" spans="1:93" x14ac:dyDescent="0.25">
      <c r="A316" t="s">
        <v>888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</row>
    <row r="317" spans="1:93" x14ac:dyDescent="0.25">
      <c r="A317" t="s">
        <v>889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</row>
    <row r="318" spans="1:93" x14ac:dyDescent="0.25">
      <c r="A318" t="s">
        <v>890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</row>
    <row r="319" spans="1:93" x14ac:dyDescent="0.25">
      <c r="A319" t="s">
        <v>891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</row>
    <row r="320" spans="1:93" x14ac:dyDescent="0.25">
      <c r="A320" t="s">
        <v>892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</row>
    <row r="321" spans="1:93" x14ac:dyDescent="0.25">
      <c r="A321" t="s">
        <v>893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</row>
    <row r="322" spans="1:93" x14ac:dyDescent="0.25">
      <c r="A322" t="s">
        <v>894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</row>
    <row r="323" spans="1:93" x14ac:dyDescent="0.25">
      <c r="A323" t="s">
        <v>895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</row>
    <row r="324" spans="1:93" x14ac:dyDescent="0.25">
      <c r="A324" t="s">
        <v>896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</row>
    <row r="325" spans="1:93" x14ac:dyDescent="0.25">
      <c r="A325" t="s">
        <v>897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</row>
    <row r="326" spans="1:93" x14ac:dyDescent="0.25">
      <c r="A326" t="s">
        <v>898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</row>
    <row r="327" spans="1:93" x14ac:dyDescent="0.25">
      <c r="A327" t="s">
        <v>899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</row>
    <row r="328" spans="1:93" x14ac:dyDescent="0.25">
      <c r="A328" t="s">
        <v>900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</row>
    <row r="329" spans="1:93" x14ac:dyDescent="0.25">
      <c r="A329" t="s">
        <v>901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</row>
    <row r="330" spans="1:93" x14ac:dyDescent="0.25">
      <c r="A330" t="s">
        <v>902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</row>
    <row r="331" spans="1:93" x14ac:dyDescent="0.25">
      <c r="A331" t="s">
        <v>903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</row>
    <row r="332" spans="1:93" x14ac:dyDescent="0.25">
      <c r="A332" t="s">
        <v>904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</row>
    <row r="333" spans="1:93" x14ac:dyDescent="0.25">
      <c r="A333" t="s">
        <v>905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</row>
    <row r="334" spans="1:93" x14ac:dyDescent="0.25">
      <c r="A334" t="s">
        <v>906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</row>
    <row r="335" spans="1:93" x14ac:dyDescent="0.25">
      <c r="A335" t="s">
        <v>907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</row>
    <row r="336" spans="1:93" x14ac:dyDescent="0.25">
      <c r="A336" t="s">
        <v>908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</row>
    <row r="337" spans="1:93" x14ac:dyDescent="0.25">
      <c r="A337" t="s">
        <v>909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</row>
    <row r="338" spans="1:93" x14ac:dyDescent="0.25">
      <c r="A338" t="s">
        <v>910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</row>
    <row r="339" spans="1:93" x14ac:dyDescent="0.25">
      <c r="A339" t="s">
        <v>911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</row>
    <row r="340" spans="1:93" x14ac:dyDescent="0.25">
      <c r="A340" t="s">
        <v>912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</row>
    <row r="341" spans="1:93" x14ac:dyDescent="0.25">
      <c r="A341" t="s">
        <v>913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</row>
    <row r="342" spans="1:93" x14ac:dyDescent="0.25">
      <c r="A342" t="s">
        <v>914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</row>
    <row r="343" spans="1:93" x14ac:dyDescent="0.25">
      <c r="A343" t="s">
        <v>915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0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</row>
    <row r="344" spans="1:93" x14ac:dyDescent="0.25">
      <c r="A344" t="s">
        <v>916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</row>
    <row r="345" spans="1:93" x14ac:dyDescent="0.25">
      <c r="A345" t="s">
        <v>917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</row>
    <row r="346" spans="1:93" x14ac:dyDescent="0.25">
      <c r="A346" t="s">
        <v>918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0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  <c r="CN346">
        <v>0</v>
      </c>
      <c r="CO346">
        <v>0</v>
      </c>
    </row>
    <row r="347" spans="1:93" x14ac:dyDescent="0.25">
      <c r="A347" t="s">
        <v>919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</row>
    <row r="348" spans="1:93" x14ac:dyDescent="0.25">
      <c r="A348" t="s">
        <v>920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</row>
    <row r="349" spans="1:93" x14ac:dyDescent="0.25">
      <c r="A349" t="s">
        <v>921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</row>
    <row r="350" spans="1:93" x14ac:dyDescent="0.25">
      <c r="A350" t="s">
        <v>922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</row>
    <row r="351" spans="1:93" x14ac:dyDescent="0.25">
      <c r="A351" t="s">
        <v>923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</row>
    <row r="352" spans="1:93" x14ac:dyDescent="0.25">
      <c r="A352" t="s">
        <v>924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</row>
    <row r="353" spans="1:93" x14ac:dyDescent="0.25">
      <c r="A353" t="s">
        <v>925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</row>
    <row r="354" spans="1:93" x14ac:dyDescent="0.25">
      <c r="A354" t="s">
        <v>926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</row>
    <row r="355" spans="1:93" x14ac:dyDescent="0.25">
      <c r="A355" t="s">
        <v>927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</row>
    <row r="356" spans="1:93" x14ac:dyDescent="0.25">
      <c r="A356" t="s">
        <v>928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  <c r="CN356">
        <v>0</v>
      </c>
      <c r="CO356">
        <v>0</v>
      </c>
    </row>
    <row r="357" spans="1:93" x14ac:dyDescent="0.25">
      <c r="A357" t="s">
        <v>929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</row>
    <row r="358" spans="1:93" x14ac:dyDescent="0.25">
      <c r="A358" t="s">
        <v>930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</row>
    <row r="359" spans="1:93" x14ac:dyDescent="0.25">
      <c r="A359" t="s">
        <v>931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0</v>
      </c>
    </row>
    <row r="360" spans="1:93" x14ac:dyDescent="0.25">
      <c r="A360" t="s">
        <v>932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</row>
    <row r="361" spans="1:93" x14ac:dyDescent="0.25">
      <c r="A361" t="s">
        <v>933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</row>
    <row r="362" spans="1:93" x14ac:dyDescent="0.25">
      <c r="A362" t="s">
        <v>934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0</v>
      </c>
    </row>
    <row r="363" spans="1:93" x14ac:dyDescent="0.25">
      <c r="A363" t="s">
        <v>935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0</v>
      </c>
      <c r="CO363">
        <v>0</v>
      </c>
    </row>
    <row r="364" spans="1:93" x14ac:dyDescent="0.25">
      <c r="A364" t="s">
        <v>936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</row>
    <row r="365" spans="1:93" x14ac:dyDescent="0.25">
      <c r="A365" t="s">
        <v>937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</row>
    <row r="366" spans="1:93" x14ac:dyDescent="0.25">
      <c r="A366" t="s">
        <v>938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</row>
    <row r="367" spans="1:93" x14ac:dyDescent="0.25">
      <c r="A367" t="s">
        <v>939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</row>
    <row r="368" spans="1:93" x14ac:dyDescent="0.25">
      <c r="A368" t="s">
        <v>940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0</v>
      </c>
    </row>
    <row r="369" spans="1:93" x14ac:dyDescent="0.25">
      <c r="A369" t="s">
        <v>941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</row>
    <row r="370" spans="1:93" x14ac:dyDescent="0.25">
      <c r="A370" t="s">
        <v>942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0</v>
      </c>
    </row>
    <row r="371" spans="1:93" x14ac:dyDescent="0.25">
      <c r="A371" t="s">
        <v>943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</row>
    <row r="372" spans="1:93" x14ac:dyDescent="0.25">
      <c r="A372" t="s">
        <v>944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</row>
    <row r="373" spans="1:93" x14ac:dyDescent="0.25">
      <c r="A373" t="s">
        <v>945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</row>
    <row r="374" spans="1:93" x14ac:dyDescent="0.25">
      <c r="A374" t="s">
        <v>946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</row>
    <row r="375" spans="1:93" x14ac:dyDescent="0.25">
      <c r="A375" t="s">
        <v>947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</row>
    <row r="376" spans="1:93" x14ac:dyDescent="0.25">
      <c r="A376" t="s">
        <v>948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</row>
    <row r="377" spans="1:93" x14ac:dyDescent="0.25">
      <c r="A377" t="s">
        <v>949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  <c r="CF377">
        <v>0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</row>
    <row r="378" spans="1:93" x14ac:dyDescent="0.25">
      <c r="A378" t="s">
        <v>950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</row>
    <row r="379" spans="1:93" x14ac:dyDescent="0.25">
      <c r="A379" t="s">
        <v>951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</row>
    <row r="380" spans="1:93" x14ac:dyDescent="0.25">
      <c r="A380" t="s">
        <v>952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</row>
    <row r="381" spans="1:93" x14ac:dyDescent="0.25">
      <c r="A381" t="s">
        <v>953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0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  <c r="CN381">
        <v>0</v>
      </c>
      <c r="CO381">
        <v>0</v>
      </c>
    </row>
    <row r="382" spans="1:93" x14ac:dyDescent="0.25">
      <c r="A382" t="s">
        <v>954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  <c r="CN382">
        <v>0</v>
      </c>
      <c r="CO382">
        <v>0</v>
      </c>
    </row>
    <row r="383" spans="1:93" x14ac:dyDescent="0.25">
      <c r="A383" t="s">
        <v>955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</row>
    <row r="384" spans="1:93" x14ac:dyDescent="0.25">
      <c r="A384" t="s">
        <v>956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0</v>
      </c>
    </row>
    <row r="385" spans="1:93" x14ac:dyDescent="0.25">
      <c r="A385" t="s">
        <v>957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</row>
    <row r="386" spans="1:93" x14ac:dyDescent="0.25">
      <c r="A386" t="s">
        <v>958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</row>
    <row r="387" spans="1:93" x14ac:dyDescent="0.25">
      <c r="A387" t="s">
        <v>959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</row>
    <row r="388" spans="1:93" x14ac:dyDescent="0.25">
      <c r="A388" t="s">
        <v>960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</row>
    <row r="389" spans="1:93" x14ac:dyDescent="0.25">
      <c r="A389" t="s">
        <v>961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</row>
    <row r="390" spans="1:93" x14ac:dyDescent="0.25">
      <c r="A390" t="s">
        <v>962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</row>
    <row r="391" spans="1:93" x14ac:dyDescent="0.25">
      <c r="A391" t="s">
        <v>963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</row>
    <row r="392" spans="1:93" x14ac:dyDescent="0.25">
      <c r="A392" t="s">
        <v>964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</row>
    <row r="393" spans="1:93" x14ac:dyDescent="0.25">
      <c r="A393" t="s">
        <v>965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</row>
    <row r="394" spans="1:93" x14ac:dyDescent="0.25">
      <c r="A394" t="s">
        <v>966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</row>
    <row r="395" spans="1:93" x14ac:dyDescent="0.25">
      <c r="A395" t="s">
        <v>967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</row>
    <row r="396" spans="1:93" x14ac:dyDescent="0.25">
      <c r="A396" t="s">
        <v>968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</row>
    <row r="397" spans="1:93" x14ac:dyDescent="0.25">
      <c r="A397" t="s">
        <v>969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</row>
    <row r="398" spans="1:93" x14ac:dyDescent="0.25">
      <c r="A398" t="s">
        <v>970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</row>
    <row r="399" spans="1:93" x14ac:dyDescent="0.25">
      <c r="A399" t="s">
        <v>971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</row>
    <row r="400" spans="1:93" x14ac:dyDescent="0.25">
      <c r="A400" t="s">
        <v>972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</row>
    <row r="401" spans="1:93" x14ac:dyDescent="0.25">
      <c r="A401" t="s">
        <v>973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</row>
    <row r="402" spans="1:93" x14ac:dyDescent="0.25">
      <c r="A402" t="s">
        <v>974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</row>
    <row r="403" spans="1:93" x14ac:dyDescent="0.25">
      <c r="A403" t="s">
        <v>975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</row>
    <row r="404" spans="1:93" x14ac:dyDescent="0.25">
      <c r="A404" t="s">
        <v>976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</row>
    <row r="405" spans="1:93" x14ac:dyDescent="0.25">
      <c r="A405" t="s">
        <v>977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</row>
    <row r="406" spans="1:93" x14ac:dyDescent="0.25">
      <c r="A406" t="s">
        <v>978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</row>
    <row r="407" spans="1:93" x14ac:dyDescent="0.25">
      <c r="A407" t="s">
        <v>979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</row>
    <row r="408" spans="1:93" x14ac:dyDescent="0.25">
      <c r="A408" t="s">
        <v>980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</row>
    <row r="409" spans="1:93" x14ac:dyDescent="0.25">
      <c r="A409" t="s">
        <v>981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</row>
    <row r="410" spans="1:93" x14ac:dyDescent="0.25">
      <c r="A410" t="s">
        <v>982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</row>
    <row r="411" spans="1:93" x14ac:dyDescent="0.25">
      <c r="A411" t="s">
        <v>983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</row>
    <row r="412" spans="1:93" x14ac:dyDescent="0.25">
      <c r="A412" t="s">
        <v>984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</row>
    <row r="413" spans="1:93" x14ac:dyDescent="0.25">
      <c r="A413" t="s">
        <v>985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</row>
    <row r="414" spans="1:93" x14ac:dyDescent="0.25">
      <c r="A414" t="s">
        <v>986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</row>
    <row r="415" spans="1:93" x14ac:dyDescent="0.25">
      <c r="A415" t="s">
        <v>987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</row>
    <row r="416" spans="1:93" x14ac:dyDescent="0.25">
      <c r="A416" t="s">
        <v>988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</row>
    <row r="417" spans="1:93" x14ac:dyDescent="0.25">
      <c r="A417" t="s">
        <v>989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</row>
    <row r="418" spans="1:93" x14ac:dyDescent="0.25">
      <c r="A418" t="s">
        <v>990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</row>
    <row r="419" spans="1:93" x14ac:dyDescent="0.25">
      <c r="A419" t="s">
        <v>991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</row>
    <row r="420" spans="1:93" x14ac:dyDescent="0.25">
      <c r="A420" t="s">
        <v>992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</row>
    <row r="421" spans="1:93" x14ac:dyDescent="0.25">
      <c r="A421" t="s">
        <v>993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</row>
    <row r="422" spans="1:93" x14ac:dyDescent="0.25">
      <c r="A422" t="s">
        <v>994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</row>
    <row r="423" spans="1:93" x14ac:dyDescent="0.25">
      <c r="A423" t="s">
        <v>995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</row>
    <row r="424" spans="1:93" x14ac:dyDescent="0.25">
      <c r="A424" t="s">
        <v>996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</row>
    <row r="425" spans="1:93" x14ac:dyDescent="0.25">
      <c r="A425" t="s">
        <v>997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</row>
    <row r="426" spans="1:93" x14ac:dyDescent="0.25">
      <c r="A426" t="s">
        <v>998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</row>
    <row r="427" spans="1:93" x14ac:dyDescent="0.25">
      <c r="A427" t="s">
        <v>999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</row>
    <row r="428" spans="1:93" x14ac:dyDescent="0.25">
      <c r="A428" t="s">
        <v>1000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</row>
    <row r="429" spans="1:93" x14ac:dyDescent="0.25">
      <c r="A429" t="s">
        <v>1001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</row>
    <row r="430" spans="1:93" x14ac:dyDescent="0.25">
      <c r="A430" t="s">
        <v>1002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</row>
    <row r="431" spans="1:93" x14ac:dyDescent="0.25">
      <c r="A431" t="s">
        <v>1003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</row>
    <row r="432" spans="1:93" x14ac:dyDescent="0.25">
      <c r="A432" t="s">
        <v>1004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</row>
    <row r="433" spans="1:93" x14ac:dyDescent="0.25">
      <c r="A433" t="s">
        <v>1005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</row>
    <row r="434" spans="1:93" x14ac:dyDescent="0.25">
      <c r="A434" t="s">
        <v>1006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</row>
    <row r="435" spans="1:93" x14ac:dyDescent="0.25">
      <c r="A435" t="s">
        <v>1007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</row>
    <row r="436" spans="1:93" x14ac:dyDescent="0.25">
      <c r="A436" t="s">
        <v>1008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</row>
    <row r="437" spans="1:93" x14ac:dyDescent="0.25">
      <c r="A437" t="s">
        <v>1009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</row>
    <row r="438" spans="1:93" x14ac:dyDescent="0.25">
      <c r="A438" t="s">
        <v>1010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</row>
    <row r="439" spans="1:93" x14ac:dyDescent="0.25">
      <c r="A439" t="s">
        <v>1011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</row>
    <row r="440" spans="1:93" x14ac:dyDescent="0.25">
      <c r="A440" t="s">
        <v>1012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</row>
    <row r="441" spans="1:93" x14ac:dyDescent="0.25">
      <c r="A441" t="s">
        <v>1013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</row>
    <row r="442" spans="1:93" x14ac:dyDescent="0.25">
      <c r="A442" t="s">
        <v>1014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</row>
    <row r="443" spans="1:93" x14ac:dyDescent="0.25">
      <c r="A443" t="s">
        <v>1015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</row>
    <row r="444" spans="1:93" x14ac:dyDescent="0.25">
      <c r="A444" t="s">
        <v>1016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</row>
    <row r="445" spans="1:93" x14ac:dyDescent="0.25">
      <c r="A445" t="s">
        <v>1017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</row>
    <row r="446" spans="1:93" x14ac:dyDescent="0.25">
      <c r="A446" t="s">
        <v>1018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</row>
    <row r="447" spans="1:93" x14ac:dyDescent="0.25">
      <c r="A447" t="s">
        <v>1019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</row>
    <row r="448" spans="1:93" x14ac:dyDescent="0.25">
      <c r="A448" t="s">
        <v>1020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</row>
    <row r="449" spans="1:93" x14ac:dyDescent="0.25">
      <c r="A449" t="s">
        <v>1021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</row>
    <row r="450" spans="1:93" x14ac:dyDescent="0.25">
      <c r="A450" t="s">
        <v>1022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</row>
    <row r="451" spans="1:93" x14ac:dyDescent="0.25">
      <c r="A451" t="s">
        <v>1023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</row>
    <row r="452" spans="1:93" x14ac:dyDescent="0.25">
      <c r="A452" t="s">
        <v>1024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</row>
    <row r="453" spans="1:93" x14ac:dyDescent="0.25">
      <c r="A453" t="s">
        <v>1025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</row>
    <row r="454" spans="1:93" x14ac:dyDescent="0.25">
      <c r="A454" t="s">
        <v>1026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</row>
    <row r="455" spans="1:93" x14ac:dyDescent="0.25">
      <c r="A455" t="s">
        <v>1027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</row>
    <row r="456" spans="1:93" x14ac:dyDescent="0.25">
      <c r="A456" t="s">
        <v>1028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</row>
    <row r="457" spans="1:93" x14ac:dyDescent="0.25">
      <c r="A457" t="s">
        <v>1029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</row>
    <row r="458" spans="1:93" x14ac:dyDescent="0.25">
      <c r="A458" t="s">
        <v>1030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</row>
    <row r="459" spans="1:93" x14ac:dyDescent="0.25">
      <c r="A459" t="s">
        <v>1031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</row>
    <row r="460" spans="1:93" x14ac:dyDescent="0.25">
      <c r="A460" t="s">
        <v>1032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</row>
    <row r="461" spans="1:93" x14ac:dyDescent="0.25">
      <c r="A461" t="s">
        <v>1033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</row>
    <row r="462" spans="1:93" x14ac:dyDescent="0.25">
      <c r="A462" t="s">
        <v>1034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</row>
    <row r="463" spans="1:93" x14ac:dyDescent="0.25">
      <c r="A463" t="s">
        <v>1035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</row>
    <row r="464" spans="1:93" x14ac:dyDescent="0.25">
      <c r="A464" t="s">
        <v>1036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</row>
    <row r="465" spans="1:93" x14ac:dyDescent="0.25">
      <c r="A465" t="s">
        <v>1037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</row>
    <row r="466" spans="1:93" x14ac:dyDescent="0.25">
      <c r="A466" t="s">
        <v>1038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</row>
    <row r="467" spans="1:93" x14ac:dyDescent="0.25">
      <c r="A467" t="s">
        <v>1039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</row>
    <row r="468" spans="1:93" x14ac:dyDescent="0.25">
      <c r="A468" t="s">
        <v>1040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</row>
    <row r="469" spans="1:93" x14ac:dyDescent="0.25">
      <c r="A469" t="s">
        <v>1041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</row>
    <row r="470" spans="1:93" x14ac:dyDescent="0.25">
      <c r="A470" t="s">
        <v>1042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</row>
    <row r="471" spans="1:93" x14ac:dyDescent="0.25">
      <c r="A471" t="s">
        <v>1043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</row>
    <row r="472" spans="1:93" x14ac:dyDescent="0.25">
      <c r="A472" t="s">
        <v>1044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</row>
    <row r="473" spans="1:93" x14ac:dyDescent="0.25">
      <c r="A473" t="s">
        <v>1045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</row>
    <row r="474" spans="1:93" x14ac:dyDescent="0.25">
      <c r="A474" t="s">
        <v>1046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</row>
    <row r="475" spans="1:93" x14ac:dyDescent="0.25">
      <c r="A475" t="s">
        <v>1047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</row>
    <row r="476" spans="1:93" x14ac:dyDescent="0.25">
      <c r="A476" t="s">
        <v>1048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</row>
    <row r="477" spans="1:93" x14ac:dyDescent="0.25">
      <c r="A477" t="s">
        <v>1049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</row>
    <row r="478" spans="1:93" x14ac:dyDescent="0.25">
      <c r="A478" t="s">
        <v>1050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</row>
    <row r="479" spans="1:93" x14ac:dyDescent="0.25">
      <c r="A479" t="s">
        <v>1051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</row>
    <row r="480" spans="1:93" x14ac:dyDescent="0.25">
      <c r="A480" t="s">
        <v>1052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</row>
    <row r="481" spans="1:93" x14ac:dyDescent="0.25">
      <c r="A481" t="s">
        <v>1053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</row>
    <row r="482" spans="1:93" x14ac:dyDescent="0.25">
      <c r="A482" t="s">
        <v>1054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</row>
    <row r="483" spans="1:93" x14ac:dyDescent="0.25">
      <c r="A483" t="s">
        <v>1055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</row>
    <row r="484" spans="1:93" x14ac:dyDescent="0.25">
      <c r="A484" t="s">
        <v>1056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</row>
    <row r="485" spans="1:93" x14ac:dyDescent="0.25">
      <c r="A485" t="s">
        <v>1057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</row>
    <row r="486" spans="1:93" x14ac:dyDescent="0.25">
      <c r="A486" t="s">
        <v>1058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</row>
    <row r="487" spans="1:93" x14ac:dyDescent="0.25">
      <c r="A487" t="s">
        <v>1059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</row>
    <row r="488" spans="1:93" x14ac:dyDescent="0.25">
      <c r="A488" t="s">
        <v>1060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</row>
    <row r="489" spans="1:93" x14ac:dyDescent="0.25">
      <c r="A489" t="s">
        <v>1061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</row>
    <row r="490" spans="1:93" x14ac:dyDescent="0.25">
      <c r="A490" t="s">
        <v>1062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</row>
    <row r="491" spans="1:93" x14ac:dyDescent="0.25">
      <c r="A491" t="s">
        <v>1063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</row>
    <row r="492" spans="1:93" x14ac:dyDescent="0.25">
      <c r="A492" t="s">
        <v>1064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</row>
    <row r="493" spans="1:93" x14ac:dyDescent="0.25">
      <c r="A493" t="s">
        <v>1065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</row>
    <row r="494" spans="1:93" x14ac:dyDescent="0.25">
      <c r="A494" t="s">
        <v>1066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</row>
    <row r="495" spans="1:93" x14ac:dyDescent="0.25">
      <c r="A495" t="s">
        <v>1067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</row>
    <row r="496" spans="1:93" x14ac:dyDescent="0.25">
      <c r="A496" t="s">
        <v>1068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</row>
    <row r="497" spans="1:93" x14ac:dyDescent="0.25">
      <c r="A497" t="s">
        <v>1069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</row>
    <row r="498" spans="1:93" x14ac:dyDescent="0.25">
      <c r="A498" t="s">
        <v>1070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  <c r="CN498">
        <v>0</v>
      </c>
      <c r="CO498">
        <v>0</v>
      </c>
    </row>
    <row r="499" spans="1:93" x14ac:dyDescent="0.25">
      <c r="A499" t="s">
        <v>1071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</row>
    <row r="500" spans="1:93" x14ac:dyDescent="0.25">
      <c r="A500" t="s">
        <v>1072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</row>
    <row r="501" spans="1:93" x14ac:dyDescent="0.25">
      <c r="A501" t="s">
        <v>1073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0</v>
      </c>
      <c r="CO501">
        <v>0</v>
      </c>
    </row>
    <row r="502" spans="1:93" x14ac:dyDescent="0.25">
      <c r="A502" t="s">
        <v>1074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</row>
    <row r="503" spans="1:93" x14ac:dyDescent="0.25">
      <c r="A503" t="s">
        <v>1075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  <c r="CN503">
        <v>0</v>
      </c>
      <c r="CO503">
        <v>0</v>
      </c>
    </row>
    <row r="504" spans="1:93" x14ac:dyDescent="0.25">
      <c r="A504" t="s">
        <v>1076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</row>
    <row r="505" spans="1:93" x14ac:dyDescent="0.25">
      <c r="A505" t="s">
        <v>1077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</row>
    <row r="506" spans="1:93" x14ac:dyDescent="0.25">
      <c r="A506" t="s">
        <v>1078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N506">
        <v>0</v>
      </c>
      <c r="CO506">
        <v>0</v>
      </c>
    </row>
    <row r="507" spans="1:93" x14ac:dyDescent="0.25">
      <c r="A507" t="s">
        <v>1079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0</v>
      </c>
    </row>
    <row r="508" spans="1:93" x14ac:dyDescent="0.25">
      <c r="A508" t="s">
        <v>1080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  <c r="CN508">
        <v>0</v>
      </c>
      <c r="CO508">
        <v>0</v>
      </c>
    </row>
    <row r="509" spans="1:93" x14ac:dyDescent="0.25">
      <c r="A509" t="s">
        <v>1081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</row>
    <row r="510" spans="1:93" x14ac:dyDescent="0.25">
      <c r="A510" t="s">
        <v>1082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0</v>
      </c>
    </row>
    <row r="511" spans="1:93" x14ac:dyDescent="0.25">
      <c r="A511" t="s">
        <v>1083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0</v>
      </c>
      <c r="CO511">
        <v>0</v>
      </c>
    </row>
    <row r="512" spans="1:93" x14ac:dyDescent="0.25">
      <c r="A512" t="s">
        <v>1084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0</v>
      </c>
    </row>
    <row r="513" spans="1:93" x14ac:dyDescent="0.25">
      <c r="A513" t="s">
        <v>1085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</row>
    <row r="514" spans="1:93" x14ac:dyDescent="0.25">
      <c r="A514" t="s">
        <v>1086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0</v>
      </c>
      <c r="CO514">
        <v>0</v>
      </c>
    </row>
    <row r="515" spans="1:93" x14ac:dyDescent="0.25">
      <c r="A515" t="s">
        <v>1087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0</v>
      </c>
    </row>
  </sheetData>
  <sortState xmlns:xlrd2="http://schemas.microsoft.com/office/spreadsheetml/2017/richdata2" ref="A314:CO326">
    <sortCondition ref="A314:A32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>
                  <from>
                    <xdr:col>1</xdr:col>
                    <xdr:colOff>752475</xdr:colOff>
                    <xdr:row>0</xdr:row>
                    <xdr:rowOff>161925</xdr:rowOff>
                  </from>
                  <to>
                    <xdr:col>2</xdr:col>
                    <xdr:colOff>361950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3FC20-6880-466B-8CB3-B65B750CE5AA}">
  <sheetPr codeName="Sheet10"/>
  <dimension ref="A1:CO26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72.85546875" bestFit="1" customWidth="1"/>
    <col min="2" max="2" width="72.85546875" customWidth="1"/>
    <col min="3" max="13" width="10.42578125" bestFit="1" customWidth="1"/>
    <col min="14" max="93" width="12" bestFit="1" customWidth="1"/>
  </cols>
  <sheetData>
    <row r="1" spans="1:93" x14ac:dyDescent="0.25">
      <c r="A1" t="s">
        <v>0</v>
      </c>
      <c r="C1" s="1">
        <v>40179</v>
      </c>
      <c r="D1" s="1">
        <v>40544</v>
      </c>
      <c r="E1" s="1">
        <v>40909</v>
      </c>
      <c r="F1" s="1">
        <v>41275</v>
      </c>
      <c r="G1" s="1">
        <v>41640</v>
      </c>
      <c r="H1" s="1">
        <v>42005</v>
      </c>
      <c r="I1" s="1">
        <v>42370</v>
      </c>
      <c r="J1" s="1">
        <v>42736</v>
      </c>
      <c r="K1" s="1">
        <v>43101</v>
      </c>
      <c r="L1" s="1">
        <v>43466</v>
      </c>
      <c r="M1" s="1">
        <v>43831</v>
      </c>
      <c r="N1" s="1">
        <v>44197</v>
      </c>
      <c r="O1" s="1">
        <v>44562</v>
      </c>
      <c r="P1" s="1">
        <v>44927</v>
      </c>
      <c r="Q1" s="1">
        <v>45292</v>
      </c>
      <c r="R1" s="1">
        <v>45658</v>
      </c>
      <c r="S1" s="1">
        <v>46023</v>
      </c>
      <c r="T1" s="1">
        <v>46388</v>
      </c>
      <c r="U1" s="1">
        <v>46753</v>
      </c>
      <c r="V1" s="1">
        <v>47119</v>
      </c>
      <c r="W1" s="1">
        <v>47484</v>
      </c>
      <c r="X1" s="1">
        <v>47849</v>
      </c>
      <c r="Y1" s="1">
        <v>48214</v>
      </c>
      <c r="Z1" s="1">
        <v>48580</v>
      </c>
      <c r="AA1" s="1">
        <v>48945</v>
      </c>
      <c r="AB1" s="1">
        <v>49310</v>
      </c>
      <c r="AC1" s="1">
        <v>49675</v>
      </c>
      <c r="AD1" s="1">
        <v>50041</v>
      </c>
      <c r="AE1" s="1">
        <v>50406</v>
      </c>
      <c r="AF1" s="1">
        <v>50771</v>
      </c>
      <c r="AG1" s="1">
        <v>51136</v>
      </c>
      <c r="AH1" s="1">
        <v>51502</v>
      </c>
      <c r="AI1" s="1">
        <v>51867</v>
      </c>
      <c r="AJ1" s="1">
        <v>52232</v>
      </c>
      <c r="AK1" s="1">
        <v>52597</v>
      </c>
      <c r="AL1" s="1">
        <v>52963</v>
      </c>
      <c r="AM1" s="1">
        <v>53328</v>
      </c>
      <c r="AN1" s="1">
        <v>53693</v>
      </c>
      <c r="AO1" s="1">
        <v>54058</v>
      </c>
      <c r="AP1" s="1">
        <v>54424</v>
      </c>
      <c r="AQ1" s="1">
        <v>54789</v>
      </c>
      <c r="AR1" s="1">
        <v>55154</v>
      </c>
      <c r="AS1" s="1">
        <v>55519</v>
      </c>
      <c r="AT1" s="1">
        <v>55885</v>
      </c>
      <c r="AU1" s="1">
        <v>56250</v>
      </c>
      <c r="AV1" s="1">
        <v>56615</v>
      </c>
      <c r="AW1" s="1">
        <v>56980</v>
      </c>
      <c r="AX1" s="1">
        <v>57346</v>
      </c>
      <c r="AY1" s="1">
        <v>57711</v>
      </c>
      <c r="AZ1" s="1">
        <v>58076</v>
      </c>
      <c r="BA1" s="1">
        <v>58441</v>
      </c>
      <c r="BB1" s="1">
        <v>58807</v>
      </c>
      <c r="BC1" s="1">
        <v>59172</v>
      </c>
      <c r="BD1" s="1">
        <v>59537</v>
      </c>
      <c r="BE1" s="1">
        <v>59902</v>
      </c>
      <c r="BF1" s="1">
        <v>60268</v>
      </c>
      <c r="BG1" s="1">
        <v>60633</v>
      </c>
      <c r="BH1" s="1">
        <v>60998</v>
      </c>
      <c r="BI1" s="1">
        <v>61363</v>
      </c>
      <c r="BJ1" s="1">
        <v>61729</v>
      </c>
      <c r="BK1" s="1">
        <v>62094</v>
      </c>
      <c r="BL1" s="1">
        <v>62459</v>
      </c>
      <c r="BM1" s="1">
        <v>62824</v>
      </c>
      <c r="BN1" s="1">
        <v>63190</v>
      </c>
      <c r="BO1" s="1">
        <v>63555</v>
      </c>
      <c r="BP1" s="1">
        <v>63920</v>
      </c>
      <c r="BQ1" s="1">
        <v>64285</v>
      </c>
      <c r="BR1" s="1">
        <v>64651</v>
      </c>
      <c r="BS1" s="1">
        <v>65016</v>
      </c>
      <c r="BT1" s="1">
        <v>65381</v>
      </c>
      <c r="BU1" s="1">
        <v>65746</v>
      </c>
      <c r="BV1" s="1">
        <v>66112</v>
      </c>
      <c r="BW1" s="1">
        <v>66477</v>
      </c>
      <c r="BX1" s="1">
        <v>66842</v>
      </c>
      <c r="BY1" s="1">
        <v>67207</v>
      </c>
      <c r="BZ1" s="1">
        <v>67573</v>
      </c>
      <c r="CA1" s="1">
        <v>67938</v>
      </c>
      <c r="CB1" s="1">
        <v>68303</v>
      </c>
      <c r="CC1" s="1">
        <v>68668</v>
      </c>
      <c r="CD1" s="1">
        <v>69034</v>
      </c>
      <c r="CE1" s="1">
        <v>69399</v>
      </c>
      <c r="CF1" s="1">
        <v>69764</v>
      </c>
      <c r="CG1" s="1">
        <v>70129</v>
      </c>
      <c r="CH1" s="1">
        <v>70495</v>
      </c>
      <c r="CI1" s="1">
        <v>70860</v>
      </c>
      <c r="CJ1" s="1">
        <v>71225</v>
      </c>
      <c r="CK1" s="1">
        <v>71590</v>
      </c>
      <c r="CL1" s="1">
        <v>71956</v>
      </c>
      <c r="CM1" s="1">
        <v>72321</v>
      </c>
      <c r="CN1" s="1">
        <v>72686</v>
      </c>
      <c r="CO1" s="1">
        <v>73051</v>
      </c>
    </row>
    <row r="2" spans="1:93" x14ac:dyDescent="0.25">
      <c r="A2" t="s">
        <v>1</v>
      </c>
      <c r="C2" s="1">
        <v>40544</v>
      </c>
      <c r="D2" s="1">
        <v>40909</v>
      </c>
      <c r="E2" s="1">
        <v>41275</v>
      </c>
      <c r="F2" s="1">
        <v>41640</v>
      </c>
      <c r="G2" s="1">
        <v>42005</v>
      </c>
      <c r="H2" s="1">
        <v>42370</v>
      </c>
      <c r="I2" s="1">
        <v>42736</v>
      </c>
      <c r="J2" s="1">
        <v>43101</v>
      </c>
      <c r="K2" s="1">
        <v>43466</v>
      </c>
      <c r="L2" s="1">
        <v>43831</v>
      </c>
      <c r="M2" s="1">
        <v>44197</v>
      </c>
      <c r="N2" s="1">
        <v>44562</v>
      </c>
      <c r="O2" s="1">
        <v>44927</v>
      </c>
      <c r="P2" s="1">
        <v>45292</v>
      </c>
      <c r="Q2" s="1">
        <v>45658</v>
      </c>
      <c r="R2" s="1">
        <v>46023</v>
      </c>
      <c r="S2" s="1">
        <v>46388</v>
      </c>
      <c r="T2" s="1">
        <v>46753</v>
      </c>
      <c r="U2" s="1">
        <v>47119</v>
      </c>
      <c r="V2" s="1">
        <v>47484</v>
      </c>
      <c r="W2" s="1">
        <v>47849</v>
      </c>
      <c r="X2" s="1">
        <v>48214</v>
      </c>
      <c r="Y2" s="1">
        <v>48580</v>
      </c>
      <c r="Z2" s="1">
        <v>48945</v>
      </c>
      <c r="AA2" s="1">
        <v>49310</v>
      </c>
      <c r="AB2" s="1">
        <v>49675</v>
      </c>
      <c r="AC2" s="1">
        <v>50041</v>
      </c>
      <c r="AD2" s="1">
        <v>50406</v>
      </c>
      <c r="AE2" s="1">
        <v>50771</v>
      </c>
      <c r="AF2" s="1">
        <v>51136</v>
      </c>
      <c r="AG2" s="1">
        <v>51502</v>
      </c>
      <c r="AH2" s="1">
        <v>51867</v>
      </c>
      <c r="AI2" s="1">
        <v>52232</v>
      </c>
      <c r="AJ2" s="1">
        <v>52597</v>
      </c>
      <c r="AK2" s="1">
        <v>52963</v>
      </c>
      <c r="AL2" s="1">
        <v>53328</v>
      </c>
      <c r="AM2" s="1">
        <v>53693</v>
      </c>
      <c r="AN2" s="1">
        <v>54058</v>
      </c>
      <c r="AO2" s="1">
        <v>54424</v>
      </c>
      <c r="AP2" s="1">
        <v>54789</v>
      </c>
      <c r="AQ2" s="1">
        <v>55154</v>
      </c>
      <c r="AR2" s="1">
        <v>55519</v>
      </c>
      <c r="AS2" s="1">
        <v>55885</v>
      </c>
      <c r="AT2" s="1">
        <v>56250</v>
      </c>
      <c r="AU2" s="1">
        <v>56615</v>
      </c>
      <c r="AV2" s="1">
        <v>56980</v>
      </c>
      <c r="AW2" s="1">
        <v>57346</v>
      </c>
      <c r="AX2" s="1">
        <v>57711</v>
      </c>
      <c r="AY2" s="1">
        <v>58076</v>
      </c>
      <c r="AZ2" s="1">
        <v>58441</v>
      </c>
      <c r="BA2" s="1">
        <v>58807</v>
      </c>
      <c r="BB2" s="1">
        <v>59172</v>
      </c>
      <c r="BC2" s="1">
        <v>59537</v>
      </c>
      <c r="BD2" s="1">
        <v>59902</v>
      </c>
      <c r="BE2" s="1">
        <v>60268</v>
      </c>
      <c r="BF2" s="1">
        <v>60633</v>
      </c>
      <c r="BG2" s="1">
        <v>60998</v>
      </c>
      <c r="BH2" s="1">
        <v>61363</v>
      </c>
      <c r="BI2" s="1">
        <v>61729</v>
      </c>
      <c r="BJ2" s="1">
        <v>62094</v>
      </c>
      <c r="BK2" s="1">
        <v>62459</v>
      </c>
      <c r="BL2" s="1">
        <v>62824</v>
      </c>
      <c r="BM2" s="1">
        <v>63190</v>
      </c>
      <c r="BN2" s="1">
        <v>63555</v>
      </c>
      <c r="BO2" s="1">
        <v>63920</v>
      </c>
      <c r="BP2" s="1">
        <v>64285</v>
      </c>
      <c r="BQ2" s="1">
        <v>64651</v>
      </c>
      <c r="BR2" s="1">
        <v>65016</v>
      </c>
      <c r="BS2" s="1">
        <v>65381</v>
      </c>
      <c r="BT2" s="1">
        <v>65746</v>
      </c>
      <c r="BU2" s="1">
        <v>66112</v>
      </c>
      <c r="BV2" s="1">
        <v>66477</v>
      </c>
      <c r="BW2" s="1">
        <v>66842</v>
      </c>
      <c r="BX2" s="1">
        <v>67207</v>
      </c>
      <c r="BY2" s="1">
        <v>67573</v>
      </c>
      <c r="BZ2" s="1">
        <v>67938</v>
      </c>
      <c r="CA2" s="1">
        <v>68303</v>
      </c>
      <c r="CB2" s="1">
        <v>68668</v>
      </c>
      <c r="CC2" s="1">
        <v>69034</v>
      </c>
      <c r="CD2" s="1">
        <v>69399</v>
      </c>
      <c r="CE2" s="1">
        <v>69764</v>
      </c>
      <c r="CF2" s="1">
        <v>70129</v>
      </c>
      <c r="CG2" s="1">
        <v>70495</v>
      </c>
      <c r="CH2" s="1">
        <v>70860</v>
      </c>
      <c r="CI2" s="1">
        <v>71225</v>
      </c>
      <c r="CJ2" s="1">
        <v>71590</v>
      </c>
      <c r="CK2" s="1">
        <v>71956</v>
      </c>
      <c r="CL2" s="1">
        <v>72321</v>
      </c>
      <c r="CM2" s="1">
        <v>72686</v>
      </c>
      <c r="CN2" s="1">
        <v>73051</v>
      </c>
      <c r="CO2" s="1">
        <v>73416</v>
      </c>
    </row>
    <row r="3" spans="1:93" x14ac:dyDescent="0.25">
      <c r="A3" t="s">
        <v>4</v>
      </c>
      <c r="C3">
        <v>0</v>
      </c>
      <c r="D3">
        <v>0</v>
      </c>
      <c r="E3">
        <v>0</v>
      </c>
      <c r="F3">
        <v>400</v>
      </c>
      <c r="G3">
        <v>1400</v>
      </c>
      <c r="H3">
        <v>2400</v>
      </c>
      <c r="I3">
        <v>3400</v>
      </c>
      <c r="J3">
        <v>4400</v>
      </c>
      <c r="K3">
        <v>5400</v>
      </c>
      <c r="L3">
        <v>6482</v>
      </c>
      <c r="M3">
        <v>7563</v>
      </c>
      <c r="N3">
        <v>8063</v>
      </c>
      <c r="O3">
        <v>8501</v>
      </c>
      <c r="P3">
        <v>9184</v>
      </c>
      <c r="Q3">
        <v>10084</v>
      </c>
      <c r="R3">
        <v>11180</v>
      </c>
      <c r="S3">
        <v>12494</v>
      </c>
      <c r="T3">
        <v>13828</v>
      </c>
      <c r="U3">
        <v>15163</v>
      </c>
      <c r="V3">
        <v>16498</v>
      </c>
      <c r="W3">
        <v>17833</v>
      </c>
      <c r="X3">
        <v>18750</v>
      </c>
      <c r="Y3">
        <v>19250</v>
      </c>
      <c r="Z3">
        <v>19750</v>
      </c>
      <c r="AA3">
        <v>20250</v>
      </c>
      <c r="AB3">
        <v>20750</v>
      </c>
      <c r="AC3">
        <v>21250</v>
      </c>
      <c r="AD3">
        <v>21750</v>
      </c>
      <c r="AE3">
        <v>23400</v>
      </c>
      <c r="AF3">
        <v>26150</v>
      </c>
      <c r="AG3">
        <v>28900</v>
      </c>
      <c r="AH3">
        <v>30345</v>
      </c>
      <c r="AI3">
        <v>31862</v>
      </c>
      <c r="AJ3">
        <v>33455</v>
      </c>
      <c r="AK3">
        <v>35128</v>
      </c>
      <c r="AL3">
        <v>36885</v>
      </c>
      <c r="AM3">
        <v>38729</v>
      </c>
      <c r="AN3">
        <v>40665</v>
      </c>
      <c r="AO3">
        <v>42698</v>
      </c>
      <c r="AP3">
        <v>44833</v>
      </c>
      <c r="AQ3">
        <v>47075</v>
      </c>
      <c r="AR3">
        <v>49429</v>
      </c>
      <c r="AS3">
        <v>51900</v>
      </c>
      <c r="AT3">
        <v>54495</v>
      </c>
      <c r="AU3">
        <v>57220</v>
      </c>
      <c r="AV3">
        <v>60081</v>
      </c>
      <c r="AW3">
        <v>63085</v>
      </c>
      <c r="AX3">
        <v>66239</v>
      </c>
      <c r="AY3">
        <v>69551</v>
      </c>
      <c r="AZ3">
        <v>73029</v>
      </c>
      <c r="BA3">
        <v>76680</v>
      </c>
      <c r="BB3">
        <v>80514</v>
      </c>
      <c r="BC3">
        <v>84540</v>
      </c>
      <c r="BD3">
        <v>88767</v>
      </c>
      <c r="BE3">
        <v>93205</v>
      </c>
      <c r="BF3">
        <v>97866</v>
      </c>
      <c r="BG3">
        <v>102759</v>
      </c>
      <c r="BH3">
        <v>107897</v>
      </c>
      <c r="BI3">
        <v>113292</v>
      </c>
      <c r="BJ3">
        <v>118956</v>
      </c>
      <c r="BK3">
        <v>124904</v>
      </c>
      <c r="BL3">
        <v>131149</v>
      </c>
      <c r="BM3">
        <v>137707</v>
      </c>
      <c r="BN3">
        <v>144592</v>
      </c>
      <c r="BO3">
        <v>151822</v>
      </c>
      <c r="BP3">
        <v>159413</v>
      </c>
      <c r="BQ3">
        <v>167383</v>
      </c>
      <c r="BR3">
        <v>175753</v>
      </c>
      <c r="BS3">
        <v>184540</v>
      </c>
      <c r="BT3">
        <v>193767</v>
      </c>
      <c r="BU3">
        <v>203456</v>
      </c>
      <c r="BV3">
        <v>213628</v>
      </c>
      <c r="BW3">
        <v>224310</v>
      </c>
      <c r="BX3">
        <v>235525</v>
      </c>
      <c r="BY3">
        <v>247302</v>
      </c>
      <c r="BZ3">
        <v>259667</v>
      </c>
      <c r="CA3">
        <v>272650</v>
      </c>
      <c r="CB3">
        <v>286283</v>
      </c>
      <c r="CC3">
        <v>300597</v>
      </c>
      <c r="CD3">
        <v>315627</v>
      </c>
      <c r="CE3">
        <v>331408</v>
      </c>
      <c r="CF3">
        <v>347978</v>
      </c>
      <c r="CG3">
        <v>365377</v>
      </c>
      <c r="CH3">
        <v>383646</v>
      </c>
      <c r="CI3">
        <v>402828</v>
      </c>
      <c r="CJ3">
        <v>422970</v>
      </c>
      <c r="CK3">
        <v>444118</v>
      </c>
      <c r="CL3">
        <v>466324</v>
      </c>
      <c r="CM3">
        <v>489640</v>
      </c>
      <c r="CN3">
        <v>514122</v>
      </c>
      <c r="CO3">
        <v>539828</v>
      </c>
    </row>
    <row r="4" spans="1:93" x14ac:dyDescent="0.25">
      <c r="A4" t="s">
        <v>5</v>
      </c>
      <c r="C4">
        <v>0</v>
      </c>
      <c r="D4">
        <v>0</v>
      </c>
      <c r="E4">
        <v>0</v>
      </c>
      <c r="F4">
        <v>320</v>
      </c>
      <c r="G4">
        <v>1120</v>
      </c>
      <c r="H4">
        <v>1920</v>
      </c>
      <c r="I4">
        <v>2720</v>
      </c>
      <c r="J4">
        <v>3520</v>
      </c>
      <c r="K4">
        <v>4320</v>
      </c>
      <c r="L4">
        <v>5185</v>
      </c>
      <c r="M4">
        <v>6050</v>
      </c>
      <c r="N4">
        <v>6450</v>
      </c>
      <c r="O4">
        <v>6801</v>
      </c>
      <c r="P4">
        <v>7347</v>
      </c>
      <c r="Q4">
        <v>8067</v>
      </c>
      <c r="R4">
        <v>8944</v>
      </c>
      <c r="S4">
        <v>9995</v>
      </c>
      <c r="T4">
        <v>11062</v>
      </c>
      <c r="U4">
        <v>12130</v>
      </c>
      <c r="V4">
        <v>13198</v>
      </c>
      <c r="W4">
        <v>14266</v>
      </c>
      <c r="X4">
        <v>15000</v>
      </c>
      <c r="Y4">
        <v>15400</v>
      </c>
      <c r="Z4">
        <v>15800</v>
      </c>
      <c r="AA4">
        <v>16200</v>
      </c>
      <c r="AB4">
        <v>16600</v>
      </c>
      <c r="AC4">
        <v>17000</v>
      </c>
      <c r="AD4">
        <v>17400</v>
      </c>
      <c r="AE4">
        <v>18720</v>
      </c>
      <c r="AF4">
        <v>20920</v>
      </c>
      <c r="AG4">
        <v>23120</v>
      </c>
      <c r="AH4">
        <v>24276</v>
      </c>
      <c r="AI4">
        <v>25490</v>
      </c>
      <c r="AJ4">
        <v>26764</v>
      </c>
      <c r="AK4">
        <v>28103</v>
      </c>
      <c r="AL4">
        <v>29508</v>
      </c>
      <c r="AM4">
        <v>30983</v>
      </c>
      <c r="AN4">
        <v>32532</v>
      </c>
      <c r="AO4">
        <v>34159</v>
      </c>
      <c r="AP4">
        <v>35867</v>
      </c>
      <c r="AQ4">
        <v>37660</v>
      </c>
      <c r="AR4">
        <v>39543</v>
      </c>
      <c r="AS4">
        <v>41520</v>
      </c>
      <c r="AT4">
        <v>43596</v>
      </c>
      <c r="AU4">
        <v>45776</v>
      </c>
      <c r="AV4">
        <v>48065</v>
      </c>
      <c r="AW4">
        <v>50468</v>
      </c>
      <c r="AX4">
        <v>52991</v>
      </c>
      <c r="AY4">
        <v>55641</v>
      </c>
      <c r="AZ4">
        <v>58423</v>
      </c>
      <c r="BA4">
        <v>61344</v>
      </c>
      <c r="BB4">
        <v>64411</v>
      </c>
      <c r="BC4">
        <v>67632</v>
      </c>
      <c r="BD4">
        <v>71014</v>
      </c>
      <c r="BE4">
        <v>74564</v>
      </c>
      <c r="BF4">
        <v>78293</v>
      </c>
      <c r="BG4">
        <v>82207</v>
      </c>
      <c r="BH4">
        <v>86318</v>
      </c>
      <c r="BI4">
        <v>90633</v>
      </c>
      <c r="BJ4">
        <v>95165</v>
      </c>
      <c r="BK4">
        <v>99923</v>
      </c>
      <c r="BL4">
        <v>104919</v>
      </c>
      <c r="BM4">
        <v>110165</v>
      </c>
      <c r="BN4">
        <v>115674</v>
      </c>
      <c r="BO4">
        <v>121457</v>
      </c>
      <c r="BP4">
        <v>127530</v>
      </c>
      <c r="BQ4">
        <v>133907</v>
      </c>
      <c r="BR4">
        <v>140602</v>
      </c>
      <c r="BS4">
        <v>147632</v>
      </c>
      <c r="BT4">
        <v>155014</v>
      </c>
      <c r="BU4">
        <v>162765</v>
      </c>
      <c r="BV4">
        <v>170903</v>
      </c>
      <c r="BW4">
        <v>179448</v>
      </c>
      <c r="BX4">
        <v>188420</v>
      </c>
      <c r="BY4">
        <v>197841</v>
      </c>
      <c r="BZ4">
        <v>207733</v>
      </c>
      <c r="CA4">
        <v>218120</v>
      </c>
      <c r="CB4">
        <v>229026</v>
      </c>
      <c r="CC4">
        <v>240477</v>
      </c>
      <c r="CD4">
        <v>252501</v>
      </c>
      <c r="CE4">
        <v>265126</v>
      </c>
      <c r="CF4">
        <v>278383</v>
      </c>
      <c r="CG4">
        <v>292302</v>
      </c>
      <c r="CH4">
        <v>306917</v>
      </c>
      <c r="CI4">
        <v>322263</v>
      </c>
      <c r="CJ4">
        <v>338376</v>
      </c>
      <c r="CK4">
        <v>355295</v>
      </c>
      <c r="CL4">
        <v>373059</v>
      </c>
      <c r="CM4">
        <v>391712</v>
      </c>
      <c r="CN4">
        <v>411298</v>
      </c>
      <c r="CO4">
        <v>431863</v>
      </c>
    </row>
    <row r="5" spans="1:93" x14ac:dyDescent="0.25">
      <c r="A5" t="s">
        <v>6</v>
      </c>
      <c r="C5">
        <v>0</v>
      </c>
      <c r="D5">
        <v>0</v>
      </c>
      <c r="E5">
        <v>0</v>
      </c>
      <c r="F5">
        <v>80</v>
      </c>
      <c r="G5">
        <v>280</v>
      </c>
      <c r="H5">
        <v>480</v>
      </c>
      <c r="I5">
        <v>680</v>
      </c>
      <c r="J5">
        <v>880</v>
      </c>
      <c r="K5">
        <v>1080</v>
      </c>
      <c r="L5">
        <v>1296</v>
      </c>
      <c r="M5">
        <v>1513</v>
      </c>
      <c r="N5">
        <v>1613</v>
      </c>
      <c r="O5">
        <v>1700</v>
      </c>
      <c r="P5">
        <v>1837</v>
      </c>
      <c r="Q5">
        <v>2017</v>
      </c>
      <c r="R5">
        <v>2236</v>
      </c>
      <c r="S5">
        <v>2499</v>
      </c>
      <c r="T5">
        <v>2766</v>
      </c>
      <c r="U5">
        <v>3033</v>
      </c>
      <c r="V5">
        <v>3300</v>
      </c>
      <c r="W5">
        <v>3567</v>
      </c>
      <c r="X5">
        <v>3750</v>
      </c>
      <c r="Y5">
        <v>3850</v>
      </c>
      <c r="Z5">
        <v>3950</v>
      </c>
      <c r="AA5">
        <v>4050</v>
      </c>
      <c r="AB5">
        <v>4150</v>
      </c>
      <c r="AC5">
        <v>4250</v>
      </c>
      <c r="AD5">
        <v>4350</v>
      </c>
      <c r="AE5">
        <v>4680</v>
      </c>
      <c r="AF5">
        <v>5230</v>
      </c>
      <c r="AG5">
        <v>5780</v>
      </c>
      <c r="AH5">
        <v>6069</v>
      </c>
      <c r="AI5">
        <v>6372</v>
      </c>
      <c r="AJ5">
        <v>6691</v>
      </c>
      <c r="AK5">
        <v>7026</v>
      </c>
      <c r="AL5">
        <v>7377</v>
      </c>
      <c r="AM5">
        <v>7746</v>
      </c>
      <c r="AN5">
        <v>8133</v>
      </c>
      <c r="AO5">
        <v>8540</v>
      </c>
      <c r="AP5">
        <v>8967</v>
      </c>
      <c r="AQ5">
        <v>9415</v>
      </c>
      <c r="AR5">
        <v>9886</v>
      </c>
      <c r="AS5">
        <v>10380</v>
      </c>
      <c r="AT5">
        <v>10899</v>
      </c>
      <c r="AU5">
        <v>11444</v>
      </c>
      <c r="AV5">
        <v>12016</v>
      </c>
      <c r="AW5">
        <v>12617</v>
      </c>
      <c r="AX5">
        <v>13248</v>
      </c>
      <c r="AY5">
        <v>13910</v>
      </c>
      <c r="AZ5">
        <v>14606</v>
      </c>
      <c r="BA5">
        <v>15336</v>
      </c>
      <c r="BB5">
        <v>16103</v>
      </c>
      <c r="BC5">
        <v>16908</v>
      </c>
      <c r="BD5">
        <v>17753</v>
      </c>
      <c r="BE5">
        <v>18641</v>
      </c>
      <c r="BF5">
        <v>19573</v>
      </c>
      <c r="BG5">
        <v>20552</v>
      </c>
      <c r="BH5">
        <v>21579</v>
      </c>
      <c r="BI5">
        <v>22658</v>
      </c>
      <c r="BJ5">
        <v>23791</v>
      </c>
      <c r="BK5">
        <v>24981</v>
      </c>
      <c r="BL5">
        <v>26230</v>
      </c>
      <c r="BM5">
        <v>27541</v>
      </c>
      <c r="BN5">
        <v>28918</v>
      </c>
      <c r="BO5">
        <v>30364</v>
      </c>
      <c r="BP5">
        <v>31883</v>
      </c>
      <c r="BQ5">
        <v>33477</v>
      </c>
      <c r="BR5">
        <v>35151</v>
      </c>
      <c r="BS5">
        <v>36908</v>
      </c>
      <c r="BT5">
        <v>38753</v>
      </c>
      <c r="BU5">
        <v>40691</v>
      </c>
      <c r="BV5">
        <v>42726</v>
      </c>
      <c r="BW5">
        <v>44862</v>
      </c>
      <c r="BX5">
        <v>47105</v>
      </c>
      <c r="BY5">
        <v>49460</v>
      </c>
      <c r="BZ5">
        <v>51933</v>
      </c>
      <c r="CA5">
        <v>54530</v>
      </c>
      <c r="CB5">
        <v>57257</v>
      </c>
      <c r="CC5">
        <v>60119</v>
      </c>
      <c r="CD5">
        <v>63125</v>
      </c>
      <c r="CE5">
        <v>66282</v>
      </c>
      <c r="CF5">
        <v>69596</v>
      </c>
      <c r="CG5">
        <v>73075</v>
      </c>
      <c r="CH5">
        <v>76729</v>
      </c>
      <c r="CI5">
        <v>80566</v>
      </c>
      <c r="CJ5">
        <v>84594</v>
      </c>
      <c r="CK5">
        <v>88824</v>
      </c>
      <c r="CL5">
        <v>93265</v>
      </c>
      <c r="CM5">
        <v>97928</v>
      </c>
      <c r="CN5">
        <v>102824</v>
      </c>
      <c r="CO5">
        <v>107966</v>
      </c>
    </row>
    <row r="6" spans="1:93" x14ac:dyDescent="0.25">
      <c r="A6" t="s">
        <v>35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1</v>
      </c>
      <c r="BT6">
        <v>1</v>
      </c>
      <c r="BU6">
        <v>1</v>
      </c>
      <c r="BV6">
        <v>1</v>
      </c>
      <c r="BW6">
        <v>1</v>
      </c>
      <c r="BX6">
        <v>1</v>
      </c>
      <c r="BY6">
        <v>1</v>
      </c>
      <c r="BZ6">
        <v>1</v>
      </c>
      <c r="CA6">
        <v>1</v>
      </c>
      <c r="CB6">
        <v>1</v>
      </c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1</v>
      </c>
      <c r="CJ6">
        <v>1</v>
      </c>
      <c r="CK6">
        <v>1</v>
      </c>
      <c r="CL6">
        <v>1</v>
      </c>
      <c r="CM6">
        <v>1</v>
      </c>
      <c r="CN6">
        <v>1</v>
      </c>
      <c r="CO6">
        <v>1</v>
      </c>
    </row>
    <row r="7" spans="1:93" x14ac:dyDescent="0.25">
      <c r="A7" t="s">
        <v>36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1</v>
      </c>
      <c r="BW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1</v>
      </c>
      <c r="CL7">
        <v>1</v>
      </c>
      <c r="CM7">
        <v>1</v>
      </c>
      <c r="CN7">
        <v>1</v>
      </c>
      <c r="CO7">
        <v>1</v>
      </c>
    </row>
    <row r="8" spans="1:93" x14ac:dyDescent="0.25">
      <c r="A8" t="s">
        <v>37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U8">
        <v>1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1</v>
      </c>
      <c r="CH8">
        <v>1</v>
      </c>
      <c r="CI8">
        <v>1</v>
      </c>
      <c r="CJ8">
        <v>1</v>
      </c>
      <c r="CK8">
        <v>1</v>
      </c>
      <c r="CL8">
        <v>1</v>
      </c>
      <c r="CM8">
        <v>1</v>
      </c>
      <c r="CN8">
        <v>1</v>
      </c>
      <c r="CO8">
        <v>1</v>
      </c>
    </row>
    <row r="9" spans="1:93" x14ac:dyDescent="0.25">
      <c r="A9" t="s">
        <v>35</v>
      </c>
      <c r="C9" t="e">
        <f t="shared" ref="C9:BN11" si="0">C6/C$115</f>
        <v>#DIV/0!</v>
      </c>
      <c r="D9" t="e">
        <f t="shared" si="0"/>
        <v>#DIV/0!</v>
      </c>
      <c r="E9" t="e">
        <f t="shared" si="0"/>
        <v>#DIV/0!</v>
      </c>
      <c r="F9" t="e">
        <f t="shared" si="0"/>
        <v>#DIV/0!</v>
      </c>
      <c r="G9" t="e">
        <f t="shared" si="0"/>
        <v>#DIV/0!</v>
      </c>
      <c r="H9" t="e">
        <f t="shared" si="0"/>
        <v>#DIV/0!</v>
      </c>
      <c r="I9" t="e">
        <f t="shared" si="0"/>
        <v>#DIV/0!</v>
      </c>
      <c r="J9" t="e">
        <f t="shared" si="0"/>
        <v>#DIV/0!</v>
      </c>
      <c r="K9" t="e">
        <f t="shared" si="0"/>
        <v>#DIV/0!</v>
      </c>
      <c r="L9" t="e">
        <f t="shared" si="0"/>
        <v>#DIV/0!</v>
      </c>
      <c r="M9" t="e">
        <f t="shared" si="0"/>
        <v>#DIV/0!</v>
      </c>
      <c r="N9" t="e">
        <f t="shared" si="0"/>
        <v>#DIV/0!</v>
      </c>
      <c r="O9" t="e">
        <f t="shared" si="0"/>
        <v>#DIV/0!</v>
      </c>
      <c r="P9" t="e">
        <f t="shared" si="0"/>
        <v>#DIV/0!</v>
      </c>
      <c r="Q9" t="e">
        <f t="shared" si="0"/>
        <v>#DIV/0!</v>
      </c>
      <c r="R9" t="e">
        <f t="shared" si="0"/>
        <v>#DIV/0!</v>
      </c>
      <c r="S9" t="e">
        <f t="shared" si="0"/>
        <v>#DIV/0!</v>
      </c>
      <c r="T9" t="e">
        <f t="shared" si="0"/>
        <v>#DIV/0!</v>
      </c>
      <c r="U9" t="e">
        <f t="shared" si="0"/>
        <v>#DIV/0!</v>
      </c>
      <c r="V9" t="e">
        <f t="shared" si="0"/>
        <v>#DIV/0!</v>
      </c>
      <c r="W9" t="e">
        <f t="shared" si="0"/>
        <v>#DIV/0!</v>
      </c>
      <c r="X9" t="e">
        <f t="shared" si="0"/>
        <v>#DIV/0!</v>
      </c>
      <c r="Y9" t="e">
        <f t="shared" si="0"/>
        <v>#DIV/0!</v>
      </c>
      <c r="Z9" t="e">
        <f t="shared" si="0"/>
        <v>#DIV/0!</v>
      </c>
      <c r="AA9" t="e">
        <f t="shared" si="0"/>
        <v>#DIV/0!</v>
      </c>
      <c r="AB9" t="e">
        <f t="shared" si="0"/>
        <v>#DIV/0!</v>
      </c>
      <c r="AC9" t="e">
        <f t="shared" si="0"/>
        <v>#DIV/0!</v>
      </c>
      <c r="AD9" t="e">
        <f t="shared" si="0"/>
        <v>#DIV/0!</v>
      </c>
      <c r="AE9" t="e">
        <f t="shared" si="0"/>
        <v>#DIV/0!</v>
      </c>
      <c r="AF9" t="e">
        <f t="shared" si="0"/>
        <v>#DIV/0!</v>
      </c>
      <c r="AG9" t="e">
        <f t="shared" si="0"/>
        <v>#DIV/0!</v>
      </c>
      <c r="AH9" t="e">
        <f t="shared" si="0"/>
        <v>#DIV/0!</v>
      </c>
      <c r="AI9" t="e">
        <f t="shared" si="0"/>
        <v>#DIV/0!</v>
      </c>
      <c r="AJ9" t="e">
        <f t="shared" si="0"/>
        <v>#DIV/0!</v>
      </c>
      <c r="AK9" t="e">
        <f t="shared" si="0"/>
        <v>#DIV/0!</v>
      </c>
      <c r="AL9" t="e">
        <f t="shared" si="0"/>
        <v>#DIV/0!</v>
      </c>
      <c r="AM9" t="e">
        <f t="shared" si="0"/>
        <v>#DIV/0!</v>
      </c>
      <c r="AN9" t="e">
        <f t="shared" si="0"/>
        <v>#DIV/0!</v>
      </c>
      <c r="AO9" t="e">
        <f t="shared" si="0"/>
        <v>#DIV/0!</v>
      </c>
      <c r="AP9" t="e">
        <f t="shared" si="0"/>
        <v>#DIV/0!</v>
      </c>
      <c r="AQ9" t="e">
        <f t="shared" si="0"/>
        <v>#DIV/0!</v>
      </c>
      <c r="AR9" t="e">
        <f t="shared" si="0"/>
        <v>#DIV/0!</v>
      </c>
      <c r="AS9" t="e">
        <f t="shared" si="0"/>
        <v>#DIV/0!</v>
      </c>
      <c r="AT9" t="e">
        <f t="shared" si="0"/>
        <v>#DIV/0!</v>
      </c>
      <c r="AU9" t="e">
        <f t="shared" si="0"/>
        <v>#DIV/0!</v>
      </c>
      <c r="AV9" t="e">
        <f t="shared" si="0"/>
        <v>#DIV/0!</v>
      </c>
      <c r="AW9" t="e">
        <f t="shared" si="0"/>
        <v>#DIV/0!</v>
      </c>
      <c r="AX9" t="e">
        <f t="shared" si="0"/>
        <v>#DIV/0!</v>
      </c>
      <c r="AY9" t="e">
        <f t="shared" si="0"/>
        <v>#DIV/0!</v>
      </c>
      <c r="AZ9" t="e">
        <f t="shared" si="0"/>
        <v>#DIV/0!</v>
      </c>
      <c r="BA9" t="e">
        <f t="shared" si="0"/>
        <v>#DIV/0!</v>
      </c>
      <c r="BB9" t="e">
        <f t="shared" si="0"/>
        <v>#DIV/0!</v>
      </c>
      <c r="BC9" t="e">
        <f t="shared" si="0"/>
        <v>#DIV/0!</v>
      </c>
      <c r="BD9" t="e">
        <f t="shared" si="0"/>
        <v>#DIV/0!</v>
      </c>
      <c r="BE9" t="e">
        <f t="shared" si="0"/>
        <v>#DIV/0!</v>
      </c>
      <c r="BF9" t="e">
        <f t="shared" si="0"/>
        <v>#DIV/0!</v>
      </c>
      <c r="BG9" t="e">
        <f t="shared" si="0"/>
        <v>#DIV/0!</v>
      </c>
      <c r="BH9" t="e">
        <f t="shared" si="0"/>
        <v>#DIV/0!</v>
      </c>
      <c r="BI9" t="e">
        <f t="shared" si="0"/>
        <v>#DIV/0!</v>
      </c>
      <c r="BJ9" t="e">
        <f t="shared" si="0"/>
        <v>#DIV/0!</v>
      </c>
      <c r="BK9" t="e">
        <f t="shared" si="0"/>
        <v>#DIV/0!</v>
      </c>
      <c r="BL9" t="e">
        <f t="shared" si="0"/>
        <v>#DIV/0!</v>
      </c>
      <c r="BM9" t="e">
        <f t="shared" si="0"/>
        <v>#DIV/0!</v>
      </c>
      <c r="BN9" t="e">
        <f t="shared" si="0"/>
        <v>#DIV/0!</v>
      </c>
      <c r="BO9" t="e">
        <f t="shared" ref="BO9:CO11" si="1">BO6/BO$115</f>
        <v>#DIV/0!</v>
      </c>
      <c r="BP9" t="e">
        <f t="shared" si="1"/>
        <v>#DIV/0!</v>
      </c>
      <c r="BQ9" t="e">
        <f t="shared" si="1"/>
        <v>#DIV/0!</v>
      </c>
      <c r="BR9" t="e">
        <f t="shared" si="1"/>
        <v>#DIV/0!</v>
      </c>
      <c r="BS9" t="e">
        <f t="shared" si="1"/>
        <v>#DIV/0!</v>
      </c>
      <c r="BT9" t="e">
        <f t="shared" si="1"/>
        <v>#DIV/0!</v>
      </c>
      <c r="BU9" t="e">
        <f t="shared" si="1"/>
        <v>#DIV/0!</v>
      </c>
      <c r="BV9" t="e">
        <f t="shared" si="1"/>
        <v>#DIV/0!</v>
      </c>
      <c r="BW9" t="e">
        <f t="shared" si="1"/>
        <v>#DIV/0!</v>
      </c>
      <c r="BX9" t="e">
        <f t="shared" si="1"/>
        <v>#DIV/0!</v>
      </c>
      <c r="BY9" t="e">
        <f t="shared" si="1"/>
        <v>#DIV/0!</v>
      </c>
      <c r="BZ9" t="e">
        <f t="shared" si="1"/>
        <v>#DIV/0!</v>
      </c>
      <c r="CA9" t="e">
        <f t="shared" si="1"/>
        <v>#DIV/0!</v>
      </c>
      <c r="CB9" t="e">
        <f t="shared" si="1"/>
        <v>#DIV/0!</v>
      </c>
      <c r="CC9" t="e">
        <f t="shared" si="1"/>
        <v>#DIV/0!</v>
      </c>
      <c r="CD9" t="e">
        <f t="shared" si="1"/>
        <v>#DIV/0!</v>
      </c>
      <c r="CE9" t="e">
        <f t="shared" si="1"/>
        <v>#DIV/0!</v>
      </c>
      <c r="CF9" t="e">
        <f t="shared" si="1"/>
        <v>#DIV/0!</v>
      </c>
      <c r="CG9" t="e">
        <f t="shared" si="1"/>
        <v>#DIV/0!</v>
      </c>
      <c r="CH9" t="e">
        <f t="shared" si="1"/>
        <v>#DIV/0!</v>
      </c>
      <c r="CI9" t="e">
        <f t="shared" si="1"/>
        <v>#DIV/0!</v>
      </c>
      <c r="CJ9" t="e">
        <f t="shared" si="1"/>
        <v>#DIV/0!</v>
      </c>
      <c r="CK9" t="e">
        <f t="shared" si="1"/>
        <v>#DIV/0!</v>
      </c>
      <c r="CL9" t="e">
        <f t="shared" si="1"/>
        <v>#DIV/0!</v>
      </c>
      <c r="CM9" t="e">
        <f t="shared" si="1"/>
        <v>#DIV/0!</v>
      </c>
      <c r="CN9" t="e">
        <f t="shared" si="1"/>
        <v>#DIV/0!</v>
      </c>
      <c r="CO9" t="e">
        <f t="shared" si="1"/>
        <v>#DIV/0!</v>
      </c>
    </row>
    <row r="10" spans="1:93" x14ac:dyDescent="0.25">
      <c r="A10" t="s">
        <v>36</v>
      </c>
      <c r="C10" t="e">
        <f t="shared" si="0"/>
        <v>#DIV/0!</v>
      </c>
      <c r="D10" t="e">
        <f t="shared" si="0"/>
        <v>#DIV/0!</v>
      </c>
      <c r="E10" t="e">
        <f t="shared" si="0"/>
        <v>#DIV/0!</v>
      </c>
      <c r="F10" t="e">
        <f t="shared" si="0"/>
        <v>#DIV/0!</v>
      </c>
      <c r="G10" t="e">
        <f t="shared" si="0"/>
        <v>#DIV/0!</v>
      </c>
      <c r="H10" t="e">
        <f t="shared" si="0"/>
        <v>#DIV/0!</v>
      </c>
      <c r="I10" t="e">
        <f t="shared" si="0"/>
        <v>#DIV/0!</v>
      </c>
      <c r="J10" t="e">
        <f t="shared" si="0"/>
        <v>#DIV/0!</v>
      </c>
      <c r="K10" t="e">
        <f t="shared" si="0"/>
        <v>#DIV/0!</v>
      </c>
      <c r="L10" t="e">
        <f t="shared" si="0"/>
        <v>#DIV/0!</v>
      </c>
      <c r="M10" t="e">
        <f t="shared" si="0"/>
        <v>#DIV/0!</v>
      </c>
      <c r="N10" t="e">
        <f t="shared" si="0"/>
        <v>#DIV/0!</v>
      </c>
      <c r="O10" t="e">
        <f t="shared" si="0"/>
        <v>#DIV/0!</v>
      </c>
      <c r="P10" t="e">
        <f t="shared" si="0"/>
        <v>#DIV/0!</v>
      </c>
      <c r="Q10" t="e">
        <f t="shared" si="0"/>
        <v>#DIV/0!</v>
      </c>
      <c r="R10" t="e">
        <f t="shared" si="0"/>
        <v>#DIV/0!</v>
      </c>
      <c r="S10" t="e">
        <f t="shared" si="0"/>
        <v>#DIV/0!</v>
      </c>
      <c r="T10" t="e">
        <f t="shared" si="0"/>
        <v>#DIV/0!</v>
      </c>
      <c r="U10" t="e">
        <f t="shared" si="0"/>
        <v>#DIV/0!</v>
      </c>
      <c r="V10" t="e">
        <f t="shared" si="0"/>
        <v>#DIV/0!</v>
      </c>
      <c r="W10" t="e">
        <f t="shared" si="0"/>
        <v>#DIV/0!</v>
      </c>
      <c r="X10" t="e">
        <f t="shared" si="0"/>
        <v>#DIV/0!</v>
      </c>
      <c r="Y10" t="e">
        <f t="shared" si="0"/>
        <v>#DIV/0!</v>
      </c>
      <c r="Z10" t="e">
        <f t="shared" si="0"/>
        <v>#DIV/0!</v>
      </c>
      <c r="AA10" t="e">
        <f t="shared" si="0"/>
        <v>#DIV/0!</v>
      </c>
      <c r="AB10" t="e">
        <f t="shared" si="0"/>
        <v>#DIV/0!</v>
      </c>
      <c r="AC10" t="e">
        <f t="shared" si="0"/>
        <v>#DIV/0!</v>
      </c>
      <c r="AD10" t="e">
        <f t="shared" si="0"/>
        <v>#DIV/0!</v>
      </c>
      <c r="AE10" t="e">
        <f t="shared" si="0"/>
        <v>#DIV/0!</v>
      </c>
      <c r="AF10" t="e">
        <f t="shared" si="0"/>
        <v>#DIV/0!</v>
      </c>
      <c r="AG10" t="e">
        <f t="shared" si="0"/>
        <v>#DIV/0!</v>
      </c>
      <c r="AH10" t="e">
        <f t="shared" si="0"/>
        <v>#DIV/0!</v>
      </c>
      <c r="AI10" t="e">
        <f t="shared" si="0"/>
        <v>#DIV/0!</v>
      </c>
      <c r="AJ10" t="e">
        <f t="shared" si="0"/>
        <v>#DIV/0!</v>
      </c>
      <c r="AK10" t="e">
        <f t="shared" si="0"/>
        <v>#DIV/0!</v>
      </c>
      <c r="AL10" t="e">
        <f t="shared" si="0"/>
        <v>#DIV/0!</v>
      </c>
      <c r="AM10" t="e">
        <f t="shared" si="0"/>
        <v>#DIV/0!</v>
      </c>
      <c r="AN10" t="e">
        <f t="shared" si="0"/>
        <v>#DIV/0!</v>
      </c>
      <c r="AO10" t="e">
        <f t="shared" si="0"/>
        <v>#DIV/0!</v>
      </c>
      <c r="AP10" t="e">
        <f t="shared" si="0"/>
        <v>#DIV/0!</v>
      </c>
      <c r="AQ10" t="e">
        <f t="shared" si="0"/>
        <v>#DIV/0!</v>
      </c>
      <c r="AR10" t="e">
        <f t="shared" si="0"/>
        <v>#DIV/0!</v>
      </c>
      <c r="AS10" t="e">
        <f t="shared" si="0"/>
        <v>#DIV/0!</v>
      </c>
      <c r="AT10" t="e">
        <f t="shared" si="0"/>
        <v>#DIV/0!</v>
      </c>
      <c r="AU10" t="e">
        <f t="shared" si="0"/>
        <v>#DIV/0!</v>
      </c>
      <c r="AV10" t="e">
        <f t="shared" si="0"/>
        <v>#DIV/0!</v>
      </c>
      <c r="AW10" t="e">
        <f t="shared" si="0"/>
        <v>#DIV/0!</v>
      </c>
      <c r="AX10" t="e">
        <f t="shared" si="0"/>
        <v>#DIV/0!</v>
      </c>
      <c r="AY10" t="e">
        <f t="shared" si="0"/>
        <v>#DIV/0!</v>
      </c>
      <c r="AZ10" t="e">
        <f t="shared" si="0"/>
        <v>#DIV/0!</v>
      </c>
      <c r="BA10" t="e">
        <f t="shared" si="0"/>
        <v>#DIV/0!</v>
      </c>
      <c r="BB10" t="e">
        <f t="shared" si="0"/>
        <v>#DIV/0!</v>
      </c>
      <c r="BC10" t="e">
        <f t="shared" si="0"/>
        <v>#DIV/0!</v>
      </c>
      <c r="BD10" t="e">
        <f t="shared" si="0"/>
        <v>#DIV/0!</v>
      </c>
      <c r="BE10" t="e">
        <f t="shared" si="0"/>
        <v>#DIV/0!</v>
      </c>
      <c r="BF10" t="e">
        <f t="shared" si="0"/>
        <v>#DIV/0!</v>
      </c>
      <c r="BG10" t="e">
        <f t="shared" si="0"/>
        <v>#DIV/0!</v>
      </c>
      <c r="BH10" t="e">
        <f t="shared" si="0"/>
        <v>#DIV/0!</v>
      </c>
      <c r="BI10" t="e">
        <f t="shared" si="0"/>
        <v>#DIV/0!</v>
      </c>
      <c r="BJ10" t="e">
        <f t="shared" si="0"/>
        <v>#DIV/0!</v>
      </c>
      <c r="BK10" t="e">
        <f t="shared" si="0"/>
        <v>#DIV/0!</v>
      </c>
      <c r="BL10" t="e">
        <f t="shared" si="0"/>
        <v>#DIV/0!</v>
      </c>
      <c r="BM10" t="e">
        <f t="shared" si="0"/>
        <v>#DIV/0!</v>
      </c>
      <c r="BN10" t="e">
        <f t="shared" si="0"/>
        <v>#DIV/0!</v>
      </c>
      <c r="BO10" t="e">
        <f t="shared" si="1"/>
        <v>#DIV/0!</v>
      </c>
      <c r="BP10" t="e">
        <f t="shared" si="1"/>
        <v>#DIV/0!</v>
      </c>
      <c r="BQ10" t="e">
        <f t="shared" si="1"/>
        <v>#DIV/0!</v>
      </c>
      <c r="BR10" t="e">
        <f t="shared" si="1"/>
        <v>#DIV/0!</v>
      </c>
      <c r="BS10" t="e">
        <f t="shared" si="1"/>
        <v>#DIV/0!</v>
      </c>
      <c r="BT10" t="e">
        <f t="shared" si="1"/>
        <v>#DIV/0!</v>
      </c>
      <c r="BU10" t="e">
        <f t="shared" si="1"/>
        <v>#DIV/0!</v>
      </c>
      <c r="BV10" t="e">
        <f t="shared" si="1"/>
        <v>#DIV/0!</v>
      </c>
      <c r="BW10" t="e">
        <f t="shared" si="1"/>
        <v>#DIV/0!</v>
      </c>
      <c r="BX10" t="e">
        <f t="shared" si="1"/>
        <v>#DIV/0!</v>
      </c>
      <c r="BY10" t="e">
        <f t="shared" si="1"/>
        <v>#DIV/0!</v>
      </c>
      <c r="BZ10" t="e">
        <f t="shared" si="1"/>
        <v>#DIV/0!</v>
      </c>
      <c r="CA10" t="e">
        <f t="shared" si="1"/>
        <v>#DIV/0!</v>
      </c>
      <c r="CB10" t="e">
        <f t="shared" si="1"/>
        <v>#DIV/0!</v>
      </c>
      <c r="CC10" t="e">
        <f t="shared" si="1"/>
        <v>#DIV/0!</v>
      </c>
      <c r="CD10" t="e">
        <f t="shared" si="1"/>
        <v>#DIV/0!</v>
      </c>
      <c r="CE10" t="e">
        <f t="shared" si="1"/>
        <v>#DIV/0!</v>
      </c>
      <c r="CF10" t="e">
        <f t="shared" si="1"/>
        <v>#DIV/0!</v>
      </c>
      <c r="CG10" t="e">
        <f t="shared" si="1"/>
        <v>#DIV/0!</v>
      </c>
      <c r="CH10" t="e">
        <f t="shared" si="1"/>
        <v>#DIV/0!</v>
      </c>
      <c r="CI10" t="e">
        <f t="shared" si="1"/>
        <v>#DIV/0!</v>
      </c>
      <c r="CJ10" t="e">
        <f t="shared" si="1"/>
        <v>#DIV/0!</v>
      </c>
      <c r="CK10" t="e">
        <f t="shared" si="1"/>
        <v>#DIV/0!</v>
      </c>
      <c r="CL10" t="e">
        <f t="shared" si="1"/>
        <v>#DIV/0!</v>
      </c>
      <c r="CM10" t="e">
        <f t="shared" si="1"/>
        <v>#DIV/0!</v>
      </c>
      <c r="CN10" t="e">
        <f t="shared" si="1"/>
        <v>#DIV/0!</v>
      </c>
      <c r="CO10" t="e">
        <f t="shared" si="1"/>
        <v>#DIV/0!</v>
      </c>
    </row>
    <row r="11" spans="1:93" x14ac:dyDescent="0.25">
      <c r="A11" t="s">
        <v>37</v>
      </c>
      <c r="C11" t="e">
        <f t="shared" si="0"/>
        <v>#DIV/0!</v>
      </c>
      <c r="D11" t="e">
        <f t="shared" si="0"/>
        <v>#DIV/0!</v>
      </c>
      <c r="E11" t="e">
        <f t="shared" si="0"/>
        <v>#DIV/0!</v>
      </c>
      <c r="F11" t="e">
        <f t="shared" si="0"/>
        <v>#DIV/0!</v>
      </c>
      <c r="G11" t="e">
        <f t="shared" si="0"/>
        <v>#DIV/0!</v>
      </c>
      <c r="H11" t="e">
        <f t="shared" si="0"/>
        <v>#DIV/0!</v>
      </c>
      <c r="I11" t="e">
        <f t="shared" si="0"/>
        <v>#DIV/0!</v>
      </c>
      <c r="J11" t="e">
        <f t="shared" si="0"/>
        <v>#DIV/0!</v>
      </c>
      <c r="K11" t="e">
        <f t="shared" si="0"/>
        <v>#DIV/0!</v>
      </c>
      <c r="L11" t="e">
        <f t="shared" si="0"/>
        <v>#DIV/0!</v>
      </c>
      <c r="M11" t="e">
        <f t="shared" si="0"/>
        <v>#DIV/0!</v>
      </c>
      <c r="N11" t="e">
        <f t="shared" si="0"/>
        <v>#DIV/0!</v>
      </c>
      <c r="O11" t="e">
        <f t="shared" si="0"/>
        <v>#DIV/0!</v>
      </c>
      <c r="P11" t="e">
        <f t="shared" si="0"/>
        <v>#DIV/0!</v>
      </c>
      <c r="Q11" t="e">
        <f t="shared" si="0"/>
        <v>#DIV/0!</v>
      </c>
      <c r="R11" t="e">
        <f t="shared" si="0"/>
        <v>#DIV/0!</v>
      </c>
      <c r="S11" t="e">
        <f t="shared" si="0"/>
        <v>#DIV/0!</v>
      </c>
      <c r="T11" t="e">
        <f t="shared" si="0"/>
        <v>#DIV/0!</v>
      </c>
      <c r="U11" t="e">
        <f t="shared" si="0"/>
        <v>#DIV/0!</v>
      </c>
      <c r="V11" t="e">
        <f t="shared" si="0"/>
        <v>#DIV/0!</v>
      </c>
      <c r="W11" t="e">
        <f t="shared" si="0"/>
        <v>#DIV/0!</v>
      </c>
      <c r="X11" t="e">
        <f t="shared" si="0"/>
        <v>#DIV/0!</v>
      </c>
      <c r="Y11" t="e">
        <f t="shared" si="0"/>
        <v>#DIV/0!</v>
      </c>
      <c r="Z11" t="e">
        <f t="shared" si="0"/>
        <v>#DIV/0!</v>
      </c>
      <c r="AA11" t="e">
        <f t="shared" si="0"/>
        <v>#DIV/0!</v>
      </c>
      <c r="AB11" t="e">
        <f t="shared" si="0"/>
        <v>#DIV/0!</v>
      </c>
      <c r="AC11" t="e">
        <f t="shared" si="0"/>
        <v>#DIV/0!</v>
      </c>
      <c r="AD11" t="e">
        <f t="shared" si="0"/>
        <v>#DIV/0!</v>
      </c>
      <c r="AE11" t="e">
        <f t="shared" si="0"/>
        <v>#DIV/0!</v>
      </c>
      <c r="AF11" t="e">
        <f t="shared" si="0"/>
        <v>#DIV/0!</v>
      </c>
      <c r="AG11" t="e">
        <f t="shared" si="0"/>
        <v>#DIV/0!</v>
      </c>
      <c r="AH11" t="e">
        <f t="shared" si="0"/>
        <v>#DIV/0!</v>
      </c>
      <c r="AI11" t="e">
        <f t="shared" si="0"/>
        <v>#DIV/0!</v>
      </c>
      <c r="AJ11" t="e">
        <f t="shared" si="0"/>
        <v>#DIV/0!</v>
      </c>
      <c r="AK11" t="e">
        <f t="shared" si="0"/>
        <v>#DIV/0!</v>
      </c>
      <c r="AL11" t="e">
        <f t="shared" si="0"/>
        <v>#DIV/0!</v>
      </c>
      <c r="AM11" t="e">
        <f t="shared" si="0"/>
        <v>#DIV/0!</v>
      </c>
      <c r="AN11" t="e">
        <f t="shared" si="0"/>
        <v>#DIV/0!</v>
      </c>
      <c r="AO11" t="e">
        <f t="shared" si="0"/>
        <v>#DIV/0!</v>
      </c>
      <c r="AP11" t="e">
        <f t="shared" si="0"/>
        <v>#DIV/0!</v>
      </c>
      <c r="AQ11" t="e">
        <f t="shared" si="0"/>
        <v>#DIV/0!</v>
      </c>
      <c r="AR11" t="e">
        <f t="shared" si="0"/>
        <v>#DIV/0!</v>
      </c>
      <c r="AS11" t="e">
        <f t="shared" si="0"/>
        <v>#DIV/0!</v>
      </c>
      <c r="AT11" t="e">
        <f t="shared" si="0"/>
        <v>#DIV/0!</v>
      </c>
      <c r="AU11" t="e">
        <f t="shared" si="0"/>
        <v>#DIV/0!</v>
      </c>
      <c r="AV11" t="e">
        <f t="shared" si="0"/>
        <v>#DIV/0!</v>
      </c>
      <c r="AW11" t="e">
        <f t="shared" si="0"/>
        <v>#DIV/0!</v>
      </c>
      <c r="AX11" t="e">
        <f t="shared" si="0"/>
        <v>#DIV/0!</v>
      </c>
      <c r="AY11" t="e">
        <f t="shared" si="0"/>
        <v>#DIV/0!</v>
      </c>
      <c r="AZ11" t="e">
        <f t="shared" si="0"/>
        <v>#DIV/0!</v>
      </c>
      <c r="BA11" t="e">
        <f t="shared" si="0"/>
        <v>#DIV/0!</v>
      </c>
      <c r="BB11" t="e">
        <f t="shared" si="0"/>
        <v>#DIV/0!</v>
      </c>
      <c r="BC11" t="e">
        <f t="shared" si="0"/>
        <v>#DIV/0!</v>
      </c>
      <c r="BD11" t="e">
        <f t="shared" si="0"/>
        <v>#DIV/0!</v>
      </c>
      <c r="BE11" t="e">
        <f t="shared" si="0"/>
        <v>#DIV/0!</v>
      </c>
      <c r="BF11" t="e">
        <f t="shared" si="0"/>
        <v>#DIV/0!</v>
      </c>
      <c r="BG11" t="e">
        <f t="shared" si="0"/>
        <v>#DIV/0!</v>
      </c>
      <c r="BH11" t="e">
        <f t="shared" si="0"/>
        <v>#DIV/0!</v>
      </c>
      <c r="BI11" t="e">
        <f t="shared" si="0"/>
        <v>#DIV/0!</v>
      </c>
      <c r="BJ11" t="e">
        <f t="shared" si="0"/>
        <v>#DIV/0!</v>
      </c>
      <c r="BK11" t="e">
        <f t="shared" si="0"/>
        <v>#DIV/0!</v>
      </c>
      <c r="BL11" t="e">
        <f t="shared" si="0"/>
        <v>#DIV/0!</v>
      </c>
      <c r="BM11" t="e">
        <f t="shared" si="0"/>
        <v>#DIV/0!</v>
      </c>
      <c r="BN11" t="e">
        <f t="shared" si="0"/>
        <v>#DIV/0!</v>
      </c>
      <c r="BO11" t="e">
        <f t="shared" si="1"/>
        <v>#DIV/0!</v>
      </c>
      <c r="BP11" t="e">
        <f t="shared" si="1"/>
        <v>#DIV/0!</v>
      </c>
      <c r="BQ11" t="e">
        <f t="shared" si="1"/>
        <v>#DIV/0!</v>
      </c>
      <c r="BR11" t="e">
        <f t="shared" si="1"/>
        <v>#DIV/0!</v>
      </c>
      <c r="BS11" t="e">
        <f t="shared" si="1"/>
        <v>#DIV/0!</v>
      </c>
      <c r="BT11" t="e">
        <f t="shared" si="1"/>
        <v>#DIV/0!</v>
      </c>
      <c r="BU11" t="e">
        <f t="shared" si="1"/>
        <v>#DIV/0!</v>
      </c>
      <c r="BV11" t="e">
        <f t="shared" si="1"/>
        <v>#DIV/0!</v>
      </c>
      <c r="BW11" t="e">
        <f t="shared" si="1"/>
        <v>#DIV/0!</v>
      </c>
      <c r="BX11" t="e">
        <f t="shared" si="1"/>
        <v>#DIV/0!</v>
      </c>
      <c r="BY11" t="e">
        <f t="shared" si="1"/>
        <v>#DIV/0!</v>
      </c>
      <c r="BZ11" t="e">
        <f t="shared" si="1"/>
        <v>#DIV/0!</v>
      </c>
      <c r="CA11" t="e">
        <f t="shared" si="1"/>
        <v>#DIV/0!</v>
      </c>
      <c r="CB11" t="e">
        <f t="shared" si="1"/>
        <v>#DIV/0!</v>
      </c>
      <c r="CC11" t="e">
        <f t="shared" si="1"/>
        <v>#DIV/0!</v>
      </c>
      <c r="CD11" t="e">
        <f t="shared" si="1"/>
        <v>#DIV/0!</v>
      </c>
      <c r="CE11" t="e">
        <f t="shared" si="1"/>
        <v>#DIV/0!</v>
      </c>
      <c r="CF11" t="e">
        <f t="shared" si="1"/>
        <v>#DIV/0!</v>
      </c>
      <c r="CG11" t="e">
        <f t="shared" si="1"/>
        <v>#DIV/0!</v>
      </c>
      <c r="CH11" t="e">
        <f t="shared" si="1"/>
        <v>#DIV/0!</v>
      </c>
      <c r="CI11" t="e">
        <f t="shared" si="1"/>
        <v>#DIV/0!</v>
      </c>
      <c r="CJ11" t="e">
        <f t="shared" si="1"/>
        <v>#DIV/0!</v>
      </c>
      <c r="CK11" t="e">
        <f t="shared" si="1"/>
        <v>#DIV/0!</v>
      </c>
      <c r="CL11" t="e">
        <f t="shared" si="1"/>
        <v>#DIV/0!</v>
      </c>
      <c r="CM11" t="e">
        <f t="shared" si="1"/>
        <v>#DIV/0!</v>
      </c>
      <c r="CN11" t="e">
        <f t="shared" si="1"/>
        <v>#DIV/0!</v>
      </c>
      <c r="CO11" t="e">
        <f t="shared" si="1"/>
        <v>#DIV/0!</v>
      </c>
    </row>
    <row r="12" spans="1:93" x14ac:dyDescent="0.25">
      <c r="A12" t="s">
        <v>2</v>
      </c>
      <c r="C12">
        <v>39332</v>
      </c>
      <c r="D12">
        <v>39332</v>
      </c>
      <c r="E12">
        <v>39332</v>
      </c>
      <c r="F12">
        <v>39332</v>
      </c>
      <c r="G12">
        <v>39332</v>
      </c>
      <c r="H12">
        <v>39332</v>
      </c>
      <c r="I12">
        <v>40679</v>
      </c>
      <c r="J12">
        <v>42339</v>
      </c>
      <c r="K12">
        <v>45181</v>
      </c>
      <c r="L12">
        <v>49016</v>
      </c>
      <c r="M12">
        <v>63721</v>
      </c>
      <c r="N12">
        <v>65824</v>
      </c>
      <c r="O12">
        <v>67996</v>
      </c>
      <c r="P12">
        <v>70240</v>
      </c>
      <c r="Q12">
        <v>72558</v>
      </c>
      <c r="R12">
        <v>74952</v>
      </c>
      <c r="S12">
        <v>77425</v>
      </c>
      <c r="T12">
        <v>79980</v>
      </c>
      <c r="U12">
        <v>82620</v>
      </c>
      <c r="V12">
        <v>85346</v>
      </c>
      <c r="W12">
        <v>88163</v>
      </c>
      <c r="X12">
        <v>91072</v>
      </c>
      <c r="Y12">
        <v>94077</v>
      </c>
      <c r="Z12">
        <v>97182</v>
      </c>
      <c r="AA12">
        <v>100389</v>
      </c>
      <c r="AB12">
        <v>103702</v>
      </c>
      <c r="AC12">
        <v>107124</v>
      </c>
      <c r="AD12">
        <v>110659</v>
      </c>
      <c r="AE12">
        <v>114311</v>
      </c>
      <c r="AF12">
        <v>118083</v>
      </c>
      <c r="AG12">
        <v>121980</v>
      </c>
      <c r="AH12">
        <v>126005</v>
      </c>
      <c r="AI12">
        <v>130163</v>
      </c>
      <c r="AJ12">
        <v>134459</v>
      </c>
      <c r="AK12">
        <v>138896</v>
      </c>
      <c r="AL12">
        <v>143479</v>
      </c>
      <c r="AM12">
        <v>148214</v>
      </c>
      <c r="AN12">
        <v>153105</v>
      </c>
      <c r="AO12">
        <v>158158</v>
      </c>
      <c r="AP12">
        <v>163377</v>
      </c>
      <c r="AQ12">
        <v>168768</v>
      </c>
      <c r="AR12">
        <v>174338</v>
      </c>
      <c r="AS12">
        <v>180091</v>
      </c>
      <c r="AT12">
        <v>186034</v>
      </c>
      <c r="AU12">
        <v>192173</v>
      </c>
      <c r="AV12">
        <v>198515</v>
      </c>
      <c r="AW12">
        <v>205066</v>
      </c>
      <c r="AX12">
        <v>211833</v>
      </c>
      <c r="AY12">
        <v>218823</v>
      </c>
      <c r="AZ12">
        <v>226044</v>
      </c>
      <c r="BA12">
        <v>233504</v>
      </c>
      <c r="BB12">
        <v>241209</v>
      </c>
      <c r="BC12">
        <v>249169</v>
      </c>
      <c r="BD12">
        <v>257392</v>
      </c>
      <c r="BE12">
        <v>265886</v>
      </c>
      <c r="BF12">
        <v>274660</v>
      </c>
      <c r="BG12">
        <v>283724</v>
      </c>
      <c r="BH12">
        <v>293087</v>
      </c>
      <c r="BI12">
        <v>302759</v>
      </c>
      <c r="BJ12">
        <v>312750</v>
      </c>
      <c r="BK12">
        <v>323070</v>
      </c>
      <c r="BL12">
        <v>333732</v>
      </c>
      <c r="BM12">
        <v>344745</v>
      </c>
      <c r="BN12">
        <v>356122</v>
      </c>
      <c r="BO12">
        <v>367874</v>
      </c>
      <c r="BP12">
        <v>380013</v>
      </c>
      <c r="BQ12">
        <v>392554</v>
      </c>
      <c r="BR12">
        <v>405508</v>
      </c>
      <c r="BS12">
        <v>418890</v>
      </c>
      <c r="BT12">
        <v>432713</v>
      </c>
      <c r="BU12">
        <v>446993</v>
      </c>
      <c r="BV12">
        <v>461744</v>
      </c>
      <c r="BW12">
        <v>476981</v>
      </c>
      <c r="BX12">
        <v>492721</v>
      </c>
      <c r="BY12">
        <v>508981</v>
      </c>
      <c r="BZ12">
        <v>525778</v>
      </c>
      <c r="CA12">
        <v>543128</v>
      </c>
      <c r="CB12">
        <v>561052</v>
      </c>
      <c r="CC12">
        <v>579566</v>
      </c>
      <c r="CD12">
        <v>598692</v>
      </c>
      <c r="CE12">
        <v>618449</v>
      </c>
      <c r="CF12">
        <v>638858</v>
      </c>
      <c r="CG12">
        <v>659940</v>
      </c>
      <c r="CH12">
        <v>681718</v>
      </c>
      <c r="CI12">
        <v>704215</v>
      </c>
      <c r="CJ12">
        <v>727454</v>
      </c>
      <c r="CK12">
        <v>751460</v>
      </c>
      <c r="CL12">
        <v>776258</v>
      </c>
      <c r="CM12">
        <v>801874</v>
      </c>
      <c r="CN12">
        <v>828336</v>
      </c>
      <c r="CO12">
        <v>855671</v>
      </c>
    </row>
    <row r="13" spans="1:93" x14ac:dyDescent="0.25">
      <c r="A13" t="s">
        <v>3</v>
      </c>
      <c r="C13">
        <v>9956</v>
      </c>
      <c r="D13">
        <v>9956</v>
      </c>
      <c r="E13">
        <v>9956</v>
      </c>
      <c r="F13">
        <v>9956</v>
      </c>
      <c r="G13">
        <v>9956</v>
      </c>
      <c r="H13">
        <v>9956</v>
      </c>
      <c r="I13">
        <v>10297</v>
      </c>
      <c r="J13">
        <v>10717</v>
      </c>
      <c r="K13">
        <v>11437</v>
      </c>
      <c r="L13">
        <v>12407</v>
      </c>
      <c r="M13">
        <v>17493</v>
      </c>
      <c r="N13">
        <v>18414</v>
      </c>
      <c r="O13">
        <v>19403</v>
      </c>
      <c r="P13">
        <v>20078</v>
      </c>
      <c r="Q13">
        <v>20514</v>
      </c>
      <c r="R13">
        <v>20953</v>
      </c>
      <c r="S13">
        <v>21389</v>
      </c>
      <c r="T13">
        <v>21827</v>
      </c>
      <c r="U13">
        <v>22263</v>
      </c>
      <c r="V13">
        <v>22701</v>
      </c>
      <c r="W13">
        <v>23138</v>
      </c>
      <c r="X13">
        <v>23576</v>
      </c>
      <c r="Y13">
        <v>24013</v>
      </c>
      <c r="Z13">
        <v>24450</v>
      </c>
      <c r="AA13">
        <v>24887</v>
      </c>
      <c r="AB13">
        <v>25325</v>
      </c>
      <c r="AC13">
        <v>25762</v>
      </c>
      <c r="AD13">
        <v>26200</v>
      </c>
      <c r="AE13">
        <v>26636</v>
      </c>
      <c r="AF13">
        <v>27074</v>
      </c>
      <c r="AG13">
        <v>27511</v>
      </c>
      <c r="AH13">
        <v>27896</v>
      </c>
      <c r="AI13">
        <v>28287</v>
      </c>
      <c r="AJ13">
        <v>28683</v>
      </c>
      <c r="AK13">
        <v>29084</v>
      </c>
      <c r="AL13">
        <v>29491</v>
      </c>
      <c r="AM13">
        <v>29904</v>
      </c>
      <c r="AN13">
        <v>30323</v>
      </c>
      <c r="AO13">
        <v>30748</v>
      </c>
      <c r="AP13">
        <v>31178</v>
      </c>
      <c r="AQ13">
        <v>31614</v>
      </c>
      <c r="AR13">
        <v>32057</v>
      </c>
      <c r="AS13">
        <v>32506</v>
      </c>
      <c r="AT13">
        <v>32961</v>
      </c>
      <c r="AU13">
        <v>33422</v>
      </c>
      <c r="AV13">
        <v>33890</v>
      </c>
      <c r="AW13">
        <v>34365</v>
      </c>
      <c r="AX13">
        <v>34846</v>
      </c>
      <c r="AY13">
        <v>35334</v>
      </c>
      <c r="AZ13">
        <v>35828</v>
      </c>
      <c r="BA13">
        <v>36330</v>
      </c>
      <c r="BB13">
        <v>36839</v>
      </c>
      <c r="BC13">
        <v>37354</v>
      </c>
      <c r="BD13">
        <v>37877</v>
      </c>
      <c r="BE13">
        <v>38408</v>
      </c>
      <c r="BF13">
        <v>38945</v>
      </c>
      <c r="BG13">
        <v>39491</v>
      </c>
      <c r="BH13">
        <v>40043</v>
      </c>
      <c r="BI13">
        <v>40604</v>
      </c>
      <c r="BJ13">
        <v>41172</v>
      </c>
      <c r="BK13">
        <v>41749</v>
      </c>
      <c r="BL13">
        <v>42333</v>
      </c>
      <c r="BM13">
        <v>42926</v>
      </c>
      <c r="BN13">
        <v>43527</v>
      </c>
      <c r="BO13">
        <v>44136</v>
      </c>
      <c r="BP13">
        <v>44754</v>
      </c>
      <c r="BQ13">
        <v>45381</v>
      </c>
      <c r="BR13">
        <v>46016</v>
      </c>
      <c r="BS13">
        <v>46660</v>
      </c>
      <c r="BT13">
        <v>47314</v>
      </c>
      <c r="BU13">
        <v>47976</v>
      </c>
      <c r="BV13">
        <v>48648</v>
      </c>
      <c r="BW13">
        <v>49329</v>
      </c>
      <c r="BX13">
        <v>50019</v>
      </c>
      <c r="BY13">
        <v>50720</v>
      </c>
      <c r="BZ13">
        <v>51430</v>
      </c>
      <c r="CA13">
        <v>52150</v>
      </c>
      <c r="CB13">
        <v>52880</v>
      </c>
      <c r="CC13">
        <v>53620</v>
      </c>
      <c r="CD13">
        <v>54371</v>
      </c>
      <c r="CE13">
        <v>55132</v>
      </c>
      <c r="CF13">
        <v>55904</v>
      </c>
      <c r="CG13">
        <v>56687</v>
      </c>
      <c r="CH13">
        <v>57480</v>
      </c>
      <c r="CI13">
        <v>58285</v>
      </c>
      <c r="CJ13">
        <v>59101</v>
      </c>
      <c r="CK13">
        <v>59928</v>
      </c>
      <c r="CL13">
        <v>60767</v>
      </c>
      <c r="CM13">
        <v>61618</v>
      </c>
      <c r="CN13">
        <v>62481</v>
      </c>
      <c r="CO13">
        <v>63355</v>
      </c>
    </row>
    <row r="14" spans="1:93" x14ac:dyDescent="0.25">
      <c r="A14" t="s">
        <v>105</v>
      </c>
      <c r="C14">
        <v>2981</v>
      </c>
      <c r="D14">
        <v>2981</v>
      </c>
      <c r="E14">
        <v>2981</v>
      </c>
      <c r="F14">
        <v>2981</v>
      </c>
      <c r="G14">
        <v>2981</v>
      </c>
      <c r="H14">
        <v>2981</v>
      </c>
      <c r="I14">
        <v>3083</v>
      </c>
      <c r="J14">
        <v>3209</v>
      </c>
      <c r="K14">
        <v>3424</v>
      </c>
      <c r="L14">
        <v>3715</v>
      </c>
      <c r="M14">
        <v>8078</v>
      </c>
      <c r="N14">
        <v>9047</v>
      </c>
      <c r="O14">
        <v>9759</v>
      </c>
      <c r="P14">
        <v>10337</v>
      </c>
      <c r="Q14">
        <v>10706</v>
      </c>
      <c r="R14">
        <v>11087</v>
      </c>
      <c r="S14">
        <v>11476</v>
      </c>
      <c r="T14">
        <v>11867</v>
      </c>
      <c r="U14">
        <v>12258</v>
      </c>
      <c r="V14">
        <v>12645</v>
      </c>
      <c r="W14">
        <v>13028</v>
      </c>
      <c r="X14">
        <v>13406</v>
      </c>
      <c r="Y14">
        <v>13655</v>
      </c>
      <c r="Z14">
        <v>13904</v>
      </c>
      <c r="AA14">
        <v>14153</v>
      </c>
      <c r="AB14">
        <v>14401</v>
      </c>
      <c r="AC14">
        <v>14650</v>
      </c>
      <c r="AD14">
        <v>14899</v>
      </c>
      <c r="AE14">
        <v>15147</v>
      </c>
      <c r="AF14">
        <v>15396</v>
      </c>
      <c r="AG14">
        <v>15644</v>
      </c>
      <c r="AH14">
        <v>15881</v>
      </c>
      <c r="AI14">
        <v>16105</v>
      </c>
      <c r="AJ14">
        <v>16316</v>
      </c>
      <c r="AK14">
        <v>16514</v>
      </c>
      <c r="AL14">
        <v>16697</v>
      </c>
      <c r="AM14">
        <v>16865</v>
      </c>
      <c r="AN14">
        <v>17018</v>
      </c>
      <c r="AO14">
        <v>17155</v>
      </c>
      <c r="AP14">
        <v>17275</v>
      </c>
      <c r="AQ14">
        <v>17380</v>
      </c>
      <c r="AR14">
        <v>17467</v>
      </c>
      <c r="AS14">
        <v>17537</v>
      </c>
      <c r="AT14">
        <v>17590</v>
      </c>
      <c r="AU14">
        <v>17626</v>
      </c>
      <c r="AV14">
        <v>17644</v>
      </c>
      <c r="AW14">
        <v>17644</v>
      </c>
      <c r="AX14">
        <v>17626</v>
      </c>
      <c r="AY14">
        <v>17592</v>
      </c>
      <c r="AZ14">
        <v>17592</v>
      </c>
      <c r="BA14">
        <v>17592</v>
      </c>
      <c r="BB14">
        <v>17592</v>
      </c>
      <c r="BC14">
        <v>17592</v>
      </c>
      <c r="BD14">
        <v>17592</v>
      </c>
      <c r="BE14">
        <v>17592</v>
      </c>
      <c r="BF14">
        <v>17592</v>
      </c>
      <c r="BG14">
        <v>17592</v>
      </c>
      <c r="BH14">
        <v>17592</v>
      </c>
      <c r="BI14">
        <v>17592</v>
      </c>
      <c r="BJ14">
        <v>17592</v>
      </c>
      <c r="BK14">
        <v>17592</v>
      </c>
      <c r="BL14">
        <v>17592</v>
      </c>
      <c r="BM14">
        <v>17592</v>
      </c>
      <c r="BN14">
        <v>17592</v>
      </c>
      <c r="BO14">
        <v>17592</v>
      </c>
      <c r="BP14">
        <v>17592</v>
      </c>
      <c r="BQ14">
        <v>17592</v>
      </c>
      <c r="BR14">
        <v>17592</v>
      </c>
      <c r="BS14">
        <v>17592</v>
      </c>
      <c r="BT14">
        <v>17592</v>
      </c>
      <c r="BU14">
        <v>17592</v>
      </c>
      <c r="BV14">
        <v>17592</v>
      </c>
      <c r="BW14">
        <v>17592</v>
      </c>
      <c r="BX14">
        <v>17592</v>
      </c>
      <c r="BY14">
        <v>17592</v>
      </c>
      <c r="BZ14">
        <v>17592</v>
      </c>
      <c r="CA14">
        <v>17592</v>
      </c>
      <c r="CB14">
        <v>17592</v>
      </c>
      <c r="CC14">
        <v>17592</v>
      </c>
      <c r="CD14">
        <v>17592</v>
      </c>
      <c r="CE14">
        <v>17592</v>
      </c>
      <c r="CF14">
        <v>17592</v>
      </c>
      <c r="CG14">
        <v>17592</v>
      </c>
      <c r="CH14">
        <v>17592</v>
      </c>
      <c r="CI14">
        <v>17592</v>
      </c>
      <c r="CJ14">
        <v>17592</v>
      </c>
      <c r="CK14">
        <v>17592</v>
      </c>
      <c r="CL14">
        <v>17592</v>
      </c>
      <c r="CM14">
        <v>17592</v>
      </c>
      <c r="CN14">
        <v>17592</v>
      </c>
      <c r="CO14">
        <v>17592</v>
      </c>
    </row>
    <row r="15" spans="1:93" x14ac:dyDescent="0.25">
      <c r="A15" t="s">
        <v>106</v>
      </c>
      <c r="C15">
        <v>8362</v>
      </c>
      <c r="D15">
        <v>8362</v>
      </c>
      <c r="E15">
        <v>8362</v>
      </c>
      <c r="F15">
        <v>8362</v>
      </c>
      <c r="G15">
        <v>8362</v>
      </c>
      <c r="H15">
        <v>8362</v>
      </c>
      <c r="I15">
        <v>8362</v>
      </c>
      <c r="J15">
        <v>8362</v>
      </c>
      <c r="K15">
        <v>8362</v>
      </c>
      <c r="L15">
        <v>8362</v>
      </c>
      <c r="M15">
        <v>8362</v>
      </c>
      <c r="N15">
        <v>8556</v>
      </c>
      <c r="O15">
        <v>8882</v>
      </c>
      <c r="P15">
        <v>9042</v>
      </c>
      <c r="Q15">
        <v>9160</v>
      </c>
      <c r="R15">
        <v>9270</v>
      </c>
      <c r="S15">
        <v>9370</v>
      </c>
      <c r="T15">
        <v>9460</v>
      </c>
      <c r="U15">
        <v>9548</v>
      </c>
      <c r="V15">
        <v>9630</v>
      </c>
      <c r="W15">
        <v>9708</v>
      </c>
      <c r="X15">
        <v>9782</v>
      </c>
      <c r="Y15">
        <v>9964</v>
      </c>
      <c r="Z15">
        <v>10144</v>
      </c>
      <c r="AA15">
        <v>10326</v>
      </c>
      <c r="AB15">
        <v>10508</v>
      </c>
      <c r="AC15">
        <v>10688</v>
      </c>
      <c r="AD15">
        <v>10870</v>
      </c>
      <c r="AE15">
        <v>11052</v>
      </c>
      <c r="AF15">
        <v>11234</v>
      </c>
      <c r="AG15">
        <v>11414</v>
      </c>
      <c r="AH15">
        <v>11584</v>
      </c>
      <c r="AI15">
        <v>11756</v>
      </c>
      <c r="AJ15">
        <v>11928</v>
      </c>
      <c r="AK15">
        <v>12102</v>
      </c>
      <c r="AL15">
        <v>12278</v>
      </c>
      <c r="AM15">
        <v>12456</v>
      </c>
      <c r="AN15">
        <v>12632</v>
      </c>
      <c r="AO15">
        <v>12812</v>
      </c>
      <c r="AP15">
        <v>12992</v>
      </c>
      <c r="AQ15">
        <v>13174</v>
      </c>
      <c r="AR15">
        <v>13358</v>
      </c>
      <c r="AS15">
        <v>13542</v>
      </c>
      <c r="AT15">
        <v>13726</v>
      </c>
      <c r="AU15">
        <v>13914</v>
      </c>
      <c r="AV15">
        <v>14100</v>
      </c>
      <c r="AW15">
        <v>14290</v>
      </c>
      <c r="AX15">
        <v>14478</v>
      </c>
      <c r="AY15">
        <v>14670</v>
      </c>
      <c r="AZ15">
        <v>14862</v>
      </c>
      <c r="BA15">
        <v>15054</v>
      </c>
      <c r="BB15">
        <v>15248</v>
      </c>
      <c r="BC15">
        <v>15442</v>
      </c>
      <c r="BD15">
        <v>15638</v>
      </c>
      <c r="BE15">
        <v>15834</v>
      </c>
      <c r="BF15">
        <v>16032</v>
      </c>
      <c r="BG15">
        <v>16230</v>
      </c>
      <c r="BH15">
        <v>16430</v>
      </c>
      <c r="BI15">
        <v>16630</v>
      </c>
      <c r="BJ15">
        <v>16830</v>
      </c>
      <c r="BK15">
        <v>17032</v>
      </c>
      <c r="BL15">
        <v>17234</v>
      </c>
      <c r="BM15">
        <v>17436</v>
      </c>
      <c r="BN15">
        <v>17640</v>
      </c>
      <c r="BO15">
        <v>17842</v>
      </c>
      <c r="BP15">
        <v>18048</v>
      </c>
      <c r="BQ15">
        <v>18252</v>
      </c>
      <c r="BR15">
        <v>18458</v>
      </c>
      <c r="BS15">
        <v>18664</v>
      </c>
      <c r="BT15">
        <v>18870</v>
      </c>
      <c r="BU15">
        <v>19076</v>
      </c>
      <c r="BV15">
        <v>19282</v>
      </c>
      <c r="BW15">
        <v>19490</v>
      </c>
      <c r="BX15">
        <v>19698</v>
      </c>
      <c r="BY15">
        <v>19906</v>
      </c>
      <c r="BZ15">
        <v>20114</v>
      </c>
      <c r="CA15">
        <v>20322</v>
      </c>
      <c r="CB15">
        <v>20530</v>
      </c>
      <c r="CC15">
        <v>20738</v>
      </c>
      <c r="CD15">
        <v>20946</v>
      </c>
      <c r="CE15">
        <v>21154</v>
      </c>
      <c r="CF15">
        <v>21362</v>
      </c>
      <c r="CG15">
        <v>21570</v>
      </c>
      <c r="CH15">
        <v>21778</v>
      </c>
      <c r="CI15">
        <v>21986</v>
      </c>
      <c r="CJ15">
        <v>22192</v>
      </c>
      <c r="CK15">
        <v>22400</v>
      </c>
      <c r="CL15">
        <v>22606</v>
      </c>
      <c r="CM15">
        <v>22812</v>
      </c>
      <c r="CN15">
        <v>23018</v>
      </c>
      <c r="CO15">
        <v>23224</v>
      </c>
    </row>
    <row r="16" spans="1:93" x14ac:dyDescent="0.25">
      <c r="A16" t="s">
        <v>107</v>
      </c>
      <c r="C16">
        <v>6931</v>
      </c>
      <c r="D16">
        <v>6931</v>
      </c>
      <c r="E16">
        <v>6931</v>
      </c>
      <c r="F16">
        <v>6931</v>
      </c>
      <c r="G16">
        <v>6931</v>
      </c>
      <c r="H16">
        <v>6931</v>
      </c>
      <c r="I16">
        <v>6931</v>
      </c>
      <c r="J16">
        <v>6931</v>
      </c>
      <c r="K16">
        <v>6931</v>
      </c>
      <c r="L16">
        <v>6931</v>
      </c>
      <c r="M16">
        <v>6931</v>
      </c>
      <c r="N16">
        <v>7341.5</v>
      </c>
      <c r="O16">
        <v>7656</v>
      </c>
      <c r="P16">
        <v>7825</v>
      </c>
      <c r="Q16">
        <v>7915.5</v>
      </c>
      <c r="R16">
        <v>7992.5</v>
      </c>
      <c r="S16">
        <v>8056.5</v>
      </c>
      <c r="T16">
        <v>8110</v>
      </c>
      <c r="U16">
        <v>8156.5</v>
      </c>
      <c r="V16">
        <v>8196.5</v>
      </c>
      <c r="W16">
        <v>8230.5</v>
      </c>
      <c r="X16">
        <v>8258</v>
      </c>
      <c r="Y16">
        <v>8411.5</v>
      </c>
      <c r="Z16">
        <v>8564.5</v>
      </c>
      <c r="AA16">
        <v>8718</v>
      </c>
      <c r="AB16">
        <v>8871</v>
      </c>
      <c r="AC16">
        <v>9024</v>
      </c>
      <c r="AD16">
        <v>9177.5</v>
      </c>
      <c r="AE16">
        <v>9330.5</v>
      </c>
      <c r="AF16">
        <v>9483.5</v>
      </c>
      <c r="AG16">
        <v>9636.5</v>
      </c>
      <c r="AH16">
        <v>9637</v>
      </c>
      <c r="AI16">
        <v>9637</v>
      </c>
      <c r="AJ16">
        <v>9637</v>
      </c>
      <c r="AK16">
        <v>9637</v>
      </c>
      <c r="AL16">
        <v>9637</v>
      </c>
      <c r="AM16">
        <v>9637</v>
      </c>
      <c r="AN16">
        <v>9637</v>
      </c>
      <c r="AO16">
        <v>9637</v>
      </c>
      <c r="AP16">
        <v>9637</v>
      </c>
      <c r="AQ16">
        <v>9637</v>
      </c>
      <c r="AR16">
        <v>9637</v>
      </c>
      <c r="AS16">
        <v>9637</v>
      </c>
      <c r="AT16">
        <v>9637</v>
      </c>
      <c r="AU16">
        <v>9637</v>
      </c>
      <c r="AV16">
        <v>9637</v>
      </c>
      <c r="AW16">
        <v>9637</v>
      </c>
      <c r="AX16">
        <v>9637</v>
      </c>
      <c r="AY16">
        <v>9637</v>
      </c>
      <c r="AZ16">
        <v>9637</v>
      </c>
      <c r="BA16">
        <v>9637</v>
      </c>
      <c r="BB16">
        <v>9637</v>
      </c>
      <c r="BC16">
        <v>9637</v>
      </c>
      <c r="BD16">
        <v>9637</v>
      </c>
      <c r="BE16">
        <v>9637</v>
      </c>
      <c r="BF16">
        <v>9637</v>
      </c>
      <c r="BG16">
        <v>9637</v>
      </c>
      <c r="BH16">
        <v>9637</v>
      </c>
      <c r="BI16">
        <v>9637</v>
      </c>
      <c r="BJ16">
        <v>9637</v>
      </c>
      <c r="BK16">
        <v>9637</v>
      </c>
      <c r="BL16">
        <v>9637</v>
      </c>
      <c r="BM16">
        <v>9637</v>
      </c>
      <c r="BN16">
        <v>9637</v>
      </c>
      <c r="BO16">
        <v>9637</v>
      </c>
      <c r="BP16">
        <v>9637</v>
      </c>
      <c r="BQ16">
        <v>9637</v>
      </c>
      <c r="BR16">
        <v>9637</v>
      </c>
      <c r="BS16">
        <v>9637</v>
      </c>
      <c r="BT16">
        <v>9637</v>
      </c>
      <c r="BU16">
        <v>9637</v>
      </c>
      <c r="BV16">
        <v>9637</v>
      </c>
      <c r="BW16">
        <v>9637</v>
      </c>
      <c r="BX16">
        <v>9637</v>
      </c>
      <c r="BY16">
        <v>9637</v>
      </c>
      <c r="BZ16">
        <v>9637</v>
      </c>
      <c r="CA16">
        <v>9637</v>
      </c>
      <c r="CB16">
        <v>9637</v>
      </c>
      <c r="CC16">
        <v>9637</v>
      </c>
      <c r="CD16">
        <v>9637</v>
      </c>
      <c r="CE16">
        <v>9637</v>
      </c>
      <c r="CF16">
        <v>9637</v>
      </c>
      <c r="CG16">
        <v>9637</v>
      </c>
      <c r="CH16">
        <v>9637</v>
      </c>
      <c r="CI16">
        <v>9637</v>
      </c>
      <c r="CJ16">
        <v>9637</v>
      </c>
      <c r="CK16">
        <v>9637</v>
      </c>
      <c r="CL16">
        <v>9637</v>
      </c>
      <c r="CM16">
        <v>9637</v>
      </c>
      <c r="CN16">
        <v>9637</v>
      </c>
      <c r="CO16">
        <v>9637</v>
      </c>
    </row>
    <row r="17" spans="1:93" x14ac:dyDescent="0.25">
      <c r="A17" t="s">
        <v>108</v>
      </c>
      <c r="C17">
        <v>6931</v>
      </c>
      <c r="D17">
        <v>6931</v>
      </c>
      <c r="E17">
        <v>6931</v>
      </c>
      <c r="F17">
        <v>6931</v>
      </c>
      <c r="G17">
        <v>6931</v>
      </c>
      <c r="H17">
        <v>6931</v>
      </c>
      <c r="I17">
        <v>6931</v>
      </c>
      <c r="J17">
        <v>6931</v>
      </c>
      <c r="K17">
        <v>6931</v>
      </c>
      <c r="L17">
        <v>6931</v>
      </c>
      <c r="M17">
        <v>6931</v>
      </c>
      <c r="N17">
        <v>7341.5</v>
      </c>
      <c r="O17">
        <v>7656</v>
      </c>
      <c r="P17">
        <v>7825</v>
      </c>
      <c r="Q17">
        <v>7915.5</v>
      </c>
      <c r="R17">
        <v>7992.5</v>
      </c>
      <c r="S17">
        <v>8056.5</v>
      </c>
      <c r="T17">
        <v>8110</v>
      </c>
      <c r="U17">
        <v>8156.5</v>
      </c>
      <c r="V17">
        <v>8196.5</v>
      </c>
      <c r="W17">
        <v>8230.5</v>
      </c>
      <c r="X17">
        <v>8258</v>
      </c>
      <c r="Y17">
        <v>8411.5</v>
      </c>
      <c r="Z17">
        <v>8564.5</v>
      </c>
      <c r="AA17">
        <v>8718</v>
      </c>
      <c r="AB17">
        <v>8871</v>
      </c>
      <c r="AC17">
        <v>9024</v>
      </c>
      <c r="AD17">
        <v>9177.5</v>
      </c>
      <c r="AE17">
        <v>9330.5</v>
      </c>
      <c r="AF17">
        <v>9483.5</v>
      </c>
      <c r="AG17">
        <v>9636.5</v>
      </c>
      <c r="AH17">
        <v>9637</v>
      </c>
      <c r="AI17">
        <v>9637</v>
      </c>
      <c r="AJ17">
        <v>9637</v>
      </c>
      <c r="AK17">
        <v>9637</v>
      </c>
      <c r="AL17">
        <v>9637</v>
      </c>
      <c r="AM17">
        <v>9637</v>
      </c>
      <c r="AN17">
        <v>9637</v>
      </c>
      <c r="AO17">
        <v>9637</v>
      </c>
      <c r="AP17">
        <v>9637</v>
      </c>
      <c r="AQ17">
        <v>9637</v>
      </c>
      <c r="AR17">
        <v>9637</v>
      </c>
      <c r="AS17">
        <v>9637</v>
      </c>
      <c r="AT17">
        <v>9637</v>
      </c>
      <c r="AU17">
        <v>9637</v>
      </c>
      <c r="AV17">
        <v>9637</v>
      </c>
      <c r="AW17">
        <v>9637</v>
      </c>
      <c r="AX17">
        <v>9637</v>
      </c>
      <c r="AY17">
        <v>9637</v>
      </c>
      <c r="AZ17">
        <v>9637</v>
      </c>
      <c r="BA17">
        <v>9637</v>
      </c>
      <c r="BB17">
        <v>9637</v>
      </c>
      <c r="BC17">
        <v>9637</v>
      </c>
      <c r="BD17">
        <v>9637</v>
      </c>
      <c r="BE17">
        <v>9637</v>
      </c>
      <c r="BF17">
        <v>9637</v>
      </c>
      <c r="BG17">
        <v>9637</v>
      </c>
      <c r="BH17">
        <v>9637</v>
      </c>
      <c r="BI17">
        <v>9637</v>
      </c>
      <c r="BJ17">
        <v>9637</v>
      </c>
      <c r="BK17">
        <v>9637</v>
      </c>
      <c r="BL17">
        <v>9637</v>
      </c>
      <c r="BM17">
        <v>9637</v>
      </c>
      <c r="BN17">
        <v>9637</v>
      </c>
      <c r="BO17">
        <v>9637</v>
      </c>
      <c r="BP17">
        <v>9637</v>
      </c>
      <c r="BQ17">
        <v>9637</v>
      </c>
      <c r="BR17">
        <v>9637</v>
      </c>
      <c r="BS17">
        <v>9637</v>
      </c>
      <c r="BT17">
        <v>9637</v>
      </c>
      <c r="BU17">
        <v>9637</v>
      </c>
      <c r="BV17">
        <v>9637</v>
      </c>
      <c r="BW17">
        <v>9637</v>
      </c>
      <c r="BX17">
        <v>9637</v>
      </c>
      <c r="BY17">
        <v>9637</v>
      </c>
      <c r="BZ17">
        <v>9637</v>
      </c>
      <c r="CA17">
        <v>9637</v>
      </c>
      <c r="CB17">
        <v>9637</v>
      </c>
      <c r="CC17">
        <v>9637</v>
      </c>
      <c r="CD17">
        <v>9637</v>
      </c>
      <c r="CE17">
        <v>9637</v>
      </c>
      <c r="CF17">
        <v>9637</v>
      </c>
      <c r="CG17">
        <v>9637</v>
      </c>
      <c r="CH17">
        <v>9637</v>
      </c>
      <c r="CI17">
        <v>9637</v>
      </c>
      <c r="CJ17">
        <v>9637</v>
      </c>
      <c r="CK17">
        <v>9637</v>
      </c>
      <c r="CL17">
        <v>9637</v>
      </c>
      <c r="CM17">
        <v>9637</v>
      </c>
      <c r="CN17">
        <v>9637</v>
      </c>
      <c r="CO17">
        <v>9637</v>
      </c>
    </row>
    <row r="18" spans="1:93" x14ac:dyDescent="0.25">
      <c r="A18" t="s">
        <v>109</v>
      </c>
      <c r="C18">
        <v>1272</v>
      </c>
      <c r="D18">
        <v>1272</v>
      </c>
      <c r="E18">
        <v>1272</v>
      </c>
      <c r="F18">
        <v>1272</v>
      </c>
      <c r="G18">
        <v>1272</v>
      </c>
      <c r="H18">
        <v>1272</v>
      </c>
      <c r="I18">
        <v>1272</v>
      </c>
      <c r="J18">
        <v>1272</v>
      </c>
      <c r="K18">
        <v>1272</v>
      </c>
      <c r="L18">
        <v>1272</v>
      </c>
      <c r="M18">
        <v>1272</v>
      </c>
      <c r="N18">
        <v>1336</v>
      </c>
      <c r="O18">
        <v>1413</v>
      </c>
      <c r="P18">
        <v>1465</v>
      </c>
      <c r="Q18">
        <v>1488</v>
      </c>
      <c r="R18">
        <v>1510</v>
      </c>
      <c r="S18">
        <v>1529</v>
      </c>
      <c r="T18">
        <v>1547</v>
      </c>
      <c r="U18">
        <v>1564</v>
      </c>
      <c r="V18">
        <v>1580</v>
      </c>
      <c r="W18">
        <v>1596</v>
      </c>
      <c r="X18">
        <v>1610</v>
      </c>
      <c r="Y18">
        <v>1640</v>
      </c>
      <c r="Z18">
        <v>1670</v>
      </c>
      <c r="AA18">
        <v>1700</v>
      </c>
      <c r="AB18">
        <v>1730</v>
      </c>
      <c r="AC18">
        <v>1760</v>
      </c>
      <c r="AD18">
        <v>1790</v>
      </c>
      <c r="AE18">
        <v>1819</v>
      </c>
      <c r="AF18">
        <v>1849</v>
      </c>
      <c r="AG18">
        <v>1879</v>
      </c>
      <c r="AH18">
        <v>1907</v>
      </c>
      <c r="AI18">
        <v>1935</v>
      </c>
      <c r="AJ18">
        <v>1964</v>
      </c>
      <c r="AK18">
        <v>1993</v>
      </c>
      <c r="AL18">
        <v>2021</v>
      </c>
      <c r="AM18">
        <v>2050</v>
      </c>
      <c r="AN18">
        <v>2080</v>
      </c>
      <c r="AO18">
        <v>2109</v>
      </c>
      <c r="AP18">
        <v>2139</v>
      </c>
      <c r="AQ18">
        <v>2169</v>
      </c>
      <c r="AR18">
        <v>2199</v>
      </c>
      <c r="AS18">
        <v>2229</v>
      </c>
      <c r="AT18">
        <v>2260</v>
      </c>
      <c r="AU18">
        <v>2291</v>
      </c>
      <c r="AV18">
        <v>2321</v>
      </c>
      <c r="AW18">
        <v>2352</v>
      </c>
      <c r="AX18">
        <v>2384</v>
      </c>
      <c r="AY18">
        <v>2415</v>
      </c>
      <c r="AZ18">
        <v>2447</v>
      </c>
      <c r="BA18">
        <v>2478</v>
      </c>
      <c r="BB18">
        <v>2510</v>
      </c>
      <c r="BC18">
        <v>2542</v>
      </c>
      <c r="BD18">
        <v>2575</v>
      </c>
      <c r="BE18">
        <v>2607</v>
      </c>
      <c r="BF18">
        <v>2639</v>
      </c>
      <c r="BG18">
        <v>2672</v>
      </c>
      <c r="BH18">
        <v>2705</v>
      </c>
      <c r="BI18">
        <v>2738</v>
      </c>
      <c r="BJ18">
        <v>2771</v>
      </c>
      <c r="BK18">
        <v>2804</v>
      </c>
      <c r="BL18">
        <v>2837</v>
      </c>
      <c r="BM18">
        <v>2870</v>
      </c>
      <c r="BN18">
        <v>2904</v>
      </c>
      <c r="BO18">
        <v>2937</v>
      </c>
      <c r="BP18">
        <v>2971</v>
      </c>
      <c r="BQ18">
        <v>3005</v>
      </c>
      <c r="BR18">
        <v>3039</v>
      </c>
      <c r="BS18">
        <v>3073</v>
      </c>
      <c r="BT18">
        <v>3106</v>
      </c>
      <c r="BU18">
        <v>3140</v>
      </c>
      <c r="BV18">
        <v>3175</v>
      </c>
      <c r="BW18">
        <v>3209</v>
      </c>
      <c r="BX18">
        <v>3243</v>
      </c>
      <c r="BY18">
        <v>3277</v>
      </c>
      <c r="BZ18">
        <v>3311</v>
      </c>
      <c r="CA18">
        <v>3345</v>
      </c>
      <c r="CB18">
        <v>3380</v>
      </c>
      <c r="CC18">
        <v>3414</v>
      </c>
      <c r="CD18">
        <v>3448</v>
      </c>
      <c r="CE18">
        <v>3483</v>
      </c>
      <c r="CF18">
        <v>3517</v>
      </c>
      <c r="CG18">
        <v>3551</v>
      </c>
      <c r="CH18">
        <v>3585</v>
      </c>
      <c r="CI18">
        <v>3619</v>
      </c>
      <c r="CJ18">
        <v>3654</v>
      </c>
      <c r="CK18">
        <v>3688</v>
      </c>
      <c r="CL18">
        <v>3722</v>
      </c>
      <c r="CM18">
        <v>3756</v>
      </c>
      <c r="CN18">
        <v>3790</v>
      </c>
      <c r="CO18">
        <v>3823</v>
      </c>
    </row>
    <row r="19" spans="1:93" x14ac:dyDescent="0.25">
      <c r="A19" t="s">
        <v>110</v>
      </c>
      <c r="C19">
        <v>1415</v>
      </c>
      <c r="D19">
        <v>1415</v>
      </c>
      <c r="E19">
        <v>1415</v>
      </c>
      <c r="F19">
        <v>1415</v>
      </c>
      <c r="G19">
        <v>1415</v>
      </c>
      <c r="H19">
        <v>1415</v>
      </c>
      <c r="I19">
        <v>1463</v>
      </c>
      <c r="J19">
        <v>1523</v>
      </c>
      <c r="K19">
        <v>1625</v>
      </c>
      <c r="L19">
        <v>1763</v>
      </c>
      <c r="M19">
        <v>2311</v>
      </c>
      <c r="N19">
        <v>2709</v>
      </c>
      <c r="O19">
        <v>2957</v>
      </c>
      <c r="P19">
        <v>3184</v>
      </c>
      <c r="Q19">
        <v>3377</v>
      </c>
      <c r="R19">
        <v>3588</v>
      </c>
      <c r="S19">
        <v>3818</v>
      </c>
      <c r="T19">
        <v>4061</v>
      </c>
      <c r="U19">
        <v>4311</v>
      </c>
      <c r="V19">
        <v>4566</v>
      </c>
      <c r="W19">
        <v>4828</v>
      </c>
      <c r="X19">
        <v>5093</v>
      </c>
      <c r="Y19">
        <v>5188</v>
      </c>
      <c r="Z19">
        <v>5282</v>
      </c>
      <c r="AA19">
        <v>5377</v>
      </c>
      <c r="AB19">
        <v>5471</v>
      </c>
      <c r="AC19">
        <v>5566</v>
      </c>
      <c r="AD19">
        <v>5660</v>
      </c>
      <c r="AE19">
        <v>5755</v>
      </c>
      <c r="AF19">
        <v>5849</v>
      </c>
      <c r="AG19">
        <v>5944</v>
      </c>
      <c r="AH19">
        <v>6034</v>
      </c>
      <c r="AI19">
        <v>6119</v>
      </c>
      <c r="AJ19">
        <v>6199</v>
      </c>
      <c r="AK19">
        <v>6274</v>
      </c>
      <c r="AL19">
        <v>6343</v>
      </c>
      <c r="AM19">
        <v>6407</v>
      </c>
      <c r="AN19">
        <v>6465</v>
      </c>
      <c r="AO19">
        <v>6517</v>
      </c>
      <c r="AP19">
        <v>6563</v>
      </c>
      <c r="AQ19">
        <v>6603</v>
      </c>
      <c r="AR19">
        <v>6636</v>
      </c>
      <c r="AS19">
        <v>6663</v>
      </c>
      <c r="AT19">
        <v>6683</v>
      </c>
      <c r="AU19">
        <v>6696</v>
      </c>
      <c r="AV19">
        <v>6703</v>
      </c>
      <c r="AW19">
        <v>6703</v>
      </c>
      <c r="AX19">
        <v>6697</v>
      </c>
      <c r="AY19">
        <v>6683</v>
      </c>
      <c r="AZ19">
        <v>6683</v>
      </c>
      <c r="BA19">
        <v>6683</v>
      </c>
      <c r="BB19">
        <v>6683</v>
      </c>
      <c r="BC19">
        <v>6683</v>
      </c>
      <c r="BD19">
        <v>6683</v>
      </c>
      <c r="BE19">
        <v>6683</v>
      </c>
      <c r="BF19">
        <v>6683</v>
      </c>
      <c r="BG19">
        <v>6683</v>
      </c>
      <c r="BH19">
        <v>6683</v>
      </c>
      <c r="BI19">
        <v>6683</v>
      </c>
      <c r="BJ19">
        <v>6683</v>
      </c>
      <c r="BK19">
        <v>6683</v>
      </c>
      <c r="BL19">
        <v>6683</v>
      </c>
      <c r="BM19">
        <v>6683</v>
      </c>
      <c r="BN19">
        <v>6683</v>
      </c>
      <c r="BO19">
        <v>6683</v>
      </c>
      <c r="BP19">
        <v>6683</v>
      </c>
      <c r="BQ19">
        <v>6683</v>
      </c>
      <c r="BR19">
        <v>6683</v>
      </c>
      <c r="BS19">
        <v>6683</v>
      </c>
      <c r="BT19">
        <v>6683</v>
      </c>
      <c r="BU19">
        <v>6683</v>
      </c>
      <c r="BV19">
        <v>6683</v>
      </c>
      <c r="BW19">
        <v>6683</v>
      </c>
      <c r="BX19">
        <v>6683</v>
      </c>
      <c r="BY19">
        <v>6683</v>
      </c>
      <c r="BZ19">
        <v>6683</v>
      </c>
      <c r="CA19">
        <v>6683</v>
      </c>
      <c r="CB19">
        <v>6683</v>
      </c>
      <c r="CC19">
        <v>6683</v>
      </c>
      <c r="CD19">
        <v>6683</v>
      </c>
      <c r="CE19">
        <v>6683</v>
      </c>
      <c r="CF19">
        <v>6683</v>
      </c>
      <c r="CG19">
        <v>6683</v>
      </c>
      <c r="CH19">
        <v>6683</v>
      </c>
      <c r="CI19">
        <v>6683</v>
      </c>
      <c r="CJ19">
        <v>6683</v>
      </c>
      <c r="CK19">
        <v>6683</v>
      </c>
      <c r="CL19">
        <v>6683</v>
      </c>
      <c r="CM19">
        <v>6683</v>
      </c>
      <c r="CN19">
        <v>6683</v>
      </c>
      <c r="CO19">
        <v>6683</v>
      </c>
    </row>
    <row r="20" spans="1:93" x14ac:dyDescent="0.25">
      <c r="A20" t="s">
        <v>111</v>
      </c>
      <c r="C20">
        <v>3600</v>
      </c>
      <c r="D20">
        <v>3600</v>
      </c>
      <c r="E20">
        <v>3600</v>
      </c>
      <c r="F20">
        <v>3600</v>
      </c>
      <c r="G20">
        <v>3600</v>
      </c>
      <c r="H20">
        <v>3600</v>
      </c>
      <c r="I20">
        <v>3723</v>
      </c>
      <c r="J20">
        <v>3875</v>
      </c>
      <c r="K20">
        <v>4135</v>
      </c>
      <c r="L20">
        <v>4486</v>
      </c>
      <c r="M20">
        <v>5851</v>
      </c>
      <c r="N20">
        <v>5904</v>
      </c>
      <c r="O20">
        <v>6246</v>
      </c>
      <c r="P20">
        <v>6510</v>
      </c>
      <c r="Q20">
        <v>6687</v>
      </c>
      <c r="R20">
        <v>6877</v>
      </c>
      <c r="S20">
        <v>7083</v>
      </c>
      <c r="T20">
        <v>7302</v>
      </c>
      <c r="U20">
        <v>7533</v>
      </c>
      <c r="V20">
        <v>7776</v>
      </c>
      <c r="W20">
        <v>8033</v>
      </c>
      <c r="X20">
        <v>8302</v>
      </c>
      <c r="Y20">
        <v>8456</v>
      </c>
      <c r="Z20">
        <v>8610</v>
      </c>
      <c r="AA20">
        <v>8764</v>
      </c>
      <c r="AB20">
        <v>8918</v>
      </c>
      <c r="AC20">
        <v>9072</v>
      </c>
      <c r="AD20">
        <v>9226</v>
      </c>
      <c r="AE20">
        <v>9380</v>
      </c>
      <c r="AF20">
        <v>9534</v>
      </c>
      <c r="AG20">
        <v>9688</v>
      </c>
      <c r="AH20">
        <v>9835</v>
      </c>
      <c r="AI20">
        <v>9974</v>
      </c>
      <c r="AJ20">
        <v>10104</v>
      </c>
      <c r="AK20">
        <v>10226</v>
      </c>
      <c r="AL20">
        <v>10340</v>
      </c>
      <c r="AM20">
        <v>10444</v>
      </c>
      <c r="AN20">
        <v>10539</v>
      </c>
      <c r="AO20">
        <v>10623</v>
      </c>
      <c r="AP20">
        <v>10698</v>
      </c>
      <c r="AQ20">
        <v>10763</v>
      </c>
      <c r="AR20">
        <v>10817</v>
      </c>
      <c r="AS20">
        <v>10860</v>
      </c>
      <c r="AT20">
        <v>10893</v>
      </c>
      <c r="AU20">
        <v>10915</v>
      </c>
      <c r="AV20">
        <v>10926</v>
      </c>
      <c r="AW20">
        <v>10926</v>
      </c>
      <c r="AX20">
        <v>10916</v>
      </c>
      <c r="AY20">
        <v>10894</v>
      </c>
      <c r="AZ20">
        <v>10894</v>
      </c>
      <c r="BA20">
        <v>10894</v>
      </c>
      <c r="BB20">
        <v>10894</v>
      </c>
      <c r="BC20">
        <v>10894</v>
      </c>
      <c r="BD20">
        <v>10894</v>
      </c>
      <c r="BE20">
        <v>10894</v>
      </c>
      <c r="BF20">
        <v>10894</v>
      </c>
      <c r="BG20">
        <v>10894</v>
      </c>
      <c r="BH20">
        <v>10894</v>
      </c>
      <c r="BI20">
        <v>10894</v>
      </c>
      <c r="BJ20">
        <v>10894</v>
      </c>
      <c r="BK20">
        <v>10894</v>
      </c>
      <c r="BL20">
        <v>10894</v>
      </c>
      <c r="BM20">
        <v>10894</v>
      </c>
      <c r="BN20">
        <v>10894</v>
      </c>
      <c r="BO20">
        <v>10894</v>
      </c>
      <c r="BP20">
        <v>10894</v>
      </c>
      <c r="BQ20">
        <v>10894</v>
      </c>
      <c r="BR20">
        <v>10894</v>
      </c>
      <c r="BS20">
        <v>10894</v>
      </c>
      <c r="BT20">
        <v>10894</v>
      </c>
      <c r="BU20">
        <v>10894</v>
      </c>
      <c r="BV20">
        <v>10894</v>
      </c>
      <c r="BW20">
        <v>10894</v>
      </c>
      <c r="BX20">
        <v>10894</v>
      </c>
      <c r="BY20">
        <v>10894</v>
      </c>
      <c r="BZ20">
        <v>10894</v>
      </c>
      <c r="CA20">
        <v>10894</v>
      </c>
      <c r="CB20">
        <v>10894</v>
      </c>
      <c r="CC20">
        <v>10894</v>
      </c>
      <c r="CD20">
        <v>10894</v>
      </c>
      <c r="CE20">
        <v>10894</v>
      </c>
      <c r="CF20">
        <v>10894</v>
      </c>
      <c r="CG20">
        <v>10894</v>
      </c>
      <c r="CH20">
        <v>10894</v>
      </c>
      <c r="CI20">
        <v>10894</v>
      </c>
      <c r="CJ20">
        <v>10894</v>
      </c>
      <c r="CK20">
        <v>10894</v>
      </c>
      <c r="CL20">
        <v>10894</v>
      </c>
      <c r="CM20">
        <v>10894</v>
      </c>
      <c r="CN20">
        <v>10894</v>
      </c>
      <c r="CO20">
        <v>10894</v>
      </c>
    </row>
    <row r="21" spans="1:93" x14ac:dyDescent="0.25">
      <c r="A21" t="s">
        <v>112</v>
      </c>
      <c r="C21">
        <v>7132</v>
      </c>
      <c r="D21">
        <v>7132</v>
      </c>
      <c r="E21">
        <v>7132</v>
      </c>
      <c r="F21">
        <v>7132</v>
      </c>
      <c r="G21">
        <v>7132</v>
      </c>
      <c r="H21">
        <v>7132</v>
      </c>
      <c r="I21">
        <v>7132</v>
      </c>
      <c r="J21">
        <v>7132</v>
      </c>
      <c r="K21">
        <v>7132</v>
      </c>
      <c r="L21">
        <v>7132</v>
      </c>
      <c r="M21">
        <v>7132</v>
      </c>
      <c r="N21">
        <v>7198</v>
      </c>
      <c r="O21">
        <v>7478</v>
      </c>
      <c r="P21">
        <v>7637</v>
      </c>
      <c r="Q21">
        <v>7742</v>
      </c>
      <c r="R21">
        <v>7844</v>
      </c>
      <c r="S21">
        <v>7943</v>
      </c>
      <c r="T21">
        <v>8041</v>
      </c>
      <c r="U21">
        <v>8140</v>
      </c>
      <c r="V21">
        <v>8240</v>
      </c>
      <c r="W21">
        <v>8342</v>
      </c>
      <c r="X21">
        <v>8447</v>
      </c>
      <c r="Y21">
        <v>8603</v>
      </c>
      <c r="Z21">
        <v>8760</v>
      </c>
      <c r="AA21">
        <v>8917</v>
      </c>
      <c r="AB21">
        <v>9073</v>
      </c>
      <c r="AC21">
        <v>9230</v>
      </c>
      <c r="AD21">
        <v>9387</v>
      </c>
      <c r="AE21">
        <v>9543</v>
      </c>
      <c r="AF21">
        <v>9700</v>
      </c>
      <c r="AG21">
        <v>9857</v>
      </c>
      <c r="AH21">
        <v>10003</v>
      </c>
      <c r="AI21">
        <v>10151</v>
      </c>
      <c r="AJ21">
        <v>10301</v>
      </c>
      <c r="AK21">
        <v>10451</v>
      </c>
      <c r="AL21">
        <v>10602</v>
      </c>
      <c r="AM21">
        <v>10755</v>
      </c>
      <c r="AN21">
        <v>10909</v>
      </c>
      <c r="AO21">
        <v>11063</v>
      </c>
      <c r="AP21">
        <v>11219</v>
      </c>
      <c r="AQ21">
        <v>11376</v>
      </c>
      <c r="AR21">
        <v>11534</v>
      </c>
      <c r="AS21">
        <v>11693</v>
      </c>
      <c r="AT21">
        <v>11853</v>
      </c>
      <c r="AU21">
        <v>12014</v>
      </c>
      <c r="AV21">
        <v>12176</v>
      </c>
      <c r="AW21">
        <v>12339</v>
      </c>
      <c r="AX21">
        <v>12503</v>
      </c>
      <c r="AY21">
        <v>12667</v>
      </c>
      <c r="AZ21">
        <v>12833</v>
      </c>
      <c r="BA21">
        <v>12999</v>
      </c>
      <c r="BB21">
        <v>13167</v>
      </c>
      <c r="BC21">
        <v>13335</v>
      </c>
      <c r="BD21">
        <v>13504</v>
      </c>
      <c r="BE21">
        <v>13674</v>
      </c>
      <c r="BF21">
        <v>13844</v>
      </c>
      <c r="BG21">
        <v>14015</v>
      </c>
      <c r="BH21">
        <v>14187</v>
      </c>
      <c r="BI21">
        <v>14360</v>
      </c>
      <c r="BJ21">
        <v>14533</v>
      </c>
      <c r="BK21">
        <v>14707</v>
      </c>
      <c r="BL21">
        <v>14881</v>
      </c>
      <c r="BM21">
        <v>15056</v>
      </c>
      <c r="BN21">
        <v>15231</v>
      </c>
      <c r="BO21">
        <v>15407</v>
      </c>
      <c r="BP21">
        <v>15584</v>
      </c>
      <c r="BQ21">
        <v>15761</v>
      </c>
      <c r="BR21">
        <v>15938</v>
      </c>
      <c r="BS21">
        <v>16116</v>
      </c>
      <c r="BT21">
        <v>16294</v>
      </c>
      <c r="BU21">
        <v>16472</v>
      </c>
      <c r="BV21">
        <v>16651</v>
      </c>
      <c r="BW21">
        <v>16830</v>
      </c>
      <c r="BX21">
        <v>17009</v>
      </c>
      <c r="BY21">
        <v>17188</v>
      </c>
      <c r="BZ21">
        <v>17368</v>
      </c>
      <c r="CA21">
        <v>17547</v>
      </c>
      <c r="CB21">
        <v>17727</v>
      </c>
      <c r="CC21">
        <v>17907</v>
      </c>
      <c r="CD21">
        <v>18087</v>
      </c>
      <c r="CE21">
        <v>18266</v>
      </c>
      <c r="CF21">
        <v>18446</v>
      </c>
      <c r="CG21">
        <v>18626</v>
      </c>
      <c r="CH21">
        <v>18805</v>
      </c>
      <c r="CI21">
        <v>18984</v>
      </c>
      <c r="CJ21">
        <v>19163</v>
      </c>
      <c r="CK21">
        <v>19342</v>
      </c>
      <c r="CL21">
        <v>19521</v>
      </c>
      <c r="CM21">
        <v>19699</v>
      </c>
      <c r="CN21">
        <v>19877</v>
      </c>
      <c r="CO21">
        <v>20054</v>
      </c>
    </row>
    <row r="22" spans="1:93" x14ac:dyDescent="0.25">
      <c r="A22" t="s">
        <v>113</v>
      </c>
      <c r="C22">
        <v>2544</v>
      </c>
      <c r="D22">
        <v>2544</v>
      </c>
      <c r="E22">
        <v>2544</v>
      </c>
      <c r="F22">
        <v>2544</v>
      </c>
      <c r="G22">
        <v>2544</v>
      </c>
      <c r="H22">
        <v>2544</v>
      </c>
      <c r="I22">
        <v>2544</v>
      </c>
      <c r="J22">
        <v>2544</v>
      </c>
      <c r="K22">
        <v>2544</v>
      </c>
      <c r="L22">
        <v>2544</v>
      </c>
      <c r="M22">
        <v>2544</v>
      </c>
      <c r="N22">
        <v>2672</v>
      </c>
      <c r="O22">
        <v>2826</v>
      </c>
      <c r="P22">
        <v>2930</v>
      </c>
      <c r="Q22">
        <v>2976</v>
      </c>
      <c r="R22">
        <v>3020</v>
      </c>
      <c r="S22">
        <v>3058</v>
      </c>
      <c r="T22">
        <v>3094</v>
      </c>
      <c r="U22">
        <v>3128</v>
      </c>
      <c r="V22">
        <v>3160</v>
      </c>
      <c r="W22">
        <v>3192</v>
      </c>
      <c r="X22">
        <v>3220</v>
      </c>
      <c r="Y22">
        <v>3280</v>
      </c>
      <c r="Z22">
        <v>3340</v>
      </c>
      <c r="AA22">
        <v>3400</v>
      </c>
      <c r="AB22">
        <v>3460</v>
      </c>
      <c r="AC22">
        <v>3520</v>
      </c>
      <c r="AD22">
        <v>3580</v>
      </c>
      <c r="AE22">
        <v>3638</v>
      </c>
      <c r="AF22">
        <v>3698</v>
      </c>
      <c r="AG22">
        <v>3758</v>
      </c>
      <c r="AH22">
        <v>3814</v>
      </c>
      <c r="AI22">
        <v>3870</v>
      </c>
      <c r="AJ22">
        <v>3928</v>
      </c>
      <c r="AK22">
        <v>3986</v>
      </c>
      <c r="AL22">
        <v>4042</v>
      </c>
      <c r="AM22">
        <v>4100</v>
      </c>
      <c r="AN22">
        <v>4160</v>
      </c>
      <c r="AO22">
        <v>4218</v>
      </c>
      <c r="AP22">
        <v>4278</v>
      </c>
      <c r="AQ22">
        <v>4338</v>
      </c>
      <c r="AR22">
        <v>4398</v>
      </c>
      <c r="AS22">
        <v>4458</v>
      </c>
      <c r="AT22">
        <v>4520</v>
      </c>
      <c r="AU22">
        <v>4582</v>
      </c>
      <c r="AV22">
        <v>4642</v>
      </c>
      <c r="AW22">
        <v>4704</v>
      </c>
      <c r="AX22">
        <v>4768</v>
      </c>
      <c r="AY22">
        <v>4830</v>
      </c>
      <c r="AZ22">
        <v>4894</v>
      </c>
      <c r="BA22">
        <v>4956</v>
      </c>
      <c r="BB22">
        <v>5020</v>
      </c>
      <c r="BC22">
        <v>5084</v>
      </c>
      <c r="BD22">
        <v>5150</v>
      </c>
      <c r="BE22">
        <v>5214</v>
      </c>
      <c r="BF22">
        <v>5278</v>
      </c>
      <c r="BG22">
        <v>5344</v>
      </c>
      <c r="BH22">
        <v>5410</v>
      </c>
      <c r="BI22">
        <v>5476</v>
      </c>
      <c r="BJ22">
        <v>5542</v>
      </c>
      <c r="BK22">
        <v>5608</v>
      </c>
      <c r="BL22">
        <v>5674</v>
      </c>
      <c r="BM22">
        <v>5740</v>
      </c>
      <c r="BN22">
        <v>5808</v>
      </c>
      <c r="BO22">
        <v>5874</v>
      </c>
      <c r="BP22">
        <v>5942</v>
      </c>
      <c r="BQ22">
        <v>6010</v>
      </c>
      <c r="BR22">
        <v>6078</v>
      </c>
      <c r="BS22">
        <v>6146</v>
      </c>
      <c r="BT22">
        <v>6212</v>
      </c>
      <c r="BU22">
        <v>6280</v>
      </c>
      <c r="BV22">
        <v>6350</v>
      </c>
      <c r="BW22">
        <v>6418</v>
      </c>
      <c r="BX22">
        <v>6486</v>
      </c>
      <c r="BY22">
        <v>6554</v>
      </c>
      <c r="BZ22">
        <v>6622</v>
      </c>
      <c r="CA22">
        <v>6690</v>
      </c>
      <c r="CB22">
        <v>6760</v>
      </c>
      <c r="CC22">
        <v>6828</v>
      </c>
      <c r="CD22">
        <v>6896</v>
      </c>
      <c r="CE22">
        <v>6966</v>
      </c>
      <c r="CF22">
        <v>7034</v>
      </c>
      <c r="CG22">
        <v>7102</v>
      </c>
      <c r="CH22">
        <v>7170</v>
      </c>
      <c r="CI22">
        <v>7238</v>
      </c>
      <c r="CJ22">
        <v>7308</v>
      </c>
      <c r="CK22">
        <v>7376</v>
      </c>
      <c r="CL22">
        <v>7444</v>
      </c>
      <c r="CM22">
        <v>7512</v>
      </c>
      <c r="CN22">
        <v>7580</v>
      </c>
      <c r="CO22">
        <v>7646</v>
      </c>
    </row>
    <row r="23" spans="1:93" x14ac:dyDescent="0.25">
      <c r="A23" t="s">
        <v>114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709</v>
      </c>
      <c r="M23">
        <v>2835</v>
      </c>
      <c r="N23">
        <v>3483</v>
      </c>
      <c r="O23">
        <v>3648</v>
      </c>
      <c r="P23">
        <v>3738</v>
      </c>
      <c r="Q23">
        <v>3804</v>
      </c>
      <c r="R23">
        <v>3867</v>
      </c>
      <c r="S23">
        <v>3922</v>
      </c>
      <c r="T23">
        <v>3975</v>
      </c>
      <c r="U23">
        <v>4021</v>
      </c>
      <c r="V23">
        <v>4066</v>
      </c>
      <c r="W23">
        <v>4104</v>
      </c>
      <c r="X23">
        <v>4138</v>
      </c>
      <c r="Y23">
        <v>4215</v>
      </c>
      <c r="Z23">
        <v>4292</v>
      </c>
      <c r="AA23">
        <v>4367</v>
      </c>
      <c r="AB23">
        <v>4446</v>
      </c>
      <c r="AC23">
        <v>4522</v>
      </c>
      <c r="AD23">
        <v>4598</v>
      </c>
      <c r="AE23">
        <v>4675</v>
      </c>
      <c r="AF23">
        <v>4753</v>
      </c>
      <c r="AG23">
        <v>4828</v>
      </c>
      <c r="AH23">
        <v>4877</v>
      </c>
      <c r="AI23">
        <v>4926</v>
      </c>
      <c r="AJ23">
        <v>4979</v>
      </c>
      <c r="AK23">
        <v>5034</v>
      </c>
      <c r="AL23">
        <v>5093</v>
      </c>
      <c r="AM23">
        <v>5154</v>
      </c>
      <c r="AN23">
        <v>5219</v>
      </c>
      <c r="AO23">
        <v>5289</v>
      </c>
      <c r="AP23">
        <v>5360</v>
      </c>
      <c r="AQ23">
        <v>5435</v>
      </c>
      <c r="AR23">
        <v>5514</v>
      </c>
      <c r="AS23">
        <v>5598</v>
      </c>
      <c r="AT23">
        <v>5684</v>
      </c>
      <c r="AU23">
        <v>5775</v>
      </c>
      <c r="AV23">
        <v>5871</v>
      </c>
      <c r="AW23">
        <v>5970</v>
      </c>
      <c r="AX23">
        <v>6075</v>
      </c>
      <c r="AY23">
        <v>6184</v>
      </c>
      <c r="AZ23">
        <v>6297</v>
      </c>
      <c r="BA23">
        <v>6416</v>
      </c>
      <c r="BB23">
        <v>6539</v>
      </c>
      <c r="BC23">
        <v>6667</v>
      </c>
      <c r="BD23">
        <v>6801</v>
      </c>
      <c r="BE23">
        <v>6941</v>
      </c>
      <c r="BF23">
        <v>7086</v>
      </c>
      <c r="BG23">
        <v>7239</v>
      </c>
      <c r="BH23">
        <v>7395</v>
      </c>
      <c r="BI23">
        <v>7559</v>
      </c>
      <c r="BJ23">
        <v>7728</v>
      </c>
      <c r="BK23">
        <v>7906</v>
      </c>
      <c r="BL23">
        <v>8089</v>
      </c>
      <c r="BM23">
        <v>8279</v>
      </c>
      <c r="BN23">
        <v>8476</v>
      </c>
      <c r="BO23">
        <v>8680</v>
      </c>
      <c r="BP23">
        <v>8892</v>
      </c>
      <c r="BQ23">
        <v>9111</v>
      </c>
      <c r="BR23">
        <v>9339</v>
      </c>
      <c r="BS23">
        <v>9574</v>
      </c>
      <c r="BT23">
        <v>9818</v>
      </c>
      <c r="BU23">
        <v>10070</v>
      </c>
      <c r="BV23">
        <v>10330</v>
      </c>
      <c r="BW23">
        <v>10599</v>
      </c>
      <c r="BX23">
        <v>10877</v>
      </c>
      <c r="BY23">
        <v>11166</v>
      </c>
      <c r="BZ23">
        <v>11463</v>
      </c>
      <c r="CA23">
        <v>11770</v>
      </c>
      <c r="CB23">
        <v>12086</v>
      </c>
      <c r="CC23">
        <v>12412</v>
      </c>
      <c r="CD23">
        <v>12749</v>
      </c>
      <c r="CE23">
        <v>13097</v>
      </c>
      <c r="CF23">
        <v>13456</v>
      </c>
      <c r="CG23">
        <v>13825</v>
      </c>
      <c r="CH23">
        <v>14205</v>
      </c>
      <c r="CI23">
        <v>14598</v>
      </c>
      <c r="CJ23">
        <v>15002</v>
      </c>
      <c r="CK23">
        <v>15417</v>
      </c>
      <c r="CL23">
        <v>15845</v>
      </c>
      <c r="CM23">
        <v>16286</v>
      </c>
      <c r="CN23">
        <v>16740</v>
      </c>
      <c r="CO23">
        <v>17205</v>
      </c>
    </row>
    <row r="24" spans="1:93" x14ac:dyDescent="0.25">
      <c r="A24" t="s">
        <v>115</v>
      </c>
      <c r="C24">
        <v>1960</v>
      </c>
      <c r="D24">
        <v>1960</v>
      </c>
      <c r="E24">
        <v>1960</v>
      </c>
      <c r="F24">
        <v>1960</v>
      </c>
      <c r="G24">
        <v>1960</v>
      </c>
      <c r="H24">
        <v>1960</v>
      </c>
      <c r="I24">
        <v>2027</v>
      </c>
      <c r="J24">
        <v>2110</v>
      </c>
      <c r="K24">
        <v>2251</v>
      </c>
      <c r="L24">
        <v>2443</v>
      </c>
      <c r="M24">
        <v>3704</v>
      </c>
      <c r="N24">
        <v>3767</v>
      </c>
      <c r="O24">
        <v>3830</v>
      </c>
      <c r="P24">
        <v>3893</v>
      </c>
      <c r="Q24">
        <v>3956</v>
      </c>
      <c r="R24">
        <v>3956</v>
      </c>
      <c r="S24">
        <v>3956</v>
      </c>
      <c r="T24">
        <v>3956</v>
      </c>
      <c r="U24">
        <v>3956</v>
      </c>
      <c r="V24">
        <v>3956</v>
      </c>
      <c r="W24">
        <v>3956</v>
      </c>
      <c r="X24">
        <v>3956</v>
      </c>
      <c r="Y24">
        <v>3956</v>
      </c>
      <c r="Z24">
        <v>3956</v>
      </c>
      <c r="AA24">
        <v>3956</v>
      </c>
      <c r="AB24">
        <v>3956</v>
      </c>
      <c r="AC24">
        <v>3956</v>
      </c>
      <c r="AD24">
        <v>3956</v>
      </c>
      <c r="AE24">
        <v>3956</v>
      </c>
      <c r="AF24">
        <v>3956</v>
      </c>
      <c r="AG24">
        <v>3956</v>
      </c>
      <c r="AH24">
        <v>4016</v>
      </c>
      <c r="AI24">
        <v>4073</v>
      </c>
      <c r="AJ24">
        <v>4126</v>
      </c>
      <c r="AK24">
        <v>4176</v>
      </c>
      <c r="AL24">
        <v>4222</v>
      </c>
      <c r="AM24">
        <v>4265</v>
      </c>
      <c r="AN24">
        <v>4303</v>
      </c>
      <c r="AO24">
        <v>4338</v>
      </c>
      <c r="AP24">
        <v>4368</v>
      </c>
      <c r="AQ24">
        <v>4395</v>
      </c>
      <c r="AR24">
        <v>4417</v>
      </c>
      <c r="AS24">
        <v>4435</v>
      </c>
      <c r="AT24">
        <v>4448</v>
      </c>
      <c r="AU24">
        <v>4457</v>
      </c>
      <c r="AV24">
        <v>4462</v>
      </c>
      <c r="AW24">
        <v>4462</v>
      </c>
      <c r="AX24">
        <v>4457</v>
      </c>
      <c r="AY24">
        <v>4448</v>
      </c>
      <c r="AZ24">
        <v>4435</v>
      </c>
      <c r="BA24">
        <v>8793</v>
      </c>
      <c r="BB24">
        <v>8916</v>
      </c>
      <c r="BC24">
        <v>9041</v>
      </c>
      <c r="BD24">
        <v>9168</v>
      </c>
      <c r="BE24">
        <v>9296</v>
      </c>
      <c r="BF24">
        <v>9425</v>
      </c>
      <c r="BG24">
        <v>9557</v>
      </c>
      <c r="BH24">
        <v>9692</v>
      </c>
      <c r="BI24">
        <v>9827</v>
      </c>
      <c r="BJ24">
        <v>9965</v>
      </c>
      <c r="BK24">
        <v>10104</v>
      </c>
      <c r="BL24">
        <v>10245</v>
      </c>
      <c r="BM24">
        <v>10389</v>
      </c>
      <c r="BN24">
        <v>10535</v>
      </c>
      <c r="BO24">
        <v>10683</v>
      </c>
      <c r="BP24">
        <v>10832</v>
      </c>
      <c r="BQ24">
        <v>10984</v>
      </c>
      <c r="BR24">
        <v>11137</v>
      </c>
      <c r="BS24">
        <v>11293</v>
      </c>
      <c r="BT24">
        <v>11451</v>
      </c>
      <c r="BU24">
        <v>11612</v>
      </c>
      <c r="BV24">
        <v>11775</v>
      </c>
      <c r="BW24">
        <v>11939</v>
      </c>
      <c r="BX24">
        <v>12107</v>
      </c>
      <c r="BY24">
        <v>12276</v>
      </c>
      <c r="BZ24">
        <v>12448</v>
      </c>
      <c r="CA24">
        <v>12621</v>
      </c>
      <c r="CB24">
        <v>12799</v>
      </c>
      <c r="CC24">
        <v>12977</v>
      </c>
      <c r="CD24">
        <v>13159</v>
      </c>
      <c r="CE24">
        <v>13344</v>
      </c>
      <c r="CF24">
        <v>13531</v>
      </c>
      <c r="CG24">
        <v>13720</v>
      </c>
      <c r="CH24">
        <v>13912</v>
      </c>
      <c r="CI24">
        <v>14107</v>
      </c>
      <c r="CJ24">
        <v>14304</v>
      </c>
      <c r="CK24">
        <v>14504</v>
      </c>
      <c r="CL24">
        <v>14708</v>
      </c>
      <c r="CM24">
        <v>14913</v>
      </c>
      <c r="CN24">
        <v>15123</v>
      </c>
      <c r="CO24">
        <v>15333</v>
      </c>
    </row>
    <row r="25" spans="1:93" x14ac:dyDescent="0.25">
      <c r="A25" t="s">
        <v>116</v>
      </c>
      <c r="C25">
        <v>2626</v>
      </c>
      <c r="D25">
        <v>2626</v>
      </c>
      <c r="E25">
        <v>2626</v>
      </c>
      <c r="F25">
        <v>2626</v>
      </c>
      <c r="G25">
        <v>2626</v>
      </c>
      <c r="H25">
        <v>2626</v>
      </c>
      <c r="I25">
        <v>2626</v>
      </c>
      <c r="J25">
        <v>2626</v>
      </c>
      <c r="K25">
        <v>2626</v>
      </c>
      <c r="L25">
        <v>2626</v>
      </c>
      <c r="M25">
        <v>2626</v>
      </c>
      <c r="N25">
        <v>2689</v>
      </c>
      <c r="O25">
        <v>2932</v>
      </c>
      <c r="P25">
        <v>3136</v>
      </c>
      <c r="Q25">
        <v>3245</v>
      </c>
      <c r="R25">
        <v>3357</v>
      </c>
      <c r="S25">
        <v>3472</v>
      </c>
      <c r="T25">
        <v>3588</v>
      </c>
      <c r="U25">
        <v>3706</v>
      </c>
      <c r="V25">
        <v>3824</v>
      </c>
      <c r="W25">
        <v>3943</v>
      </c>
      <c r="X25">
        <v>4063</v>
      </c>
      <c r="Y25">
        <v>4138</v>
      </c>
      <c r="Z25">
        <v>4213</v>
      </c>
      <c r="AA25">
        <v>4289</v>
      </c>
      <c r="AB25">
        <v>4364</v>
      </c>
      <c r="AC25">
        <v>4439</v>
      </c>
      <c r="AD25">
        <v>4515</v>
      </c>
      <c r="AE25">
        <v>4590</v>
      </c>
      <c r="AF25">
        <v>4665</v>
      </c>
      <c r="AG25">
        <v>4741</v>
      </c>
      <c r="AH25">
        <v>4811</v>
      </c>
      <c r="AI25">
        <v>4883</v>
      </c>
      <c r="AJ25">
        <v>4954</v>
      </c>
      <c r="AK25">
        <v>5027</v>
      </c>
      <c r="AL25">
        <v>5099</v>
      </c>
      <c r="AM25">
        <v>5173</v>
      </c>
      <c r="AN25">
        <v>5247</v>
      </c>
      <c r="AO25">
        <v>5321</v>
      </c>
      <c r="AP25">
        <v>5396</v>
      </c>
      <c r="AQ25">
        <v>5472</v>
      </c>
      <c r="AR25">
        <v>5548</v>
      </c>
      <c r="AS25">
        <v>5624</v>
      </c>
      <c r="AT25">
        <v>5701</v>
      </c>
      <c r="AU25">
        <v>5778</v>
      </c>
      <c r="AV25">
        <v>5856</v>
      </c>
      <c r="AW25">
        <v>5935</v>
      </c>
      <c r="AX25">
        <v>6013</v>
      </c>
      <c r="AY25">
        <v>6093</v>
      </c>
      <c r="AZ25">
        <v>6172</v>
      </c>
      <c r="BA25">
        <v>6252</v>
      </c>
      <c r="BB25">
        <v>6333</v>
      </c>
      <c r="BC25">
        <v>6414</v>
      </c>
      <c r="BD25">
        <v>6495</v>
      </c>
      <c r="BE25">
        <v>6577</v>
      </c>
      <c r="BF25">
        <v>6659</v>
      </c>
      <c r="BG25">
        <v>6741</v>
      </c>
      <c r="BH25">
        <v>6824</v>
      </c>
      <c r="BI25">
        <v>6907</v>
      </c>
      <c r="BJ25">
        <v>6990</v>
      </c>
      <c r="BK25">
        <v>7073</v>
      </c>
      <c r="BL25">
        <v>7157</v>
      </c>
      <c r="BM25">
        <v>7241</v>
      </c>
      <c r="BN25">
        <v>7326</v>
      </c>
      <c r="BO25">
        <v>7411</v>
      </c>
      <c r="BP25">
        <v>7495</v>
      </c>
      <c r="BQ25">
        <v>7581</v>
      </c>
      <c r="BR25">
        <v>7666</v>
      </c>
      <c r="BS25">
        <v>7751</v>
      </c>
      <c r="BT25">
        <v>7837</v>
      </c>
      <c r="BU25">
        <v>7923</v>
      </c>
      <c r="BV25">
        <v>8009</v>
      </c>
      <c r="BW25">
        <v>8095</v>
      </c>
      <c r="BX25">
        <v>8181</v>
      </c>
      <c r="BY25">
        <v>8267</v>
      </c>
      <c r="BZ25">
        <v>8353</v>
      </c>
      <c r="CA25">
        <v>8440</v>
      </c>
      <c r="CB25">
        <v>8526</v>
      </c>
      <c r="CC25">
        <v>8613</v>
      </c>
      <c r="CD25">
        <v>8699</v>
      </c>
      <c r="CE25">
        <v>8786</v>
      </c>
      <c r="CF25">
        <v>8872</v>
      </c>
      <c r="CG25">
        <v>8958</v>
      </c>
      <c r="CH25">
        <v>9045</v>
      </c>
      <c r="CI25">
        <v>9131</v>
      </c>
      <c r="CJ25">
        <v>9217</v>
      </c>
      <c r="CK25">
        <v>9303</v>
      </c>
      <c r="CL25">
        <v>9389</v>
      </c>
      <c r="CM25">
        <v>9475</v>
      </c>
      <c r="CN25">
        <v>9560</v>
      </c>
      <c r="CO25">
        <v>9646</v>
      </c>
    </row>
    <row r="26" spans="1:93" x14ac:dyDescent="0.25">
      <c r="A26" t="s">
        <v>117</v>
      </c>
      <c r="C26">
        <v>1940</v>
      </c>
      <c r="D26">
        <v>1940</v>
      </c>
      <c r="E26">
        <v>1940</v>
      </c>
      <c r="F26">
        <v>1940</v>
      </c>
      <c r="G26">
        <v>1940</v>
      </c>
      <c r="H26">
        <v>1940</v>
      </c>
      <c r="I26">
        <v>1940</v>
      </c>
      <c r="J26">
        <v>1940</v>
      </c>
      <c r="K26">
        <v>1940</v>
      </c>
      <c r="L26">
        <v>1940</v>
      </c>
      <c r="M26">
        <v>4900</v>
      </c>
      <c r="N26">
        <v>5044</v>
      </c>
      <c r="O26">
        <v>5345</v>
      </c>
      <c r="P26">
        <v>5567</v>
      </c>
      <c r="Q26">
        <v>5723</v>
      </c>
      <c r="R26">
        <v>5885</v>
      </c>
      <c r="S26">
        <v>6052</v>
      </c>
      <c r="T26">
        <v>6223</v>
      </c>
      <c r="U26">
        <v>6396</v>
      </c>
      <c r="V26">
        <v>6571</v>
      </c>
      <c r="W26">
        <v>6749</v>
      </c>
      <c r="X26">
        <v>6928</v>
      </c>
      <c r="Y26">
        <v>7057</v>
      </c>
      <c r="Z26">
        <v>7185</v>
      </c>
      <c r="AA26">
        <v>7314</v>
      </c>
      <c r="AB26">
        <v>7442</v>
      </c>
      <c r="AC26">
        <v>7571</v>
      </c>
      <c r="AD26">
        <v>7700</v>
      </c>
      <c r="AE26">
        <v>7828</v>
      </c>
      <c r="AF26">
        <v>7956</v>
      </c>
      <c r="AG26">
        <v>8085</v>
      </c>
      <c r="AH26">
        <v>8205</v>
      </c>
      <c r="AI26">
        <v>8327</v>
      </c>
      <c r="AJ26">
        <v>8449</v>
      </c>
      <c r="AK26">
        <v>8572</v>
      </c>
      <c r="AL26">
        <v>8697</v>
      </c>
      <c r="AM26">
        <v>8822</v>
      </c>
      <c r="AN26">
        <v>8948</v>
      </c>
      <c r="AO26">
        <v>9075</v>
      </c>
      <c r="AP26">
        <v>9203</v>
      </c>
      <c r="AQ26">
        <v>9331</v>
      </c>
      <c r="AR26">
        <v>9461</v>
      </c>
      <c r="AS26">
        <v>9591</v>
      </c>
      <c r="AT26">
        <v>9723</v>
      </c>
      <c r="AU26">
        <v>9855</v>
      </c>
      <c r="AV26">
        <v>9987</v>
      </c>
      <c r="AW26">
        <v>10121</v>
      </c>
      <c r="AX26">
        <v>10255</v>
      </c>
      <c r="AY26">
        <v>10390</v>
      </c>
      <c r="AZ26">
        <v>10526</v>
      </c>
      <c r="BA26">
        <v>10663</v>
      </c>
      <c r="BB26">
        <v>10800</v>
      </c>
      <c r="BC26">
        <v>10938</v>
      </c>
      <c r="BD26">
        <v>11077</v>
      </c>
      <c r="BE26">
        <v>11216</v>
      </c>
      <c r="BF26">
        <v>11356</v>
      </c>
      <c r="BG26">
        <v>11496</v>
      </c>
      <c r="BH26">
        <v>11637</v>
      </c>
      <c r="BI26">
        <v>11778</v>
      </c>
      <c r="BJ26">
        <v>11921</v>
      </c>
      <c r="BK26">
        <v>12063</v>
      </c>
      <c r="BL26">
        <v>12206</v>
      </c>
      <c r="BM26">
        <v>12350</v>
      </c>
      <c r="BN26">
        <v>12494</v>
      </c>
      <c r="BO26">
        <v>12638</v>
      </c>
      <c r="BP26">
        <v>12783</v>
      </c>
      <c r="BQ26">
        <v>12928</v>
      </c>
      <c r="BR26">
        <v>13073</v>
      </c>
      <c r="BS26">
        <v>13219</v>
      </c>
      <c r="BT26">
        <v>13365</v>
      </c>
      <c r="BU26">
        <v>13511</v>
      </c>
      <c r="BV26">
        <v>13658</v>
      </c>
      <c r="BW26">
        <v>13805</v>
      </c>
      <c r="BX26">
        <v>13952</v>
      </c>
      <c r="BY26">
        <v>14099</v>
      </c>
      <c r="BZ26">
        <v>14246</v>
      </c>
      <c r="CA26">
        <v>14393</v>
      </c>
      <c r="CB26">
        <v>14541</v>
      </c>
      <c r="CC26">
        <v>14688</v>
      </c>
      <c r="CD26">
        <v>14836</v>
      </c>
      <c r="CE26">
        <v>14983</v>
      </c>
      <c r="CF26">
        <v>15130</v>
      </c>
      <c r="CG26">
        <v>15278</v>
      </c>
      <c r="CH26">
        <v>15425</v>
      </c>
      <c r="CI26">
        <v>15572</v>
      </c>
      <c r="CJ26">
        <v>15719</v>
      </c>
      <c r="CK26">
        <v>15866</v>
      </c>
      <c r="CL26">
        <v>16012</v>
      </c>
      <c r="CM26">
        <v>16158</v>
      </c>
      <c r="CN26">
        <v>16304</v>
      </c>
      <c r="CO26">
        <v>16450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PadreInput</vt:lpstr>
      <vt:lpstr>EEO Base</vt:lpstr>
      <vt:lpstr>EEO Base Escalators</vt:lpstr>
      <vt:lpstr>Offshore Regions</vt:lpstr>
      <vt:lpstr>Offshore Turbines</vt:lpstr>
      <vt:lpstr>Offshore Regions-points</vt:lpstr>
      <vt:lpstr>Offshore Heights</vt:lpstr>
      <vt:lpstr>Onshore Regions</vt:lpstr>
      <vt:lpstr>Onshore Regions-points</vt:lpstr>
      <vt:lpstr>Onshore Heights</vt:lpstr>
      <vt:lpstr>Onshore Turbines</vt:lpstr>
      <vt:lpstr>Offshore</vt:lpstr>
      <vt:lpstr>Onshore</vt:lpstr>
      <vt:lpstr>PV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Bond</dc:creator>
  <cp:lastModifiedBy>Simon Bond</cp:lastModifiedBy>
  <dcterms:created xsi:type="dcterms:W3CDTF">2022-02-23T18:52:08Z</dcterms:created>
  <dcterms:modified xsi:type="dcterms:W3CDTF">2022-03-24T23:52:43Z</dcterms:modified>
</cp:coreProperties>
</file>